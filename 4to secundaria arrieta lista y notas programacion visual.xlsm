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65DA6E6E-33E6-43BF-B70C-596E55B4186E}" xr6:coauthVersionLast="47" xr6:coauthVersionMax="47" xr10:uidLastSave="{00000000-0000-0000-0000-000000000000}"/>
  <bookViews>
    <workbookView xWindow="-108" yWindow="-108" windowWidth="23256" windowHeight="12576" firstSheet="1" activeTab="4"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R4" i="17" l="1"/>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D21" i="4" s="1"/>
  <c r="BB22" i="4"/>
  <c r="BB23" i="4"/>
  <c r="BB24" i="4"/>
  <c r="BB25" i="4"/>
  <c r="AZ8" i="4"/>
  <c r="AZ9" i="4"/>
  <c r="AZ10" i="4"/>
  <c r="BD10" i="4" s="1"/>
  <c r="AZ11" i="4"/>
  <c r="BD11" i="4" s="1"/>
  <c r="AZ12" i="4"/>
  <c r="AZ13" i="4"/>
  <c r="AZ14" i="4"/>
  <c r="AZ15" i="4"/>
  <c r="AZ16" i="4"/>
  <c r="AZ17" i="4"/>
  <c r="AZ18" i="4"/>
  <c r="BD18" i="4" s="1"/>
  <c r="AZ19" i="4"/>
  <c r="BD19" i="4" s="1"/>
  <c r="AZ20" i="4"/>
  <c r="AZ21" i="4"/>
  <c r="AZ22" i="4"/>
  <c r="AZ23" i="4"/>
  <c r="AZ24" i="4"/>
  <c r="AZ25" i="4"/>
  <c r="BA8" i="4"/>
  <c r="BA9" i="4"/>
  <c r="BA10" i="4"/>
  <c r="BA11" i="4"/>
  <c r="BA12" i="4"/>
  <c r="BA13" i="4"/>
  <c r="BA14" i="4"/>
  <c r="BA15" i="4"/>
  <c r="BA16" i="4"/>
  <c r="BA17" i="4"/>
  <c r="BA18" i="4"/>
  <c r="BA19" i="4"/>
  <c r="BA20" i="4"/>
  <c r="BA21" i="4"/>
  <c r="BA22" i="4"/>
  <c r="BA23" i="4"/>
  <c r="BA24" i="4"/>
  <c r="BA25" i="4"/>
  <c r="BD25" i="4" l="1"/>
  <c r="BD17" i="4"/>
  <c r="BD24" i="4"/>
  <c r="BD16" i="4"/>
  <c r="BD8" i="4"/>
  <c r="BD23" i="4"/>
  <c r="BD15" i="4"/>
  <c r="BD22" i="4"/>
  <c r="BD14" i="4"/>
  <c r="BD13" i="4"/>
  <c r="BD20" i="4"/>
  <c r="BD12" i="4"/>
  <c r="BD9" i="4"/>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S11" i="17" l="1"/>
  <c r="M11" i="17"/>
  <c r="L11" i="17"/>
  <c r="Q11" i="17"/>
  <c r="R11" i="17"/>
  <c r="K11" i="17"/>
  <c r="J11" i="17"/>
  <c r="U11" i="17"/>
  <c r="G11" i="17"/>
  <c r="N11" i="17"/>
  <c r="I11" i="17"/>
  <c r="P11" i="17"/>
  <c r="H11" i="17"/>
  <c r="O11" i="17"/>
  <c r="T11" i="17"/>
  <c r="I23" i="17"/>
  <c r="AC23" i="17" s="1"/>
  <c r="I22" i="17"/>
  <c r="AC22" i="17" s="1"/>
  <c r="I21" i="17"/>
  <c r="AC21" i="17" s="1"/>
  <c r="I16" i="17"/>
  <c r="AC16" i="17" s="1"/>
  <c r="I15" i="17"/>
  <c r="AC15" i="17" s="1"/>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AC25" i="17" l="1"/>
  <c r="I25" i="17"/>
  <c r="AC17" i="17"/>
  <c r="I17" i="17"/>
  <c r="AH26" i="7"/>
  <c r="N26" i="9"/>
  <c r="U26" i="9" s="1"/>
  <c r="AF26" i="7"/>
  <c r="N25" i="9"/>
  <c r="D16" i="10"/>
  <c r="AH11" i="7"/>
  <c r="D10" i="10"/>
  <c r="N27" i="9"/>
  <c r="U27" i="9" s="1"/>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AC26" i="17" l="1"/>
  <c r="A26" i="17" s="1"/>
  <c r="U24" i="9"/>
  <c r="F24" i="10" s="1"/>
  <c r="U11" i="9"/>
  <c r="F11" i="10" s="1"/>
  <c r="U35" i="9"/>
  <c r="U37" i="9"/>
  <c r="F37" i="10" s="1"/>
  <c r="U31" i="9"/>
  <c r="F31" i="10" s="1"/>
  <c r="U36" i="9"/>
  <c r="F36" i="10" s="1"/>
  <c r="U13" i="9"/>
  <c r="F13" i="10" s="1"/>
  <c r="U15" i="9"/>
  <c r="F15" i="10" s="1"/>
  <c r="F19" i="10"/>
  <c r="H27" i="16" s="1"/>
  <c r="V19" i="9"/>
  <c r="V38" i="9"/>
  <c r="F38" i="10"/>
  <c r="V28" i="9"/>
  <c r="F28" i="10"/>
  <c r="E38" i="14"/>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<sst xmlns="http://schemas.openxmlformats.org/spreadsheetml/2006/main" count="800" uniqueCount="245">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</sst>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u/>
      <sz val="16"/>
      <color theme="10"/>
      <name val="Arial"/>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s>
  <borders count="6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thin">
        <color indexed="64"/>
      </right>
      <top style="thin">
        <color indexed="64"/>
      </top>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26">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5"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6" xfId="0" applyFont="1" applyBorder="1" applyAlignment="1">
      <alignment horizontal="center" vertical="center"/>
    </xf>
    <xf numFmtId="0" fontId="9" fillId="0" borderId="27" xfId="0" applyFont="1" applyBorder="1" applyAlignment="1">
      <alignment horizontal="center" vertical="center"/>
    </xf>
    <xf numFmtId="0" fontId="56" fillId="0" borderId="57" xfId="0" applyFont="1" applyBorder="1" applyAlignment="1">
      <alignment horizontal="center" vertical="center" textRotation="90"/>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9" borderId="19" xfId="0" applyFont="1" applyFill="1" applyBorder="1" applyAlignment="1">
      <alignment horizontal="center" vertical="center"/>
    </xf>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63" xfId="0" applyNumberFormat="1" applyFont="1" applyBorder="1" applyAlignment="1">
      <alignment horizontal="center"/>
    </xf>
    <xf numFmtId="0" fontId="47" fillId="0" borderId="63" xfId="0" applyFont="1" applyBorder="1" applyAlignment="1">
      <alignment horizontal="center"/>
    </xf>
    <xf numFmtId="0" fontId="52" fillId="0" borderId="64"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61" xfId="0" applyFont="1" applyBorder="1" applyAlignment="1">
      <alignment horizontal="right" vertical="center"/>
    </xf>
    <xf numFmtId="0" fontId="50" fillId="0" borderId="62" xfId="0" applyFont="1" applyBorder="1" applyAlignment="1">
      <alignment horizontal="right" vertical="center"/>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51" fillId="0" borderId="58" xfId="2" applyFont="1" applyFill="1" applyBorder="1" applyAlignment="1">
      <alignment horizontal="left"/>
    </xf>
    <xf numFmtId="0" fontId="51" fillId="0" borderId="59" xfId="2" applyFont="1" applyFill="1" applyBorder="1" applyAlignment="1">
      <alignment horizontal="left"/>
    </xf>
    <xf numFmtId="0" fontId="51" fillId="0" borderId="60" xfId="2" applyFont="1" applyFill="1" applyBorder="1" applyAlignment="1">
      <alignment horizontal="left"/>
    </xf>
    <xf numFmtId="1" fontId="53" fillId="0" borderId="57" xfId="0" applyNumberFormat="1" applyFont="1" applyBorder="1" applyAlignment="1">
      <alignment horizontal="center"/>
    </xf>
    <xf numFmtId="0" fontId="44" fillId="0" borderId="57" xfId="0" applyFont="1" applyBorder="1" applyAlignment="1">
      <alignment horizontal="center" vertical="center"/>
    </xf>
    <xf numFmtId="0" fontId="49" fillId="0" borderId="59" xfId="0" applyFont="1" applyBorder="1" applyAlignment="1">
      <alignment horizontal="right"/>
    </xf>
    <xf numFmtId="0" fontId="49" fillId="0" borderId="60" xfId="0" applyFont="1" applyBorder="1" applyAlignment="1">
      <alignment horizontal="right"/>
    </xf>
    <xf numFmtId="0" fontId="55" fillId="0" borderId="58" xfId="2" applyFont="1" applyFill="1" applyBorder="1" applyAlignment="1">
      <alignment horizontal="left"/>
    </xf>
    <xf numFmtId="0" fontId="47" fillId="0" borderId="59" xfId="0" applyFont="1" applyBorder="1" applyAlignment="1">
      <alignment horizontal="left"/>
    </xf>
    <xf numFmtId="14" fontId="57" fillId="0" borderId="59" xfId="0" applyNumberFormat="1" applyFont="1" applyBorder="1" applyAlignment="1">
      <alignment horizontal="right"/>
    </xf>
    <xf numFmtId="0" fontId="57" fillId="0" borderId="59" xfId="0" applyFont="1" applyBorder="1" applyAlignment="1">
      <alignment horizontal="right"/>
    </xf>
    <xf numFmtId="0" fontId="57" fillId="0" borderId="60" xfId="0" applyFont="1" applyBorder="1" applyAlignment="1">
      <alignment horizontal="right"/>
    </xf>
    <xf numFmtId="0" fontId="51" fillId="0" borderId="57" xfId="2" applyFont="1" applyFill="1" applyBorder="1" applyAlignment="1">
      <alignment horizontal="left"/>
    </xf>
    <xf numFmtId="0" fontId="40" fillId="0" borderId="57" xfId="0" applyFont="1" applyBorder="1" applyAlignment="1">
      <alignment horizontal="left"/>
    </xf>
    <xf numFmtId="0" fontId="41" fillId="0" borderId="57" xfId="0" applyFont="1" applyBorder="1" applyAlignment="1">
      <alignment horizontal="left"/>
    </xf>
    <xf numFmtId="0" fontId="44" fillId="0" borderId="15" xfId="0" applyFont="1" applyBorder="1" applyAlignment="1">
      <alignment horizontal="center"/>
    </xf>
    <xf numFmtId="0" fontId="0" fillId="0" borderId="15" xfId="0" applyBorder="1" applyAlignment="1">
      <alignment horizontal="center"/>
    </xf>
    <xf numFmtId="0" fontId="41" fillId="0" borderId="57" xfId="0" applyFont="1" applyBorder="1" applyAlignment="1">
      <alignment horizontal="center"/>
    </xf>
    <xf numFmtId="0" fontId="40" fillId="0" borderId="57" xfId="0" applyFont="1"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0.3888888888888889</c:v>
                </c:pt>
                <c:pt idx="1">
                  <c:v>0.61111111111111116</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13</xdr:col>
      <xdr:colOff>219075</xdr:colOff>
      <xdr:row>29</xdr:row>
      <xdr:rowOff>57150</xdr:rowOff>
    </xdr:from>
    <xdr:to>
      <xdr:col>18</xdr:col>
      <xdr:colOff>48260</xdr:colOff>
      <xdr:row>31</xdr:row>
      <xdr:rowOff>69631</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3562350" y="641985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Columna3" dataDxfId="43"/>
    <tableColumn id="15" xr3:uid="{8A155E42-AF4F-4562-806B-A4EAAC2BF4E9}" name="Columna4" dataDxfId="42"/>
    <tableColumn id="16" xr3:uid="{9CB4700B-2739-4888-A28A-43C49FC9AC65}" name="Columna5" dataDxfId="41"/>
    <tableColumn id="17" xr3:uid="{1662D02B-A482-4064-885D-ED842EFBE8E7}" name="Columna6"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02" t="s">
        <v>0</v>
      </c>
      <c r="D8" s="203"/>
      <c r="E8" s="204"/>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05" t="s">
        <v>1</v>
      </c>
      <c r="I9" s="206"/>
      <c r="J9" s="207"/>
      <c r="K9" s="7"/>
      <c r="L9" s="1"/>
      <c r="M9" s="1"/>
      <c r="N9" s="1"/>
      <c r="O9" s="1"/>
      <c r="P9" s="1"/>
      <c r="Q9" s="1"/>
      <c r="R9" s="1"/>
      <c r="S9" s="1"/>
      <c r="T9" s="1"/>
      <c r="U9" s="1"/>
      <c r="V9" s="1"/>
      <c r="W9" s="1"/>
      <c r="X9" s="1"/>
      <c r="Y9" s="1"/>
      <c r="Z9" s="1"/>
    </row>
    <row r="10" spans="1:26" ht="20.25" x14ac:dyDescent="0.3">
      <c r="A10" s="1"/>
      <c r="B10" s="1"/>
      <c r="C10" s="1"/>
      <c r="D10" s="1"/>
      <c r="E10" s="1"/>
      <c r="F10" s="1"/>
      <c r="G10" s="6"/>
      <c r="H10" s="208"/>
      <c r="I10" s="209"/>
      <c r="J10" s="210"/>
      <c r="K10" s="7"/>
      <c r="L10" s="1"/>
      <c r="M10" s="1"/>
      <c r="N10" s="1"/>
      <c r="O10" s="1"/>
      <c r="P10" s="1"/>
      <c r="Q10" s="1"/>
      <c r="R10" s="1"/>
      <c r="S10" s="1"/>
      <c r="T10" s="1"/>
      <c r="U10" s="1"/>
      <c r="V10" s="1"/>
      <c r="W10" s="1"/>
      <c r="X10" s="1"/>
      <c r="Y10" s="1"/>
      <c r="Z10" s="1"/>
    </row>
    <row r="11" spans="1:26" ht="15" customHeight="1" x14ac:dyDescent="0.3">
      <c r="A11" s="1"/>
      <c r="B11" s="8" t="s">
        <v>2</v>
      </c>
      <c r="C11" s="199" t="s">
        <v>3</v>
      </c>
      <c r="D11" s="200"/>
      <c r="E11" s="201"/>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11" t="s">
        <v>4</v>
      </c>
      <c r="I12" s="212"/>
      <c r="J12" s="212"/>
      <c r="K12" s="7"/>
      <c r="L12" s="1"/>
      <c r="M12" s="1"/>
      <c r="N12" s="1"/>
      <c r="O12" s="1"/>
      <c r="P12" s="1"/>
      <c r="Q12" s="1"/>
      <c r="R12" s="1"/>
      <c r="S12" s="1"/>
      <c r="T12" s="1"/>
      <c r="U12" s="1"/>
      <c r="V12" s="1"/>
      <c r="W12" s="1"/>
      <c r="X12" s="1"/>
      <c r="Y12" s="1"/>
      <c r="Z12" s="1"/>
    </row>
    <row r="13" spans="1:26" ht="20.25" x14ac:dyDescent="0.3">
      <c r="A13" s="1"/>
      <c r="B13" s="8" t="s">
        <v>5</v>
      </c>
      <c r="C13" s="199"/>
      <c r="D13" s="200"/>
      <c r="E13" s="201"/>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9" t="s">
        <v>9</v>
      </c>
      <c r="D15" s="200"/>
      <c r="E15" s="201"/>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13" t="s">
        <v>10</v>
      </c>
      <c r="I16" s="212"/>
      <c r="J16" s="212"/>
      <c r="K16" s="7"/>
      <c r="L16" s="1"/>
      <c r="M16" s="1"/>
      <c r="N16" s="1"/>
      <c r="O16" s="1"/>
      <c r="P16" s="1"/>
      <c r="Q16" s="1"/>
      <c r="R16" s="1"/>
      <c r="S16" s="1"/>
      <c r="T16" s="1"/>
      <c r="U16" s="1"/>
      <c r="V16" s="1"/>
      <c r="W16" s="1"/>
      <c r="X16" s="1"/>
      <c r="Y16" s="1"/>
      <c r="Z16" s="1"/>
    </row>
    <row r="17" spans="1:26" ht="20.25" x14ac:dyDescent="0.3">
      <c r="A17" s="1"/>
      <c r="B17" s="8" t="s">
        <v>11</v>
      </c>
      <c r="C17" s="199" t="s">
        <v>12</v>
      </c>
      <c r="D17" s="200"/>
      <c r="E17" s="201"/>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9"/>
      <c r="D19" s="200"/>
      <c r="E19" s="201"/>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9" t="s">
        <v>15</v>
      </c>
      <c r="D21" s="200"/>
      <c r="E21" s="201"/>
      <c r="F21" s="9"/>
      <c r="G21" s="6"/>
      <c r="H21" s="213" t="s">
        <v>16</v>
      </c>
      <c r="I21" s="212"/>
      <c r="J21" s="212"/>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9" t="s">
        <v>18</v>
      </c>
      <c r="D23" s="200"/>
      <c r="E23" s="201"/>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9"/>
      <c r="D25" s="200"/>
      <c r="E25" s="201"/>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9">
        <v>2021</v>
      </c>
      <c r="D27" s="200"/>
      <c r="E27" s="201"/>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16" t="s">
        <v>21</v>
      </c>
      <c r="C2" s="212"/>
      <c r="D2" s="212"/>
      <c r="E2" s="212"/>
      <c r="F2" s="212"/>
      <c r="G2" s="212"/>
      <c r="H2" s="212"/>
      <c r="I2" s="212"/>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14" t="str">
        <f>CARÁTULA!$C$15</f>
        <v>Instituto Tecnico Humanistico Jauzel Arrieta</v>
      </c>
      <c r="D4" s="212"/>
      <c r="E4" s="212"/>
      <c r="F4" s="22" t="s">
        <v>19</v>
      </c>
      <c r="G4" s="214">
        <f>CARÁTULA!$C$25</f>
        <v>0</v>
      </c>
      <c r="H4" s="212"/>
      <c r="I4" s="212"/>
      <c r="J4" s="19"/>
      <c r="K4" s="19"/>
      <c r="L4" s="19"/>
      <c r="M4" s="19"/>
      <c r="N4" s="19"/>
      <c r="O4" s="19"/>
      <c r="P4" s="19"/>
      <c r="Q4" s="19"/>
      <c r="R4" s="19"/>
      <c r="S4" s="19"/>
      <c r="T4" s="19"/>
      <c r="U4" s="19"/>
      <c r="V4" s="19"/>
      <c r="W4" s="19"/>
      <c r="X4" s="19"/>
      <c r="Y4" s="19"/>
      <c r="Z4" s="19"/>
    </row>
    <row r="5" spans="1:26" ht="12" customHeight="1" x14ac:dyDescent="0.3">
      <c r="A5" s="20"/>
      <c r="B5" s="21" t="s">
        <v>14</v>
      </c>
      <c r="C5" s="214" t="str">
        <f>CARÁTULA!$C$21</f>
        <v>Secundaria</v>
      </c>
      <c r="D5" s="212"/>
      <c r="E5" s="212"/>
      <c r="F5" s="22" t="s">
        <v>13</v>
      </c>
      <c r="G5" s="214">
        <f>CARÁTULA!$C$19</f>
        <v>0</v>
      </c>
      <c r="H5" s="212"/>
      <c r="I5" s="212"/>
      <c r="J5" s="19"/>
      <c r="K5" s="19"/>
      <c r="L5" s="19"/>
      <c r="M5" s="19"/>
      <c r="N5" s="19"/>
      <c r="O5" s="19"/>
      <c r="P5" s="19"/>
      <c r="Q5" s="19"/>
      <c r="R5" s="19"/>
      <c r="S5" s="19"/>
      <c r="T5" s="19"/>
      <c r="U5" s="19"/>
      <c r="V5" s="19"/>
      <c r="W5" s="19"/>
      <c r="X5" s="19"/>
      <c r="Y5" s="19"/>
      <c r="Z5" s="19"/>
    </row>
    <row r="6" spans="1:26" ht="12" customHeight="1" x14ac:dyDescent="0.3">
      <c r="A6" s="20"/>
      <c r="B6" s="21" t="s">
        <v>22</v>
      </c>
      <c r="C6" s="214" t="str">
        <f>CARÁTULA!$C$23</f>
        <v>4to de Secundaria</v>
      </c>
      <c r="D6" s="212"/>
      <c r="E6" s="212"/>
      <c r="F6" s="22" t="s">
        <v>23</v>
      </c>
      <c r="G6" s="215">
        <f ca="1">TODAY()</f>
        <v>44420</v>
      </c>
      <c r="H6" s="212"/>
      <c r="I6" s="212"/>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241</v>
      </c>
      <c r="C18" s="35"/>
      <c r="D18" s="30">
        <f t="shared" ca="1" si="0"/>
        <v>44420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42</v>
      </c>
      <c r="C19" s="35"/>
      <c r="D19" s="30">
        <f t="shared" ca="1" si="0"/>
        <v>44420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43</v>
      </c>
      <c r="C20" s="35"/>
      <c r="D20" s="30">
        <f t="shared" ca="1" si="0"/>
        <v>44420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44</v>
      </c>
      <c r="C21" s="35"/>
      <c r="D21" s="30">
        <f t="shared" ca="1" si="0"/>
        <v>44420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45</v>
      </c>
      <c r="C22" s="35"/>
      <c r="D22" s="30">
        <f t="shared" ca="1" si="0"/>
        <v>44420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46</v>
      </c>
      <c r="C23" s="35"/>
      <c r="D23" s="30">
        <f t="shared" ca="1" si="0"/>
        <v>44420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47</v>
      </c>
      <c r="C24" s="35"/>
      <c r="D24" s="30">
        <f t="shared" ca="1" si="0"/>
        <v>44420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48</v>
      </c>
      <c r="C25" s="35"/>
      <c r="D25" s="30">
        <f t="shared" ca="1" si="0"/>
        <v>44420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44420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16" t="s">
        <v>49</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7">
        <f>CARÁTULA!$H$14</f>
        <v>44228</v>
      </c>
      <c r="AU3" s="212"/>
      <c r="AV3" s="212"/>
      <c r="AW3" s="212"/>
      <c r="AX3" s="212"/>
      <c r="AY3" s="212"/>
      <c r="AZ3" s="212"/>
      <c r="BA3" s="218" t="s">
        <v>51</v>
      </c>
      <c r="BB3" s="219"/>
      <c r="BC3" s="219"/>
      <c r="BD3" s="219"/>
      <c r="BE3" s="220"/>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7">
        <f>CARÁTULA!$J$14</f>
        <v>44323</v>
      </c>
      <c r="AU4" s="212"/>
      <c r="AV4" s="212"/>
      <c r="AW4" s="212"/>
      <c r="AX4" s="212"/>
      <c r="AY4" s="212"/>
      <c r="AZ4" s="212"/>
      <c r="BA4" s="221">
        <f ca="1">AT4-AT5</f>
        <v>-97</v>
      </c>
      <c r="BB4" s="222"/>
      <c r="BC4" s="222"/>
      <c r="BD4" s="222"/>
      <c r="BE4" s="223"/>
    </row>
    <row r="5" spans="1:61" ht="12.75" customHeight="1" x14ac:dyDescent="0.3">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27">
        <f ca="1">TODAY()</f>
        <v>44420</v>
      </c>
      <c r="Y5" s="212"/>
      <c r="Z5" s="212"/>
      <c r="AA5" s="212"/>
      <c r="AB5" s="212"/>
      <c r="AC5" s="212"/>
      <c r="AD5" s="40"/>
      <c r="AE5" s="40"/>
      <c r="AF5" s="40"/>
      <c r="AG5" s="40"/>
      <c r="AH5" s="40"/>
      <c r="AI5" s="40"/>
      <c r="AJ5" s="40"/>
      <c r="AK5" s="45" t="s">
        <v>54</v>
      </c>
      <c r="AL5" s="46"/>
      <c r="AM5" s="46"/>
      <c r="AN5" s="46"/>
      <c r="AO5" s="46"/>
      <c r="AP5" s="46"/>
      <c r="AQ5" s="46"/>
      <c r="AR5" s="40"/>
      <c r="AS5" s="40"/>
      <c r="AT5" s="228">
        <f ca="1">TODAY()</f>
        <v>44420</v>
      </c>
      <c r="AU5" s="212"/>
      <c r="AV5" s="212"/>
      <c r="AW5" s="212"/>
      <c r="AX5" s="212"/>
      <c r="AY5" s="212"/>
      <c r="AZ5" s="212"/>
      <c r="BA5" s="224"/>
      <c r="BB5" s="225"/>
      <c r="BC5" s="225"/>
      <c r="BD5" s="225"/>
      <c r="BE5" s="226"/>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H1000"/>
  <sheetViews>
    <sheetView topLeftCell="A7" workbookViewId="0">
      <selection activeCell="B13" sqref="B13:BC13"/>
    </sheetView>
  </sheetViews>
  <sheetFormatPr baseColWidth="10" defaultColWidth="9.25" defaultRowHeight="15" customHeight="1" x14ac:dyDescent="0.3"/>
  <cols>
    <col min="1" max="1" width="2.08203125" customWidth="1"/>
    <col min="2" max="2" width="17.58203125" customWidth="1"/>
    <col min="3" max="56" width="2.08203125" customWidth="1"/>
    <col min="57" max="60" width="1.6640625" customWidth="1"/>
  </cols>
  <sheetData>
    <row r="1" spans="1:60" ht="4.5" customHeight="1" x14ac:dyDescent="0.3"/>
    <row r="2" spans="1:60" ht="12.75" customHeight="1" x14ac:dyDescent="0.3">
      <c r="B2" s="216" t="s">
        <v>64</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row>
    <row r="3" spans="1:60"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17">
        <f>CARÁTULA!$H$19</f>
        <v>44326</v>
      </c>
      <c r="AT3" s="212"/>
      <c r="AU3" s="212"/>
      <c r="AV3" s="212"/>
      <c r="AW3" s="212"/>
      <c r="AX3" s="212"/>
      <c r="AY3" s="212"/>
      <c r="AZ3" s="218" t="s">
        <v>51</v>
      </c>
      <c r="BA3" s="219"/>
      <c r="BB3" s="219"/>
      <c r="BC3" s="219"/>
      <c r="BD3" s="220"/>
    </row>
    <row r="4" spans="1:60"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17">
        <f>CARÁTULA!$J$19</f>
        <v>44439</v>
      </c>
      <c r="AT4" s="212"/>
      <c r="AU4" s="212"/>
      <c r="AV4" s="212"/>
      <c r="AW4" s="212"/>
      <c r="AX4" s="212"/>
      <c r="AY4" s="212"/>
      <c r="AZ4" s="229">
        <f ca="1">AS4-AS5</f>
        <v>19</v>
      </c>
      <c r="BA4" s="222"/>
      <c r="BB4" s="222"/>
      <c r="BC4" s="222"/>
      <c r="BD4" s="223"/>
    </row>
    <row r="5" spans="1:60" ht="12.75" customHeight="1" x14ac:dyDescent="0.3">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30">
        <f ca="1">TODAY()</f>
        <v>44420</v>
      </c>
      <c r="X5" s="212"/>
      <c r="Y5" s="212"/>
      <c r="Z5" s="212"/>
      <c r="AA5" s="212"/>
      <c r="AB5" s="212"/>
      <c r="AC5" s="40"/>
      <c r="AD5" s="40"/>
      <c r="AE5" s="40"/>
      <c r="AF5" s="40"/>
      <c r="AG5" s="40"/>
      <c r="AH5" s="40"/>
      <c r="AI5" s="40"/>
      <c r="AJ5" s="45" t="s">
        <v>54</v>
      </c>
      <c r="AK5" s="46"/>
      <c r="AL5" s="46"/>
      <c r="AM5" s="46"/>
      <c r="AN5" s="46"/>
      <c r="AO5" s="46"/>
      <c r="AP5" s="46"/>
      <c r="AQ5" s="40"/>
      <c r="AR5" s="40"/>
      <c r="AS5" s="228">
        <f ca="1">TODAY()</f>
        <v>44420</v>
      </c>
      <c r="AT5" s="212"/>
      <c r="AU5" s="212"/>
      <c r="AV5" s="212"/>
      <c r="AW5" s="212"/>
      <c r="AX5" s="212"/>
      <c r="AY5" s="212"/>
      <c r="AZ5" s="224"/>
      <c r="BA5" s="225"/>
      <c r="BB5" s="225"/>
      <c r="BC5" s="225"/>
      <c r="BD5" s="226"/>
    </row>
    <row r="6" spans="1:60"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0" ht="67.5" customHeight="1" x14ac:dyDescent="0.3">
      <c r="A7" s="165" t="s">
        <v>55</v>
      </c>
      <c r="B7" s="49" t="s">
        <v>56</v>
      </c>
      <c r="C7" s="163" t="s">
        <v>184</v>
      </c>
      <c r="D7" s="164" t="s">
        <v>185</v>
      </c>
      <c r="E7" s="163" t="s">
        <v>186</v>
      </c>
      <c r="F7" s="163" t="s">
        <v>187</v>
      </c>
      <c r="G7" s="50" t="s">
        <v>191</v>
      </c>
      <c r="H7" s="50" t="s">
        <v>192</v>
      </c>
      <c r="I7" s="50" t="s">
        <v>193</v>
      </c>
      <c r="J7" s="50" t="s">
        <v>194</v>
      </c>
      <c r="K7" s="50" t="s">
        <v>195</v>
      </c>
      <c r="L7" s="175" t="s">
        <v>238</v>
      </c>
      <c r="M7" s="174" t="s">
        <v>196</v>
      </c>
      <c r="N7" s="174" t="s">
        <v>197</v>
      </c>
      <c r="O7" s="174" t="s">
        <v>198</v>
      </c>
      <c r="P7" s="174" t="s">
        <v>199</v>
      </c>
      <c r="Q7" s="95" t="s">
        <v>200</v>
      </c>
      <c r="R7" s="53" t="s">
        <v>201</v>
      </c>
      <c r="S7" s="53" t="s">
        <v>202</v>
      </c>
      <c r="T7" s="53" t="s">
        <v>203</v>
      </c>
      <c r="U7" s="53" t="s">
        <v>204</v>
      </c>
      <c r="V7" s="53" t="s">
        <v>205</v>
      </c>
      <c r="W7" s="53" t="s">
        <v>206</v>
      </c>
      <c r="X7" s="53" t="s">
        <v>207</v>
      </c>
      <c r="Y7" s="53" t="s">
        <v>208</v>
      </c>
      <c r="Z7" s="53" t="s">
        <v>209</v>
      </c>
      <c r="AA7" s="53" t="s">
        <v>210</v>
      </c>
      <c r="AB7" s="53" t="s">
        <v>211</v>
      </c>
      <c r="AC7" s="53" t="s">
        <v>212</v>
      </c>
      <c r="AD7" s="53" t="s">
        <v>213</v>
      </c>
      <c r="AE7" s="53" t="s">
        <v>214</v>
      </c>
      <c r="AF7" s="53" t="s">
        <v>215</v>
      </c>
      <c r="AG7" s="53" t="s">
        <v>216</v>
      </c>
      <c r="AH7" s="53" t="s">
        <v>217</v>
      </c>
      <c r="AI7" s="53" t="s">
        <v>218</v>
      </c>
      <c r="AJ7" s="53" t="s">
        <v>219</v>
      </c>
      <c r="AK7" s="53" t="s">
        <v>220</v>
      </c>
      <c r="AL7" s="53" t="s">
        <v>221</v>
      </c>
      <c r="AM7" s="53" t="s">
        <v>222</v>
      </c>
      <c r="AN7" s="53" t="s">
        <v>223</v>
      </c>
      <c r="AO7" s="53" t="s">
        <v>224</v>
      </c>
      <c r="AP7" s="53" t="s">
        <v>225</v>
      </c>
      <c r="AQ7" s="53" t="s">
        <v>226</v>
      </c>
      <c r="AR7" s="53" t="s">
        <v>227</v>
      </c>
      <c r="AS7" s="53" t="s">
        <v>228</v>
      </c>
      <c r="AT7" s="53" t="s">
        <v>229</v>
      </c>
      <c r="AU7" s="53" t="s">
        <v>230</v>
      </c>
      <c r="AV7" s="53" t="s">
        <v>231</v>
      </c>
      <c r="AW7" s="53" t="s">
        <v>232</v>
      </c>
      <c r="AX7" s="53" t="s">
        <v>233</v>
      </c>
      <c r="AY7" s="54" t="s">
        <v>234</v>
      </c>
      <c r="AZ7" s="55" t="s">
        <v>65</v>
      </c>
      <c r="BA7" s="56" t="s">
        <v>66</v>
      </c>
      <c r="BB7" s="56" t="s">
        <v>67</v>
      </c>
      <c r="BC7" s="56" t="s">
        <v>68</v>
      </c>
      <c r="BD7" s="167" t="s">
        <v>61</v>
      </c>
    </row>
    <row r="8" spans="1:60" ht="12" customHeight="1" x14ac:dyDescent="0.3">
      <c r="A8" s="166">
        <v>1</v>
      </c>
      <c r="B8" s="59" t="str">
        <f>'C. FILIACION'!B8</f>
        <v>BENITEZ BALLESTEROS KAREN ARIANA</v>
      </c>
      <c r="C8" s="48" t="s">
        <v>62</v>
      </c>
      <c r="D8" s="48" t="s">
        <v>62</v>
      </c>
      <c r="E8" s="48" t="s">
        <v>63</v>
      </c>
      <c r="F8" s="64" t="s">
        <v>62</v>
      </c>
      <c r="G8" s="48" t="s">
        <v>62</v>
      </c>
      <c r="H8" s="48" t="s">
        <v>63</v>
      </c>
      <c r="I8" s="48" t="s">
        <v>168</v>
      </c>
      <c r="J8" s="48" t="s">
        <v>62</v>
      </c>
      <c r="K8" s="48" t="s">
        <v>62</v>
      </c>
      <c r="L8" s="48" t="s">
        <v>62</v>
      </c>
      <c r="M8" s="173"/>
      <c r="N8" s="173"/>
      <c r="O8" s="173"/>
      <c r="P8" s="173"/>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7</v>
      </c>
      <c r="BA8" s="48">
        <f t="shared" ref="BA8:BA25" si="1">IF(COUNTIF(C8:AY8,"F")=0,"0",COUNTIF(C8:AY8,"F"))</f>
        <v>2</v>
      </c>
      <c r="BB8" s="48">
        <f t="shared" ref="BB8:BB25" si="2">IF(COUNTIF(C8:AY8,"R")=0,"0",COUNTIF(C8:AY8,"R"))</f>
        <v>1</v>
      </c>
      <c r="BC8" s="48" t="str">
        <f t="shared" ref="BC8:BC25" si="3">IF(COUNTIF(C8:AY8,"L")=0,"0",COUNTIF(C8:AY8,"L"))</f>
        <v>0</v>
      </c>
      <c r="BD8" s="155">
        <f t="shared" ref="BD8:BD25" si="4">SUM(AZ8:BC8)</f>
        <v>10</v>
      </c>
    </row>
    <row r="9" spans="1:60" ht="12" customHeight="1" x14ac:dyDescent="0.3">
      <c r="A9" s="166">
        <v>2</v>
      </c>
      <c r="B9" s="59" t="str">
        <f>'C. FILIACION'!B9</f>
        <v>CALIZAYA MERCADO AXEL GABRIEL</v>
      </c>
      <c r="C9" s="48" t="s">
        <v>62</v>
      </c>
      <c r="D9" s="48" t="s">
        <v>62</v>
      </c>
      <c r="E9" s="48" t="s">
        <v>62</v>
      </c>
      <c r="F9" s="64" t="s">
        <v>62</v>
      </c>
      <c r="G9" s="48" t="s">
        <v>62</v>
      </c>
      <c r="H9" s="48" t="s">
        <v>62</v>
      </c>
      <c r="I9" s="48" t="s">
        <v>168</v>
      </c>
      <c r="J9" s="48" t="s">
        <v>168</v>
      </c>
      <c r="K9" s="48" t="s">
        <v>62</v>
      </c>
      <c r="L9" s="48" t="s">
        <v>62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8</v>
      </c>
      <c r="BA9" s="48" t="str">
        <f t="shared" si="1"/>
        <v>0</v>
      </c>
      <c r="BB9" s="48">
        <f t="shared" si="2"/>
        <v>2</v>
      </c>
      <c r="BC9" s="48" t="str">
        <f t="shared" si="3"/>
        <v>0</v>
      </c>
      <c r="BD9" s="155">
        <f t="shared" si="4"/>
        <v>10</v>
      </c>
    </row>
    <row r="10" spans="1:60" ht="12" customHeight="1" x14ac:dyDescent="0.3">
      <c r="A10" s="166">
        <v>3</v>
      </c>
      <c r="B10" s="59" t="str">
        <f>'C. FILIACION'!B10</f>
        <v>CANO GUZMAN FABRIZIO RODRIGO</v>
      </c>
      <c r="C10" s="48" t="s">
        <v>62</v>
      </c>
      <c r="D10" s="48" t="s">
        <v>62</v>
      </c>
      <c r="E10" s="48" t="s">
        <v>62</v>
      </c>
      <c r="F10" s="64" t="s">
        <v>62</v>
      </c>
      <c r="G10" s="48" t="s">
        <v>62</v>
      </c>
      <c r="H10" s="48" t="s">
        <v>62</v>
      </c>
      <c r="I10" s="48" t="s">
        <v>62</v>
      </c>
      <c r="J10" s="48" t="s">
        <v>168</v>
      </c>
      <c r="K10" s="48" t="s">
        <v>62</v>
      </c>
      <c r="L10" s="48" t="s">
        <v>62</v>
      </c>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9</v>
      </c>
      <c r="BA10" s="48" t="str">
        <f t="shared" si="1"/>
        <v>0</v>
      </c>
      <c r="BB10" s="48">
        <f t="shared" si="2"/>
        <v>1</v>
      </c>
      <c r="BC10" s="48" t="str">
        <f t="shared" si="3"/>
        <v>0</v>
      </c>
      <c r="BD10" s="155">
        <f t="shared" si="4"/>
        <v>10</v>
      </c>
    </row>
    <row r="11" spans="1:60" ht="12" customHeight="1" x14ac:dyDescent="0.3">
      <c r="A11" s="166">
        <v>4</v>
      </c>
      <c r="B11" s="154" t="str">
        <f>'C. FILIACION'!B11</f>
        <v>CHOQUE LAURA CARLOS EDUARDO</v>
      </c>
      <c r="C11" s="186" t="s">
        <v>63</v>
      </c>
      <c r="D11" s="186" t="s">
        <v>63</v>
      </c>
      <c r="E11" s="186" t="s">
        <v>63</v>
      </c>
      <c r="F11" s="186" t="s">
        <v>63</v>
      </c>
      <c r="G11" s="186" t="s">
        <v>63</v>
      </c>
      <c r="H11" s="186" t="s">
        <v>63</v>
      </c>
      <c r="I11" s="186" t="s">
        <v>63</v>
      </c>
      <c r="J11" s="186" t="s">
        <v>63</v>
      </c>
      <c r="K11" s="186" t="s">
        <v>63</v>
      </c>
      <c r="L11" s="186" t="s">
        <v>63</v>
      </c>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10</v>
      </c>
      <c r="BB11" s="48" t="str">
        <f t="shared" si="2"/>
        <v>0</v>
      </c>
      <c r="BC11" s="48" t="str">
        <f t="shared" si="3"/>
        <v>0</v>
      </c>
      <c r="BD11" s="155">
        <f t="shared" si="4"/>
        <v>10</v>
      </c>
    </row>
    <row r="12" spans="1:60" ht="12" customHeight="1" x14ac:dyDescent="0.3">
      <c r="A12" s="166">
        <v>5</v>
      </c>
      <c r="B12" s="59" t="str">
        <f>'C. FILIACION'!B12</f>
        <v>CONDORI GALARZA DENSEL ALEXSIS</v>
      </c>
      <c r="C12" s="48" t="s">
        <v>62</v>
      </c>
      <c r="D12" s="48" t="s">
        <v>62</v>
      </c>
      <c r="E12" s="48" t="s">
        <v>62</v>
      </c>
      <c r="F12" s="64" t="s">
        <v>62</v>
      </c>
      <c r="G12" s="48" t="s">
        <v>62</v>
      </c>
      <c r="H12" s="48" t="s">
        <v>62</v>
      </c>
      <c r="I12" s="48" t="s">
        <v>62</v>
      </c>
      <c r="J12" s="48" t="s">
        <v>62</v>
      </c>
      <c r="K12" s="48" t="s">
        <v>62</v>
      </c>
      <c r="L12" s="48" t="s">
        <v>62</v>
      </c>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10</v>
      </c>
      <c r="BA12" s="48" t="str">
        <f t="shared" si="1"/>
        <v>0</v>
      </c>
      <c r="BB12" s="48" t="str">
        <f t="shared" si="2"/>
        <v>0</v>
      </c>
      <c r="BC12" s="48" t="str">
        <f t="shared" si="3"/>
        <v>0</v>
      </c>
      <c r="BD12" s="155">
        <f t="shared" si="4"/>
        <v>10</v>
      </c>
    </row>
    <row r="13" spans="1:60" ht="12" customHeight="1" x14ac:dyDescent="0.3">
      <c r="A13" s="166">
        <v>6</v>
      </c>
      <c r="B13" s="187" t="str">
        <f>'C. FILIACION'!B13</f>
        <v>DAZA RAMIREZ KALEP MATEO</v>
      </c>
      <c r="C13" s="188" t="s">
        <v>63</v>
      </c>
      <c r="D13" s="188" t="s">
        <v>63</v>
      </c>
      <c r="E13" s="188" t="s">
        <v>63</v>
      </c>
      <c r="F13" s="188" t="s">
        <v>63</v>
      </c>
      <c r="G13" s="188" t="s">
        <v>63</v>
      </c>
      <c r="H13" s="188" t="s">
        <v>63</v>
      </c>
      <c r="I13" s="188" t="s">
        <v>63</v>
      </c>
      <c r="J13" s="188" t="s">
        <v>63</v>
      </c>
      <c r="K13" s="188" t="s">
        <v>63</v>
      </c>
      <c r="L13" s="188" t="s">
        <v>63</v>
      </c>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9"/>
      <c r="AZ13" s="190" t="str">
        <f t="shared" si="0"/>
        <v>0</v>
      </c>
      <c r="BA13" s="188">
        <f t="shared" si="1"/>
        <v>10</v>
      </c>
      <c r="BB13" s="188" t="str">
        <f t="shared" si="2"/>
        <v>0</v>
      </c>
      <c r="BC13" s="188" t="str">
        <f t="shared" si="3"/>
        <v>0</v>
      </c>
      <c r="BD13" s="155">
        <f t="shared" si="4"/>
        <v>10</v>
      </c>
    </row>
    <row r="14" spans="1:60" ht="12" customHeight="1" x14ac:dyDescent="0.3">
      <c r="A14" s="166">
        <v>7</v>
      </c>
      <c r="B14" s="59" t="str">
        <f>'C. FILIACION'!B14</f>
        <v>ESTRADA FUNES NAZARETH</v>
      </c>
      <c r="C14" s="48" t="s">
        <v>62</v>
      </c>
      <c r="D14" s="48" t="s">
        <v>62</v>
      </c>
      <c r="E14" s="48" t="s">
        <v>62</v>
      </c>
      <c r="F14" s="64" t="s">
        <v>62</v>
      </c>
      <c r="G14" s="48" t="s">
        <v>62</v>
      </c>
      <c r="H14" s="48" t="s">
        <v>62</v>
      </c>
      <c r="I14" s="48" t="s">
        <v>62</v>
      </c>
      <c r="J14" s="48" t="s">
        <v>62</v>
      </c>
      <c r="K14" s="48" t="s">
        <v>62</v>
      </c>
      <c r="L14" s="48" t="s">
        <v>62</v>
      </c>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10</v>
      </c>
      <c r="BA14" s="48" t="str">
        <f t="shared" si="1"/>
        <v>0</v>
      </c>
      <c r="BB14" s="48" t="str">
        <f t="shared" si="2"/>
        <v>0</v>
      </c>
      <c r="BC14" s="48" t="str">
        <f t="shared" si="3"/>
        <v>0</v>
      </c>
      <c r="BD14" s="155">
        <f t="shared" si="4"/>
        <v>10</v>
      </c>
    </row>
    <row r="15" spans="1:60" ht="12" customHeight="1" x14ac:dyDescent="0.3">
      <c r="A15" s="166">
        <v>8</v>
      </c>
      <c r="B15" s="59" t="str">
        <f>'C. FILIACION'!B15</f>
        <v>FLORES VILLEGAS CARLOS IVAN</v>
      </c>
      <c r="C15" s="48" t="s">
        <v>62</v>
      </c>
      <c r="D15" s="48" t="s">
        <v>62</v>
      </c>
      <c r="E15" s="48" t="s">
        <v>63</v>
      </c>
      <c r="F15" s="64" t="s">
        <v>62</v>
      </c>
      <c r="G15" s="48" t="s">
        <v>62</v>
      </c>
      <c r="H15" s="48" t="s">
        <v>62</v>
      </c>
      <c r="I15" s="48" t="s">
        <v>168</v>
      </c>
      <c r="J15" s="48" t="s">
        <v>62</v>
      </c>
      <c r="K15" s="48" t="s">
        <v>63</v>
      </c>
      <c r="L15" s="48" t="s">
        <v>62</v>
      </c>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7</v>
      </c>
      <c r="BA15" s="48">
        <f t="shared" si="1"/>
        <v>2</v>
      </c>
      <c r="BB15" s="48">
        <f t="shared" si="2"/>
        <v>1</v>
      </c>
      <c r="BC15" s="48" t="str">
        <f t="shared" si="3"/>
        <v>0</v>
      </c>
      <c r="BD15" s="155">
        <f t="shared" si="4"/>
        <v>10</v>
      </c>
    </row>
    <row r="16" spans="1:60" ht="12" customHeight="1" x14ac:dyDescent="0.3">
      <c r="A16" s="166">
        <v>9</v>
      </c>
      <c r="B16" s="59" t="str">
        <f>'C. FILIACION'!B16</f>
        <v>FRANCISCO RUIZ LUCERO</v>
      </c>
      <c r="C16" s="48" t="s">
        <v>62</v>
      </c>
      <c r="D16" s="48" t="s">
        <v>62</v>
      </c>
      <c r="E16" s="48" t="s">
        <v>62</v>
      </c>
      <c r="F16" s="64" t="s">
        <v>62</v>
      </c>
      <c r="G16" s="48" t="s">
        <v>62</v>
      </c>
      <c r="H16" s="48" t="s">
        <v>62</v>
      </c>
      <c r="I16" s="48" t="s">
        <v>62</v>
      </c>
      <c r="J16" s="48" t="s">
        <v>62</v>
      </c>
      <c r="K16" s="48" t="s">
        <v>62</v>
      </c>
      <c r="L16" s="48" t="s">
        <v>62</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10</v>
      </c>
      <c r="BA16" s="48" t="str">
        <f t="shared" si="1"/>
        <v>0</v>
      </c>
      <c r="BB16" s="48" t="str">
        <f t="shared" si="2"/>
        <v>0</v>
      </c>
      <c r="BC16" s="48" t="str">
        <f t="shared" si="3"/>
        <v>0</v>
      </c>
      <c r="BD16" s="155">
        <f t="shared" si="4"/>
        <v>10</v>
      </c>
    </row>
    <row r="17" spans="1:56" ht="12" customHeight="1" x14ac:dyDescent="0.3">
      <c r="A17" s="166">
        <v>10</v>
      </c>
      <c r="B17" s="59" t="str">
        <f>'C. FILIACION'!B17</f>
        <v>IBARRA VINO ELOY INTI</v>
      </c>
      <c r="C17" s="48" t="s">
        <v>62</v>
      </c>
      <c r="D17" s="48" t="s">
        <v>62</v>
      </c>
      <c r="E17" s="48" t="s">
        <v>62</v>
      </c>
      <c r="F17" s="64" t="s">
        <v>62</v>
      </c>
      <c r="G17" s="48" t="s">
        <v>62</v>
      </c>
      <c r="H17" s="48" t="s">
        <v>62</v>
      </c>
      <c r="I17" s="48" t="s">
        <v>62</v>
      </c>
      <c r="J17" s="48" t="s">
        <v>62</v>
      </c>
      <c r="K17" s="48" t="s">
        <v>62</v>
      </c>
      <c r="L17" s="48" t="s">
        <v>62</v>
      </c>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10</v>
      </c>
      <c r="BA17" s="48" t="str">
        <f t="shared" si="1"/>
        <v>0</v>
      </c>
      <c r="BB17" s="48" t="str">
        <f t="shared" si="2"/>
        <v>0</v>
      </c>
      <c r="BC17" s="48" t="str">
        <f t="shared" si="3"/>
        <v>0</v>
      </c>
      <c r="BD17" s="155">
        <f t="shared" si="4"/>
        <v>10</v>
      </c>
    </row>
    <row r="18" spans="1:56" ht="12" customHeight="1" x14ac:dyDescent="0.3">
      <c r="A18" s="166">
        <v>11</v>
      </c>
      <c r="B18" s="154" t="str">
        <f>'C. FILIACION'!B18</f>
        <v>LOPEZ BLANCO SOFIA BELEN</v>
      </c>
      <c r="C18" s="186" t="s">
        <v>62</v>
      </c>
      <c r="D18" s="186" t="s">
        <v>62</v>
      </c>
      <c r="E18" s="186" t="s">
        <v>63</v>
      </c>
      <c r="F18" s="186" t="s">
        <v>62</v>
      </c>
      <c r="G18" s="186" t="s">
        <v>62</v>
      </c>
      <c r="H18" s="186" t="s">
        <v>63</v>
      </c>
      <c r="I18" s="186" t="s">
        <v>63</v>
      </c>
      <c r="J18" s="186" t="s">
        <v>63</v>
      </c>
      <c r="K18" s="186" t="s">
        <v>63</v>
      </c>
      <c r="L18" s="186" t="s">
        <v>63</v>
      </c>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6</v>
      </c>
      <c r="BB18" s="48" t="str">
        <f t="shared" si="2"/>
        <v>0</v>
      </c>
      <c r="BC18" s="48" t="str">
        <f t="shared" si="3"/>
        <v>0</v>
      </c>
      <c r="BD18" s="155">
        <f t="shared" si="4"/>
        <v>10</v>
      </c>
    </row>
    <row r="19" spans="1:56" ht="12" customHeight="1" x14ac:dyDescent="0.3">
      <c r="A19" s="166">
        <v>12</v>
      </c>
      <c r="B19" s="59" t="str">
        <f>'C. FILIACION'!B19</f>
        <v>LOPEZ PACO RODRIGO ADRIAN</v>
      </c>
      <c r="C19" s="48" t="s">
        <v>62</v>
      </c>
      <c r="D19" s="48" t="s">
        <v>62</v>
      </c>
      <c r="E19" s="48" t="s">
        <v>62</v>
      </c>
      <c r="F19" s="64" t="s">
        <v>62</v>
      </c>
      <c r="G19" s="48" t="s">
        <v>62</v>
      </c>
      <c r="H19" s="48" t="s">
        <v>62</v>
      </c>
      <c r="I19" s="48" t="s">
        <v>62</v>
      </c>
      <c r="J19" s="48" t="s">
        <v>62</v>
      </c>
      <c r="K19" s="48" t="s">
        <v>62</v>
      </c>
      <c r="L19" s="48" t="s">
        <v>62</v>
      </c>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10</v>
      </c>
      <c r="BA19" s="48" t="str">
        <f t="shared" si="1"/>
        <v>0</v>
      </c>
      <c r="BB19" s="48" t="str">
        <f t="shared" si="2"/>
        <v>0</v>
      </c>
      <c r="BC19" s="48" t="str">
        <f t="shared" si="3"/>
        <v>0</v>
      </c>
      <c r="BD19" s="155">
        <f t="shared" si="4"/>
        <v>10</v>
      </c>
    </row>
    <row r="20" spans="1:56" ht="12" customHeight="1" x14ac:dyDescent="0.3">
      <c r="A20" s="166">
        <v>13</v>
      </c>
      <c r="B20" s="59" t="str">
        <f>'C. FILIACION'!B20</f>
        <v>LOPEZ VERA MILENCA</v>
      </c>
      <c r="C20" s="48" t="s">
        <v>62</v>
      </c>
      <c r="D20" s="48" t="s">
        <v>62</v>
      </c>
      <c r="E20" s="48" t="s">
        <v>62</v>
      </c>
      <c r="F20" s="64" t="s">
        <v>62</v>
      </c>
      <c r="G20" s="48" t="s">
        <v>62</v>
      </c>
      <c r="H20" s="48" t="s">
        <v>62</v>
      </c>
      <c r="I20" s="48" t="s">
        <v>62</v>
      </c>
      <c r="J20" s="48" t="s">
        <v>62</v>
      </c>
      <c r="K20" s="48" t="s">
        <v>62</v>
      </c>
      <c r="L20" s="48" t="s">
        <v>62</v>
      </c>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10</v>
      </c>
      <c r="BA20" s="48" t="str">
        <f t="shared" si="1"/>
        <v>0</v>
      </c>
      <c r="BB20" s="48" t="str">
        <f t="shared" si="2"/>
        <v>0</v>
      </c>
      <c r="BC20" s="48" t="str">
        <f t="shared" si="3"/>
        <v>0</v>
      </c>
      <c r="BD20" s="155">
        <f t="shared" si="4"/>
        <v>10</v>
      </c>
    </row>
    <row r="21" spans="1:56" ht="12" customHeight="1" x14ac:dyDescent="0.3">
      <c r="A21" s="166">
        <v>14</v>
      </c>
      <c r="B21" s="154" t="str">
        <f>'C. FILIACION'!B21</f>
        <v>MEDINA CHOQUE JOSE ROBERTO</v>
      </c>
      <c r="C21" s="186" t="s">
        <v>63</v>
      </c>
      <c r="D21" s="186" t="s">
        <v>63</v>
      </c>
      <c r="E21" s="186" t="s">
        <v>62</v>
      </c>
      <c r="F21" s="186" t="s">
        <v>63</v>
      </c>
      <c r="G21" s="186" t="s">
        <v>63</v>
      </c>
      <c r="H21" s="186" t="s">
        <v>63</v>
      </c>
      <c r="I21" s="186" t="s">
        <v>63</v>
      </c>
      <c r="J21" s="186" t="s">
        <v>63</v>
      </c>
      <c r="K21" s="186" t="s">
        <v>63</v>
      </c>
      <c r="L21" s="186" t="s">
        <v>63</v>
      </c>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9</v>
      </c>
      <c r="BB21" s="48" t="str">
        <f t="shared" si="2"/>
        <v>0</v>
      </c>
      <c r="BC21" s="48" t="str">
        <f t="shared" si="3"/>
        <v>0</v>
      </c>
      <c r="BD21" s="155">
        <f t="shared" si="4"/>
        <v>10</v>
      </c>
    </row>
    <row r="22" spans="1:56" ht="12" customHeight="1" x14ac:dyDescent="0.3">
      <c r="A22" s="166">
        <v>15</v>
      </c>
      <c r="B22" s="59" t="str">
        <f>'C. FILIACION'!B22</f>
        <v>MIRABAL AYANOME JOSE ALFREDO</v>
      </c>
      <c r="C22" s="48" t="s">
        <v>62</v>
      </c>
      <c r="D22" s="48" t="s">
        <v>62</v>
      </c>
      <c r="E22" s="48" t="s">
        <v>62</v>
      </c>
      <c r="F22" s="64" t="s">
        <v>62</v>
      </c>
      <c r="G22" s="48" t="s">
        <v>62</v>
      </c>
      <c r="H22" s="48" t="s">
        <v>62</v>
      </c>
      <c r="I22" s="48" t="s">
        <v>62</v>
      </c>
      <c r="J22" s="48" t="s">
        <v>62</v>
      </c>
      <c r="K22" s="48" t="s">
        <v>62</v>
      </c>
      <c r="L22" s="48" t="s">
        <v>62</v>
      </c>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10</v>
      </c>
      <c r="BA22" s="48" t="str">
        <f t="shared" si="1"/>
        <v>0</v>
      </c>
      <c r="BB22" s="48" t="str">
        <f t="shared" si="2"/>
        <v>0</v>
      </c>
      <c r="BC22" s="48" t="str">
        <f t="shared" si="3"/>
        <v>0</v>
      </c>
      <c r="BD22" s="155">
        <f t="shared" si="4"/>
        <v>10</v>
      </c>
    </row>
    <row r="23" spans="1:56" ht="12" customHeight="1" x14ac:dyDescent="0.3">
      <c r="A23" s="166">
        <v>16</v>
      </c>
      <c r="B23" s="59" t="str">
        <f>'C. FILIACION'!B23</f>
        <v>NINA RUEDA ESTEFANY DANIELA</v>
      </c>
      <c r="C23" s="48" t="s">
        <v>62</v>
      </c>
      <c r="D23" s="48" t="s">
        <v>62</v>
      </c>
      <c r="E23" s="48" t="s">
        <v>62</v>
      </c>
      <c r="F23" s="64" t="s">
        <v>62</v>
      </c>
      <c r="G23" s="48" t="s">
        <v>62</v>
      </c>
      <c r="H23" s="48" t="s">
        <v>62</v>
      </c>
      <c r="I23" s="48" t="s">
        <v>168</v>
      </c>
      <c r="J23" s="48" t="s">
        <v>62</v>
      </c>
      <c r="K23" s="48" t="s">
        <v>63</v>
      </c>
      <c r="L23" s="48" t="s">
        <v>62</v>
      </c>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8</v>
      </c>
      <c r="BA23" s="48">
        <f t="shared" si="1"/>
        <v>1</v>
      </c>
      <c r="BB23" s="48">
        <f t="shared" si="2"/>
        <v>1</v>
      </c>
      <c r="BC23" s="48" t="str">
        <f t="shared" si="3"/>
        <v>0</v>
      </c>
      <c r="BD23" s="155">
        <f t="shared" si="4"/>
        <v>10</v>
      </c>
    </row>
    <row r="24" spans="1:56" ht="12" customHeight="1" x14ac:dyDescent="0.3">
      <c r="A24" s="166">
        <v>17</v>
      </c>
      <c r="B24" s="59" t="str">
        <f>'C. FILIACION'!B24</f>
        <v>PORTILLO QUISPE JORGE LUIS</v>
      </c>
      <c r="C24" s="48" t="s">
        <v>62</v>
      </c>
      <c r="D24" s="48" t="s">
        <v>62</v>
      </c>
      <c r="E24" s="48" t="s">
        <v>62</v>
      </c>
      <c r="F24" s="64" t="s">
        <v>62</v>
      </c>
      <c r="G24" s="48" t="s">
        <v>62</v>
      </c>
      <c r="H24" s="48" t="s">
        <v>62</v>
      </c>
      <c r="I24" s="48" t="s">
        <v>62</v>
      </c>
      <c r="J24" s="48" t="s">
        <v>62</v>
      </c>
      <c r="K24" s="48" t="s">
        <v>62</v>
      </c>
      <c r="L24" s="48" t="s">
        <v>62</v>
      </c>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10</v>
      </c>
      <c r="BA24" s="48" t="str">
        <f t="shared" si="1"/>
        <v>0</v>
      </c>
      <c r="BB24" s="48" t="str">
        <f t="shared" si="2"/>
        <v>0</v>
      </c>
      <c r="BC24" s="48" t="str">
        <f t="shared" si="3"/>
        <v>0</v>
      </c>
      <c r="BD24" s="155">
        <f t="shared" si="4"/>
        <v>10</v>
      </c>
    </row>
    <row r="25" spans="1:56" ht="12" customHeight="1" x14ac:dyDescent="0.3">
      <c r="A25" s="168">
        <v>18</v>
      </c>
      <c r="B25" s="169" t="str">
        <f>'C. FILIACION'!B25</f>
        <v>TORREZ PACO CARLA MILENKA</v>
      </c>
      <c r="C25" s="170" t="s">
        <v>62</v>
      </c>
      <c r="D25" s="170" t="s">
        <v>62</v>
      </c>
      <c r="E25" s="170" t="s">
        <v>62</v>
      </c>
      <c r="F25" s="170" t="s">
        <v>62</v>
      </c>
      <c r="G25" s="170" t="s">
        <v>62</v>
      </c>
      <c r="H25" s="170" t="s">
        <v>62</v>
      </c>
      <c r="I25" s="170" t="s">
        <v>62</v>
      </c>
      <c r="J25" s="170" t="s">
        <v>62</v>
      </c>
      <c r="K25" s="170" t="s">
        <v>63</v>
      </c>
      <c r="L25" s="170" t="s">
        <v>62</v>
      </c>
      <c r="M25" s="170"/>
      <c r="N25" s="170"/>
      <c r="O25" s="170"/>
      <c r="P25" s="170"/>
      <c r="Q25" s="170"/>
      <c r="R25" s="170"/>
      <c r="S25" s="170"/>
      <c r="T25" s="170"/>
      <c r="U25" s="170"/>
      <c r="V25" s="170"/>
      <c r="W25" s="170"/>
      <c r="X25" s="170"/>
      <c r="Y25" s="170"/>
      <c r="Z25" s="170"/>
      <c r="AA25" s="170"/>
      <c r="AB25" s="170"/>
      <c r="AC25" s="170"/>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1"/>
      <c r="AZ25" s="172">
        <f t="shared" si="0"/>
        <v>9</v>
      </c>
      <c r="BA25" s="170">
        <f t="shared" si="1"/>
        <v>1</v>
      </c>
      <c r="BB25" s="170" t="str">
        <f t="shared" si="2"/>
        <v>0</v>
      </c>
      <c r="BC25" s="170" t="str">
        <f t="shared" si="3"/>
        <v>0</v>
      </c>
      <c r="BD25" s="171">
        <f t="shared" si="4"/>
        <v>10</v>
      </c>
    </row>
    <row r="26" spans="1:56"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56"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56"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56"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56"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56"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56"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
    <row r="45" spans="1:56" ht="12.75" customHeight="1" x14ac:dyDescent="0.3"/>
    <row r="46" spans="1:56" ht="12.75" customHeight="1" x14ac:dyDescent="0.3"/>
    <row r="47" spans="1:56" ht="12.75" customHeight="1" x14ac:dyDescent="0.3"/>
    <row r="48" spans="1:56"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sheetPr>
  <dimension ref="A1:AE31"/>
  <sheetViews>
    <sheetView tabSelected="1" zoomScale="73" zoomScaleNormal="73" workbookViewId="0">
      <selection activeCell="AB32" sqref="AB32"/>
    </sheetView>
  </sheetViews>
  <sheetFormatPr baseColWidth="10" defaultRowHeight="20.25" x14ac:dyDescent="0.3"/>
  <cols>
    <col min="1" max="25" width="2.25" customWidth="1"/>
    <col min="26" max="26" width="4.5" customWidth="1"/>
    <col min="27" max="27" width="10.58203125" customWidth="1"/>
    <col min="28" max="28" width="15.4140625" customWidth="1"/>
    <col min="29" max="31" width="2.25" customWidth="1"/>
  </cols>
  <sheetData>
    <row r="1" spans="1:31" ht="15.9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1" ht="21.75" customHeight="1" x14ac:dyDescent="0.3">
      <c r="A2" s="260" t="s">
        <v>170</v>
      </c>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156"/>
      <c r="AD2" s="156"/>
      <c r="AE2" s="156"/>
    </row>
    <row r="3" spans="1:31" ht="10.5"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1" ht="15.95" customHeight="1" x14ac:dyDescent="0.3">
      <c r="A4" s="257" t="s">
        <v>171</v>
      </c>
      <c r="B4" s="257"/>
      <c r="C4" s="257"/>
      <c r="D4" s="257"/>
      <c r="E4" s="257"/>
      <c r="F4" s="261" t="str">
        <f>[1]CARÁTULA!C25</f>
        <v>Tecnica Tecnologica (Programacion)</v>
      </c>
      <c r="G4" s="261"/>
      <c r="H4" s="261"/>
      <c r="I4" s="261"/>
      <c r="J4" s="261"/>
      <c r="K4" s="261"/>
      <c r="L4" s="261"/>
      <c r="M4" s="261"/>
      <c r="N4" s="261"/>
      <c r="O4" s="262" t="s">
        <v>172</v>
      </c>
      <c r="P4" s="262"/>
      <c r="Q4" s="262"/>
      <c r="R4" s="263" t="str">
        <f>CARÁTULA!C23</f>
        <v>4to de Secundaria</v>
      </c>
      <c r="S4" s="264"/>
      <c r="T4" s="264"/>
      <c r="U4" s="264"/>
      <c r="V4" s="264"/>
      <c r="W4" s="264"/>
      <c r="X4" s="264"/>
      <c r="Y4" s="264"/>
      <c r="Z4" s="265"/>
      <c r="AA4" s="237" t="s">
        <v>173</v>
      </c>
      <c r="AB4" s="238" t="s">
        <v>183</v>
      </c>
      <c r="AC4" s="156"/>
      <c r="AD4" s="156"/>
      <c r="AE4" s="156"/>
    </row>
    <row r="5" spans="1:31" ht="15.95" customHeight="1" x14ac:dyDescent="0.3">
      <c r="A5" s="257" t="s">
        <v>174</v>
      </c>
      <c r="B5" s="257"/>
      <c r="C5" s="257"/>
      <c r="D5" s="257"/>
      <c r="E5" s="257"/>
      <c r="F5" s="258" t="s">
        <v>33</v>
      </c>
      <c r="G5" s="258"/>
      <c r="H5" s="258"/>
      <c r="I5" s="258"/>
      <c r="J5" s="258"/>
      <c r="K5" s="258"/>
      <c r="L5" s="258"/>
      <c r="M5" s="258"/>
      <c r="N5" s="258"/>
      <c r="O5" s="258"/>
      <c r="P5" s="258"/>
      <c r="Q5" s="258"/>
      <c r="R5" s="258"/>
      <c r="S5" s="258"/>
      <c r="T5" s="258"/>
      <c r="U5" s="258"/>
      <c r="V5" s="258"/>
      <c r="W5" s="258"/>
      <c r="X5" s="258"/>
      <c r="Y5" s="258"/>
      <c r="Z5" s="258"/>
      <c r="AA5" s="237"/>
      <c r="AB5" s="238"/>
      <c r="AC5" s="156"/>
      <c r="AD5" s="156"/>
      <c r="AE5" s="156"/>
    </row>
    <row r="6" spans="1:31" ht="15.95" customHeight="1" x14ac:dyDescent="0.3">
      <c r="A6" s="257" t="s">
        <v>175</v>
      </c>
      <c r="B6" s="257"/>
      <c r="C6" s="257"/>
      <c r="D6" s="257"/>
      <c r="E6" s="257"/>
      <c r="F6" s="258" t="s">
        <v>176</v>
      </c>
      <c r="G6" s="258"/>
      <c r="H6" s="258"/>
      <c r="I6" s="258"/>
      <c r="J6" s="258"/>
      <c r="K6" s="258"/>
      <c r="L6" s="258"/>
      <c r="M6" s="258"/>
      <c r="N6" s="258"/>
      <c r="O6" s="258"/>
      <c r="P6" s="258"/>
      <c r="Q6" s="258"/>
      <c r="R6" s="258"/>
      <c r="S6" s="258"/>
      <c r="T6" s="258"/>
      <c r="U6" s="258"/>
      <c r="V6" s="258"/>
      <c r="W6" s="258"/>
      <c r="X6" s="258"/>
      <c r="Y6" s="258"/>
      <c r="Z6" s="258"/>
      <c r="AA6" s="258"/>
      <c r="AB6" s="258"/>
      <c r="AC6" s="156"/>
      <c r="AD6" s="156"/>
      <c r="AE6" s="156"/>
    </row>
    <row r="7" spans="1:31" ht="10.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1" ht="15.95" customHeight="1" x14ac:dyDescent="0.3">
      <c r="A8" s="259" t="s">
        <v>177</v>
      </c>
      <c r="B8" s="259"/>
      <c r="C8" s="259"/>
      <c r="D8" s="259"/>
      <c r="E8" s="259"/>
      <c r="F8" s="259"/>
      <c r="G8" s="259"/>
      <c r="H8" s="259"/>
      <c r="I8" s="259"/>
      <c r="J8" s="259"/>
      <c r="K8" s="259"/>
      <c r="L8" s="259"/>
      <c r="M8" s="259"/>
      <c r="N8" s="259"/>
      <c r="O8" s="259"/>
      <c r="P8" s="259"/>
      <c r="Q8" s="259"/>
      <c r="R8" s="259"/>
      <c r="S8" s="259"/>
      <c r="T8" s="259"/>
      <c r="U8" s="259"/>
      <c r="V8" s="259"/>
      <c r="W8" s="259"/>
      <c r="X8" s="259"/>
      <c r="Y8" s="259"/>
      <c r="Z8" s="259"/>
      <c r="AA8" s="259"/>
      <c r="AB8" s="259"/>
      <c r="AC8" s="156"/>
      <c r="AD8" s="156"/>
      <c r="AE8" s="156"/>
    </row>
    <row r="9" spans="1:31" ht="6"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1" ht="81.75" customHeight="1" x14ac:dyDescent="0.3">
      <c r="A10" s="156"/>
      <c r="B10" s="156"/>
      <c r="C10" s="156"/>
      <c r="D10" s="156"/>
      <c r="E10" s="156"/>
      <c r="F10" s="156"/>
      <c r="G10" s="157" t="str">
        <f>Tabla1[[#Headers],[13/5/2020]]</f>
        <v>13/5/2020</v>
      </c>
      <c r="H10" s="157" t="str">
        <f>Tabla1[[#Headers],[20/5/2020]]</f>
        <v>20/5/2020</v>
      </c>
      <c r="I10" s="157" t="str">
        <f>Tabla1[[#Headers],[27/5/2021]]</f>
        <v>27/5/2021</v>
      </c>
      <c r="J10" s="157" t="str">
        <f>Tabla1[[#Headers],[1/7/2021]]</f>
        <v>1/7/2021</v>
      </c>
      <c r="K10" s="157" t="str">
        <f>Tabla1[[#Headers],[8/7/2021]]</f>
        <v>8/7/2021</v>
      </c>
      <c r="L10" s="157" t="str">
        <f>Tabla1[[#Headers],[15/7/2021]]</f>
        <v>15/7/2021</v>
      </c>
      <c r="M10" s="157" t="str">
        <f>Tabla1[[#Headers],[22/7/2021]]</f>
        <v>22/7/2021</v>
      </c>
      <c r="N10" s="157" t="str">
        <f>Tabla1[[#Headers],[29/7/2021]]</f>
        <v>29/7/2021</v>
      </c>
      <c r="O10" s="157" t="str">
        <f>Tabla1[[#Headers],[5/8/2021]]</f>
        <v>5/8/2021</v>
      </c>
      <c r="P10" s="157" t="str">
        <f>Tabla1[[#Headers],[12/8/2021]]</f>
        <v>12/8/2021</v>
      </c>
      <c r="Q10" s="157" t="str">
        <f>'[1]ASIS 2 TRIM'!BA7</f>
        <v>Asist. (A)</v>
      </c>
      <c r="R10" s="157" t="str">
        <f>'[1]ASIS 2 TRIM'!BB7</f>
        <v>Faltas (F)</v>
      </c>
      <c r="S10" s="157" t="str">
        <f>'[1]ASIS 2 TRIM'!BC7</f>
        <v>Retrasos (R)</v>
      </c>
      <c r="T10" s="157" t="str">
        <f>'[1]ASIS 2 TRIM'!BD7</f>
        <v>Licencias (L)</v>
      </c>
      <c r="U10" s="158" t="str">
        <f>'[1]ASIS 2 TRIM'!BE7</f>
        <v>DÍAS TRABAJADOS</v>
      </c>
      <c r="V10" s="156"/>
      <c r="W10" s="156"/>
      <c r="X10" s="156"/>
      <c r="Y10" s="156"/>
      <c r="Z10" s="156"/>
      <c r="AA10" s="156"/>
      <c r="AB10" s="156"/>
      <c r="AC10" s="156"/>
      <c r="AD10" s="156"/>
      <c r="AE10" s="156"/>
    </row>
    <row r="11" spans="1:31" ht="15.95" customHeight="1" x14ac:dyDescent="0.3">
      <c r="A11" s="156"/>
      <c r="B11" s="156"/>
      <c r="C11" s="156"/>
      <c r="D11" s="156"/>
      <c r="E11" s="156"/>
      <c r="F11" s="156"/>
      <c r="G11" s="159" t="str">
        <f>VLOOKUP($F$5,Tabla1[[NÓMINA DE ESTUDIANTES]:[DÍAS TRABAJADOS]],2,FALSE)</f>
        <v>a</v>
      </c>
      <c r="H11" s="159" t="str">
        <f>VLOOKUP($F$5,Tabla1[[NÓMINA DE ESTUDIANTES]:[DÍAS TRABAJADOS]],3,FALSE)</f>
        <v>a</v>
      </c>
      <c r="I11" s="159" t="str">
        <f>VLOOKUP($F$5,Tabla1[[NÓMINA DE ESTUDIANTES]:[DÍAS TRABAJADOS]],4,FALSE)</f>
        <v>a</v>
      </c>
      <c r="J11" s="159" t="str">
        <f>VLOOKUP($F$5,Tabla1[[NÓMINA DE ESTUDIANTES]:[DÍAS TRABAJADOS]],5,FALSE)</f>
        <v>a</v>
      </c>
      <c r="K11" s="159" t="str">
        <f>VLOOKUP($F$5,Tabla1[[NÓMINA DE ESTUDIANTES]:[DÍAS TRABAJADOS]],6,FALSE)</f>
        <v>a</v>
      </c>
      <c r="L11" s="159" t="str">
        <f>VLOOKUP($F$5,Tabla1[[NÓMINA DE ESTUDIANTES]:[DÍAS TRABAJADOS]],7,FALSE)</f>
        <v>a</v>
      </c>
      <c r="M11" s="159" t="str">
        <f>VLOOKUP($F$5,Tabla1[[NÓMINA DE ESTUDIANTES]:[DÍAS TRABAJADOS]],8,FALSE)</f>
        <v>r</v>
      </c>
      <c r="N11" s="159" t="str">
        <f>VLOOKUP($F$5,Tabla1[[NÓMINA DE ESTUDIANTES]:[DÍAS TRABAJADOS]],9,FALSE)</f>
        <v>r</v>
      </c>
      <c r="O11" s="159" t="str">
        <f>VLOOKUP($F$5,Tabla1[[NÓMINA DE ESTUDIANTES]:[DÍAS TRABAJADOS]],10,FALSE)</f>
        <v>a</v>
      </c>
      <c r="P11" s="159" t="str">
        <f>VLOOKUP($F$5,Tabla1[[NÓMINA DE ESTUDIANTES]:[DÍAS TRABAJADOS]],10,FALSE)</f>
        <v>a</v>
      </c>
      <c r="Q11" s="159">
        <f>VLOOKUP($F$5,Tabla1[[NÓMINA DE ESTUDIANTES]:[DÍAS TRABAJADOS]],51,FALSE)</f>
        <v>8</v>
      </c>
      <c r="R11" s="159" t="str">
        <f>VLOOKUP($F$5,Tabla1[[NÓMINA DE ESTUDIANTES]:[DÍAS TRABAJADOS]],52,FALSE)</f>
        <v>0</v>
      </c>
      <c r="S11" s="159">
        <f>VLOOKUP($F$5,Tabla1[[NÓMINA DE ESTUDIANTES]:[DÍAS TRABAJADOS]],53,FALSE)</f>
        <v>2</v>
      </c>
      <c r="T11" s="159" t="str">
        <f>VLOOKUP($F$5,Tabla1[[NÓMINA DE ESTUDIANTES]:[DÍAS TRABAJADOS]],54,FALSE)</f>
        <v>0</v>
      </c>
      <c r="U11" s="159">
        <f>VLOOKUP($F$5,Tabla1[[NÓMINA DE ESTUDIANTES]:[DÍAS TRABAJADOS]],55,FALSE)</f>
        <v>10</v>
      </c>
      <c r="V11" s="156"/>
      <c r="W11" s="156"/>
      <c r="X11" s="156"/>
      <c r="Y11" s="156"/>
      <c r="Z11" s="156"/>
      <c r="AA11" s="156"/>
      <c r="AB11" s="156"/>
      <c r="AC11" s="156"/>
      <c r="AD11" s="156"/>
      <c r="AE11" s="156"/>
    </row>
    <row r="12" spans="1:31" ht="9"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row>
    <row r="13" spans="1:31" ht="15.95" customHeight="1" x14ac:dyDescent="0.3">
      <c r="A13" s="248" t="s">
        <v>178</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156"/>
      <c r="AD13" s="156"/>
      <c r="AE13" s="156"/>
    </row>
    <row r="14" spans="1:31" ht="15.95" customHeight="1" x14ac:dyDescent="0.3">
      <c r="A14" s="248" t="s">
        <v>179</v>
      </c>
      <c r="B14" s="248"/>
      <c r="C14" s="248"/>
      <c r="D14" s="248"/>
      <c r="E14" s="248"/>
      <c r="F14" s="248"/>
      <c r="G14" s="248"/>
      <c r="H14" s="248"/>
      <c r="I14" s="248" t="s">
        <v>180</v>
      </c>
      <c r="J14" s="248"/>
      <c r="K14" s="248" t="s">
        <v>181</v>
      </c>
      <c r="L14" s="248"/>
      <c r="M14" s="248"/>
      <c r="N14" s="248"/>
      <c r="O14" s="248"/>
      <c r="P14" s="248"/>
      <c r="Q14" s="248"/>
      <c r="R14" s="248"/>
      <c r="S14" s="248"/>
      <c r="T14" s="248"/>
      <c r="U14" s="248"/>
      <c r="V14" s="248"/>
      <c r="W14" s="248"/>
      <c r="X14" s="248"/>
      <c r="Y14" s="248"/>
      <c r="Z14" s="248"/>
      <c r="AA14" s="248"/>
      <c r="AB14" s="248"/>
      <c r="AC14" s="156"/>
      <c r="AD14" s="160"/>
      <c r="AE14" s="156"/>
    </row>
    <row r="15" spans="1:31" ht="15.95" customHeight="1" x14ac:dyDescent="0.3">
      <c r="A15" s="249" t="str">
        <f>'VAL 2 TRIM'!D$8</f>
        <v>01/07/2021(Repaso)</v>
      </c>
      <c r="B15" s="249"/>
      <c r="C15" s="249"/>
      <c r="D15" s="249"/>
      <c r="E15" s="249"/>
      <c r="F15" s="249"/>
      <c r="G15" s="249"/>
      <c r="H15" s="250"/>
      <c r="I15" s="241">
        <f>VLOOKUP($F$5,'VAL 2 TRIM'!$B$9:$AM$26,3,FALSE)</f>
        <v>0</v>
      </c>
      <c r="J15" s="241"/>
      <c r="K15" s="251" t="s">
        <v>237</v>
      </c>
      <c r="L15" s="252"/>
      <c r="M15" s="252"/>
      <c r="N15" s="252"/>
      <c r="O15" s="252"/>
      <c r="P15" s="252"/>
      <c r="Q15" s="252"/>
      <c r="R15" s="252"/>
      <c r="S15" s="252"/>
      <c r="T15" s="252"/>
      <c r="U15" s="252"/>
      <c r="V15" s="252"/>
      <c r="W15" s="252"/>
      <c r="X15" s="252"/>
      <c r="Y15" s="252"/>
      <c r="Z15" s="252"/>
      <c r="AA15" s="252"/>
      <c r="AB15" s="252"/>
      <c r="AC15" s="156">
        <f>IF(I15=0,1,0)</f>
        <v>1</v>
      </c>
      <c r="AD15" s="161">
        <v>1</v>
      </c>
      <c r="AE15" s="156"/>
    </row>
    <row r="16" spans="1:31" ht="15.95" customHeight="1" x14ac:dyDescent="0.3">
      <c r="A16" s="253" t="str">
        <f>'VAL 2 TRIM'!E$8</f>
        <v>5/8/2021 (Primer Examen 2do Trimestre</v>
      </c>
      <c r="B16" s="254"/>
      <c r="C16" s="254"/>
      <c r="D16" s="254"/>
      <c r="E16" s="254"/>
      <c r="F16" s="254"/>
      <c r="G16" s="254"/>
      <c r="H16" s="255"/>
      <c r="I16" s="241">
        <f>VLOOKUP($F$5,'VAL 2 TRIM'!$B$9:$AM$26,4,FALSE)</f>
        <v>10</v>
      </c>
      <c r="J16" s="241"/>
      <c r="K16" s="256"/>
      <c r="L16" s="243"/>
      <c r="M16" s="243"/>
      <c r="N16" s="243"/>
      <c r="O16" s="243"/>
      <c r="P16" s="243"/>
      <c r="Q16" s="243"/>
      <c r="R16" s="243"/>
      <c r="S16" s="243"/>
      <c r="T16" s="243"/>
      <c r="U16" s="243"/>
      <c r="V16" s="243"/>
      <c r="W16" s="243"/>
      <c r="X16" s="243"/>
      <c r="Y16" s="243"/>
      <c r="Z16" s="243"/>
      <c r="AA16" s="243"/>
      <c r="AB16" s="243"/>
      <c r="AC16" s="156">
        <f>IF(I16=0,1,0)</f>
        <v>0</v>
      </c>
      <c r="AD16" s="161">
        <v>1</v>
      </c>
      <c r="AE16" s="156"/>
    </row>
    <row r="17" spans="1:31" ht="15.95" customHeight="1" x14ac:dyDescent="0.3">
      <c r="A17" s="231" t="s">
        <v>83</v>
      </c>
      <c r="B17" s="232"/>
      <c r="C17" s="232"/>
      <c r="D17" s="232"/>
      <c r="E17" s="232"/>
      <c r="F17" s="232"/>
      <c r="G17" s="232"/>
      <c r="H17" s="232"/>
      <c r="I17" s="247">
        <f>SUM(I15:J16)/3</f>
        <v>3.3333333333333335</v>
      </c>
      <c r="J17" s="247"/>
      <c r="K17" s="241"/>
      <c r="L17" s="241"/>
      <c r="M17" s="241"/>
      <c r="N17" s="241"/>
      <c r="O17" s="241"/>
      <c r="P17" s="241"/>
      <c r="Q17" s="241"/>
      <c r="R17" s="241"/>
      <c r="S17" s="241"/>
      <c r="T17" s="241"/>
      <c r="U17" s="241"/>
      <c r="V17" s="241"/>
      <c r="W17" s="241"/>
      <c r="X17" s="241"/>
      <c r="Y17" s="241"/>
      <c r="Z17" s="241"/>
      <c r="AA17" s="241"/>
      <c r="AB17" s="241"/>
      <c r="AC17" s="156">
        <f>SUM(AC15:AC16)</f>
        <v>1</v>
      </c>
      <c r="AD17" s="156"/>
      <c r="AE17" s="156"/>
    </row>
    <row r="18" spans="1:31" ht="15.95" customHeight="1"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5" customHeight="1" x14ac:dyDescent="0.3">
      <c r="A19" s="248" t="s">
        <v>182</v>
      </c>
      <c r="B19" s="248"/>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156"/>
      <c r="AD19" s="156"/>
      <c r="AE19" s="156"/>
    </row>
    <row r="20" spans="1:31" ht="15.95" customHeight="1" x14ac:dyDescent="0.3">
      <c r="A20" s="248" t="s">
        <v>179</v>
      </c>
      <c r="B20" s="248"/>
      <c r="C20" s="248"/>
      <c r="D20" s="248"/>
      <c r="E20" s="248"/>
      <c r="F20" s="248"/>
      <c r="G20" s="248"/>
      <c r="H20" s="248"/>
      <c r="I20" s="248" t="s">
        <v>180</v>
      </c>
      <c r="J20" s="248"/>
      <c r="K20" s="248" t="s">
        <v>181</v>
      </c>
      <c r="L20" s="248"/>
      <c r="M20" s="248"/>
      <c r="N20" s="248"/>
      <c r="O20" s="248"/>
      <c r="P20" s="248"/>
      <c r="Q20" s="248"/>
      <c r="R20" s="248"/>
      <c r="S20" s="248"/>
      <c r="T20" s="248"/>
      <c r="U20" s="248"/>
      <c r="V20" s="248"/>
      <c r="W20" s="248"/>
      <c r="X20" s="248"/>
      <c r="Y20" s="248"/>
      <c r="Z20" s="248"/>
      <c r="AA20" s="248"/>
      <c r="AB20" s="248"/>
      <c r="AC20" s="156"/>
      <c r="AD20" s="156"/>
      <c r="AE20" s="156"/>
    </row>
    <row r="21" spans="1:31" ht="15.95" customHeight="1" x14ac:dyDescent="0.3">
      <c r="A21" s="239" t="str">
        <f>'VAL 2 TRIM'!P$8</f>
        <v>26/05/2021 (Estructuras Condicionales)</v>
      </c>
      <c r="B21" s="239"/>
      <c r="C21" s="239"/>
      <c r="D21" s="239"/>
      <c r="E21" s="239"/>
      <c r="F21" s="239"/>
      <c r="G21" s="239"/>
      <c r="H21" s="240"/>
      <c r="I21" s="241">
        <f>VLOOKUP($F$5,'VAL 2 TRIM'!$B$9:$AM$26,15,FALSE)</f>
        <v>0</v>
      </c>
      <c r="J21" s="241"/>
      <c r="K21" s="242" t="s">
        <v>188</v>
      </c>
      <c r="L21" s="243"/>
      <c r="M21" s="243"/>
      <c r="N21" s="243"/>
      <c r="O21" s="243"/>
      <c r="P21" s="243"/>
      <c r="Q21" s="243"/>
      <c r="R21" s="243"/>
      <c r="S21" s="243"/>
      <c r="T21" s="243"/>
      <c r="U21" s="243"/>
      <c r="V21" s="243"/>
      <c r="W21" s="243"/>
      <c r="X21" s="243"/>
      <c r="Y21" s="243"/>
      <c r="Z21" s="243"/>
      <c r="AA21" s="243"/>
      <c r="AB21" s="243"/>
      <c r="AC21" s="156">
        <f>IF(I21=0,1,0)</f>
        <v>1</v>
      </c>
      <c r="AD21" s="156">
        <v>1</v>
      </c>
      <c r="AE21" s="156"/>
    </row>
    <row r="22" spans="1:31" ht="15.95" customHeight="1" x14ac:dyDescent="0.3">
      <c r="A22" s="239" t="str">
        <f>'VAL 2 TRIM'!Q$8</f>
        <v>15/07/2021(Precedencia de Operadores)</v>
      </c>
      <c r="B22" s="239"/>
      <c r="C22" s="239"/>
      <c r="D22" s="239"/>
      <c r="E22" s="239"/>
      <c r="F22" s="239"/>
      <c r="G22" s="239"/>
      <c r="H22" s="240"/>
      <c r="I22" s="241">
        <f>VLOOKUP($F$5,'VAL 2 TRIM'!$B$9:$AM$26,16,FALSE)</f>
        <v>0</v>
      </c>
      <c r="J22" s="241"/>
      <c r="K22" s="242" t="s">
        <v>189</v>
      </c>
      <c r="L22" s="243"/>
      <c r="M22" s="243"/>
      <c r="N22" s="243"/>
      <c r="O22" s="243"/>
      <c r="P22" s="243"/>
      <c r="Q22" s="243"/>
      <c r="R22" s="243"/>
      <c r="S22" s="243"/>
      <c r="T22" s="243"/>
      <c r="U22" s="243"/>
      <c r="V22" s="243"/>
      <c r="W22" s="243"/>
      <c r="X22" s="243"/>
      <c r="Y22" s="243"/>
      <c r="Z22" s="243"/>
      <c r="AA22" s="243"/>
      <c r="AB22" s="243"/>
      <c r="AC22" s="156">
        <f>IF(I22=0,1,0)</f>
        <v>1</v>
      </c>
      <c r="AD22" s="156">
        <v>1</v>
      </c>
      <c r="AE22" s="156"/>
    </row>
    <row r="23" spans="1:31" ht="15.95" customHeight="1" x14ac:dyDescent="0.3">
      <c r="A23" s="239" t="str">
        <f>'VAL 2 TRIM'!R$8</f>
        <v>22/07/2021(Sentencias Condicionales)</v>
      </c>
      <c r="B23" s="239"/>
      <c r="C23" s="239"/>
      <c r="D23" s="239"/>
      <c r="E23" s="239"/>
      <c r="F23" s="239"/>
      <c r="G23" s="239"/>
      <c r="H23" s="240"/>
      <c r="I23" s="241">
        <f>VLOOKUP($F$5,'VAL 2 TRIM'!$B$9:$AM$26,17,FALSE)</f>
        <v>0</v>
      </c>
      <c r="J23" s="241"/>
      <c r="K23" s="242" t="s">
        <v>240</v>
      </c>
      <c r="L23" s="243"/>
      <c r="M23" s="243"/>
      <c r="N23" s="243"/>
      <c r="O23" s="243"/>
      <c r="P23" s="243"/>
      <c r="Q23" s="243"/>
      <c r="R23" s="243"/>
      <c r="S23" s="243"/>
      <c r="T23" s="243"/>
      <c r="U23" s="243"/>
      <c r="V23" s="243"/>
      <c r="W23" s="243"/>
      <c r="X23" s="243"/>
      <c r="Y23" s="243"/>
      <c r="Z23" s="243"/>
      <c r="AA23" s="243"/>
      <c r="AB23" s="243"/>
      <c r="AC23" s="156">
        <f>IF(I23=0,1,0)</f>
        <v>1</v>
      </c>
      <c r="AD23" s="156">
        <v>1</v>
      </c>
      <c r="AE23" s="156"/>
    </row>
    <row r="24" spans="1:31" ht="15.95" customHeight="1" x14ac:dyDescent="0.3">
      <c r="A24" s="239"/>
      <c r="B24" s="239"/>
      <c r="C24" s="239"/>
      <c r="D24" s="239"/>
      <c r="E24" s="239"/>
      <c r="F24" s="239"/>
      <c r="G24" s="239"/>
      <c r="H24" s="240"/>
      <c r="I24" s="241"/>
      <c r="J24" s="241"/>
      <c r="K24" s="244"/>
      <c r="L24" s="245"/>
      <c r="M24" s="245"/>
      <c r="N24" s="245"/>
      <c r="O24" s="245"/>
      <c r="P24" s="245"/>
      <c r="Q24" s="245"/>
      <c r="R24" s="245"/>
      <c r="S24" s="245"/>
      <c r="T24" s="245"/>
      <c r="U24" s="245"/>
      <c r="V24" s="245"/>
      <c r="W24" s="245"/>
      <c r="X24" s="245"/>
      <c r="Y24" s="245"/>
      <c r="Z24" s="245"/>
      <c r="AA24" s="245"/>
      <c r="AB24" s="246"/>
      <c r="AC24" s="156"/>
      <c r="AD24" s="156"/>
      <c r="AE24" s="156"/>
    </row>
    <row r="25" spans="1:31" ht="15.95" customHeight="1" x14ac:dyDescent="0.3">
      <c r="A25" s="231" t="s">
        <v>83</v>
      </c>
      <c r="B25" s="232"/>
      <c r="C25" s="232"/>
      <c r="D25" s="232"/>
      <c r="E25" s="232"/>
      <c r="F25" s="232"/>
      <c r="G25" s="232"/>
      <c r="H25" s="232"/>
      <c r="I25" s="233">
        <f>SUM(I21:J24)/4</f>
        <v>0</v>
      </c>
      <c r="J25" s="233"/>
      <c r="K25" s="234"/>
      <c r="L25" s="234"/>
      <c r="M25" s="234"/>
      <c r="N25" s="234"/>
      <c r="O25" s="234"/>
      <c r="P25" s="234"/>
      <c r="Q25" s="234"/>
      <c r="R25" s="234"/>
      <c r="S25" s="234"/>
      <c r="T25" s="234"/>
      <c r="U25" s="234"/>
      <c r="V25" s="234"/>
      <c r="W25" s="234"/>
      <c r="X25" s="234"/>
      <c r="Y25" s="234"/>
      <c r="Z25" s="234"/>
      <c r="AA25" s="234"/>
      <c r="AB25" s="234"/>
      <c r="AC25" s="156">
        <f>SUM(AC21:AC23)</f>
        <v>3</v>
      </c>
      <c r="AD25" s="162">
        <f>SUM(AD15:AD23)</f>
        <v>5</v>
      </c>
      <c r="AE25" s="156"/>
    </row>
    <row r="26" spans="1:31" ht="15.95" customHeight="1" x14ac:dyDescent="0.3">
      <c r="A26" s="235"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Observaciones:El estudiante  CALIZAYA MERCADO AXEL GABRIEL  durante el segundo trimestre tuvo 8 Asistencias, 0 Faltas, 2 Retrasos, 0 Licencias,  Total de Dias Trabajados 10, en relacion a las practicas No presentó 4 Practicas de las 5  tareas (El estudiante puede presentar practicas por una ponderacion de 20 puntos)</v>
      </c>
      <c r="B26" s="235"/>
      <c r="C26" s="235"/>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5"/>
      <c r="AB26" s="235"/>
      <c r="AC26" s="156">
        <f>AC17+AC25</f>
        <v>4</v>
      </c>
      <c r="AD26" s="156"/>
      <c r="AE26" s="156"/>
    </row>
    <row r="27" spans="1:31" ht="15.95" customHeight="1" x14ac:dyDescent="0.3">
      <c r="A27" s="236"/>
      <c r="B27" s="236"/>
      <c r="C27" s="236"/>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156"/>
      <c r="AD27" s="156"/>
      <c r="AE27" s="156"/>
    </row>
    <row r="28" spans="1:31" ht="15.95" customHeight="1" x14ac:dyDescent="0.3">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5" customHeight="1"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5"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5"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sheetData>
  <mergeCells count="45">
    <mergeCell ref="A5:E5"/>
    <mergeCell ref="F5:Z5"/>
    <mergeCell ref="A2:AB2"/>
    <mergeCell ref="A4:E4"/>
    <mergeCell ref="F4:N4"/>
    <mergeCell ref="O4:Q4"/>
    <mergeCell ref="R4:Z4"/>
    <mergeCell ref="A6:E6"/>
    <mergeCell ref="F6:AB6"/>
    <mergeCell ref="A8:AB8"/>
    <mergeCell ref="A13:AB13"/>
    <mergeCell ref="A14:H14"/>
    <mergeCell ref="I14:J14"/>
    <mergeCell ref="K14:AB14"/>
    <mergeCell ref="A15:H15"/>
    <mergeCell ref="I15:J15"/>
    <mergeCell ref="K15:AB15"/>
    <mergeCell ref="A16:H16"/>
    <mergeCell ref="I16:J16"/>
    <mergeCell ref="K16:AB16"/>
    <mergeCell ref="I22:J22"/>
    <mergeCell ref="K22:AB22"/>
    <mergeCell ref="A17:H17"/>
    <mergeCell ref="I17:J17"/>
    <mergeCell ref="K17:AB17"/>
    <mergeCell ref="A19:AB19"/>
    <mergeCell ref="A20:H20"/>
    <mergeCell ref="I20:J20"/>
    <mergeCell ref="K20:AB20"/>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0.25" right="0.25" top="0.75" bottom="0.75" header="0.3" footer="0.3"/>
  <pageSetup paperSize="122" scale="95"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6" t="s">
        <v>73</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7">
        <f>CARÁTULA!$H$24</f>
        <v>44440</v>
      </c>
      <c r="AU3" s="212"/>
      <c r="AV3" s="212"/>
      <c r="AW3" s="212"/>
      <c r="AX3" s="212"/>
      <c r="AY3" s="212"/>
      <c r="AZ3" s="212"/>
      <c r="BA3" s="266"/>
      <c r="BB3" s="212"/>
      <c r="BC3" s="212"/>
      <c r="BD3" s="212"/>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7">
        <f>CARÁTULA!$J$24</f>
        <v>44531</v>
      </c>
      <c r="AU4" s="212"/>
      <c r="AV4" s="212"/>
      <c r="AW4" s="212"/>
      <c r="AX4" s="212"/>
      <c r="AY4" s="212"/>
      <c r="AZ4" s="212"/>
      <c r="BA4" s="267">
        <f ca="1">AT4-AT5</f>
        <v>111</v>
      </c>
      <c r="BB4" s="222"/>
      <c r="BC4" s="222"/>
      <c r="BD4" s="222"/>
      <c r="BE4" s="223"/>
    </row>
    <row r="5" spans="1:61" ht="12.75" customHeight="1" x14ac:dyDescent="0.3">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30">
        <f ca="1">TODAY()</f>
        <v>44420</v>
      </c>
      <c r="Y5" s="212"/>
      <c r="Z5" s="212"/>
      <c r="AA5" s="212"/>
      <c r="AB5" s="212"/>
      <c r="AC5" s="212"/>
      <c r="AD5" s="40"/>
      <c r="AE5" s="40"/>
      <c r="AF5" s="40"/>
      <c r="AG5" s="40"/>
      <c r="AH5" s="40"/>
      <c r="AI5" s="40"/>
      <c r="AJ5" s="40"/>
      <c r="AK5" s="45" t="s">
        <v>54</v>
      </c>
      <c r="AL5" s="46"/>
      <c r="AM5" s="46"/>
      <c r="AN5" s="46"/>
      <c r="AO5" s="46"/>
      <c r="AP5" s="46"/>
      <c r="AQ5" s="46"/>
      <c r="AR5" s="40"/>
      <c r="AS5" s="40"/>
      <c r="AT5" s="228">
        <f ca="1">TODAY()</f>
        <v>44420</v>
      </c>
      <c r="AU5" s="212"/>
      <c r="AV5" s="212"/>
      <c r="AW5" s="212"/>
      <c r="AX5" s="212"/>
      <c r="AY5" s="212"/>
      <c r="AZ5" s="212"/>
      <c r="BA5" s="224"/>
      <c r="BB5" s="225"/>
      <c r="BC5" s="225"/>
      <c r="BD5" s="225"/>
      <c r="BE5" s="226"/>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48" t="s">
        <v>55</v>
      </c>
      <c r="B7" s="49" t="s">
        <v>56</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74</v>
      </c>
      <c r="BB7" s="56" t="s">
        <v>75</v>
      </c>
      <c r="BC7" s="56" t="s">
        <v>76</v>
      </c>
      <c r="BD7" s="56" t="s">
        <v>77</v>
      </c>
      <c r="BE7" s="57" t="s">
        <v>61</v>
      </c>
    </row>
    <row r="8" spans="1:61" ht="12" customHeight="1" x14ac:dyDescent="0.3">
      <c r="A8" s="58">
        <v>1</v>
      </c>
      <c r="B8" s="59" t="str">
        <f>'C. FILIACION'!B8</f>
        <v>BENITEZ BALLESTEROS KAREN ARIANA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72</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CALIZAYA MERCADO AXEL GABRIEL</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CANO GUZMAN FABRIZIO RODRIGO</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LOPEZ BLANCO SOFIA BELEN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87" t="s">
        <v>78</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4"/>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85" t="s">
        <v>50</v>
      </c>
      <c r="AD3" s="269"/>
      <c r="AE3" s="269"/>
      <c r="AF3" s="269"/>
      <c r="AG3" s="269"/>
      <c r="AH3" s="270"/>
      <c r="AI3" s="230">
        <f>CARÁTULA!$H$14</f>
        <v>44228</v>
      </c>
      <c r="AJ3" s="212"/>
      <c r="AK3" s="212"/>
      <c r="AL3" s="212"/>
      <c r="AM3" s="212"/>
      <c r="AN3" s="288" t="s">
        <v>51</v>
      </c>
      <c r="AO3" s="203"/>
      <c r="AP3" s="203"/>
      <c r="AQ3" s="203"/>
      <c r="AR3" s="204"/>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85" t="s">
        <v>53</v>
      </c>
      <c r="AD4" s="269"/>
      <c r="AE4" s="269"/>
      <c r="AF4" s="269"/>
      <c r="AG4" s="269"/>
      <c r="AH4" s="270"/>
      <c r="AI4" s="230">
        <f>CARÁTULA!$J$14</f>
        <v>44323</v>
      </c>
      <c r="AJ4" s="212"/>
      <c r="AK4" s="212"/>
      <c r="AL4" s="212"/>
      <c r="AM4" s="212"/>
      <c r="AN4" s="267">
        <f ca="1">AI4-AI5</f>
        <v>-97</v>
      </c>
      <c r="AO4" s="222"/>
      <c r="AP4" s="222"/>
      <c r="AQ4" s="222"/>
      <c r="AR4" s="223"/>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81">
        <f ca="1">TODAY()</f>
        <v>44420</v>
      </c>
      <c r="T5" s="203"/>
      <c r="U5" s="203"/>
      <c r="V5" s="203"/>
      <c r="W5" s="203"/>
      <c r="X5" s="203"/>
      <c r="Y5" s="203"/>
      <c r="Z5" s="203"/>
      <c r="AA5" s="204"/>
      <c r="AB5" s="75"/>
      <c r="AC5" s="286" t="s">
        <v>54</v>
      </c>
      <c r="AD5" s="269"/>
      <c r="AE5" s="269"/>
      <c r="AF5" s="269"/>
      <c r="AG5" s="269"/>
      <c r="AH5" s="270"/>
      <c r="AI5" s="289">
        <f ca="1">TODAY()</f>
        <v>44420</v>
      </c>
      <c r="AJ5" s="212"/>
      <c r="AK5" s="212"/>
      <c r="AL5" s="212"/>
      <c r="AM5" s="212"/>
      <c r="AN5" s="224"/>
      <c r="AO5" s="225"/>
      <c r="AP5" s="225"/>
      <c r="AQ5" s="225"/>
      <c r="AR5" s="226"/>
    </row>
    <row r="6" spans="1:48" ht="12.75" customHeight="1" x14ac:dyDescent="0.35">
      <c r="A6" s="70"/>
      <c r="B6" s="73"/>
      <c r="C6" s="218" t="s">
        <v>79</v>
      </c>
      <c r="D6" s="219"/>
      <c r="E6" s="219"/>
      <c r="F6" s="219"/>
      <c r="G6" s="219"/>
      <c r="H6" s="219"/>
      <c r="I6" s="219"/>
      <c r="J6" s="219"/>
      <c r="K6" s="219"/>
      <c r="L6" s="219"/>
      <c r="M6" s="219"/>
      <c r="N6" s="219"/>
      <c r="O6" s="219"/>
      <c r="P6" s="219"/>
      <c r="Q6" s="219"/>
      <c r="R6" s="219"/>
      <c r="S6" s="219"/>
      <c r="T6" s="219"/>
      <c r="U6" s="219"/>
      <c r="V6" s="219"/>
      <c r="W6" s="219"/>
      <c r="X6" s="219"/>
      <c r="Y6" s="219"/>
      <c r="Z6" s="219"/>
      <c r="AA6" s="220"/>
      <c r="AB6" s="282" t="s">
        <v>80</v>
      </c>
      <c r="AC6" s="269"/>
      <c r="AD6" s="269"/>
      <c r="AE6" s="270"/>
      <c r="AF6" s="79"/>
      <c r="AG6" s="80"/>
      <c r="AH6" s="80"/>
      <c r="AI6" s="81"/>
      <c r="AJ6" s="82"/>
      <c r="AK6" s="82"/>
      <c r="AL6" s="82"/>
      <c r="AM6" s="82"/>
      <c r="AN6" s="83"/>
      <c r="AO6" s="83"/>
      <c r="AP6" s="83"/>
      <c r="AQ6" s="83"/>
      <c r="AR6" s="83"/>
    </row>
    <row r="7" spans="1:48" ht="12" customHeight="1" x14ac:dyDescent="0.35">
      <c r="A7" s="70"/>
      <c r="B7" s="84"/>
      <c r="C7" s="283" t="s">
        <v>81</v>
      </c>
      <c r="D7" s="284" t="s">
        <v>82</v>
      </c>
      <c r="E7" s="269"/>
      <c r="F7" s="269"/>
      <c r="G7" s="269"/>
      <c r="H7" s="269"/>
      <c r="I7" s="269"/>
      <c r="J7" s="269"/>
      <c r="K7" s="269"/>
      <c r="L7" s="269"/>
      <c r="M7" s="269"/>
      <c r="N7" s="269"/>
      <c r="O7" s="280" t="s">
        <v>83</v>
      </c>
      <c r="P7" s="284" t="s">
        <v>84</v>
      </c>
      <c r="Q7" s="269"/>
      <c r="R7" s="269"/>
      <c r="S7" s="269"/>
      <c r="T7" s="269"/>
      <c r="U7" s="269"/>
      <c r="V7" s="269"/>
      <c r="W7" s="269"/>
      <c r="X7" s="269"/>
      <c r="Y7" s="269"/>
      <c r="Z7" s="269"/>
      <c r="AA7" s="279" t="s">
        <v>85</v>
      </c>
      <c r="AB7" s="280" t="s">
        <v>83</v>
      </c>
      <c r="AC7" s="279" t="s">
        <v>86</v>
      </c>
      <c r="AD7" s="279" t="s">
        <v>87</v>
      </c>
      <c r="AE7" s="280" t="s">
        <v>83</v>
      </c>
      <c r="AF7" s="272" t="s">
        <v>88</v>
      </c>
      <c r="AG7" s="274" t="s">
        <v>89</v>
      </c>
      <c r="AH7" s="275" t="s">
        <v>90</v>
      </c>
      <c r="AI7" s="219"/>
      <c r="AJ7" s="219"/>
      <c r="AK7" s="219"/>
      <c r="AL7" s="219"/>
      <c r="AM7" s="220"/>
      <c r="AN7" s="85"/>
      <c r="AO7" s="75"/>
      <c r="AP7" s="75"/>
      <c r="AQ7" s="75"/>
      <c r="AR7" s="70"/>
    </row>
    <row r="8" spans="1:48" ht="156.75" x14ac:dyDescent="0.3">
      <c r="A8" s="48" t="s">
        <v>55</v>
      </c>
      <c r="B8" s="49" t="s">
        <v>56</v>
      </c>
      <c r="C8" s="273"/>
      <c r="D8" s="86" t="s">
        <v>91</v>
      </c>
      <c r="E8" s="86" t="s">
        <v>92</v>
      </c>
      <c r="F8" s="86" t="s">
        <v>93</v>
      </c>
      <c r="G8" s="53"/>
      <c r="H8" s="53"/>
      <c r="I8" s="53"/>
      <c r="J8" s="51"/>
      <c r="K8" s="52"/>
      <c r="L8" s="52"/>
      <c r="M8" s="53"/>
      <c r="N8" s="54"/>
      <c r="O8" s="273"/>
      <c r="P8" s="86" t="s">
        <v>94</v>
      </c>
      <c r="Q8" s="86" t="s">
        <v>95</v>
      </c>
      <c r="R8" s="52"/>
      <c r="S8" s="53"/>
      <c r="T8" s="53"/>
      <c r="U8" s="53"/>
      <c r="V8" s="53"/>
      <c r="W8" s="53"/>
      <c r="X8" s="53"/>
      <c r="Y8" s="53"/>
      <c r="Z8" s="53"/>
      <c r="AA8" s="273"/>
      <c r="AB8" s="273"/>
      <c r="AC8" s="273"/>
      <c r="AD8" s="273"/>
      <c r="AE8" s="273"/>
      <c r="AF8" s="273"/>
      <c r="AG8" s="273"/>
      <c r="AH8" s="276"/>
      <c r="AI8" s="277"/>
      <c r="AJ8" s="277"/>
      <c r="AK8" s="277"/>
      <c r="AL8" s="277"/>
      <c r="AM8" s="278"/>
      <c r="AN8" s="87"/>
      <c r="AO8" s="87"/>
      <c r="AP8" s="87"/>
      <c r="AQ8" s="87"/>
      <c r="AR8" s="88"/>
    </row>
    <row r="9" spans="1:48" ht="12" customHeight="1" x14ac:dyDescent="0.3">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68" t="str">
        <f t="shared" ref="AH9:AH44" si="5">IF(AG9="","",(IF(AND(AG9&gt;=1,AG9&lt;=50.499),"REPROBADO",IF(AND(AG9&gt;=50.5,AG9&lt;=100),"APROBADO"))))</f>
        <v>APROBADO</v>
      </c>
      <c r="AI9" s="269"/>
      <c r="AJ9" s="269"/>
      <c r="AK9" s="269"/>
      <c r="AL9" s="269"/>
      <c r="AM9" s="270"/>
      <c r="AN9" s="93" t="s">
        <v>96</v>
      </c>
      <c r="AO9" s="271">
        <f>COUNTIF(AF9:AF44,"ED")</f>
        <v>0</v>
      </c>
      <c r="AP9" s="270"/>
      <c r="AQ9" s="94"/>
      <c r="AR9" s="94"/>
    </row>
    <row r="10" spans="1:48" ht="12" customHeight="1" x14ac:dyDescent="0.3">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68" t="str">
        <f t="shared" si="5"/>
        <v>APROBADO</v>
      </c>
      <c r="AI10" s="269"/>
      <c r="AJ10" s="269"/>
      <c r="AK10" s="269"/>
      <c r="AL10" s="269"/>
      <c r="AM10" s="270"/>
      <c r="AN10" s="48" t="s">
        <v>97</v>
      </c>
      <c r="AO10" s="271">
        <f>COUNTIF(AF9:AF44,"DA")</f>
        <v>3</v>
      </c>
      <c r="AP10" s="270"/>
      <c r="AQ10" s="94"/>
      <c r="AR10" s="94"/>
    </row>
    <row r="11" spans="1:48" ht="12" customHeight="1" x14ac:dyDescent="0.3">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68" t="str">
        <f t="shared" si="5"/>
        <v>APROBADO</v>
      </c>
      <c r="AI11" s="269"/>
      <c r="AJ11" s="269"/>
      <c r="AK11" s="269"/>
      <c r="AL11" s="269"/>
      <c r="AM11" s="270"/>
      <c r="AN11" s="48" t="s">
        <v>98</v>
      </c>
      <c r="AO11" s="271">
        <f>COUNTIF(AF9:AF44,"DO")</f>
        <v>2</v>
      </c>
      <c r="AP11" s="270"/>
      <c r="AQ11" s="94"/>
      <c r="AR11" s="94"/>
    </row>
    <row r="12" spans="1:48" ht="12" customHeight="1" x14ac:dyDescent="0.3">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68" t="str">
        <f t="shared" si="5"/>
        <v>APROBADO</v>
      </c>
      <c r="AI12" s="269"/>
      <c r="AJ12" s="269"/>
      <c r="AK12" s="269"/>
      <c r="AL12" s="269"/>
      <c r="AM12" s="270"/>
      <c r="AN12" s="48" t="s">
        <v>99</v>
      </c>
      <c r="AO12" s="271">
        <f>COUNTIF(AF9:AF44,"DP")</f>
        <v>31</v>
      </c>
      <c r="AP12" s="270"/>
      <c r="AQ12" s="94"/>
      <c r="AR12" s="94"/>
    </row>
    <row r="13" spans="1:48" ht="12" customHeight="1" x14ac:dyDescent="0.3">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68" t="str">
        <f t="shared" si="5"/>
        <v>APROBADO</v>
      </c>
      <c r="AI13" s="269"/>
      <c r="AJ13" s="269"/>
      <c r="AK13" s="269"/>
      <c r="AL13" s="269"/>
      <c r="AM13" s="270"/>
      <c r="AN13" s="94"/>
      <c r="AO13" s="94"/>
      <c r="AP13" s="94"/>
      <c r="AQ13" s="94"/>
      <c r="AR13" s="94"/>
    </row>
    <row r="14" spans="1:48" ht="12" customHeight="1" x14ac:dyDescent="0.3">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68" t="str">
        <f t="shared" si="5"/>
        <v>APROBADO</v>
      </c>
      <c r="AI14" s="269"/>
      <c r="AJ14" s="269"/>
      <c r="AK14" s="269"/>
      <c r="AL14" s="269"/>
      <c r="AM14" s="270"/>
      <c r="AN14" s="94"/>
      <c r="AO14" s="94"/>
      <c r="AP14" s="94"/>
      <c r="AQ14" s="94"/>
      <c r="AR14" s="94"/>
    </row>
    <row r="15" spans="1:48" ht="12" customHeight="1" x14ac:dyDescent="0.3">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68" t="str">
        <f t="shared" si="5"/>
        <v>APROBADO</v>
      </c>
      <c r="AI15" s="269"/>
      <c r="AJ15" s="269"/>
      <c r="AK15" s="269"/>
      <c r="AL15" s="269"/>
      <c r="AM15" s="270"/>
      <c r="AN15" s="94"/>
      <c r="AO15" s="94"/>
      <c r="AP15" s="94"/>
      <c r="AQ15" s="94"/>
      <c r="AR15" s="94"/>
    </row>
    <row r="16" spans="1:48" ht="12" customHeight="1" x14ac:dyDescent="0.3">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68" t="str">
        <f t="shared" si="5"/>
        <v>APROBADO</v>
      </c>
      <c r="AI16" s="269"/>
      <c r="AJ16" s="269"/>
      <c r="AK16" s="269"/>
      <c r="AL16" s="269"/>
      <c r="AM16" s="270"/>
      <c r="AN16" s="94"/>
      <c r="AO16" s="94"/>
      <c r="AP16" s="94"/>
      <c r="AQ16" s="94"/>
      <c r="AR16" s="94"/>
    </row>
    <row r="17" spans="1:44" ht="12" customHeight="1" x14ac:dyDescent="0.3">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68" t="str">
        <f t="shared" si="5"/>
        <v>APROBADO</v>
      </c>
      <c r="AI17" s="269"/>
      <c r="AJ17" s="269"/>
      <c r="AK17" s="269"/>
      <c r="AL17" s="269"/>
      <c r="AM17" s="270"/>
      <c r="AN17" s="94"/>
      <c r="AO17" s="94"/>
      <c r="AP17" s="94"/>
      <c r="AQ17" s="94"/>
      <c r="AR17" s="94"/>
    </row>
    <row r="18" spans="1:44" ht="12" customHeight="1" x14ac:dyDescent="0.3">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68" t="str">
        <f t="shared" si="5"/>
        <v>APROBADO</v>
      </c>
      <c r="AI18" s="269"/>
      <c r="AJ18" s="269"/>
      <c r="AK18" s="269"/>
      <c r="AL18" s="269"/>
      <c r="AM18" s="270"/>
      <c r="AN18" s="94"/>
      <c r="AO18" s="94"/>
      <c r="AP18" s="94"/>
      <c r="AQ18" s="94"/>
      <c r="AR18" s="94"/>
    </row>
    <row r="19" spans="1:44" ht="12" customHeight="1" x14ac:dyDescent="0.3">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68" t="str">
        <f t="shared" si="5"/>
        <v>APROBADO</v>
      </c>
      <c r="AI19" s="269"/>
      <c r="AJ19" s="269"/>
      <c r="AK19" s="269"/>
      <c r="AL19" s="269"/>
      <c r="AM19" s="270"/>
      <c r="AN19" s="94"/>
      <c r="AO19" s="94"/>
      <c r="AP19" s="94"/>
      <c r="AQ19" s="94"/>
      <c r="AR19" s="94"/>
    </row>
    <row r="20" spans="1:44" ht="12" customHeight="1" x14ac:dyDescent="0.3">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68" t="str">
        <f t="shared" si="5"/>
        <v>APROBADO</v>
      </c>
      <c r="AI20" s="269"/>
      <c r="AJ20" s="269"/>
      <c r="AK20" s="269"/>
      <c r="AL20" s="269"/>
      <c r="AM20" s="270"/>
      <c r="AN20" s="94"/>
      <c r="AO20" s="94"/>
      <c r="AP20" s="94"/>
      <c r="AQ20" s="94"/>
      <c r="AR20" s="94"/>
    </row>
    <row r="21" spans="1:44" ht="12" customHeight="1" x14ac:dyDescent="0.3">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68" t="str">
        <f t="shared" si="5"/>
        <v>APROBADO</v>
      </c>
      <c r="AI21" s="269"/>
      <c r="AJ21" s="269"/>
      <c r="AK21" s="269"/>
      <c r="AL21" s="269"/>
      <c r="AM21" s="270"/>
      <c r="AN21" s="94"/>
      <c r="AO21" s="94"/>
      <c r="AP21" s="94"/>
      <c r="AQ21" s="94"/>
      <c r="AR21" s="94"/>
    </row>
    <row r="22" spans="1:44" ht="12" customHeight="1" x14ac:dyDescent="0.3">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68" t="str">
        <f t="shared" si="5"/>
        <v>APROBADO</v>
      </c>
      <c r="AI22" s="269"/>
      <c r="AJ22" s="269"/>
      <c r="AK22" s="269"/>
      <c r="AL22" s="269"/>
      <c r="AM22" s="270"/>
      <c r="AN22" s="94"/>
      <c r="AO22" s="94"/>
      <c r="AP22" s="94"/>
      <c r="AQ22" s="94"/>
      <c r="AR22" s="94"/>
    </row>
    <row r="23" spans="1:44" ht="12" customHeight="1" x14ac:dyDescent="0.3">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68" t="str">
        <f t="shared" si="5"/>
        <v>APROBADO</v>
      </c>
      <c r="AI23" s="269"/>
      <c r="AJ23" s="269"/>
      <c r="AK23" s="269"/>
      <c r="AL23" s="269"/>
      <c r="AM23" s="270"/>
      <c r="AN23" s="94"/>
      <c r="AO23" s="94"/>
      <c r="AP23" s="94"/>
      <c r="AQ23" s="94"/>
      <c r="AR23" s="94"/>
    </row>
    <row r="24" spans="1:44" ht="12" customHeight="1" x14ac:dyDescent="0.3">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68" t="str">
        <f t="shared" si="5"/>
        <v>APROBADO</v>
      </c>
      <c r="AI24" s="269"/>
      <c r="AJ24" s="269"/>
      <c r="AK24" s="269"/>
      <c r="AL24" s="269"/>
      <c r="AM24" s="270"/>
      <c r="AN24" s="94"/>
      <c r="AO24" s="94"/>
      <c r="AP24" s="94"/>
      <c r="AQ24" s="94"/>
      <c r="AR24" s="94"/>
    </row>
    <row r="25" spans="1:44" ht="12" customHeight="1" x14ac:dyDescent="0.3">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68" t="str">
        <f t="shared" si="5"/>
        <v>APROBADO</v>
      </c>
      <c r="AI25" s="269"/>
      <c r="AJ25" s="269"/>
      <c r="AK25" s="269"/>
      <c r="AL25" s="269"/>
      <c r="AM25" s="270"/>
      <c r="AN25" s="94"/>
      <c r="AO25" s="94"/>
      <c r="AP25" s="94"/>
      <c r="AQ25" s="94"/>
      <c r="AR25" s="94"/>
    </row>
    <row r="26" spans="1:44" ht="12" customHeight="1" x14ac:dyDescent="0.3">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68" t="str">
        <f t="shared" si="5"/>
        <v>APROBADO</v>
      </c>
      <c r="AI26" s="269"/>
      <c r="AJ26" s="269"/>
      <c r="AK26" s="269"/>
      <c r="AL26" s="269"/>
      <c r="AM26" s="270"/>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68" t="str">
        <f t="shared" si="5"/>
        <v>APROBADO</v>
      </c>
      <c r="AI27" s="269"/>
      <c r="AJ27" s="269"/>
      <c r="AK27" s="269"/>
      <c r="AL27" s="269"/>
      <c r="AM27" s="270"/>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68" t="str">
        <f t="shared" si="5"/>
        <v>APROBADO</v>
      </c>
      <c r="AI28" s="269"/>
      <c r="AJ28" s="269"/>
      <c r="AK28" s="269"/>
      <c r="AL28" s="269"/>
      <c r="AM28" s="270"/>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68" t="str">
        <f t="shared" si="5"/>
        <v>APROBADO</v>
      </c>
      <c r="AI29" s="269"/>
      <c r="AJ29" s="269"/>
      <c r="AK29" s="269"/>
      <c r="AL29" s="269"/>
      <c r="AM29" s="270"/>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68" t="str">
        <f t="shared" si="5"/>
        <v>APROBADO</v>
      </c>
      <c r="AI30" s="269"/>
      <c r="AJ30" s="269"/>
      <c r="AK30" s="269"/>
      <c r="AL30" s="269"/>
      <c r="AM30" s="270"/>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68" t="str">
        <f t="shared" si="5"/>
        <v>APROBADO</v>
      </c>
      <c r="AI31" s="269"/>
      <c r="AJ31" s="269"/>
      <c r="AK31" s="269"/>
      <c r="AL31" s="269"/>
      <c r="AM31" s="270"/>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8" t="str">
        <f t="shared" si="5"/>
        <v>APROBADO</v>
      </c>
      <c r="AI32" s="269"/>
      <c r="AJ32" s="269"/>
      <c r="AK32" s="269"/>
      <c r="AL32" s="269"/>
      <c r="AM32" s="270"/>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8" t="str">
        <f t="shared" si="5"/>
        <v>APROBADO</v>
      </c>
      <c r="AI33" s="269"/>
      <c r="AJ33" s="269"/>
      <c r="AK33" s="269"/>
      <c r="AL33" s="269"/>
      <c r="AM33" s="270"/>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8" t="str">
        <f t="shared" si="5"/>
        <v>APROBADO</v>
      </c>
      <c r="AI34" s="269"/>
      <c r="AJ34" s="269"/>
      <c r="AK34" s="269"/>
      <c r="AL34" s="269"/>
      <c r="AM34" s="270"/>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8" t="str">
        <f t="shared" si="5"/>
        <v>APROBADO</v>
      </c>
      <c r="AI35" s="269"/>
      <c r="AJ35" s="269"/>
      <c r="AK35" s="269"/>
      <c r="AL35" s="269"/>
      <c r="AM35" s="270"/>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8" t="str">
        <f t="shared" si="5"/>
        <v>APROBADO</v>
      </c>
      <c r="AI36" s="269"/>
      <c r="AJ36" s="269"/>
      <c r="AK36" s="269"/>
      <c r="AL36" s="269"/>
      <c r="AM36" s="270"/>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8" t="str">
        <f t="shared" si="5"/>
        <v>APROBADO</v>
      </c>
      <c r="AI37" s="269"/>
      <c r="AJ37" s="269"/>
      <c r="AK37" s="269"/>
      <c r="AL37" s="269"/>
      <c r="AM37" s="270"/>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8" t="str">
        <f t="shared" si="5"/>
        <v>APROBADO</v>
      </c>
      <c r="AI38" s="269"/>
      <c r="AJ38" s="269"/>
      <c r="AK38" s="269"/>
      <c r="AL38" s="269"/>
      <c r="AM38" s="270"/>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8" t="str">
        <f t="shared" si="5"/>
        <v>APROBADO</v>
      </c>
      <c r="AI39" s="269"/>
      <c r="AJ39" s="269"/>
      <c r="AK39" s="269"/>
      <c r="AL39" s="269"/>
      <c r="AM39" s="270"/>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8" t="str">
        <f t="shared" si="5"/>
        <v>APROBADO</v>
      </c>
      <c r="AI40" s="269"/>
      <c r="AJ40" s="269"/>
      <c r="AK40" s="269"/>
      <c r="AL40" s="269"/>
      <c r="AM40" s="270"/>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8" t="str">
        <f t="shared" si="5"/>
        <v>APROBADO</v>
      </c>
      <c r="AI41" s="269"/>
      <c r="AJ41" s="269"/>
      <c r="AK41" s="269"/>
      <c r="AL41" s="269"/>
      <c r="AM41" s="270"/>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8" t="str">
        <f t="shared" si="5"/>
        <v>APROBADO</v>
      </c>
      <c r="AI42" s="269"/>
      <c r="AJ42" s="269"/>
      <c r="AK42" s="269"/>
      <c r="AL42" s="269"/>
      <c r="AM42" s="270"/>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8" t="str">
        <f t="shared" si="5"/>
        <v>APROBADO</v>
      </c>
      <c r="AI43" s="269"/>
      <c r="AJ43" s="269"/>
      <c r="AK43" s="269"/>
      <c r="AL43" s="269"/>
      <c r="AM43" s="270"/>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8" t="str">
        <f t="shared" si="5"/>
        <v>APROBADO</v>
      </c>
      <c r="AI44" s="269"/>
      <c r="AJ44" s="269"/>
      <c r="AK44" s="269"/>
      <c r="AL44" s="269"/>
      <c r="AM44" s="270"/>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12" sqref="B12:AM12"/>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87" t="s">
        <v>100</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4"/>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85" t="s">
        <v>50</v>
      </c>
      <c r="AD3" s="269"/>
      <c r="AE3" s="269"/>
      <c r="AF3" s="269"/>
      <c r="AG3" s="269"/>
      <c r="AH3" s="270"/>
      <c r="AI3" s="230">
        <f>CARÁTULA!$H$19</f>
        <v>44326</v>
      </c>
      <c r="AJ3" s="212"/>
      <c r="AK3" s="212"/>
      <c r="AL3" s="212"/>
      <c r="AM3" s="212"/>
      <c r="AN3" s="288" t="s">
        <v>51</v>
      </c>
      <c r="AO3" s="203"/>
      <c r="AP3" s="203"/>
      <c r="AQ3" s="203"/>
      <c r="AR3" s="204"/>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85" t="s">
        <v>53</v>
      </c>
      <c r="AD4" s="269"/>
      <c r="AE4" s="269"/>
      <c r="AF4" s="269"/>
      <c r="AG4" s="269"/>
      <c r="AH4" s="270"/>
      <c r="AI4" s="230">
        <f>CARÁTULA!$J$19</f>
        <v>44439</v>
      </c>
      <c r="AJ4" s="212"/>
      <c r="AK4" s="212"/>
      <c r="AL4" s="212"/>
      <c r="AM4" s="212"/>
      <c r="AN4" s="267">
        <f ca="1">AI4-AI5</f>
        <v>19</v>
      </c>
      <c r="AO4" s="222"/>
      <c r="AP4" s="222"/>
      <c r="AQ4" s="222"/>
      <c r="AR4" s="223"/>
    </row>
    <row r="5" spans="1:48" ht="12.75" customHeight="1" x14ac:dyDescent="0.35">
      <c r="A5" s="70"/>
      <c r="B5" s="73" t="s">
        <v>22</v>
      </c>
      <c r="C5" s="74" t="str">
        <f>CARÁTULA!$C$23</f>
        <v>4to de Secundaria</v>
      </c>
      <c r="D5" s="75"/>
      <c r="E5" s="75"/>
      <c r="F5" s="75"/>
      <c r="G5" s="73"/>
      <c r="H5" s="73"/>
      <c r="I5" s="73"/>
      <c r="J5" s="73"/>
      <c r="K5" s="73"/>
      <c r="L5" s="73"/>
      <c r="M5" s="73"/>
      <c r="N5" s="73"/>
      <c r="O5" s="73" t="s">
        <v>23</v>
      </c>
      <c r="P5" s="78"/>
      <c r="Q5" s="78"/>
      <c r="R5" s="78"/>
      <c r="S5" s="281">
        <f ca="1">TODAY()</f>
        <v>44420</v>
      </c>
      <c r="T5" s="203"/>
      <c r="U5" s="203"/>
      <c r="V5" s="203"/>
      <c r="W5" s="203"/>
      <c r="X5" s="203"/>
      <c r="Y5" s="203"/>
      <c r="Z5" s="203"/>
      <c r="AA5" s="204"/>
      <c r="AB5" s="75"/>
      <c r="AC5" s="286" t="s">
        <v>54</v>
      </c>
      <c r="AD5" s="269"/>
      <c r="AE5" s="269"/>
      <c r="AF5" s="269"/>
      <c r="AG5" s="269"/>
      <c r="AH5" s="270"/>
      <c r="AI5" s="289">
        <f ca="1">TODAY()</f>
        <v>44420</v>
      </c>
      <c r="AJ5" s="212"/>
      <c r="AK5" s="212"/>
      <c r="AL5" s="212"/>
      <c r="AM5" s="212"/>
      <c r="AN5" s="224"/>
      <c r="AO5" s="225"/>
      <c r="AP5" s="225"/>
      <c r="AQ5" s="225"/>
      <c r="AR5" s="226"/>
    </row>
    <row r="6" spans="1:48" ht="12.75" customHeight="1" x14ac:dyDescent="0.35">
      <c r="A6" s="70"/>
      <c r="B6" s="73"/>
      <c r="C6" s="218" t="s">
        <v>79</v>
      </c>
      <c r="D6" s="219"/>
      <c r="E6" s="219"/>
      <c r="F6" s="219"/>
      <c r="G6" s="219"/>
      <c r="H6" s="219"/>
      <c r="I6" s="219"/>
      <c r="J6" s="219"/>
      <c r="K6" s="219"/>
      <c r="L6" s="219"/>
      <c r="M6" s="219"/>
      <c r="N6" s="219"/>
      <c r="O6" s="219"/>
      <c r="P6" s="219"/>
      <c r="Q6" s="219"/>
      <c r="R6" s="219"/>
      <c r="S6" s="219"/>
      <c r="T6" s="219"/>
      <c r="U6" s="219"/>
      <c r="V6" s="219"/>
      <c r="W6" s="219"/>
      <c r="X6" s="219"/>
      <c r="Y6" s="219"/>
      <c r="Z6" s="219"/>
      <c r="AA6" s="220"/>
      <c r="AB6" s="282" t="s">
        <v>80</v>
      </c>
      <c r="AC6" s="269"/>
      <c r="AD6" s="269"/>
      <c r="AE6" s="270"/>
      <c r="AF6" s="79"/>
      <c r="AG6" s="80"/>
      <c r="AH6" s="80"/>
      <c r="AI6" s="81"/>
      <c r="AJ6" s="82"/>
      <c r="AK6" s="82"/>
      <c r="AL6" s="82"/>
      <c r="AM6" s="82"/>
      <c r="AN6" s="83"/>
      <c r="AO6" s="83"/>
      <c r="AP6" s="83"/>
      <c r="AQ6" s="83"/>
      <c r="AR6" s="83"/>
    </row>
    <row r="7" spans="1:48" ht="12" customHeight="1" x14ac:dyDescent="0.35">
      <c r="A7" s="70"/>
      <c r="B7" s="84"/>
      <c r="C7" s="283" t="s">
        <v>81</v>
      </c>
      <c r="D7" s="284" t="s">
        <v>82</v>
      </c>
      <c r="E7" s="269"/>
      <c r="F7" s="269"/>
      <c r="G7" s="269"/>
      <c r="H7" s="269"/>
      <c r="I7" s="269"/>
      <c r="J7" s="269"/>
      <c r="K7" s="269"/>
      <c r="L7" s="269"/>
      <c r="M7" s="269"/>
      <c r="N7" s="269"/>
      <c r="O7" s="280" t="s">
        <v>83</v>
      </c>
      <c r="P7" s="284" t="s">
        <v>84</v>
      </c>
      <c r="Q7" s="269"/>
      <c r="R7" s="269"/>
      <c r="S7" s="269"/>
      <c r="T7" s="269"/>
      <c r="U7" s="269"/>
      <c r="V7" s="269"/>
      <c r="W7" s="269"/>
      <c r="X7" s="269"/>
      <c r="Y7" s="269"/>
      <c r="Z7" s="269"/>
      <c r="AA7" s="279" t="s">
        <v>85</v>
      </c>
      <c r="AB7" s="280" t="s">
        <v>83</v>
      </c>
      <c r="AC7" s="279" t="s">
        <v>86</v>
      </c>
      <c r="AD7" s="279" t="s">
        <v>87</v>
      </c>
      <c r="AE7" s="280" t="s">
        <v>83</v>
      </c>
      <c r="AF7" s="272" t="s">
        <v>88</v>
      </c>
      <c r="AG7" s="274" t="s">
        <v>89</v>
      </c>
      <c r="AH7" s="275" t="s">
        <v>90</v>
      </c>
      <c r="AI7" s="219"/>
      <c r="AJ7" s="219"/>
      <c r="AK7" s="219"/>
      <c r="AL7" s="219"/>
      <c r="AM7" s="220"/>
      <c r="AN7" s="85"/>
      <c r="AO7" s="75"/>
      <c r="AP7" s="75"/>
      <c r="AQ7" s="75"/>
      <c r="AR7" s="70"/>
    </row>
    <row r="8" spans="1:48" ht="67.5" customHeight="1" x14ac:dyDescent="0.3">
      <c r="A8" s="48" t="s">
        <v>55</v>
      </c>
      <c r="B8" s="49" t="s">
        <v>56</v>
      </c>
      <c r="C8" s="273"/>
      <c r="D8" s="53" t="s">
        <v>236</v>
      </c>
      <c r="E8" s="50" t="s">
        <v>239</v>
      </c>
      <c r="F8" s="53"/>
      <c r="G8" s="53"/>
      <c r="H8" s="53"/>
      <c r="I8" s="53"/>
      <c r="J8" s="53"/>
      <c r="K8" s="53"/>
      <c r="L8" s="53"/>
      <c r="M8" s="53"/>
      <c r="N8" s="54"/>
      <c r="O8" s="273"/>
      <c r="P8" s="95" t="s">
        <v>169</v>
      </c>
      <c r="Q8" s="53" t="s">
        <v>190</v>
      </c>
      <c r="R8" s="53" t="s">
        <v>235</v>
      </c>
      <c r="S8" s="53" t="s">
        <v>242</v>
      </c>
      <c r="T8" s="53"/>
      <c r="U8" s="53"/>
      <c r="V8" s="53"/>
      <c r="W8" s="53"/>
      <c r="X8" s="53"/>
      <c r="Y8" s="53"/>
      <c r="Z8" s="53"/>
      <c r="AA8" s="273"/>
      <c r="AB8" s="273"/>
      <c r="AC8" s="273"/>
      <c r="AD8" s="273"/>
      <c r="AE8" s="273"/>
      <c r="AF8" s="273"/>
      <c r="AG8" s="273"/>
      <c r="AH8" s="276"/>
      <c r="AI8" s="277"/>
      <c r="AJ8" s="277"/>
      <c r="AK8" s="277"/>
      <c r="AL8" s="277"/>
      <c r="AM8" s="278"/>
      <c r="AN8" s="87"/>
      <c r="AO8" s="87"/>
      <c r="AP8" s="87"/>
      <c r="AQ8" s="87"/>
      <c r="AR8" s="88"/>
    </row>
    <row r="9" spans="1:48" ht="12" customHeight="1" x14ac:dyDescent="0.3">
      <c r="A9" s="58">
        <v>1</v>
      </c>
      <c r="B9" s="89" t="str">
        <f>'C. FILIACION'!B8</f>
        <v>BENITEZ BALLESTEROS KAREN ARIANA</v>
      </c>
      <c r="C9" s="31">
        <v>10</v>
      </c>
      <c r="D9" s="31">
        <v>23</v>
      </c>
      <c r="E9" s="31">
        <v>0</v>
      </c>
      <c r="F9" s="31"/>
      <c r="G9" s="31"/>
      <c r="H9" s="31"/>
      <c r="I9" s="31"/>
      <c r="J9" s="31"/>
      <c r="K9" s="31"/>
      <c r="L9" s="31"/>
      <c r="M9" s="31"/>
      <c r="N9" s="31"/>
      <c r="O9" s="91">
        <f t="shared" ref="O9:O44" si="0">IFERROR(ROUND(AVERAGE(D9:N9),0),"")</f>
        <v>12</v>
      </c>
      <c r="P9" s="31">
        <v>18</v>
      </c>
      <c r="Q9" s="31">
        <v>35</v>
      </c>
      <c r="R9" s="31">
        <v>0</v>
      </c>
      <c r="S9" s="31"/>
      <c r="T9" s="31"/>
      <c r="U9" s="31"/>
      <c r="V9" s="31"/>
      <c r="W9" s="31"/>
      <c r="X9" s="31"/>
      <c r="Y9" s="31"/>
      <c r="Z9" s="31"/>
      <c r="AA9" s="31">
        <v>10</v>
      </c>
      <c r="AB9" s="91">
        <f t="shared" ref="AB9:AB44" si="1">IFERROR(ROUND(AVERAGE(P9:Z9),0),"")</f>
        <v>18</v>
      </c>
      <c r="AC9" s="31">
        <v>5</v>
      </c>
      <c r="AD9" s="31">
        <v>5</v>
      </c>
      <c r="AE9" s="91">
        <f t="shared" ref="AE9:AE44" si="2">IFERROR((SUM(AC9,AD9)),"")</f>
        <v>10</v>
      </c>
      <c r="AF9" s="92" t="str">
        <f t="shared" ref="AF9:AF44" si="3">IF(AG9&lt;51,"ED",IF(AG9&lt;67,"DA",IF(AG9&lt;85,"DO","DP")))</f>
        <v>DA</v>
      </c>
      <c r="AG9" s="91">
        <f t="shared" ref="AG9:AG44" si="4">IFERROR((SUM(C9,O9,AA9,AB9,AE9)),"")</f>
        <v>60</v>
      </c>
      <c r="AH9" s="268" t="str">
        <f t="shared" ref="AH9:AH44" si="5">IF(AG9="","",(IF(AND(AG9&gt;=1,AG9&lt;=50.499),"REPROBADO",IF(AND(AG9&gt;=50.5,AG9&lt;=100),"APROBADO"))))</f>
        <v>APROBADO</v>
      </c>
      <c r="AI9" s="269"/>
      <c r="AJ9" s="269"/>
      <c r="AK9" s="269"/>
      <c r="AL9" s="269"/>
      <c r="AM9" s="270"/>
      <c r="AN9" s="93" t="s">
        <v>96</v>
      </c>
      <c r="AO9" s="271">
        <f>COUNTIF(AF9:AF44,"ED")</f>
        <v>22</v>
      </c>
      <c r="AP9" s="270"/>
      <c r="AQ9" s="94"/>
      <c r="AR9" s="94"/>
    </row>
    <row r="10" spans="1:48" ht="12" customHeight="1" x14ac:dyDescent="0.3">
      <c r="A10" s="58">
        <v>2</v>
      </c>
      <c r="B10" s="89" t="str">
        <f>'C. FILIACION'!B9</f>
        <v>CALIZAYA MERCADO AXEL GABRIEL</v>
      </c>
      <c r="C10" s="31">
        <v>10</v>
      </c>
      <c r="D10" s="31">
        <v>0</v>
      </c>
      <c r="E10" s="31">
        <v>10</v>
      </c>
      <c r="F10" s="31"/>
      <c r="G10" s="31"/>
      <c r="H10" s="31"/>
      <c r="I10" s="31"/>
      <c r="J10" s="31"/>
      <c r="K10" s="31"/>
      <c r="L10" s="31"/>
      <c r="M10" s="31"/>
      <c r="N10" s="31"/>
      <c r="O10" s="91">
        <f t="shared" si="0"/>
        <v>5</v>
      </c>
      <c r="P10" s="31">
        <v>0</v>
      </c>
      <c r="Q10" s="31">
        <v>0</v>
      </c>
      <c r="R10" s="31">
        <v>0</v>
      </c>
      <c r="S10" s="31"/>
      <c r="T10" s="31"/>
      <c r="U10" s="31"/>
      <c r="V10" s="31"/>
      <c r="W10" s="31"/>
      <c r="X10" s="31"/>
      <c r="Y10" s="31"/>
      <c r="Z10" s="31"/>
      <c r="AA10" s="31">
        <v>10</v>
      </c>
      <c r="AB10" s="91">
        <f t="shared" si="1"/>
        <v>0</v>
      </c>
      <c r="AC10" s="31">
        <v>5</v>
      </c>
      <c r="AD10" s="31">
        <v>5</v>
      </c>
      <c r="AE10" s="91">
        <f t="shared" si="2"/>
        <v>10</v>
      </c>
      <c r="AF10" s="92" t="str">
        <f t="shared" si="3"/>
        <v>ED</v>
      </c>
      <c r="AG10" s="91">
        <f t="shared" si="4"/>
        <v>35</v>
      </c>
      <c r="AH10" s="268" t="str">
        <f t="shared" si="5"/>
        <v>REPROBADO</v>
      </c>
      <c r="AI10" s="269"/>
      <c r="AJ10" s="269"/>
      <c r="AK10" s="269"/>
      <c r="AL10" s="269"/>
      <c r="AM10" s="270"/>
      <c r="AN10" s="48" t="s">
        <v>97</v>
      </c>
      <c r="AO10" s="271">
        <f>COUNTIF(AF9:AF44,"DA")</f>
        <v>2</v>
      </c>
      <c r="AP10" s="270"/>
      <c r="AQ10" s="94"/>
      <c r="AR10" s="94"/>
    </row>
    <row r="11" spans="1:48" ht="12" customHeight="1" x14ac:dyDescent="0.3">
      <c r="A11" s="58">
        <v>3</v>
      </c>
      <c r="B11" s="195" t="str">
        <f>'C. FILIACION'!B10</f>
        <v>CANO GUZMAN FABRIZIO RODRIGO</v>
      </c>
      <c r="C11" s="196">
        <v>10</v>
      </c>
      <c r="D11" s="196">
        <v>0</v>
      </c>
      <c r="E11" s="196">
        <v>0</v>
      </c>
      <c r="F11" s="196"/>
      <c r="G11" s="196"/>
      <c r="H11" s="196"/>
      <c r="I11" s="196"/>
      <c r="J11" s="196"/>
      <c r="K11" s="196"/>
      <c r="L11" s="196"/>
      <c r="M11" s="196"/>
      <c r="N11" s="196"/>
      <c r="O11" s="197">
        <f t="shared" si="0"/>
        <v>0</v>
      </c>
      <c r="P11" s="196">
        <v>0</v>
      </c>
      <c r="Q11" s="196">
        <v>0</v>
      </c>
      <c r="R11" s="196">
        <v>0</v>
      </c>
      <c r="S11" s="196"/>
      <c r="T11" s="196"/>
      <c r="U11" s="196"/>
      <c r="V11" s="196"/>
      <c r="W11" s="196"/>
      <c r="X11" s="196"/>
      <c r="Y11" s="196"/>
      <c r="Z11" s="196"/>
      <c r="AA11" s="196">
        <v>10</v>
      </c>
      <c r="AB11" s="197">
        <f t="shared" si="1"/>
        <v>0</v>
      </c>
      <c r="AC11" s="196">
        <v>5</v>
      </c>
      <c r="AD11" s="196">
        <v>5</v>
      </c>
      <c r="AE11" s="197">
        <f t="shared" si="2"/>
        <v>10</v>
      </c>
      <c r="AF11" s="198" t="str">
        <f t="shared" si="3"/>
        <v>ED</v>
      </c>
      <c r="AG11" s="197">
        <f t="shared" si="4"/>
        <v>30</v>
      </c>
      <c r="AH11" s="293" t="str">
        <f t="shared" si="5"/>
        <v>REPROBADO</v>
      </c>
      <c r="AI11" s="294"/>
      <c r="AJ11" s="294"/>
      <c r="AK11" s="294"/>
      <c r="AL11" s="294"/>
      <c r="AM11" s="295"/>
      <c r="AN11" s="48" t="s">
        <v>98</v>
      </c>
      <c r="AO11" s="271">
        <f>COUNTIF(AF9:AF44,"DO")</f>
        <v>1</v>
      </c>
      <c r="AP11" s="270"/>
      <c r="AQ11" s="94"/>
      <c r="AR11" s="94"/>
    </row>
    <row r="12" spans="1:48" ht="12" customHeight="1" x14ac:dyDescent="0.3">
      <c r="A12" s="58">
        <v>4</v>
      </c>
      <c r="B12" s="180" t="str">
        <f>'C. FILIACION'!B11</f>
        <v>CHOQUE LAURA CARLOS EDUARDO</v>
      </c>
      <c r="C12" s="181">
        <v>10</v>
      </c>
      <c r="D12" s="181">
        <v>0</v>
      </c>
      <c r="E12" s="181">
        <v>0</v>
      </c>
      <c r="F12" s="181"/>
      <c r="G12" s="181"/>
      <c r="H12" s="181"/>
      <c r="I12" s="181"/>
      <c r="J12" s="181"/>
      <c r="K12" s="181"/>
      <c r="L12" s="181"/>
      <c r="M12" s="181"/>
      <c r="N12" s="181"/>
      <c r="O12" s="182">
        <f t="shared" si="0"/>
        <v>0</v>
      </c>
      <c r="P12" s="181">
        <v>0</v>
      </c>
      <c r="Q12" s="181">
        <v>0</v>
      </c>
      <c r="R12" s="181">
        <v>0</v>
      </c>
      <c r="S12" s="181"/>
      <c r="T12" s="181"/>
      <c r="U12" s="181"/>
      <c r="V12" s="181"/>
      <c r="W12" s="181"/>
      <c r="X12" s="181"/>
      <c r="Y12" s="181"/>
      <c r="Z12" s="181"/>
      <c r="AA12" s="181">
        <v>10</v>
      </c>
      <c r="AB12" s="182">
        <f t="shared" si="1"/>
        <v>0</v>
      </c>
      <c r="AC12" s="181">
        <v>5</v>
      </c>
      <c r="AD12" s="181">
        <v>5</v>
      </c>
      <c r="AE12" s="182">
        <f t="shared" si="2"/>
        <v>10</v>
      </c>
      <c r="AF12" s="183" t="str">
        <f t="shared" si="3"/>
        <v>ED</v>
      </c>
      <c r="AG12" s="182">
        <f t="shared" si="4"/>
        <v>30</v>
      </c>
      <c r="AH12" s="290" t="str">
        <f t="shared" si="5"/>
        <v>REPROBADO</v>
      </c>
      <c r="AI12" s="291"/>
      <c r="AJ12" s="291"/>
      <c r="AK12" s="291"/>
      <c r="AL12" s="291"/>
      <c r="AM12" s="292"/>
      <c r="AN12" s="48" t="s">
        <v>99</v>
      </c>
      <c r="AO12" s="271">
        <f>COUNTIF(AF9:AF44,"DP")</f>
        <v>11</v>
      </c>
      <c r="AP12" s="270"/>
      <c r="AQ12" s="94"/>
      <c r="AR12" s="94"/>
      <c r="AS12" s="184" t="s">
        <v>244</v>
      </c>
    </row>
    <row r="13" spans="1:48" ht="12" customHeight="1" x14ac:dyDescent="0.3">
      <c r="A13" s="58">
        <v>5</v>
      </c>
      <c r="B13" s="89" t="str">
        <f>'C. FILIACION'!B12</f>
        <v>CONDORI GALARZA DENSEL ALEXSIS</v>
      </c>
      <c r="C13" s="31">
        <v>10</v>
      </c>
      <c r="D13" s="31">
        <v>35</v>
      </c>
      <c r="E13" s="31">
        <v>30</v>
      </c>
      <c r="F13" s="31"/>
      <c r="G13" s="31"/>
      <c r="H13" s="31"/>
      <c r="I13" s="31"/>
      <c r="J13" s="31"/>
      <c r="K13" s="31"/>
      <c r="L13" s="31"/>
      <c r="M13" s="31"/>
      <c r="N13" s="31"/>
      <c r="O13" s="91">
        <f t="shared" si="0"/>
        <v>33</v>
      </c>
      <c r="P13" s="31">
        <v>35</v>
      </c>
      <c r="Q13" s="31">
        <v>35</v>
      </c>
      <c r="R13" s="31">
        <v>0</v>
      </c>
      <c r="S13" s="31"/>
      <c r="T13" s="31"/>
      <c r="U13" s="31"/>
      <c r="V13" s="31"/>
      <c r="W13" s="31"/>
      <c r="X13" s="31"/>
      <c r="Y13" s="31"/>
      <c r="Z13" s="31"/>
      <c r="AA13" s="31">
        <v>10</v>
      </c>
      <c r="AB13" s="91">
        <f t="shared" si="1"/>
        <v>23</v>
      </c>
      <c r="AC13" s="31">
        <v>5</v>
      </c>
      <c r="AD13" s="31">
        <v>5</v>
      </c>
      <c r="AE13" s="91">
        <f t="shared" si="2"/>
        <v>10</v>
      </c>
      <c r="AF13" s="92" t="str">
        <f t="shared" si="3"/>
        <v>DP</v>
      </c>
      <c r="AG13" s="91">
        <f t="shared" si="4"/>
        <v>86</v>
      </c>
      <c r="AH13" s="268" t="str">
        <f t="shared" si="5"/>
        <v>APROBADO</v>
      </c>
      <c r="AI13" s="269"/>
      <c r="AJ13" s="269"/>
      <c r="AK13" s="269"/>
      <c r="AL13" s="269"/>
      <c r="AM13" s="270"/>
      <c r="AN13" s="94"/>
      <c r="AO13" s="94"/>
      <c r="AP13" s="94"/>
      <c r="AQ13" s="94"/>
      <c r="AR13" s="94"/>
    </row>
    <row r="14" spans="1:48" ht="12" customHeight="1" x14ac:dyDescent="0.3">
      <c r="A14" s="58">
        <v>6</v>
      </c>
      <c r="B14" s="180" t="str">
        <f>'C. FILIACION'!B13</f>
        <v>DAZA RAMIREZ KALEP MATEO</v>
      </c>
      <c r="C14" s="181">
        <v>10</v>
      </c>
      <c r="D14" s="181">
        <v>0</v>
      </c>
      <c r="E14" s="181">
        <v>0</v>
      </c>
      <c r="F14" s="181"/>
      <c r="G14" s="181"/>
      <c r="H14" s="181"/>
      <c r="I14" s="181"/>
      <c r="J14" s="181"/>
      <c r="K14" s="181"/>
      <c r="L14" s="181"/>
      <c r="M14" s="181"/>
      <c r="N14" s="181"/>
      <c r="O14" s="182">
        <f t="shared" si="0"/>
        <v>0</v>
      </c>
      <c r="P14" s="181">
        <v>0</v>
      </c>
      <c r="Q14" s="181">
        <v>0</v>
      </c>
      <c r="R14" s="181">
        <v>0</v>
      </c>
      <c r="S14" s="181"/>
      <c r="T14" s="181"/>
      <c r="U14" s="181"/>
      <c r="V14" s="181"/>
      <c r="W14" s="181"/>
      <c r="X14" s="181"/>
      <c r="Y14" s="181"/>
      <c r="Z14" s="181"/>
      <c r="AA14" s="181">
        <v>10</v>
      </c>
      <c r="AB14" s="182">
        <f t="shared" si="1"/>
        <v>0</v>
      </c>
      <c r="AC14" s="181">
        <v>5</v>
      </c>
      <c r="AD14" s="181">
        <v>5</v>
      </c>
      <c r="AE14" s="182">
        <f t="shared" si="2"/>
        <v>10</v>
      </c>
      <c r="AF14" s="183" t="str">
        <f t="shared" si="3"/>
        <v>ED</v>
      </c>
      <c r="AG14" s="182">
        <f t="shared" si="4"/>
        <v>30</v>
      </c>
      <c r="AH14" s="290" t="str">
        <f t="shared" si="5"/>
        <v>REPROBADO</v>
      </c>
      <c r="AI14" s="291"/>
      <c r="AJ14" s="291"/>
      <c r="AK14" s="291"/>
      <c r="AL14" s="291"/>
      <c r="AM14" s="292"/>
      <c r="AN14" s="94"/>
      <c r="AO14" s="94"/>
      <c r="AP14" s="94"/>
      <c r="AQ14" s="94"/>
      <c r="AR14" s="94"/>
      <c r="AS14" s="185" t="s">
        <v>243</v>
      </c>
    </row>
    <row r="15" spans="1:48" ht="12" customHeight="1" x14ac:dyDescent="0.3">
      <c r="A15" s="58">
        <v>7</v>
      </c>
      <c r="B15" s="89" t="str">
        <f>'C. FILIACION'!B14</f>
        <v>ESTRADA FUNES NAZARETH</v>
      </c>
      <c r="C15" s="31">
        <v>10</v>
      </c>
      <c r="D15" s="31">
        <v>23</v>
      </c>
      <c r="E15" s="31">
        <v>25</v>
      </c>
      <c r="F15" s="31"/>
      <c r="G15" s="31"/>
      <c r="H15" s="31"/>
      <c r="I15" s="31"/>
      <c r="J15" s="31"/>
      <c r="K15" s="31"/>
      <c r="L15" s="31"/>
      <c r="M15" s="31"/>
      <c r="N15" s="31"/>
      <c r="O15" s="91">
        <f t="shared" si="0"/>
        <v>24</v>
      </c>
      <c r="P15" s="31">
        <v>18</v>
      </c>
      <c r="Q15" s="31">
        <v>35</v>
      </c>
      <c r="R15" s="31">
        <v>0</v>
      </c>
      <c r="S15" s="31"/>
      <c r="T15" s="31"/>
      <c r="U15" s="31"/>
      <c r="V15" s="31"/>
      <c r="W15" s="31"/>
      <c r="X15" s="31"/>
      <c r="Y15" s="31"/>
      <c r="Z15" s="31"/>
      <c r="AA15" s="31">
        <v>10</v>
      </c>
      <c r="AB15" s="91">
        <f t="shared" si="1"/>
        <v>18</v>
      </c>
      <c r="AC15" s="31">
        <v>5</v>
      </c>
      <c r="AD15" s="31">
        <v>5</v>
      </c>
      <c r="AE15" s="91">
        <f t="shared" si="2"/>
        <v>10</v>
      </c>
      <c r="AF15" s="92" t="str">
        <f t="shared" si="3"/>
        <v>DO</v>
      </c>
      <c r="AG15" s="91">
        <f t="shared" si="4"/>
        <v>72</v>
      </c>
      <c r="AH15" s="268" t="str">
        <f t="shared" si="5"/>
        <v>APROBADO</v>
      </c>
      <c r="AI15" s="269"/>
      <c r="AJ15" s="269"/>
      <c r="AK15" s="269"/>
      <c r="AL15" s="269"/>
      <c r="AM15" s="270"/>
      <c r="AN15" s="94"/>
      <c r="AO15" s="94"/>
      <c r="AP15" s="94"/>
      <c r="AQ15" s="94"/>
      <c r="AR15" s="94"/>
    </row>
    <row r="16" spans="1:48" ht="12" customHeight="1" x14ac:dyDescent="0.3">
      <c r="A16" s="58">
        <v>8</v>
      </c>
      <c r="B16" s="191" t="str">
        <f>'C. FILIACION'!B15</f>
        <v>FLORES VILLEGAS CARLOS IVAN</v>
      </c>
      <c r="C16" s="192">
        <v>10</v>
      </c>
      <c r="D16" s="192">
        <v>0</v>
      </c>
      <c r="E16" s="192">
        <v>0</v>
      </c>
      <c r="F16" s="192"/>
      <c r="G16" s="192"/>
      <c r="H16" s="192"/>
      <c r="I16" s="192"/>
      <c r="J16" s="192"/>
      <c r="K16" s="192"/>
      <c r="L16" s="192"/>
      <c r="M16" s="192"/>
      <c r="N16" s="192"/>
      <c r="O16" s="193">
        <f t="shared" si="0"/>
        <v>0</v>
      </c>
      <c r="P16" s="192">
        <v>0</v>
      </c>
      <c r="Q16" s="192">
        <v>0</v>
      </c>
      <c r="R16" s="192">
        <v>0</v>
      </c>
      <c r="S16" s="192"/>
      <c r="T16" s="192"/>
      <c r="U16" s="192"/>
      <c r="V16" s="192"/>
      <c r="W16" s="192"/>
      <c r="X16" s="192"/>
      <c r="Y16" s="192"/>
      <c r="Z16" s="192"/>
      <c r="AA16" s="192">
        <v>10</v>
      </c>
      <c r="AB16" s="193">
        <f t="shared" si="1"/>
        <v>0</v>
      </c>
      <c r="AC16" s="192">
        <v>5</v>
      </c>
      <c r="AD16" s="192">
        <v>5</v>
      </c>
      <c r="AE16" s="193">
        <f t="shared" si="2"/>
        <v>10</v>
      </c>
      <c r="AF16" s="194" t="str">
        <f t="shared" si="3"/>
        <v>ED</v>
      </c>
      <c r="AG16" s="193">
        <f t="shared" si="4"/>
        <v>30</v>
      </c>
      <c r="AH16" s="299" t="str">
        <f t="shared" si="5"/>
        <v>REPROBADO</v>
      </c>
      <c r="AI16" s="300"/>
      <c r="AJ16" s="300"/>
      <c r="AK16" s="300"/>
      <c r="AL16" s="300"/>
      <c r="AM16" s="301"/>
      <c r="AN16" s="94"/>
      <c r="AO16" s="94"/>
      <c r="AP16" s="94"/>
      <c r="AQ16" s="94"/>
      <c r="AR16" s="94"/>
    </row>
    <row r="17" spans="1:44" ht="12" customHeight="1" x14ac:dyDescent="0.3">
      <c r="A17" s="58">
        <v>9</v>
      </c>
      <c r="B17" s="89" t="str">
        <f>'C. FILIACION'!B16</f>
        <v>FRANCISCO RUIZ LUCERO</v>
      </c>
      <c r="C17" s="31">
        <v>10</v>
      </c>
      <c r="D17" s="31">
        <v>27</v>
      </c>
      <c r="E17" s="31">
        <v>35</v>
      </c>
      <c r="F17" s="31"/>
      <c r="G17" s="31"/>
      <c r="H17" s="31"/>
      <c r="I17" s="31"/>
      <c r="J17" s="31"/>
      <c r="K17" s="31"/>
      <c r="L17" s="31"/>
      <c r="M17" s="31"/>
      <c r="N17" s="31"/>
      <c r="O17" s="91">
        <f t="shared" si="0"/>
        <v>31</v>
      </c>
      <c r="P17" s="31">
        <v>35</v>
      </c>
      <c r="Q17" s="31">
        <v>35</v>
      </c>
      <c r="R17" s="31">
        <v>35</v>
      </c>
      <c r="S17" s="31">
        <v>35</v>
      </c>
      <c r="T17" s="31"/>
      <c r="U17" s="31"/>
      <c r="V17" s="31"/>
      <c r="W17" s="31"/>
      <c r="X17" s="31"/>
      <c r="Y17" s="31"/>
      <c r="Z17" s="31"/>
      <c r="AA17" s="31">
        <v>10</v>
      </c>
      <c r="AB17" s="91">
        <f t="shared" si="1"/>
        <v>35</v>
      </c>
      <c r="AC17" s="31">
        <v>5</v>
      </c>
      <c r="AD17" s="31">
        <v>5</v>
      </c>
      <c r="AE17" s="91">
        <f t="shared" si="2"/>
        <v>10</v>
      </c>
      <c r="AF17" s="92" t="str">
        <f t="shared" si="3"/>
        <v>DP</v>
      </c>
      <c r="AG17" s="91">
        <f t="shared" si="4"/>
        <v>96</v>
      </c>
      <c r="AH17" s="268" t="str">
        <f t="shared" si="5"/>
        <v>APROBADO</v>
      </c>
      <c r="AI17" s="269"/>
      <c r="AJ17" s="269"/>
      <c r="AK17" s="269"/>
      <c r="AL17" s="269"/>
      <c r="AM17" s="270"/>
      <c r="AN17" s="94"/>
      <c r="AO17" s="94"/>
      <c r="AP17" s="94"/>
      <c r="AQ17" s="94"/>
      <c r="AR17" s="94"/>
    </row>
    <row r="18" spans="1:44" ht="12" customHeight="1" x14ac:dyDescent="0.3">
      <c r="A18" s="58">
        <v>10</v>
      </c>
      <c r="B18" s="89" t="str">
        <f>'C. FILIACION'!B17</f>
        <v>IBARRA VINO ELOY INTI</v>
      </c>
      <c r="C18" s="31">
        <v>10</v>
      </c>
      <c r="D18" s="31">
        <v>30</v>
      </c>
      <c r="E18" s="31">
        <v>35</v>
      </c>
      <c r="F18" s="31"/>
      <c r="G18" s="31"/>
      <c r="H18" s="31"/>
      <c r="I18" s="31"/>
      <c r="J18" s="31"/>
      <c r="K18" s="31"/>
      <c r="L18" s="31"/>
      <c r="M18" s="31"/>
      <c r="N18" s="31"/>
      <c r="O18" s="91">
        <f t="shared" si="0"/>
        <v>33</v>
      </c>
      <c r="P18" s="31">
        <v>30</v>
      </c>
      <c r="Q18" s="31">
        <v>20</v>
      </c>
      <c r="R18" s="31">
        <v>20</v>
      </c>
      <c r="S18" s="31">
        <v>35</v>
      </c>
      <c r="T18" s="31"/>
      <c r="U18" s="31"/>
      <c r="V18" s="31"/>
      <c r="W18" s="31"/>
      <c r="X18" s="31"/>
      <c r="Y18" s="31"/>
      <c r="Z18" s="31"/>
      <c r="AA18" s="31">
        <v>10</v>
      </c>
      <c r="AB18" s="91">
        <f t="shared" si="1"/>
        <v>26</v>
      </c>
      <c r="AC18" s="31">
        <v>5</v>
      </c>
      <c r="AD18" s="31">
        <v>5</v>
      </c>
      <c r="AE18" s="91">
        <f t="shared" si="2"/>
        <v>10</v>
      </c>
      <c r="AF18" s="92" t="str">
        <f t="shared" si="3"/>
        <v>DP</v>
      </c>
      <c r="AG18" s="91">
        <f t="shared" si="4"/>
        <v>89</v>
      </c>
      <c r="AH18" s="268" t="str">
        <f t="shared" si="5"/>
        <v>APROBADO</v>
      </c>
      <c r="AI18" s="269"/>
      <c r="AJ18" s="269"/>
      <c r="AK18" s="269"/>
      <c r="AL18" s="269"/>
      <c r="AM18" s="270"/>
      <c r="AN18" s="94"/>
      <c r="AO18" s="94"/>
      <c r="AP18" s="94"/>
      <c r="AQ18" s="94"/>
      <c r="AR18" s="94"/>
    </row>
    <row r="19" spans="1:44" ht="12" customHeight="1" x14ac:dyDescent="0.3">
      <c r="A19" s="58">
        <v>11</v>
      </c>
      <c r="B19" s="176" t="str">
        <f>'C. FILIACION'!B18</f>
        <v>LOPEZ BLANCO SOFIA BELEN</v>
      </c>
      <c r="C19" s="177">
        <v>10</v>
      </c>
      <c r="D19" s="177">
        <v>29</v>
      </c>
      <c r="E19" s="177">
        <v>0</v>
      </c>
      <c r="F19" s="177"/>
      <c r="G19" s="177"/>
      <c r="H19" s="177"/>
      <c r="I19" s="177"/>
      <c r="J19" s="177"/>
      <c r="K19" s="177"/>
      <c r="L19" s="177"/>
      <c r="M19" s="177"/>
      <c r="N19" s="177"/>
      <c r="O19" s="178">
        <f t="shared" si="0"/>
        <v>15</v>
      </c>
      <c r="P19" s="177">
        <v>0</v>
      </c>
      <c r="Q19" s="177">
        <v>0</v>
      </c>
      <c r="R19" s="177">
        <v>0</v>
      </c>
      <c r="S19" s="177"/>
      <c r="T19" s="177"/>
      <c r="U19" s="177"/>
      <c r="V19" s="177"/>
      <c r="W19" s="177"/>
      <c r="X19" s="177"/>
      <c r="Y19" s="177"/>
      <c r="Z19" s="177"/>
      <c r="AA19" s="177">
        <v>10</v>
      </c>
      <c r="AB19" s="178">
        <f t="shared" si="1"/>
        <v>0</v>
      </c>
      <c r="AC19" s="177">
        <v>5</v>
      </c>
      <c r="AD19" s="177">
        <v>5</v>
      </c>
      <c r="AE19" s="178">
        <f t="shared" si="2"/>
        <v>10</v>
      </c>
      <c r="AF19" s="179" t="str">
        <f t="shared" si="3"/>
        <v>ED</v>
      </c>
      <c r="AG19" s="178">
        <f t="shared" si="4"/>
        <v>45</v>
      </c>
      <c r="AH19" s="296" t="str">
        <f t="shared" si="5"/>
        <v>REPROBADO</v>
      </c>
      <c r="AI19" s="297"/>
      <c r="AJ19" s="297"/>
      <c r="AK19" s="297"/>
      <c r="AL19" s="297"/>
      <c r="AM19" s="298"/>
      <c r="AN19" s="94"/>
      <c r="AO19" s="94"/>
      <c r="AP19" s="94"/>
      <c r="AQ19" s="94"/>
      <c r="AR19" s="94"/>
    </row>
    <row r="20" spans="1:44" ht="12" customHeight="1" x14ac:dyDescent="0.3">
      <c r="A20" s="58">
        <v>12</v>
      </c>
      <c r="B20" s="89" t="str">
        <f>'C. FILIACION'!B19</f>
        <v>LOPEZ PACO RODRIGO ADRIAN</v>
      </c>
      <c r="C20" s="31">
        <v>10</v>
      </c>
      <c r="D20" s="31">
        <v>0</v>
      </c>
      <c r="E20" s="31">
        <v>18</v>
      </c>
      <c r="F20" s="31"/>
      <c r="G20" s="31"/>
      <c r="H20" s="31"/>
      <c r="I20" s="31"/>
      <c r="J20" s="31"/>
      <c r="K20" s="31"/>
      <c r="L20" s="31"/>
      <c r="M20" s="31"/>
      <c r="N20" s="31"/>
      <c r="O20" s="91">
        <f t="shared" si="0"/>
        <v>9</v>
      </c>
      <c r="P20" s="31">
        <v>0</v>
      </c>
      <c r="Q20" s="31">
        <v>0</v>
      </c>
      <c r="R20" s="31">
        <v>0</v>
      </c>
      <c r="S20" s="31"/>
      <c r="T20" s="31"/>
      <c r="U20" s="31"/>
      <c r="V20" s="31"/>
      <c r="W20" s="31"/>
      <c r="X20" s="31"/>
      <c r="Y20" s="31"/>
      <c r="Z20" s="31"/>
      <c r="AA20" s="31">
        <v>10</v>
      </c>
      <c r="AB20" s="91">
        <f t="shared" si="1"/>
        <v>0</v>
      </c>
      <c r="AC20" s="31">
        <v>5</v>
      </c>
      <c r="AD20" s="31">
        <v>5</v>
      </c>
      <c r="AE20" s="91">
        <f t="shared" si="2"/>
        <v>10</v>
      </c>
      <c r="AF20" s="92" t="str">
        <f t="shared" si="3"/>
        <v>ED</v>
      </c>
      <c r="AG20" s="91">
        <f t="shared" si="4"/>
        <v>39</v>
      </c>
      <c r="AH20" s="268" t="str">
        <f t="shared" si="5"/>
        <v>REPROBADO</v>
      </c>
      <c r="AI20" s="269"/>
      <c r="AJ20" s="269"/>
      <c r="AK20" s="269"/>
      <c r="AL20" s="269"/>
      <c r="AM20" s="270"/>
      <c r="AN20" s="94"/>
      <c r="AO20" s="94"/>
      <c r="AP20" s="94"/>
      <c r="AQ20" s="94"/>
      <c r="AR20" s="94"/>
    </row>
    <row r="21" spans="1:44" ht="12" customHeight="1" x14ac:dyDescent="0.3">
      <c r="A21" s="58">
        <v>13</v>
      </c>
      <c r="B21" s="89" t="str">
        <f>'C. FILIACION'!B20</f>
        <v>LOPEZ VERA MILENCA</v>
      </c>
      <c r="C21" s="31">
        <v>10</v>
      </c>
      <c r="D21" s="31">
        <v>28</v>
      </c>
      <c r="E21" s="31">
        <v>35</v>
      </c>
      <c r="F21" s="31"/>
      <c r="G21" s="31"/>
      <c r="H21" s="31"/>
      <c r="I21" s="31"/>
      <c r="J21" s="31"/>
      <c r="K21" s="31"/>
      <c r="L21" s="31"/>
      <c r="M21" s="31"/>
      <c r="N21" s="31"/>
      <c r="O21" s="91">
        <f t="shared" si="0"/>
        <v>32</v>
      </c>
      <c r="P21" s="31">
        <v>35</v>
      </c>
      <c r="Q21" s="31">
        <v>35</v>
      </c>
      <c r="R21" s="31">
        <v>35</v>
      </c>
      <c r="S21" s="31"/>
      <c r="T21" s="31"/>
      <c r="U21" s="31"/>
      <c r="V21" s="31"/>
      <c r="W21" s="31"/>
      <c r="X21" s="31"/>
      <c r="Y21" s="31"/>
      <c r="Z21" s="31"/>
      <c r="AA21" s="31">
        <v>10</v>
      </c>
      <c r="AB21" s="91">
        <f t="shared" si="1"/>
        <v>35</v>
      </c>
      <c r="AC21" s="31">
        <v>5</v>
      </c>
      <c r="AD21" s="31">
        <v>5</v>
      </c>
      <c r="AE21" s="91">
        <f t="shared" si="2"/>
        <v>10</v>
      </c>
      <c r="AF21" s="92" t="str">
        <f t="shared" si="3"/>
        <v>DP</v>
      </c>
      <c r="AG21" s="91">
        <f t="shared" si="4"/>
        <v>97</v>
      </c>
      <c r="AH21" s="268" t="str">
        <f t="shared" si="5"/>
        <v>APROBADO</v>
      </c>
      <c r="AI21" s="269"/>
      <c r="AJ21" s="269"/>
      <c r="AK21" s="269"/>
      <c r="AL21" s="269"/>
      <c r="AM21" s="270"/>
      <c r="AN21" s="94"/>
      <c r="AO21" s="94"/>
      <c r="AP21" s="94"/>
      <c r="AQ21" s="94"/>
      <c r="AR21" s="94"/>
    </row>
    <row r="22" spans="1:44" ht="12" customHeight="1" x14ac:dyDescent="0.3">
      <c r="A22" s="58">
        <v>14</v>
      </c>
      <c r="B22" s="176" t="str">
        <f>'C. FILIACION'!B21</f>
        <v>MEDINA CHOQUE JOSE ROBERTO</v>
      </c>
      <c r="C22" s="177">
        <v>10</v>
      </c>
      <c r="D22" s="177">
        <v>23</v>
      </c>
      <c r="E22" s="177">
        <v>0</v>
      </c>
      <c r="F22" s="177"/>
      <c r="G22" s="177"/>
      <c r="H22" s="177"/>
      <c r="I22" s="177"/>
      <c r="J22" s="177"/>
      <c r="K22" s="177"/>
      <c r="L22" s="177"/>
      <c r="M22" s="177"/>
      <c r="N22" s="177"/>
      <c r="O22" s="178">
        <f t="shared" si="0"/>
        <v>12</v>
      </c>
      <c r="P22" s="177">
        <v>0</v>
      </c>
      <c r="Q22" s="177">
        <v>0</v>
      </c>
      <c r="R22" s="177">
        <v>0</v>
      </c>
      <c r="S22" s="177"/>
      <c r="T22" s="177"/>
      <c r="U22" s="177"/>
      <c r="V22" s="177"/>
      <c r="W22" s="177"/>
      <c r="X22" s="177"/>
      <c r="Y22" s="177"/>
      <c r="Z22" s="177"/>
      <c r="AA22" s="177">
        <v>10</v>
      </c>
      <c r="AB22" s="178">
        <f t="shared" si="1"/>
        <v>0</v>
      </c>
      <c r="AC22" s="177">
        <v>5</v>
      </c>
      <c r="AD22" s="177">
        <v>5</v>
      </c>
      <c r="AE22" s="178">
        <f t="shared" si="2"/>
        <v>10</v>
      </c>
      <c r="AF22" s="179" t="str">
        <f t="shared" si="3"/>
        <v>ED</v>
      </c>
      <c r="AG22" s="178">
        <f t="shared" si="4"/>
        <v>42</v>
      </c>
      <c r="AH22" s="296" t="str">
        <f t="shared" si="5"/>
        <v>REPROBADO</v>
      </c>
      <c r="AI22" s="297"/>
      <c r="AJ22" s="297"/>
      <c r="AK22" s="297"/>
      <c r="AL22" s="297"/>
      <c r="AM22" s="298"/>
      <c r="AN22" s="94"/>
      <c r="AO22" s="94"/>
      <c r="AP22" s="94"/>
      <c r="AQ22" s="94"/>
      <c r="AR22" s="94"/>
    </row>
    <row r="23" spans="1:44" ht="12" customHeight="1" x14ac:dyDescent="0.3">
      <c r="A23" s="58">
        <v>15</v>
      </c>
      <c r="B23" s="191" t="str">
        <f>'C. FILIACION'!B22</f>
        <v>MIRABAL AYANOME JOSE ALFREDO</v>
      </c>
      <c r="C23" s="192">
        <v>10</v>
      </c>
      <c r="D23" s="192">
        <v>0</v>
      </c>
      <c r="E23" s="192">
        <v>0</v>
      </c>
      <c r="F23" s="192"/>
      <c r="G23" s="192"/>
      <c r="H23" s="192"/>
      <c r="I23" s="192"/>
      <c r="J23" s="192"/>
      <c r="K23" s="192"/>
      <c r="L23" s="192"/>
      <c r="M23" s="192"/>
      <c r="N23" s="192"/>
      <c r="O23" s="193">
        <f t="shared" si="0"/>
        <v>0</v>
      </c>
      <c r="P23" s="192">
        <v>0</v>
      </c>
      <c r="Q23" s="192">
        <v>0</v>
      </c>
      <c r="R23" s="192">
        <v>0</v>
      </c>
      <c r="S23" s="192"/>
      <c r="T23" s="192"/>
      <c r="U23" s="192"/>
      <c r="V23" s="192"/>
      <c r="W23" s="192"/>
      <c r="X23" s="192"/>
      <c r="Y23" s="192"/>
      <c r="Z23" s="192"/>
      <c r="AA23" s="192">
        <v>10</v>
      </c>
      <c r="AB23" s="193">
        <f t="shared" si="1"/>
        <v>0</v>
      </c>
      <c r="AC23" s="192">
        <v>5</v>
      </c>
      <c r="AD23" s="192">
        <v>5</v>
      </c>
      <c r="AE23" s="193">
        <f t="shared" si="2"/>
        <v>10</v>
      </c>
      <c r="AF23" s="194" t="str">
        <f t="shared" si="3"/>
        <v>ED</v>
      </c>
      <c r="AG23" s="193">
        <f t="shared" si="4"/>
        <v>30</v>
      </c>
      <c r="AH23" s="299" t="str">
        <f t="shared" si="5"/>
        <v>REPROBADO</v>
      </c>
      <c r="AI23" s="300"/>
      <c r="AJ23" s="300"/>
      <c r="AK23" s="300"/>
      <c r="AL23" s="300"/>
      <c r="AM23" s="301"/>
      <c r="AN23" s="94"/>
      <c r="AO23" s="94"/>
      <c r="AP23" s="94"/>
      <c r="AQ23" s="94"/>
      <c r="AR23" s="94"/>
    </row>
    <row r="24" spans="1:44" ht="12" customHeight="1" x14ac:dyDescent="0.3">
      <c r="A24" s="58">
        <v>16</v>
      </c>
      <c r="B24" s="89" t="str">
        <f>'C. FILIACION'!B23</f>
        <v>NINA RUEDA ESTEFANY DANIELA</v>
      </c>
      <c r="C24" s="31">
        <v>10</v>
      </c>
      <c r="D24" s="31">
        <v>25</v>
      </c>
      <c r="E24" s="31">
        <v>0</v>
      </c>
      <c r="F24" s="31"/>
      <c r="G24" s="31"/>
      <c r="H24" s="31"/>
      <c r="I24" s="31"/>
      <c r="J24" s="31"/>
      <c r="K24" s="31"/>
      <c r="L24" s="31"/>
      <c r="M24" s="31"/>
      <c r="N24" s="31"/>
      <c r="O24" s="91">
        <f t="shared" si="0"/>
        <v>13</v>
      </c>
      <c r="P24" s="31">
        <v>17</v>
      </c>
      <c r="Q24" s="31">
        <v>0</v>
      </c>
      <c r="R24" s="31">
        <v>0</v>
      </c>
      <c r="S24" s="31"/>
      <c r="T24" s="31"/>
      <c r="U24" s="31"/>
      <c r="V24" s="31"/>
      <c r="W24" s="31"/>
      <c r="X24" s="31"/>
      <c r="Y24" s="31"/>
      <c r="Z24" s="31"/>
      <c r="AA24" s="31">
        <v>10</v>
      </c>
      <c r="AB24" s="91">
        <f t="shared" si="1"/>
        <v>6</v>
      </c>
      <c r="AC24" s="31">
        <v>5</v>
      </c>
      <c r="AD24" s="31">
        <v>5</v>
      </c>
      <c r="AE24" s="91">
        <f t="shared" si="2"/>
        <v>10</v>
      </c>
      <c r="AF24" s="92" t="str">
        <f t="shared" si="3"/>
        <v>ED</v>
      </c>
      <c r="AG24" s="91">
        <f t="shared" si="4"/>
        <v>49</v>
      </c>
      <c r="AH24" s="268" t="str">
        <f t="shared" si="5"/>
        <v>REPROBADO</v>
      </c>
      <c r="AI24" s="269"/>
      <c r="AJ24" s="269"/>
      <c r="AK24" s="269"/>
      <c r="AL24" s="269"/>
      <c r="AM24" s="270"/>
      <c r="AN24" s="94"/>
      <c r="AO24" s="94"/>
      <c r="AP24" s="94"/>
      <c r="AQ24" s="94"/>
      <c r="AR24" s="94"/>
    </row>
    <row r="25" spans="1:44" ht="12" customHeight="1" x14ac:dyDescent="0.3">
      <c r="A25" s="58">
        <v>17</v>
      </c>
      <c r="B25" s="89" t="str">
        <f>'C. FILIACION'!B24</f>
        <v>PORTILLO QUISPE JORGE LUIS</v>
      </c>
      <c r="C25" s="31">
        <v>10</v>
      </c>
      <c r="D25" s="31">
        <v>18</v>
      </c>
      <c r="E25" s="31">
        <v>0</v>
      </c>
      <c r="F25" s="31"/>
      <c r="G25" s="31"/>
      <c r="H25" s="31"/>
      <c r="I25" s="31"/>
      <c r="J25" s="31"/>
      <c r="K25" s="31"/>
      <c r="L25" s="31"/>
      <c r="M25" s="31"/>
      <c r="N25" s="31"/>
      <c r="O25" s="91">
        <f t="shared" si="0"/>
        <v>9</v>
      </c>
      <c r="P25" s="31">
        <v>20</v>
      </c>
      <c r="Q25" s="31">
        <v>0</v>
      </c>
      <c r="R25" s="31">
        <v>0</v>
      </c>
      <c r="S25" s="31"/>
      <c r="T25" s="31"/>
      <c r="U25" s="31"/>
      <c r="V25" s="31"/>
      <c r="W25" s="31"/>
      <c r="X25" s="31"/>
      <c r="Y25" s="31"/>
      <c r="Z25" s="31"/>
      <c r="AA25" s="31">
        <v>10</v>
      </c>
      <c r="AB25" s="91">
        <f t="shared" si="1"/>
        <v>7</v>
      </c>
      <c r="AC25" s="31">
        <v>5</v>
      </c>
      <c r="AD25" s="31">
        <v>5</v>
      </c>
      <c r="AE25" s="91">
        <f t="shared" si="2"/>
        <v>10</v>
      </c>
      <c r="AF25" s="92" t="str">
        <f t="shared" si="3"/>
        <v>ED</v>
      </c>
      <c r="AG25" s="91">
        <f t="shared" si="4"/>
        <v>46</v>
      </c>
      <c r="AH25" s="268" t="str">
        <f t="shared" si="5"/>
        <v>REPROBADO</v>
      </c>
      <c r="AI25" s="269"/>
      <c r="AJ25" s="269"/>
      <c r="AK25" s="269"/>
      <c r="AL25" s="269"/>
      <c r="AM25" s="270"/>
      <c r="AN25" s="94"/>
      <c r="AO25" s="94"/>
      <c r="AP25" s="94"/>
      <c r="AQ25" s="94"/>
      <c r="AR25" s="94"/>
    </row>
    <row r="26" spans="1:44" ht="12" customHeight="1" x14ac:dyDescent="0.3">
      <c r="A26" s="58">
        <v>18</v>
      </c>
      <c r="B26" s="89" t="str">
        <f>'C. FILIACION'!B25</f>
        <v>TORREZ PACO CARLA MILENKA</v>
      </c>
      <c r="C26" s="31">
        <v>10</v>
      </c>
      <c r="D26" s="31">
        <v>15</v>
      </c>
      <c r="E26" s="31">
        <v>0</v>
      </c>
      <c r="F26" s="31"/>
      <c r="G26" s="31"/>
      <c r="H26" s="31"/>
      <c r="I26" s="31"/>
      <c r="J26" s="31"/>
      <c r="K26" s="31"/>
      <c r="L26" s="31"/>
      <c r="M26" s="31"/>
      <c r="N26" s="31"/>
      <c r="O26" s="91">
        <f t="shared" si="0"/>
        <v>8</v>
      </c>
      <c r="P26" s="31">
        <v>0</v>
      </c>
      <c r="Q26" s="31">
        <v>0</v>
      </c>
      <c r="R26" s="31">
        <v>0</v>
      </c>
      <c r="S26" s="31"/>
      <c r="T26" s="31"/>
      <c r="U26" s="31"/>
      <c r="V26" s="31"/>
      <c r="W26" s="31"/>
      <c r="X26" s="31"/>
      <c r="Y26" s="31"/>
      <c r="Z26" s="31"/>
      <c r="AA26" s="31">
        <v>10</v>
      </c>
      <c r="AB26" s="91">
        <f t="shared" si="1"/>
        <v>0</v>
      </c>
      <c r="AC26" s="31">
        <v>5</v>
      </c>
      <c r="AD26" s="31">
        <v>5</v>
      </c>
      <c r="AE26" s="91">
        <f t="shared" si="2"/>
        <v>10</v>
      </c>
      <c r="AF26" s="92" t="str">
        <f t="shared" si="3"/>
        <v>ED</v>
      </c>
      <c r="AG26" s="91">
        <f t="shared" si="4"/>
        <v>38</v>
      </c>
      <c r="AH26" s="268" t="str">
        <f t="shared" si="5"/>
        <v>REPROBADO</v>
      </c>
      <c r="AI26" s="269"/>
      <c r="AJ26" s="269"/>
      <c r="AK26" s="269"/>
      <c r="AL26" s="269"/>
      <c r="AM26" s="270"/>
      <c r="AN26" s="94"/>
      <c r="AO26" s="94"/>
      <c r="AP26" s="94"/>
      <c r="AQ26" s="94"/>
      <c r="AR26" s="94"/>
    </row>
    <row r="27" spans="1:44" ht="12" customHeight="1" x14ac:dyDescent="0.3">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68" t="str">
        <f t="shared" si="5"/>
        <v>REPROBADO</v>
      </c>
      <c r="AI27" s="269"/>
      <c r="AJ27" s="269"/>
      <c r="AK27" s="269"/>
      <c r="AL27" s="269"/>
      <c r="AM27" s="270"/>
      <c r="AN27" s="94"/>
      <c r="AO27" s="94"/>
      <c r="AP27" s="94"/>
      <c r="AQ27" s="94"/>
      <c r="AR27" s="94"/>
    </row>
    <row r="28" spans="1:44" ht="12" customHeight="1" x14ac:dyDescent="0.3">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68" t="str">
        <f t="shared" si="5"/>
        <v>REPROBADO</v>
      </c>
      <c r="AI28" s="269"/>
      <c r="AJ28" s="269"/>
      <c r="AK28" s="269"/>
      <c r="AL28" s="269"/>
      <c r="AM28" s="270"/>
      <c r="AN28" s="94"/>
      <c r="AO28" s="94"/>
      <c r="AP28" s="94"/>
      <c r="AQ28" s="94"/>
      <c r="AR28" s="94"/>
    </row>
    <row r="29" spans="1:44" ht="12" customHeight="1" x14ac:dyDescent="0.3">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68" t="str">
        <f t="shared" si="5"/>
        <v>REPROBADO</v>
      </c>
      <c r="AI29" s="269"/>
      <c r="AJ29" s="269"/>
      <c r="AK29" s="269"/>
      <c r="AL29" s="269"/>
      <c r="AM29" s="270"/>
      <c r="AN29" s="94"/>
      <c r="AO29" s="94"/>
      <c r="AP29" s="94"/>
      <c r="AQ29" s="94"/>
      <c r="AR29" s="94"/>
    </row>
    <row r="30" spans="1:44" ht="12" customHeight="1" x14ac:dyDescent="0.3">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68" t="str">
        <f t="shared" si="5"/>
        <v>REPROBADO</v>
      </c>
      <c r="AI30" s="269"/>
      <c r="AJ30" s="269"/>
      <c r="AK30" s="269"/>
      <c r="AL30" s="269"/>
      <c r="AM30" s="270"/>
      <c r="AN30" s="94"/>
      <c r="AO30" s="94"/>
      <c r="AP30" s="94"/>
      <c r="AQ30" s="94"/>
      <c r="AR30" s="94"/>
    </row>
    <row r="31" spans="1:44" ht="12" customHeight="1" x14ac:dyDescent="0.3">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68" t="str">
        <f t="shared" si="5"/>
        <v>REPROBADO</v>
      </c>
      <c r="AI31" s="269"/>
      <c r="AJ31" s="269"/>
      <c r="AK31" s="269"/>
      <c r="AL31" s="269"/>
      <c r="AM31" s="270"/>
      <c r="AN31" s="94"/>
      <c r="AO31" s="94"/>
      <c r="AP31" s="94"/>
      <c r="AQ31" s="94"/>
      <c r="AR31" s="94"/>
    </row>
    <row r="32" spans="1:44" ht="12" customHeight="1" x14ac:dyDescent="0.3">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68" t="str">
        <f t="shared" si="5"/>
        <v>REPROBADO</v>
      </c>
      <c r="AI32" s="269"/>
      <c r="AJ32" s="269"/>
      <c r="AK32" s="269"/>
      <c r="AL32" s="269"/>
      <c r="AM32" s="270"/>
      <c r="AN32" s="94"/>
      <c r="AO32" s="94"/>
      <c r="AP32" s="94"/>
      <c r="AQ32" s="94"/>
      <c r="AR32" s="94"/>
    </row>
    <row r="33" spans="1:44" ht="12" customHeight="1" x14ac:dyDescent="0.3">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68" t="str">
        <f t="shared" si="5"/>
        <v>REPROBADO</v>
      </c>
      <c r="AI33" s="269"/>
      <c r="AJ33" s="269"/>
      <c r="AK33" s="269"/>
      <c r="AL33" s="269"/>
      <c r="AM33" s="270"/>
      <c r="AN33" s="94"/>
      <c r="AO33" s="94"/>
      <c r="AP33" s="94"/>
      <c r="AQ33" s="94"/>
      <c r="AR33" s="94"/>
    </row>
    <row r="34" spans="1:44" ht="12" customHeight="1" x14ac:dyDescent="0.3">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68" t="str">
        <f t="shared" si="5"/>
        <v>REPROBADO</v>
      </c>
      <c r="AI34" s="269"/>
      <c r="AJ34" s="269"/>
      <c r="AK34" s="269"/>
      <c r="AL34" s="269"/>
      <c r="AM34" s="270"/>
      <c r="AN34" s="94"/>
      <c r="AO34" s="94"/>
      <c r="AP34" s="94"/>
      <c r="AQ34" s="94"/>
      <c r="AR34" s="94"/>
    </row>
    <row r="35" spans="1:44" ht="12" customHeight="1" x14ac:dyDescent="0.3">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68" t="str">
        <f t="shared" si="5"/>
        <v>REPROBADO</v>
      </c>
      <c r="AI35" s="269"/>
      <c r="AJ35" s="269"/>
      <c r="AK35" s="269"/>
      <c r="AL35" s="269"/>
      <c r="AM35" s="270"/>
      <c r="AN35" s="94"/>
      <c r="AO35" s="94"/>
      <c r="AP35" s="94"/>
      <c r="AQ35" s="94"/>
      <c r="AR35" s="94"/>
    </row>
    <row r="36" spans="1:44" ht="12" customHeight="1" x14ac:dyDescent="0.3">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68" t="str">
        <f t="shared" si="5"/>
        <v>REPROBADO</v>
      </c>
      <c r="AI36" s="269"/>
      <c r="AJ36" s="269"/>
      <c r="AK36" s="269"/>
      <c r="AL36" s="269"/>
      <c r="AM36" s="270"/>
      <c r="AN36" s="94"/>
      <c r="AO36" s="94"/>
      <c r="AP36" s="94"/>
      <c r="AQ36" s="94"/>
      <c r="AR36" s="94"/>
    </row>
    <row r="37" spans="1:44" ht="12" customHeight="1" x14ac:dyDescent="0.3">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68" t="str">
        <f t="shared" si="5"/>
        <v>APROBADO</v>
      </c>
      <c r="AI37" s="269"/>
      <c r="AJ37" s="269"/>
      <c r="AK37" s="269"/>
      <c r="AL37" s="269"/>
      <c r="AM37" s="270"/>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8" t="str">
        <f t="shared" si="5"/>
        <v>APROBADO</v>
      </c>
      <c r="AI38" s="269"/>
      <c r="AJ38" s="269"/>
      <c r="AK38" s="269"/>
      <c r="AL38" s="269"/>
      <c r="AM38" s="270"/>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8" t="str">
        <f t="shared" si="5"/>
        <v>APROBADO</v>
      </c>
      <c r="AI39" s="269"/>
      <c r="AJ39" s="269"/>
      <c r="AK39" s="269"/>
      <c r="AL39" s="269"/>
      <c r="AM39" s="270"/>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8" t="str">
        <f t="shared" si="5"/>
        <v>APROBADO</v>
      </c>
      <c r="AI40" s="269"/>
      <c r="AJ40" s="269"/>
      <c r="AK40" s="269"/>
      <c r="AL40" s="269"/>
      <c r="AM40" s="270"/>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8" t="str">
        <f t="shared" si="5"/>
        <v>APROBADO</v>
      </c>
      <c r="AI41" s="269"/>
      <c r="AJ41" s="269"/>
      <c r="AK41" s="269"/>
      <c r="AL41" s="269"/>
      <c r="AM41" s="270"/>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8" t="str">
        <f t="shared" si="5"/>
        <v>APROBADO</v>
      </c>
      <c r="AI42" s="269"/>
      <c r="AJ42" s="269"/>
      <c r="AK42" s="269"/>
      <c r="AL42" s="269"/>
      <c r="AM42" s="270"/>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8" t="str">
        <f t="shared" si="5"/>
        <v>APROBADO</v>
      </c>
      <c r="AI43" s="269"/>
      <c r="AJ43" s="269"/>
      <c r="AK43" s="269"/>
      <c r="AL43" s="269"/>
      <c r="AM43" s="270"/>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8" t="str">
        <f t="shared" si="5"/>
        <v>APROBADO</v>
      </c>
      <c r="AI44" s="269"/>
      <c r="AJ44" s="269"/>
      <c r="AK44" s="269"/>
      <c r="AL44" s="269"/>
      <c r="AM44" s="270"/>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87" t="s">
        <v>101</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4"/>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85" t="s">
        <v>50</v>
      </c>
      <c r="AD3" s="269"/>
      <c r="AE3" s="269"/>
      <c r="AF3" s="269"/>
      <c r="AG3" s="269"/>
      <c r="AH3" s="270"/>
      <c r="AI3" s="230">
        <f>CARÁTULA!$H$24</f>
        <v>44440</v>
      </c>
      <c r="AJ3" s="212"/>
      <c r="AK3" s="212"/>
      <c r="AL3" s="212"/>
      <c r="AM3" s="212"/>
      <c r="AN3" s="288" t="s">
        <v>51</v>
      </c>
      <c r="AO3" s="203"/>
      <c r="AP3" s="203"/>
      <c r="AQ3" s="203"/>
      <c r="AR3" s="204"/>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85" t="s">
        <v>53</v>
      </c>
      <c r="AD4" s="269"/>
      <c r="AE4" s="269"/>
      <c r="AF4" s="269"/>
      <c r="AG4" s="269"/>
      <c r="AH4" s="270"/>
      <c r="AI4" s="230">
        <f>CARÁTULA!$J$24</f>
        <v>44531</v>
      </c>
      <c r="AJ4" s="212"/>
      <c r="AK4" s="212"/>
      <c r="AL4" s="212"/>
      <c r="AM4" s="212"/>
      <c r="AN4" s="267">
        <f ca="1">AI4-AI5</f>
        <v>111</v>
      </c>
      <c r="AO4" s="222"/>
      <c r="AP4" s="222"/>
      <c r="AQ4" s="222"/>
      <c r="AR4" s="223"/>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81">
        <f ca="1">TODAY()</f>
        <v>44420</v>
      </c>
      <c r="T5" s="203"/>
      <c r="U5" s="203"/>
      <c r="V5" s="203"/>
      <c r="W5" s="203"/>
      <c r="X5" s="203"/>
      <c r="Y5" s="203"/>
      <c r="Z5" s="203"/>
      <c r="AA5" s="204"/>
      <c r="AB5" s="75"/>
      <c r="AC5" s="286" t="s">
        <v>54</v>
      </c>
      <c r="AD5" s="269"/>
      <c r="AE5" s="269"/>
      <c r="AF5" s="269"/>
      <c r="AG5" s="269"/>
      <c r="AH5" s="270"/>
      <c r="AI5" s="289">
        <f ca="1">TODAY()</f>
        <v>44420</v>
      </c>
      <c r="AJ5" s="212"/>
      <c r="AK5" s="212"/>
      <c r="AL5" s="212"/>
      <c r="AM5" s="212"/>
      <c r="AN5" s="224"/>
      <c r="AO5" s="225"/>
      <c r="AP5" s="225"/>
      <c r="AQ5" s="225"/>
      <c r="AR5" s="226"/>
    </row>
    <row r="6" spans="1:48" ht="12.75" customHeight="1" x14ac:dyDescent="0.35">
      <c r="A6" s="70"/>
      <c r="B6" s="73"/>
      <c r="C6" s="218" t="s">
        <v>79</v>
      </c>
      <c r="D6" s="219"/>
      <c r="E6" s="219"/>
      <c r="F6" s="219"/>
      <c r="G6" s="219"/>
      <c r="H6" s="219"/>
      <c r="I6" s="219"/>
      <c r="J6" s="219"/>
      <c r="K6" s="219"/>
      <c r="L6" s="219"/>
      <c r="M6" s="219"/>
      <c r="N6" s="219"/>
      <c r="O6" s="219"/>
      <c r="P6" s="219"/>
      <c r="Q6" s="219"/>
      <c r="R6" s="219"/>
      <c r="S6" s="219"/>
      <c r="T6" s="219"/>
      <c r="U6" s="219"/>
      <c r="V6" s="219"/>
      <c r="W6" s="219"/>
      <c r="X6" s="219"/>
      <c r="Y6" s="219"/>
      <c r="Z6" s="219"/>
      <c r="AA6" s="220"/>
      <c r="AB6" s="282" t="s">
        <v>80</v>
      </c>
      <c r="AC6" s="269"/>
      <c r="AD6" s="269"/>
      <c r="AE6" s="270"/>
      <c r="AF6" s="79"/>
      <c r="AG6" s="80"/>
      <c r="AH6" s="80"/>
      <c r="AI6" s="81"/>
      <c r="AJ6" s="82"/>
      <c r="AK6" s="82"/>
      <c r="AL6" s="82"/>
      <c r="AM6" s="82"/>
      <c r="AN6" s="83"/>
      <c r="AO6" s="83"/>
      <c r="AP6" s="83"/>
      <c r="AQ6" s="83"/>
      <c r="AR6" s="83"/>
    </row>
    <row r="7" spans="1:48" ht="12" customHeight="1" x14ac:dyDescent="0.35">
      <c r="A7" s="70"/>
      <c r="B7" s="84"/>
      <c r="C7" s="283" t="s">
        <v>81</v>
      </c>
      <c r="D7" s="284" t="s">
        <v>82</v>
      </c>
      <c r="E7" s="269"/>
      <c r="F7" s="269"/>
      <c r="G7" s="269"/>
      <c r="H7" s="269"/>
      <c r="I7" s="269"/>
      <c r="J7" s="269"/>
      <c r="K7" s="269"/>
      <c r="L7" s="269"/>
      <c r="M7" s="269"/>
      <c r="N7" s="269"/>
      <c r="O7" s="280" t="s">
        <v>83</v>
      </c>
      <c r="P7" s="284" t="s">
        <v>84</v>
      </c>
      <c r="Q7" s="269"/>
      <c r="R7" s="269"/>
      <c r="S7" s="269"/>
      <c r="T7" s="269"/>
      <c r="U7" s="269"/>
      <c r="V7" s="269"/>
      <c r="W7" s="269"/>
      <c r="X7" s="269"/>
      <c r="Y7" s="269"/>
      <c r="Z7" s="269"/>
      <c r="AA7" s="279" t="s">
        <v>85</v>
      </c>
      <c r="AB7" s="280" t="s">
        <v>83</v>
      </c>
      <c r="AC7" s="279" t="s">
        <v>86</v>
      </c>
      <c r="AD7" s="279" t="s">
        <v>87</v>
      </c>
      <c r="AE7" s="280" t="s">
        <v>83</v>
      </c>
      <c r="AF7" s="272" t="s">
        <v>88</v>
      </c>
      <c r="AG7" s="274" t="s">
        <v>89</v>
      </c>
      <c r="AH7" s="275" t="s">
        <v>90</v>
      </c>
      <c r="AI7" s="219"/>
      <c r="AJ7" s="219"/>
      <c r="AK7" s="219"/>
      <c r="AL7" s="219"/>
      <c r="AM7" s="220"/>
      <c r="AN7" s="85"/>
      <c r="AO7" s="75"/>
      <c r="AP7" s="75"/>
      <c r="AQ7" s="75"/>
      <c r="AR7" s="70"/>
    </row>
    <row r="8" spans="1:48" ht="67.5" customHeight="1" x14ac:dyDescent="0.3">
      <c r="A8" s="48" t="s">
        <v>55</v>
      </c>
      <c r="B8" s="49" t="s">
        <v>56</v>
      </c>
      <c r="C8" s="273"/>
      <c r="D8" s="53"/>
      <c r="E8" s="53"/>
      <c r="F8" s="53"/>
      <c r="G8" s="53"/>
      <c r="H8" s="53"/>
      <c r="I8" s="53"/>
      <c r="J8" s="53"/>
      <c r="K8" s="53"/>
      <c r="L8" s="53"/>
      <c r="M8" s="53"/>
      <c r="N8" s="54"/>
      <c r="O8" s="273"/>
      <c r="P8" s="95"/>
      <c r="Q8" s="53"/>
      <c r="R8" s="53"/>
      <c r="S8" s="53"/>
      <c r="T8" s="53"/>
      <c r="U8" s="53"/>
      <c r="V8" s="53"/>
      <c r="W8" s="53"/>
      <c r="X8" s="53"/>
      <c r="Y8" s="53"/>
      <c r="Z8" s="53"/>
      <c r="AA8" s="273"/>
      <c r="AB8" s="273"/>
      <c r="AC8" s="273"/>
      <c r="AD8" s="273"/>
      <c r="AE8" s="273"/>
      <c r="AF8" s="273"/>
      <c r="AG8" s="273"/>
      <c r="AH8" s="276"/>
      <c r="AI8" s="277"/>
      <c r="AJ8" s="277"/>
      <c r="AK8" s="277"/>
      <c r="AL8" s="277"/>
      <c r="AM8" s="278"/>
      <c r="AN8" s="87"/>
      <c r="AO8" s="87"/>
      <c r="AP8" s="87"/>
      <c r="AQ8" s="87"/>
      <c r="AR8" s="88"/>
    </row>
    <row r="9" spans="1:48" ht="12" customHeight="1" x14ac:dyDescent="0.3">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68" t="str">
        <f t="shared" ref="AH9:AH44" si="5">IF(AG9="","",(IF(AND(AG9&gt;=1,AG9&lt;=50.499),"REPROBADO",IF(AND(AG9&gt;=50.5,AG9&lt;=100),"APROBADO"))))</f>
        <v>APROBADO</v>
      </c>
      <c r="AI9" s="269"/>
      <c r="AJ9" s="269"/>
      <c r="AK9" s="269"/>
      <c r="AL9" s="269"/>
      <c r="AM9" s="270"/>
      <c r="AN9" s="93" t="s">
        <v>96</v>
      </c>
      <c r="AO9" s="271">
        <f>COUNTIF(AF9:AF44,"ED")</f>
        <v>0</v>
      </c>
      <c r="AP9" s="270"/>
      <c r="AQ9" s="94"/>
      <c r="AR9" s="94"/>
    </row>
    <row r="10" spans="1:48" ht="12" customHeight="1" x14ac:dyDescent="0.3">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68" t="str">
        <f t="shared" si="5"/>
        <v>APROBADO</v>
      </c>
      <c r="AI10" s="269"/>
      <c r="AJ10" s="269"/>
      <c r="AK10" s="269"/>
      <c r="AL10" s="269"/>
      <c r="AM10" s="270"/>
      <c r="AN10" s="48" t="s">
        <v>97</v>
      </c>
      <c r="AO10" s="271">
        <f>COUNTIF(AF9:AF44,"DA")</f>
        <v>0</v>
      </c>
      <c r="AP10" s="270"/>
      <c r="AQ10" s="94"/>
      <c r="AR10" s="94"/>
    </row>
    <row r="11" spans="1:48" ht="12" customHeight="1" x14ac:dyDescent="0.3">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68" t="str">
        <f t="shared" si="5"/>
        <v>APROBADO</v>
      </c>
      <c r="AI11" s="269"/>
      <c r="AJ11" s="269"/>
      <c r="AK11" s="269"/>
      <c r="AL11" s="269"/>
      <c r="AM11" s="270"/>
      <c r="AN11" s="48" t="s">
        <v>98</v>
      </c>
      <c r="AO11" s="271">
        <f>COUNTIF(AF9:AF44,"DO")</f>
        <v>0</v>
      </c>
      <c r="AP11" s="270"/>
      <c r="AQ11" s="94"/>
      <c r="AR11" s="94"/>
    </row>
    <row r="12" spans="1:48" ht="12" customHeight="1" x14ac:dyDescent="0.3">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68" t="str">
        <f t="shared" si="5"/>
        <v>APROBADO</v>
      </c>
      <c r="AI12" s="269"/>
      <c r="AJ12" s="269"/>
      <c r="AK12" s="269"/>
      <c r="AL12" s="269"/>
      <c r="AM12" s="270"/>
      <c r="AN12" s="48" t="s">
        <v>99</v>
      </c>
      <c r="AO12" s="271">
        <f>COUNTIF(AF9:AF44,"DP")</f>
        <v>36</v>
      </c>
      <c r="AP12" s="270"/>
      <c r="AQ12" s="94"/>
      <c r="AR12" s="94"/>
    </row>
    <row r="13" spans="1:48" ht="12" customHeight="1" x14ac:dyDescent="0.3">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68" t="str">
        <f t="shared" si="5"/>
        <v>APROBADO</v>
      </c>
      <c r="AI13" s="269"/>
      <c r="AJ13" s="269"/>
      <c r="AK13" s="269"/>
      <c r="AL13" s="269"/>
      <c r="AM13" s="270"/>
      <c r="AN13" s="94"/>
      <c r="AO13" s="94"/>
      <c r="AP13" s="94"/>
      <c r="AQ13" s="94"/>
      <c r="AR13" s="94"/>
    </row>
    <row r="14" spans="1:48" ht="12" customHeight="1" x14ac:dyDescent="0.3">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68" t="str">
        <f t="shared" si="5"/>
        <v>APROBADO</v>
      </c>
      <c r="AI14" s="269"/>
      <c r="AJ14" s="269"/>
      <c r="AK14" s="269"/>
      <c r="AL14" s="269"/>
      <c r="AM14" s="270"/>
      <c r="AN14" s="94"/>
      <c r="AO14" s="94"/>
      <c r="AP14" s="94"/>
      <c r="AQ14" s="94"/>
      <c r="AR14" s="94"/>
    </row>
    <row r="15" spans="1:48" ht="12" customHeight="1" x14ac:dyDescent="0.3">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68" t="str">
        <f t="shared" si="5"/>
        <v>APROBADO</v>
      </c>
      <c r="AI15" s="269"/>
      <c r="AJ15" s="269"/>
      <c r="AK15" s="269"/>
      <c r="AL15" s="269"/>
      <c r="AM15" s="270"/>
      <c r="AN15" s="94"/>
      <c r="AO15" s="94"/>
      <c r="AP15" s="94"/>
      <c r="AQ15" s="94"/>
      <c r="AR15" s="94"/>
    </row>
    <row r="16" spans="1:48" ht="12" customHeight="1" x14ac:dyDescent="0.3">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68" t="str">
        <f t="shared" si="5"/>
        <v>APROBADO</v>
      </c>
      <c r="AI16" s="269"/>
      <c r="AJ16" s="269"/>
      <c r="AK16" s="269"/>
      <c r="AL16" s="269"/>
      <c r="AM16" s="270"/>
      <c r="AN16" s="94"/>
      <c r="AO16" s="94"/>
      <c r="AP16" s="94"/>
      <c r="AQ16" s="94"/>
      <c r="AR16" s="94"/>
    </row>
    <row r="17" spans="1:44" ht="12" customHeight="1" x14ac:dyDescent="0.3">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68" t="str">
        <f t="shared" si="5"/>
        <v>APROBADO</v>
      </c>
      <c r="AI17" s="269"/>
      <c r="AJ17" s="269"/>
      <c r="AK17" s="269"/>
      <c r="AL17" s="269"/>
      <c r="AM17" s="270"/>
      <c r="AN17" s="94"/>
      <c r="AO17" s="94"/>
      <c r="AP17" s="94"/>
      <c r="AQ17" s="94"/>
      <c r="AR17" s="94"/>
    </row>
    <row r="18" spans="1:44" ht="12" customHeight="1" x14ac:dyDescent="0.3">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68" t="str">
        <f t="shared" si="5"/>
        <v>APROBADO</v>
      </c>
      <c r="AI18" s="269"/>
      <c r="AJ18" s="269"/>
      <c r="AK18" s="269"/>
      <c r="AL18" s="269"/>
      <c r="AM18" s="270"/>
      <c r="AN18" s="94"/>
      <c r="AO18" s="94"/>
      <c r="AP18" s="94"/>
      <c r="AQ18" s="94"/>
      <c r="AR18" s="94"/>
    </row>
    <row r="19" spans="1:44" ht="12" customHeight="1" x14ac:dyDescent="0.3">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68" t="str">
        <f t="shared" si="5"/>
        <v>APROBADO</v>
      </c>
      <c r="AI19" s="269"/>
      <c r="AJ19" s="269"/>
      <c r="AK19" s="269"/>
      <c r="AL19" s="269"/>
      <c r="AM19" s="270"/>
      <c r="AN19" s="94"/>
      <c r="AO19" s="94"/>
      <c r="AP19" s="94"/>
      <c r="AQ19" s="94"/>
      <c r="AR19" s="94"/>
    </row>
    <row r="20" spans="1:44" ht="12" customHeight="1" x14ac:dyDescent="0.3">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68" t="str">
        <f t="shared" si="5"/>
        <v>APROBADO</v>
      </c>
      <c r="AI20" s="269"/>
      <c r="AJ20" s="269"/>
      <c r="AK20" s="269"/>
      <c r="AL20" s="269"/>
      <c r="AM20" s="270"/>
      <c r="AN20" s="94"/>
      <c r="AO20" s="94"/>
      <c r="AP20" s="94"/>
      <c r="AQ20" s="94"/>
      <c r="AR20" s="94"/>
    </row>
    <row r="21" spans="1:44" ht="12" customHeight="1" x14ac:dyDescent="0.3">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68" t="str">
        <f t="shared" si="5"/>
        <v>APROBADO</v>
      </c>
      <c r="AI21" s="269"/>
      <c r="AJ21" s="269"/>
      <c r="AK21" s="269"/>
      <c r="AL21" s="269"/>
      <c r="AM21" s="270"/>
      <c r="AN21" s="94"/>
      <c r="AO21" s="94"/>
      <c r="AP21" s="94"/>
      <c r="AQ21" s="94"/>
      <c r="AR21" s="94"/>
    </row>
    <row r="22" spans="1:44" ht="12" customHeight="1" x14ac:dyDescent="0.3">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68" t="str">
        <f t="shared" si="5"/>
        <v>APROBADO</v>
      </c>
      <c r="AI22" s="269"/>
      <c r="AJ22" s="269"/>
      <c r="AK22" s="269"/>
      <c r="AL22" s="269"/>
      <c r="AM22" s="270"/>
      <c r="AN22" s="94"/>
      <c r="AO22" s="94"/>
      <c r="AP22" s="94"/>
      <c r="AQ22" s="94"/>
      <c r="AR22" s="94"/>
    </row>
    <row r="23" spans="1:44" ht="12" customHeight="1" x14ac:dyDescent="0.3">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68" t="str">
        <f t="shared" si="5"/>
        <v>APROBADO</v>
      </c>
      <c r="AI23" s="269"/>
      <c r="AJ23" s="269"/>
      <c r="AK23" s="269"/>
      <c r="AL23" s="269"/>
      <c r="AM23" s="270"/>
      <c r="AN23" s="94"/>
      <c r="AO23" s="94"/>
      <c r="AP23" s="94"/>
      <c r="AQ23" s="94"/>
      <c r="AR23" s="94"/>
    </row>
    <row r="24" spans="1:44" ht="12" customHeight="1" x14ac:dyDescent="0.3">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68" t="str">
        <f t="shared" si="5"/>
        <v>APROBADO</v>
      </c>
      <c r="AI24" s="269"/>
      <c r="AJ24" s="269"/>
      <c r="AK24" s="269"/>
      <c r="AL24" s="269"/>
      <c r="AM24" s="270"/>
      <c r="AN24" s="94"/>
      <c r="AO24" s="94"/>
      <c r="AP24" s="94"/>
      <c r="AQ24" s="94"/>
      <c r="AR24" s="94"/>
    </row>
    <row r="25" spans="1:44" ht="12" customHeight="1" x14ac:dyDescent="0.3">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68" t="str">
        <f t="shared" si="5"/>
        <v>APROBADO</v>
      </c>
      <c r="AI25" s="269"/>
      <c r="AJ25" s="269"/>
      <c r="AK25" s="269"/>
      <c r="AL25" s="269"/>
      <c r="AM25" s="270"/>
      <c r="AN25" s="94"/>
      <c r="AO25" s="94"/>
      <c r="AP25" s="94"/>
      <c r="AQ25" s="94"/>
      <c r="AR25" s="94"/>
    </row>
    <row r="26" spans="1:44" ht="12" customHeight="1" x14ac:dyDescent="0.3">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68" t="str">
        <f t="shared" si="5"/>
        <v>APROBADO</v>
      </c>
      <c r="AI26" s="269"/>
      <c r="AJ26" s="269"/>
      <c r="AK26" s="269"/>
      <c r="AL26" s="269"/>
      <c r="AM26" s="270"/>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68" t="str">
        <f t="shared" si="5"/>
        <v>APROBADO</v>
      </c>
      <c r="AI27" s="269"/>
      <c r="AJ27" s="269"/>
      <c r="AK27" s="269"/>
      <c r="AL27" s="269"/>
      <c r="AM27" s="270"/>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68" t="str">
        <f t="shared" si="5"/>
        <v>APROBADO</v>
      </c>
      <c r="AI28" s="269"/>
      <c r="AJ28" s="269"/>
      <c r="AK28" s="269"/>
      <c r="AL28" s="269"/>
      <c r="AM28" s="270"/>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68" t="str">
        <f t="shared" si="5"/>
        <v>APROBADO</v>
      </c>
      <c r="AI29" s="269"/>
      <c r="AJ29" s="269"/>
      <c r="AK29" s="269"/>
      <c r="AL29" s="269"/>
      <c r="AM29" s="270"/>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68" t="str">
        <f t="shared" si="5"/>
        <v>APROBADO</v>
      </c>
      <c r="AI30" s="269"/>
      <c r="AJ30" s="269"/>
      <c r="AK30" s="269"/>
      <c r="AL30" s="269"/>
      <c r="AM30" s="270"/>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68" t="str">
        <f t="shared" si="5"/>
        <v>APROBADO</v>
      </c>
      <c r="AI31" s="269"/>
      <c r="AJ31" s="269"/>
      <c r="AK31" s="269"/>
      <c r="AL31" s="269"/>
      <c r="AM31" s="270"/>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8" t="str">
        <f t="shared" si="5"/>
        <v>APROBADO</v>
      </c>
      <c r="AI32" s="269"/>
      <c r="AJ32" s="269"/>
      <c r="AK32" s="269"/>
      <c r="AL32" s="269"/>
      <c r="AM32" s="270"/>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8" t="str">
        <f t="shared" si="5"/>
        <v>APROBADO</v>
      </c>
      <c r="AI33" s="269"/>
      <c r="AJ33" s="269"/>
      <c r="AK33" s="269"/>
      <c r="AL33" s="269"/>
      <c r="AM33" s="270"/>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8" t="str">
        <f t="shared" si="5"/>
        <v>APROBADO</v>
      </c>
      <c r="AI34" s="269"/>
      <c r="AJ34" s="269"/>
      <c r="AK34" s="269"/>
      <c r="AL34" s="269"/>
      <c r="AM34" s="270"/>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8" t="str">
        <f t="shared" si="5"/>
        <v>APROBADO</v>
      </c>
      <c r="AI35" s="269"/>
      <c r="AJ35" s="269"/>
      <c r="AK35" s="269"/>
      <c r="AL35" s="269"/>
      <c r="AM35" s="270"/>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8" t="str">
        <f t="shared" si="5"/>
        <v>APROBADO</v>
      </c>
      <c r="AI36" s="269"/>
      <c r="AJ36" s="269"/>
      <c r="AK36" s="269"/>
      <c r="AL36" s="269"/>
      <c r="AM36" s="270"/>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8" t="str">
        <f t="shared" si="5"/>
        <v>APROBADO</v>
      </c>
      <c r="AI37" s="269"/>
      <c r="AJ37" s="269"/>
      <c r="AK37" s="269"/>
      <c r="AL37" s="269"/>
      <c r="AM37" s="270"/>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8" t="str">
        <f t="shared" si="5"/>
        <v>APROBADO</v>
      </c>
      <c r="AI38" s="269"/>
      <c r="AJ38" s="269"/>
      <c r="AK38" s="269"/>
      <c r="AL38" s="269"/>
      <c r="AM38" s="270"/>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8" t="str">
        <f t="shared" si="5"/>
        <v>APROBADO</v>
      </c>
      <c r="AI39" s="269"/>
      <c r="AJ39" s="269"/>
      <c r="AK39" s="269"/>
      <c r="AL39" s="269"/>
      <c r="AM39" s="270"/>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8" t="str">
        <f t="shared" si="5"/>
        <v>APROBADO</v>
      </c>
      <c r="AI40" s="269"/>
      <c r="AJ40" s="269"/>
      <c r="AK40" s="269"/>
      <c r="AL40" s="269"/>
      <c r="AM40" s="270"/>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8" t="str">
        <f t="shared" si="5"/>
        <v>APROBADO</v>
      </c>
      <c r="AI41" s="269"/>
      <c r="AJ41" s="269"/>
      <c r="AK41" s="269"/>
      <c r="AL41" s="269"/>
      <c r="AM41" s="270"/>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8" t="str">
        <f t="shared" si="5"/>
        <v>APROBADO</v>
      </c>
      <c r="AI42" s="269"/>
      <c r="AJ42" s="269"/>
      <c r="AK42" s="269"/>
      <c r="AL42" s="269"/>
      <c r="AM42" s="270"/>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8" t="str">
        <f t="shared" si="5"/>
        <v>APROBADO</v>
      </c>
      <c r="AI43" s="269"/>
      <c r="AJ43" s="269"/>
      <c r="AK43" s="269"/>
      <c r="AL43" s="269"/>
      <c r="AM43" s="270"/>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8" t="str">
        <f t="shared" si="5"/>
        <v>APROBADO</v>
      </c>
      <c r="AI44" s="269"/>
      <c r="AJ44" s="269"/>
      <c r="AK44" s="269"/>
      <c r="AL44" s="269"/>
      <c r="AM44" s="270"/>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16" t="s">
        <v>102</v>
      </c>
      <c r="C2" s="212"/>
      <c r="D2" s="212"/>
      <c r="E2" s="212"/>
      <c r="F2" s="212"/>
      <c r="G2" s="212"/>
      <c r="H2" s="212"/>
      <c r="I2" s="212"/>
      <c r="J2" s="212"/>
      <c r="K2" s="212"/>
      <c r="L2" s="212"/>
      <c r="M2" s="212"/>
      <c r="N2" s="212"/>
      <c r="O2" s="212"/>
      <c r="P2" s="212"/>
      <c r="Q2" s="212"/>
      <c r="R2" s="212"/>
      <c r="S2" s="212"/>
      <c r="T2" s="212"/>
      <c r="U2" s="212"/>
      <c r="V2" s="212"/>
      <c r="W2" s="212"/>
      <c r="X2" s="212"/>
      <c r="Y2" s="72"/>
      <c r="Z2" s="72"/>
      <c r="AA2" s="72"/>
      <c r="AB2" s="72"/>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6" t="str">
        <f>CARÁTULA!$C$23</f>
        <v>4to de Secundaria</v>
      </c>
      <c r="D5" s="40"/>
      <c r="E5" s="40"/>
      <c r="F5" s="40"/>
      <c r="G5" s="40"/>
      <c r="H5" s="40"/>
      <c r="I5" s="40"/>
      <c r="J5" s="40"/>
      <c r="K5" s="40"/>
      <c r="L5" s="40"/>
      <c r="M5" s="40"/>
      <c r="N5" s="38"/>
      <c r="O5" s="38"/>
      <c r="P5" s="38"/>
      <c r="Q5" s="38"/>
      <c r="R5" s="43" t="s">
        <v>23</v>
      </c>
      <c r="S5" s="44"/>
      <c r="T5" s="44"/>
      <c r="U5" s="230">
        <f ca="1">TODAY()</f>
        <v>44420</v>
      </c>
      <c r="V5" s="212"/>
      <c r="W5" s="212"/>
      <c r="X5" s="212"/>
    </row>
    <row r="6" spans="1:28" ht="12.75" customHeight="1" x14ac:dyDescent="0.3">
      <c r="B6" s="38"/>
      <c r="C6" s="302" t="s">
        <v>4</v>
      </c>
      <c r="D6" s="269"/>
      <c r="E6" s="269"/>
      <c r="F6" s="269"/>
      <c r="G6" s="269"/>
      <c r="H6" s="270"/>
      <c r="I6" s="302" t="s">
        <v>10</v>
      </c>
      <c r="J6" s="269"/>
      <c r="K6" s="269"/>
      <c r="L6" s="269"/>
      <c r="M6" s="269"/>
      <c r="N6" s="270"/>
      <c r="O6" s="302" t="s">
        <v>16</v>
      </c>
      <c r="P6" s="269"/>
      <c r="Q6" s="269"/>
      <c r="R6" s="269"/>
      <c r="S6" s="269"/>
      <c r="T6" s="270"/>
      <c r="U6" s="307" t="s">
        <v>103</v>
      </c>
      <c r="V6" s="303" t="s">
        <v>104</v>
      </c>
      <c r="W6" s="67"/>
      <c r="X6" s="67"/>
    </row>
    <row r="7" spans="1:28" ht="12" customHeight="1" x14ac:dyDescent="0.3">
      <c r="B7" s="47"/>
      <c r="C7" s="305"/>
      <c r="D7" s="269"/>
      <c r="E7" s="269"/>
      <c r="F7" s="269"/>
      <c r="G7" s="270"/>
      <c r="H7" s="306" t="s">
        <v>105</v>
      </c>
      <c r="I7" s="305"/>
      <c r="J7" s="269"/>
      <c r="K7" s="269"/>
      <c r="L7" s="269"/>
      <c r="M7" s="270"/>
      <c r="N7" s="306" t="s">
        <v>105</v>
      </c>
      <c r="O7" s="305"/>
      <c r="P7" s="269"/>
      <c r="Q7" s="269"/>
      <c r="R7" s="269"/>
      <c r="S7" s="270"/>
      <c r="T7" s="283" t="s">
        <v>105</v>
      </c>
      <c r="U7" s="304"/>
      <c r="V7" s="304"/>
      <c r="W7" s="40"/>
      <c r="X7" s="40"/>
    </row>
    <row r="8" spans="1:28" ht="67.5" customHeight="1" x14ac:dyDescent="0.3">
      <c r="A8" s="48" t="s">
        <v>55</v>
      </c>
      <c r="B8" s="49" t="s">
        <v>56</v>
      </c>
      <c r="C8" s="97" t="s">
        <v>81</v>
      </c>
      <c r="D8" s="98" t="s">
        <v>82</v>
      </c>
      <c r="E8" s="98" t="s">
        <v>84</v>
      </c>
      <c r="F8" s="98" t="s">
        <v>85</v>
      </c>
      <c r="G8" s="98" t="s">
        <v>106</v>
      </c>
      <c r="H8" s="273"/>
      <c r="I8" s="97" t="s">
        <v>81</v>
      </c>
      <c r="J8" s="98" t="s">
        <v>82</v>
      </c>
      <c r="K8" s="98" t="s">
        <v>84</v>
      </c>
      <c r="L8" s="98" t="s">
        <v>85</v>
      </c>
      <c r="M8" s="98" t="s">
        <v>106</v>
      </c>
      <c r="N8" s="273"/>
      <c r="O8" s="97" t="s">
        <v>81</v>
      </c>
      <c r="P8" s="98" t="s">
        <v>82</v>
      </c>
      <c r="Q8" s="98" t="s">
        <v>84</v>
      </c>
      <c r="R8" s="98" t="s">
        <v>85</v>
      </c>
      <c r="S8" s="98" t="s">
        <v>106</v>
      </c>
      <c r="T8" s="273"/>
      <c r="U8" s="273"/>
      <c r="V8" s="273"/>
      <c r="W8" s="99"/>
      <c r="X8" s="99"/>
    </row>
    <row r="9" spans="1:28" ht="12" customHeight="1" x14ac:dyDescent="0.3">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12</v>
      </c>
      <c r="K9" s="31">
        <f>'VAL 2 TRIM'!AB9</f>
        <v>18</v>
      </c>
      <c r="L9" s="31">
        <f>'VAL 2 TRIM'!AA9</f>
        <v>10</v>
      </c>
      <c r="M9" s="31">
        <f>'VAL 2 TRIM'!AE9</f>
        <v>10</v>
      </c>
      <c r="N9" s="100">
        <f>'VAL 2 TRIM'!AG9</f>
        <v>60</v>
      </c>
      <c r="O9" s="31">
        <f>'VAL 3 TRIM'!C9</f>
        <v>10</v>
      </c>
      <c r="P9" s="31">
        <f>'VAL 3 TRIM'!O9</f>
        <v>35</v>
      </c>
      <c r="Q9" s="31">
        <f>'VAL 3 TRIM'!AB9</f>
        <v>35</v>
      </c>
      <c r="R9" s="31">
        <f>'VAL 3 TRIM'!AA9</f>
        <v>10</v>
      </c>
      <c r="S9" s="31">
        <f>'VAL 3 TRIM'!AE9</f>
        <v>10</v>
      </c>
      <c r="T9" s="100">
        <f>'VAL 3 TRIM'!AG9</f>
        <v>100</v>
      </c>
      <c r="U9" s="101">
        <f t="shared" ref="U9:U44" si="0">AVERAGE(H9,N9,T9)</f>
        <v>83.333333333333329</v>
      </c>
      <c r="V9" s="102" t="str">
        <f t="shared" ref="V9:V44" si="1">IF(U9="","",(IF(AND(U9&gt;=1,U9&lt;=50.499),"REPROBADO",IF(AND(U9&gt;=50.5,U9&lt;=100),"APROBADO"))))</f>
        <v>APROBADO</v>
      </c>
      <c r="W9" s="103"/>
      <c r="X9" s="103"/>
    </row>
    <row r="10" spans="1:28" ht="12" customHeight="1" x14ac:dyDescent="0.3">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5</v>
      </c>
      <c r="K10" s="31">
        <f>'VAL 2 TRIM'!AB10</f>
        <v>0</v>
      </c>
      <c r="L10" s="31">
        <f>'VAL 2 TRIM'!AA10</f>
        <v>10</v>
      </c>
      <c r="M10" s="31">
        <f>'VAL 2 TRIM'!AE10</f>
        <v>10</v>
      </c>
      <c r="N10" s="100">
        <f>'VAL 2 TRIM'!AG10</f>
        <v>35</v>
      </c>
      <c r="O10" s="31">
        <f>'VAL 3 TRIM'!C10</f>
        <v>10</v>
      </c>
      <c r="P10" s="31">
        <f>'VAL 3 TRIM'!O10</f>
        <v>35</v>
      </c>
      <c r="Q10" s="31">
        <f>'VAL 3 TRIM'!AB10</f>
        <v>35</v>
      </c>
      <c r="R10" s="31">
        <f>'VAL 3 TRIM'!AA10</f>
        <v>10</v>
      </c>
      <c r="S10" s="48">
        <f>'VAL 3 TRIM'!AE10</f>
        <v>10</v>
      </c>
      <c r="T10" s="100">
        <f>'VAL 3 TRIM'!AG10</f>
        <v>100</v>
      </c>
      <c r="U10" s="101">
        <f t="shared" si="0"/>
        <v>63.333333333333336</v>
      </c>
      <c r="V10" s="102" t="str">
        <f t="shared" si="1"/>
        <v>APROBADO</v>
      </c>
      <c r="W10" s="103"/>
      <c r="X10" s="103"/>
    </row>
    <row r="11" spans="1:28" ht="12" customHeight="1" x14ac:dyDescent="0.3">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0</v>
      </c>
      <c r="K11" s="31">
        <f>'VAL 2 TRIM'!AB11</f>
        <v>0</v>
      </c>
      <c r="L11" s="31">
        <f>'VAL 2 TRIM'!AA11</f>
        <v>10</v>
      </c>
      <c r="M11" s="31">
        <f>'VAL 2 TRIM'!AE11</f>
        <v>10</v>
      </c>
      <c r="N11" s="100">
        <f>'VAL 2 TRIM'!AG11</f>
        <v>30</v>
      </c>
      <c r="O11" s="31">
        <f>'VAL 3 TRIM'!C11</f>
        <v>10</v>
      </c>
      <c r="P11" s="31">
        <f>'VAL 3 TRIM'!O11</f>
        <v>35</v>
      </c>
      <c r="Q11" s="31">
        <f>'VAL 3 TRIM'!AB11</f>
        <v>35</v>
      </c>
      <c r="R11" s="31">
        <f>'VAL 3 TRIM'!AA11</f>
        <v>10</v>
      </c>
      <c r="S11" s="48">
        <f>'VAL 3 TRIM'!AE11</f>
        <v>10</v>
      </c>
      <c r="T11" s="100">
        <f>'VAL 3 TRIM'!AG11</f>
        <v>100</v>
      </c>
      <c r="U11" s="101">
        <f t="shared" si="0"/>
        <v>63.666666666666664</v>
      </c>
      <c r="V11" s="102" t="str">
        <f t="shared" si="1"/>
        <v>APROBADO</v>
      </c>
      <c r="W11" s="103"/>
      <c r="X11" s="103"/>
    </row>
    <row r="12" spans="1:28" ht="12" customHeight="1" x14ac:dyDescent="0.3">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73.333333333333329</v>
      </c>
      <c r="V12" s="102" t="str">
        <f t="shared" si="1"/>
        <v>APROBADO</v>
      </c>
      <c r="W12" s="103"/>
      <c r="X12" s="103"/>
    </row>
    <row r="13" spans="1:28" ht="12" customHeight="1" x14ac:dyDescent="0.3">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33</v>
      </c>
      <c r="K13" s="31">
        <f>'VAL 2 TRIM'!AB13</f>
        <v>23</v>
      </c>
      <c r="L13" s="31">
        <f>'VAL 2 TRIM'!AA13</f>
        <v>10</v>
      </c>
      <c r="M13" s="31">
        <f>'VAL 2 TRIM'!AE13</f>
        <v>10</v>
      </c>
      <c r="N13" s="100">
        <f>'VAL 2 TRIM'!AG13</f>
        <v>86</v>
      </c>
      <c r="O13" s="31">
        <f>'VAL 3 TRIM'!C13</f>
        <v>10</v>
      </c>
      <c r="P13" s="31">
        <f>'VAL 3 TRIM'!O13</f>
        <v>35</v>
      </c>
      <c r="Q13" s="31">
        <f>'VAL 3 TRIM'!AB13</f>
        <v>35</v>
      </c>
      <c r="R13" s="31">
        <f>'VAL 3 TRIM'!AA13</f>
        <v>10</v>
      </c>
      <c r="S13" s="48">
        <f>'VAL 3 TRIM'!AE13</f>
        <v>10</v>
      </c>
      <c r="T13" s="100">
        <f>'VAL 3 TRIM'!AG13</f>
        <v>100</v>
      </c>
      <c r="U13" s="101">
        <f t="shared" si="0"/>
        <v>92</v>
      </c>
      <c r="V13" s="102" t="str">
        <f t="shared" si="1"/>
        <v>APROBADO</v>
      </c>
      <c r="W13" s="103"/>
      <c r="X13" s="103"/>
    </row>
    <row r="14" spans="1:28" ht="12" customHeight="1" x14ac:dyDescent="0.3">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f>'VAL 2 TRIM'!O14</f>
        <v>0</v>
      </c>
      <c r="K14" s="31">
        <f>'VAL 2 TRIM'!AB14</f>
        <v>0</v>
      </c>
      <c r="L14" s="31">
        <f>'VAL 2 TRIM'!AA14</f>
        <v>10</v>
      </c>
      <c r="M14" s="31">
        <f>'VAL 2 TRIM'!AE14</f>
        <v>10</v>
      </c>
      <c r="N14" s="100">
        <f>'VAL 2 TRIM'!AG14</f>
        <v>30</v>
      </c>
      <c r="O14" s="31">
        <f>'VAL 3 TRIM'!C14</f>
        <v>10</v>
      </c>
      <c r="P14" s="31">
        <f>'VAL 3 TRIM'!O14</f>
        <v>35</v>
      </c>
      <c r="Q14" s="31">
        <f>'VAL 3 TRIM'!AB14</f>
        <v>35</v>
      </c>
      <c r="R14" s="31">
        <f>'VAL 3 TRIM'!AA14</f>
        <v>10</v>
      </c>
      <c r="S14" s="48">
        <f>'VAL 3 TRIM'!AE14</f>
        <v>10</v>
      </c>
      <c r="T14" s="100">
        <f>'VAL 3 TRIM'!AG14</f>
        <v>100</v>
      </c>
      <c r="U14" s="101">
        <f t="shared" si="0"/>
        <v>66.666666666666671</v>
      </c>
      <c r="V14" s="102" t="str">
        <f t="shared" si="1"/>
        <v>APROBADO</v>
      </c>
      <c r="W14" s="103"/>
      <c r="X14" s="103"/>
    </row>
    <row r="15" spans="1:28" ht="12" customHeight="1" x14ac:dyDescent="0.3">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24</v>
      </c>
      <c r="K15" s="31">
        <f>'VAL 2 TRIM'!AB15</f>
        <v>18</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87.333333333333329</v>
      </c>
      <c r="V15" s="102" t="str">
        <f t="shared" si="1"/>
        <v>APROBADO</v>
      </c>
      <c r="W15" s="103"/>
      <c r="X15" s="103"/>
    </row>
    <row r="16" spans="1:28" ht="12" customHeight="1" x14ac:dyDescent="0.3">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f>'VAL 2 TRIM'!O16</f>
        <v>0</v>
      </c>
      <c r="K16" s="31">
        <f>'VAL 2 TRIM'!AB16</f>
        <v>0</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73.333333333333329</v>
      </c>
      <c r="V16" s="102" t="str">
        <f t="shared" si="1"/>
        <v>APROBADO</v>
      </c>
      <c r="W16" s="103"/>
      <c r="X16" s="103"/>
    </row>
    <row r="17" spans="1:24" ht="12" customHeight="1" x14ac:dyDescent="0.3">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31</v>
      </c>
      <c r="K17" s="31">
        <f>'VAL 2 TRIM'!AB17</f>
        <v>35</v>
      </c>
      <c r="L17" s="31">
        <f>'VAL 2 TRIM'!AA17</f>
        <v>10</v>
      </c>
      <c r="M17" s="31">
        <f>'VAL 2 TRIM'!AE17</f>
        <v>10</v>
      </c>
      <c r="N17" s="100">
        <f>'VAL 2 TRIM'!AG17</f>
        <v>96</v>
      </c>
      <c r="O17" s="31">
        <f>'VAL 3 TRIM'!C17</f>
        <v>10</v>
      </c>
      <c r="P17" s="31">
        <f>'VAL 3 TRIM'!O17</f>
        <v>35</v>
      </c>
      <c r="Q17" s="31">
        <f>'VAL 3 TRIM'!AB17</f>
        <v>35</v>
      </c>
      <c r="R17" s="31">
        <f>'VAL 3 TRIM'!AA17</f>
        <v>10</v>
      </c>
      <c r="S17" s="48">
        <f>'VAL 3 TRIM'!AE17</f>
        <v>10</v>
      </c>
      <c r="T17" s="100">
        <f>'VAL 3 TRIM'!AG17</f>
        <v>100</v>
      </c>
      <c r="U17" s="101">
        <f t="shared" si="0"/>
        <v>95.333333333333329</v>
      </c>
      <c r="V17" s="102" t="str">
        <f t="shared" si="1"/>
        <v>APROBADO</v>
      </c>
      <c r="W17" s="103"/>
      <c r="X17" s="103"/>
    </row>
    <row r="18" spans="1:24" ht="12" customHeight="1" x14ac:dyDescent="0.3">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26</v>
      </c>
      <c r="L18" s="31">
        <f>'VAL 2 TRIM'!AA18</f>
        <v>10</v>
      </c>
      <c r="M18" s="31">
        <f>'VAL 2 TRIM'!AE18</f>
        <v>10</v>
      </c>
      <c r="N18" s="100">
        <f>'VAL 2 TRIM'!AG18</f>
        <v>89</v>
      </c>
      <c r="O18" s="31">
        <f>'VAL 3 TRIM'!C18</f>
        <v>10</v>
      </c>
      <c r="P18" s="31">
        <f>'VAL 3 TRIM'!O18</f>
        <v>35</v>
      </c>
      <c r="Q18" s="31">
        <f>'VAL 3 TRIM'!AB18</f>
        <v>35</v>
      </c>
      <c r="R18" s="31">
        <f>'VAL 3 TRIM'!AA18</f>
        <v>10</v>
      </c>
      <c r="S18" s="48">
        <f>'VAL 3 TRIM'!AE18</f>
        <v>10</v>
      </c>
      <c r="T18" s="100">
        <f>'VAL 3 TRIM'!AG18</f>
        <v>100</v>
      </c>
      <c r="U18" s="101">
        <f t="shared" si="0"/>
        <v>93</v>
      </c>
      <c r="V18" s="102" t="str">
        <f t="shared" si="1"/>
        <v>APROBADO</v>
      </c>
      <c r="W18" s="103"/>
      <c r="X18" s="103"/>
    </row>
    <row r="19" spans="1:24" ht="12" customHeight="1" x14ac:dyDescent="0.3">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15</v>
      </c>
      <c r="K19" s="31">
        <f>'VAL 2 TRIM'!AB19</f>
        <v>0</v>
      </c>
      <c r="L19" s="31">
        <f>'VAL 2 TRIM'!AA19</f>
        <v>10</v>
      </c>
      <c r="M19" s="31">
        <f>'VAL 2 TRIM'!AE19</f>
        <v>10</v>
      </c>
      <c r="N19" s="100">
        <f>'VAL 2 TRIM'!AG19</f>
        <v>45</v>
      </c>
      <c r="O19" s="31">
        <f>'VAL 3 TRIM'!C19</f>
        <v>10</v>
      </c>
      <c r="P19" s="31">
        <f>'VAL 3 TRIM'!O19</f>
        <v>35</v>
      </c>
      <c r="Q19" s="31">
        <f>'VAL 3 TRIM'!AB19</f>
        <v>35</v>
      </c>
      <c r="R19" s="31">
        <f>'VAL 3 TRIM'!AA19</f>
        <v>10</v>
      </c>
      <c r="S19" s="48">
        <f>'VAL 3 TRIM'!AE19</f>
        <v>10</v>
      </c>
      <c r="T19" s="100">
        <f>'VAL 3 TRIM'!AG19</f>
        <v>100</v>
      </c>
      <c r="U19" s="101">
        <f t="shared" si="0"/>
        <v>78.333333333333329</v>
      </c>
      <c r="V19" s="102" t="str">
        <f t="shared" si="1"/>
        <v>APROBADO</v>
      </c>
      <c r="W19" s="103"/>
      <c r="X19" s="103"/>
    </row>
    <row r="20" spans="1:24" ht="12" customHeight="1" x14ac:dyDescent="0.3">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f>'VAL 2 TRIM'!O20</f>
        <v>9</v>
      </c>
      <c r="K20" s="31">
        <f>'VAL 2 TRIM'!AB20</f>
        <v>0</v>
      </c>
      <c r="L20" s="31">
        <f>'VAL 2 TRIM'!AA20</f>
        <v>10</v>
      </c>
      <c r="M20" s="31">
        <f>'VAL 2 TRIM'!AE20</f>
        <v>10</v>
      </c>
      <c r="N20" s="100">
        <f>'VAL 2 TRIM'!AG20</f>
        <v>39</v>
      </c>
      <c r="O20" s="31">
        <f>'VAL 3 TRIM'!C20</f>
        <v>10</v>
      </c>
      <c r="P20" s="31">
        <f>'VAL 3 TRIM'!O20</f>
        <v>35</v>
      </c>
      <c r="Q20" s="31">
        <f>'VAL 3 TRIM'!AB20</f>
        <v>35</v>
      </c>
      <c r="R20" s="31">
        <f>'VAL 3 TRIM'!AA20</f>
        <v>10</v>
      </c>
      <c r="S20" s="48">
        <f>'VAL 3 TRIM'!AE20</f>
        <v>10</v>
      </c>
      <c r="T20" s="100">
        <f>'VAL 3 TRIM'!AG20</f>
        <v>100</v>
      </c>
      <c r="U20" s="101">
        <f t="shared" si="0"/>
        <v>66.666666666666671</v>
      </c>
      <c r="V20" s="102" t="str">
        <f t="shared" si="1"/>
        <v>APROBADO</v>
      </c>
      <c r="W20" s="103"/>
      <c r="X20" s="103"/>
    </row>
    <row r="21" spans="1:24" ht="12" customHeight="1" x14ac:dyDescent="0.3">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32</v>
      </c>
      <c r="K21" s="31">
        <f>'VAL 2 TRIM'!AB21</f>
        <v>35</v>
      </c>
      <c r="L21" s="31">
        <f>'VAL 2 TRIM'!AA21</f>
        <v>10</v>
      </c>
      <c r="M21" s="31">
        <f>'VAL 2 TRIM'!AE21</f>
        <v>10</v>
      </c>
      <c r="N21" s="100">
        <f>'VAL 2 TRIM'!AG21</f>
        <v>97</v>
      </c>
      <c r="O21" s="31">
        <f>'VAL 3 TRIM'!C21</f>
        <v>10</v>
      </c>
      <c r="P21" s="31">
        <f>'VAL 3 TRIM'!O21</f>
        <v>35</v>
      </c>
      <c r="Q21" s="31">
        <f>'VAL 3 TRIM'!AB21</f>
        <v>35</v>
      </c>
      <c r="R21" s="31">
        <f>'VAL 3 TRIM'!AA21</f>
        <v>10</v>
      </c>
      <c r="S21" s="48">
        <f>'VAL 3 TRIM'!AE21</f>
        <v>10</v>
      </c>
      <c r="T21" s="100">
        <f>'VAL 3 TRIM'!AG21</f>
        <v>100</v>
      </c>
      <c r="U21" s="101">
        <f t="shared" si="0"/>
        <v>95.666666666666671</v>
      </c>
      <c r="V21" s="102" t="str">
        <f t="shared" si="1"/>
        <v>APROBADO</v>
      </c>
      <c r="W21" s="103"/>
      <c r="X21" s="103"/>
    </row>
    <row r="22" spans="1:24" ht="12" customHeight="1" x14ac:dyDescent="0.3">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12</v>
      </c>
      <c r="K22" s="31">
        <f>'VAL 2 TRIM'!AB22</f>
        <v>0</v>
      </c>
      <c r="L22" s="31">
        <f>'VAL 2 TRIM'!AA22</f>
        <v>10</v>
      </c>
      <c r="M22" s="31">
        <f>'VAL 2 TRIM'!AE22</f>
        <v>10</v>
      </c>
      <c r="N22" s="100">
        <f>'VAL 2 TRIM'!AG22</f>
        <v>42</v>
      </c>
      <c r="O22" s="31">
        <f>'VAL 3 TRIM'!C22</f>
        <v>10</v>
      </c>
      <c r="P22" s="31">
        <f>'VAL 3 TRIM'!O22</f>
        <v>35</v>
      </c>
      <c r="Q22" s="31">
        <f>'VAL 3 TRIM'!AB22</f>
        <v>35</v>
      </c>
      <c r="R22" s="31">
        <f>'VAL 3 TRIM'!AA22</f>
        <v>10</v>
      </c>
      <c r="S22" s="48">
        <f>'VAL 3 TRIM'!AE22</f>
        <v>10</v>
      </c>
      <c r="T22" s="100">
        <f>'VAL 3 TRIM'!AG22</f>
        <v>100</v>
      </c>
      <c r="U22" s="101">
        <f t="shared" si="0"/>
        <v>77.333333333333329</v>
      </c>
      <c r="V22" s="102" t="str">
        <f t="shared" si="1"/>
        <v>APROBADO</v>
      </c>
      <c r="W22" s="103"/>
      <c r="X22" s="103"/>
    </row>
    <row r="23" spans="1:24" ht="12" customHeight="1" x14ac:dyDescent="0.3">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66.666666666666671</v>
      </c>
      <c r="V23" s="102" t="str">
        <f t="shared" si="1"/>
        <v>APROBADO</v>
      </c>
      <c r="W23" s="103"/>
      <c r="X23" s="103"/>
    </row>
    <row r="24" spans="1:24" ht="12" customHeight="1" x14ac:dyDescent="0.3">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13</v>
      </c>
      <c r="K24" s="31">
        <f>'VAL 2 TRIM'!AB24</f>
        <v>6</v>
      </c>
      <c r="L24" s="31">
        <f>'VAL 2 TRIM'!AA24</f>
        <v>10</v>
      </c>
      <c r="M24" s="31">
        <f>'VAL 2 TRIM'!AE24</f>
        <v>10</v>
      </c>
      <c r="N24" s="100">
        <f>'VAL 2 TRIM'!AG24</f>
        <v>49</v>
      </c>
      <c r="O24" s="31">
        <f>'VAL 3 TRIM'!C24</f>
        <v>10</v>
      </c>
      <c r="P24" s="31">
        <f>'VAL 3 TRIM'!O24</f>
        <v>35</v>
      </c>
      <c r="Q24" s="31">
        <f>'VAL 3 TRIM'!AB24</f>
        <v>35</v>
      </c>
      <c r="R24" s="31">
        <f>'VAL 3 TRIM'!AA24</f>
        <v>10</v>
      </c>
      <c r="S24" s="48">
        <f>'VAL 3 TRIM'!AE24</f>
        <v>10</v>
      </c>
      <c r="T24" s="100">
        <f>'VAL 3 TRIM'!AG24</f>
        <v>100</v>
      </c>
      <c r="U24" s="101">
        <f t="shared" si="0"/>
        <v>79.666666666666671</v>
      </c>
      <c r="V24" s="102" t="str">
        <f t="shared" si="1"/>
        <v>APROBADO</v>
      </c>
      <c r="W24" s="103"/>
      <c r="X24" s="103"/>
    </row>
    <row r="25" spans="1:24" ht="12" customHeight="1" x14ac:dyDescent="0.3">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9</v>
      </c>
      <c r="K25" s="31">
        <f>'VAL 2 TRIM'!AB25</f>
        <v>7</v>
      </c>
      <c r="L25" s="31">
        <f>'VAL 2 TRIM'!AA25</f>
        <v>10</v>
      </c>
      <c r="M25" s="31">
        <f>'VAL 2 TRIM'!AE25</f>
        <v>10</v>
      </c>
      <c r="N25" s="100">
        <f>'VAL 2 TRIM'!AG25</f>
        <v>46</v>
      </c>
      <c r="O25" s="31">
        <f>'VAL 3 TRIM'!C25</f>
        <v>10</v>
      </c>
      <c r="P25" s="31">
        <f>'VAL 3 TRIM'!O25</f>
        <v>35</v>
      </c>
      <c r="Q25" s="31">
        <f>'VAL 3 TRIM'!AB25</f>
        <v>35</v>
      </c>
      <c r="R25" s="31">
        <f>'VAL 3 TRIM'!AA25</f>
        <v>10</v>
      </c>
      <c r="S25" s="48">
        <f>'VAL 3 TRIM'!AE25</f>
        <v>10</v>
      </c>
      <c r="T25" s="100">
        <f>'VAL 3 TRIM'!AG25</f>
        <v>100</v>
      </c>
      <c r="U25" s="101">
        <f t="shared" si="0"/>
        <v>78.666666666666671</v>
      </c>
      <c r="V25" s="102" t="str">
        <f t="shared" si="1"/>
        <v>APROBADO</v>
      </c>
      <c r="W25" s="103"/>
      <c r="X25" s="103"/>
    </row>
    <row r="26" spans="1:24" ht="12" customHeight="1" x14ac:dyDescent="0.3">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8</v>
      </c>
      <c r="K26" s="31">
        <f>'VAL 2 TRIM'!AB26</f>
        <v>0</v>
      </c>
      <c r="L26" s="31">
        <f>'VAL 2 TRIM'!AA26</f>
        <v>10</v>
      </c>
      <c r="M26" s="31">
        <f>'VAL 2 TRIM'!AE26</f>
        <v>10</v>
      </c>
      <c r="N26" s="100">
        <f>'VAL 2 TRIM'!AG26</f>
        <v>38</v>
      </c>
      <c r="O26" s="31">
        <f>'VAL 3 TRIM'!C26</f>
        <v>10</v>
      </c>
      <c r="P26" s="31">
        <f>'VAL 3 TRIM'!O26</f>
        <v>35</v>
      </c>
      <c r="Q26" s="31">
        <f>'VAL 3 TRIM'!AB26</f>
        <v>35</v>
      </c>
      <c r="R26" s="31">
        <f>'VAL 3 TRIM'!AA26</f>
        <v>10</v>
      </c>
      <c r="S26" s="48">
        <f>'VAL 3 TRIM'!AE26</f>
        <v>10</v>
      </c>
      <c r="T26" s="100">
        <f>'VAL 3 TRIM'!AG26</f>
        <v>100</v>
      </c>
      <c r="U26" s="101">
        <f t="shared" si="0"/>
        <v>76</v>
      </c>
      <c r="V26" s="102" t="str">
        <f t="shared" si="1"/>
        <v>APROBADO</v>
      </c>
      <c r="W26" s="103"/>
      <c r="X26" s="103"/>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16" t="s">
        <v>102</v>
      </c>
      <c r="C2" s="212"/>
      <c r="D2" s="212"/>
      <c r="E2" s="212"/>
      <c r="F2" s="212"/>
      <c r="G2" s="212"/>
      <c r="H2" s="212"/>
      <c r="I2" s="72"/>
      <c r="J2" s="72"/>
      <c r="K2" s="72"/>
      <c r="L2" s="72"/>
      <c r="M2" s="72"/>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52</v>
      </c>
      <c r="K4" s="105"/>
      <c r="L4" s="39">
        <f>CARÁTULA!$C$19</f>
        <v>0</v>
      </c>
      <c r="M4" s="105"/>
    </row>
    <row r="5" spans="1:13" ht="12.75" customHeight="1" x14ac:dyDescent="0.3">
      <c r="B5" s="38" t="s">
        <v>22</v>
      </c>
      <c r="C5" s="39" t="str">
        <f>CARÁTULA!$C$23</f>
        <v>4to de Secundaria</v>
      </c>
      <c r="D5" s="38"/>
      <c r="E5" s="44"/>
      <c r="F5" s="310"/>
      <c r="G5" s="277"/>
      <c r="H5" s="44"/>
      <c r="I5" s="44"/>
      <c r="J5" s="38" t="s">
        <v>23</v>
      </c>
      <c r="K5" s="105"/>
      <c r="L5" s="230">
        <f ca="1">TODAY()</f>
        <v>44420</v>
      </c>
      <c r="M5" s="212"/>
    </row>
    <row r="6" spans="1:13" ht="12.75" customHeight="1" x14ac:dyDescent="0.3">
      <c r="B6" s="38"/>
      <c r="C6" s="311" t="s">
        <v>107</v>
      </c>
      <c r="D6" s="269"/>
      <c r="E6" s="270"/>
      <c r="F6" s="307" t="s">
        <v>103</v>
      </c>
      <c r="G6" s="303" t="s">
        <v>104</v>
      </c>
      <c r="H6" s="67"/>
      <c r="I6" s="67"/>
    </row>
    <row r="7" spans="1:13" ht="12" customHeight="1" x14ac:dyDescent="0.3">
      <c r="B7" s="47"/>
      <c r="C7" s="308" t="s">
        <v>4</v>
      </c>
      <c r="D7" s="308" t="s">
        <v>108</v>
      </c>
      <c r="E7" s="309" t="s">
        <v>16</v>
      </c>
      <c r="F7" s="304"/>
      <c r="G7" s="304"/>
      <c r="H7" s="40"/>
      <c r="I7" s="40"/>
    </row>
    <row r="8" spans="1:13" ht="67.5" customHeight="1" x14ac:dyDescent="0.3">
      <c r="A8" s="48" t="s">
        <v>55</v>
      </c>
      <c r="B8" s="49" t="s">
        <v>56</v>
      </c>
      <c r="C8" s="273"/>
      <c r="D8" s="273"/>
      <c r="E8" s="273"/>
      <c r="F8" s="273"/>
      <c r="G8" s="273"/>
      <c r="H8" s="99"/>
      <c r="I8" s="99" t="s">
        <v>109</v>
      </c>
      <c r="J8" s="99" t="s">
        <v>110</v>
      </c>
      <c r="K8" s="99" t="s">
        <v>111</v>
      </c>
    </row>
    <row r="9" spans="1:13" ht="12" customHeight="1" x14ac:dyDescent="0.3">
      <c r="A9" s="58">
        <v>1</v>
      </c>
      <c r="B9" s="59" t="str">
        <f>'C. FILIACION'!B8</f>
        <v>BENITEZ BALLESTEROS KAREN ARIANA</v>
      </c>
      <c r="C9" s="100">
        <f>'VAL 1 TRIM '!AG9</f>
        <v>90</v>
      </c>
      <c r="D9" s="100">
        <f>'VAL 2 TRIM'!AG9</f>
        <v>60</v>
      </c>
      <c r="E9" s="100">
        <f>'VAL 3 TRIM'!AG9</f>
        <v>100</v>
      </c>
      <c r="F9" s="101">
        <f>'CENTRAL 1'!U9</f>
        <v>83.333333333333329</v>
      </c>
      <c r="G9" s="102" t="str">
        <f t="shared" ref="G9:G44" si="0">IF(F9="","",(IF(AND(F9&gt;=1,F9&lt;=50.499),"REPROBADO",IF(AND(F9&gt;=50.5,F9&lt;=100),"APROBADO"))))</f>
        <v>APROBADO</v>
      </c>
      <c r="H9" s="103"/>
      <c r="I9" s="31">
        <f t="shared" ref="I9:K9" si="1">COUNTIF(C9:C44,"&gt;=51")</f>
        <v>36</v>
      </c>
      <c r="J9" s="106">
        <f t="shared" si="1"/>
        <v>14</v>
      </c>
      <c r="K9" s="106">
        <f t="shared" si="1"/>
        <v>36</v>
      </c>
    </row>
    <row r="10" spans="1:13" ht="12" customHeight="1" x14ac:dyDescent="0.3">
      <c r="A10" s="58">
        <v>2</v>
      </c>
      <c r="B10" s="59" t="str">
        <f>'C. FILIACION'!B9</f>
        <v>CALIZAYA MERCADO AXEL GABRIEL</v>
      </c>
      <c r="C10" s="100">
        <f>'VAL 1 TRIM '!AG10</f>
        <v>55</v>
      </c>
      <c r="D10" s="100">
        <f>'VAL 2 TRIM'!AG10</f>
        <v>35</v>
      </c>
      <c r="E10" s="100">
        <f>'VAL 3 TRIM'!AG10</f>
        <v>100</v>
      </c>
      <c r="F10" s="101">
        <f>'CENTRAL 1'!U10</f>
        <v>63.333333333333336</v>
      </c>
      <c r="G10" s="102" t="str">
        <f t="shared" si="0"/>
        <v>APROBADO</v>
      </c>
      <c r="H10" s="103"/>
      <c r="I10" s="107" t="s">
        <v>112</v>
      </c>
      <c r="J10" s="108"/>
    </row>
    <row r="11" spans="1:13" ht="12" customHeight="1" x14ac:dyDescent="0.3">
      <c r="A11" s="58">
        <v>3</v>
      </c>
      <c r="B11" s="59" t="str">
        <f>'C. FILIACION'!B10</f>
        <v>CANO GUZMAN FABRIZIO RODRIGO</v>
      </c>
      <c r="C11" s="100">
        <f>'VAL 1 TRIM '!AG11</f>
        <v>61</v>
      </c>
      <c r="D11" s="100">
        <f>'VAL 2 TRIM'!AG11</f>
        <v>30</v>
      </c>
      <c r="E11" s="100">
        <f>'VAL 3 TRIM'!AG11</f>
        <v>100</v>
      </c>
      <c r="F11" s="101">
        <f>'CENTRAL 1'!U11</f>
        <v>63.666666666666664</v>
      </c>
      <c r="G11" s="102" t="str">
        <f t="shared" si="0"/>
        <v>APROBADO</v>
      </c>
      <c r="H11" s="103"/>
      <c r="I11" s="103"/>
    </row>
    <row r="12" spans="1:13" ht="12" customHeight="1" x14ac:dyDescent="0.3">
      <c r="A12" s="58">
        <v>4</v>
      </c>
      <c r="B12" s="59" t="str">
        <f>'C. FILIACION'!B11</f>
        <v>CHOQUE LAURA CARLOS EDUARDO</v>
      </c>
      <c r="C12" s="100">
        <f>'VAL 1 TRIM '!AG12</f>
        <v>90</v>
      </c>
      <c r="D12" s="100">
        <f>'VAL 2 TRIM'!AG12</f>
        <v>30</v>
      </c>
      <c r="E12" s="100">
        <f>'VAL 3 TRIM'!AG12</f>
        <v>100</v>
      </c>
      <c r="F12" s="101">
        <f>'CENTRAL 1'!U12</f>
        <v>73.333333333333329</v>
      </c>
      <c r="G12" s="102" t="str">
        <f t="shared" si="0"/>
        <v>APROBADO</v>
      </c>
      <c r="H12" s="103"/>
      <c r="I12" s="103"/>
    </row>
    <row r="13" spans="1:13" ht="12" customHeight="1" x14ac:dyDescent="0.3">
      <c r="A13" s="58">
        <v>5</v>
      </c>
      <c r="B13" s="59" t="str">
        <f>'C. FILIACION'!B12</f>
        <v>CONDORI GALARZA DENSEL ALEXSIS</v>
      </c>
      <c r="C13" s="100">
        <f>'VAL 1 TRIM '!AG13</f>
        <v>90</v>
      </c>
      <c r="D13" s="100">
        <f>'VAL 2 TRIM'!AG13</f>
        <v>86</v>
      </c>
      <c r="E13" s="100">
        <f>'VAL 3 TRIM'!AG13</f>
        <v>100</v>
      </c>
      <c r="F13" s="101">
        <f>'CENTRAL 1'!U13</f>
        <v>92</v>
      </c>
      <c r="G13" s="102" t="str">
        <f t="shared" si="0"/>
        <v>APROBADO</v>
      </c>
      <c r="H13" s="103"/>
      <c r="I13" s="106">
        <f t="shared" ref="I13:K13" si="2">COUNTIF(C9:C44,"&lt;=51")</f>
        <v>0</v>
      </c>
      <c r="J13" s="106">
        <f t="shared" si="2"/>
        <v>22</v>
      </c>
      <c r="K13" s="106">
        <f t="shared" si="2"/>
        <v>0</v>
      </c>
    </row>
    <row r="14" spans="1:13" ht="12" customHeight="1" x14ac:dyDescent="0.3">
      <c r="A14" s="58">
        <v>6</v>
      </c>
      <c r="B14" s="59" t="str">
        <f>'C. FILIACION'!B13</f>
        <v>DAZA RAMIREZ KALEP MATEO</v>
      </c>
      <c r="C14" s="100">
        <f>'VAL 1 TRIM '!AG14</f>
        <v>70</v>
      </c>
      <c r="D14" s="100">
        <f>'VAL 2 TRIM'!AG14</f>
        <v>30</v>
      </c>
      <c r="E14" s="100">
        <f>'VAL 3 TRIM'!AG14</f>
        <v>100</v>
      </c>
      <c r="F14" s="101">
        <f>'CENTRAL 1'!U14</f>
        <v>66.666666666666671</v>
      </c>
      <c r="G14" s="102" t="str">
        <f t="shared" si="0"/>
        <v>APROBADO</v>
      </c>
      <c r="H14" s="103"/>
      <c r="I14" s="107" t="s">
        <v>113</v>
      </c>
    </row>
    <row r="15" spans="1:13" ht="12" customHeight="1" x14ac:dyDescent="0.3">
      <c r="A15" s="58">
        <v>7</v>
      </c>
      <c r="B15" s="59" t="str">
        <f>'C. FILIACION'!B14</f>
        <v>ESTRADA FUNES NAZARETH</v>
      </c>
      <c r="C15" s="100">
        <f>'VAL 1 TRIM '!AG15</f>
        <v>90</v>
      </c>
      <c r="D15" s="100">
        <f>'VAL 2 TRIM'!AG15</f>
        <v>72</v>
      </c>
      <c r="E15" s="100">
        <f>'VAL 3 TRIM'!AG15</f>
        <v>100</v>
      </c>
      <c r="F15" s="101">
        <f>'CENTRAL 1'!U15</f>
        <v>87.333333333333329</v>
      </c>
      <c r="G15" s="102" t="str">
        <f t="shared" si="0"/>
        <v>APROBADO</v>
      </c>
      <c r="H15" s="103"/>
      <c r="I15" s="103"/>
    </row>
    <row r="16" spans="1:13" ht="12" customHeight="1" x14ac:dyDescent="0.3">
      <c r="A16" s="58">
        <v>8</v>
      </c>
      <c r="B16" s="59" t="str">
        <f>'C. FILIACION'!B15</f>
        <v>FLORES VILLEGAS CARLOS IVAN</v>
      </c>
      <c r="C16" s="100">
        <f>'VAL 1 TRIM '!AG16</f>
        <v>90</v>
      </c>
      <c r="D16" s="100">
        <f>'VAL 2 TRIM'!AG16</f>
        <v>30</v>
      </c>
      <c r="E16" s="100">
        <f>'VAL 3 TRIM'!AG16</f>
        <v>100</v>
      </c>
      <c r="F16" s="101">
        <f>'CENTRAL 1'!U16</f>
        <v>73.333333333333329</v>
      </c>
      <c r="G16" s="102" t="str">
        <f t="shared" si="0"/>
        <v>APROBADO</v>
      </c>
      <c r="H16" s="103"/>
      <c r="I16" s="103"/>
    </row>
    <row r="17" spans="1:9" ht="12" customHeight="1" x14ac:dyDescent="0.3">
      <c r="A17" s="58">
        <v>9</v>
      </c>
      <c r="B17" s="59" t="str">
        <f>'C. FILIACION'!B16</f>
        <v>FRANCISCO RUIZ LUCERO</v>
      </c>
      <c r="C17" s="100">
        <f>'VAL 1 TRIM '!AG17</f>
        <v>90</v>
      </c>
      <c r="D17" s="100">
        <f>'VAL 2 TRIM'!AG17</f>
        <v>96</v>
      </c>
      <c r="E17" s="100">
        <f>'VAL 3 TRIM'!AG17</f>
        <v>100</v>
      </c>
      <c r="F17" s="101">
        <f>'CENTRAL 1'!U17</f>
        <v>95.333333333333329</v>
      </c>
      <c r="G17" s="102" t="str">
        <f t="shared" si="0"/>
        <v>APROBADO</v>
      </c>
      <c r="H17" s="103"/>
      <c r="I17" s="103"/>
    </row>
    <row r="18" spans="1:9" ht="12" customHeight="1" x14ac:dyDescent="0.3">
      <c r="A18" s="58">
        <v>10</v>
      </c>
      <c r="B18" s="59" t="str">
        <f>'C. FILIACION'!B17</f>
        <v>IBARRA VINO ELOY INTI</v>
      </c>
      <c r="C18" s="100">
        <f>'VAL 1 TRIM '!AG18</f>
        <v>90</v>
      </c>
      <c r="D18" s="100">
        <f>'VAL 2 TRIM'!AG18</f>
        <v>89</v>
      </c>
      <c r="E18" s="100">
        <f>'VAL 3 TRIM'!AG18</f>
        <v>100</v>
      </c>
      <c r="F18" s="101">
        <f>'CENTRAL 1'!U18</f>
        <v>93</v>
      </c>
      <c r="G18" s="102" t="str">
        <f t="shared" si="0"/>
        <v>APROBADO</v>
      </c>
      <c r="H18" s="103"/>
      <c r="I18" s="103"/>
    </row>
    <row r="19" spans="1:9" ht="12" customHeight="1" x14ac:dyDescent="0.3">
      <c r="A19" s="58">
        <v>11</v>
      </c>
      <c r="B19" s="59" t="str">
        <f>'C. FILIACION'!B18</f>
        <v>LOPEZ BLANCO SOFIA BELEN</v>
      </c>
      <c r="C19" s="100">
        <f>'VAL 1 TRIM '!AG19</f>
        <v>90</v>
      </c>
      <c r="D19" s="100">
        <f>'VAL 2 TRIM'!AG19</f>
        <v>45</v>
      </c>
      <c r="E19" s="100">
        <f>'VAL 3 TRIM'!AG19</f>
        <v>100</v>
      </c>
      <c r="F19" s="101">
        <f>'CENTRAL 1'!U19</f>
        <v>78.333333333333329</v>
      </c>
      <c r="G19" s="102" t="str">
        <f t="shared" si="0"/>
        <v>APROBADO</v>
      </c>
      <c r="H19" s="103"/>
      <c r="I19" s="103"/>
    </row>
    <row r="20" spans="1:9" ht="12" customHeight="1" x14ac:dyDescent="0.3">
      <c r="A20" s="58">
        <v>12</v>
      </c>
      <c r="B20" s="59" t="str">
        <f>'C. FILIACION'!B19</f>
        <v>LOPEZ PACO RODRIGO ADRIAN</v>
      </c>
      <c r="C20" s="100">
        <f>'VAL 1 TRIM '!AG20</f>
        <v>61</v>
      </c>
      <c r="D20" s="100">
        <f>'VAL 2 TRIM'!AG20</f>
        <v>39</v>
      </c>
      <c r="E20" s="100">
        <f>'VAL 3 TRIM'!AG20</f>
        <v>100</v>
      </c>
      <c r="F20" s="101">
        <f>'CENTRAL 1'!U20</f>
        <v>66.666666666666671</v>
      </c>
      <c r="G20" s="102" t="str">
        <f t="shared" si="0"/>
        <v>APROBADO</v>
      </c>
      <c r="H20" s="103"/>
      <c r="I20" s="103"/>
    </row>
    <row r="21" spans="1:9" ht="12" customHeight="1" x14ac:dyDescent="0.3">
      <c r="A21" s="58">
        <v>13</v>
      </c>
      <c r="B21" s="59" t="str">
        <f>'C. FILIACION'!B20</f>
        <v>LOPEZ VERA MILENCA</v>
      </c>
      <c r="C21" s="100">
        <f>'VAL 1 TRIM '!AG21</f>
        <v>90</v>
      </c>
      <c r="D21" s="100">
        <f>'VAL 2 TRIM'!AG21</f>
        <v>97</v>
      </c>
      <c r="E21" s="100">
        <f>'VAL 3 TRIM'!AG21</f>
        <v>100</v>
      </c>
      <c r="F21" s="101">
        <f>'CENTRAL 1'!U21</f>
        <v>95.666666666666671</v>
      </c>
      <c r="G21" s="102" t="str">
        <f t="shared" si="0"/>
        <v>APROBADO</v>
      </c>
      <c r="H21" s="103"/>
      <c r="I21" s="103"/>
    </row>
    <row r="22" spans="1:9" ht="12" customHeight="1" x14ac:dyDescent="0.3">
      <c r="A22" s="58">
        <v>14</v>
      </c>
      <c r="B22" s="59" t="str">
        <f>'C. FILIACION'!B21</f>
        <v>MEDINA CHOQUE JOSE ROBERTO</v>
      </c>
      <c r="C22" s="100">
        <f>'VAL 1 TRIM '!AG22</f>
        <v>90</v>
      </c>
      <c r="D22" s="100">
        <f>'VAL 2 TRIM'!AG22</f>
        <v>42</v>
      </c>
      <c r="E22" s="100">
        <f>'VAL 3 TRIM'!AG22</f>
        <v>100</v>
      </c>
      <c r="F22" s="101">
        <f>'CENTRAL 1'!U22</f>
        <v>77.333333333333329</v>
      </c>
      <c r="G22" s="102" t="str">
        <f t="shared" si="0"/>
        <v>APROBADO</v>
      </c>
      <c r="H22" s="103"/>
      <c r="I22" s="103"/>
    </row>
    <row r="23" spans="1:9" ht="12" customHeight="1" x14ac:dyDescent="0.3">
      <c r="A23" s="58">
        <v>15</v>
      </c>
      <c r="B23" s="59" t="str">
        <f>'C. FILIACION'!B22</f>
        <v>MIRABAL AYANOME JOSE ALFREDO</v>
      </c>
      <c r="C23" s="100">
        <f>'VAL 1 TRIM '!AG23</f>
        <v>70</v>
      </c>
      <c r="D23" s="100">
        <f>'VAL 2 TRIM'!AG23</f>
        <v>30</v>
      </c>
      <c r="E23" s="100">
        <f>'VAL 3 TRIM'!AG23</f>
        <v>100</v>
      </c>
      <c r="F23" s="101">
        <f>'CENTRAL 1'!U23</f>
        <v>66.666666666666671</v>
      </c>
      <c r="G23" s="102" t="str">
        <f t="shared" si="0"/>
        <v>APROBADO</v>
      </c>
      <c r="H23" s="103"/>
      <c r="I23" s="103"/>
    </row>
    <row r="24" spans="1:9" ht="12" customHeight="1" x14ac:dyDescent="0.3">
      <c r="A24" s="58">
        <v>16</v>
      </c>
      <c r="B24" s="59" t="str">
        <f>'C. FILIACION'!B23</f>
        <v>NINA RUEDA ESTEFANY DANIELA</v>
      </c>
      <c r="C24" s="100">
        <f>'VAL 1 TRIM '!AG24</f>
        <v>90</v>
      </c>
      <c r="D24" s="100">
        <f>'VAL 2 TRIM'!AG24</f>
        <v>49</v>
      </c>
      <c r="E24" s="100">
        <f>'VAL 3 TRIM'!AG24</f>
        <v>100</v>
      </c>
      <c r="F24" s="101">
        <f>'CENTRAL 1'!U24</f>
        <v>79.666666666666671</v>
      </c>
      <c r="G24" s="102" t="str">
        <f t="shared" si="0"/>
        <v>APROBADO</v>
      </c>
      <c r="H24" s="103"/>
      <c r="I24" s="103"/>
    </row>
    <row r="25" spans="1:9" ht="12" customHeight="1" x14ac:dyDescent="0.3">
      <c r="A25" s="58">
        <v>17</v>
      </c>
      <c r="B25" s="59" t="str">
        <f>'C. FILIACION'!B24</f>
        <v>PORTILLO QUISPE JORGE LUIS</v>
      </c>
      <c r="C25" s="100">
        <f>'VAL 1 TRIM '!AG25</f>
        <v>90</v>
      </c>
      <c r="D25" s="100">
        <f>'VAL 2 TRIM'!AG25</f>
        <v>46</v>
      </c>
      <c r="E25" s="100">
        <f>'VAL 3 TRIM'!AG25</f>
        <v>100</v>
      </c>
      <c r="F25" s="101">
        <f>'CENTRAL 1'!U25</f>
        <v>78.666666666666671</v>
      </c>
      <c r="G25" s="102" t="str">
        <f t="shared" si="0"/>
        <v>APROBADO</v>
      </c>
      <c r="H25" s="103"/>
      <c r="I25" s="103"/>
    </row>
    <row r="26" spans="1:9" ht="12" customHeight="1" x14ac:dyDescent="0.3">
      <c r="A26" s="58">
        <v>18</v>
      </c>
      <c r="B26" s="59" t="str">
        <f>'C. FILIACION'!B25</f>
        <v>TORREZ PACO CARLA MILENKA</v>
      </c>
      <c r="C26" s="100">
        <f>'VAL 1 TRIM '!AG26</f>
        <v>90</v>
      </c>
      <c r="D26" s="100">
        <f>'VAL 2 TRIM'!AG26</f>
        <v>38</v>
      </c>
      <c r="E26" s="100">
        <f>'VAL 3 TRIM'!AG26</f>
        <v>100</v>
      </c>
      <c r="F26" s="101">
        <f>'CENTRAL 1'!U26</f>
        <v>76</v>
      </c>
      <c r="G26" s="102" t="str">
        <f t="shared" si="0"/>
        <v>APROBADO</v>
      </c>
      <c r="H26" s="103"/>
      <c r="I26" s="103"/>
    </row>
    <row r="27" spans="1:9" ht="12" customHeight="1" x14ac:dyDescent="0.3">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5" t="s">
        <v>114</v>
      </c>
      <c r="C2" s="212"/>
      <c r="D2" s="212"/>
      <c r="E2" s="212"/>
      <c r="F2" s="212"/>
      <c r="G2" s="212"/>
      <c r="H2" s="212"/>
      <c r="I2" s="212"/>
      <c r="J2" s="212"/>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44420</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25" x14ac:dyDescent="0.3">
      <c r="A7" s="109"/>
      <c r="B7" s="114" t="s">
        <v>96</v>
      </c>
      <c r="C7" s="113" t="s">
        <v>116</v>
      </c>
      <c r="D7" s="114" t="s">
        <v>117</v>
      </c>
      <c r="E7" s="115" t="s">
        <v>118</v>
      </c>
      <c r="F7" s="109"/>
      <c r="G7" s="116" t="s">
        <v>119</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97</v>
      </c>
      <c r="C8" s="113" t="s">
        <v>120</v>
      </c>
      <c r="D8" s="114" t="s">
        <v>121</v>
      </c>
      <c r="E8" s="115" t="s">
        <v>122</v>
      </c>
      <c r="F8" s="109"/>
      <c r="G8" s="116" t="s">
        <v>123</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25" x14ac:dyDescent="0.3">
      <c r="A9" s="109"/>
      <c r="B9" s="114" t="s">
        <v>98</v>
      </c>
      <c r="C9" s="113" t="s">
        <v>124</v>
      </c>
      <c r="D9" s="114" t="s">
        <v>125</v>
      </c>
      <c r="E9" s="115" t="s">
        <v>122</v>
      </c>
      <c r="F9" s="109"/>
      <c r="G9" s="118" t="s">
        <v>126</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25" x14ac:dyDescent="0.3">
      <c r="A10" s="109"/>
      <c r="B10" s="114" t="s">
        <v>99</v>
      </c>
      <c r="C10" s="113" t="s">
        <v>127</v>
      </c>
      <c r="D10" s="114" t="s">
        <v>128</v>
      </c>
      <c r="E10" s="115" t="s">
        <v>122</v>
      </c>
      <c r="F10" s="109"/>
      <c r="G10" s="118" t="s">
        <v>129</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6" t="s">
        <v>131</v>
      </c>
      <c r="C13" s="212"/>
      <c r="D13" s="212"/>
      <c r="E13" s="212"/>
      <c r="F13" s="212"/>
      <c r="G13" s="212"/>
      <c r="H13" s="212"/>
      <c r="I13" s="212"/>
      <c r="J13" s="212"/>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2" t="s">
        <v>132</v>
      </c>
      <c r="C15" s="219"/>
      <c r="D15" s="219"/>
      <c r="E15" s="219"/>
      <c r="F15" s="219"/>
      <c r="G15" s="219"/>
      <c r="H15" s="219"/>
      <c r="I15" s="219"/>
      <c r="J15" s="220"/>
      <c r="K15" s="109"/>
      <c r="L15" s="109"/>
      <c r="M15" s="109"/>
      <c r="N15" s="109"/>
      <c r="O15" s="109"/>
      <c r="P15" s="109"/>
      <c r="Q15" s="109"/>
      <c r="R15" s="109"/>
      <c r="S15" s="109"/>
      <c r="T15" s="109"/>
      <c r="U15" s="109"/>
      <c r="V15" s="109"/>
      <c r="W15" s="109"/>
      <c r="X15" s="109"/>
      <c r="Y15" s="109"/>
      <c r="Z15" s="109"/>
    </row>
    <row r="16" spans="1:26" ht="16.5" customHeight="1" x14ac:dyDescent="0.3">
      <c r="A16" s="109"/>
      <c r="B16" s="313"/>
      <c r="C16" s="212"/>
      <c r="D16" s="212"/>
      <c r="E16" s="212"/>
      <c r="F16" s="212"/>
      <c r="G16" s="212"/>
      <c r="H16" s="212"/>
      <c r="I16" s="212"/>
      <c r="J16" s="314"/>
      <c r="K16" s="109"/>
      <c r="L16" s="109"/>
      <c r="M16" s="109"/>
      <c r="N16" s="109"/>
      <c r="O16" s="109"/>
      <c r="P16" s="109"/>
      <c r="Q16" s="109"/>
      <c r="R16" s="109"/>
      <c r="S16" s="109"/>
      <c r="T16" s="109"/>
      <c r="U16" s="109"/>
      <c r="V16" s="109"/>
      <c r="W16" s="109"/>
      <c r="X16" s="109"/>
      <c r="Y16" s="109"/>
      <c r="Z16" s="109"/>
    </row>
    <row r="17" spans="1:26" ht="16.5" customHeight="1" x14ac:dyDescent="0.3">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3">
      <c r="A18" s="109"/>
      <c r="B18" s="312" t="s">
        <v>133</v>
      </c>
      <c r="C18" s="219"/>
      <c r="D18" s="219"/>
      <c r="E18" s="219"/>
      <c r="F18" s="219"/>
      <c r="G18" s="219"/>
      <c r="H18" s="219"/>
      <c r="I18" s="219"/>
      <c r="J18" s="220"/>
      <c r="K18" s="109"/>
      <c r="L18" s="109"/>
      <c r="M18" s="109"/>
      <c r="N18" s="109"/>
      <c r="O18" s="109"/>
      <c r="P18" s="109"/>
      <c r="Q18" s="109"/>
      <c r="R18" s="109"/>
      <c r="S18" s="109"/>
      <c r="T18" s="109"/>
      <c r="U18" s="109"/>
      <c r="V18" s="109"/>
      <c r="W18" s="109"/>
      <c r="X18" s="109"/>
      <c r="Y18" s="109"/>
      <c r="Z18" s="109"/>
    </row>
    <row r="19" spans="1:26" ht="16.5" customHeight="1" x14ac:dyDescent="0.3">
      <c r="A19" s="109"/>
      <c r="B19" s="313"/>
      <c r="C19" s="212"/>
      <c r="D19" s="212"/>
      <c r="E19" s="212"/>
      <c r="F19" s="212"/>
      <c r="G19" s="212"/>
      <c r="H19" s="212"/>
      <c r="I19" s="212"/>
      <c r="J19" s="314"/>
      <c r="K19" s="109"/>
      <c r="L19" s="109"/>
      <c r="M19" s="109"/>
      <c r="N19" s="109"/>
      <c r="O19" s="109"/>
      <c r="P19" s="109"/>
      <c r="Q19" s="109"/>
      <c r="R19" s="109"/>
      <c r="S19" s="109"/>
      <c r="T19" s="109"/>
      <c r="U19" s="109"/>
      <c r="V19" s="109"/>
      <c r="W19" s="109"/>
      <c r="X19" s="109"/>
      <c r="Y19" s="109"/>
      <c r="Z19" s="109"/>
    </row>
    <row r="20" spans="1:26" ht="16.5" customHeight="1" x14ac:dyDescent="0.3">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3">
      <c r="A21" s="109"/>
      <c r="B21" s="312" t="s">
        <v>134</v>
      </c>
      <c r="C21" s="219"/>
      <c r="D21" s="219"/>
      <c r="E21" s="219"/>
      <c r="F21" s="219"/>
      <c r="G21" s="219"/>
      <c r="H21" s="219"/>
      <c r="I21" s="219"/>
      <c r="J21" s="220"/>
      <c r="K21" s="109"/>
      <c r="L21" s="109"/>
      <c r="M21" s="109"/>
      <c r="N21" s="109"/>
      <c r="O21" s="109"/>
      <c r="P21" s="109"/>
      <c r="Q21" s="109"/>
      <c r="R21" s="109"/>
      <c r="S21" s="109"/>
      <c r="T21" s="109"/>
      <c r="U21" s="109"/>
      <c r="V21" s="109"/>
      <c r="W21" s="109"/>
      <c r="X21" s="109"/>
      <c r="Y21" s="109"/>
      <c r="Z21" s="109"/>
    </row>
    <row r="22" spans="1:26" ht="16.5" customHeight="1" x14ac:dyDescent="0.3">
      <c r="A22" s="109"/>
      <c r="B22" s="313"/>
      <c r="C22" s="212"/>
      <c r="D22" s="212"/>
      <c r="E22" s="212"/>
      <c r="F22" s="212"/>
      <c r="G22" s="212"/>
      <c r="H22" s="212"/>
      <c r="I22" s="212"/>
      <c r="J22" s="314"/>
      <c r="K22" s="109"/>
      <c r="L22" s="109"/>
      <c r="M22" s="109"/>
      <c r="N22" s="109"/>
      <c r="O22" s="109"/>
      <c r="P22" s="109"/>
      <c r="Q22" s="109"/>
      <c r="R22" s="109"/>
      <c r="S22" s="109"/>
      <c r="T22" s="109"/>
      <c r="U22" s="109"/>
      <c r="V22" s="109"/>
      <c r="W22" s="109"/>
      <c r="X22" s="109"/>
      <c r="Y22" s="109"/>
      <c r="Z22" s="109"/>
    </row>
    <row r="23" spans="1:26" ht="16.5" customHeight="1" x14ac:dyDescent="0.3">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3">
      <c r="A24" s="109"/>
      <c r="B24" s="312" t="s">
        <v>135</v>
      </c>
      <c r="C24" s="219"/>
      <c r="D24" s="219"/>
      <c r="E24" s="219"/>
      <c r="F24" s="219"/>
      <c r="G24" s="219"/>
      <c r="H24" s="219"/>
      <c r="I24" s="219"/>
      <c r="J24" s="220"/>
      <c r="K24" s="109"/>
      <c r="L24" s="109"/>
      <c r="M24" s="109"/>
      <c r="N24" s="109"/>
      <c r="O24" s="109"/>
      <c r="P24" s="109"/>
      <c r="Q24" s="109"/>
      <c r="R24" s="109"/>
      <c r="S24" s="109"/>
      <c r="T24" s="109"/>
      <c r="U24" s="109"/>
      <c r="V24" s="109"/>
      <c r="W24" s="109"/>
      <c r="X24" s="109"/>
      <c r="Y24" s="109"/>
      <c r="Z24" s="109"/>
    </row>
    <row r="25" spans="1:26" ht="16.5" customHeight="1" x14ac:dyDescent="0.3">
      <c r="A25" s="109"/>
      <c r="B25" s="313"/>
      <c r="C25" s="212"/>
      <c r="D25" s="212"/>
      <c r="E25" s="212"/>
      <c r="F25" s="212"/>
      <c r="G25" s="212"/>
      <c r="H25" s="212"/>
      <c r="I25" s="212"/>
      <c r="J25" s="314"/>
      <c r="K25" s="109"/>
      <c r="L25" s="109"/>
      <c r="M25" s="109"/>
      <c r="N25" s="109"/>
      <c r="O25" s="109"/>
      <c r="P25" s="109"/>
      <c r="Q25" s="109"/>
      <c r="R25" s="109"/>
      <c r="S25" s="109"/>
      <c r="T25" s="109"/>
      <c r="U25" s="109"/>
      <c r="V25" s="109"/>
      <c r="W25" s="109"/>
      <c r="X25" s="109"/>
      <c r="Y25" s="109"/>
      <c r="Z25" s="109"/>
    </row>
    <row r="26" spans="1:26" ht="16.5" customHeight="1" x14ac:dyDescent="0.3">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3">
      <c r="A27" s="109"/>
      <c r="B27" s="312" t="s">
        <v>136</v>
      </c>
      <c r="C27" s="219"/>
      <c r="D27" s="219"/>
      <c r="E27" s="219"/>
      <c r="F27" s="219"/>
      <c r="G27" s="219"/>
      <c r="H27" s="219"/>
      <c r="I27" s="219"/>
      <c r="J27" s="220"/>
      <c r="K27" s="109"/>
      <c r="L27" s="109"/>
      <c r="M27" s="109"/>
      <c r="N27" s="109"/>
      <c r="O27" s="109"/>
      <c r="P27" s="109"/>
      <c r="Q27" s="109"/>
      <c r="R27" s="109"/>
      <c r="S27" s="109"/>
      <c r="T27" s="109"/>
      <c r="U27" s="109"/>
      <c r="V27" s="109"/>
      <c r="W27" s="109"/>
      <c r="X27" s="109"/>
      <c r="Y27" s="109"/>
      <c r="Z27" s="109"/>
    </row>
    <row r="28" spans="1:26" ht="16.5" customHeight="1" x14ac:dyDescent="0.3">
      <c r="A28" s="109"/>
      <c r="B28" s="313"/>
      <c r="C28" s="212"/>
      <c r="D28" s="212"/>
      <c r="E28" s="212"/>
      <c r="F28" s="212"/>
      <c r="G28" s="212"/>
      <c r="H28" s="212"/>
      <c r="I28" s="212"/>
      <c r="J28" s="314"/>
      <c r="K28" s="109"/>
      <c r="L28" s="109"/>
      <c r="M28" s="109"/>
      <c r="N28" s="109"/>
      <c r="O28" s="109"/>
      <c r="P28" s="109"/>
      <c r="Q28" s="109"/>
      <c r="R28" s="109"/>
      <c r="S28" s="109"/>
      <c r="T28" s="109"/>
      <c r="U28" s="109"/>
      <c r="V28" s="109"/>
      <c r="W28" s="109"/>
      <c r="X28" s="109"/>
      <c r="Y28" s="109"/>
      <c r="Z28" s="109"/>
    </row>
    <row r="29" spans="1:26" ht="16.5" customHeight="1" x14ac:dyDescent="0.3">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5" t="s">
        <v>138</v>
      </c>
      <c r="C2" s="212"/>
      <c r="D2" s="212"/>
      <c r="E2" s="212"/>
      <c r="F2" s="212"/>
      <c r="G2" s="212"/>
      <c r="H2" s="212"/>
      <c r="I2" s="212"/>
      <c r="J2" s="212"/>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44420</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25" x14ac:dyDescent="0.3">
      <c r="A7" s="109"/>
      <c r="B7" s="114" t="s">
        <v>96</v>
      </c>
      <c r="C7" s="113" t="s">
        <v>116</v>
      </c>
      <c r="D7" s="114" t="s">
        <v>117</v>
      </c>
      <c r="E7" s="115" t="s">
        <v>118</v>
      </c>
      <c r="F7" s="109"/>
      <c r="G7" s="116" t="s">
        <v>119</v>
      </c>
      <c r="H7" s="114">
        <f>'VAL 2 TRIM'!$AO$9</f>
        <v>22</v>
      </c>
      <c r="I7" s="117">
        <f>H7/H11</f>
        <v>0.61111111111111116</v>
      </c>
      <c r="J7" s="109"/>
      <c r="K7" s="109"/>
      <c r="L7" s="109"/>
      <c r="M7" s="109"/>
      <c r="N7" s="109"/>
      <c r="O7" s="109"/>
      <c r="P7" s="109"/>
      <c r="Q7" s="109"/>
      <c r="R7" s="109"/>
      <c r="S7" s="109"/>
      <c r="T7" s="109"/>
      <c r="U7" s="109"/>
      <c r="V7" s="109"/>
      <c r="W7" s="109"/>
      <c r="X7" s="109"/>
      <c r="Y7" s="109"/>
      <c r="Z7" s="109"/>
    </row>
    <row r="8" spans="1:26" ht="20.25" x14ac:dyDescent="0.3">
      <c r="A8" s="109"/>
      <c r="B8" s="114" t="s">
        <v>97</v>
      </c>
      <c r="C8" s="113" t="s">
        <v>120</v>
      </c>
      <c r="D8" s="114" t="s">
        <v>121</v>
      </c>
      <c r="E8" s="115" t="s">
        <v>122</v>
      </c>
      <c r="F8" s="109"/>
      <c r="G8" s="116" t="s">
        <v>123</v>
      </c>
      <c r="H8" s="114">
        <f>'VAL 2 TRIM'!$AO$10</f>
        <v>2</v>
      </c>
      <c r="I8" s="117">
        <f>H8/H11</f>
        <v>5.5555555555555552E-2</v>
      </c>
      <c r="J8" s="109"/>
      <c r="K8" s="109"/>
      <c r="L8" s="109"/>
      <c r="M8" s="109"/>
      <c r="N8" s="109"/>
      <c r="O8" s="109"/>
      <c r="P8" s="109"/>
      <c r="Q8" s="109"/>
      <c r="R8" s="109"/>
      <c r="S8" s="109"/>
      <c r="T8" s="109"/>
      <c r="U8" s="109"/>
      <c r="V8" s="109"/>
      <c r="W8" s="109"/>
      <c r="X8" s="109"/>
      <c r="Y8" s="109"/>
      <c r="Z8" s="109"/>
    </row>
    <row r="9" spans="1:26" ht="20.25" x14ac:dyDescent="0.3">
      <c r="A9" s="109"/>
      <c r="B9" s="114" t="s">
        <v>98</v>
      </c>
      <c r="C9" s="113" t="s">
        <v>124</v>
      </c>
      <c r="D9" s="114" t="s">
        <v>125</v>
      </c>
      <c r="E9" s="115" t="s">
        <v>122</v>
      </c>
      <c r="F9" s="109"/>
      <c r="G9" s="118" t="s">
        <v>126</v>
      </c>
      <c r="H9" s="114">
        <f>'VAL 2 TRIM'!$AO$11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99</v>
      </c>
      <c r="C10" s="113" t="s">
        <v>127</v>
      </c>
      <c r="D10" s="114" t="s">
        <v>128</v>
      </c>
      <c r="E10" s="115" t="s">
        <v>122</v>
      </c>
      <c r="F10" s="109"/>
      <c r="G10" s="118" t="s">
        <v>129</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6" t="s">
        <v>131</v>
      </c>
      <c r="C13" s="212"/>
      <c r="D13" s="212"/>
      <c r="E13" s="212"/>
      <c r="F13" s="212"/>
      <c r="G13" s="212"/>
      <c r="H13" s="212"/>
      <c r="I13" s="212"/>
      <c r="J13" s="212"/>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2" t="s">
        <v>132</v>
      </c>
      <c r="C15" s="219"/>
      <c r="D15" s="219"/>
      <c r="E15" s="219"/>
      <c r="F15" s="219"/>
      <c r="G15" s="219"/>
      <c r="H15" s="219"/>
      <c r="I15" s="219"/>
      <c r="J15" s="220"/>
      <c r="K15" s="109"/>
      <c r="L15" s="109"/>
      <c r="M15" s="109"/>
      <c r="N15" s="109"/>
      <c r="O15" s="109"/>
      <c r="P15" s="109"/>
      <c r="Q15" s="109"/>
      <c r="R15" s="109"/>
      <c r="S15" s="109"/>
      <c r="T15" s="109"/>
      <c r="U15" s="109"/>
      <c r="V15" s="109"/>
      <c r="W15" s="109"/>
      <c r="X15" s="109"/>
      <c r="Y15" s="109"/>
      <c r="Z15" s="109"/>
    </row>
    <row r="16" spans="1:26" ht="16.5" customHeight="1" x14ac:dyDescent="0.3">
      <c r="A16" s="109"/>
      <c r="B16" s="313"/>
      <c r="C16" s="212"/>
      <c r="D16" s="212"/>
      <c r="E16" s="212"/>
      <c r="F16" s="212"/>
      <c r="G16" s="212"/>
      <c r="H16" s="212"/>
      <c r="I16" s="212"/>
      <c r="J16" s="314"/>
      <c r="K16" s="109"/>
      <c r="L16" s="109"/>
      <c r="M16" s="109"/>
      <c r="N16" s="109"/>
      <c r="O16" s="109"/>
      <c r="P16" s="109"/>
      <c r="Q16" s="109"/>
      <c r="R16" s="109"/>
      <c r="S16" s="109"/>
      <c r="T16" s="109"/>
      <c r="U16" s="109"/>
      <c r="V16" s="109"/>
      <c r="W16" s="109"/>
      <c r="X16" s="109"/>
      <c r="Y16" s="109"/>
      <c r="Z16" s="109"/>
    </row>
    <row r="17" spans="1:26" ht="16.5" customHeight="1" x14ac:dyDescent="0.3">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3">
      <c r="A18" s="109"/>
      <c r="B18" s="312" t="s">
        <v>133</v>
      </c>
      <c r="C18" s="219"/>
      <c r="D18" s="219"/>
      <c r="E18" s="219"/>
      <c r="F18" s="219"/>
      <c r="G18" s="219"/>
      <c r="H18" s="219"/>
      <c r="I18" s="219"/>
      <c r="J18" s="220"/>
      <c r="K18" s="109"/>
      <c r="L18" s="109"/>
      <c r="M18" s="109"/>
      <c r="N18" s="109"/>
      <c r="O18" s="109"/>
      <c r="P18" s="109"/>
      <c r="Q18" s="109"/>
      <c r="R18" s="109"/>
      <c r="S18" s="109"/>
      <c r="T18" s="109"/>
      <c r="U18" s="109"/>
      <c r="V18" s="109"/>
      <c r="W18" s="109"/>
      <c r="X18" s="109"/>
      <c r="Y18" s="109"/>
      <c r="Z18" s="109"/>
    </row>
    <row r="19" spans="1:26" ht="16.5" customHeight="1" x14ac:dyDescent="0.3">
      <c r="A19" s="109"/>
      <c r="B19" s="313"/>
      <c r="C19" s="212"/>
      <c r="D19" s="212"/>
      <c r="E19" s="212"/>
      <c r="F19" s="212"/>
      <c r="G19" s="212"/>
      <c r="H19" s="212"/>
      <c r="I19" s="212"/>
      <c r="J19" s="314"/>
      <c r="K19" s="109"/>
      <c r="L19" s="109"/>
      <c r="M19" s="109"/>
      <c r="N19" s="109"/>
      <c r="O19" s="109"/>
      <c r="P19" s="109"/>
      <c r="Q19" s="109"/>
      <c r="R19" s="109"/>
      <c r="S19" s="109"/>
      <c r="T19" s="109"/>
      <c r="U19" s="109"/>
      <c r="V19" s="109"/>
      <c r="W19" s="109"/>
      <c r="X19" s="109"/>
      <c r="Y19" s="109"/>
      <c r="Z19" s="109"/>
    </row>
    <row r="20" spans="1:26" ht="16.5" customHeight="1" x14ac:dyDescent="0.3">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3">
      <c r="A21" s="109"/>
      <c r="B21" s="312" t="s">
        <v>134</v>
      </c>
      <c r="C21" s="219"/>
      <c r="D21" s="219"/>
      <c r="E21" s="219"/>
      <c r="F21" s="219"/>
      <c r="G21" s="219"/>
      <c r="H21" s="219"/>
      <c r="I21" s="219"/>
      <c r="J21" s="220"/>
      <c r="K21" s="109"/>
      <c r="L21" s="109"/>
      <c r="M21" s="109"/>
      <c r="N21" s="109"/>
      <c r="O21" s="109"/>
      <c r="P21" s="109"/>
      <c r="Q21" s="109"/>
      <c r="R21" s="109"/>
      <c r="S21" s="109"/>
      <c r="T21" s="109"/>
      <c r="U21" s="109"/>
      <c r="V21" s="109"/>
      <c r="W21" s="109"/>
      <c r="X21" s="109"/>
      <c r="Y21" s="109"/>
      <c r="Z21" s="109"/>
    </row>
    <row r="22" spans="1:26" ht="16.5" customHeight="1" x14ac:dyDescent="0.3">
      <c r="A22" s="109"/>
      <c r="B22" s="313"/>
      <c r="C22" s="212"/>
      <c r="D22" s="212"/>
      <c r="E22" s="212"/>
      <c r="F22" s="212"/>
      <c r="G22" s="212"/>
      <c r="H22" s="212"/>
      <c r="I22" s="212"/>
      <c r="J22" s="314"/>
      <c r="K22" s="109"/>
      <c r="L22" s="109"/>
      <c r="M22" s="109"/>
      <c r="N22" s="109"/>
      <c r="O22" s="109"/>
      <c r="P22" s="109"/>
      <c r="Q22" s="109"/>
      <c r="R22" s="109"/>
      <c r="S22" s="109"/>
      <c r="T22" s="109"/>
      <c r="U22" s="109"/>
      <c r="V22" s="109"/>
      <c r="W22" s="109"/>
      <c r="X22" s="109"/>
      <c r="Y22" s="109"/>
      <c r="Z22" s="109"/>
    </row>
    <row r="23" spans="1:26" ht="16.5" customHeight="1" x14ac:dyDescent="0.3">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3">
      <c r="A24" s="109"/>
      <c r="B24" s="312" t="s">
        <v>135</v>
      </c>
      <c r="C24" s="219"/>
      <c r="D24" s="219"/>
      <c r="E24" s="219"/>
      <c r="F24" s="219"/>
      <c r="G24" s="219"/>
      <c r="H24" s="219"/>
      <c r="I24" s="219"/>
      <c r="J24" s="220"/>
      <c r="K24" s="109"/>
      <c r="L24" s="109"/>
      <c r="M24" s="109"/>
      <c r="N24" s="109"/>
      <c r="O24" s="109"/>
      <c r="P24" s="109"/>
      <c r="Q24" s="109"/>
      <c r="R24" s="109"/>
      <c r="S24" s="109"/>
      <c r="T24" s="109"/>
      <c r="U24" s="109"/>
      <c r="V24" s="109"/>
      <c r="W24" s="109"/>
      <c r="X24" s="109"/>
      <c r="Y24" s="109"/>
      <c r="Z24" s="109"/>
    </row>
    <row r="25" spans="1:26" ht="16.5" customHeight="1" x14ac:dyDescent="0.3">
      <c r="A25" s="109"/>
      <c r="B25" s="313"/>
      <c r="C25" s="212"/>
      <c r="D25" s="212"/>
      <c r="E25" s="212"/>
      <c r="F25" s="212"/>
      <c r="G25" s="212"/>
      <c r="H25" s="212"/>
      <c r="I25" s="212"/>
      <c r="J25" s="314"/>
      <c r="K25" s="109"/>
      <c r="L25" s="109"/>
      <c r="M25" s="109"/>
      <c r="N25" s="109"/>
      <c r="O25" s="109"/>
      <c r="P25" s="109"/>
      <c r="Q25" s="109"/>
      <c r="R25" s="109"/>
      <c r="S25" s="109"/>
      <c r="T25" s="109"/>
      <c r="U25" s="109"/>
      <c r="V25" s="109"/>
      <c r="W25" s="109"/>
      <c r="X25" s="109"/>
      <c r="Y25" s="109"/>
      <c r="Z25" s="109"/>
    </row>
    <row r="26" spans="1:26" ht="16.5" customHeight="1" x14ac:dyDescent="0.3">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3">
      <c r="A27" s="109"/>
      <c r="B27" s="312" t="s">
        <v>136</v>
      </c>
      <c r="C27" s="219"/>
      <c r="D27" s="219"/>
      <c r="E27" s="219"/>
      <c r="F27" s="219"/>
      <c r="G27" s="219"/>
      <c r="H27" s="219"/>
      <c r="I27" s="219"/>
      <c r="J27" s="220"/>
      <c r="K27" s="109"/>
      <c r="L27" s="109"/>
      <c r="M27" s="109"/>
      <c r="N27" s="109"/>
      <c r="O27" s="109"/>
      <c r="P27" s="109"/>
      <c r="Q27" s="109"/>
      <c r="R27" s="109"/>
      <c r="S27" s="109"/>
      <c r="T27" s="109"/>
      <c r="U27" s="109"/>
      <c r="V27" s="109"/>
      <c r="W27" s="109"/>
      <c r="X27" s="109"/>
      <c r="Y27" s="109"/>
      <c r="Z27" s="109"/>
    </row>
    <row r="28" spans="1:26" ht="16.5" customHeight="1" x14ac:dyDescent="0.3">
      <c r="A28" s="109"/>
      <c r="B28" s="313"/>
      <c r="C28" s="212"/>
      <c r="D28" s="212"/>
      <c r="E28" s="212"/>
      <c r="F28" s="212"/>
      <c r="G28" s="212"/>
      <c r="H28" s="212"/>
      <c r="I28" s="212"/>
      <c r="J28" s="314"/>
      <c r="K28" s="109"/>
      <c r="L28" s="109"/>
      <c r="M28" s="109"/>
      <c r="N28" s="109"/>
      <c r="O28" s="109"/>
      <c r="P28" s="109"/>
      <c r="Q28" s="109"/>
      <c r="R28" s="109"/>
      <c r="S28" s="109"/>
      <c r="T28" s="109"/>
      <c r="U28" s="109"/>
      <c r="V28" s="109"/>
      <c r="W28" s="109"/>
      <c r="X28" s="109"/>
      <c r="Y28" s="109"/>
      <c r="Z28" s="109"/>
    </row>
    <row r="29" spans="1:26" ht="16.5" customHeight="1" x14ac:dyDescent="0.3">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5" t="s">
        <v>139</v>
      </c>
      <c r="C2" s="212"/>
      <c r="D2" s="212"/>
      <c r="E2" s="212"/>
      <c r="F2" s="212"/>
      <c r="G2" s="212"/>
      <c r="H2" s="212"/>
      <c r="I2" s="212"/>
      <c r="J2" s="212"/>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44420</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25" x14ac:dyDescent="0.3">
      <c r="A7" s="109"/>
      <c r="B7" s="114" t="s">
        <v>96</v>
      </c>
      <c r="C7" s="113" t="s">
        <v>116</v>
      </c>
      <c r="D7" s="114" t="s">
        <v>117</v>
      </c>
      <c r="E7" s="115" t="s">
        <v>118</v>
      </c>
      <c r="F7" s="109"/>
      <c r="G7" s="116" t="s">
        <v>119</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97</v>
      </c>
      <c r="C8" s="113" t="s">
        <v>120</v>
      </c>
      <c r="D8" s="114" t="s">
        <v>121</v>
      </c>
      <c r="E8" s="115" t="s">
        <v>122</v>
      </c>
      <c r="F8" s="109"/>
      <c r="G8" s="116" t="s">
        <v>123</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98</v>
      </c>
      <c r="C9" s="113" t="s">
        <v>124</v>
      </c>
      <c r="D9" s="114" t="s">
        <v>125</v>
      </c>
      <c r="E9" s="115" t="s">
        <v>122</v>
      </c>
      <c r="F9" s="109"/>
      <c r="G9" s="118" t="s">
        <v>126</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99</v>
      </c>
      <c r="C10" s="113" t="s">
        <v>127</v>
      </c>
      <c r="D10" s="114" t="s">
        <v>128</v>
      </c>
      <c r="E10" s="115" t="s">
        <v>122</v>
      </c>
      <c r="F10" s="109"/>
      <c r="G10" s="118" t="s">
        <v>129</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6" t="s">
        <v>131</v>
      </c>
      <c r="C13" s="212"/>
      <c r="D13" s="212"/>
      <c r="E13" s="212"/>
      <c r="F13" s="212"/>
      <c r="G13" s="212"/>
      <c r="H13" s="212"/>
      <c r="I13" s="212"/>
      <c r="J13" s="212"/>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2" t="s">
        <v>132</v>
      </c>
      <c r="C15" s="219"/>
      <c r="D15" s="219"/>
      <c r="E15" s="219"/>
      <c r="F15" s="219"/>
      <c r="G15" s="219"/>
      <c r="H15" s="219"/>
      <c r="I15" s="219"/>
      <c r="J15" s="220"/>
      <c r="K15" s="109"/>
      <c r="L15" s="109"/>
      <c r="M15" s="109"/>
      <c r="N15" s="109"/>
      <c r="O15" s="109"/>
      <c r="P15" s="109"/>
      <c r="Q15" s="109"/>
      <c r="R15" s="109"/>
      <c r="S15" s="109"/>
      <c r="T15" s="109"/>
      <c r="U15" s="109"/>
      <c r="V15" s="109"/>
      <c r="W15" s="109"/>
      <c r="X15" s="109"/>
      <c r="Y15" s="109"/>
      <c r="Z15" s="109"/>
    </row>
    <row r="16" spans="1:26" ht="16.5" customHeight="1" x14ac:dyDescent="0.3">
      <c r="A16" s="109"/>
      <c r="B16" s="313"/>
      <c r="C16" s="212"/>
      <c r="D16" s="212"/>
      <c r="E16" s="212"/>
      <c r="F16" s="212"/>
      <c r="G16" s="212"/>
      <c r="H16" s="212"/>
      <c r="I16" s="212"/>
      <c r="J16" s="314"/>
      <c r="K16" s="109"/>
      <c r="L16" s="109"/>
      <c r="M16" s="109"/>
      <c r="N16" s="109"/>
      <c r="O16" s="109"/>
      <c r="P16" s="109"/>
      <c r="Q16" s="109"/>
      <c r="R16" s="109"/>
      <c r="S16" s="109"/>
      <c r="T16" s="109"/>
      <c r="U16" s="109"/>
      <c r="V16" s="109"/>
      <c r="W16" s="109"/>
      <c r="X16" s="109"/>
      <c r="Y16" s="109"/>
      <c r="Z16" s="109"/>
    </row>
    <row r="17" spans="1:26" ht="16.5" customHeight="1" x14ac:dyDescent="0.3">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3">
      <c r="A18" s="109"/>
      <c r="B18" s="312" t="s">
        <v>133</v>
      </c>
      <c r="C18" s="219"/>
      <c r="D18" s="219"/>
      <c r="E18" s="219"/>
      <c r="F18" s="219"/>
      <c r="G18" s="219"/>
      <c r="H18" s="219"/>
      <c r="I18" s="219"/>
      <c r="J18" s="220"/>
      <c r="K18" s="109"/>
      <c r="L18" s="109"/>
      <c r="M18" s="109"/>
      <c r="N18" s="109"/>
      <c r="O18" s="109"/>
      <c r="P18" s="109"/>
      <c r="Q18" s="109"/>
      <c r="R18" s="109"/>
      <c r="S18" s="109"/>
      <c r="T18" s="109"/>
      <c r="U18" s="109"/>
      <c r="V18" s="109"/>
      <c r="W18" s="109"/>
      <c r="X18" s="109"/>
      <c r="Y18" s="109"/>
      <c r="Z18" s="109"/>
    </row>
    <row r="19" spans="1:26" ht="16.5" customHeight="1" x14ac:dyDescent="0.3">
      <c r="A19" s="109"/>
      <c r="B19" s="313"/>
      <c r="C19" s="212"/>
      <c r="D19" s="212"/>
      <c r="E19" s="212"/>
      <c r="F19" s="212"/>
      <c r="G19" s="212"/>
      <c r="H19" s="212"/>
      <c r="I19" s="212"/>
      <c r="J19" s="314"/>
      <c r="K19" s="109"/>
      <c r="L19" s="109"/>
      <c r="M19" s="109"/>
      <c r="N19" s="109"/>
      <c r="O19" s="109"/>
      <c r="P19" s="109"/>
      <c r="Q19" s="109"/>
      <c r="R19" s="109"/>
      <c r="S19" s="109"/>
      <c r="T19" s="109"/>
      <c r="U19" s="109"/>
      <c r="V19" s="109"/>
      <c r="W19" s="109"/>
      <c r="X19" s="109"/>
      <c r="Y19" s="109"/>
      <c r="Z19" s="109"/>
    </row>
    <row r="20" spans="1:26" ht="16.5" customHeight="1" x14ac:dyDescent="0.3">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3">
      <c r="A21" s="109"/>
      <c r="B21" s="312" t="s">
        <v>134</v>
      </c>
      <c r="C21" s="219"/>
      <c r="D21" s="219"/>
      <c r="E21" s="219"/>
      <c r="F21" s="219"/>
      <c r="G21" s="219"/>
      <c r="H21" s="219"/>
      <c r="I21" s="219"/>
      <c r="J21" s="220"/>
      <c r="K21" s="109"/>
      <c r="L21" s="109"/>
      <c r="M21" s="109"/>
      <c r="N21" s="109"/>
      <c r="O21" s="109"/>
      <c r="P21" s="109"/>
      <c r="Q21" s="109"/>
      <c r="R21" s="109"/>
      <c r="S21" s="109"/>
      <c r="T21" s="109"/>
      <c r="U21" s="109"/>
      <c r="V21" s="109"/>
      <c r="W21" s="109"/>
      <c r="X21" s="109"/>
      <c r="Y21" s="109"/>
      <c r="Z21" s="109"/>
    </row>
    <row r="22" spans="1:26" ht="16.5" customHeight="1" x14ac:dyDescent="0.3">
      <c r="A22" s="109"/>
      <c r="B22" s="313"/>
      <c r="C22" s="212"/>
      <c r="D22" s="212"/>
      <c r="E22" s="212"/>
      <c r="F22" s="212"/>
      <c r="G22" s="212"/>
      <c r="H22" s="212"/>
      <c r="I22" s="212"/>
      <c r="J22" s="314"/>
      <c r="K22" s="109"/>
      <c r="L22" s="109"/>
      <c r="M22" s="109"/>
      <c r="N22" s="109"/>
      <c r="O22" s="109"/>
      <c r="P22" s="109"/>
      <c r="Q22" s="109"/>
      <c r="R22" s="109"/>
      <c r="S22" s="109"/>
      <c r="T22" s="109"/>
      <c r="U22" s="109"/>
      <c r="V22" s="109"/>
      <c r="W22" s="109"/>
      <c r="X22" s="109"/>
      <c r="Y22" s="109"/>
      <c r="Z22" s="109"/>
    </row>
    <row r="23" spans="1:26" ht="16.5" customHeight="1" x14ac:dyDescent="0.3">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3">
      <c r="A24" s="109"/>
      <c r="B24" s="312" t="s">
        <v>135</v>
      </c>
      <c r="C24" s="219"/>
      <c r="D24" s="219"/>
      <c r="E24" s="219"/>
      <c r="F24" s="219"/>
      <c r="G24" s="219"/>
      <c r="H24" s="219"/>
      <c r="I24" s="219"/>
      <c r="J24" s="220"/>
      <c r="K24" s="109"/>
      <c r="L24" s="109"/>
      <c r="M24" s="109"/>
      <c r="N24" s="109"/>
      <c r="O24" s="109"/>
      <c r="P24" s="109"/>
      <c r="Q24" s="109"/>
      <c r="R24" s="109"/>
      <c r="S24" s="109"/>
      <c r="T24" s="109"/>
      <c r="U24" s="109"/>
      <c r="V24" s="109"/>
      <c r="W24" s="109"/>
      <c r="X24" s="109"/>
      <c r="Y24" s="109"/>
      <c r="Z24" s="109"/>
    </row>
    <row r="25" spans="1:26" ht="16.5" customHeight="1" x14ac:dyDescent="0.3">
      <c r="A25" s="109"/>
      <c r="B25" s="313"/>
      <c r="C25" s="212"/>
      <c r="D25" s="212"/>
      <c r="E25" s="212"/>
      <c r="F25" s="212"/>
      <c r="G25" s="212"/>
      <c r="H25" s="212"/>
      <c r="I25" s="212"/>
      <c r="J25" s="314"/>
      <c r="K25" s="109"/>
      <c r="L25" s="109"/>
      <c r="M25" s="109"/>
      <c r="N25" s="109"/>
      <c r="O25" s="109"/>
      <c r="P25" s="109"/>
      <c r="Q25" s="109"/>
      <c r="R25" s="109"/>
      <c r="S25" s="109"/>
      <c r="T25" s="109"/>
      <c r="U25" s="109"/>
      <c r="V25" s="109"/>
      <c r="W25" s="109"/>
      <c r="X25" s="109"/>
      <c r="Y25" s="109"/>
      <c r="Z25" s="109"/>
    </row>
    <row r="26" spans="1:26" ht="16.5" customHeight="1" x14ac:dyDescent="0.3">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3">
      <c r="A27" s="109"/>
      <c r="B27" s="312" t="s">
        <v>136</v>
      </c>
      <c r="C27" s="219"/>
      <c r="D27" s="219"/>
      <c r="E27" s="219"/>
      <c r="F27" s="219"/>
      <c r="G27" s="219"/>
      <c r="H27" s="219"/>
      <c r="I27" s="219"/>
      <c r="J27" s="220"/>
      <c r="K27" s="109"/>
      <c r="L27" s="109"/>
      <c r="M27" s="109"/>
      <c r="N27" s="109"/>
      <c r="O27" s="109"/>
      <c r="P27" s="109"/>
      <c r="Q27" s="109"/>
      <c r="R27" s="109"/>
      <c r="S27" s="109"/>
      <c r="T27" s="109"/>
      <c r="U27" s="109"/>
      <c r="V27" s="109"/>
      <c r="W27" s="109"/>
      <c r="X27" s="109"/>
      <c r="Y27" s="109"/>
      <c r="Z27" s="109"/>
    </row>
    <row r="28" spans="1:26" ht="16.5" customHeight="1" x14ac:dyDescent="0.3">
      <c r="A28" s="109"/>
      <c r="B28" s="313"/>
      <c r="C28" s="212"/>
      <c r="D28" s="212"/>
      <c r="E28" s="212"/>
      <c r="F28" s="212"/>
      <c r="G28" s="212"/>
      <c r="H28" s="212"/>
      <c r="I28" s="212"/>
      <c r="J28" s="314"/>
      <c r="K28" s="109"/>
      <c r="L28" s="109"/>
      <c r="M28" s="109"/>
      <c r="N28" s="109"/>
      <c r="O28" s="109"/>
      <c r="P28" s="109"/>
      <c r="Q28" s="109"/>
      <c r="R28" s="109"/>
      <c r="S28" s="109"/>
      <c r="T28" s="109"/>
      <c r="U28" s="109"/>
      <c r="V28" s="109"/>
      <c r="W28" s="109"/>
      <c r="X28" s="109"/>
      <c r="Y28" s="109"/>
      <c r="Z28" s="109"/>
    </row>
    <row r="29" spans="1:26" ht="16.5" customHeight="1" x14ac:dyDescent="0.3">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16" t="s">
        <v>140</v>
      </c>
      <c r="D2" s="212"/>
      <c r="E2" s="212"/>
      <c r="F2" s="212"/>
      <c r="G2" s="212"/>
      <c r="H2" s="212"/>
      <c r="I2" s="212"/>
      <c r="J2" s="212"/>
      <c r="K2" s="212"/>
      <c r="L2" s="212"/>
      <c r="M2" s="212"/>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4to de Secundaria</v>
      </c>
      <c r="F5" s="40"/>
      <c r="G5" s="40"/>
      <c r="H5" s="40"/>
      <c r="I5" s="40"/>
      <c r="J5" s="43" t="s">
        <v>23</v>
      </c>
      <c r="K5" s="67">
        <f ca="1">TODAY()</f>
        <v>44420</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6" t="s">
        <v>141</v>
      </c>
      <c r="D10" s="212"/>
      <c r="E10" s="123"/>
      <c r="F10" s="40"/>
      <c r="G10" s="43" t="s">
        <v>142</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143</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8" t="s">
        <v>144</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145</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6" t="s">
        <v>146</v>
      </c>
      <c r="D23" s="212"/>
      <c r="E23" s="40"/>
      <c r="F23" s="40"/>
      <c r="G23" s="43" t="s">
        <v>147</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143</v>
      </c>
      <c r="D24" s="40"/>
      <c r="E24" s="125">
        <f>'CENTRAL 2'!$J$9</f>
        <v>14</v>
      </c>
      <c r="F24" s="40"/>
      <c r="G24" s="126">
        <f t="shared" ref="G24:G25" si="1">E24/$E$26</f>
        <v>0.3888888888888889</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8" t="s">
        <v>144</v>
      </c>
      <c r="D25" s="40"/>
      <c r="E25" s="128">
        <f>'CENTRAL 2'!$J$13</f>
        <v>22</v>
      </c>
      <c r="F25" s="40"/>
      <c r="G25" s="126">
        <f t="shared" si="1"/>
        <v>0.61111111111111116</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145</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6" t="s">
        <v>148</v>
      </c>
      <c r="D35" s="212"/>
      <c r="E35" s="40"/>
      <c r="F35" s="40"/>
      <c r="G35" s="122" t="s">
        <v>149</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143</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8" t="s">
        <v>144</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145</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318" t="s">
        <v>150</v>
      </c>
      <c r="D2" s="212"/>
      <c r="E2" s="212"/>
      <c r="F2" s="212"/>
      <c r="G2" s="212"/>
      <c r="H2" s="212"/>
      <c r="I2" s="212"/>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4to de Secundaria</v>
      </c>
      <c r="F5" s="132"/>
      <c r="G5" s="131" t="s">
        <v>23</v>
      </c>
      <c r="H5" s="133">
        <f ca="1">TODAY()</f>
        <v>44420</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317" t="s">
        <v>151</v>
      </c>
      <c r="D8" s="135" t="s">
        <v>152</v>
      </c>
      <c r="E8" s="135" t="s">
        <v>153</v>
      </c>
      <c r="F8" s="136" t="s">
        <v>154</v>
      </c>
      <c r="G8" s="135" t="s">
        <v>155</v>
      </c>
      <c r="H8" s="135" t="s">
        <v>156</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304"/>
      <c r="D9" s="137" t="s">
        <v>157</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304"/>
      <c r="D10" s="137" t="s">
        <v>158</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304"/>
      <c r="D11" s="137" t="s">
        <v>159</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73"/>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317" t="s">
        <v>160</v>
      </c>
      <c r="D15" s="135" t="s">
        <v>152</v>
      </c>
      <c r="E15" s="135" t="s">
        <v>153</v>
      </c>
      <c r="F15" s="136" t="s">
        <v>154</v>
      </c>
      <c r="G15" s="135" t="s">
        <v>155</v>
      </c>
      <c r="H15" s="135" t="s">
        <v>156</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304"/>
      <c r="D16" s="137" t="s">
        <v>157</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304"/>
      <c r="D17" s="137" t="s">
        <v>158</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304"/>
      <c r="D18" s="137" t="s">
        <v>159</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73"/>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317" t="s">
        <v>161</v>
      </c>
      <c r="D22" s="135" t="s">
        <v>152</v>
      </c>
      <c r="E22" s="135" t="s">
        <v>153</v>
      </c>
      <c r="F22" s="136" t="s">
        <v>154</v>
      </c>
      <c r="G22" s="135" t="s">
        <v>155</v>
      </c>
      <c r="H22" s="135" t="s">
        <v>156</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304"/>
      <c r="D23" s="137" t="s">
        <v>157</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304"/>
      <c r="D24" s="137" t="s">
        <v>158</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304"/>
      <c r="D25" s="137" t="s">
        <v>159</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73"/>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317" t="s">
        <v>162</v>
      </c>
      <c r="D29" s="135" t="s">
        <v>152</v>
      </c>
      <c r="E29" s="135" t="s">
        <v>153</v>
      </c>
      <c r="F29" s="136" t="s">
        <v>154</v>
      </c>
      <c r="G29" s="135" t="s">
        <v>155</v>
      </c>
      <c r="H29" s="135" t="s">
        <v>156</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304"/>
      <c r="D30" s="137" t="s">
        <v>157</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304"/>
      <c r="D31" s="137" t="s">
        <v>158</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304"/>
      <c r="D32" s="137" t="s">
        <v>159</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73"/>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317" t="s">
        <v>163</v>
      </c>
      <c r="D36" s="135" t="s">
        <v>152</v>
      </c>
      <c r="E36" s="135" t="s">
        <v>153</v>
      </c>
      <c r="F36" s="136" t="s">
        <v>154</v>
      </c>
      <c r="G36" s="135" t="s">
        <v>155</v>
      </c>
      <c r="H36" s="135" t="s">
        <v>156</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304"/>
      <c r="D37" s="137" t="s">
        <v>157</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304"/>
      <c r="D38" s="137" t="s">
        <v>158</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304"/>
      <c r="D39" s="137" t="s">
        <v>159</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73"/>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317" t="s">
        <v>164</v>
      </c>
      <c r="D43" s="135" t="s">
        <v>152</v>
      </c>
      <c r="E43" s="135" t="s">
        <v>153</v>
      </c>
      <c r="F43" s="136" t="s">
        <v>154</v>
      </c>
      <c r="G43" s="135" t="s">
        <v>155</v>
      </c>
      <c r="H43" s="135" t="s">
        <v>156</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304"/>
      <c r="D44" s="137" t="s">
        <v>157</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304"/>
      <c r="D45" s="137" t="s">
        <v>158</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304"/>
      <c r="D46" s="137" t="s">
        <v>159</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73"/>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323" t="s">
        <v>165</v>
      </c>
      <c r="F3" s="212"/>
      <c r="G3" s="212"/>
      <c r="H3" s="212"/>
      <c r="I3" s="212"/>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4to de Secundaria</v>
      </c>
      <c r="H8" s="143" t="s">
        <v>23</v>
      </c>
      <c r="I8" s="133">
        <f ca="1">TODAY()</f>
        <v>44420</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324" t="s">
        <v>166</v>
      </c>
      <c r="F16" s="325"/>
      <c r="G16" s="145" t="s">
        <v>24</v>
      </c>
      <c r="H16" s="146" t="s">
        <v>167</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319"/>
      <c r="F17" s="270"/>
      <c r="G17" s="148" t="str">
        <f>'C. FILIACION'!B8</f>
        <v>BENITEZ BALLESTEROS KAREN ARIANA</v>
      </c>
      <c r="H17" s="149">
        <f>'CENTRAL 2'!F9</f>
        <v>83.333333333333329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319"/>
      <c r="F18" s="270"/>
      <c r="G18" s="148" t="str">
        <f>'C. FILIACION'!B9</f>
        <v>CALIZAYA MERCADO AXEL GABRIEL</v>
      </c>
      <c r="H18" s="149">
        <f>'CENTRAL 2'!F10</f>
        <v>63.333333333333336</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319"/>
      <c r="F19" s="270"/>
      <c r="G19" s="148" t="str">
        <f>'C. FILIACION'!B10</f>
        <v>CANO GUZMAN FABRIZIO RODRIGO</v>
      </c>
      <c r="H19" s="149">
        <f>'CENTRAL 2'!F11</f>
        <v>63.666666666666664</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319"/>
      <c r="F20" s="270"/>
      <c r="G20" s="148" t="str">
        <f>'C. FILIACION'!B11</f>
        <v>CHOQUE LAURA CARLOS EDUARDO</v>
      </c>
      <c r="H20" s="149">
        <f>'CENTRAL 2'!F12</f>
        <v>73.333333333333329</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319"/>
      <c r="F21" s="270"/>
      <c r="G21" s="148" t="str">
        <f>'C. FILIACION'!B12</f>
        <v>CONDORI GALARZA DENSEL ALEXSIS</v>
      </c>
      <c r="H21" s="149">
        <f>'CENTRAL 2'!F13</f>
        <v>92</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319"/>
      <c r="F22" s="270"/>
      <c r="G22" s="148" t="str">
        <f>'C. FILIACION'!B13</f>
        <v>DAZA RAMIREZ KALEP MATEO</v>
      </c>
      <c r="H22" s="149">
        <f>'CENTRAL 2'!F14</f>
        <v>66.666666666666671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319"/>
      <c r="F23" s="270"/>
      <c r="G23" s="148" t="str">
        <f>'C. FILIACION'!B14</f>
        <v>ESTRADA FUNES NAZARETH</v>
      </c>
      <c r="H23" s="149">
        <f>'CENTRAL 2'!F15</f>
        <v>87.333333333333329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319"/>
      <c r="F24" s="270"/>
      <c r="G24" s="148" t="str">
        <f>'C. FILIACION'!B15</f>
        <v>FLORES VILLEGAS CARLOS IVAN</v>
      </c>
      <c r="H24" s="149">
        <f>'CENTRAL 2'!F16</f>
        <v>73.333333333333329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319"/>
      <c r="F25" s="270"/>
      <c r="G25" s="148" t="str">
        <f>'C. FILIACION'!B16</f>
        <v>FRANCISCO RUIZ LUCERO</v>
      </c>
      <c r="H25" s="149">
        <f>'CENTRAL 2'!F17</f>
        <v>95.333333333333329</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319"/>
      <c r="F26" s="270"/>
      <c r="G26" s="148" t="str">
        <f>'C. FILIACION'!B17</f>
        <v>IBARRA VINO ELOY INTI</v>
      </c>
      <c r="H26" s="149">
        <f>'CENTRAL 2'!F18</f>
        <v>93</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319"/>
      <c r="F27" s="270"/>
      <c r="G27" s="148" t="str">
        <f>'C. FILIACION'!B18</f>
        <v>LOPEZ BLANCO SOFIA BELEN</v>
      </c>
      <c r="H27" s="149">
        <f>'CENTRAL 2'!F19</f>
        <v>78.333333333333329</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319"/>
      <c r="F28" s="270"/>
      <c r="G28" s="148" t="str">
        <f>'C. FILIACION'!B19</f>
        <v>LOPEZ PACO RODRIGO ADRIAN</v>
      </c>
      <c r="H28" s="149">
        <f>'CENTRAL 2'!F20</f>
        <v>66.666666666666671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319"/>
      <c r="F29" s="270"/>
      <c r="G29" s="148" t="str">
        <f>'C. FILIACION'!B20</f>
        <v>LOPEZ VERA MILENCA</v>
      </c>
      <c r="H29" s="149">
        <f>'CENTRAL 2'!F21</f>
        <v>95.666666666666671</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319"/>
      <c r="F30" s="270"/>
      <c r="G30" s="148" t="str">
        <f>'C. FILIACION'!B21</f>
        <v>MEDINA CHOQUE JOSE ROBERTO</v>
      </c>
      <c r="H30" s="149">
        <f>'CENTRAL 2'!F22</f>
        <v>77.333333333333329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319"/>
      <c r="F31" s="270"/>
      <c r="G31" s="148" t="str">
        <f>'C. FILIACION'!B22</f>
        <v>MIRABAL AYANOME JOSE ALFREDO</v>
      </c>
      <c r="H31" s="149">
        <f>'CENTRAL 2'!F23</f>
        <v>66.666666666666671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319"/>
      <c r="F32" s="270"/>
      <c r="G32" s="148" t="str">
        <f>'C. FILIACION'!B23</f>
        <v>NINA RUEDA ESTEFANY DANIELA</v>
      </c>
      <c r="H32" s="149">
        <f>'CENTRAL 2'!F24</f>
        <v>79.666666666666671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319"/>
      <c r="F33" s="270"/>
      <c r="G33" s="148" t="str">
        <f>'C. FILIACION'!B24</f>
        <v>PORTILLO QUISPE JORGE LUIS</v>
      </c>
      <c r="H33" s="149">
        <f>'CENTRAL 2'!F25</f>
        <v>78.666666666666671</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319"/>
      <c r="F34" s="270"/>
      <c r="G34" s="148" t="str">
        <f>'C. FILIACION'!B25</f>
        <v>TORREZ PACO CARLA MILENKA</v>
      </c>
      <c r="H34" s="149">
        <f>'CENTRAL 2'!F26</f>
        <v>76</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322"/>
      <c r="F35" s="270"/>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319"/>
      <c r="F36" s="270"/>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319"/>
      <c r="F37" s="270"/>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319"/>
      <c r="F38" s="270"/>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319"/>
      <c r="F39" s="270"/>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319"/>
      <c r="F40" s="270"/>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319"/>
      <c r="F41" s="270"/>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319"/>
      <c r="F42" s="270"/>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319"/>
      <c r="F43" s="270"/>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319"/>
      <c r="F44" s="270"/>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319"/>
      <c r="F45" s="270"/>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319"/>
      <c r="F46" s="270"/>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319"/>
      <c r="F47" s="270"/>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319"/>
      <c r="F48" s="270"/>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319"/>
      <c r="F49" s="270"/>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319"/>
      <c r="F50" s="270"/>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319"/>
      <c r="F51" s="270"/>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319"/>
      <c r="F52" s="270"/>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319"/>
      <c r="F53" s="270"/>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319"/>
      <c r="F54" s="270"/>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319"/>
      <c r="F55" s="270"/>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319"/>
      <c r="F56" s="270"/>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319"/>
      <c r="F57" s="270"/>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319"/>
      <c r="F58" s="270"/>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319"/>
      <c r="F59" s="270"/>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320"/>
      <c r="F60" s="321"/>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2021-08-12T22:00:33Z</cp:lastPrinted>
  <dcterms:created xsi:type="dcterms:W3CDTF">2020-01-23T13:58:13Z</dcterms:created>
  <dcterms:modified xsi:type="dcterms:W3CDTF">2021-08-13T02:52:49Z</dcterms:modified>
</cp:coreProperties>
</file>