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05024FE8-82B7-419D-B0EE-E83324C2A0C5}" xr6:coauthVersionLast="47" xr6:coauthVersionMax="47" xr10:uidLastSave="{00000000-0000-0000-0000-000000000000}"/>
  <bookViews>
    <workbookView xWindow="-120" yWindow="-120" windowWidth="29040" windowHeight="17640" firstSheet="1" activeTab="4" xr2:uid="{00000000-000D-0000-FFFF-FFFF00000000}"/>
  </bookViews>
  <sheets>
    <sheet name="CARÁTULA" sheetId="1" r:id="rId1"/>
    <sheet name="C. FILIACION" sheetId="2" r:id="rId2"/>
    <sheet name="ASIS 1 TRIM" sheetId="3" r:id="rId3"/>
    <sheet name="ASIS 2 TRIM" sheetId="4" r:id="rId4"/>
    <sheet name="Informe Rendimient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 r:id="rId19"/>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2yWEg/ojTLgu1VwR0YOb1HvT3Vg=="/>
    </ext>
  </extLst>
</workbook>
</file>

<file path=xl/calcChain.xml><?xml version="1.0" encoding="utf-8"?>
<calcChain xmlns="http://schemas.openxmlformats.org/spreadsheetml/2006/main">
  <c r="BE8" i="4" l="1"/>
  <c r="BE9" i="4"/>
  <c r="BE10" i="4"/>
  <c r="BE11" i="4"/>
  <c r="BE12" i="4"/>
  <c r="BE13" i="4"/>
  <c r="BE14" i="4"/>
  <c r="BE15" i="4"/>
  <c r="BE16" i="4"/>
  <c r="BE17" i="4"/>
  <c r="BE18" i="4"/>
  <c r="BE19" i="4"/>
  <c r="BE20" i="4"/>
  <c r="BE21" i="4"/>
  <c r="BE22" i="4"/>
  <c r="BE23" i="4"/>
  <c r="BE24" i="4"/>
  <c r="BE25" i="4"/>
  <c r="BD8" i="4"/>
  <c r="BD9" i="4"/>
  <c r="BD10" i="4"/>
  <c r="BD11" i="4"/>
  <c r="BD12" i="4"/>
  <c r="BD13" i="4"/>
  <c r="BD14" i="4"/>
  <c r="BD15" i="4"/>
  <c r="BD16" i="4"/>
  <c r="BD17" i="4"/>
  <c r="BD18" i="4"/>
  <c r="BD19" i="4"/>
  <c r="BD20" i="4"/>
  <c r="BD21" i="4"/>
  <c r="BD22" i="4"/>
  <c r="BD23" i="4"/>
  <c r="BD24" i="4"/>
  <c r="BD25" i="4"/>
  <c r="BC8" i="4"/>
  <c r="BC9" i="4"/>
  <c r="BC10" i="4"/>
  <c r="BC11" i="4"/>
  <c r="BC12" i="4"/>
  <c r="BC13" i="4"/>
  <c r="BC14" i="4"/>
  <c r="BC15" i="4"/>
  <c r="BC16" i="4"/>
  <c r="BC17" i="4"/>
  <c r="BC18" i="4"/>
  <c r="BC19" i="4"/>
  <c r="BC20" i="4"/>
  <c r="BC21" i="4"/>
  <c r="BC22" i="4"/>
  <c r="BC23" i="4"/>
  <c r="BC24" i="4"/>
  <c r="BC25" i="4"/>
  <c r="BA8" i="4"/>
  <c r="BA9" i="4"/>
  <c r="BA10" i="4"/>
  <c r="BA11" i="4"/>
  <c r="BA12" i="4"/>
  <c r="BA13" i="4"/>
  <c r="BA14" i="4"/>
  <c r="BA15" i="4"/>
  <c r="BA16" i="4"/>
  <c r="BA17" i="4"/>
  <c r="BA18" i="4"/>
  <c r="BA19" i="4"/>
  <c r="BA20" i="4"/>
  <c r="BA21" i="4"/>
  <c r="BA22" i="4"/>
  <c r="BA23" i="4"/>
  <c r="BA24" i="4"/>
  <c r="BA25" i="4"/>
  <c r="BB8" i="4"/>
  <c r="BB9" i="4"/>
  <c r="BB10" i="4"/>
  <c r="BB11" i="4"/>
  <c r="BB12" i="4"/>
  <c r="BB13" i="4"/>
  <c r="BB14" i="4"/>
  <c r="BB15" i="4"/>
  <c r="BB16" i="4"/>
  <c r="BB17" i="4"/>
  <c r="BB18" i="4"/>
  <c r="BB19" i="4"/>
  <c r="BB20" i="4"/>
  <c r="BB21" i="4"/>
  <c r="BB22" i="4"/>
  <c r="BB23" i="4"/>
  <c r="BB24" i="4"/>
  <c r="BB25" i="4"/>
  <c r="A24" i="17" l="1"/>
  <c r="A23" i="17"/>
  <c r="A22" i="17"/>
  <c r="A21" i="17"/>
  <c r="A15" i="17"/>
  <c r="AD25" i="17"/>
  <c r="I24" i="17"/>
  <c r="I23" i="17"/>
  <c r="AC23" i="17" s="1"/>
  <c r="I22" i="17"/>
  <c r="AC22" i="17" s="1"/>
  <c r="I21" i="17"/>
  <c r="AC21" i="17" s="1"/>
  <c r="I16" i="17"/>
  <c r="AC16" i="17" s="1"/>
  <c r="I15" i="17"/>
  <c r="AC15" i="17" s="1"/>
  <c r="T11" i="17"/>
  <c r="S11" i="17"/>
  <c r="R11" i="17"/>
  <c r="Q11" i="17"/>
  <c r="P11" i="17"/>
  <c r="N11" i="17"/>
  <c r="M11" i="17"/>
  <c r="L11" i="17"/>
  <c r="K11" i="17"/>
  <c r="J11" i="17"/>
  <c r="I11" i="17"/>
  <c r="H11" i="17"/>
  <c r="G11" i="17"/>
  <c r="T10" i="17"/>
  <c r="S10" i="17"/>
  <c r="R10" i="17"/>
  <c r="Q10" i="17"/>
  <c r="P10" i="17"/>
  <c r="N10" i="17"/>
  <c r="M10" i="17"/>
  <c r="L10" i="17"/>
  <c r="K10" i="17"/>
  <c r="J10" i="17"/>
  <c r="I10" i="17"/>
  <c r="H10" i="17"/>
  <c r="G10" i="17"/>
  <c r="R4" i="17"/>
  <c r="F4" i="17"/>
  <c r="B18"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H46" i="15"/>
  <c r="H45" i="15"/>
  <c r="H44" i="15"/>
  <c r="H47" i="15" s="1"/>
  <c r="G40" i="15"/>
  <c r="F40" i="15"/>
  <c r="E40" i="15"/>
  <c r="H39" i="15"/>
  <c r="H38" i="15"/>
  <c r="H37" i="15"/>
  <c r="H40" i="15" s="1"/>
  <c r="G33" i="15"/>
  <c r="H32" i="15" s="1"/>
  <c r="F33" i="15"/>
  <c r="E33" i="15"/>
  <c r="H30" i="15"/>
  <c r="G26" i="15"/>
  <c r="H24" i="15" s="1"/>
  <c r="F26" i="15"/>
  <c r="E26" i="15"/>
  <c r="G19" i="15"/>
  <c r="H16" i="15" s="1"/>
  <c r="F19" i="15"/>
  <c r="E19"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F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D27" i="9"/>
  <c r="C27" i="9"/>
  <c r="B27" i="9"/>
  <c r="R26" i="9"/>
  <c r="O26" i="9"/>
  <c r="L26" i="9"/>
  <c r="I26" i="9"/>
  <c r="F26" i="9"/>
  <c r="C26" i="9"/>
  <c r="B26" i="9"/>
  <c r="R25" i="9"/>
  <c r="O25" i="9"/>
  <c r="L25" i="9"/>
  <c r="I25" i="9"/>
  <c r="C25" i="9"/>
  <c r="B25" i="9"/>
  <c r="R24" i="9"/>
  <c r="O24" i="9"/>
  <c r="L24" i="9"/>
  <c r="I24" i="9"/>
  <c r="C24" i="9"/>
  <c r="B24" i="9"/>
  <c r="R23" i="9"/>
  <c r="O23" i="9"/>
  <c r="L23" i="9"/>
  <c r="I23" i="9"/>
  <c r="C23" i="9"/>
  <c r="B23" i="9"/>
  <c r="S22" i="9"/>
  <c r="R22" i="9"/>
  <c r="O22" i="9"/>
  <c r="L22" i="9"/>
  <c r="I22" i="9"/>
  <c r="C22" i="9"/>
  <c r="B22" i="9"/>
  <c r="R21" i="9"/>
  <c r="O21" i="9"/>
  <c r="L21" i="9"/>
  <c r="I21" i="9"/>
  <c r="C21" i="9"/>
  <c r="B21" i="9"/>
  <c r="R20" i="9"/>
  <c r="P20" i="9"/>
  <c r="O20" i="9"/>
  <c r="L20" i="9"/>
  <c r="I20" i="9"/>
  <c r="C20" i="9"/>
  <c r="B20" i="9"/>
  <c r="R19" i="9"/>
  <c r="O19" i="9"/>
  <c r="L19" i="9"/>
  <c r="I19" i="9"/>
  <c r="C19" i="9"/>
  <c r="B19" i="9"/>
  <c r="R18" i="9"/>
  <c r="O18" i="9"/>
  <c r="L18" i="9"/>
  <c r="I18" i="9"/>
  <c r="C18" i="9"/>
  <c r="B18" i="9"/>
  <c r="R17" i="9"/>
  <c r="O17" i="9"/>
  <c r="L17" i="9"/>
  <c r="I17" i="9"/>
  <c r="C17" i="9"/>
  <c r="B17" i="9"/>
  <c r="R16" i="9"/>
  <c r="Q16" i="9"/>
  <c r="O16" i="9"/>
  <c r="L16" i="9"/>
  <c r="I16" i="9"/>
  <c r="C16" i="9"/>
  <c r="B16" i="9"/>
  <c r="R15" i="9"/>
  <c r="O15" i="9"/>
  <c r="L15" i="9"/>
  <c r="I15" i="9"/>
  <c r="C15" i="9"/>
  <c r="B15" i="9"/>
  <c r="S14" i="9"/>
  <c r="R14" i="9"/>
  <c r="O14" i="9"/>
  <c r="L14" i="9"/>
  <c r="I14" i="9"/>
  <c r="C14" i="9"/>
  <c r="B14" i="9"/>
  <c r="R13" i="9"/>
  <c r="P13" i="9"/>
  <c r="O13" i="9"/>
  <c r="L13" i="9"/>
  <c r="I13" i="9"/>
  <c r="C13" i="9"/>
  <c r="B13" i="9"/>
  <c r="R12" i="9"/>
  <c r="O12" i="9"/>
  <c r="M12" i="9"/>
  <c r="L12" i="9"/>
  <c r="I12" i="9"/>
  <c r="C12" i="9"/>
  <c r="B12" i="9"/>
  <c r="R11" i="9"/>
  <c r="O11" i="9"/>
  <c r="L11" i="9"/>
  <c r="I11" i="9"/>
  <c r="C11" i="9"/>
  <c r="B11" i="9"/>
  <c r="R10" i="9"/>
  <c r="O10" i="9"/>
  <c r="L10" i="9"/>
  <c r="I10" i="9"/>
  <c r="G10" i="9"/>
  <c r="C10" i="9"/>
  <c r="B10" i="9"/>
  <c r="T9" i="9"/>
  <c r="R9" i="9"/>
  <c r="O9" i="9"/>
  <c r="L9" i="9"/>
  <c r="I9" i="9"/>
  <c r="D9" i="9"/>
  <c r="C9" i="9"/>
  <c r="B9" i="9"/>
  <c r="U5" i="9"/>
  <c r="C5" i="9"/>
  <c r="U4" i="9"/>
  <c r="C4" i="9"/>
  <c r="U3" i="9"/>
  <c r="C3" i="9"/>
  <c r="AE44" i="8"/>
  <c r="S44" i="9" s="1"/>
  <c r="AB44" i="8"/>
  <c r="Q44" i="9" s="1"/>
  <c r="O44" i="8"/>
  <c r="P44" i="9" s="1"/>
  <c r="B44" i="8"/>
  <c r="AE43" i="8"/>
  <c r="S43" i="9" s="1"/>
  <c r="AB43" i="8"/>
  <c r="Q43" i="9" s="1"/>
  <c r="O43" i="8"/>
  <c r="P43" i="9" s="1"/>
  <c r="B43" i="8"/>
  <c r="AG42" i="8"/>
  <c r="AE42" i="8"/>
  <c r="S42" i="9" s="1"/>
  <c r="AB42" i="8"/>
  <c r="Q42" i="9" s="1"/>
  <c r="O42" i="8"/>
  <c r="P42" i="9" s="1"/>
  <c r="B42" i="8"/>
  <c r="AE41" i="8"/>
  <c r="S41" i="9" s="1"/>
  <c r="AB41" i="8"/>
  <c r="Q41" i="9" s="1"/>
  <c r="O41" i="8"/>
  <c r="P41" i="9" s="1"/>
  <c r="B41" i="8"/>
  <c r="AE40" i="8"/>
  <c r="S40" i="9" s="1"/>
  <c r="AB40" i="8"/>
  <c r="Q40" i="9" s="1"/>
  <c r="O40" i="8"/>
  <c r="P40" i="9" s="1"/>
  <c r="B40" i="8"/>
  <c r="AE39" i="8"/>
  <c r="S39" i="9" s="1"/>
  <c r="AB39" i="8"/>
  <c r="O39" i="8"/>
  <c r="P39" i="9" s="1"/>
  <c r="B39" i="8"/>
  <c r="AE38" i="8"/>
  <c r="S38" i="9" s="1"/>
  <c r="AB38" i="8"/>
  <c r="Q38" i="9" s="1"/>
  <c r="O38" i="8"/>
  <c r="B38" i="8"/>
  <c r="AE37" i="8"/>
  <c r="S37" i="9" s="1"/>
  <c r="AB37" i="8"/>
  <c r="Q37" i="9" s="1"/>
  <c r="O37" i="8"/>
  <c r="P37" i="9" s="1"/>
  <c r="B37" i="8"/>
  <c r="AE36" i="8"/>
  <c r="S36" i="9" s="1"/>
  <c r="AB36" i="8"/>
  <c r="Q36" i="9" s="1"/>
  <c r="O36" i="8"/>
  <c r="P36" i="9" s="1"/>
  <c r="B36" i="8"/>
  <c r="AE35" i="8"/>
  <c r="S35" i="9" s="1"/>
  <c r="AB35" i="8"/>
  <c r="Q35" i="9" s="1"/>
  <c r="O35" i="8"/>
  <c r="P35" i="9" s="1"/>
  <c r="B35" i="8"/>
  <c r="AG34"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O31" i="8"/>
  <c r="P31" i="9" s="1"/>
  <c r="B31" i="8"/>
  <c r="AE30" i="8"/>
  <c r="S30" i="9" s="1"/>
  <c r="AB30" i="8"/>
  <c r="Q30" i="9" s="1"/>
  <c r="O30" i="8"/>
  <c r="B30" i="8"/>
  <c r="AE29" i="8"/>
  <c r="S29" i="9" s="1"/>
  <c r="AB29" i="8"/>
  <c r="Q29" i="9" s="1"/>
  <c r="O29" i="8"/>
  <c r="P29" i="9" s="1"/>
  <c r="B29" i="8"/>
  <c r="AE28" i="8"/>
  <c r="S28" i="9" s="1"/>
  <c r="AB28" i="8"/>
  <c r="Q28" i="9" s="1"/>
  <c r="O28" i="8"/>
  <c r="AG28" i="8" s="1"/>
  <c r="B28" i="8"/>
  <c r="AE27" i="8"/>
  <c r="S27" i="9" s="1"/>
  <c r="AB27" i="8"/>
  <c r="Q27" i="9" s="1"/>
  <c r="O27" i="8"/>
  <c r="P27" i="9" s="1"/>
  <c r="B27" i="8"/>
  <c r="AG26" i="8"/>
  <c r="AE26" i="8"/>
  <c r="S26" i="9" s="1"/>
  <c r="AB26" i="8"/>
  <c r="Q26" i="9" s="1"/>
  <c r="O26" i="8"/>
  <c r="P26" i="9" s="1"/>
  <c r="B26" i="8"/>
  <c r="AE25" i="8"/>
  <c r="S25" i="9" s="1"/>
  <c r="AB25" i="8"/>
  <c r="Q25" i="9" s="1"/>
  <c r="O25" i="8"/>
  <c r="P25" i="9" s="1"/>
  <c r="B25" i="8"/>
  <c r="AE24" i="8"/>
  <c r="S24" i="9" s="1"/>
  <c r="AB24" i="8"/>
  <c r="Q24" i="9" s="1"/>
  <c r="O24" i="8"/>
  <c r="P24" i="9" s="1"/>
  <c r="B24" i="8"/>
  <c r="AE23" i="8"/>
  <c r="S23" i="9" s="1"/>
  <c r="AB23" i="8"/>
  <c r="O23" i="8"/>
  <c r="P23" i="9" s="1"/>
  <c r="B23" i="8"/>
  <c r="AE22" i="8"/>
  <c r="AB22" i="8"/>
  <c r="Q22" i="9" s="1"/>
  <c r="O22" i="8"/>
  <c r="B22" i="8"/>
  <c r="AE21" i="8"/>
  <c r="S21" i="9" s="1"/>
  <c r="AB21" i="8"/>
  <c r="Q21" i="9" s="1"/>
  <c r="O21" i="8"/>
  <c r="P21" i="9" s="1"/>
  <c r="B21" i="8"/>
  <c r="AE20" i="8"/>
  <c r="S20" i="9" s="1"/>
  <c r="AB20" i="8"/>
  <c r="Q20" i="9" s="1"/>
  <c r="O20" i="8"/>
  <c r="AG20" i="8" s="1"/>
  <c r="B20" i="8"/>
  <c r="AE19" i="8"/>
  <c r="S19" i="9" s="1"/>
  <c r="AB19" i="8"/>
  <c r="Q19" i="9" s="1"/>
  <c r="O19" i="8"/>
  <c r="AG19" i="8" s="1"/>
  <c r="T19" i="9" s="1"/>
  <c r="B19" i="8"/>
  <c r="AG18" i="8"/>
  <c r="AE18" i="8"/>
  <c r="S18" i="9" s="1"/>
  <c r="AB18" i="8"/>
  <c r="Q18" i="9" s="1"/>
  <c r="O18" i="8"/>
  <c r="P18" i="9" s="1"/>
  <c r="B18" i="8"/>
  <c r="AE17" i="8"/>
  <c r="S17" i="9" s="1"/>
  <c r="AB17" i="8"/>
  <c r="Q17" i="9" s="1"/>
  <c r="O17" i="8"/>
  <c r="P17" i="9" s="1"/>
  <c r="B17" i="8"/>
  <c r="AE16" i="8"/>
  <c r="S16" i="9" s="1"/>
  <c r="AB16" i="8"/>
  <c r="O16" i="8"/>
  <c r="P16" i="9" s="1"/>
  <c r="B16" i="8"/>
  <c r="AE15" i="8"/>
  <c r="S15" i="9" s="1"/>
  <c r="AB15" i="8"/>
  <c r="O15" i="8"/>
  <c r="P15" i="9" s="1"/>
  <c r="B15" i="8"/>
  <c r="AE14" i="8"/>
  <c r="AB14" i="8"/>
  <c r="Q14" i="9" s="1"/>
  <c r="O14" i="8"/>
  <c r="B14" i="8"/>
  <c r="AE13" i="8"/>
  <c r="AG13" i="8" s="1"/>
  <c r="AB13" i="8"/>
  <c r="Q13" i="9" s="1"/>
  <c r="O13" i="8"/>
  <c r="B13" i="8"/>
  <c r="AG12" i="8"/>
  <c r="E12" i="10" s="1"/>
  <c r="AE12" i="8"/>
  <c r="S12" i="9" s="1"/>
  <c r="AB12" i="8"/>
  <c r="Q12" i="9" s="1"/>
  <c r="O12" i="8"/>
  <c r="P12" i="9" s="1"/>
  <c r="B12" i="8"/>
  <c r="AG11" i="8"/>
  <c r="E11" i="10" s="1"/>
  <c r="AE11" i="8"/>
  <c r="S11" i="9" s="1"/>
  <c r="AB11" i="8"/>
  <c r="Q11" i="9" s="1"/>
  <c r="O11" i="8"/>
  <c r="P11" i="9" s="1"/>
  <c r="B11" i="8"/>
  <c r="AG10" i="8"/>
  <c r="E10" i="10" s="1"/>
  <c r="AE10" i="8"/>
  <c r="S10" i="9" s="1"/>
  <c r="AB10" i="8"/>
  <c r="Q10" i="9" s="1"/>
  <c r="O10" i="8"/>
  <c r="P10" i="9" s="1"/>
  <c r="B10" i="8"/>
  <c r="AG9" i="8"/>
  <c r="E9" i="10" s="1"/>
  <c r="AE9" i="8"/>
  <c r="S9" i="9" s="1"/>
  <c r="AB9" i="8"/>
  <c r="Q9" i="9" s="1"/>
  <c r="O9" i="8"/>
  <c r="P9" i="9" s="1"/>
  <c r="B9" i="8"/>
  <c r="AI5" i="8"/>
  <c r="S5" i="8"/>
  <c r="C5" i="8"/>
  <c r="AI4" i="8"/>
  <c r="S4" i="8"/>
  <c r="C4" i="8"/>
  <c r="AI3" i="8"/>
  <c r="S3" i="8"/>
  <c r="C3" i="8"/>
  <c r="AE44" i="7"/>
  <c r="M44" i="9" s="1"/>
  <c r="AB44" i="7"/>
  <c r="K44" i="9" s="1"/>
  <c r="O44" i="7"/>
  <c r="B44" i="7"/>
  <c r="AG43" i="7"/>
  <c r="AH43" i="7" s="1"/>
  <c r="AE43" i="7"/>
  <c r="M43" i="9" s="1"/>
  <c r="AB43" i="7"/>
  <c r="K43" i="9" s="1"/>
  <c r="O43" i="7"/>
  <c r="J43" i="9" s="1"/>
  <c r="B43" i="7"/>
  <c r="AE42" i="7"/>
  <c r="M42" i="9" s="1"/>
  <c r="AB42" i="7"/>
  <c r="K42" i="9" s="1"/>
  <c r="O42" i="7"/>
  <c r="J42" i="9" s="1"/>
  <c r="B42" i="7"/>
  <c r="AG41" i="7"/>
  <c r="AE41" i="7"/>
  <c r="M41" i="9" s="1"/>
  <c r="AB41" i="7"/>
  <c r="K41" i="9" s="1"/>
  <c r="O41" i="7"/>
  <c r="J41" i="9" s="1"/>
  <c r="B41" i="7"/>
  <c r="AG40" i="7"/>
  <c r="AE40" i="7"/>
  <c r="M40" i="9" s="1"/>
  <c r="AB40" i="7"/>
  <c r="K40" i="9" s="1"/>
  <c r="O40" i="7"/>
  <c r="J40" i="9" s="1"/>
  <c r="B40" i="7"/>
  <c r="AE39" i="7"/>
  <c r="M39" i="9" s="1"/>
  <c r="AB39" i="7"/>
  <c r="K39" i="9" s="1"/>
  <c r="O39" i="7"/>
  <c r="J39" i="9" s="1"/>
  <c r="B39" i="7"/>
  <c r="AE38" i="7"/>
  <c r="M38" i="9" s="1"/>
  <c r="AB38" i="7"/>
  <c r="O38" i="7"/>
  <c r="J38" i="9" s="1"/>
  <c r="B38" i="7"/>
  <c r="AE37" i="7"/>
  <c r="M37" i="9" s="1"/>
  <c r="AB37" i="7"/>
  <c r="K37" i="9" s="1"/>
  <c r="O37" i="7"/>
  <c r="B37" i="7"/>
  <c r="AE36" i="7"/>
  <c r="M36" i="9" s="1"/>
  <c r="AB36" i="7"/>
  <c r="K36" i="9" s="1"/>
  <c r="O36" i="7"/>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B31" i="7"/>
  <c r="AE30" i="7"/>
  <c r="M30" i="9" s="1"/>
  <c r="AB30" i="7"/>
  <c r="O30" i="7"/>
  <c r="J30" i="9" s="1"/>
  <c r="B30" i="7"/>
  <c r="AE29" i="7"/>
  <c r="M29" i="9" s="1"/>
  <c r="AB29" i="7"/>
  <c r="K29" i="9" s="1"/>
  <c r="O29" i="7"/>
  <c r="B29" i="7"/>
  <c r="AE28" i="7"/>
  <c r="M28" i="9" s="1"/>
  <c r="AB28" i="7"/>
  <c r="K28" i="9" s="1"/>
  <c r="O28" i="7"/>
  <c r="B28" i="7"/>
  <c r="AE27" i="7"/>
  <c r="M27" i="9" s="1"/>
  <c r="AB27" i="7"/>
  <c r="K27" i="9" s="1"/>
  <c r="O27" i="7"/>
  <c r="J27" i="9" s="1"/>
  <c r="B27" i="7"/>
  <c r="AE26" i="7"/>
  <c r="M26" i="9" s="1"/>
  <c r="AB26" i="7"/>
  <c r="K26" i="9" s="1"/>
  <c r="O26" i="7"/>
  <c r="AG26" i="7" s="1"/>
  <c r="D26" i="10" s="1"/>
  <c r="B26" i="7"/>
  <c r="AE25" i="7"/>
  <c r="M25" i="9" s="1"/>
  <c r="AB25" i="7"/>
  <c r="K25" i="9" s="1"/>
  <c r="O25" i="7"/>
  <c r="J25" i="9" s="1"/>
  <c r="B25" i="7"/>
  <c r="AE24" i="7"/>
  <c r="M24" i="9" s="1"/>
  <c r="AB24" i="7"/>
  <c r="K24" i="9" s="1"/>
  <c r="O24" i="7"/>
  <c r="J24" i="9" s="1"/>
  <c r="B24" i="7"/>
  <c r="AE23" i="7"/>
  <c r="M23" i="9" s="1"/>
  <c r="AB23" i="7"/>
  <c r="K23" i="9" s="1"/>
  <c r="O23" i="7"/>
  <c r="B23" i="7"/>
  <c r="AE22" i="7"/>
  <c r="M22" i="9" s="1"/>
  <c r="AB22" i="7"/>
  <c r="O22" i="7"/>
  <c r="J22" i="9" s="1"/>
  <c r="B22" i="7"/>
  <c r="AE21" i="7"/>
  <c r="M21" i="9" s="1"/>
  <c r="AB21" i="7"/>
  <c r="K21" i="9" s="1"/>
  <c r="O21" i="7"/>
  <c r="B21" i="7"/>
  <c r="AE20" i="7"/>
  <c r="M20" i="9" s="1"/>
  <c r="AB20" i="7"/>
  <c r="K20" i="9" s="1"/>
  <c r="O20" i="7"/>
  <c r="B20" i="7"/>
  <c r="AE19" i="7"/>
  <c r="M19" i="9" s="1"/>
  <c r="AB19" i="7"/>
  <c r="K19" i="9" s="1"/>
  <c r="O19" i="7"/>
  <c r="J19" i="9" s="1"/>
  <c r="B19" i="7"/>
  <c r="AE18" i="7"/>
  <c r="M18" i="9" s="1"/>
  <c r="AB18" i="7"/>
  <c r="K18" i="9" s="1"/>
  <c r="O18" i="7"/>
  <c r="B18" i="7"/>
  <c r="AE17" i="7"/>
  <c r="M17" i="9" s="1"/>
  <c r="AB17" i="7"/>
  <c r="K17" i="9" s="1"/>
  <c r="O17" i="7"/>
  <c r="J17" i="9" s="1"/>
  <c r="B17" i="7"/>
  <c r="AE16" i="7"/>
  <c r="M16" i="9" s="1"/>
  <c r="AB16" i="7"/>
  <c r="K16" i="9" s="1"/>
  <c r="O16" i="7"/>
  <c r="J16" i="9" s="1"/>
  <c r="B16" i="7"/>
  <c r="AE15" i="7"/>
  <c r="M15" i="9" s="1"/>
  <c r="AB15" i="7"/>
  <c r="K15" i="9" s="1"/>
  <c r="O15" i="7"/>
  <c r="B15" i="7"/>
  <c r="AE14" i="7"/>
  <c r="M14" i="9" s="1"/>
  <c r="AB14" i="7"/>
  <c r="AG14" i="7" s="1"/>
  <c r="O14" i="7"/>
  <c r="J14" i="9" s="1"/>
  <c r="B14" i="7"/>
  <c r="AE13" i="7"/>
  <c r="M13" i="9" s="1"/>
  <c r="AB13" i="7"/>
  <c r="K13" i="9" s="1"/>
  <c r="O13" i="7"/>
  <c r="B13" i="7"/>
  <c r="AE12" i="7"/>
  <c r="AB12" i="7"/>
  <c r="K12" i="9" s="1"/>
  <c r="O12" i="7"/>
  <c r="B12" i="7"/>
  <c r="AE11" i="7"/>
  <c r="M11" i="9" s="1"/>
  <c r="AB11" i="7"/>
  <c r="K11" i="9" s="1"/>
  <c r="O11" i="7"/>
  <c r="B11" i="7"/>
  <c r="AE10" i="7"/>
  <c r="M10" i="9" s="1"/>
  <c r="AB10" i="7"/>
  <c r="K10" i="9" s="1"/>
  <c r="O10" i="7"/>
  <c r="J10" i="9" s="1"/>
  <c r="B10" i="7"/>
  <c r="AE9" i="7"/>
  <c r="M9" i="9" s="1"/>
  <c r="AB9" i="7"/>
  <c r="K9" i="9" s="1"/>
  <c r="O9" i="7"/>
  <c r="J9" i="9" s="1"/>
  <c r="B9" i="7"/>
  <c r="AI5" i="7"/>
  <c r="AN4" i="7" s="1"/>
  <c r="S5" i="7"/>
  <c r="C5" i="7"/>
  <c r="AI4" i="7"/>
  <c r="S4" i="7"/>
  <c r="C4" i="7"/>
  <c r="AI3" i="7"/>
  <c r="S3" i="7"/>
  <c r="C3" i="7"/>
  <c r="AE44" i="6"/>
  <c r="AB44" i="6"/>
  <c r="E44" i="9" s="1"/>
  <c r="O44" i="6"/>
  <c r="B44" i="6"/>
  <c r="AG43" i="6"/>
  <c r="AE43" i="6"/>
  <c r="G43" i="9" s="1"/>
  <c r="AB43" i="6"/>
  <c r="E43" i="9" s="1"/>
  <c r="O43" i="6"/>
  <c r="D43" i="9" s="1"/>
  <c r="B43" i="6"/>
  <c r="AE42" i="6"/>
  <c r="AB42" i="6"/>
  <c r="E42" i="9" s="1"/>
  <c r="O42" i="6"/>
  <c r="B42" i="6"/>
  <c r="AE41" i="6"/>
  <c r="AB41" i="6"/>
  <c r="E41" i="9" s="1"/>
  <c r="O41" i="6"/>
  <c r="D41" i="9" s="1"/>
  <c r="B41" i="6"/>
  <c r="AE40" i="6"/>
  <c r="AB40" i="6"/>
  <c r="E40" i="9" s="1"/>
  <c r="O40" i="6"/>
  <c r="D40" i="9" s="1"/>
  <c r="B40" i="6"/>
  <c r="AE39" i="6"/>
  <c r="AB39" i="6"/>
  <c r="E39" i="9" s="1"/>
  <c r="O39" i="6"/>
  <c r="D39" i="9" s="1"/>
  <c r="B39" i="6"/>
  <c r="AG38" i="6"/>
  <c r="AE38" i="6"/>
  <c r="AB38" i="6"/>
  <c r="E38" i="9" s="1"/>
  <c r="O38" i="6"/>
  <c r="D38" i="9" s="1"/>
  <c r="B38" i="6"/>
  <c r="AE37" i="6"/>
  <c r="AB37" i="6"/>
  <c r="E37" i="9" s="1"/>
  <c r="O37" i="6"/>
  <c r="B37" i="6"/>
  <c r="AE36" i="6"/>
  <c r="AB36" i="6"/>
  <c r="E36" i="9" s="1"/>
  <c r="O36" i="6"/>
  <c r="D36" i="9" s="1"/>
  <c r="B36" i="6"/>
  <c r="AE35" i="6"/>
  <c r="G35" i="9" s="1"/>
  <c r="AB35" i="6"/>
  <c r="E35" i="9" s="1"/>
  <c r="O35" i="6"/>
  <c r="D35" i="9" s="1"/>
  <c r="B35" i="6"/>
  <c r="AE34" i="6"/>
  <c r="AB34" i="6"/>
  <c r="E34" i="9" s="1"/>
  <c r="O34" i="6"/>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H28" i="6"/>
  <c r="AG28" i="6"/>
  <c r="AF28" i="6" s="1"/>
  <c r="AE28" i="6"/>
  <c r="AB28" i="6"/>
  <c r="E28" i="9" s="1"/>
  <c r="O28" i="6"/>
  <c r="D28" i="9" s="1"/>
  <c r="B28" i="6"/>
  <c r="AG27" i="6"/>
  <c r="AH27" i="6" s="1"/>
  <c r="AE27" i="6"/>
  <c r="AB27" i="6"/>
  <c r="E27" i="9" s="1"/>
  <c r="O27" i="6"/>
  <c r="B27" i="6"/>
  <c r="AG26" i="6"/>
  <c r="AF26" i="6"/>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AB21" i="6"/>
  <c r="E21" i="9" s="1"/>
  <c r="O21" i="6"/>
  <c r="D21" i="9" s="1"/>
  <c r="B21" i="6"/>
  <c r="AH20" i="6"/>
  <c r="AG20" i="6"/>
  <c r="AF20" i="6" s="1"/>
  <c r="AE20" i="6"/>
  <c r="F20" i="9" s="1"/>
  <c r="AB20" i="6"/>
  <c r="E20" i="9" s="1"/>
  <c r="O20" i="6"/>
  <c r="D20" i="9" s="1"/>
  <c r="B20" i="6"/>
  <c r="AG19" i="6"/>
  <c r="AH19" i="6" s="1"/>
  <c r="AE19" i="6"/>
  <c r="AB19" i="6"/>
  <c r="E19" i="9" s="1"/>
  <c r="O19" i="6"/>
  <c r="D19" i="9" s="1"/>
  <c r="B19" i="6"/>
  <c r="AG18" i="6"/>
  <c r="AF18" i="6"/>
  <c r="AE18" i="6"/>
  <c r="F18" i="9" s="1"/>
  <c r="AB18" i="6"/>
  <c r="E18" i="9" s="1"/>
  <c r="O18" i="6"/>
  <c r="D18" i="9" s="1"/>
  <c r="B18" i="6"/>
  <c r="AE17" i="6"/>
  <c r="AB17" i="6"/>
  <c r="E17" i="9" s="1"/>
  <c r="O17" i="6"/>
  <c r="D17" i="9" s="1"/>
  <c r="B17" i="6"/>
  <c r="AE16" i="6"/>
  <c r="AB16" i="6"/>
  <c r="E16" i="9" s="1"/>
  <c r="O16" i="6"/>
  <c r="D16" i="9" s="1"/>
  <c r="B16" i="6"/>
  <c r="AE15" i="6"/>
  <c r="G15" i="9" s="1"/>
  <c r="AB15" i="6"/>
  <c r="E15" i="9" s="1"/>
  <c r="O15" i="6"/>
  <c r="D15" i="9" s="1"/>
  <c r="B15" i="6"/>
  <c r="AE14" i="6"/>
  <c r="AB14" i="6"/>
  <c r="E14" i="9" s="1"/>
  <c r="O14" i="6"/>
  <c r="D14" i="9" s="1"/>
  <c r="B14" i="6"/>
  <c r="AE13" i="6"/>
  <c r="AB13" i="6"/>
  <c r="E13" i="9" s="1"/>
  <c r="O13" i="6"/>
  <c r="D13" i="9" s="1"/>
  <c r="B13" i="6"/>
  <c r="AE12" i="6"/>
  <c r="AB12" i="6"/>
  <c r="E12" i="9" s="1"/>
  <c r="O12" i="6"/>
  <c r="D12" i="9" s="1"/>
  <c r="B12" i="6"/>
  <c r="AE11" i="6"/>
  <c r="AB11" i="6"/>
  <c r="E11" i="9" s="1"/>
  <c r="O11" i="6"/>
  <c r="D11" i="9" s="1"/>
  <c r="B11" i="6"/>
  <c r="AE10" i="6"/>
  <c r="F10" i="9" s="1"/>
  <c r="AB10" i="6"/>
  <c r="E10" i="9" s="1"/>
  <c r="O10" i="6"/>
  <c r="D10" i="9" s="1"/>
  <c r="B10" i="6"/>
  <c r="AE9" i="6"/>
  <c r="AB9" i="6"/>
  <c r="E9" i="9" s="1"/>
  <c r="O9" i="6"/>
  <c r="AG9" i="6" s="1"/>
  <c r="B9" i="6"/>
  <c r="AI5" i="6"/>
  <c r="AN4" i="6" s="1"/>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25" i="4"/>
  <c r="B24" i="4"/>
  <c r="B23" i="4"/>
  <c r="B22" i="4"/>
  <c r="B21" i="4"/>
  <c r="B20" i="4"/>
  <c r="B19" i="4"/>
  <c r="B17" i="4"/>
  <c r="B16" i="4"/>
  <c r="B15" i="4"/>
  <c r="B14" i="4"/>
  <c r="B13" i="4"/>
  <c r="B12" i="4"/>
  <c r="B11" i="4"/>
  <c r="B10" i="4"/>
  <c r="B9"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G27" i="7" l="1"/>
  <c r="AH27" i="7" s="1"/>
  <c r="AG33" i="7"/>
  <c r="AH33" i="7" s="1"/>
  <c r="AC17" i="17"/>
  <c r="AC25" i="17"/>
  <c r="I17" i="17"/>
  <c r="I25" i="17"/>
  <c r="AG18" i="7"/>
  <c r="AH18" i="7" s="1"/>
  <c r="K14" i="9"/>
  <c r="AG11" i="7"/>
  <c r="AF11" i="7" s="1"/>
  <c r="AG35" i="7"/>
  <c r="AH35" i="7" s="1"/>
  <c r="AG32" i="7"/>
  <c r="AF32" i="7" s="1"/>
  <c r="AG24" i="7"/>
  <c r="AF24" i="7" s="1"/>
  <c r="AG19" i="7"/>
  <c r="D19" i="10" s="1"/>
  <c r="J11" i="9"/>
  <c r="AG10" i="7"/>
  <c r="N10" i="9" s="1"/>
  <c r="AG25" i="7"/>
  <c r="AH25" i="7" s="1"/>
  <c r="AG16" i="7"/>
  <c r="AF16" i="7" s="1"/>
  <c r="BA4" i="3"/>
  <c r="BA4" i="4"/>
  <c r="BA4" i="5"/>
  <c r="C9" i="10"/>
  <c r="H9" i="9"/>
  <c r="AH9" i="6"/>
  <c r="AF9" i="6"/>
  <c r="G25" i="9"/>
  <c r="F25" i="9"/>
  <c r="G33" i="9"/>
  <c r="F33" i="9"/>
  <c r="F37" i="9"/>
  <c r="G37" i="9"/>
  <c r="C38" i="10"/>
  <c r="H38" i="9"/>
  <c r="AH38" i="6"/>
  <c r="H43" i="9"/>
  <c r="C43" i="10"/>
  <c r="AH43" i="6"/>
  <c r="AG29" i="7"/>
  <c r="J29" i="9"/>
  <c r="J31" i="9"/>
  <c r="AG31" i="7"/>
  <c r="N40" i="9"/>
  <c r="D40" i="10"/>
  <c r="AH40" i="7"/>
  <c r="T26" i="9"/>
  <c r="E26" i="10"/>
  <c r="AF26" i="8"/>
  <c r="AH26" i="8"/>
  <c r="G16" i="9"/>
  <c r="F16" i="9"/>
  <c r="C18" i="10"/>
  <c r="H18" i="9"/>
  <c r="F24" i="9"/>
  <c r="G24" i="9"/>
  <c r="C26" i="10"/>
  <c r="H26" i="9"/>
  <c r="AG33" i="6"/>
  <c r="D10" i="10"/>
  <c r="J12" i="9"/>
  <c r="AG12" i="7"/>
  <c r="N32" i="9"/>
  <c r="D32" i="10"/>
  <c r="AH32" i="7"/>
  <c r="P14" i="9"/>
  <c r="AG14" i="8"/>
  <c r="AG23" i="8"/>
  <c r="Q23" i="9"/>
  <c r="AG17" i="6"/>
  <c r="AH18" i="6"/>
  <c r="AG25" i="6"/>
  <c r="AH26" i="6"/>
  <c r="F31" i="9"/>
  <c r="G31" i="9"/>
  <c r="G36" i="9"/>
  <c r="F36" i="9"/>
  <c r="G41" i="9"/>
  <c r="F41" i="9"/>
  <c r="D44" i="9"/>
  <c r="AG44" i="6"/>
  <c r="J20" i="9"/>
  <c r="AG20" i="7"/>
  <c r="J44" i="9"/>
  <c r="AG44" i="7"/>
  <c r="AN4" i="8"/>
  <c r="AH19" i="8"/>
  <c r="P38" i="9"/>
  <c r="AG38" i="8"/>
  <c r="H27" i="9"/>
  <c r="C27" i="10"/>
  <c r="G42" i="9"/>
  <c r="F42" i="9"/>
  <c r="G14" i="9"/>
  <c r="F14" i="9"/>
  <c r="AG16" i="6"/>
  <c r="G22" i="9"/>
  <c r="F22" i="9"/>
  <c r="AG24" i="6"/>
  <c r="F30" i="9"/>
  <c r="G30" i="9"/>
  <c r="AG32" i="6"/>
  <c r="AG36" i="6"/>
  <c r="AG41" i="6"/>
  <c r="AG9" i="7"/>
  <c r="D14" i="10"/>
  <c r="N14" i="9"/>
  <c r="AH14" i="7"/>
  <c r="AF14" i="7"/>
  <c r="AF26" i="7"/>
  <c r="J28" i="9"/>
  <c r="AG28" i="7"/>
  <c r="J36" i="9"/>
  <c r="AG36" i="7"/>
  <c r="T34" i="9"/>
  <c r="E34" i="10"/>
  <c r="AF34" i="8"/>
  <c r="AH34" i="8"/>
  <c r="N26" i="9"/>
  <c r="G9" i="9"/>
  <c r="F9" i="9"/>
  <c r="G11" i="9"/>
  <c r="F11" i="9"/>
  <c r="G12" i="9"/>
  <c r="F12" i="9"/>
  <c r="G13" i="9"/>
  <c r="F13" i="9"/>
  <c r="AG15" i="6"/>
  <c r="G21" i="9"/>
  <c r="F21" i="9"/>
  <c r="AG23" i="6"/>
  <c r="F29" i="9"/>
  <c r="G29" i="9"/>
  <c r="AG31" i="6"/>
  <c r="D34" i="9"/>
  <c r="AG34" i="6"/>
  <c r="G39" i="9"/>
  <c r="F39" i="9"/>
  <c r="G44" i="9"/>
  <c r="F44" i="9"/>
  <c r="AH11" i="7"/>
  <c r="AG17" i="7"/>
  <c r="AG22" i="7"/>
  <c r="K22" i="9"/>
  <c r="AH26" i="7"/>
  <c r="K38" i="9"/>
  <c r="AG38" i="7"/>
  <c r="E20" i="10"/>
  <c r="AH20" i="8"/>
  <c r="AF20" i="8"/>
  <c r="T20" i="9"/>
  <c r="P22" i="9"/>
  <c r="AG22" i="8"/>
  <c r="Q31" i="9"/>
  <c r="AG31" i="8"/>
  <c r="F23" i="9"/>
  <c r="AG14" i="6"/>
  <c r="AG22" i="6"/>
  <c r="G28" i="9"/>
  <c r="F28" i="9"/>
  <c r="AG30" i="6"/>
  <c r="AG40" i="6"/>
  <c r="N25" i="9"/>
  <c r="K30" i="9"/>
  <c r="AG30" i="7"/>
  <c r="N41" i="9"/>
  <c r="D41" i="10"/>
  <c r="AF41" i="7"/>
  <c r="T18" i="9"/>
  <c r="E18" i="10"/>
  <c r="AF18" i="8"/>
  <c r="AH18" i="8"/>
  <c r="G20" i="9"/>
  <c r="C19" i="10"/>
  <c r="H19" i="9"/>
  <c r="AG10" i="6"/>
  <c r="AG11" i="6"/>
  <c r="AG12" i="6"/>
  <c r="AG13" i="6"/>
  <c r="G19" i="9"/>
  <c r="F19" i="9"/>
  <c r="AG21" i="6"/>
  <c r="G27" i="9"/>
  <c r="F27" i="9"/>
  <c r="AG29" i="6"/>
  <c r="G34" i="9"/>
  <c r="F34" i="9"/>
  <c r="AG35" i="6"/>
  <c r="D37" i="9"/>
  <c r="AG37" i="6"/>
  <c r="F38" i="9"/>
  <c r="G38" i="9"/>
  <c r="AG39" i="6"/>
  <c r="D42" i="9"/>
  <c r="AG42" i="6"/>
  <c r="AG13" i="7"/>
  <c r="J13" i="9"/>
  <c r="J15" i="9"/>
  <c r="AG15" i="7"/>
  <c r="D33" i="10"/>
  <c r="AH41" i="7"/>
  <c r="Q15" i="9"/>
  <c r="AG15" i="8"/>
  <c r="T42" i="9"/>
  <c r="E42" i="10"/>
  <c r="AF42" i="8"/>
  <c r="AH42" i="8"/>
  <c r="G17" i="9"/>
  <c r="F17" i="9"/>
  <c r="AF19" i="6"/>
  <c r="C20" i="10"/>
  <c r="H20" i="9"/>
  <c r="AF27" i="6"/>
  <c r="C28" i="10"/>
  <c r="H28" i="9"/>
  <c r="AF38" i="6"/>
  <c r="AF43" i="6"/>
  <c r="D16" i="10"/>
  <c r="J21" i="9"/>
  <c r="AG21" i="7"/>
  <c r="J23" i="9"/>
  <c r="AG23" i="7"/>
  <c r="J37" i="9"/>
  <c r="AG37" i="7"/>
  <c r="AF40" i="7"/>
  <c r="E13" i="10"/>
  <c r="AH13" i="8"/>
  <c r="T13" i="9"/>
  <c r="AF13" i="8"/>
  <c r="E19" i="10"/>
  <c r="AF19" i="8"/>
  <c r="E28" i="10"/>
  <c r="T28" i="9"/>
  <c r="AH28" i="8"/>
  <c r="AF28" i="8"/>
  <c r="P30" i="9"/>
  <c r="AG30" i="8"/>
  <c r="Q39" i="9"/>
  <c r="AG39" i="8"/>
  <c r="F15" i="9"/>
  <c r="G18" i="9"/>
  <c r="AG39" i="7"/>
  <c r="AG17" i="8"/>
  <c r="AG25" i="8"/>
  <c r="AG33" i="8"/>
  <c r="AG41" i="8"/>
  <c r="F35" i="9"/>
  <c r="D43" i="10"/>
  <c r="AG16" i="8"/>
  <c r="AG24" i="8"/>
  <c r="AG32" i="8"/>
  <c r="AG40" i="8"/>
  <c r="T11" i="9"/>
  <c r="P28" i="9"/>
  <c r="S13" i="9"/>
  <c r="J18" i="9"/>
  <c r="N43" i="9"/>
  <c r="G32" i="9"/>
  <c r="F32" i="9"/>
  <c r="G40" i="9"/>
  <c r="F40" i="9"/>
  <c r="AF43" i="7"/>
  <c r="AF9" i="8"/>
  <c r="AF10" i="8"/>
  <c r="AF11" i="8"/>
  <c r="AF12" i="8"/>
  <c r="P19" i="9"/>
  <c r="J26" i="9"/>
  <c r="AG21" i="8"/>
  <c r="AG29" i="8"/>
  <c r="AG37" i="8"/>
  <c r="T10" i="9"/>
  <c r="H11" i="15"/>
  <c r="H10" i="15"/>
  <c r="H9" i="15"/>
  <c r="H12" i="15" s="1"/>
  <c r="AG34" i="7"/>
  <c r="AG42" i="7"/>
  <c r="AH9" i="8"/>
  <c r="AH10" i="8"/>
  <c r="AH11" i="8"/>
  <c r="AH12" i="8"/>
  <c r="AG36" i="8"/>
  <c r="AG44" i="8"/>
  <c r="AG27" i="8"/>
  <c r="AG35" i="8"/>
  <c r="AG43" i="8"/>
  <c r="T12" i="9"/>
  <c r="H17" i="15"/>
  <c r="H19" i="15" s="1"/>
  <c r="H25" i="15"/>
  <c r="H18" i="15"/>
  <c r="H23" i="15"/>
  <c r="H26" i="15" s="1"/>
  <c r="H31" i="15"/>
  <c r="H33" i="15" s="1"/>
  <c r="N27" i="9" l="1"/>
  <c r="U27" i="9" s="1"/>
  <c r="N35" i="9"/>
  <c r="N33" i="9"/>
  <c r="D27" i="10"/>
  <c r="AF27" i="7"/>
  <c r="AF35" i="7"/>
  <c r="D35" i="10"/>
  <c r="AF33" i="7"/>
  <c r="AC26" i="17"/>
  <c r="A26" i="17" s="1"/>
  <c r="D11" i="10"/>
  <c r="N18" i="9"/>
  <c r="D18" i="10"/>
  <c r="N11" i="9"/>
  <c r="AH16" i="7"/>
  <c r="N16" i="9"/>
  <c r="AF18" i="7"/>
  <c r="AH19" i="7"/>
  <c r="AF25" i="7"/>
  <c r="AF10" i="7"/>
  <c r="AH24" i="7"/>
  <c r="D25" i="10"/>
  <c r="AH10" i="7"/>
  <c r="D24" i="10"/>
  <c r="N24" i="9"/>
  <c r="N19" i="9"/>
  <c r="U19" i="9" s="1"/>
  <c r="AF19" i="7"/>
  <c r="D34" i="10"/>
  <c r="N34" i="9"/>
  <c r="AF34" i="7"/>
  <c r="AH34" i="7"/>
  <c r="N39" i="9"/>
  <c r="D39" i="10"/>
  <c r="AH39" i="7"/>
  <c r="AF39" i="7"/>
  <c r="E21" i="10"/>
  <c r="T21" i="9"/>
  <c r="AH21" i="8"/>
  <c r="AF21" i="8"/>
  <c r="C39" i="10"/>
  <c r="H39" i="9"/>
  <c r="AH39" i="6"/>
  <c r="AF39" i="6"/>
  <c r="N37" i="9"/>
  <c r="D37" i="10"/>
  <c r="AH37" i="7"/>
  <c r="AF37" i="7"/>
  <c r="C10" i="10"/>
  <c r="H10" i="9"/>
  <c r="U10" i="9" s="1"/>
  <c r="AH10" i="6"/>
  <c r="AF10" i="6"/>
  <c r="C40" i="10"/>
  <c r="H40" i="9"/>
  <c r="AH40" i="6"/>
  <c r="AF40" i="6"/>
  <c r="C32" i="10"/>
  <c r="H32" i="9"/>
  <c r="AH32" i="6"/>
  <c r="AF32" i="6"/>
  <c r="U18" i="9"/>
  <c r="E29" i="10"/>
  <c r="T29" i="9"/>
  <c r="AH29" i="8"/>
  <c r="AF29" i="8"/>
  <c r="C12" i="10"/>
  <c r="H12" i="9"/>
  <c r="AH12" i="6"/>
  <c r="AF12" i="6"/>
  <c r="C41" i="10"/>
  <c r="AF41" i="6"/>
  <c r="AH41" i="6"/>
  <c r="H41" i="9"/>
  <c r="U41" i="9" s="1"/>
  <c r="T39" i="9"/>
  <c r="E39" i="10"/>
  <c r="AH39" i="8"/>
  <c r="AF39" i="8"/>
  <c r="C30" i="10"/>
  <c r="H30" i="9"/>
  <c r="AH30" i="6"/>
  <c r="AF30" i="6"/>
  <c r="E22" i="10"/>
  <c r="AH22" i="8"/>
  <c r="AF22" i="8"/>
  <c r="T22" i="9"/>
  <c r="D44" i="10"/>
  <c r="N44" i="9"/>
  <c r="AH44" i="7"/>
  <c r="AF44" i="7"/>
  <c r="C17" i="10"/>
  <c r="H17" i="9"/>
  <c r="AH17" i="6"/>
  <c r="AF17" i="6"/>
  <c r="E27" i="10"/>
  <c r="AF27" i="8"/>
  <c r="T27" i="9"/>
  <c r="AH27" i="8"/>
  <c r="E24" i="10"/>
  <c r="T24" i="9"/>
  <c r="AH24" i="8"/>
  <c r="AF24" i="8"/>
  <c r="C16" i="10"/>
  <c r="H16" i="9"/>
  <c r="AH16" i="6"/>
  <c r="AF16" i="6"/>
  <c r="H29" i="9"/>
  <c r="C29" i="10"/>
  <c r="AH29" i="6"/>
  <c r="AF29" i="6"/>
  <c r="C31" i="10"/>
  <c r="H31" i="9"/>
  <c r="AH31" i="6"/>
  <c r="AF31" i="6"/>
  <c r="D15" i="10"/>
  <c r="AH15" i="7"/>
  <c r="N15" i="9"/>
  <c r="AF15" i="7"/>
  <c r="E41" i="10"/>
  <c r="T41" i="9"/>
  <c r="AH41" i="8"/>
  <c r="AF41" i="8"/>
  <c r="E15" i="10"/>
  <c r="T15" i="9"/>
  <c r="AH15" i="8"/>
  <c r="AF15" i="8"/>
  <c r="H37" i="9"/>
  <c r="C37" i="10"/>
  <c r="AH37" i="6"/>
  <c r="AF37" i="6"/>
  <c r="C21" i="10"/>
  <c r="H21" i="9"/>
  <c r="AH21" i="6"/>
  <c r="AF21" i="6"/>
  <c r="C23" i="10"/>
  <c r="H23" i="9"/>
  <c r="AH23" i="6"/>
  <c r="AF23" i="6"/>
  <c r="C11" i="10"/>
  <c r="H11" i="9"/>
  <c r="U11" i="9" s="1"/>
  <c r="AH11" i="6"/>
  <c r="AF11" i="6"/>
  <c r="H36" i="9"/>
  <c r="C36" i="10"/>
  <c r="AF36" i="6"/>
  <c r="AH36" i="6"/>
  <c r="E33" i="10"/>
  <c r="T33" i="9"/>
  <c r="AH33" i="8"/>
  <c r="AF33" i="8"/>
  <c r="E30" i="10"/>
  <c r="AH30" i="8"/>
  <c r="AF30" i="8"/>
  <c r="T30" i="9"/>
  <c r="N23" i="9"/>
  <c r="D23" i="10"/>
  <c r="AH23" i="7"/>
  <c r="AF23" i="7"/>
  <c r="D30" i="10"/>
  <c r="N30" i="9"/>
  <c r="AH30" i="7"/>
  <c r="AF30" i="7"/>
  <c r="D22" i="10"/>
  <c r="N22" i="9"/>
  <c r="AH22" i="7"/>
  <c r="AF22" i="7"/>
  <c r="C24" i="10"/>
  <c r="H24" i="9"/>
  <c r="U24" i="9" s="1"/>
  <c r="AH24" i="6"/>
  <c r="AF24" i="6"/>
  <c r="D20" i="10"/>
  <c r="N20" i="9"/>
  <c r="U20" i="9" s="1"/>
  <c r="AF20" i="7"/>
  <c r="AH20" i="7"/>
  <c r="C33" i="10"/>
  <c r="AF33" i="6"/>
  <c r="H33" i="9"/>
  <c r="U33" i="9" s="1"/>
  <c r="AH33" i="6"/>
  <c r="N31" i="9"/>
  <c r="D31" i="10"/>
  <c r="AH31" i="7"/>
  <c r="AF31" i="7"/>
  <c r="D28" i="10"/>
  <c r="AF28" i="7"/>
  <c r="AH28" i="7"/>
  <c r="N28" i="9"/>
  <c r="U28" i="9" s="1"/>
  <c r="H44" i="9"/>
  <c r="C44" i="10"/>
  <c r="AF44" i="6"/>
  <c r="AH44" i="6"/>
  <c r="N29" i="9"/>
  <c r="D29" i="10"/>
  <c r="AH29" i="7"/>
  <c r="AF29" i="7"/>
  <c r="E44" i="10"/>
  <c r="T44" i="9"/>
  <c r="AH44" i="8"/>
  <c r="AF44" i="8"/>
  <c r="E16" i="10"/>
  <c r="T16" i="9"/>
  <c r="AH16" i="8"/>
  <c r="AF16" i="8"/>
  <c r="T31" i="9"/>
  <c r="E31" i="10"/>
  <c r="AH31" i="8"/>
  <c r="AF31" i="8"/>
  <c r="C25" i="10"/>
  <c r="H25" i="9"/>
  <c r="AH25" i="6"/>
  <c r="AF25" i="6"/>
  <c r="E43" i="10"/>
  <c r="T43" i="9"/>
  <c r="U43" i="9" s="1"/>
  <c r="AF43" i="8"/>
  <c r="AH43" i="8"/>
  <c r="E40" i="10"/>
  <c r="T40" i="9"/>
  <c r="AH40" i="8"/>
  <c r="AF40" i="8"/>
  <c r="D13" i="10"/>
  <c r="N13" i="9"/>
  <c r="AH13" i="7"/>
  <c r="AF13" i="7"/>
  <c r="H35" i="9"/>
  <c r="C35" i="10"/>
  <c r="AH35" i="6"/>
  <c r="AF35" i="6"/>
  <c r="C22" i="10"/>
  <c r="H22" i="9"/>
  <c r="U22" i="9" s="1"/>
  <c r="AH22" i="6"/>
  <c r="AF22" i="6"/>
  <c r="D17" i="10"/>
  <c r="AF17" i="7"/>
  <c r="N17" i="9"/>
  <c r="AH17" i="7"/>
  <c r="D36" i="10"/>
  <c r="N36" i="9"/>
  <c r="AH36" i="7"/>
  <c r="AF36" i="7"/>
  <c r="E23" i="10"/>
  <c r="T23" i="9"/>
  <c r="AH23" i="8"/>
  <c r="AF23" i="8"/>
  <c r="U26" i="9"/>
  <c r="D38" i="10"/>
  <c r="N38" i="9"/>
  <c r="U38" i="9" s="1"/>
  <c r="AH38" i="7"/>
  <c r="AF38" i="7"/>
  <c r="E36" i="10"/>
  <c r="T36" i="9"/>
  <c r="AH36" i="8"/>
  <c r="AF36" i="8"/>
  <c r="E25" i="10"/>
  <c r="T25" i="9"/>
  <c r="AH25" i="8"/>
  <c r="AF25" i="8"/>
  <c r="E35" i="10"/>
  <c r="T35" i="9"/>
  <c r="AF35" i="8"/>
  <c r="AH35" i="8"/>
  <c r="D42" i="10"/>
  <c r="N42" i="9"/>
  <c r="AF42" i="7"/>
  <c r="AH42" i="7"/>
  <c r="E37" i="10"/>
  <c r="T37" i="9"/>
  <c r="AH37" i="8"/>
  <c r="AF37" i="8"/>
  <c r="E32" i="10"/>
  <c r="T32" i="9"/>
  <c r="AH32" i="8"/>
  <c r="AF32" i="8"/>
  <c r="E17" i="10"/>
  <c r="AH17" i="8"/>
  <c r="T17" i="9"/>
  <c r="AF17" i="8"/>
  <c r="D21" i="10"/>
  <c r="AH21" i="7"/>
  <c r="AF21" i="7"/>
  <c r="N21" i="9"/>
  <c r="C42" i="10"/>
  <c r="H42" i="9"/>
  <c r="AH42" i="6"/>
  <c r="AF42" i="6"/>
  <c r="C13" i="10"/>
  <c r="H13" i="9"/>
  <c r="AH13" i="6"/>
  <c r="AF13" i="6"/>
  <c r="AO12" i="6" s="1"/>
  <c r="H10" i="11" s="1"/>
  <c r="C14" i="10"/>
  <c r="I9" i="10" s="1"/>
  <c r="E11" i="14" s="1"/>
  <c r="H14" i="9"/>
  <c r="AH14" i="6"/>
  <c r="AF14" i="6"/>
  <c r="C34" i="10"/>
  <c r="H34" i="9"/>
  <c r="U34" i="9" s="1"/>
  <c r="AF34" i="6"/>
  <c r="AH34" i="6"/>
  <c r="C15" i="10"/>
  <c r="H15" i="9"/>
  <c r="AH15" i="6"/>
  <c r="AF15" i="6"/>
  <c r="D9" i="10"/>
  <c r="AH9" i="7"/>
  <c r="N9" i="9"/>
  <c r="U9" i="9" s="1"/>
  <c r="AF9" i="7"/>
  <c r="T38" i="9"/>
  <c r="E38" i="10"/>
  <c r="AH38" i="8"/>
  <c r="AF38" i="8"/>
  <c r="E14" i="10"/>
  <c r="K9" i="10" s="1"/>
  <c r="E36" i="14" s="1"/>
  <c r="AH14" i="8"/>
  <c r="AF14" i="8"/>
  <c r="AO12" i="8" s="1"/>
  <c r="H10" i="13" s="1"/>
  <c r="T14" i="9"/>
  <c r="D12" i="10"/>
  <c r="AH12" i="7"/>
  <c r="AF12" i="7"/>
  <c r="N12" i="9"/>
  <c r="U35" i="9" l="1"/>
  <c r="U37" i="9"/>
  <c r="F37" i="10" s="1"/>
  <c r="U31" i="9"/>
  <c r="F31" i="10" s="1"/>
  <c r="U36" i="9"/>
  <c r="F36" i="10" s="1"/>
  <c r="U13" i="9"/>
  <c r="F13" i="10" s="1"/>
  <c r="U15" i="9"/>
  <c r="F19" i="10"/>
  <c r="H27" i="16" s="1"/>
  <c r="V19" i="9"/>
  <c r="V38" i="9"/>
  <c r="F38" i="10"/>
  <c r="V28" i="9"/>
  <c r="F28" i="10"/>
  <c r="E38" i="14"/>
  <c r="F43" i="10"/>
  <c r="V43" i="9"/>
  <c r="F20" i="10"/>
  <c r="V20" i="9"/>
  <c r="F9" i="10"/>
  <c r="V9" i="9"/>
  <c r="F26" i="10"/>
  <c r="V26" i="9"/>
  <c r="F11" i="10"/>
  <c r="V11" i="9"/>
  <c r="U29" i="9"/>
  <c r="U17" i="9"/>
  <c r="U40" i="9"/>
  <c r="U39" i="9"/>
  <c r="F22" i="10"/>
  <c r="V22" i="9"/>
  <c r="F15" i="10"/>
  <c r="V15" i="9"/>
  <c r="U14" i="9"/>
  <c r="U42" i="9"/>
  <c r="U44" i="9"/>
  <c r="U23" i="9"/>
  <c r="F18" i="10"/>
  <c r="V18" i="9"/>
  <c r="AO10" i="6"/>
  <c r="H8" i="11" s="1"/>
  <c r="V37" i="9"/>
  <c r="U12" i="9"/>
  <c r="AO10" i="8"/>
  <c r="H8" i="13" s="1"/>
  <c r="F33" i="10"/>
  <c r="V33" i="9"/>
  <c r="AO11" i="6"/>
  <c r="H9" i="11" s="1"/>
  <c r="U16" i="9"/>
  <c r="K13" i="10"/>
  <c r="E37" i="14" s="1"/>
  <c r="AO9" i="8"/>
  <c r="H7" i="13" s="1"/>
  <c r="U25" i="9"/>
  <c r="V24" i="9"/>
  <c r="F24" i="10"/>
  <c r="AO9" i="6"/>
  <c r="H7" i="11" s="1"/>
  <c r="G19" i="10"/>
  <c r="U30" i="9"/>
  <c r="F41" i="10"/>
  <c r="V41" i="9"/>
  <c r="U32" i="9"/>
  <c r="F10" i="10"/>
  <c r="V10" i="9"/>
  <c r="AO11" i="8"/>
  <c r="H9" i="13" s="1"/>
  <c r="F34" i="10"/>
  <c r="V34" i="9"/>
  <c r="F27" i="10"/>
  <c r="V27" i="9"/>
  <c r="F35" i="10"/>
  <c r="V35" i="9"/>
  <c r="V36" i="9"/>
  <c r="U21" i="9"/>
  <c r="AO11" i="7"/>
  <c r="H9" i="12" s="1"/>
  <c r="AO12" i="7"/>
  <c r="H10" i="12" s="1"/>
  <c r="AO9" i="7"/>
  <c r="H7" i="12" s="1"/>
  <c r="AO10" i="7"/>
  <c r="H8" i="12" s="1"/>
  <c r="I13" i="10"/>
  <c r="E12" i="14" s="1"/>
  <c r="J13" i="10"/>
  <c r="E25" i="14" s="1"/>
  <c r="J9" i="10"/>
  <c r="E24" i="14" s="1"/>
  <c r="V31" i="9" l="1"/>
  <c r="V13" i="9"/>
  <c r="H11" i="13"/>
  <c r="I10" i="13" s="1"/>
  <c r="V44" i="9"/>
  <c r="F44" i="10"/>
  <c r="E26" i="14"/>
  <c r="G36" i="14" s="1"/>
  <c r="H44" i="16"/>
  <c r="G36" i="10"/>
  <c r="V30" i="9"/>
  <c r="F30" i="10"/>
  <c r="F12" i="10"/>
  <c r="V12" i="9"/>
  <c r="F42" i="10"/>
  <c r="V42" i="9"/>
  <c r="F17" i="10"/>
  <c r="V17" i="9"/>
  <c r="V40" i="9"/>
  <c r="F40" i="10"/>
  <c r="G9" i="10"/>
  <c r="H17" i="16"/>
  <c r="H36" i="16"/>
  <c r="G28" i="10"/>
  <c r="H42" i="16"/>
  <c r="G34" i="10"/>
  <c r="V16" i="9"/>
  <c r="F16" i="10"/>
  <c r="G37" i="10"/>
  <c r="H45" i="16"/>
  <c r="F14" i="10"/>
  <c r="V14" i="9"/>
  <c r="V29" i="9"/>
  <c r="F29" i="10"/>
  <c r="H28" i="16"/>
  <c r="G20" i="10"/>
  <c r="H46" i="16"/>
  <c r="G38" i="10"/>
  <c r="F25" i="10"/>
  <c r="V25" i="9"/>
  <c r="G33" i="10"/>
  <c r="H41" i="16"/>
  <c r="F39" i="10"/>
  <c r="V39" i="9"/>
  <c r="F21" i="10"/>
  <c r="V21" i="9"/>
  <c r="H21" i="16"/>
  <c r="G13" i="10"/>
  <c r="G41" i="10"/>
  <c r="H49" i="16"/>
  <c r="I9" i="13"/>
  <c r="H11" i="11"/>
  <c r="I10" i="11" s="1"/>
  <c r="G31" i="10"/>
  <c r="H39" i="16"/>
  <c r="G15" i="10"/>
  <c r="H23" i="16"/>
  <c r="H19" i="16"/>
  <c r="G11" i="10"/>
  <c r="G43" i="10"/>
  <c r="H51" i="16"/>
  <c r="F23" i="10"/>
  <c r="V23" i="9"/>
  <c r="H11" i="12"/>
  <c r="I7" i="12" s="1"/>
  <c r="G10" i="10"/>
  <c r="H18" i="16"/>
  <c r="I9" i="11"/>
  <c r="G35" i="10"/>
  <c r="H43" i="16"/>
  <c r="H32" i="16"/>
  <c r="G24" i="10"/>
  <c r="G27" i="10"/>
  <c r="H35" i="16"/>
  <c r="V32" i="9"/>
  <c r="F32" i="10"/>
  <c r="H26" i="16"/>
  <c r="G18" i="10"/>
  <c r="H30" i="16"/>
  <c r="G22" i="10"/>
  <c r="H34" i="16"/>
  <c r="G26" i="10"/>
  <c r="E13" i="14"/>
  <c r="G11" i="14" s="1"/>
  <c r="G37" i="14" l="1"/>
  <c r="G38" i="14" s="1"/>
  <c r="I8" i="12"/>
  <c r="G25" i="14"/>
  <c r="G24" i="14"/>
  <c r="H22" i="16"/>
  <c r="G14" i="10"/>
  <c r="I7" i="11"/>
  <c r="G17" i="10"/>
  <c r="H25" i="16"/>
  <c r="I10" i="12"/>
  <c r="I9" i="12"/>
  <c r="G21" i="10"/>
  <c r="H29" i="16"/>
  <c r="H50" i="16"/>
  <c r="G42" i="10"/>
  <c r="G25" i="10"/>
  <c r="H33" i="16"/>
  <c r="H24" i="16"/>
  <c r="G16" i="10"/>
  <c r="G12" i="14"/>
  <c r="G39" i="10"/>
  <c r="H47" i="16"/>
  <c r="H48" i="16"/>
  <c r="G40" i="10"/>
  <c r="H20" i="16"/>
  <c r="G12" i="10"/>
  <c r="H52" i="16"/>
  <c r="G44" i="10"/>
  <c r="I8" i="11"/>
  <c r="G29" i="10"/>
  <c r="H37" i="16"/>
  <c r="H40" i="16"/>
  <c r="G32" i="10"/>
  <c r="G23" i="10"/>
  <c r="H31" i="16"/>
  <c r="I8" i="13"/>
  <c r="H38" i="16"/>
  <c r="G30" i="10"/>
  <c r="I7" i="13"/>
  <c r="I11" i="13" s="1"/>
  <c r="G13" i="14"/>
  <c r="G26" i="14" l="1"/>
  <c r="I11" i="12"/>
  <c r="I11" i="11"/>
</calcChain>
</file>

<file path=xl/sharedStrings.xml><?xml version="1.0" encoding="utf-8"?>
<sst xmlns="http://schemas.openxmlformats.org/spreadsheetml/2006/main" count="781" uniqueCount="242">
  <si>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</si>
  <si>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</si>
  <si>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</si>
  <si>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</si>
  <si>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</si>
  <si>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</si>
  <si>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</si>
  <si>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</si>
  <si>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</si>
  <si>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</si>
  <si>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</si>
  <si>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</si>
  <si>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</si>
  <si>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</si>
  <si>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</si>
  <si>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</si>
  <si>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</si>
  <si>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</si>
  <si>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4to de Secundaria</t>
  </si>
  <si>
    <t>ÁREA</t>
  </si>
  <si>
    <t>GESTIÓN</t>
  </si>
  <si>
    <t>REGISTRO DE FILIACIÓN</t>
  </si>
  <si>
    <t>GRADO</t>
  </si>
  <si>
    <t>FECHA</t>
  </si>
  <si>
    <t>APELLIDOS Y NOMBRES</t>
  </si>
  <si>
    <t>NACIMIENTO</t>
  </si>
  <si>
    <t>EDAD</t>
  </si>
  <si>
    <t>LUGAR NACIMIENTO</t>
  </si>
  <si>
    <t>C.I.</t>
  </si>
  <si>
    <t>BARRIO/CALLE</t>
  </si>
  <si>
    <t>PADRE/MADRE</t>
  </si>
  <si>
    <t>TELF./ CELULAR</t>
  </si>
  <si>
    <t>BENITEZ BALLESTEROS KAREN ARIANA</t>
  </si>
  <si>
    <t>CALIZAYA MERCADO AXEL GABRIEL</t>
  </si>
  <si>
    <t>CANO GUZMAN FABRIZIO RODRIGO</t>
  </si>
  <si>
    <t>CHOQUE LAURA CARLOS EDUARDO</t>
  </si>
  <si>
    <t>CONDORI GALARZA DENSEL ALEXSIS</t>
  </si>
  <si>
    <t>DAZA RAMIREZ KALEP MATEO</t>
  </si>
  <si>
    <t>ESTRADA FUNES NAZARETH</t>
  </si>
  <si>
    <t>FLORES VILLEGAS CARLOS IVAN</t>
  </si>
  <si>
    <t>FRANCISCO RUIZ LUCERO</t>
  </si>
  <si>
    <t>IBARRA VINO ELOY INTI</t>
  </si>
  <si>
    <t>LOPEZ BLANCO SOFIA FELEN</t>
  </si>
  <si>
    <t>LOPEZ PACO RODRIGO ADRIAN</t>
  </si>
  <si>
    <t>LOPEZ VERA MILENCA</t>
  </si>
  <si>
    <t>MEDINA CHOQUE JOSE ROBERTO</t>
  </si>
  <si>
    <t>MIRABAL AYANOME JOSE ALFREDO</t>
  </si>
  <si>
    <t>NINA RUEDA ESTEFANY DANIELA</t>
  </si>
  <si>
    <t>PORTILLO QUISPE JORGE LUIS</t>
  </si>
  <si>
    <t>TORREZ PACO CARLA MILENKA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</si>
  <si>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</si>
  <si>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</si>
  <si>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</si>
  <si>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</si>
  <si>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</si>
  <si>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</si>
  <si>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</si>
  <si>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</si>
  <si>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</si>
  <si>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</si>
  <si>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</si>
  <si>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</si>
  <si>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</si>
  <si>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</si>
  <si>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</si>
  <si>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</si>
  <si>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</si>
  <si>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</si>
  <si>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</si>
  <si>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</si>
  <si>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</si>
  <si>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</si>
  <si>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</si>
  <si>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</si>
  <si>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</si>
  <si>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</si>
  <si>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</si>
  <si>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</si>
  <si>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</si>
  <si>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</si>
  <si>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</si>
  <si>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</si>
  <si>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</si>
  <si>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</si>
  <si>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</si>
  <si>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</si>
  <si>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</si>
  <si>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</si>
  <si>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</si>
  <si>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</si>
  <si>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</si>
  <si>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</si>
  <si>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17/2/2021 (preguntas generales)</t>
  </si>
  <si>
    <t>24/02/2021 (preguntas de practica 1)</t>
  </si>
  <si>
    <t>04/03/2021 (preguntas de practica 2)</t>
  </si>
  <si>
    <t>24/02/2021 (practica 1)</t>
  </si>
  <si>
    <t>04/03/2021 (practica 1)</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</si>
  <si>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</si>
  <si>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</si>
  <si>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</si>
  <si>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</si>
  <si>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</si>
  <si>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</si>
  <si>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</si>
  <si>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</si>
  <si>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</si>
  <si>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</si>
  <si>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</si>
  <si>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</si>
  <si>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</si>
  <si>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</si>
  <si>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</si>
  <si>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</si>
  <si>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</si>
  <si>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</si>
  <si>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</si>
  <si>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</si>
  <si>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</si>
  <si>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</si>
  <si>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</si>
  <si>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</si>
  <si>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</si>
  <si>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</si>
  <si>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</si>
  <si>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</si>
  <si>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</si>
  <si>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</si>
  <si>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</si>
  <si>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</si>
  <si>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</si>
  <si>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</si>
  <si>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</si>
  <si>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</si>
  <si>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</si>
  <si>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</si>
  <si>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</si>
  <si>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</si>
  <si>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</si>
  <si>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</si>
  <si>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</si>
  <si>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</si>
  <si>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</si>
  <si>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</si>
  <si>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</si>
  <si>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</si>
  <si>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</si>
  <si>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</si>
  <si>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</si>
  <si>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</si>
  <si>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</si>
  <si>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</si>
  <si>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</si>
  <si>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</si>
  <si>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</si>
  <si>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</si>
  <si>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</si>
  <si>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</si>
  <si>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</si>
  <si>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</si>
  <si>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</si>
  <si>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</si>
  <si>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</si>
  <si>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</si>
  <si>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</si>
  <si>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</si>
  <si>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</si>
  <si>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</si>
  <si>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</si>
  <si>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</si>
  <si>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</si>
  <si>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cam</t>
  </si>
  <si>
    <t>26/05/2021 (Estructuras Condicionales)</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</si>
  <si>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</si>
  <si>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</si>
  <si>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</si>
  <si>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</si>
  <si>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</si>
  <si>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</si>
  <si>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</si>
  <si>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</si>
  <si>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</si>
  <si>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</si>
  <si>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</si>
  <si>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</si>
  <si>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</si>
  <si>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ljq4bir</t>
  </si>
  <si>
    <t>13/5/2020</t>
  </si>
  <si>
    <t>20/5/2020</t>
  </si>
  <si>
    <t>27/5/2021</t>
  </si>
  <si>
    <t>1/7/2021</t>
  </si>
  <si>
    <t>https://classroom.google.com/c/MzQxMjM1NTE0Nzk0/a/MzQxMjU5NTY3NTQ2/details</t>
  </si>
  <si>
    <t>https://classroom.google.com/c/MzQxMjM1NTE0Nzk0/a/MzY5OTg5NjI1Nzgz/details</t>
  </si>
  <si>
    <t>15/07/2021(Precedencia de Operadores)</t>
  </si>
  <si>
    <t>8/7/2021</t>
  </si>
  <si>
    <t>15/7/2021</t>
  </si>
  <si>
    <t>22/7/2021</t>
  </si>
  <si>
    <t>29/7/2021</t>
  </si>
  <si>
    <t>5/8/2021</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</si>
  <si>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</si>
  <si>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</si>
  <si>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</si>
  <si>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</si>
  <si>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</si>
  <si>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</si>
  <si>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</si>
  <si>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</si>
  <si>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</si>
  <si>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</si>
  <si>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</si>
  <si>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</si>
  <si>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</si>
  <si>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</si>
  <si>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</si>
  <si>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</si>
  <si>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</si>
  <si>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</si>
  <si>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</si>
  <si>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</si>
  <si>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</si>
  <si>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</si>
  <si>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</si>
  <si>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</si>
  <si>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</si>
  <si>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</si>
  <si>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</si>
  <si>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</si>
  <si>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</si>
  <si>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</si>
  <si>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</si>
  <si>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</si>
  <si>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</si>
  <si>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</si>
  <si>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</si>
  <si>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</si>
  <si>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</si>
  <si>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</si>
  <si>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</si>
  <si>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</si>
  <si>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</si>
  <si>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22/07/2021(Sentencias Condicionales)</t>
  </si>
  <si>
    <t>01/07/2021(Repaso)</t>
  </si>
  <si>
    <t>https://classroom.google.com/c/MzA4MjQ1NDg2MzMy/a/MzY3NTM1NjIwMTc2/details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</si>
</sst>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57"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ont>
    <font>
      <u/>
      <sz val="16"/>
      <color theme="10"/>
      <name val="Arial"/>
    </font>
    <font>
      <b/>
      <sz val="12"/>
      <color rgb="FF000000"/>
      <name val="Arial"/>
      <family val="2"/>
    </font>
    <font>
      <sz val="12"/>
      <color rgb="FF000000"/>
      <name val="Arial"/>
      <family val="2"/>
    </font>
    <font>
      <b/>
      <sz val="9"/>
      <color rgb="FF000000"/>
      <name val="Arial"/>
      <family val="2"/>
    </font>
    <font>
      <sz val="11"/>
      <color rgb="FF5F6368"/>
      <name val="Roboto"/>
    </font>
    <font>
      <b/>
      <sz val="11"/>
      <color rgb="FF000000"/>
      <name val="Arial"/>
      <family val="2"/>
    </font>
    <font>
      <sz val="10"/>
      <color rgb="FF000000"/>
      <name val="Times New Roman"/>
      <family val="1"/>
    </font>
    <font>
      <sz val="8"/>
      <color rgb="FF000000"/>
      <name val="Times New Roman"/>
      <family val="1"/>
    </font>
    <font>
      <sz val="11"/>
      <color rgb="FF000000"/>
      <name val="Arial"/>
      <family val="2"/>
    </font>
    <font>
      <sz val="9"/>
      <color rgb="FF000000"/>
      <name val="Calibri"/>
    </font>
    <font>
      <sz val="10"/>
      <color rgb="FF000000"/>
      <name val="Arial"/>
      <family val="2"/>
    </font>
    <font>
      <sz val="9"/>
      <color rgb="FF000000"/>
      <name val="Calibri"/>
      <family val="2"/>
    </font>
    <font>
      <u/>
      <sz val="11"/>
      <color rgb="FF0563C1"/>
      <name val="Arial"/>
      <family val="2"/>
    </font>
    <font>
      <b/>
      <sz val="9"/>
      <color rgb="FF000000"/>
      <name val="Calibri"/>
      <family val="2"/>
    </font>
    <font>
      <b/>
      <sz val="10"/>
      <color rgb="FF000000"/>
      <name val="Arial"/>
      <family val="2"/>
    </font>
    <font>
      <b/>
      <sz val="9"/>
      <color theme="0"/>
      <name val="Calibri"/>
      <family val="2"/>
    </font>
    <font>
      <u/>
      <sz val="11"/>
      <color theme="10"/>
      <name val="Arial"/>
      <family val="2"/>
    </font>
    <font>
      <sz val="8"/>
      <color theme="1"/>
      <name val="Arial"/>
      <family val="2"/>
    </font>
  </fonts>
  <fills count="11">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theme="4"/>
        <bgColor theme="4"/>
      </patternFill>
    </fill>
  </fills>
  <borders count="67">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thin">
        <color indexed="64"/>
      </right>
      <top style="thin">
        <color indexed="64"/>
      </top>
      <bottom/>
      <diagonal/>
    </border>
    <border>
      <left/>
      <right/>
      <top style="thin">
        <color indexed="64"/>
      </top>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style="thin">
        <color rgb="FF000000"/>
      </top>
      <bottom/>
      <diagonal/>
    </border>
  </borders>
  <cellStyleXfs count="3">
    <xf numFmtId="0" fontId="0" fillId="0" borderId="0"/>
    <xf numFmtId="43" fontId="38" fillId="0" borderId="0" applyFont="0" applyFill="0" applyBorder="0" applyAlignment="0" applyProtection="0"/>
    <xf numFmtId="0" fontId="39" fillId="0" borderId="0" applyNumberFormat="0" applyFill="0" applyBorder="0" applyAlignment="0" applyProtection="0"/>
  </cellStyleXfs>
  <cellXfs count="290">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9" fillId="0" borderId="39" xfId="0" applyFont="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xf numFmtId="0" fontId="0" fillId="0" borderId="15" xfId="0" applyBorder="1"/>
    <xf numFmtId="0" fontId="0" fillId="0" borderId="15" xfId="0" applyBorder="1" applyAlignment="1">
      <alignment horizontal="center"/>
    </xf>
    <xf numFmtId="0" fontId="40" fillId="0" borderId="57" xfId="0" applyFont="1" applyBorder="1" applyAlignment="1">
      <alignment horizontal="left"/>
    </xf>
    <xf numFmtId="0" fontId="41" fillId="0" borderId="57" xfId="0" applyFont="1" applyBorder="1" applyAlignment="1">
      <alignment horizontal="center"/>
    </xf>
    <xf numFmtId="0" fontId="40" fillId="0" borderId="57" xfId="0" applyFont="1" applyBorder="1" applyAlignment="1">
      <alignment horizontal="center"/>
    </xf>
    <xf numFmtId="0" fontId="41" fillId="0" borderId="58" xfId="0" applyFont="1" applyBorder="1" applyAlignment="1">
      <alignment horizontal="center"/>
    </xf>
    <xf numFmtId="0" fontId="41" fillId="0" borderId="59" xfId="0" applyFont="1" applyBorder="1" applyAlignment="1">
      <alignment horizontal="center"/>
    </xf>
    <xf numFmtId="0" fontId="41" fillId="0" borderId="60" xfId="0" applyFont="1" applyBorder="1" applyAlignment="1">
      <alignment horizontal="center"/>
    </xf>
    <xf numFmtId="0" fontId="41" fillId="0" borderId="57" xfId="0" applyFont="1" applyBorder="1" applyAlignment="1">
      <alignment horizontal="left"/>
    </xf>
    <xf numFmtId="0" fontId="44" fillId="0" borderId="15" xfId="0" applyFont="1" applyBorder="1" applyAlignment="1">
      <alignment horizontal="center"/>
    </xf>
    <xf numFmtId="14" fontId="45" fillId="0" borderId="57" xfId="0" applyNumberFormat="1" applyFont="1" applyBorder="1" applyAlignment="1">
      <alignment horizontal="center" textRotation="90"/>
    </xf>
    <xf numFmtId="14" fontId="46" fillId="0" borderId="57" xfId="0" applyNumberFormat="1" applyFont="1" applyBorder="1" applyAlignment="1">
      <alignment horizontal="center" textRotation="90"/>
    </xf>
    <xf numFmtId="0" fontId="47" fillId="0" borderId="57" xfId="0" applyFont="1" applyBorder="1" applyAlignment="1">
      <alignment horizontal="center" vertical="center"/>
    </xf>
    <xf numFmtId="0" fontId="44" fillId="0" borderId="57" xfId="0" applyFont="1" applyBorder="1" applyAlignment="1">
      <alignment horizontal="center" vertical="center"/>
    </xf>
    <xf numFmtId="0" fontId="48" fillId="0" borderId="19" xfId="0" applyFont="1" applyBorder="1" applyAlignment="1">
      <alignment horizontal="left" vertical="center"/>
    </xf>
    <xf numFmtId="0" fontId="49" fillId="0" borderId="59" xfId="0" applyFont="1" applyBorder="1" applyAlignment="1">
      <alignment horizontal="right"/>
    </xf>
    <xf numFmtId="0" fontId="49" fillId="0" borderId="60" xfId="0" applyFont="1" applyBorder="1" applyAlignment="1">
      <alignment horizontal="right"/>
    </xf>
    <xf numFmtId="0" fontId="49" fillId="0" borderId="57" xfId="0" applyFont="1" applyBorder="1" applyAlignment="1">
      <alignment horizontal="center"/>
    </xf>
    <xf numFmtId="166" fontId="48" fillId="0" borderId="19" xfId="1" applyNumberFormat="1" applyFont="1" applyFill="1" applyBorder="1" applyAlignment="1">
      <alignment horizontal="left" vertical="center"/>
    </xf>
    <xf numFmtId="0" fontId="50" fillId="0" borderId="58" xfId="0" applyFont="1" applyBorder="1" applyAlignment="1">
      <alignment horizontal="right" vertical="center"/>
    </xf>
    <xf numFmtId="0" fontId="50" fillId="0" borderId="59" xfId="0" applyFont="1" applyBorder="1" applyAlignment="1">
      <alignment horizontal="right" vertical="center"/>
    </xf>
    <xf numFmtId="0" fontId="50" fillId="0" borderId="60" xfId="0" applyFont="1" applyBorder="1" applyAlignment="1">
      <alignment horizontal="right" vertical="center"/>
    </xf>
    <xf numFmtId="0" fontId="51" fillId="0" borderId="57" xfId="2" applyFont="1" applyFill="1" applyBorder="1" applyAlignment="1">
      <alignment horizontal="left"/>
    </xf>
    <xf numFmtId="0" fontId="47" fillId="0" borderId="57" xfId="0" applyFont="1" applyBorder="1" applyAlignment="1">
      <alignment horizontal="left"/>
    </xf>
    <xf numFmtId="0" fontId="52" fillId="0" borderId="57" xfId="0" applyFont="1" applyBorder="1" applyAlignment="1">
      <alignment horizontal="right" vertical="center"/>
    </xf>
    <xf numFmtId="0" fontId="48" fillId="0" borderId="57" xfId="0" applyFont="1" applyBorder="1" applyAlignment="1">
      <alignment horizontal="right" vertical="center"/>
    </xf>
    <xf numFmtId="1" fontId="53" fillId="0" borderId="57" xfId="0" applyNumberFormat="1" applyFont="1" applyBorder="1" applyAlignment="1">
      <alignment horizontal="center"/>
    </xf>
    <xf numFmtId="0" fontId="50" fillId="0" borderId="61" xfId="0" applyFont="1" applyBorder="1" applyAlignment="1">
      <alignment horizontal="right" vertical="center"/>
    </xf>
    <xf numFmtId="0" fontId="50" fillId="0" borderId="62" xfId="0" applyFont="1" applyBorder="1" applyAlignment="1">
      <alignment horizontal="right" vertical="center"/>
    </xf>
    <xf numFmtId="0" fontId="51" fillId="0" borderId="58" xfId="2" applyFont="1" applyFill="1" applyBorder="1" applyAlignment="1">
      <alignment horizontal="left"/>
    </xf>
    <xf numFmtId="0" fontId="51" fillId="0" borderId="59" xfId="2" applyFont="1" applyFill="1" applyBorder="1" applyAlignment="1">
      <alignment horizontal="left"/>
    </xf>
    <xf numFmtId="0" fontId="51" fillId="0" borderId="60" xfId="2" applyFont="1" applyFill="1" applyBorder="1" applyAlignment="1">
      <alignment horizontal="left"/>
    </xf>
    <xf numFmtId="1" fontId="53" fillId="0" borderId="63" xfId="0" applyNumberFormat="1" applyFont="1" applyBorder="1" applyAlignment="1">
      <alignment horizontal="center"/>
    </xf>
    <xf numFmtId="0" fontId="47" fillId="0" borderId="63" xfId="0" applyFont="1" applyBorder="1" applyAlignment="1">
      <alignment horizontal="center"/>
    </xf>
    <xf numFmtId="166" fontId="0" fillId="0" borderId="15" xfId="0" applyNumberFormat="1" applyBorder="1"/>
    <xf numFmtId="0" fontId="52" fillId="0" borderId="64" xfId="0" applyFont="1" applyBorder="1" applyAlignment="1">
      <alignment horizontal="left" vertical="center" wrapText="1"/>
    </xf>
    <xf numFmtId="0" fontId="52" fillId="0" borderId="15" xfId="0" applyFont="1" applyBorder="1" applyAlignment="1">
      <alignment horizontal="left" vertical="center" wrapText="1"/>
    </xf>
    <xf numFmtId="0" fontId="42" fillId="0" borderId="57" xfId="0" applyFont="1" applyBorder="1" applyAlignment="1">
      <alignment horizontal="center" vertical="center"/>
    </xf>
    <xf numFmtId="0" fontId="43" fillId="0" borderId="57" xfId="0" applyFont="1" applyBorder="1" applyAlignment="1">
      <alignment horizontal="center" vertical="center"/>
    </xf>
    <xf numFmtId="14" fontId="54" fillId="10" borderId="19" xfId="0" applyNumberFormat="1" applyFont="1" applyFill="1" applyBorder="1" applyAlignment="1">
      <alignment horizontal="center" vertical="center" textRotation="90"/>
    </xf>
    <xf numFmtId="14" fontId="54" fillId="10" borderId="65" xfId="0" applyNumberFormat="1" applyFont="1" applyFill="1" applyBorder="1" applyAlignment="1">
      <alignment horizontal="center" vertical="center" textRotation="90"/>
    </xf>
    <xf numFmtId="0" fontId="55" fillId="0" borderId="57" xfId="2" applyFont="1" applyFill="1" applyBorder="1" applyAlignment="1">
      <alignment horizontal="left"/>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66" xfId="0" applyFont="1" applyBorder="1" applyAlignment="1">
      <alignment horizontal="center" vertical="center"/>
    </xf>
    <xf numFmtId="0" fontId="9" fillId="0" borderId="27" xfId="0" applyFont="1" applyBorder="1" applyAlignment="1">
      <alignment horizontal="center" vertical="center"/>
    </xf>
    <xf numFmtId="0" fontId="56" fillId="0" borderId="57" xfId="0" applyFont="1" applyBorder="1" applyAlignment="1">
      <alignment horizontal="center" vertical="center" textRotation="90"/>
    </xf>
    <xf numFmtId="0" fontId="55" fillId="0" borderId="58" xfId="2" applyFont="1" applyFill="1" applyBorder="1" applyAlignment="1">
      <alignment horizontal="left"/>
    </xf>
    <xf numFmtId="0" fontId="47" fillId="0" borderId="59" xfId="0" applyFont="1" applyBorder="1" applyAlignment="1">
      <alignment horizontal="left"/>
    </xf>
  </cellXfs>
  <cellStyles count="3">
    <cellStyle name="Hipervínculo" xfId="2" builtinId="8"/>
    <cellStyle name="Millares" xfId="1" builtinId="3"/>
    <cellStyle name="Normal" xfId="0" builtinId="0"/>
  </cellStyles>
  <dxfs count="60">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551-4DFF-9D02-3CDD82128CA2}"/>
              </c:ext>
            </c:extLst>
          </c:dPt>
          <c:dPt>
            <c:idx val="1"/>
            <c:bubble3D val="0"/>
            <c:spPr>
              <a:solidFill>
                <a:schemeClr val="accent2"/>
              </a:solidFill>
            </c:spPr>
            <c:extLst>
              <c:ext xmlns:c16="http://schemas.microsoft.com/office/drawing/2014/chart" uri="{C3380CC4-5D6E-409C-BE32-E72D297353CC}">
                <c16:uniqueId val="{00000003-B551-4DFF-9D02-3CDD82128CA2}"/>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B551-4DFF-9D02-3CDD82128CA2}"/>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59C1-44EE-BFA8-9320DDC86CF9}"/>
              </c:ext>
            </c:extLst>
          </c:dPt>
          <c:dPt>
            <c:idx val="1"/>
            <c:bubble3D val="0"/>
            <c:spPr>
              <a:solidFill>
                <a:schemeClr val="accent2"/>
              </a:solidFill>
            </c:spPr>
            <c:extLst>
              <c:ext xmlns:c16="http://schemas.microsoft.com/office/drawing/2014/chart" uri="{C3380CC4-5D6E-409C-BE32-E72D297353CC}">
                <c16:uniqueId val="{00000003-59C1-44EE-BFA8-9320DDC86CF9}"/>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0.47222222222222221</c:v>
                </c:pt>
                <c:pt idx="1">
                  <c:v>0.52777777777777779</c:v>
                </c:pt>
              </c:numCache>
            </c:numRef>
          </c:val>
          <c:extLst>
            <c:ext xmlns:c16="http://schemas.microsoft.com/office/drawing/2014/chart" uri="{C3380CC4-5D6E-409C-BE32-E72D297353CC}">
              <c16:uniqueId val="{00000004-59C1-44EE-BFA8-9320DDC86CF9}"/>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0710-4310-98A7-48FE669ED4B4}"/>
              </c:ext>
            </c:extLst>
          </c:dPt>
          <c:dPt>
            <c:idx val="1"/>
            <c:bubble3D val="0"/>
            <c:spPr>
              <a:solidFill>
                <a:schemeClr val="accent2"/>
              </a:solidFill>
            </c:spPr>
            <c:extLst>
              <c:ext xmlns:c16="http://schemas.microsoft.com/office/drawing/2014/chart" uri="{C3380CC4-5D6E-409C-BE32-E72D297353CC}">
                <c16:uniqueId val="{00000003-0710-4310-98A7-48FE669ED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0710-4310-98A7-48FE669ED4B4}"/>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1142073065" name="Chart 1">
          <a:extLst>
            <a:ext uri="{FF2B5EF4-FFF2-40B4-BE49-F238E27FC236}">
              <a16:creationId xmlns:a16="http://schemas.microsoft.com/office/drawing/2014/main" id="{00000000-0008-0000-0D00-0000E9A612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254723479" name="Chart 2">
          <a:extLst>
            <a:ext uri="{FF2B5EF4-FFF2-40B4-BE49-F238E27FC236}">
              <a16:creationId xmlns:a16="http://schemas.microsoft.com/office/drawing/2014/main" id="{00000000-0008-0000-0D00-000097C52E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35058101" name="Chart 3">
          <a:extLst>
            <a:ext uri="{FF2B5EF4-FFF2-40B4-BE49-F238E27FC236}">
              <a16:creationId xmlns:a16="http://schemas.microsoft.com/office/drawing/2014/main" id="{00000000-0008-0000-0D00-0000B5207F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3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3">
          <cell r="C23" t="str">
            <v>1ro de Secundaria</v>
          </cell>
        </row>
        <row r="25">
          <cell r="C25" t="str">
            <v>Tecnica Tecnologica (Programacion)</v>
          </cell>
        </row>
      </sheetData>
      <sheetData sheetId="1"/>
      <sheetData sheetId="2"/>
      <sheetData sheetId="3">
        <row r="7">
          <cell r="C7" t="str">
            <v>13/5/2020</v>
          </cell>
          <cell r="BA7" t="str">
            <v>Asist. (A)</v>
          </cell>
          <cell r="BB7" t="str">
            <v>Faltas (F)</v>
          </cell>
          <cell r="BC7" t="str">
            <v>Retrasos (R)</v>
          </cell>
          <cell r="BD7" t="str">
            <v>Licencias (L)</v>
          </cell>
          <cell r="BE7" t="str">
            <v>DÍAS TRABAJADOS</v>
          </cell>
        </row>
      </sheetData>
      <sheetData sheetId="4"/>
      <sheetData sheetId="5"/>
      <sheetData sheetId="6"/>
      <sheetData sheetId="7">
        <row r="9">
          <cell r="B9" t="str">
            <v>ARANCIBIA ARRAYA LUIS ANDRES</v>
          </cell>
        </row>
      </sheetData>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Informe Resumido Rendimiento"/>
      <sheetName val="ASIS 3 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ow r="23">
          <cell r="C23" t="str">
            <v>3ro de Secundaria</v>
          </cell>
        </row>
      </sheetData>
      <sheetData sheetId="1"/>
      <sheetData sheetId="2"/>
      <sheetData sheetId="3"/>
      <sheetData sheetId="4"/>
      <sheetData sheetId="5"/>
      <sheetData sheetId="6"/>
      <sheetData sheetId="7">
        <row r="9">
          <cell r="B9" t="str">
            <v>ALCONZ COLQUE ANDREY JEAN PAUL</v>
          </cell>
          <cell r="C9">
            <v>10</v>
          </cell>
          <cell r="D9">
            <v>0</v>
          </cell>
          <cell r="E9">
            <v>0</v>
          </cell>
          <cell r="O9">
            <v>0</v>
          </cell>
          <cell r="P9">
            <v>0</v>
          </cell>
          <cell r="Q9">
            <v>0</v>
          </cell>
          <cell r="R9">
            <v>0</v>
          </cell>
          <cell r="S9">
            <v>0</v>
          </cell>
        </row>
        <row r="10">
          <cell r="B10" t="str">
            <v>BEJARANO CHAVARRÍA ADRIANA ABRIL</v>
          </cell>
          <cell r="C10">
            <v>10</v>
          </cell>
          <cell r="D10">
            <v>15</v>
          </cell>
          <cell r="E10">
            <v>15</v>
          </cell>
          <cell r="O10">
            <v>15</v>
          </cell>
          <cell r="P10">
            <v>17</v>
          </cell>
          <cell r="Q10">
            <v>16</v>
          </cell>
          <cell r="R10">
            <v>17</v>
          </cell>
          <cell r="S10">
            <v>15</v>
          </cell>
        </row>
        <row r="11">
          <cell r="B11" t="str">
            <v>CHOQUE LOPEZ DIEGO ARMANDO</v>
          </cell>
          <cell r="C11">
            <v>10</v>
          </cell>
          <cell r="D11">
            <v>25</v>
          </cell>
          <cell r="E11">
            <v>15</v>
          </cell>
          <cell r="O11">
            <v>20</v>
          </cell>
          <cell r="P11">
            <v>16</v>
          </cell>
          <cell r="Q11">
            <v>15</v>
          </cell>
          <cell r="R11">
            <v>17</v>
          </cell>
          <cell r="S11">
            <v>12</v>
          </cell>
        </row>
        <row r="12">
          <cell r="B12" t="str">
            <v>CHOQUE SANGA DIEGO OSCAR</v>
          </cell>
          <cell r="C12">
            <v>10</v>
          </cell>
          <cell r="D12">
            <v>15</v>
          </cell>
          <cell r="E12">
            <v>15</v>
          </cell>
          <cell r="O12">
            <v>15</v>
          </cell>
          <cell r="P12">
            <v>16</v>
          </cell>
          <cell r="Q12">
            <v>17</v>
          </cell>
          <cell r="R12">
            <v>16</v>
          </cell>
          <cell r="S12">
            <v>15</v>
          </cell>
        </row>
        <row r="13">
          <cell r="B13" t="str">
            <v>CORRALES BADANI ISAAC DIEGO</v>
          </cell>
          <cell r="C13">
            <v>10</v>
          </cell>
          <cell r="D13">
            <v>25</v>
          </cell>
          <cell r="E13">
            <v>35</v>
          </cell>
          <cell r="O13">
            <v>30</v>
          </cell>
          <cell r="P13">
            <v>16</v>
          </cell>
          <cell r="Q13">
            <v>20</v>
          </cell>
          <cell r="R13">
            <v>16</v>
          </cell>
          <cell r="S13">
            <v>35</v>
          </cell>
        </row>
        <row r="14">
          <cell r="B14" t="str">
            <v>DE LA CRUZ RADO BLADIMIR MARCOS</v>
          </cell>
          <cell r="C14">
            <v>10</v>
          </cell>
          <cell r="D14">
            <v>20</v>
          </cell>
          <cell r="E14">
            <v>15</v>
          </cell>
          <cell r="O14">
            <v>18</v>
          </cell>
          <cell r="P14">
            <v>15</v>
          </cell>
          <cell r="Q14">
            <v>15</v>
          </cell>
          <cell r="R14">
            <v>0</v>
          </cell>
          <cell r="S14">
            <v>0</v>
          </cell>
        </row>
        <row r="15">
          <cell r="B15" t="str">
            <v>DELGADILLO QUISBERT MICHAEL DAVID</v>
          </cell>
          <cell r="C15">
            <v>10</v>
          </cell>
          <cell r="D15">
            <v>20</v>
          </cell>
          <cell r="E15">
            <v>35</v>
          </cell>
          <cell r="O15">
            <v>28</v>
          </cell>
          <cell r="P15">
            <v>30</v>
          </cell>
          <cell r="Q15">
            <v>35</v>
          </cell>
          <cell r="R15">
            <v>30</v>
          </cell>
          <cell r="S15">
            <v>35</v>
          </cell>
        </row>
        <row r="16">
          <cell r="B16" t="str">
            <v>DIAZ SAAVEDRA LEONARDO ADRIAN</v>
          </cell>
          <cell r="C16">
            <v>10</v>
          </cell>
          <cell r="D16">
            <v>30</v>
          </cell>
          <cell r="E16">
            <v>35</v>
          </cell>
          <cell r="O16">
            <v>33</v>
          </cell>
          <cell r="P16">
            <v>15</v>
          </cell>
          <cell r="Q16">
            <v>16</v>
          </cell>
          <cell r="R16">
            <v>33</v>
          </cell>
          <cell r="S16">
            <v>35</v>
          </cell>
        </row>
        <row r="17">
          <cell r="B17" t="str">
            <v>HUAMAN TERAN JASON DANIEL</v>
          </cell>
          <cell r="C17">
            <v>10</v>
          </cell>
          <cell r="D17">
            <v>20</v>
          </cell>
          <cell r="E17">
            <v>35</v>
          </cell>
          <cell r="O17">
            <v>28</v>
          </cell>
          <cell r="P17">
            <v>20</v>
          </cell>
          <cell r="Q17">
            <v>15</v>
          </cell>
          <cell r="R17">
            <v>35</v>
          </cell>
          <cell r="S17">
            <v>31</v>
          </cell>
        </row>
        <row r="18">
          <cell r="B18" t="str">
            <v>HUARAYO MORALES NICOLAS FABRICIO</v>
          </cell>
          <cell r="C18">
            <v>10</v>
          </cell>
          <cell r="D18">
            <v>25</v>
          </cell>
          <cell r="E18">
            <v>15</v>
          </cell>
          <cell r="O18">
            <v>20</v>
          </cell>
          <cell r="P18">
            <v>15</v>
          </cell>
          <cell r="Q18">
            <v>18</v>
          </cell>
          <cell r="R18">
            <v>15</v>
          </cell>
          <cell r="S18">
            <v>16</v>
          </cell>
        </row>
        <row r="19">
          <cell r="B19" t="str">
            <v>MENDOZA VACA MIKHAEL NAIM</v>
          </cell>
          <cell r="C19">
            <v>10</v>
          </cell>
          <cell r="D19">
            <v>18</v>
          </cell>
          <cell r="E19">
            <v>15</v>
          </cell>
          <cell r="O19">
            <v>17</v>
          </cell>
          <cell r="P19">
            <v>19</v>
          </cell>
          <cell r="Q19">
            <v>15</v>
          </cell>
          <cell r="R19">
            <v>15</v>
          </cell>
          <cell r="S19">
            <v>33</v>
          </cell>
        </row>
        <row r="20">
          <cell r="B20" t="str">
            <v>NAVIA ASCUI BELEN ANDREA</v>
          </cell>
          <cell r="C20">
            <v>10</v>
          </cell>
          <cell r="D20">
            <v>25</v>
          </cell>
          <cell r="E20">
            <v>35</v>
          </cell>
          <cell r="O20">
            <v>30</v>
          </cell>
          <cell r="P20">
            <v>15</v>
          </cell>
          <cell r="Q20">
            <v>15</v>
          </cell>
          <cell r="R20">
            <v>17</v>
          </cell>
          <cell r="S20">
            <v>35</v>
          </cell>
        </row>
        <row r="21">
          <cell r="B21" t="str">
            <v>QUISPE DIAZ KATHERIN LAURA</v>
          </cell>
          <cell r="C21">
            <v>10</v>
          </cell>
          <cell r="D21">
            <v>20</v>
          </cell>
          <cell r="E21">
            <v>35</v>
          </cell>
          <cell r="O21">
            <v>28</v>
          </cell>
          <cell r="P21">
            <v>17</v>
          </cell>
          <cell r="Q21">
            <v>18</v>
          </cell>
          <cell r="R21">
            <v>20</v>
          </cell>
          <cell r="S21">
            <v>35</v>
          </cell>
        </row>
        <row r="22">
          <cell r="B22" t="str">
            <v>RAMOS MAMANI KRISTHEL GERALDINE</v>
          </cell>
          <cell r="C22">
            <v>10</v>
          </cell>
          <cell r="D22">
            <v>20</v>
          </cell>
          <cell r="E22">
            <v>0</v>
          </cell>
          <cell r="O22">
            <v>10</v>
          </cell>
          <cell r="P22">
            <v>18</v>
          </cell>
          <cell r="Q22">
            <v>35</v>
          </cell>
          <cell r="R22">
            <v>30</v>
          </cell>
          <cell r="S22">
            <v>35</v>
          </cell>
        </row>
        <row r="23">
          <cell r="B23" t="str">
            <v>RODRIGUEZ LOBATON YADHIRA CIELO</v>
          </cell>
          <cell r="C23">
            <v>10</v>
          </cell>
          <cell r="D23">
            <v>18</v>
          </cell>
          <cell r="E23">
            <v>15</v>
          </cell>
          <cell r="O23">
            <v>17</v>
          </cell>
          <cell r="P23">
            <v>15</v>
          </cell>
          <cell r="Q23">
            <v>16</v>
          </cell>
          <cell r="R23">
            <v>15</v>
          </cell>
          <cell r="S23">
            <v>17</v>
          </cell>
        </row>
        <row r="24">
          <cell r="B24" t="str">
            <v>ROJAS CANAVIRI VICTOR ANDRE</v>
          </cell>
          <cell r="C24">
            <v>10</v>
          </cell>
          <cell r="D24">
            <v>20</v>
          </cell>
          <cell r="E24">
            <v>15</v>
          </cell>
          <cell r="O24">
            <v>18</v>
          </cell>
          <cell r="P24">
            <v>5</v>
          </cell>
          <cell r="Q24">
            <v>15</v>
          </cell>
          <cell r="R24">
            <v>15</v>
          </cell>
          <cell r="S24">
            <v>17</v>
          </cell>
        </row>
        <row r="25">
          <cell r="B25" t="str">
            <v>ROJAS LENIS GABRIEL</v>
          </cell>
          <cell r="C25">
            <v>10</v>
          </cell>
          <cell r="D25">
            <v>15</v>
          </cell>
          <cell r="E25">
            <v>16</v>
          </cell>
          <cell r="O25">
            <v>16</v>
          </cell>
          <cell r="P25">
            <v>17</v>
          </cell>
          <cell r="Q25">
            <v>15</v>
          </cell>
          <cell r="R25">
            <v>16</v>
          </cell>
          <cell r="S25">
            <v>14</v>
          </cell>
        </row>
        <row r="26">
          <cell r="B26" t="str">
            <v>SUAREZ QUISPE JHUNIOR</v>
          </cell>
          <cell r="C26">
            <v>10</v>
          </cell>
          <cell r="D26">
            <v>0</v>
          </cell>
          <cell r="E26">
            <v>0</v>
          </cell>
          <cell r="O26">
            <v>0</v>
          </cell>
          <cell r="P26">
            <v>0</v>
          </cell>
          <cell r="Q26">
            <v>0</v>
          </cell>
          <cell r="R26">
            <v>0</v>
          </cell>
          <cell r="S26">
            <v>0</v>
          </cell>
        </row>
        <row r="27">
          <cell r="B27" t="str">
            <v>VILAR CORTEZ MIKAELA DOLORES</v>
          </cell>
          <cell r="C27">
            <v>10</v>
          </cell>
          <cell r="D27">
            <v>30</v>
          </cell>
          <cell r="E27">
            <v>15</v>
          </cell>
          <cell r="O27">
            <v>23</v>
          </cell>
          <cell r="P27">
            <v>15</v>
          </cell>
          <cell r="Q27">
            <v>15</v>
          </cell>
          <cell r="R27">
            <v>16</v>
          </cell>
          <cell r="S27">
            <v>17</v>
          </cell>
        </row>
        <row r="28">
          <cell r="B28" t="str">
            <v>Tattum Rocha Elias</v>
          </cell>
          <cell r="C28">
            <v>10</v>
          </cell>
          <cell r="D28">
            <v>20</v>
          </cell>
          <cell r="E28">
            <v>20</v>
          </cell>
          <cell r="O28">
            <v>20</v>
          </cell>
          <cell r="P28">
            <v>20</v>
          </cell>
          <cell r="Q28">
            <v>20</v>
          </cell>
          <cell r="R28">
            <v>20</v>
          </cell>
          <cell r="S28">
            <v>30</v>
          </cell>
        </row>
        <row r="29">
          <cell r="B29" t="str">
            <v>soria la fuente leonardo</v>
          </cell>
          <cell r="C29">
            <v>10</v>
          </cell>
          <cell r="D29">
            <v>15</v>
          </cell>
          <cell r="E29">
            <v>15</v>
          </cell>
          <cell r="O29">
            <v>15</v>
          </cell>
          <cell r="P29">
            <v>14</v>
          </cell>
          <cell r="Q29">
            <v>16</v>
          </cell>
          <cell r="R29">
            <v>17</v>
          </cell>
          <cell r="S29">
            <v>15</v>
          </cell>
        </row>
        <row r="30">
          <cell r="B30" t="str">
            <v>Terrazas fuentes Salomon</v>
          </cell>
          <cell r="C30">
            <v>10</v>
          </cell>
          <cell r="D30">
            <v>20</v>
          </cell>
          <cell r="E30">
            <v>35</v>
          </cell>
          <cell r="O30">
            <v>28</v>
          </cell>
          <cell r="P30">
            <v>18</v>
          </cell>
          <cell r="Q30">
            <v>25</v>
          </cell>
          <cell r="R30">
            <v>30</v>
          </cell>
          <cell r="S30">
            <v>30</v>
          </cell>
        </row>
        <row r="31">
          <cell r="B31" t="str">
            <v>Terrazas fuentes David</v>
          </cell>
          <cell r="C31">
            <v>10</v>
          </cell>
          <cell r="D31">
            <v>20</v>
          </cell>
          <cell r="E31">
            <v>35</v>
          </cell>
          <cell r="O31">
            <v>28</v>
          </cell>
          <cell r="P31">
            <v>18</v>
          </cell>
          <cell r="Q31">
            <v>25</v>
          </cell>
          <cell r="R31">
            <v>17</v>
          </cell>
          <cell r="S31">
            <v>30</v>
          </cell>
        </row>
      </sheetData>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FBD13BF-5428-49C4-9F88-7A581E60386B}" name="Tabla1" displayName="Tabla1" ref="A7:BE25" totalsRowShown="0" headerRowDxfId="5" dataDxfId="6" tableBorderDxfId="59">
  <autoFilter ref="A7:BE25" xr:uid="{BFBD13BF-5428-49C4-9F88-7A581E60386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4EF0C490-0D58-409E-83BB-A2D429811565}" name="Nº" dataDxfId="58"/>
    <tableColumn id="2" xr3:uid="{92F0B5F8-5A0B-49CE-A326-6E7E5656584E}" name="NÓMINA DE ESTUDIANTES" dataDxfId="57">
      <calculatedColumnFormula>'C. FILIACION'!B8</calculatedColumnFormula>
    </tableColumn>
    <tableColumn id="3" xr3:uid="{A34594E9-EA4D-48E9-8EBC-62312B436077}" name="13/5/2020" dataDxfId="56"/>
    <tableColumn id="4" xr3:uid="{AB198B48-0DD0-426E-9079-B4E86C70000C}" name="20/5/2020" dataDxfId="55"/>
    <tableColumn id="5" xr3:uid="{280F3224-7C5A-46B7-8371-43DE4D908214}" name="27/5/2021" dataDxfId="54"/>
    <tableColumn id="6" xr3:uid="{4D718F4E-8CF7-4A55-A680-8F2DF562AD50}" name="1/7/2021" dataDxfId="53"/>
    <tableColumn id="7" xr3:uid="{BB814205-32E2-4AC0-9FA8-B80FBE550E01}" name="8/7/2021" dataDxfId="52"/>
    <tableColumn id="8" xr3:uid="{0A2C6F13-BD5D-4042-A929-7B7ED5693AD9}" name="15/7/2021" dataDxfId="51"/>
    <tableColumn id="9" xr3:uid="{D97A646A-1DAF-48C6-A674-42C9FDAB3017}" name="22/7/2021" dataDxfId="50"/>
    <tableColumn id="10" xr3:uid="{314256B2-DCAE-45BE-B598-6AB00DFD4100}" name="29/7/2021" dataDxfId="49"/>
    <tableColumn id="11" xr3:uid="{ED62A6C3-4183-423A-9555-F0AA96FF2E4E}" name="5/8/2021" dataDxfId="48"/>
    <tableColumn id="12" xr3:uid="{195DBCB6-BEBC-473A-8DE8-A604FC58AD84}" name="Columna1" dataDxfId="47"/>
    <tableColumn id="13" xr3:uid="{989D3AF7-30B9-44D1-AD5D-6E495E1E303C}" name="Columna2" dataDxfId="46"/>
    <tableColumn id="14" xr3:uid="{8705838E-CBBA-4561-B75B-C2FB5C4B2E5E}" name="Columna3" dataDxfId="45"/>
    <tableColumn id="15" xr3:uid="{8A155E42-AF4F-4562-806B-A4EAAC2BF4E9}" name="Columna4" dataDxfId="44"/>
    <tableColumn id="16" xr3:uid="{9CB4700B-2739-4888-A28A-43C49FC9AC65}" name="Columna5" dataDxfId="43"/>
    <tableColumn id="17" xr3:uid="{1662D02B-A482-4064-885D-ED842EFBE8E7}" name="Columna6" dataDxfId="42"/>
    <tableColumn id="18" xr3:uid="{F4B8078A-26F6-4174-86F6-A18FA162578E}" name="Columna7" dataDxfId="41"/>
    <tableColumn id="19" xr3:uid="{D16A39F5-D0F8-404E-989B-66BAA018F48D}" name="Columna8" dataDxfId="40"/>
    <tableColumn id="20" xr3:uid="{1A53FF1A-0D5F-4D29-891C-648A3F53AF8F}" name="Columna9" dataDxfId="39"/>
    <tableColumn id="21" xr3:uid="{2D6A630D-EEAD-4CD6-B867-93C76784AB09}" name="Columna10" dataDxfId="38"/>
    <tableColumn id="22" xr3:uid="{B286DB10-31F2-4213-A2C7-221EC0DDDA94}" name="Columna11" dataDxfId="37"/>
    <tableColumn id="23" xr3:uid="{4C0758F3-D3F2-4BA5-971B-3E11C0F680D1}" name="Columna12" dataDxfId="36"/>
    <tableColumn id="24" xr3:uid="{96042310-0B0F-4F86-9895-6DB3C66D3131}" name="Columna13" dataDxfId="35"/>
    <tableColumn id="25" xr3:uid="{3C69B5DE-6C7A-4D66-8353-628DE26059DF}" name="Columna14" dataDxfId="34"/>
    <tableColumn id="26" xr3:uid="{892ED307-8815-49D2-834F-4CFB7AD04991}" name="Columna15" dataDxfId="33"/>
    <tableColumn id="27" xr3:uid="{DEE9D3DB-C0E3-479B-81E3-5CF8FEC374C7}" name="Columna16" dataDxfId="32"/>
    <tableColumn id="28" xr3:uid="{0D822070-DDF1-46EB-9523-022C95E33104}" name="Columna17" dataDxfId="31"/>
    <tableColumn id="29" xr3:uid="{50DE27C2-8CF5-4D02-BF9D-F945DE718DD0}" name="Columna18" dataDxfId="30"/>
    <tableColumn id="30" xr3:uid="{36D6D560-88B7-4795-9239-41E71A75D2D4}" name="Columna19" dataDxfId="29"/>
    <tableColumn id="31" xr3:uid="{71AEF00B-29EA-482C-94E6-0897BB832620}" name="Columna20" dataDxfId="28"/>
    <tableColumn id="32" xr3:uid="{99F57753-7C64-4AF4-8DC9-FBCDFCB3DC59}" name="Columna21" dataDxfId="27"/>
    <tableColumn id="33" xr3:uid="{67EBA0B5-3B6D-4F14-B904-FB1983E57B5B}" name="Columna22" dataDxfId="26"/>
    <tableColumn id="34" xr3:uid="{5FF1A08D-9C5B-4D7D-B0DC-005EB0CC340E}" name="Columna23" dataDxfId="25"/>
    <tableColumn id="35" xr3:uid="{BA034351-CD8D-45B7-B3D4-F64137ED02F6}" name="Columna24" dataDxfId="24"/>
    <tableColumn id="36" xr3:uid="{A242BC5E-B7B6-4022-867D-29A4EBA410BA}" name="Columna25" dataDxfId="23"/>
    <tableColumn id="37" xr3:uid="{1275C959-FE74-4797-847F-BD3D6B8173B1}" name="Columna26" dataDxfId="22"/>
    <tableColumn id="38" xr3:uid="{75E68B13-A568-4890-92B6-C4AF3E510BD7}" name="Columna27" dataDxfId="21"/>
    <tableColumn id="39" xr3:uid="{42726190-0659-4D83-8D8A-D544DE9AAAFB}" name="Columna28" dataDxfId="20"/>
    <tableColumn id="40" xr3:uid="{0D2DE7CD-6287-460D-B74B-D7194BAEAF5F}" name="Columna29" dataDxfId="19"/>
    <tableColumn id="41" xr3:uid="{8BBFECC7-724B-4583-A153-D14A8BEE8B21}" name="Columna30" dataDxfId="18"/>
    <tableColumn id="42" xr3:uid="{B3A691C4-BAFD-4C3B-A3BA-FD52C05EB47F}" name="Columna31" dataDxfId="17"/>
    <tableColumn id="43" xr3:uid="{8FD63099-CCD2-4AC8-923D-4B7F8F68727B}" name="Columna32" dataDxfId="16"/>
    <tableColumn id="44" xr3:uid="{3EAEBF1C-C6DF-432B-8B6E-E928FB0A8BFC}" name="Columna33" dataDxfId="15"/>
    <tableColumn id="45" xr3:uid="{AE3DBBEC-8BC3-4022-8FDB-86829F4BA070}" name="Columna34" dataDxfId="14"/>
    <tableColumn id="46" xr3:uid="{78FFFFDB-C44D-4A3C-816B-87F5899A74BC}" name="Columna35" dataDxfId="13"/>
    <tableColumn id="47" xr3:uid="{7239500E-9826-49C1-8249-9EC571E10535}" name="Columna36" dataDxfId="12"/>
    <tableColumn id="48" xr3:uid="{EF275CE9-6051-41A0-9702-610D8E6315CF}" name="Columna37" dataDxfId="11"/>
    <tableColumn id="49" xr3:uid="{C469378C-2709-4FD8-91B9-125A23C71F9D}" name="Columna38" dataDxfId="10"/>
    <tableColumn id="50" xr3:uid="{E3952710-BB1C-488C-9C25-CC415E4DD5F7}" name="Columna39" dataDxfId="9"/>
    <tableColumn id="51" xr3:uid="{E58BFC4D-BEA3-4B90-AB3C-8A0A5C65DEAB}" name="Columna40" dataDxfId="8"/>
    <tableColumn id="52" xr3:uid="{0948CD53-8913-4284-8F6C-7A3A0CFBD46F}" name="Columna41" dataDxfId="7"/>
    <tableColumn id="53" xr3:uid="{5DBBF7A6-D29C-461B-8A23-E201B58A5552}" name="Asist. (A)" dataDxfId="3">
      <calculatedColumnFormula>IF(COUNTIF(C8:AZ8,"A")=0,"0",COUNTIF(C8:AZ8,"A"))</calculatedColumnFormula>
    </tableColumn>
    <tableColumn id="54" xr3:uid="{A74877BB-88FB-4858-AD26-A388BB683F9F}" name="Faltas (F)" dataDxfId="4">
      <calculatedColumnFormula>IF(COUNTIF(C8:AZ8,"F")=0,"0",COUNTIF(C8:AZ8,"F"))</calculatedColumnFormula>
    </tableColumn>
    <tableColumn id="55" xr3:uid="{F9D0110F-D9EA-4C88-8265-6292BA946441}" name="Retrasos (R)" dataDxfId="2">
      <calculatedColumnFormula>IF(COUNTIF(C8:AZ8,"R")=0,"0",COUNTIF(C8:AZ8,"R"))</calculatedColumnFormula>
    </tableColumn>
    <tableColumn id="56" xr3:uid="{C46BE3A4-43C8-4041-9360-DB9163636E14}" name="Licencias (L)" dataDxfId="1">
      <calculatedColumnFormula>IF(COUNTIF(C8:AZ8,"L")=0,"0",COUNTIF(C8:AZ8,"L"))</calculatedColumnFormula>
    </tableColumn>
    <tableColumn id="57" xr3:uid="{6E995E89-5DD9-474F-B3A9-A30D53C326CB}" name="DÍAS TRABAJADOS" dataDxfId="0">
      <calculatedColumnFormula>SUM(BA8:BD8)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A4MjQ1NDg2MzMy/a/MzY3NTM1NjIwMTc2/details" TargetMode="External"/><Relationship Id="rId2" Type="http://schemas.openxmlformats.org/officeDocument/2006/relationships/hyperlink" Target="https://classroom.google.com/c/MzQxMjM1NTE0Nzk0/a/MzY5OTg5NjI1Nzgz/details" TargetMode="External"/><Relationship Id="rId1" Type="http://schemas.openxmlformats.org/officeDocument/2006/relationships/hyperlink" Target="https://classroom.google.com/c/MzQxMjM1NTE0Nzk0/a/MzQxMjU5NTY3NTQ2/details" TargetMode="External"/><Relationship Id="rId4"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159" t="s">
        <v>0</v>
      </c>
      <c r="D8" s="160"/>
      <c r="E8" s="161"/>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162" t="s">
        <v>1</v>
      </c>
      <c r="I9" s="163"/>
      <c r="J9" s="164"/>
      <c r="K9" s="7"/>
      <c r="L9" s="1"/>
      <c r="M9" s="1"/>
      <c r="N9" s="1"/>
      <c r="O9" s="1"/>
      <c r="P9" s="1"/>
      <c r="Q9" s="1"/>
      <c r="R9" s="1"/>
      <c r="S9" s="1"/>
      <c r="T9" s="1"/>
      <c r="U9" s="1"/>
      <c r="V9" s="1"/>
      <c r="W9" s="1"/>
      <c r="X9" s="1"/>
      <c r="Y9" s="1"/>
      <c r="Z9" s="1"/>
    </row>
    <row r="10" spans="1:26" ht="20.25" x14ac:dyDescent="0.3">
      <c r="A10" s="1"/>
      <c r="B10" s="1"/>
      <c r="C10" s="1"/>
      <c r="D10" s="1"/>
      <c r="E10" s="1"/>
      <c r="F10" s="1"/>
      <c r="G10" s="6"/>
      <c r="H10" s="165"/>
      <c r="I10" s="166"/>
      <c r="J10" s="167"/>
      <c r="K10" s="7"/>
      <c r="L10" s="1"/>
      <c r="M10" s="1"/>
      <c r="N10" s="1"/>
      <c r="O10" s="1"/>
      <c r="P10" s="1"/>
      <c r="Q10" s="1"/>
      <c r="R10" s="1"/>
      <c r="S10" s="1"/>
      <c r="T10" s="1"/>
      <c r="U10" s="1"/>
      <c r="V10" s="1"/>
      <c r="W10" s="1"/>
      <c r="X10" s="1"/>
      <c r="Y10" s="1"/>
      <c r="Z10" s="1"/>
    </row>
    <row r="11" spans="1:26" ht="15" customHeight="1" x14ac:dyDescent="0.3">
      <c r="A11" s="1"/>
      <c r="B11" s="8" t="s">
        <v>2</v>
      </c>
      <c r="C11" s="156" t="s">
        <v>3</v>
      </c>
      <c r="D11" s="157"/>
      <c r="E11" s="158"/>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168" t="s">
        <v>4</v>
      </c>
      <c r="I12" s="169"/>
      <c r="J12" s="169"/>
      <c r="K12" s="7"/>
      <c r="L12" s="1"/>
      <c r="M12" s="1"/>
      <c r="N12" s="1"/>
      <c r="O12" s="1"/>
      <c r="P12" s="1"/>
      <c r="Q12" s="1"/>
      <c r="R12" s="1"/>
      <c r="S12" s="1"/>
      <c r="T12" s="1"/>
      <c r="U12" s="1"/>
      <c r="V12" s="1"/>
      <c r="W12" s="1"/>
      <c r="X12" s="1"/>
      <c r="Y12" s="1"/>
      <c r="Z12" s="1"/>
    </row>
    <row r="13" spans="1:26" ht="20.25" x14ac:dyDescent="0.3">
      <c r="A13" s="1"/>
      <c r="B13" s="8" t="s">
        <v>5</v>
      </c>
      <c r="C13" s="156"/>
      <c r="D13" s="157"/>
      <c r="E13" s="158"/>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156" t="s">
        <v>9</v>
      </c>
      <c r="D15" s="157"/>
      <c r="E15" s="158"/>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170" t="s">
        <v>10</v>
      </c>
      <c r="I16" s="169"/>
      <c r="J16" s="169"/>
      <c r="K16" s="7"/>
      <c r="L16" s="1"/>
      <c r="M16" s="1"/>
      <c r="N16" s="1"/>
      <c r="O16" s="1"/>
      <c r="P16" s="1"/>
      <c r="Q16" s="1"/>
      <c r="R16" s="1"/>
      <c r="S16" s="1"/>
      <c r="T16" s="1"/>
      <c r="U16" s="1"/>
      <c r="V16" s="1"/>
      <c r="W16" s="1"/>
      <c r="X16" s="1"/>
      <c r="Y16" s="1"/>
      <c r="Z16" s="1"/>
    </row>
    <row r="17" spans="1:26" ht="20.25" x14ac:dyDescent="0.3">
      <c r="A17" s="1"/>
      <c r="B17" s="8" t="s">
        <v>11</v>
      </c>
      <c r="C17" s="156" t="s">
        <v>12</v>
      </c>
      <c r="D17" s="157"/>
      <c r="E17" s="158"/>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156"/>
      <c r="D19" s="157"/>
      <c r="E19" s="158"/>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156" t="s">
        <v>15</v>
      </c>
      <c r="D21" s="157"/>
      <c r="E21" s="158"/>
      <c r="F21" s="9"/>
      <c r="G21" s="6"/>
      <c r="H21" s="170" t="s">
        <v>16</v>
      </c>
      <c r="I21" s="169"/>
      <c r="J21" s="169"/>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156" t="s">
        <v>18</v>
      </c>
      <c r="D23" s="157"/>
      <c r="E23" s="158"/>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156"/>
      <c r="D25" s="157"/>
      <c r="E25" s="158"/>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156">
        <v>2021</v>
      </c>
      <c r="D27" s="157"/>
      <c r="E27" s="158"/>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heetViews>
  <sheetFormatPr baseColWidth="10" defaultColWidth="9.25" defaultRowHeight="15" customHeight="1" x14ac:dyDescent="0.3"/>
  <cols>
    <col min="1" max="1" width="2" customWidth="1"/>
    <col min="2" max="2" width="23.7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173" t="s">
        <v>21</v>
      </c>
      <c r="C2" s="169"/>
      <c r="D2" s="169"/>
      <c r="E2" s="169"/>
      <c r="F2" s="169"/>
      <c r="G2" s="169"/>
      <c r="H2" s="169"/>
      <c r="I2" s="169"/>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171" t="str">
        <f>CARÁTULA!$C$15</f>
        <v>Instituto Tecnico Humanistico Jauzel Arrieta</v>
      </c>
      <c r="D4" s="169"/>
      <c r="E4" s="169"/>
      <c r="F4" s="22" t="s">
        <v>19</v>
      </c>
      <c r="G4" s="171">
        <f>CARÁTULA!$C$25</f>
        <v>0</v>
      </c>
      <c r="H4" s="169"/>
      <c r="I4" s="169"/>
      <c r="J4" s="19"/>
      <c r="K4" s="19"/>
      <c r="L4" s="19"/>
      <c r="M4" s="19"/>
      <c r="N4" s="19"/>
      <c r="O4" s="19"/>
      <c r="P4" s="19"/>
      <c r="Q4" s="19"/>
      <c r="R4" s="19"/>
      <c r="S4" s="19"/>
      <c r="T4" s="19"/>
      <c r="U4" s="19"/>
      <c r="V4" s="19"/>
      <c r="W4" s="19"/>
      <c r="X4" s="19"/>
      <c r="Y4" s="19"/>
      <c r="Z4" s="19"/>
    </row>
    <row r="5" spans="1:26" ht="12" customHeight="1" x14ac:dyDescent="0.3">
      <c r="A5" s="20"/>
      <c r="B5" s="21" t="s">
        <v>14</v>
      </c>
      <c r="C5" s="171" t="str">
        <f>CARÁTULA!$C$21</f>
        <v>Secundaria</v>
      </c>
      <c r="D5" s="169"/>
      <c r="E5" s="169"/>
      <c r="F5" s="22" t="s">
        <v>13</v>
      </c>
      <c r="G5" s="171">
        <f>CARÁTULA!$C$19</f>
        <v>0</v>
      </c>
      <c r="H5" s="169"/>
      <c r="I5" s="169"/>
      <c r="J5" s="19"/>
      <c r="K5" s="19"/>
      <c r="L5" s="19"/>
      <c r="M5" s="19"/>
      <c r="N5" s="19"/>
      <c r="O5" s="19"/>
      <c r="P5" s="19"/>
      <c r="Q5" s="19"/>
      <c r="R5" s="19"/>
      <c r="S5" s="19"/>
      <c r="T5" s="19"/>
      <c r="U5" s="19"/>
      <c r="V5" s="19"/>
      <c r="W5" s="19"/>
      <c r="X5" s="19"/>
      <c r="Y5" s="19"/>
      <c r="Z5" s="19"/>
    </row>
    <row r="6" spans="1:26" ht="12" customHeight="1" x14ac:dyDescent="0.3">
      <c r="A6" s="20"/>
      <c r="B6" s="21" t="s">
        <v>22</v>
      </c>
      <c r="C6" s="171" t="str">
        <f>CARÁTULA!$C$23</f>
        <v>4to de Secundaria</v>
      </c>
      <c r="D6" s="169"/>
      <c r="E6" s="169"/>
      <c r="F6" s="22" t="s">
        <v>23</v>
      </c>
      <c r="G6" s="172">
        <f ca="1">TODAY()</f>
        <v>44419</v>
      </c>
      <c r="H6" s="169"/>
      <c r="I6" s="169"/>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c r="D8" s="30">
        <f t="shared" ref="D8:D43" ca="1" si="0">TODAY()</f>
        <v>44419</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c r="D9" s="30">
        <f t="shared" ca="1" si="0"/>
        <v>44419</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c r="D10" s="30">
        <f t="shared" ca="1" si="0"/>
        <v>44419</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c r="D11" s="30">
        <f t="shared" ca="1" si="0"/>
        <v>44419</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c r="D12" s="30">
        <f t="shared" ca="1" si="0"/>
        <v>44419</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c r="D13" s="30">
        <f t="shared" ca="1" si="0"/>
        <v>44419</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c r="D14" s="30">
        <f t="shared" ca="1" si="0"/>
        <v>44419</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c r="D15" s="30">
        <f t="shared" ca="1" si="0"/>
        <v>44419</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c r="D16" s="30">
        <f t="shared" ca="1" si="0"/>
        <v>44419</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c r="D17" s="30">
        <f t="shared" ca="1" si="0"/>
        <v>44419</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c r="D18" s="30">
        <f t="shared" ca="1" si="0"/>
        <v>44419</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c r="D19" s="30">
        <f t="shared" ca="1" si="0"/>
        <v>44419</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c r="D20" s="30">
        <f t="shared" ca="1" si="0"/>
        <v>44419</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c r="D21" s="30">
        <f t="shared" ca="1" si="0"/>
        <v>44419</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c r="D22" s="30">
        <f t="shared" ca="1" si="0"/>
        <v>44419</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c r="D23" s="30">
        <f t="shared" ca="1" si="0"/>
        <v>44419</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48</v>
      </c>
      <c r="C24" s="35"/>
      <c r="D24" s="30">
        <f t="shared" ca="1" si="0"/>
        <v>44419</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28" t="s">
        <v>49</v>
      </c>
      <c r="C25" s="35"/>
      <c r="D25" s="30">
        <f t="shared" ca="1" si="0"/>
        <v>44419</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36"/>
      <c r="C26" s="35"/>
      <c r="D26" s="30">
        <f t="shared" ca="1" si="0"/>
        <v>44419</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44419</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44419</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44419</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44419</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44419</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44419</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44419</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44419</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44419</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44419</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44419</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44419</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44419</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44419</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44419</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44419</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44419</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21" x14ac:dyDescent="0.3">
      <c r="B2" s="173" t="s">
        <v>50</v>
      </c>
      <c r="C2" s="169"/>
      <c r="D2" s="169"/>
      <c r="E2" s="169"/>
      <c r="F2" s="169"/>
      <c r="G2" s="169"/>
      <c r="H2" s="169"/>
      <c r="I2" s="169"/>
      <c r="J2" s="169"/>
      <c r="K2" s="169"/>
      <c r="L2" s="169"/>
      <c r="M2" s="169"/>
      <c r="N2" s="169"/>
      <c r="O2" s="169"/>
      <c r="P2" s="169"/>
      <c r="Q2" s="169"/>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c r="AP2" s="169"/>
      <c r="AQ2" s="169"/>
      <c r="AR2" s="169"/>
      <c r="AS2" s="169"/>
      <c r="AT2" s="169"/>
      <c r="AU2" s="169"/>
      <c r="AV2" s="169"/>
      <c r="AW2" s="169"/>
      <c r="AX2" s="169"/>
      <c r="AY2" s="169"/>
      <c r="AZ2" s="169"/>
      <c r="BA2" s="169"/>
      <c r="BB2" s="169"/>
      <c r="BC2" s="169"/>
      <c r="BD2" s="169"/>
      <c r="BE2" s="169"/>
      <c r="BF2" s="169"/>
      <c r="BG2" s="169"/>
      <c r="BH2" s="169"/>
      <c r="BI2" s="169"/>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51</v>
      </c>
      <c r="AL3" s="40"/>
      <c r="AM3" s="40"/>
      <c r="AN3" s="40"/>
      <c r="AO3" s="40"/>
      <c r="AP3" s="40"/>
      <c r="AQ3" s="40"/>
      <c r="AR3" s="40"/>
      <c r="AS3" s="40"/>
      <c r="AT3" s="174">
        <f>CARÁTULA!$H$14</f>
        <v>44228</v>
      </c>
      <c r="AU3" s="169"/>
      <c r="AV3" s="169"/>
      <c r="AW3" s="169"/>
      <c r="AX3" s="169"/>
      <c r="AY3" s="169"/>
      <c r="AZ3" s="169"/>
      <c r="BA3" s="175" t="s">
        <v>52</v>
      </c>
      <c r="BB3" s="176"/>
      <c r="BC3" s="176"/>
      <c r="BD3" s="176"/>
      <c r="BE3" s="177"/>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4">
        <f>CARÁTULA!$J$14</f>
        <v>44323</v>
      </c>
      <c r="AU4" s="169"/>
      <c r="AV4" s="169"/>
      <c r="AW4" s="169"/>
      <c r="AX4" s="169"/>
      <c r="AY4" s="169"/>
      <c r="AZ4" s="169"/>
      <c r="BA4" s="178">
        <f ca="1">AT4-AT5</f>
        <v>-96</v>
      </c>
      <c r="BB4" s="179"/>
      <c r="BC4" s="179"/>
      <c r="BD4" s="179"/>
      <c r="BE4" s="180"/>
    </row>
    <row r="5" spans="1:61" ht="12.75" customHeight="1" x14ac:dyDescent="0.3">
      <c r="B5" s="38" t="s">
        <v>22</v>
      </c>
      <c r="C5" s="42" t="str">
        <f>CARÁTULA!$C$23</f>
        <v>4to de Secundaria</v>
      </c>
      <c r="D5" s="40"/>
      <c r="E5" s="40"/>
      <c r="F5" s="40"/>
      <c r="G5" s="40"/>
      <c r="H5" s="40"/>
      <c r="I5" s="40"/>
      <c r="J5" s="40"/>
      <c r="K5" s="40"/>
      <c r="L5" s="40"/>
      <c r="M5" s="40"/>
      <c r="N5" s="40"/>
      <c r="O5" s="38"/>
      <c r="P5" s="38"/>
      <c r="Q5" s="38"/>
      <c r="R5" s="38"/>
      <c r="S5" s="43" t="s">
        <v>23</v>
      </c>
      <c r="T5" s="44"/>
      <c r="U5" s="44"/>
      <c r="V5" s="44"/>
      <c r="W5" s="44"/>
      <c r="X5" s="184">
        <f ca="1">TODAY()</f>
        <v>44419</v>
      </c>
      <c r="Y5" s="169"/>
      <c r="Z5" s="169"/>
      <c r="AA5" s="169"/>
      <c r="AB5" s="169"/>
      <c r="AC5" s="169"/>
      <c r="AD5" s="40"/>
      <c r="AE5" s="40"/>
      <c r="AF5" s="40"/>
      <c r="AG5" s="40"/>
      <c r="AH5" s="40"/>
      <c r="AI5" s="40"/>
      <c r="AJ5" s="40"/>
      <c r="AK5" s="45" t="s">
        <v>55</v>
      </c>
      <c r="AL5" s="46"/>
      <c r="AM5" s="46"/>
      <c r="AN5" s="46"/>
      <c r="AO5" s="46"/>
      <c r="AP5" s="46"/>
      <c r="AQ5" s="46"/>
      <c r="AR5" s="40"/>
      <c r="AS5" s="40"/>
      <c r="AT5" s="185">
        <f ca="1">TODAY()</f>
        <v>44419</v>
      </c>
      <c r="AU5" s="169"/>
      <c r="AV5" s="169"/>
      <c r="AW5" s="169"/>
      <c r="AX5" s="169"/>
      <c r="AY5" s="169"/>
      <c r="AZ5" s="169"/>
      <c r="BA5" s="181"/>
      <c r="BB5" s="182"/>
      <c r="BC5" s="182"/>
      <c r="BD5" s="182"/>
      <c r="BE5" s="183"/>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56</v>
      </c>
      <c r="B7" s="49" t="s">
        <v>57</v>
      </c>
      <c r="C7" s="50"/>
      <c r="D7" s="51">
        <v>44244</v>
      </c>
      <c r="E7" s="52">
        <v>44251</v>
      </c>
      <c r="F7" s="52">
        <v>44259</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58</v>
      </c>
      <c r="BB7" s="56" t="s">
        <v>59</v>
      </c>
      <c r="BC7" s="56" t="s">
        <v>60</v>
      </c>
      <c r="BD7" s="56" t="s">
        <v>61</v>
      </c>
      <c r="BE7" s="57" t="s">
        <v>62</v>
      </c>
    </row>
    <row r="8" spans="1:61" ht="12" customHeight="1" x14ac:dyDescent="0.3">
      <c r="A8" s="58">
        <v>1</v>
      </c>
      <c r="B8" s="59" t="str">
        <f>'C. FILIACION'!B8</f>
        <v>BENITEZ BALLESTEROS KAREN ARIANA</v>
      </c>
      <c r="C8" s="48"/>
      <c r="D8" s="60" t="s">
        <v>63</v>
      </c>
      <c r="E8" s="60" t="s">
        <v>63</v>
      </c>
      <c r="F8" s="60" t="s">
        <v>63</v>
      </c>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3</v>
      </c>
      <c r="BB8" s="48" t="str">
        <f t="shared" ref="BB8:BB43" si="1">IF(COUNTIF(C8:AZ8,"F")=0,"",COUNTIF(C8:AZ8,"F"))</f>
        <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3">
      <c r="A9" s="58">
        <v>2</v>
      </c>
      <c r="B9" s="59" t="str">
        <f>'C. FILIACION'!B9</f>
        <v>CALIZAYA MERCADO AXEL GABRIEL</v>
      </c>
      <c r="C9" s="48"/>
      <c r="D9" s="60" t="s">
        <v>64</v>
      </c>
      <c r="E9" s="60" t="s">
        <v>64</v>
      </c>
      <c r="F9" s="60" t="s">
        <v>63</v>
      </c>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1</v>
      </c>
      <c r="BB9" s="48">
        <f t="shared" si="1"/>
        <v>2</v>
      </c>
      <c r="BC9" s="48" t="str">
        <f t="shared" si="2"/>
        <v/>
      </c>
      <c r="BD9" s="48" t="str">
        <f t="shared" si="3"/>
        <v/>
      </c>
      <c r="BE9" s="63" t="str">
        <f t="shared" si="4"/>
        <v/>
      </c>
    </row>
    <row r="10" spans="1:61" ht="12" customHeight="1" x14ac:dyDescent="0.3">
      <c r="A10" s="58">
        <v>3</v>
      </c>
      <c r="B10" s="59" t="str">
        <f>'C. FILIACION'!B10</f>
        <v>CANO GUZMAN FABRIZIO RODRIGO</v>
      </c>
      <c r="C10" s="48"/>
      <c r="D10" s="60" t="s">
        <v>64</v>
      </c>
      <c r="E10" s="60" t="s">
        <v>64</v>
      </c>
      <c r="F10" s="60" t="s">
        <v>63</v>
      </c>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1</v>
      </c>
      <c r="BB10" s="48">
        <f t="shared" si="1"/>
        <v>2</v>
      </c>
      <c r="BC10" s="48" t="str">
        <f t="shared" si="2"/>
        <v/>
      </c>
      <c r="BD10" s="48" t="str">
        <f t="shared" si="3"/>
        <v/>
      </c>
      <c r="BE10" s="63" t="str">
        <f t="shared" si="4"/>
        <v/>
      </c>
    </row>
    <row r="11" spans="1:61" ht="12" customHeight="1" x14ac:dyDescent="0.3">
      <c r="A11" s="58">
        <v>4</v>
      </c>
      <c r="B11" s="59" t="str">
        <f>'C. FILIACION'!B11</f>
        <v>CHOQUE LAURA CARLOS EDUARDO</v>
      </c>
      <c r="C11" s="48"/>
      <c r="D11" s="60" t="s">
        <v>63</v>
      </c>
      <c r="E11" s="60" t="s">
        <v>63</v>
      </c>
      <c r="F11" s="60" t="s">
        <v>63</v>
      </c>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t="str">
        <f t="shared" si="3"/>
        <v/>
      </c>
      <c r="BE11" s="63" t="str">
        <f t="shared" si="4"/>
        <v/>
      </c>
    </row>
    <row r="12" spans="1:61" ht="12" customHeight="1" x14ac:dyDescent="0.3">
      <c r="A12" s="58">
        <v>5</v>
      </c>
      <c r="B12" s="59" t="str">
        <f>'C. FILIACION'!B12</f>
        <v>CONDORI GALARZA DENSEL ALEXSIS</v>
      </c>
      <c r="C12" s="48"/>
      <c r="D12" s="60" t="s">
        <v>63</v>
      </c>
      <c r="E12" s="60" t="s">
        <v>63</v>
      </c>
      <c r="F12" s="60" t="s">
        <v>63</v>
      </c>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t="str">
        <f t="shared" si="3"/>
        <v/>
      </c>
      <c r="BE12" s="63" t="str">
        <f t="shared" si="4"/>
        <v/>
      </c>
    </row>
    <row r="13" spans="1:61" ht="12" customHeight="1" x14ac:dyDescent="0.3">
      <c r="A13" s="58">
        <v>6</v>
      </c>
      <c r="B13" s="59" t="str">
        <f>'C. FILIACION'!B13</f>
        <v>DAZA RAMIREZ KALEP MATEO</v>
      </c>
      <c r="C13" s="48"/>
      <c r="D13" s="60" t="s">
        <v>63</v>
      </c>
      <c r="E13" s="60" t="s">
        <v>63</v>
      </c>
      <c r="F13" s="60" t="s">
        <v>63</v>
      </c>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t="str">
        <f t="shared" si="3"/>
        <v/>
      </c>
      <c r="BE13" s="63" t="str">
        <f t="shared" si="4"/>
        <v/>
      </c>
    </row>
    <row r="14" spans="1:61" ht="12" customHeight="1" x14ac:dyDescent="0.3">
      <c r="A14" s="58">
        <v>7</v>
      </c>
      <c r="B14" s="59" t="str">
        <f>'C. FILIACION'!B14</f>
        <v>ESTRADA FUNES NAZARETH</v>
      </c>
      <c r="C14" s="48"/>
      <c r="D14" s="60" t="s">
        <v>63</v>
      </c>
      <c r="E14" s="60" t="s">
        <v>63</v>
      </c>
      <c r="F14" s="60" t="s">
        <v>63</v>
      </c>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t="str">
        <f t="shared" si="3"/>
        <v/>
      </c>
      <c r="BE14" s="63" t="str">
        <f t="shared" si="4"/>
        <v/>
      </c>
    </row>
    <row r="15" spans="1:61" ht="12" customHeight="1" x14ac:dyDescent="0.3">
      <c r="A15" s="58">
        <v>8</v>
      </c>
      <c r="B15" s="59" t="str">
        <f>'C. FILIACION'!B15</f>
        <v>FLORES VILLEGAS CARLOS IVAN</v>
      </c>
      <c r="C15" s="48"/>
      <c r="D15" s="60" t="s">
        <v>63</v>
      </c>
      <c r="E15" s="60" t="s">
        <v>63</v>
      </c>
      <c r="F15" s="60" t="s">
        <v>63</v>
      </c>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t="str">
        <f t="shared" si="3"/>
        <v/>
      </c>
      <c r="BE15" s="63" t="str">
        <f t="shared" si="4"/>
        <v/>
      </c>
    </row>
    <row r="16" spans="1:61" ht="12" customHeight="1" x14ac:dyDescent="0.3">
      <c r="A16" s="58">
        <v>9</v>
      </c>
      <c r="B16" s="59" t="str">
        <f>'C. FILIACION'!B16</f>
        <v>FRANCISCO RUIZ LUCERO</v>
      </c>
      <c r="C16" s="48"/>
      <c r="D16" s="60" t="s">
        <v>63</v>
      </c>
      <c r="E16" s="60" t="s">
        <v>63</v>
      </c>
      <c r="F16" s="60" t="s">
        <v>63</v>
      </c>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3</v>
      </c>
      <c r="BB16" s="48" t="str">
        <f t="shared" si="1"/>
        <v/>
      </c>
      <c r="BC16" s="48" t="str">
        <f t="shared" si="2"/>
        <v/>
      </c>
      <c r="BD16" s="48" t="str">
        <f t="shared" si="3"/>
        <v/>
      </c>
      <c r="BE16" s="63" t="str">
        <f t="shared" si="4"/>
        <v/>
      </c>
    </row>
    <row r="17" spans="1:57" ht="12" customHeight="1" x14ac:dyDescent="0.3">
      <c r="A17" s="58">
        <v>10</v>
      </c>
      <c r="B17" s="59" t="str">
        <f>'C. FILIACION'!B17</f>
        <v>IBARRA VINO ELOY INTI</v>
      </c>
      <c r="C17" s="48"/>
      <c r="D17" s="60" t="s">
        <v>63</v>
      </c>
      <c r="E17" s="60" t="s">
        <v>63</v>
      </c>
      <c r="F17" s="60" t="s">
        <v>63</v>
      </c>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t="str">
        <f t="shared" si="3"/>
        <v/>
      </c>
      <c r="BE17" s="63" t="str">
        <f t="shared" si="4"/>
        <v/>
      </c>
    </row>
    <row r="18" spans="1:57" ht="12" customHeight="1" x14ac:dyDescent="0.3">
      <c r="A18" s="58">
        <v>11</v>
      </c>
      <c r="B18" s="59" t="str">
        <f>'C. FILIACION'!B18</f>
        <v>LOPEZ BLANCO SOFIA FELEN</v>
      </c>
      <c r="C18" s="48"/>
      <c r="D18" s="60" t="s">
        <v>63</v>
      </c>
      <c r="E18" s="60" t="s">
        <v>63</v>
      </c>
      <c r="F18" s="60" t="s">
        <v>63</v>
      </c>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t="str">
        <f t="shared" si="3"/>
        <v/>
      </c>
      <c r="BE18" s="63" t="str">
        <f t="shared" si="4"/>
        <v/>
      </c>
    </row>
    <row r="19" spans="1:57" ht="12" customHeight="1" x14ac:dyDescent="0.3">
      <c r="A19" s="58">
        <v>12</v>
      </c>
      <c r="B19" s="59" t="str">
        <f>'C. FILIACION'!B19</f>
        <v>LOPEZ PACO RODRIGO ADRIAN</v>
      </c>
      <c r="C19" s="48"/>
      <c r="D19" s="60" t="s">
        <v>63</v>
      </c>
      <c r="E19" s="60" t="s">
        <v>63</v>
      </c>
      <c r="F19" s="60" t="s">
        <v>63</v>
      </c>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t="str">
        <f t="shared" si="3"/>
        <v/>
      </c>
      <c r="BE19" s="63" t="str">
        <f t="shared" si="4"/>
        <v/>
      </c>
    </row>
    <row r="20" spans="1:57" ht="12" customHeight="1" x14ac:dyDescent="0.3">
      <c r="A20" s="58">
        <v>13</v>
      </c>
      <c r="B20" s="59" t="str">
        <f>'C. FILIACION'!B20</f>
        <v>LOPEZ VERA MILENCA</v>
      </c>
      <c r="C20" s="48"/>
      <c r="D20" s="60" t="s">
        <v>63</v>
      </c>
      <c r="E20" s="60" t="s">
        <v>63</v>
      </c>
      <c r="F20" s="60" t="s">
        <v>63</v>
      </c>
      <c r="G20" s="48"/>
      <c r="H20" s="48"/>
      <c r="I20" s="60"/>
      <c r="J20" s="64"/>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t="str">
        <f t="shared" si="3"/>
        <v/>
      </c>
      <c r="BE20" s="63" t="str">
        <f t="shared" si="4"/>
        <v/>
      </c>
    </row>
    <row r="21" spans="1:57" ht="12" customHeight="1" x14ac:dyDescent="0.3">
      <c r="A21" s="58">
        <v>14</v>
      </c>
      <c r="B21" s="59" t="str">
        <f>'C. FILIACION'!B21</f>
        <v>MEDINA CHOQUE JOSE ROBERTO</v>
      </c>
      <c r="C21" s="48"/>
      <c r="D21" s="60" t="s">
        <v>63</v>
      </c>
      <c r="E21" s="60" t="s">
        <v>63</v>
      </c>
      <c r="F21" s="60" t="s">
        <v>63</v>
      </c>
      <c r="G21" s="48"/>
      <c r="H21" s="48"/>
      <c r="I21" s="60"/>
      <c r="J21" s="60"/>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3</v>
      </c>
      <c r="BB21" s="48" t="str">
        <f t="shared" si="1"/>
        <v/>
      </c>
      <c r="BC21" s="48" t="str">
        <f t="shared" si="2"/>
        <v/>
      </c>
      <c r="BD21" s="48" t="str">
        <f t="shared" si="3"/>
        <v/>
      </c>
      <c r="BE21" s="63" t="str">
        <f t="shared" si="4"/>
        <v/>
      </c>
    </row>
    <row r="22" spans="1:57" ht="12" customHeight="1" x14ac:dyDescent="0.3">
      <c r="A22" s="58">
        <v>15</v>
      </c>
      <c r="B22" s="59" t="str">
        <f>'C. FILIACION'!B22</f>
        <v>MIRABAL AYANOME JOSE ALFREDO</v>
      </c>
      <c r="C22" s="48"/>
      <c r="D22" s="60" t="s">
        <v>63</v>
      </c>
      <c r="E22" s="60" t="s">
        <v>64</v>
      </c>
      <c r="F22" s="60" t="s">
        <v>63</v>
      </c>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2</v>
      </c>
      <c r="BB22" s="48">
        <f t="shared" si="1"/>
        <v>1</v>
      </c>
      <c r="BC22" s="48" t="str">
        <f t="shared" si="2"/>
        <v/>
      </c>
      <c r="BD22" s="48" t="str">
        <f t="shared" si="3"/>
        <v/>
      </c>
      <c r="BE22" s="63" t="str">
        <f t="shared" si="4"/>
        <v/>
      </c>
    </row>
    <row r="23" spans="1:57" ht="12" customHeight="1" x14ac:dyDescent="0.3">
      <c r="A23" s="58">
        <v>16</v>
      </c>
      <c r="B23" s="59" t="str">
        <f>'C. FILIACION'!B23</f>
        <v>NINA RUEDA ESTEFANY DANIELA</v>
      </c>
      <c r="C23" s="48"/>
      <c r="D23" s="60" t="s">
        <v>63</v>
      </c>
      <c r="E23" s="60" t="s">
        <v>63</v>
      </c>
      <c r="F23" s="60" t="s">
        <v>63</v>
      </c>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t="str">
        <f t="shared" si="3"/>
        <v/>
      </c>
      <c r="BE23" s="63" t="str">
        <f t="shared" si="4"/>
        <v/>
      </c>
    </row>
    <row r="24" spans="1:57" ht="12" customHeight="1" x14ac:dyDescent="0.3">
      <c r="A24" s="58">
        <v>17</v>
      </c>
      <c r="B24" s="59" t="str">
        <f>'C. FILIACION'!B24</f>
        <v>PORTILLO QUISPE JORGE LUIS</v>
      </c>
      <c r="C24" s="48"/>
      <c r="D24" s="60" t="s">
        <v>63</v>
      </c>
      <c r="E24" s="60" t="s">
        <v>63</v>
      </c>
      <c r="F24" s="60" t="s">
        <v>63</v>
      </c>
      <c r="G24" s="48"/>
      <c r="H24" s="48"/>
      <c r="I24" s="60"/>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3</v>
      </c>
      <c r="BB24" s="48" t="str">
        <f t="shared" si="1"/>
        <v/>
      </c>
      <c r="BC24" s="48" t="str">
        <f t="shared" si="2"/>
        <v/>
      </c>
      <c r="BD24" s="48" t="str">
        <f t="shared" si="3"/>
        <v/>
      </c>
      <c r="BE24" s="63" t="str">
        <f t="shared" si="4"/>
        <v/>
      </c>
    </row>
    <row r="25" spans="1:57" ht="12" customHeight="1" x14ac:dyDescent="0.3">
      <c r="A25" s="58">
        <v>18</v>
      </c>
      <c r="B25" s="59" t="str">
        <f>'C. FILIACION'!B25</f>
        <v>TORREZ PACO CARLA MILENKA</v>
      </c>
      <c r="C25" s="48"/>
      <c r="D25" s="60" t="s">
        <v>63</v>
      </c>
      <c r="E25" s="60" t="s">
        <v>63</v>
      </c>
      <c r="F25" s="60" t="s">
        <v>63</v>
      </c>
      <c r="G25" s="48"/>
      <c r="H25" s="48"/>
      <c r="I25" s="60"/>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3</v>
      </c>
      <c r="BB25" s="48" t="str">
        <f t="shared" si="1"/>
        <v/>
      </c>
      <c r="BC25" s="48" t="str">
        <f t="shared" si="2"/>
        <v/>
      </c>
      <c r="BD25" s="48" t="str">
        <f t="shared" si="3"/>
        <v/>
      </c>
      <c r="BE25" s="63" t="str">
        <f t="shared" si="4"/>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A7" workbookViewId="0">
      <selection activeCell="H20" sqref="H20"/>
    </sheetView>
  </sheetViews>
  <sheetFormatPr baseColWidth="10" defaultColWidth="9.25" defaultRowHeight="15" customHeight="1" x14ac:dyDescent="0.3"/>
  <cols>
    <col min="1" max="1" width="2.08203125" customWidth="1"/>
    <col min="2" max="2" width="17.58203125" customWidth="1"/>
    <col min="3" max="57" width="2.08203125" customWidth="1"/>
    <col min="58" max="61" width="1.6640625" customWidth="1"/>
  </cols>
  <sheetData>
    <row r="1" spans="1:61" ht="4.5" customHeight="1" x14ac:dyDescent="0.3"/>
    <row r="2" spans="1:61" ht="12.75" customHeight="1" x14ac:dyDescent="0.3">
      <c r="B2" s="173" t="s">
        <v>65</v>
      </c>
      <c r="C2" s="169"/>
      <c r="D2" s="169"/>
      <c r="E2" s="169"/>
      <c r="F2" s="169"/>
      <c r="G2" s="169"/>
      <c r="H2" s="169"/>
      <c r="I2" s="169"/>
      <c r="J2" s="169"/>
      <c r="K2" s="169"/>
      <c r="L2" s="169"/>
      <c r="M2" s="169"/>
      <c r="N2" s="169"/>
      <c r="O2" s="169"/>
      <c r="P2" s="169"/>
      <c r="Q2" s="169"/>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c r="AP2" s="169"/>
      <c r="AQ2" s="169"/>
      <c r="AR2" s="169"/>
      <c r="AS2" s="169"/>
      <c r="AT2" s="169"/>
      <c r="AU2" s="169"/>
      <c r="AV2" s="169"/>
      <c r="AW2" s="169"/>
      <c r="AX2" s="169"/>
      <c r="AY2" s="169"/>
      <c r="AZ2" s="169"/>
      <c r="BA2" s="169"/>
      <c r="BB2" s="169"/>
      <c r="BC2" s="169"/>
      <c r="BD2" s="169"/>
      <c r="BE2" s="169"/>
      <c r="BF2" s="169"/>
      <c r="BG2" s="169"/>
      <c r="BH2" s="169"/>
      <c r="BI2" s="169"/>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51</v>
      </c>
      <c r="AL3" s="40"/>
      <c r="AM3" s="40"/>
      <c r="AN3" s="40"/>
      <c r="AO3" s="40"/>
      <c r="AP3" s="40"/>
      <c r="AQ3" s="40"/>
      <c r="AR3" s="40"/>
      <c r="AS3" s="40"/>
      <c r="AT3" s="174">
        <f>CARÁTULA!$H$19</f>
        <v>44326</v>
      </c>
      <c r="AU3" s="169"/>
      <c r="AV3" s="169"/>
      <c r="AW3" s="169"/>
      <c r="AX3" s="169"/>
      <c r="AY3" s="169"/>
      <c r="AZ3" s="169"/>
      <c r="BA3" s="175" t="s">
        <v>52</v>
      </c>
      <c r="BB3" s="176"/>
      <c r="BC3" s="176"/>
      <c r="BD3" s="176"/>
      <c r="BE3" s="177"/>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4">
        <f>CARÁTULA!$J$19</f>
        <v>44439</v>
      </c>
      <c r="AU4" s="169"/>
      <c r="AV4" s="169"/>
      <c r="AW4" s="169"/>
      <c r="AX4" s="169"/>
      <c r="AY4" s="169"/>
      <c r="AZ4" s="169"/>
      <c r="BA4" s="186">
        <f ca="1">AT4-AT5</f>
        <v>20</v>
      </c>
      <c r="BB4" s="179"/>
      <c r="BC4" s="179"/>
      <c r="BD4" s="179"/>
      <c r="BE4" s="180"/>
    </row>
    <row r="5" spans="1:61" ht="12.75" customHeight="1" x14ac:dyDescent="0.3">
      <c r="B5" s="38" t="s">
        <v>22</v>
      </c>
      <c r="C5" s="42" t="str">
        <f>CARÁTULA!$C$23</f>
        <v>4to de Secundaria</v>
      </c>
      <c r="D5" s="40"/>
      <c r="E5" s="40"/>
      <c r="F5" s="40"/>
      <c r="G5" s="40"/>
      <c r="H5" s="40"/>
      <c r="I5" s="40"/>
      <c r="J5" s="40"/>
      <c r="K5" s="40"/>
      <c r="L5" s="40"/>
      <c r="M5" s="40"/>
      <c r="N5" s="40"/>
      <c r="O5" s="38"/>
      <c r="P5" s="38"/>
      <c r="Q5" s="38"/>
      <c r="R5" s="38"/>
      <c r="S5" s="43" t="s">
        <v>23</v>
      </c>
      <c r="T5" s="44"/>
      <c r="U5" s="44"/>
      <c r="V5" s="44"/>
      <c r="W5" s="44"/>
      <c r="X5" s="187">
        <f ca="1">TODAY()</f>
        <v>44419</v>
      </c>
      <c r="Y5" s="169"/>
      <c r="Z5" s="169"/>
      <c r="AA5" s="169"/>
      <c r="AB5" s="169"/>
      <c r="AC5" s="169"/>
      <c r="AD5" s="40"/>
      <c r="AE5" s="40"/>
      <c r="AF5" s="40"/>
      <c r="AG5" s="40"/>
      <c r="AH5" s="40"/>
      <c r="AI5" s="40"/>
      <c r="AJ5" s="40"/>
      <c r="AK5" s="45" t="s">
        <v>55</v>
      </c>
      <c r="AL5" s="46"/>
      <c r="AM5" s="46"/>
      <c r="AN5" s="46"/>
      <c r="AO5" s="46"/>
      <c r="AP5" s="46"/>
      <c r="AQ5" s="46"/>
      <c r="AR5" s="40"/>
      <c r="AS5" s="40"/>
      <c r="AT5" s="185">
        <f ca="1">TODAY()</f>
        <v>44419</v>
      </c>
      <c r="AU5" s="169"/>
      <c r="AV5" s="169"/>
      <c r="AW5" s="169"/>
      <c r="AX5" s="169"/>
      <c r="AY5" s="169"/>
      <c r="AZ5" s="169"/>
      <c r="BA5" s="181"/>
      <c r="BB5" s="182"/>
      <c r="BC5" s="182"/>
      <c r="BD5" s="182"/>
      <c r="BE5" s="183"/>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3">
      <c r="A7" s="278" t="s">
        <v>56</v>
      </c>
      <c r="B7" s="49" t="s">
        <v>57</v>
      </c>
      <c r="C7" s="275" t="s">
        <v>186</v>
      </c>
      <c r="D7" s="276" t="s">
        <v>187</v>
      </c>
      <c r="E7" s="275" t="s">
        <v>188</v>
      </c>
      <c r="F7" s="275" t="s">
        <v>189</v>
      </c>
      <c r="G7" s="50" t="s">
        <v>193</v>
      </c>
      <c r="H7" s="50" t="s">
        <v>194</v>
      </c>
      <c r="I7" s="50" t="s">
        <v>195</v>
      </c>
      <c r="J7" s="50" t="s">
        <v>196</v>
      </c>
      <c r="K7" s="50" t="s">
        <v>197</v>
      </c>
      <c r="L7" s="53" t="s">
        <v>198</v>
      </c>
      <c r="M7" s="54" t="s">
        <v>199</v>
      </c>
      <c r="N7" s="287" t="s">
        <v>200</v>
      </c>
      <c r="O7" s="287" t="s">
        <v>201</v>
      </c>
      <c r="P7" s="287" t="s">
        <v>202</v>
      </c>
      <c r="Q7" s="287" t="s">
        <v>203</v>
      </c>
      <c r="R7" s="95" t="s">
        <v>204</v>
      </c>
      <c r="S7" s="53" t="s">
        <v>205</v>
      </c>
      <c r="T7" s="53" t="s">
        <v>206</v>
      </c>
      <c r="U7" s="53" t="s">
        <v>207</v>
      </c>
      <c r="V7" s="53" t="s">
        <v>208</v>
      </c>
      <c r="W7" s="53" t="s">
        <v>209</v>
      </c>
      <c r="X7" s="53" t="s">
        <v>210</v>
      </c>
      <c r="Y7" s="53" t="s">
        <v>211</v>
      </c>
      <c r="Z7" s="53" t="s">
        <v>212</v>
      </c>
      <c r="AA7" s="53" t="s">
        <v>213</v>
      </c>
      <c r="AB7" s="53" t="s">
        <v>214</v>
      </c>
      <c r="AC7" s="53" t="s">
        <v>215</v>
      </c>
      <c r="AD7" s="53" t="s">
        <v>216</v>
      </c>
      <c r="AE7" s="53" t="s">
        <v>217</v>
      </c>
      <c r="AF7" s="53" t="s">
        <v>218</v>
      </c>
      <c r="AG7" s="53" t="s">
        <v>219</v>
      </c>
      <c r="AH7" s="53" t="s">
        <v>220</v>
      </c>
      <c r="AI7" s="53" t="s">
        <v>221</v>
      </c>
      <c r="AJ7" s="53" t="s">
        <v>222</v>
      </c>
      <c r="AK7" s="53" t="s">
        <v>223</v>
      </c>
      <c r="AL7" s="53" t="s">
        <v>224</v>
      </c>
      <c r="AM7" s="53" t="s">
        <v>225</v>
      </c>
      <c r="AN7" s="53" t="s">
        <v>226</v>
      </c>
      <c r="AO7" s="53" t="s">
        <v>227</v>
      </c>
      <c r="AP7" s="53" t="s">
        <v>228</v>
      </c>
      <c r="AQ7" s="53" t="s">
        <v>229</v>
      </c>
      <c r="AR7" s="53" t="s">
        <v>230</v>
      </c>
      <c r="AS7" s="53" t="s">
        <v>231</v>
      </c>
      <c r="AT7" s="53" t="s">
        <v>232</v>
      </c>
      <c r="AU7" s="53" t="s">
        <v>233</v>
      </c>
      <c r="AV7" s="53" t="s">
        <v>234</v>
      </c>
      <c r="AW7" s="53" t="s">
        <v>235</v>
      </c>
      <c r="AX7" s="53" t="s">
        <v>236</v>
      </c>
      <c r="AY7" s="53" t="s">
        <v>237</v>
      </c>
      <c r="AZ7" s="54" t="s">
        <v>238</v>
      </c>
      <c r="BA7" s="55" t="s">
        <v>66</v>
      </c>
      <c r="BB7" s="56" t="s">
        <v>67</v>
      </c>
      <c r="BC7" s="56" t="s">
        <v>68</v>
      </c>
      <c r="BD7" s="56" t="s">
        <v>69</v>
      </c>
      <c r="BE7" s="280" t="s">
        <v>62</v>
      </c>
    </row>
    <row r="8" spans="1:61" ht="12" customHeight="1" x14ac:dyDescent="0.3">
      <c r="A8" s="279">
        <v>1</v>
      </c>
      <c r="B8" s="59" t="str">
        <f>'C. FILIACION'!B8</f>
        <v>BENITEZ BALLESTEROS KAREN ARIANA</v>
      </c>
      <c r="C8" s="48" t="s">
        <v>63</v>
      </c>
      <c r="D8" s="48" t="s">
        <v>63</v>
      </c>
      <c r="E8" s="48" t="s">
        <v>64</v>
      </c>
      <c r="F8" s="64" t="s">
        <v>63</v>
      </c>
      <c r="G8" s="48" t="s">
        <v>63</v>
      </c>
      <c r="H8" s="48" t="s">
        <v>64</v>
      </c>
      <c r="I8" s="48" t="s">
        <v>169</v>
      </c>
      <c r="J8" s="48" t="s">
        <v>63</v>
      </c>
      <c r="K8" s="48" t="s">
        <v>63</v>
      </c>
      <c r="L8" s="48"/>
      <c r="M8" s="48"/>
      <c r="N8" s="286"/>
      <c r="O8" s="286"/>
      <c r="P8" s="286"/>
      <c r="Q8" s="286"/>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25" si="0">IF(COUNTIF(C8:AZ8,"A")=0,"0",COUNTIF(C8:AZ8,"A"))</f>
        <v>6</v>
      </c>
      <c r="BB8" s="48">
        <f t="shared" ref="BB8:BB25" si="1">IF(COUNTIF(C8:AZ8,"F")=0,"0",COUNTIF(C8:AZ8,"F"))</f>
        <v>2</v>
      </c>
      <c r="BC8" s="48">
        <f t="shared" ref="BC8:BC25" si="2">IF(COUNTIF(C8:AZ8,"R")=0,"0",COUNTIF(C8:AZ8,"R"))</f>
        <v>1</v>
      </c>
      <c r="BD8" s="48" t="str">
        <f t="shared" ref="BD8:BD25" si="3">IF(COUNTIF(C8:AZ8,"L")=0,"0",COUNTIF(C8:AZ8,"L"))</f>
        <v>0</v>
      </c>
      <c r="BE8" s="155">
        <f t="shared" ref="BE8:BE25" si="4">SUM(BA8:BD8)</f>
        <v>9</v>
      </c>
    </row>
    <row r="9" spans="1:61" ht="12" customHeight="1" x14ac:dyDescent="0.3">
      <c r="A9" s="279">
        <v>2</v>
      </c>
      <c r="B9" s="59" t="str">
        <f>'C. FILIACION'!B9</f>
        <v>CALIZAYA MERCADO AXEL GABRIEL</v>
      </c>
      <c r="C9" s="48" t="s">
        <v>63</v>
      </c>
      <c r="D9" s="48" t="s">
        <v>63</v>
      </c>
      <c r="E9" s="48" t="s">
        <v>63</v>
      </c>
      <c r="F9" s="64" t="s">
        <v>63</v>
      </c>
      <c r="G9" s="48" t="s">
        <v>63</v>
      </c>
      <c r="H9" s="48" t="s">
        <v>63</v>
      </c>
      <c r="I9" s="48" t="s">
        <v>169</v>
      </c>
      <c r="J9" s="48" t="s">
        <v>169</v>
      </c>
      <c r="K9" s="48" t="s">
        <v>63</v>
      </c>
      <c r="L9" s="48" t="s">
        <v>170</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7</v>
      </c>
      <c r="BB9" s="48" t="str">
        <f t="shared" si="1"/>
        <v>0</v>
      </c>
      <c r="BC9" s="48">
        <f t="shared" si="2"/>
        <v>2</v>
      </c>
      <c r="BD9" s="48" t="str">
        <f t="shared" si="3"/>
        <v>0</v>
      </c>
      <c r="BE9" s="155">
        <f t="shared" si="4"/>
        <v>9</v>
      </c>
    </row>
    <row r="10" spans="1:61" ht="12" customHeight="1" x14ac:dyDescent="0.3">
      <c r="A10" s="279">
        <v>3</v>
      </c>
      <c r="B10" s="59" t="str">
        <f>'C. FILIACION'!B10</f>
        <v>CANO GUZMAN FABRIZIO RODRIGO</v>
      </c>
      <c r="C10" s="48" t="s">
        <v>63</v>
      </c>
      <c r="D10" s="48" t="s">
        <v>63</v>
      </c>
      <c r="E10" s="48" t="s">
        <v>63</v>
      </c>
      <c r="F10" s="64" t="s">
        <v>63</v>
      </c>
      <c r="G10" s="48" t="s">
        <v>63</v>
      </c>
      <c r="H10" s="48" t="s">
        <v>63</v>
      </c>
      <c r="I10" s="48" t="s">
        <v>63</v>
      </c>
      <c r="J10" s="48" t="s">
        <v>169</v>
      </c>
      <c r="K10" s="48" t="s">
        <v>63</v>
      </c>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8</v>
      </c>
      <c r="BB10" s="48" t="str">
        <f t="shared" si="1"/>
        <v>0</v>
      </c>
      <c r="BC10" s="48">
        <f t="shared" si="2"/>
        <v>1</v>
      </c>
      <c r="BD10" s="48" t="str">
        <f t="shared" si="3"/>
        <v>0</v>
      </c>
      <c r="BE10" s="155">
        <f t="shared" si="4"/>
        <v>9</v>
      </c>
    </row>
    <row r="11" spans="1:61" ht="12" customHeight="1" x14ac:dyDescent="0.3">
      <c r="A11" s="279">
        <v>4</v>
      </c>
      <c r="B11" s="154" t="str">
        <f>'C. FILIACION'!B11</f>
        <v>CHOQUE LAURA CARLOS EDUARDO</v>
      </c>
      <c r="C11" s="48" t="s">
        <v>64</v>
      </c>
      <c r="D11" s="48" t="s">
        <v>64</v>
      </c>
      <c r="E11" s="48" t="s">
        <v>64</v>
      </c>
      <c r="F11" s="64" t="s">
        <v>64</v>
      </c>
      <c r="G11" s="48" t="s">
        <v>64</v>
      </c>
      <c r="H11" s="48" t="s">
        <v>64</v>
      </c>
      <c r="I11" s="48" t="s">
        <v>64</v>
      </c>
      <c r="J11" s="48" t="s">
        <v>64</v>
      </c>
      <c r="K11" s="48" t="s">
        <v>64</v>
      </c>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0</v>
      </c>
      <c r="BB11" s="48">
        <f t="shared" si="1"/>
        <v>9</v>
      </c>
      <c r="BC11" s="48" t="str">
        <f t="shared" si="2"/>
        <v>0</v>
      </c>
      <c r="BD11" s="48" t="str">
        <f t="shared" si="3"/>
        <v>0</v>
      </c>
      <c r="BE11" s="155">
        <f t="shared" si="4"/>
        <v>9</v>
      </c>
    </row>
    <row r="12" spans="1:61" ht="12" customHeight="1" x14ac:dyDescent="0.3">
      <c r="A12" s="279">
        <v>5</v>
      </c>
      <c r="B12" s="59" t="str">
        <f>'C. FILIACION'!B12</f>
        <v>CONDORI GALARZA DENSEL ALEXSIS</v>
      </c>
      <c r="C12" s="48" t="s">
        <v>63</v>
      </c>
      <c r="D12" s="48" t="s">
        <v>63</v>
      </c>
      <c r="E12" s="48" t="s">
        <v>63</v>
      </c>
      <c r="F12" s="64" t="s">
        <v>63</v>
      </c>
      <c r="G12" s="48" t="s">
        <v>63</v>
      </c>
      <c r="H12" s="48" t="s">
        <v>63</v>
      </c>
      <c r="I12" s="48" t="s">
        <v>63</v>
      </c>
      <c r="J12" s="48" t="s">
        <v>63</v>
      </c>
      <c r="K12" s="48" t="s">
        <v>63</v>
      </c>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9</v>
      </c>
      <c r="BB12" s="48" t="str">
        <f t="shared" si="1"/>
        <v>0</v>
      </c>
      <c r="BC12" s="48" t="str">
        <f t="shared" si="2"/>
        <v>0</v>
      </c>
      <c r="BD12" s="48" t="str">
        <f t="shared" si="3"/>
        <v>0</v>
      </c>
      <c r="BE12" s="155">
        <f t="shared" si="4"/>
        <v>9</v>
      </c>
    </row>
    <row r="13" spans="1:61" ht="12" customHeight="1" x14ac:dyDescent="0.3">
      <c r="A13" s="279">
        <v>6</v>
      </c>
      <c r="B13" s="154" t="str">
        <f>'C. FILIACION'!B13</f>
        <v>DAZA RAMIREZ KALEP MATEO</v>
      </c>
      <c r="C13" s="48" t="s">
        <v>64</v>
      </c>
      <c r="D13" s="48" t="s">
        <v>64</v>
      </c>
      <c r="E13" s="48" t="s">
        <v>64</v>
      </c>
      <c r="F13" s="64" t="s">
        <v>64</v>
      </c>
      <c r="G13" s="48" t="s">
        <v>64</v>
      </c>
      <c r="H13" s="48" t="s">
        <v>64</v>
      </c>
      <c r="I13" s="48" t="s">
        <v>64</v>
      </c>
      <c r="J13" s="48" t="s">
        <v>64</v>
      </c>
      <c r="K13" s="48" t="s">
        <v>64</v>
      </c>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0</v>
      </c>
      <c r="BB13" s="48">
        <f t="shared" si="1"/>
        <v>9</v>
      </c>
      <c r="BC13" s="48" t="str">
        <f t="shared" si="2"/>
        <v>0</v>
      </c>
      <c r="BD13" s="48" t="str">
        <f t="shared" si="3"/>
        <v>0</v>
      </c>
      <c r="BE13" s="155">
        <f t="shared" si="4"/>
        <v>9</v>
      </c>
    </row>
    <row r="14" spans="1:61" ht="12" customHeight="1" x14ac:dyDescent="0.3">
      <c r="A14" s="279">
        <v>7</v>
      </c>
      <c r="B14" s="59" t="str">
        <f>'C. FILIACION'!B14</f>
        <v>ESTRADA FUNES NAZARETH</v>
      </c>
      <c r="C14" s="48" t="s">
        <v>63</v>
      </c>
      <c r="D14" s="48" t="s">
        <v>63</v>
      </c>
      <c r="E14" s="48" t="s">
        <v>63</v>
      </c>
      <c r="F14" s="64" t="s">
        <v>63</v>
      </c>
      <c r="G14" s="48" t="s">
        <v>63</v>
      </c>
      <c r="H14" s="48" t="s">
        <v>63</v>
      </c>
      <c r="I14" s="48" t="s">
        <v>63</v>
      </c>
      <c r="J14" s="48" t="s">
        <v>63</v>
      </c>
      <c r="K14" s="48" t="s">
        <v>63</v>
      </c>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9</v>
      </c>
      <c r="BB14" s="48" t="str">
        <f t="shared" si="1"/>
        <v>0</v>
      </c>
      <c r="BC14" s="48" t="str">
        <f t="shared" si="2"/>
        <v>0</v>
      </c>
      <c r="BD14" s="48" t="str">
        <f t="shared" si="3"/>
        <v>0</v>
      </c>
      <c r="BE14" s="155">
        <f t="shared" si="4"/>
        <v>9</v>
      </c>
    </row>
    <row r="15" spans="1:61" ht="12" customHeight="1" x14ac:dyDescent="0.3">
      <c r="A15" s="279">
        <v>8</v>
      </c>
      <c r="B15" s="59" t="str">
        <f>'C. FILIACION'!B15</f>
        <v>FLORES VILLEGAS CARLOS IVAN</v>
      </c>
      <c r="C15" s="48" t="s">
        <v>63</v>
      </c>
      <c r="D15" s="48" t="s">
        <v>63</v>
      </c>
      <c r="E15" s="48" t="s">
        <v>64</v>
      </c>
      <c r="F15" s="64" t="s">
        <v>63</v>
      </c>
      <c r="G15" s="48" t="s">
        <v>63</v>
      </c>
      <c r="H15" s="48" t="s">
        <v>63</v>
      </c>
      <c r="I15" s="48" t="s">
        <v>169</v>
      </c>
      <c r="J15" s="48" t="s">
        <v>63</v>
      </c>
      <c r="K15" s="48" t="s">
        <v>64</v>
      </c>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6</v>
      </c>
      <c r="BB15" s="48">
        <f t="shared" si="1"/>
        <v>2</v>
      </c>
      <c r="BC15" s="48">
        <f t="shared" si="2"/>
        <v>1</v>
      </c>
      <c r="BD15" s="48" t="str">
        <f t="shared" si="3"/>
        <v>0</v>
      </c>
      <c r="BE15" s="155">
        <f t="shared" si="4"/>
        <v>9</v>
      </c>
    </row>
    <row r="16" spans="1:61" ht="12" customHeight="1" x14ac:dyDescent="0.3">
      <c r="A16" s="279">
        <v>9</v>
      </c>
      <c r="B16" s="59" t="str">
        <f>'C. FILIACION'!B16</f>
        <v>FRANCISCO RUIZ LUCERO</v>
      </c>
      <c r="C16" s="48" t="s">
        <v>63</v>
      </c>
      <c r="D16" s="48" t="s">
        <v>63</v>
      </c>
      <c r="E16" s="48" t="s">
        <v>63</v>
      </c>
      <c r="F16" s="64" t="s">
        <v>63</v>
      </c>
      <c r="G16" s="48" t="s">
        <v>63</v>
      </c>
      <c r="H16" s="48" t="s">
        <v>63</v>
      </c>
      <c r="I16" s="48" t="s">
        <v>63</v>
      </c>
      <c r="J16" s="48" t="s">
        <v>63</v>
      </c>
      <c r="K16" s="48" t="s">
        <v>63</v>
      </c>
      <c r="L16" s="48" t="s">
        <v>170</v>
      </c>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9</v>
      </c>
      <c r="BB16" s="48" t="str">
        <f t="shared" si="1"/>
        <v>0</v>
      </c>
      <c r="BC16" s="48" t="str">
        <f t="shared" si="2"/>
        <v>0</v>
      </c>
      <c r="BD16" s="48" t="str">
        <f t="shared" si="3"/>
        <v>0</v>
      </c>
      <c r="BE16" s="155">
        <f t="shared" si="4"/>
        <v>9</v>
      </c>
    </row>
    <row r="17" spans="1:57" ht="12" customHeight="1" x14ac:dyDescent="0.3">
      <c r="A17" s="279">
        <v>10</v>
      </c>
      <c r="B17" s="59" t="str">
        <f>'C. FILIACION'!B17</f>
        <v>IBARRA VINO ELOY INTI</v>
      </c>
      <c r="C17" s="48" t="s">
        <v>63</v>
      </c>
      <c r="D17" s="48" t="s">
        <v>63</v>
      </c>
      <c r="E17" s="48" t="s">
        <v>63</v>
      </c>
      <c r="F17" s="64" t="s">
        <v>63</v>
      </c>
      <c r="G17" s="48" t="s">
        <v>63</v>
      </c>
      <c r="H17" s="48" t="s">
        <v>63</v>
      </c>
      <c r="I17" s="48" t="s">
        <v>63</v>
      </c>
      <c r="J17" s="48" t="s">
        <v>63</v>
      </c>
      <c r="K17" s="48" t="s">
        <v>63</v>
      </c>
      <c r="L17" s="48" t="s">
        <v>170</v>
      </c>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9</v>
      </c>
      <c r="BB17" s="48" t="str">
        <f t="shared" si="1"/>
        <v>0</v>
      </c>
      <c r="BC17" s="48" t="str">
        <f t="shared" si="2"/>
        <v>0</v>
      </c>
      <c r="BD17" s="48" t="str">
        <f t="shared" si="3"/>
        <v>0</v>
      </c>
      <c r="BE17" s="155">
        <f t="shared" si="4"/>
        <v>9</v>
      </c>
    </row>
    <row r="18" spans="1:57" ht="12" customHeight="1" x14ac:dyDescent="0.3">
      <c r="A18" s="279">
        <v>11</v>
      </c>
      <c r="B18" s="59" t="str">
        <f>'C. FILIACION'!B18</f>
        <v>LOPEZ BLANCO SOFIA FELEN</v>
      </c>
      <c r="C18" s="48" t="s">
        <v>63</v>
      </c>
      <c r="D18" s="48" t="s">
        <v>63</v>
      </c>
      <c r="E18" s="48" t="s">
        <v>64</v>
      </c>
      <c r="F18" s="64" t="s">
        <v>63</v>
      </c>
      <c r="G18" s="48" t="s">
        <v>63</v>
      </c>
      <c r="H18" s="48" t="s">
        <v>64</v>
      </c>
      <c r="I18" s="48" t="s">
        <v>64</v>
      </c>
      <c r="J18" s="48" t="s">
        <v>64</v>
      </c>
      <c r="K18" s="48" t="s">
        <v>64</v>
      </c>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4</v>
      </c>
      <c r="BB18" s="48">
        <f t="shared" si="1"/>
        <v>5</v>
      </c>
      <c r="BC18" s="48" t="str">
        <f t="shared" si="2"/>
        <v>0</v>
      </c>
      <c r="BD18" s="48" t="str">
        <f t="shared" si="3"/>
        <v>0</v>
      </c>
      <c r="BE18" s="155">
        <f t="shared" si="4"/>
        <v>9</v>
      </c>
    </row>
    <row r="19" spans="1:57" ht="12" customHeight="1" x14ac:dyDescent="0.3">
      <c r="A19" s="279">
        <v>12</v>
      </c>
      <c r="B19" s="59" t="str">
        <f>'C. FILIACION'!B19</f>
        <v>LOPEZ PACO RODRIGO ADRIAN</v>
      </c>
      <c r="C19" s="48" t="s">
        <v>63</v>
      </c>
      <c r="D19" s="48" t="s">
        <v>63</v>
      </c>
      <c r="E19" s="48" t="s">
        <v>63</v>
      </c>
      <c r="F19" s="64" t="s">
        <v>63</v>
      </c>
      <c r="G19" s="48" t="s">
        <v>63</v>
      </c>
      <c r="H19" s="48" t="s">
        <v>63</v>
      </c>
      <c r="I19" s="48" t="s">
        <v>63</v>
      </c>
      <c r="J19" s="48" t="s">
        <v>63</v>
      </c>
      <c r="K19" s="48" t="s">
        <v>63</v>
      </c>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9</v>
      </c>
      <c r="BB19" s="48" t="str">
        <f t="shared" si="1"/>
        <v>0</v>
      </c>
      <c r="BC19" s="48" t="str">
        <f t="shared" si="2"/>
        <v>0</v>
      </c>
      <c r="BD19" s="48" t="str">
        <f t="shared" si="3"/>
        <v>0</v>
      </c>
      <c r="BE19" s="155">
        <f t="shared" si="4"/>
        <v>9</v>
      </c>
    </row>
    <row r="20" spans="1:57" ht="12" customHeight="1" x14ac:dyDescent="0.3">
      <c r="A20" s="279">
        <v>13</v>
      </c>
      <c r="B20" s="59" t="str">
        <f>'C. FILIACION'!B20</f>
        <v>LOPEZ VERA MILENCA</v>
      </c>
      <c r="C20" s="48" t="s">
        <v>63</v>
      </c>
      <c r="D20" s="48" t="s">
        <v>63</v>
      </c>
      <c r="E20" s="48" t="s">
        <v>63</v>
      </c>
      <c r="F20" s="64" t="s">
        <v>63</v>
      </c>
      <c r="G20" s="48" t="s">
        <v>63</v>
      </c>
      <c r="H20" s="48" t="s">
        <v>63</v>
      </c>
      <c r="I20" s="48" t="s">
        <v>63</v>
      </c>
      <c r="J20" s="48" t="s">
        <v>63</v>
      </c>
      <c r="K20" s="48" t="s">
        <v>63</v>
      </c>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9</v>
      </c>
      <c r="BB20" s="48" t="str">
        <f t="shared" si="1"/>
        <v>0</v>
      </c>
      <c r="BC20" s="48" t="str">
        <f t="shared" si="2"/>
        <v>0</v>
      </c>
      <c r="BD20" s="48" t="str">
        <f t="shared" si="3"/>
        <v>0</v>
      </c>
      <c r="BE20" s="155">
        <f t="shared" si="4"/>
        <v>9</v>
      </c>
    </row>
    <row r="21" spans="1:57" ht="12" customHeight="1" x14ac:dyDescent="0.3">
      <c r="A21" s="279">
        <v>14</v>
      </c>
      <c r="B21" s="59" t="str">
        <f>'C. FILIACION'!B21</f>
        <v>MEDINA CHOQUE JOSE ROBERTO</v>
      </c>
      <c r="C21" s="48" t="s">
        <v>64</v>
      </c>
      <c r="D21" s="48" t="s">
        <v>64</v>
      </c>
      <c r="E21" s="48" t="s">
        <v>63</v>
      </c>
      <c r="F21" s="64" t="s">
        <v>64</v>
      </c>
      <c r="G21" s="48" t="s">
        <v>64</v>
      </c>
      <c r="H21" s="48" t="s">
        <v>64</v>
      </c>
      <c r="I21" s="48" t="s">
        <v>64</v>
      </c>
      <c r="J21" s="48" t="s">
        <v>64</v>
      </c>
      <c r="K21" s="48" t="s">
        <v>64</v>
      </c>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1</v>
      </c>
      <c r="BB21" s="48">
        <f t="shared" si="1"/>
        <v>8</v>
      </c>
      <c r="BC21" s="48" t="str">
        <f t="shared" si="2"/>
        <v>0</v>
      </c>
      <c r="BD21" s="48" t="str">
        <f t="shared" si="3"/>
        <v>0</v>
      </c>
      <c r="BE21" s="155">
        <f t="shared" si="4"/>
        <v>9</v>
      </c>
    </row>
    <row r="22" spans="1:57" ht="12" customHeight="1" x14ac:dyDescent="0.3">
      <c r="A22" s="279">
        <v>15</v>
      </c>
      <c r="B22" s="59" t="str">
        <f>'C. FILIACION'!B22</f>
        <v>MIRABAL AYANOME JOSE ALFREDO</v>
      </c>
      <c r="C22" s="48" t="s">
        <v>63</v>
      </c>
      <c r="D22" s="48" t="s">
        <v>63</v>
      </c>
      <c r="E22" s="48" t="s">
        <v>63</v>
      </c>
      <c r="F22" s="64" t="s">
        <v>63</v>
      </c>
      <c r="G22" s="48" t="s">
        <v>63</v>
      </c>
      <c r="H22" s="48" t="s">
        <v>63</v>
      </c>
      <c r="I22" s="48" t="s">
        <v>63</v>
      </c>
      <c r="J22" s="48" t="s">
        <v>63</v>
      </c>
      <c r="K22" s="48" t="s">
        <v>63</v>
      </c>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9</v>
      </c>
      <c r="BB22" s="48" t="str">
        <f t="shared" si="1"/>
        <v>0</v>
      </c>
      <c r="BC22" s="48" t="str">
        <f t="shared" si="2"/>
        <v>0</v>
      </c>
      <c r="BD22" s="48" t="str">
        <f t="shared" si="3"/>
        <v>0</v>
      </c>
      <c r="BE22" s="155">
        <f t="shared" si="4"/>
        <v>9</v>
      </c>
    </row>
    <row r="23" spans="1:57" ht="12" customHeight="1" x14ac:dyDescent="0.3">
      <c r="A23" s="279">
        <v>16</v>
      </c>
      <c r="B23" s="59" t="str">
        <f>'C. FILIACION'!B23</f>
        <v>NINA RUEDA ESTEFANY DANIELA</v>
      </c>
      <c r="C23" s="48" t="s">
        <v>63</v>
      </c>
      <c r="D23" s="48" t="s">
        <v>63</v>
      </c>
      <c r="E23" s="48" t="s">
        <v>63</v>
      </c>
      <c r="F23" s="64" t="s">
        <v>63</v>
      </c>
      <c r="G23" s="48" t="s">
        <v>63</v>
      </c>
      <c r="H23" s="48" t="s">
        <v>63</v>
      </c>
      <c r="I23" s="48" t="s">
        <v>169</v>
      </c>
      <c r="J23" s="48" t="s">
        <v>63</v>
      </c>
      <c r="K23" s="48" t="s">
        <v>64</v>
      </c>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7</v>
      </c>
      <c r="BB23" s="48">
        <f t="shared" si="1"/>
        <v>1</v>
      </c>
      <c r="BC23" s="48">
        <f t="shared" si="2"/>
        <v>1</v>
      </c>
      <c r="BD23" s="48" t="str">
        <f t="shared" si="3"/>
        <v>0</v>
      </c>
      <c r="BE23" s="155">
        <f t="shared" si="4"/>
        <v>9</v>
      </c>
    </row>
    <row r="24" spans="1:57" ht="12" customHeight="1" x14ac:dyDescent="0.3">
      <c r="A24" s="279">
        <v>17</v>
      </c>
      <c r="B24" s="59" t="str">
        <f>'C. FILIACION'!B24</f>
        <v>PORTILLO QUISPE JORGE LUIS</v>
      </c>
      <c r="C24" s="48" t="s">
        <v>63</v>
      </c>
      <c r="D24" s="48" t="s">
        <v>63</v>
      </c>
      <c r="E24" s="48" t="s">
        <v>63</v>
      </c>
      <c r="F24" s="64" t="s">
        <v>63</v>
      </c>
      <c r="G24" s="48" t="s">
        <v>63</v>
      </c>
      <c r="H24" s="48" t="s">
        <v>63</v>
      </c>
      <c r="I24" s="48" t="s">
        <v>63</v>
      </c>
      <c r="J24" s="48" t="s">
        <v>63</v>
      </c>
      <c r="K24" s="48" t="s">
        <v>63</v>
      </c>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9</v>
      </c>
      <c r="BB24" s="48" t="str">
        <f t="shared" si="1"/>
        <v>0</v>
      </c>
      <c r="BC24" s="48" t="str">
        <f t="shared" si="2"/>
        <v>0</v>
      </c>
      <c r="BD24" s="48" t="str">
        <f t="shared" si="3"/>
        <v>0</v>
      </c>
      <c r="BE24" s="155">
        <f t="shared" si="4"/>
        <v>9</v>
      </c>
    </row>
    <row r="25" spans="1:57" ht="12" customHeight="1" x14ac:dyDescent="0.3">
      <c r="A25" s="281">
        <v>18</v>
      </c>
      <c r="B25" s="282" t="str">
        <f>'C. FILIACION'!B25</f>
        <v>TORREZ PACO CARLA MILENKA</v>
      </c>
      <c r="C25" s="283" t="s">
        <v>63</v>
      </c>
      <c r="D25" s="283" t="s">
        <v>63</v>
      </c>
      <c r="E25" s="283" t="s">
        <v>63</v>
      </c>
      <c r="F25" s="283" t="s">
        <v>63</v>
      </c>
      <c r="G25" s="283" t="s">
        <v>63</v>
      </c>
      <c r="H25" s="283" t="s">
        <v>63</v>
      </c>
      <c r="I25" s="283" t="s">
        <v>63</v>
      </c>
      <c r="J25" s="283" t="s">
        <v>63</v>
      </c>
      <c r="K25" s="283" t="s">
        <v>64</v>
      </c>
      <c r="L25" s="283"/>
      <c r="M25" s="283"/>
      <c r="N25" s="283"/>
      <c r="O25" s="283"/>
      <c r="P25" s="283"/>
      <c r="Q25" s="283"/>
      <c r="R25" s="283"/>
      <c r="S25" s="283"/>
      <c r="T25" s="283"/>
      <c r="U25" s="283"/>
      <c r="V25" s="283"/>
      <c r="W25" s="283"/>
      <c r="X25" s="283"/>
      <c r="Y25" s="283"/>
      <c r="Z25" s="283"/>
      <c r="AA25" s="283"/>
      <c r="AB25" s="283"/>
      <c r="AC25" s="283"/>
      <c r="AD25" s="283"/>
      <c r="AE25" s="283"/>
      <c r="AF25" s="283"/>
      <c r="AG25" s="283"/>
      <c r="AH25" s="283"/>
      <c r="AI25" s="283"/>
      <c r="AJ25" s="283"/>
      <c r="AK25" s="283"/>
      <c r="AL25" s="283"/>
      <c r="AM25" s="283"/>
      <c r="AN25" s="283"/>
      <c r="AO25" s="283"/>
      <c r="AP25" s="283"/>
      <c r="AQ25" s="283"/>
      <c r="AR25" s="283"/>
      <c r="AS25" s="283"/>
      <c r="AT25" s="283"/>
      <c r="AU25" s="283"/>
      <c r="AV25" s="283"/>
      <c r="AW25" s="283"/>
      <c r="AX25" s="283"/>
      <c r="AY25" s="283"/>
      <c r="AZ25" s="284"/>
      <c r="BA25" s="285">
        <f t="shared" si="0"/>
        <v>8</v>
      </c>
      <c r="BB25" s="283">
        <f t="shared" si="1"/>
        <v>1</v>
      </c>
      <c r="BC25" s="283" t="str">
        <f t="shared" si="2"/>
        <v>0</v>
      </c>
      <c r="BD25" s="283" t="str">
        <f t="shared" si="3"/>
        <v>0</v>
      </c>
      <c r="BE25" s="284">
        <f t="shared" si="4"/>
        <v>9</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ref="BA8:BA43" si="5">IF(COUNTIF(C26:AZ26,"A")=0,"",COUNTIF(C26:AZ26,"A"))</f>
        <v/>
      </c>
      <c r="BB26" s="48" t="str">
        <f t="shared" ref="BB8:BB43" si="6">IF(COUNTIF(C26:AZ26,"F")=0,"",COUNTIF(C26:AZ26,"F"))</f>
        <v/>
      </c>
      <c r="BC26" s="48" t="str">
        <f t="shared" ref="BC8:BC43" si="7">IF(COUNTIF(C26:AZ26,"R")=0,"",COUNTIF(C26:AZ26,"R"))</f>
        <v/>
      </c>
      <c r="BD26" s="48" t="str">
        <f t="shared" ref="BD8:BD43" si="8">IF(COUNTIF(C26:AZ26,"L")=0,"",COUNTIF(C26:AZ26,"L"))</f>
        <v/>
      </c>
      <c r="BE26" s="63" t="str">
        <f t="shared" ref="BE8:BE43" si="9">IF(COUNTIF(C26:AZ26,"L")=0,"",COUNTIF(C26:AZ26,"L"))</f>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5"/>
        <v/>
      </c>
      <c r="BB27" s="48" t="str">
        <f t="shared" si="6"/>
        <v/>
      </c>
      <c r="BC27" s="48" t="str">
        <f t="shared" si="7"/>
        <v/>
      </c>
      <c r="BD27" s="48" t="str">
        <f t="shared" si="8"/>
        <v/>
      </c>
      <c r="BE27" s="63" t="str">
        <f t="shared" si="9"/>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5"/>
        <v/>
      </c>
      <c r="BB28" s="48" t="str">
        <f t="shared" si="6"/>
        <v/>
      </c>
      <c r="BC28" s="48" t="str">
        <f t="shared" si="7"/>
        <v/>
      </c>
      <c r="BD28" s="48" t="str">
        <f t="shared" si="8"/>
        <v/>
      </c>
      <c r="BE28" s="63" t="str">
        <f t="shared" si="9"/>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5"/>
        <v/>
      </c>
      <c r="BB29" s="48" t="str">
        <f t="shared" si="6"/>
        <v/>
      </c>
      <c r="BC29" s="48" t="str">
        <f t="shared" si="7"/>
        <v/>
      </c>
      <c r="BD29" s="48" t="str">
        <f t="shared" si="8"/>
        <v/>
      </c>
      <c r="BE29" s="63" t="str">
        <f t="shared" si="9"/>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5"/>
        <v/>
      </c>
      <c r="BB30" s="48" t="str">
        <f t="shared" si="6"/>
        <v/>
      </c>
      <c r="BC30" s="48" t="str">
        <f t="shared" si="7"/>
        <v/>
      </c>
      <c r="BD30" s="48" t="str">
        <f t="shared" si="8"/>
        <v/>
      </c>
      <c r="BE30" s="63" t="str">
        <f t="shared" si="9"/>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5"/>
        <v/>
      </c>
      <c r="BB31" s="48" t="str">
        <f t="shared" si="6"/>
        <v/>
      </c>
      <c r="BC31" s="48" t="str">
        <f t="shared" si="7"/>
        <v/>
      </c>
      <c r="BD31" s="48" t="str">
        <f t="shared" si="8"/>
        <v/>
      </c>
      <c r="BE31" s="63" t="str">
        <f t="shared" si="9"/>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5"/>
        <v/>
      </c>
      <c r="BB32" s="48" t="str">
        <f t="shared" si="6"/>
        <v/>
      </c>
      <c r="BC32" s="48" t="str">
        <f t="shared" si="7"/>
        <v/>
      </c>
      <c r="BD32" s="48" t="str">
        <f t="shared" si="8"/>
        <v/>
      </c>
      <c r="BE32" s="63" t="str">
        <f t="shared" si="9"/>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5"/>
        <v/>
      </c>
      <c r="BB33" s="48" t="str">
        <f t="shared" si="6"/>
        <v/>
      </c>
      <c r="BC33" s="48" t="str">
        <f t="shared" si="7"/>
        <v/>
      </c>
      <c r="BD33" s="48" t="str">
        <f t="shared" si="8"/>
        <v/>
      </c>
      <c r="BE33" s="63" t="str">
        <f t="shared" si="9"/>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5"/>
        <v/>
      </c>
      <c r="BB34" s="48" t="str">
        <f t="shared" si="6"/>
        <v/>
      </c>
      <c r="BC34" s="48" t="str">
        <f t="shared" si="7"/>
        <v/>
      </c>
      <c r="BD34" s="48" t="str">
        <f t="shared" si="8"/>
        <v/>
      </c>
      <c r="BE34" s="63" t="str">
        <f t="shared" si="9"/>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5"/>
        <v/>
      </c>
      <c r="BB35" s="48" t="str">
        <f t="shared" si="6"/>
        <v/>
      </c>
      <c r="BC35" s="48" t="str">
        <f t="shared" si="7"/>
        <v/>
      </c>
      <c r="BD35" s="48" t="str">
        <f t="shared" si="8"/>
        <v/>
      </c>
      <c r="BE35" s="63" t="str">
        <f t="shared" si="9"/>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5"/>
        <v/>
      </c>
      <c r="BB36" s="48" t="str">
        <f t="shared" si="6"/>
        <v/>
      </c>
      <c r="BC36" s="48" t="str">
        <f t="shared" si="7"/>
        <v/>
      </c>
      <c r="BD36" s="48" t="str">
        <f t="shared" si="8"/>
        <v/>
      </c>
      <c r="BE36" s="63" t="str">
        <f t="shared" si="9"/>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5"/>
        <v/>
      </c>
      <c r="BB37" s="48" t="str">
        <f t="shared" si="6"/>
        <v/>
      </c>
      <c r="BC37" s="48" t="str">
        <f t="shared" si="7"/>
        <v/>
      </c>
      <c r="BD37" s="48" t="str">
        <f t="shared" si="8"/>
        <v/>
      </c>
      <c r="BE37" s="63" t="str">
        <f t="shared" si="9"/>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5"/>
        <v/>
      </c>
      <c r="BB38" s="48" t="str">
        <f t="shared" si="6"/>
        <v/>
      </c>
      <c r="BC38" s="48" t="str">
        <f t="shared" si="7"/>
        <v/>
      </c>
      <c r="BD38" s="48" t="str">
        <f t="shared" si="8"/>
        <v/>
      </c>
      <c r="BE38" s="63" t="str">
        <f t="shared" si="9"/>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5"/>
        <v/>
      </c>
      <c r="BB39" s="48" t="str">
        <f t="shared" si="6"/>
        <v/>
      </c>
      <c r="BC39" s="48" t="str">
        <f t="shared" si="7"/>
        <v/>
      </c>
      <c r="BD39" s="48" t="str">
        <f t="shared" si="8"/>
        <v/>
      </c>
      <c r="BE39" s="63" t="str">
        <f t="shared" si="9"/>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5"/>
        <v/>
      </c>
      <c r="BB40" s="48" t="str">
        <f t="shared" si="6"/>
        <v/>
      </c>
      <c r="BC40" s="48" t="str">
        <f t="shared" si="7"/>
        <v/>
      </c>
      <c r="BD40" s="48" t="str">
        <f t="shared" si="8"/>
        <v/>
      </c>
      <c r="BE40" s="63" t="str">
        <f t="shared" si="9"/>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5"/>
        <v/>
      </c>
      <c r="BB41" s="48" t="str">
        <f t="shared" si="6"/>
        <v/>
      </c>
      <c r="BC41" s="48" t="str">
        <f t="shared" si="7"/>
        <v/>
      </c>
      <c r="BD41" s="48" t="str">
        <f t="shared" si="8"/>
        <v/>
      </c>
      <c r="BE41" s="63" t="str">
        <f t="shared" si="9"/>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5"/>
        <v/>
      </c>
      <c r="BB42" s="48" t="str">
        <f t="shared" si="6"/>
        <v/>
      </c>
      <c r="BC42" s="48" t="str">
        <f t="shared" si="7"/>
        <v/>
      </c>
      <c r="BD42" s="48" t="str">
        <f t="shared" si="8"/>
        <v/>
      </c>
      <c r="BE42" s="63" t="str">
        <f t="shared" si="9"/>
        <v/>
      </c>
    </row>
    <row r="43" spans="1:57" ht="12" customHeight="1" x14ac:dyDescent="0.3">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5"/>
        <v/>
      </c>
      <c r="BB43" s="48" t="str">
        <f t="shared" si="6"/>
        <v/>
      </c>
      <c r="BC43" s="48" t="str">
        <f t="shared" si="7"/>
        <v/>
      </c>
      <c r="BD43" s="48" t="str">
        <f t="shared" si="8"/>
        <v/>
      </c>
      <c r="BE43" s="63" t="str">
        <f t="shared" si="9"/>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CD632-49CA-41D3-BC56-4AD124598AF4}">
  <sheetPr>
    <tabColor rgb="FFC00000"/>
  </sheetPr>
  <dimension ref="A1:AE31"/>
  <sheetViews>
    <sheetView tabSelected="1" workbookViewId="0">
      <selection activeCell="A16" sqref="A16:H16"/>
    </sheetView>
  </sheetViews>
  <sheetFormatPr baseColWidth="10" defaultRowHeight="20.25" x14ac:dyDescent="0.3"/>
  <cols>
    <col min="1" max="26" width="2.25" customWidth="1"/>
    <col min="27" max="27" width="9.75" customWidth="1"/>
    <col min="28" max="28" width="8.75" customWidth="1"/>
    <col min="29" max="31" width="2.25" customWidth="1"/>
  </cols>
  <sheetData>
    <row r="1" spans="1:31" ht="15.95" customHeight="1" x14ac:dyDescent="0.3">
      <c r="A1" s="236"/>
      <c r="B1" s="236"/>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row>
    <row r="2" spans="1:31" ht="15.95" customHeight="1" x14ac:dyDescent="0.3">
      <c r="A2" s="237" t="s">
        <v>172</v>
      </c>
      <c r="B2" s="237"/>
      <c r="C2" s="237"/>
      <c r="D2" s="237"/>
      <c r="E2" s="237"/>
      <c r="F2" s="237"/>
      <c r="G2" s="237"/>
      <c r="H2" s="237"/>
      <c r="I2" s="237"/>
      <c r="J2" s="237"/>
      <c r="K2" s="237"/>
      <c r="L2" s="237"/>
      <c r="M2" s="237"/>
      <c r="N2" s="237"/>
      <c r="O2" s="237"/>
      <c r="P2" s="237"/>
      <c r="Q2" s="237"/>
      <c r="R2" s="237"/>
      <c r="S2" s="237"/>
      <c r="T2" s="237"/>
      <c r="U2" s="237"/>
      <c r="V2" s="237"/>
      <c r="W2" s="237"/>
      <c r="X2" s="237"/>
      <c r="Y2" s="237"/>
      <c r="Z2" s="237"/>
      <c r="AA2" s="237"/>
      <c r="AB2" s="237"/>
      <c r="AC2" s="236"/>
      <c r="AD2" s="236"/>
      <c r="AE2" s="236"/>
    </row>
    <row r="3" spans="1:31" ht="15.95" customHeight="1" x14ac:dyDescent="0.3">
      <c r="A3" s="236"/>
      <c r="B3" s="236"/>
      <c r="C3" s="236"/>
      <c r="D3" s="236"/>
      <c r="E3" s="236"/>
      <c r="F3" s="236"/>
      <c r="G3" s="236"/>
      <c r="H3" s="236"/>
      <c r="I3" s="236"/>
      <c r="J3" s="236"/>
      <c r="K3" s="236"/>
      <c r="L3" s="236"/>
      <c r="M3" s="236"/>
      <c r="N3" s="236"/>
      <c r="O3" s="236"/>
      <c r="P3" s="236"/>
      <c r="Q3" s="236"/>
      <c r="R3" s="236"/>
      <c r="S3" s="236"/>
      <c r="T3" s="236"/>
      <c r="U3" s="236"/>
      <c r="V3" s="236"/>
      <c r="W3" s="236"/>
      <c r="X3" s="236"/>
      <c r="Y3" s="236"/>
      <c r="Z3" s="236"/>
      <c r="AA3" s="236"/>
      <c r="AB3" s="236"/>
      <c r="AC3" s="236"/>
      <c r="AD3" s="236"/>
      <c r="AE3" s="236"/>
    </row>
    <row r="4" spans="1:31" ht="15.95" customHeight="1" x14ac:dyDescent="0.3">
      <c r="A4" s="238" t="s">
        <v>173</v>
      </c>
      <c r="B4" s="238"/>
      <c r="C4" s="238"/>
      <c r="D4" s="238"/>
      <c r="E4" s="238"/>
      <c r="F4" s="239" t="str">
        <f>[1]CARÁTULA!C25</f>
        <v>Tecnica Tecnologica (Programacion)</v>
      </c>
      <c r="G4" s="239"/>
      <c r="H4" s="239"/>
      <c r="I4" s="239"/>
      <c r="J4" s="239"/>
      <c r="K4" s="239"/>
      <c r="L4" s="239"/>
      <c r="M4" s="239"/>
      <c r="N4" s="239"/>
      <c r="O4" s="240" t="s">
        <v>174</v>
      </c>
      <c r="P4" s="240"/>
      <c r="Q4" s="240"/>
      <c r="R4" s="241" t="str">
        <f>[2]CARÁTULA!C23</f>
        <v>3ro de Secundaria</v>
      </c>
      <c r="S4" s="242"/>
      <c r="T4" s="242"/>
      <c r="U4" s="242"/>
      <c r="V4" s="242"/>
      <c r="W4" s="242"/>
      <c r="X4" s="242"/>
      <c r="Y4" s="242"/>
      <c r="Z4" s="243"/>
      <c r="AA4" s="273" t="s">
        <v>175</v>
      </c>
      <c r="AB4" s="274" t="s">
        <v>185</v>
      </c>
      <c r="AC4" s="236"/>
      <c r="AD4" s="236"/>
      <c r="AE4" s="236"/>
    </row>
    <row r="5" spans="1:31" ht="15.95" customHeight="1" x14ac:dyDescent="0.3">
      <c r="A5" s="238" t="s">
        <v>176</v>
      </c>
      <c r="B5" s="238"/>
      <c r="C5" s="238"/>
      <c r="D5" s="238"/>
      <c r="E5" s="238"/>
      <c r="F5" s="244" t="s">
        <v>41</v>
      </c>
      <c r="G5" s="244"/>
      <c r="H5" s="244"/>
      <c r="I5" s="244"/>
      <c r="J5" s="244"/>
      <c r="K5" s="244"/>
      <c r="L5" s="244"/>
      <c r="M5" s="244"/>
      <c r="N5" s="244"/>
      <c r="O5" s="244"/>
      <c r="P5" s="244"/>
      <c r="Q5" s="244"/>
      <c r="R5" s="244"/>
      <c r="S5" s="244"/>
      <c r="T5" s="244"/>
      <c r="U5" s="244"/>
      <c r="V5" s="244"/>
      <c r="W5" s="244"/>
      <c r="X5" s="244"/>
      <c r="Y5" s="244"/>
      <c r="Z5" s="244"/>
      <c r="AA5" s="273"/>
      <c r="AB5" s="274"/>
      <c r="AC5" s="236"/>
      <c r="AD5" s="236"/>
      <c r="AE5" s="236"/>
    </row>
    <row r="6" spans="1:31" ht="15.95" customHeight="1" x14ac:dyDescent="0.3">
      <c r="A6" s="238" t="s">
        <v>177</v>
      </c>
      <c r="B6" s="238"/>
      <c r="C6" s="238"/>
      <c r="D6" s="238"/>
      <c r="E6" s="238"/>
      <c r="F6" s="244" t="s">
        <v>178</v>
      </c>
      <c r="G6" s="244"/>
      <c r="H6" s="244"/>
      <c r="I6" s="244"/>
      <c r="J6" s="244"/>
      <c r="K6" s="244"/>
      <c r="L6" s="244"/>
      <c r="M6" s="244"/>
      <c r="N6" s="244"/>
      <c r="O6" s="244"/>
      <c r="P6" s="244"/>
      <c r="Q6" s="244"/>
      <c r="R6" s="244"/>
      <c r="S6" s="244"/>
      <c r="T6" s="244"/>
      <c r="U6" s="244"/>
      <c r="V6" s="244"/>
      <c r="W6" s="244"/>
      <c r="X6" s="244"/>
      <c r="Y6" s="244"/>
      <c r="Z6" s="244"/>
      <c r="AA6" s="244"/>
      <c r="AB6" s="244"/>
      <c r="AC6" s="236"/>
      <c r="AD6" s="236"/>
      <c r="AE6" s="236"/>
    </row>
    <row r="7" spans="1:31" ht="10.5" customHeight="1" x14ac:dyDescent="0.3">
      <c r="A7" s="236"/>
      <c r="B7" s="236"/>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row>
    <row r="8" spans="1:31" ht="15.95" customHeight="1" x14ac:dyDescent="0.3">
      <c r="A8" s="245" t="s">
        <v>179</v>
      </c>
      <c r="B8" s="245"/>
      <c r="C8" s="245"/>
      <c r="D8" s="245"/>
      <c r="E8" s="245"/>
      <c r="F8" s="245"/>
      <c r="G8" s="245"/>
      <c r="H8" s="245"/>
      <c r="I8" s="245"/>
      <c r="J8" s="245"/>
      <c r="K8" s="245"/>
      <c r="L8" s="245"/>
      <c r="M8" s="245"/>
      <c r="N8" s="245"/>
      <c r="O8" s="245"/>
      <c r="P8" s="245"/>
      <c r="Q8" s="245"/>
      <c r="R8" s="245"/>
      <c r="S8" s="245"/>
      <c r="T8" s="245"/>
      <c r="U8" s="245"/>
      <c r="V8" s="245"/>
      <c r="W8" s="245"/>
      <c r="X8" s="245"/>
      <c r="Y8" s="245"/>
      <c r="Z8" s="245"/>
      <c r="AA8" s="245"/>
      <c r="AB8" s="245"/>
      <c r="AC8" s="236"/>
      <c r="AD8" s="236"/>
      <c r="AE8" s="236"/>
    </row>
    <row r="9" spans="1:31" ht="6" customHeight="1" x14ac:dyDescent="0.3">
      <c r="A9" s="236"/>
      <c r="B9" s="236"/>
      <c r="C9" s="236"/>
      <c r="D9" s="236"/>
      <c r="E9" s="236"/>
      <c r="F9" s="236"/>
      <c r="G9" s="236"/>
      <c r="H9" s="236"/>
      <c r="I9" s="236"/>
      <c r="J9" s="236"/>
      <c r="K9" s="236"/>
      <c r="L9" s="236"/>
      <c r="M9" s="236"/>
      <c r="N9" s="236"/>
      <c r="O9" s="236"/>
      <c r="P9" s="236"/>
      <c r="Q9" s="236"/>
      <c r="R9" s="236"/>
      <c r="S9" s="236"/>
      <c r="T9" s="236"/>
      <c r="U9" s="236"/>
      <c r="V9" s="236"/>
      <c r="W9" s="236"/>
      <c r="X9" s="236"/>
      <c r="Y9" s="236"/>
      <c r="Z9" s="236"/>
      <c r="AA9" s="236"/>
      <c r="AB9" s="236"/>
      <c r="AC9" s="236"/>
      <c r="AD9" s="236"/>
      <c r="AE9" s="236"/>
    </row>
    <row r="10" spans="1:31" ht="81.75" customHeight="1" x14ac:dyDescent="0.3">
      <c r="A10" s="236"/>
      <c r="B10" s="236"/>
      <c r="C10" s="236"/>
      <c r="D10" s="236"/>
      <c r="E10" s="236"/>
      <c r="F10" s="236"/>
      <c r="G10" s="246" t="str">
        <f>[2]!Tabla1[[#Headers],[12/5/2020]]</f>
        <v>12/5/2020</v>
      </c>
      <c r="H10" s="246" t="str">
        <f>[2]!Tabla1[[#Headers],[19/5/2020]]</f>
        <v>19/5/2020</v>
      </c>
      <c r="I10" s="246" t="str">
        <f>[2]!Tabla1[[#Headers],[26/5/2021]]</f>
        <v>26/5/2021</v>
      </c>
      <c r="J10" s="246" t="str">
        <f>[2]!Tabla1[[#Headers],[30/6/2021]]</f>
        <v>30/6/2021</v>
      </c>
      <c r="K10" s="246" t="str">
        <f>[2]!Tabla1[[#Headers],[7/7/2021]]</f>
        <v>7/7/2021</v>
      </c>
      <c r="L10" s="246" t="str">
        <f>[2]!Tabla1[[#Headers],[14/7/2021]]</f>
        <v>14/7/2021</v>
      </c>
      <c r="M10" s="246" t="str">
        <f>[2]!Tabla1[[#Headers],[28/7/2021]]</f>
        <v>28/7/2021</v>
      </c>
      <c r="N10" s="246" t="str">
        <f>[2]!Tabla1[[#Headers],[4/8/2021]]</f>
        <v>4/8/2021</v>
      </c>
      <c r="O10" s="246"/>
      <c r="P10" s="246" t="str">
        <f>'[1]ASIS 2 TRIM'!BA7</f>
        <v>Asist. (A)</v>
      </c>
      <c r="Q10" s="246" t="str">
        <f>'[1]ASIS 2 TRIM'!BB7</f>
        <v>Faltas (F)</v>
      </c>
      <c r="R10" s="246" t="str">
        <f>'[1]ASIS 2 TRIM'!BC7</f>
        <v>Retrasos (R)</v>
      </c>
      <c r="S10" s="246" t="str">
        <f>'[1]ASIS 2 TRIM'!BD7</f>
        <v>Licencias (L)</v>
      </c>
      <c r="T10" s="247" t="str">
        <f>'[1]ASIS 2 TRIM'!BE7</f>
        <v>DÍAS TRABAJADOS</v>
      </c>
      <c r="U10" s="236"/>
      <c r="V10" s="236"/>
      <c r="W10" s="236"/>
      <c r="X10" s="236"/>
      <c r="Y10" s="236"/>
      <c r="Z10" s="236"/>
      <c r="AA10" s="236"/>
      <c r="AB10" s="236"/>
      <c r="AC10" s="236"/>
      <c r="AD10" s="236"/>
      <c r="AE10" s="236"/>
    </row>
    <row r="11" spans="1:31" ht="15.95" customHeight="1" x14ac:dyDescent="0.3">
      <c r="A11" s="236"/>
      <c r="B11" s="236"/>
      <c r="C11" s="236"/>
      <c r="D11" s="236"/>
      <c r="E11" s="236"/>
      <c r="F11" s="236"/>
      <c r="G11" s="248" t="e">
        <f>VLOOKUP($F$5,[2]!Tabla1[#Data],2,FALSE)</f>
        <v>#N/A</v>
      </c>
      <c r="H11" s="248" t="e">
        <f>VLOOKUP($F$5,[2]!Tabla1[#Data],3,FALSE)</f>
        <v>#N/A</v>
      </c>
      <c r="I11" s="248" t="e">
        <f>VLOOKUP($F$5,[2]!Tabla1[#Data],4,FALSE)</f>
        <v>#N/A</v>
      </c>
      <c r="J11" s="248" t="e">
        <f>VLOOKUP($F$5,[2]!Tabla1[#Data],5,FALSE)</f>
        <v>#N/A</v>
      </c>
      <c r="K11" s="248" t="e">
        <f>VLOOKUP($F$5,[2]!Tabla1[#Data],6,FALSE)</f>
        <v>#N/A</v>
      </c>
      <c r="L11" s="248" t="e">
        <f>VLOOKUP($F$5,[2]!Tabla1[#Data],7,FALSE)</f>
        <v>#N/A</v>
      </c>
      <c r="M11" s="248" t="e">
        <f>VLOOKUP($F$5,[2]!Tabla1[#Data],8,FALSE)</f>
        <v>#N/A</v>
      </c>
      <c r="N11" s="248" t="e">
        <f>VLOOKUP($F$5,[2]!Tabla1[#Data],9,FALSE)</f>
        <v>#N/A</v>
      </c>
      <c r="O11" s="248"/>
      <c r="P11" s="248" t="e">
        <f>VLOOKUP($F$5,[2]!Tabla1[#Data],52,FALSE)</f>
        <v>#N/A</v>
      </c>
      <c r="Q11" s="248" t="e">
        <f>VLOOKUP($F$5,[2]!Tabla1[#Data],53,FALSE)</f>
        <v>#N/A</v>
      </c>
      <c r="R11" s="248" t="e">
        <f>VLOOKUP($F$5,[2]!Tabla1[#Data],54,FALSE)</f>
        <v>#N/A</v>
      </c>
      <c r="S11" s="248" t="e">
        <f>VLOOKUP($F$5,[2]!Tabla1[#Data],55,FALSE)</f>
        <v>#N/A</v>
      </c>
      <c r="T11" s="248" t="e">
        <f>VLOOKUP($F$5,[2]!Tabla1[#Data],56,FALSE)</f>
        <v>#N/A</v>
      </c>
      <c r="U11" s="236"/>
      <c r="V11" s="236"/>
      <c r="W11" s="236"/>
      <c r="X11" s="236"/>
      <c r="Y11" s="236"/>
      <c r="Z11" s="236"/>
      <c r="AA11" s="236"/>
      <c r="AB11" s="236"/>
      <c r="AC11" s="236"/>
      <c r="AD11" s="236"/>
      <c r="AE11" s="236"/>
    </row>
    <row r="12" spans="1:31" ht="9" customHeight="1" x14ac:dyDescent="0.3">
      <c r="A12" s="236"/>
      <c r="B12" s="23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row>
    <row r="13" spans="1:31" ht="15.95" customHeight="1" x14ac:dyDescent="0.3">
      <c r="A13" s="249" t="s">
        <v>180</v>
      </c>
      <c r="B13" s="249"/>
      <c r="C13" s="249"/>
      <c r="D13" s="249"/>
      <c r="E13" s="249"/>
      <c r="F13" s="249"/>
      <c r="G13" s="249"/>
      <c r="H13" s="249"/>
      <c r="I13" s="249"/>
      <c r="J13" s="249"/>
      <c r="K13" s="249"/>
      <c r="L13" s="249"/>
      <c r="M13" s="249"/>
      <c r="N13" s="249"/>
      <c r="O13" s="249"/>
      <c r="P13" s="249"/>
      <c r="Q13" s="249"/>
      <c r="R13" s="249"/>
      <c r="S13" s="249"/>
      <c r="T13" s="249"/>
      <c r="U13" s="249"/>
      <c r="V13" s="249"/>
      <c r="W13" s="249"/>
      <c r="X13" s="249"/>
      <c r="Y13" s="249"/>
      <c r="Z13" s="249"/>
      <c r="AA13" s="249"/>
      <c r="AB13" s="249"/>
      <c r="AC13" s="236"/>
      <c r="AD13" s="236"/>
      <c r="AE13" s="236"/>
    </row>
    <row r="14" spans="1:31" ht="15.95" customHeight="1" x14ac:dyDescent="0.3">
      <c r="A14" s="249" t="s">
        <v>181</v>
      </c>
      <c r="B14" s="249"/>
      <c r="C14" s="249"/>
      <c r="D14" s="249"/>
      <c r="E14" s="249"/>
      <c r="F14" s="249"/>
      <c r="G14" s="249"/>
      <c r="H14" s="249"/>
      <c r="I14" s="249" t="s">
        <v>182</v>
      </c>
      <c r="J14" s="249"/>
      <c r="K14" s="249" t="s">
        <v>183</v>
      </c>
      <c r="L14" s="249"/>
      <c r="M14" s="249"/>
      <c r="N14" s="249"/>
      <c r="O14" s="249"/>
      <c r="P14" s="249"/>
      <c r="Q14" s="249"/>
      <c r="R14" s="249"/>
      <c r="S14" s="249"/>
      <c r="T14" s="249"/>
      <c r="U14" s="249"/>
      <c r="V14" s="249"/>
      <c r="W14" s="249"/>
      <c r="X14" s="249"/>
      <c r="Y14" s="249"/>
      <c r="Z14" s="249"/>
      <c r="AA14" s="249"/>
      <c r="AB14" s="249"/>
      <c r="AC14" s="236"/>
      <c r="AD14" s="250"/>
      <c r="AE14" s="236"/>
    </row>
    <row r="15" spans="1:31" ht="15.95" customHeight="1" x14ac:dyDescent="0.3">
      <c r="A15" s="251" t="str">
        <f>'VAL 2 TRIM'!D8</f>
        <v>01/07/2021(Repaso)</v>
      </c>
      <c r="B15" s="251"/>
      <c r="C15" s="251"/>
      <c r="D15" s="251"/>
      <c r="E15" s="251"/>
      <c r="F15" s="251"/>
      <c r="G15" s="251"/>
      <c r="H15" s="252"/>
      <c r="I15" s="253" t="e">
        <f>VLOOKUP($F$5,'[2]VAL 2 TRIM'!$B$9:$Z$31,3,FALSE)</f>
        <v>#N/A</v>
      </c>
      <c r="J15" s="253"/>
      <c r="K15" s="288" t="s">
        <v>241</v>
      </c>
      <c r="L15" s="289"/>
      <c r="M15" s="289"/>
      <c r="N15" s="289"/>
      <c r="O15" s="289"/>
      <c r="P15" s="289"/>
      <c r="Q15" s="289"/>
      <c r="R15" s="289"/>
      <c r="S15" s="289"/>
      <c r="T15" s="289"/>
      <c r="U15" s="289"/>
      <c r="V15" s="289"/>
      <c r="W15" s="289"/>
      <c r="X15" s="289"/>
      <c r="Y15" s="289"/>
      <c r="Z15" s="289"/>
      <c r="AA15" s="289"/>
      <c r="AB15" s="289"/>
      <c r="AC15" s="236" t="e">
        <f>IF(I15=0,1,0)</f>
        <v>#N/A</v>
      </c>
      <c r="AD15" s="254">
        <v>1</v>
      </c>
      <c r="AE15" s="236"/>
    </row>
    <row r="16" spans="1:31" ht="15.95" customHeight="1" x14ac:dyDescent="0.3">
      <c r="A16" s="255"/>
      <c r="B16" s="256"/>
      <c r="C16" s="256"/>
      <c r="D16" s="256"/>
      <c r="E16" s="256"/>
      <c r="F16" s="256"/>
      <c r="G16" s="256"/>
      <c r="H16" s="257"/>
      <c r="I16" s="253" t="e">
        <f>VLOOKUP($F$5,'[2]VAL 2 TRIM'!$B$9:$Z$31,4,FALSE)</f>
        <v>#N/A</v>
      </c>
      <c r="J16" s="253"/>
      <c r="K16" s="258"/>
      <c r="L16" s="259"/>
      <c r="M16" s="259"/>
      <c r="N16" s="259"/>
      <c r="O16" s="259"/>
      <c r="P16" s="259"/>
      <c r="Q16" s="259"/>
      <c r="R16" s="259"/>
      <c r="S16" s="259"/>
      <c r="T16" s="259"/>
      <c r="U16" s="259"/>
      <c r="V16" s="259"/>
      <c r="W16" s="259"/>
      <c r="X16" s="259"/>
      <c r="Y16" s="259"/>
      <c r="Z16" s="259"/>
      <c r="AA16" s="259"/>
      <c r="AB16" s="259"/>
      <c r="AC16" s="236" t="e">
        <f>IF(I16=0,1,0)</f>
        <v>#N/A</v>
      </c>
      <c r="AD16" s="254">
        <v>1</v>
      </c>
      <c r="AE16" s="236"/>
    </row>
    <row r="17" spans="1:31" ht="15.95" customHeight="1" x14ac:dyDescent="0.3">
      <c r="A17" s="260" t="s">
        <v>84</v>
      </c>
      <c r="B17" s="261"/>
      <c r="C17" s="261"/>
      <c r="D17" s="261"/>
      <c r="E17" s="261"/>
      <c r="F17" s="261"/>
      <c r="G17" s="261"/>
      <c r="H17" s="261"/>
      <c r="I17" s="262" t="e">
        <f>SUM(I15:J16)/3</f>
        <v>#N/A</v>
      </c>
      <c r="J17" s="262"/>
      <c r="K17" s="253"/>
      <c r="L17" s="253"/>
      <c r="M17" s="253"/>
      <c r="N17" s="253"/>
      <c r="O17" s="253"/>
      <c r="P17" s="253"/>
      <c r="Q17" s="253"/>
      <c r="R17" s="253"/>
      <c r="S17" s="253"/>
      <c r="T17" s="253"/>
      <c r="U17" s="253"/>
      <c r="V17" s="253"/>
      <c r="W17" s="253"/>
      <c r="X17" s="253"/>
      <c r="Y17" s="253"/>
      <c r="Z17" s="253"/>
      <c r="AA17" s="253"/>
      <c r="AB17" s="253"/>
      <c r="AC17" s="236" t="e">
        <f>SUM(AC15:AC16)</f>
        <v>#N/A</v>
      </c>
      <c r="AD17" s="236"/>
      <c r="AE17" s="236"/>
    </row>
    <row r="18" spans="1:31" ht="15.95" customHeight="1" x14ac:dyDescent="0.3">
      <c r="A18" s="236"/>
      <c r="B18" s="236"/>
      <c r="C18" s="236"/>
      <c r="D18" s="236"/>
      <c r="E18" s="236"/>
      <c r="F18" s="236"/>
      <c r="G18" s="236"/>
      <c r="H18" s="236"/>
      <c r="I18" s="236"/>
      <c r="J18" s="236"/>
      <c r="K18" s="236"/>
      <c r="L18" s="236"/>
      <c r="M18" s="236"/>
      <c r="N18" s="236"/>
      <c r="O18" s="236"/>
      <c r="P18" s="236"/>
      <c r="Q18" s="236"/>
      <c r="R18" s="236"/>
      <c r="S18" s="236"/>
      <c r="T18" s="236"/>
      <c r="U18" s="236"/>
      <c r="V18" s="236"/>
      <c r="W18" s="236"/>
      <c r="X18" s="236"/>
      <c r="Y18" s="236"/>
      <c r="Z18" s="236"/>
      <c r="AA18" s="236"/>
      <c r="AB18" s="236"/>
      <c r="AC18" s="236"/>
      <c r="AD18" s="236"/>
      <c r="AE18" s="236"/>
    </row>
    <row r="19" spans="1:31" ht="15.95" customHeight="1" x14ac:dyDescent="0.3">
      <c r="A19" s="249" t="s">
        <v>184</v>
      </c>
      <c r="B19" s="249"/>
      <c r="C19" s="249"/>
      <c r="D19" s="249"/>
      <c r="E19" s="249"/>
      <c r="F19" s="249"/>
      <c r="G19" s="249"/>
      <c r="H19" s="249"/>
      <c r="I19" s="249"/>
      <c r="J19" s="249"/>
      <c r="K19" s="249"/>
      <c r="L19" s="249"/>
      <c r="M19" s="249"/>
      <c r="N19" s="249"/>
      <c r="O19" s="249"/>
      <c r="P19" s="249"/>
      <c r="Q19" s="249"/>
      <c r="R19" s="249"/>
      <c r="S19" s="249"/>
      <c r="T19" s="249"/>
      <c r="U19" s="249"/>
      <c r="V19" s="249"/>
      <c r="W19" s="249"/>
      <c r="X19" s="249"/>
      <c r="Y19" s="249"/>
      <c r="Z19" s="249"/>
      <c r="AA19" s="249"/>
      <c r="AB19" s="249"/>
      <c r="AC19" s="236"/>
      <c r="AD19" s="236"/>
      <c r="AE19" s="236"/>
    </row>
    <row r="20" spans="1:31" ht="15.95" customHeight="1" x14ac:dyDescent="0.3">
      <c r="A20" s="249" t="s">
        <v>181</v>
      </c>
      <c r="B20" s="249"/>
      <c r="C20" s="249"/>
      <c r="D20" s="249"/>
      <c r="E20" s="249"/>
      <c r="F20" s="249"/>
      <c r="G20" s="249"/>
      <c r="H20" s="249"/>
      <c r="I20" s="249" t="s">
        <v>182</v>
      </c>
      <c r="J20" s="249"/>
      <c r="K20" s="249" t="s">
        <v>183</v>
      </c>
      <c r="L20" s="249"/>
      <c r="M20" s="249"/>
      <c r="N20" s="249"/>
      <c r="O20" s="249"/>
      <c r="P20" s="249"/>
      <c r="Q20" s="249"/>
      <c r="R20" s="249"/>
      <c r="S20" s="249"/>
      <c r="T20" s="249"/>
      <c r="U20" s="249"/>
      <c r="V20" s="249"/>
      <c r="W20" s="249"/>
      <c r="X20" s="249"/>
      <c r="Y20" s="249"/>
      <c r="Z20" s="249"/>
      <c r="AA20" s="249"/>
      <c r="AB20" s="249"/>
      <c r="AC20" s="236"/>
      <c r="AD20" s="236"/>
      <c r="AE20" s="236"/>
    </row>
    <row r="21" spans="1:31" ht="15.95" customHeight="1" x14ac:dyDescent="0.3">
      <c r="A21" s="263" t="str">
        <f>'VAL 2 TRIM'!P$8</f>
        <v>26/05/2021 (Estructuras Condicionales)</v>
      </c>
      <c r="B21" s="263"/>
      <c r="C21" s="263"/>
      <c r="D21" s="263"/>
      <c r="E21" s="263"/>
      <c r="F21" s="263"/>
      <c r="G21" s="263"/>
      <c r="H21" s="264"/>
      <c r="I21" s="253" t="e">
        <f>VLOOKUP($F$5,'[2]VAL 2 TRIM'!$B$9:$Z$31,15,FALSE)</f>
        <v>#N/A</v>
      </c>
      <c r="J21" s="253"/>
      <c r="K21" s="277" t="s">
        <v>190</v>
      </c>
      <c r="L21" s="259"/>
      <c r="M21" s="259"/>
      <c r="N21" s="259"/>
      <c r="O21" s="259"/>
      <c r="P21" s="259"/>
      <c r="Q21" s="259"/>
      <c r="R21" s="259"/>
      <c r="S21" s="259"/>
      <c r="T21" s="259"/>
      <c r="U21" s="259"/>
      <c r="V21" s="259"/>
      <c r="W21" s="259"/>
      <c r="X21" s="259"/>
      <c r="Y21" s="259"/>
      <c r="Z21" s="259"/>
      <c r="AA21" s="259"/>
      <c r="AB21" s="259"/>
      <c r="AC21" s="236" t="e">
        <f>IF(I21=0,1,0)</f>
        <v>#N/A</v>
      </c>
      <c r="AD21" s="236">
        <v>1</v>
      </c>
      <c r="AE21" s="236"/>
    </row>
    <row r="22" spans="1:31" ht="15.95" customHeight="1" x14ac:dyDescent="0.3">
      <c r="A22" s="263" t="str">
        <f>'VAL 2 TRIM'!Q$8</f>
        <v>15/07/2021(Precedencia de Operadores)</v>
      </c>
      <c r="B22" s="263"/>
      <c r="C22" s="263"/>
      <c r="D22" s="263"/>
      <c r="E22" s="263"/>
      <c r="F22" s="263"/>
      <c r="G22" s="263"/>
      <c r="H22" s="264"/>
      <c r="I22" s="253" t="e">
        <f>VLOOKUP($F$5,'[2]VAL 2 TRIM'!$B$9:$Z$31,16,FALSE)</f>
        <v>#N/A</v>
      </c>
      <c r="J22" s="253"/>
      <c r="K22" s="277" t="s">
        <v>191</v>
      </c>
      <c r="L22" s="259"/>
      <c r="M22" s="259"/>
      <c r="N22" s="259"/>
      <c r="O22" s="259"/>
      <c r="P22" s="259"/>
      <c r="Q22" s="259"/>
      <c r="R22" s="259"/>
      <c r="S22" s="259"/>
      <c r="T22" s="259"/>
      <c r="U22" s="259"/>
      <c r="V22" s="259"/>
      <c r="W22" s="259"/>
      <c r="X22" s="259"/>
      <c r="Y22" s="259"/>
      <c r="Z22" s="259"/>
      <c r="AA22" s="259"/>
      <c r="AB22" s="259"/>
      <c r="AC22" s="236" t="e">
        <f>IF(I22=0,1,0)</f>
        <v>#N/A</v>
      </c>
      <c r="AD22" s="236">
        <v>1</v>
      </c>
      <c r="AE22" s="236"/>
    </row>
    <row r="23" spans="1:31" ht="15.95" customHeight="1" x14ac:dyDescent="0.3">
      <c r="A23" s="263" t="str">
        <f>'VAL 2 TRIM'!R$8</f>
        <v>22/07/2021(Sentencias Condicionales)</v>
      </c>
      <c r="B23" s="263"/>
      <c r="C23" s="263"/>
      <c r="D23" s="263"/>
      <c r="E23" s="263"/>
      <c r="F23" s="263"/>
      <c r="G23" s="263"/>
      <c r="H23" s="264"/>
      <c r="I23" s="253" t="e">
        <f>VLOOKUP($F$5,'[2]VAL 2 TRIM'!$B$9:$Z$31,17,FALSE)</f>
        <v>#N/A</v>
      </c>
      <c r="J23" s="253"/>
      <c r="K23" s="258"/>
      <c r="L23" s="259"/>
      <c r="M23" s="259"/>
      <c r="N23" s="259"/>
      <c r="O23" s="259"/>
      <c r="P23" s="259"/>
      <c r="Q23" s="259"/>
      <c r="R23" s="259"/>
      <c r="S23" s="259"/>
      <c r="T23" s="259"/>
      <c r="U23" s="259"/>
      <c r="V23" s="259"/>
      <c r="W23" s="259"/>
      <c r="X23" s="259"/>
      <c r="Y23" s="259"/>
      <c r="Z23" s="259"/>
      <c r="AA23" s="259"/>
      <c r="AB23" s="259"/>
      <c r="AC23" s="236" t="e">
        <f>IF(I23=0,1,0)</f>
        <v>#N/A</v>
      </c>
      <c r="AD23" s="236">
        <v>1</v>
      </c>
      <c r="AE23" s="236"/>
    </row>
    <row r="24" spans="1:31" ht="15.95" customHeight="1" x14ac:dyDescent="0.3">
      <c r="A24" s="263">
        <f>'VAL 2 TRIM'!S$8</f>
        <v>0</v>
      </c>
      <c r="B24" s="263"/>
      <c r="C24" s="263"/>
      <c r="D24" s="263"/>
      <c r="E24" s="263"/>
      <c r="F24" s="263"/>
      <c r="G24" s="263"/>
      <c r="H24" s="264"/>
      <c r="I24" s="253" t="e">
        <f>VLOOKUP($F$5,'[2]VAL 2 TRIM'!$B$9:$Z$31,18,FALSE)</f>
        <v>#N/A</v>
      </c>
      <c r="J24" s="253"/>
      <c r="K24" s="265"/>
      <c r="L24" s="266"/>
      <c r="M24" s="266"/>
      <c r="N24" s="266"/>
      <c r="O24" s="266"/>
      <c r="P24" s="266"/>
      <c r="Q24" s="266"/>
      <c r="R24" s="266"/>
      <c r="S24" s="266"/>
      <c r="T24" s="266"/>
      <c r="U24" s="266"/>
      <c r="V24" s="266"/>
      <c r="W24" s="266"/>
      <c r="X24" s="266"/>
      <c r="Y24" s="266"/>
      <c r="Z24" s="266"/>
      <c r="AA24" s="266"/>
      <c r="AB24" s="267"/>
      <c r="AC24" s="236"/>
      <c r="AD24" s="236"/>
      <c r="AE24" s="236"/>
    </row>
    <row r="25" spans="1:31" ht="15.95" customHeight="1" x14ac:dyDescent="0.3">
      <c r="A25" s="260" t="s">
        <v>84</v>
      </c>
      <c r="B25" s="261"/>
      <c r="C25" s="261"/>
      <c r="D25" s="261"/>
      <c r="E25" s="261"/>
      <c r="F25" s="261"/>
      <c r="G25" s="261"/>
      <c r="H25" s="261"/>
      <c r="I25" s="268" t="e">
        <f>SUM(I21:J24)/4</f>
        <v>#N/A</v>
      </c>
      <c r="J25" s="268"/>
      <c r="K25" s="269"/>
      <c r="L25" s="269"/>
      <c r="M25" s="269"/>
      <c r="N25" s="269"/>
      <c r="O25" s="269"/>
      <c r="P25" s="269"/>
      <c r="Q25" s="269"/>
      <c r="R25" s="269"/>
      <c r="S25" s="269"/>
      <c r="T25" s="269"/>
      <c r="U25" s="269"/>
      <c r="V25" s="269"/>
      <c r="W25" s="269"/>
      <c r="X25" s="269"/>
      <c r="Y25" s="269"/>
      <c r="Z25" s="269"/>
      <c r="AA25" s="269"/>
      <c r="AB25" s="269"/>
      <c r="AC25" s="236" t="e">
        <f>SUM(AC21:AC23)</f>
        <v>#N/A</v>
      </c>
      <c r="AD25" s="270">
        <f>SUM(AD15:AD23)</f>
        <v>5</v>
      </c>
      <c r="AE25" s="236"/>
    </row>
    <row r="26" spans="1:31" ht="15.95" customHeight="1" x14ac:dyDescent="0.3">
      <c r="A26" s="271" t="e">
        <f>IF(AC26&gt;0,CONCATENATE("Observaciones:El estudiante  ",F5,"  durante el segundo trimestre tuvo ",P11," Asistencias, ",Q11," Faltas, ",R11," Retrasos, ",S11," Licencias,  Total de Dias Trabajados ",T11,", en relacion a las practicas",IF(AC26&gt;0,CONCATENATE(" No presentó ",AC26," Practicas"),"Presentó todo")," de las ",AD25,"  tareas (El estudiante puede presentar practicas por una ponderacion de 20 puntos)"),"Observaciones: Ninguna")</f>
        <v>#N/A</v>
      </c>
      <c r="B26" s="271"/>
      <c r="C26" s="271"/>
      <c r="D26" s="271"/>
      <c r="E26" s="271"/>
      <c r="F26" s="271"/>
      <c r="G26" s="271"/>
      <c r="H26" s="271"/>
      <c r="I26" s="271"/>
      <c r="J26" s="271"/>
      <c r="K26" s="271"/>
      <c r="L26" s="271"/>
      <c r="M26" s="271"/>
      <c r="N26" s="271"/>
      <c r="O26" s="271"/>
      <c r="P26" s="271"/>
      <c r="Q26" s="271"/>
      <c r="R26" s="271"/>
      <c r="S26" s="271"/>
      <c r="T26" s="271"/>
      <c r="U26" s="271"/>
      <c r="V26" s="271"/>
      <c r="W26" s="271"/>
      <c r="X26" s="271"/>
      <c r="Y26" s="271"/>
      <c r="Z26" s="271"/>
      <c r="AA26" s="271"/>
      <c r="AB26" s="271"/>
      <c r="AC26" s="236" t="e">
        <f>AC17+AC25</f>
        <v>#N/A</v>
      </c>
      <c r="AD26" s="236"/>
      <c r="AE26" s="236"/>
    </row>
    <row r="27" spans="1:31" ht="15.95" customHeight="1" x14ac:dyDescent="0.3">
      <c r="A27" s="272"/>
      <c r="B27" s="272"/>
      <c r="C27" s="272"/>
      <c r="D27" s="272"/>
      <c r="E27" s="272"/>
      <c r="F27" s="272"/>
      <c r="G27" s="272"/>
      <c r="H27" s="272"/>
      <c r="I27" s="272"/>
      <c r="J27" s="272"/>
      <c r="K27" s="272"/>
      <c r="L27" s="272"/>
      <c r="M27" s="272"/>
      <c r="N27" s="272"/>
      <c r="O27" s="272"/>
      <c r="P27" s="272"/>
      <c r="Q27" s="272"/>
      <c r="R27" s="272"/>
      <c r="S27" s="272"/>
      <c r="T27" s="272"/>
      <c r="U27" s="272"/>
      <c r="V27" s="272"/>
      <c r="W27" s="272"/>
      <c r="X27" s="272"/>
      <c r="Y27" s="272"/>
      <c r="Z27" s="272"/>
      <c r="AA27" s="272"/>
      <c r="AB27" s="272"/>
      <c r="AC27" s="236"/>
      <c r="AD27" s="236"/>
      <c r="AE27" s="236"/>
    </row>
    <row r="28" spans="1:31" ht="15.95" customHeight="1" x14ac:dyDescent="0.3">
      <c r="A28" s="236"/>
      <c r="B28" s="236"/>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row>
    <row r="29" spans="1:31" ht="15.95" customHeight="1" x14ac:dyDescent="0.3">
      <c r="A29" s="236"/>
      <c r="B29" s="236"/>
      <c r="C29" s="236"/>
      <c r="D29" s="236"/>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36"/>
      <c r="AC29" s="236"/>
      <c r="AD29" s="236"/>
      <c r="AE29" s="236"/>
    </row>
    <row r="30" spans="1:31" ht="15.95" customHeight="1" x14ac:dyDescent="0.3">
      <c r="A30" s="236"/>
      <c r="B30" s="236"/>
      <c r="C30" s="236"/>
      <c r="D30" s="236"/>
      <c r="E30" s="236"/>
      <c r="F30" s="236"/>
      <c r="G30" s="236"/>
      <c r="H30" s="236"/>
      <c r="I30" s="236"/>
      <c r="J30" s="236"/>
      <c r="K30" s="236"/>
      <c r="L30" s="236"/>
      <c r="M30" s="236"/>
      <c r="N30" s="236"/>
      <c r="O30" s="236"/>
      <c r="P30" s="236"/>
      <c r="Q30" s="236"/>
      <c r="R30" s="236"/>
      <c r="S30" s="236"/>
      <c r="T30" s="236"/>
      <c r="U30" s="236"/>
      <c r="V30" s="236"/>
      <c r="W30" s="236"/>
      <c r="X30" s="236"/>
      <c r="Y30" s="236"/>
      <c r="Z30" s="236"/>
      <c r="AA30" s="236"/>
      <c r="AB30" s="236"/>
      <c r="AC30" s="236"/>
      <c r="AD30" s="236"/>
      <c r="AE30" s="236"/>
    </row>
    <row r="31" spans="1:31" ht="15.95" customHeight="1" x14ac:dyDescent="0.3">
      <c r="A31" s="236"/>
      <c r="B31" s="236"/>
      <c r="C31" s="236"/>
      <c r="D31" s="236"/>
      <c r="E31" s="236"/>
      <c r="F31" s="236"/>
      <c r="G31" s="236"/>
      <c r="H31" s="236"/>
      <c r="I31" s="236"/>
      <c r="J31" s="236"/>
      <c r="K31" s="236"/>
      <c r="L31" s="236"/>
      <c r="M31" s="236"/>
      <c r="N31" s="236"/>
      <c r="O31" s="236"/>
      <c r="P31" s="236"/>
      <c r="Q31" s="236"/>
      <c r="R31" s="236"/>
      <c r="S31" s="236"/>
      <c r="T31" s="236"/>
      <c r="U31" s="236"/>
      <c r="V31" s="236"/>
      <c r="W31" s="236"/>
      <c r="X31" s="236"/>
      <c r="Y31" s="236"/>
      <c r="Z31" s="236"/>
      <c r="AA31" s="236"/>
      <c r="AB31" s="236"/>
      <c r="AC31" s="236"/>
      <c r="AD31" s="236"/>
      <c r="AE31" s="236"/>
    </row>
  </sheetData>
  <mergeCells count="45">
    <mergeCell ref="A25:H25"/>
    <mergeCell ref="I25:J25"/>
    <mergeCell ref="K25:AB25"/>
    <mergeCell ref="A26:AB27"/>
    <mergeCell ref="AA4:AA5"/>
    <mergeCell ref="AB4:AB5"/>
    <mergeCell ref="A23:H23"/>
    <mergeCell ref="I23:J23"/>
    <mergeCell ref="K23:AB23"/>
    <mergeCell ref="A24:H24"/>
    <mergeCell ref="I24:J24"/>
    <mergeCell ref="K24:AB24"/>
    <mergeCell ref="A21:H21"/>
    <mergeCell ref="I21:J21"/>
    <mergeCell ref="K21:AB21"/>
    <mergeCell ref="A22:H22"/>
    <mergeCell ref="I22:J22"/>
    <mergeCell ref="K22:AB22"/>
    <mergeCell ref="A17:H17"/>
    <mergeCell ref="I17:J17"/>
    <mergeCell ref="K17:AB17"/>
    <mergeCell ref="A19:AB19"/>
    <mergeCell ref="A20:H20"/>
    <mergeCell ref="I20:J20"/>
    <mergeCell ref="K20:AB20"/>
    <mergeCell ref="A15:H15"/>
    <mergeCell ref="I15:J15"/>
    <mergeCell ref="K15:AB15"/>
    <mergeCell ref="A16:H16"/>
    <mergeCell ref="I16:J16"/>
    <mergeCell ref="K16:AB16"/>
    <mergeCell ref="A6:E6"/>
    <mergeCell ref="F6:AB6"/>
    <mergeCell ref="A8:AB8"/>
    <mergeCell ref="A13:AB13"/>
    <mergeCell ref="A14:H14"/>
    <mergeCell ref="I14:J14"/>
    <mergeCell ref="K14:AB14"/>
    <mergeCell ref="A2:AB2"/>
    <mergeCell ref="A4:E4"/>
    <mergeCell ref="F4:N4"/>
    <mergeCell ref="O4:Q4"/>
    <mergeCell ref="R4:Z4"/>
    <mergeCell ref="A5:E5"/>
    <mergeCell ref="F5:Z5"/>
  </mergeCells>
  <hyperlinks>
    <hyperlink ref="K21" r:id="rId1" xr:uid="{42B5672E-F003-413A-929E-8A576D6431BF}"/>
    <hyperlink ref="K22" r:id="rId2" xr:uid="{F715A6EA-EFE0-4F5B-B5CB-FFA7A83B4A2D}"/>
    <hyperlink ref="K15" r:id="rId3" xr:uid="{081257DE-EBE2-4101-A347-F95F1B18D8B6}"/>
  </hyperlinks>
  <pageMargins left="0.70866141732283472" right="0.70866141732283472" top="0.35433070866141736" bottom="0.55118110236220474" header="0" footer="0"/>
  <pageSetup orientation="landscape" horizontalDpi="0" verticalDpi="0" r:id="rId4"/>
  <extLst>
    <ext xmlns:x14="http://schemas.microsoft.com/office/spreadsheetml/2009/9/main" uri="{CCE6A557-97BC-4b89-ADB6-D9C93CAAB3DF}">
      <x14:dataValidations xmlns:xm="http://schemas.microsoft.com/office/excel/2006/main" count="1">
        <x14:dataValidation type="list" allowBlank="1" showInputMessage="1" showErrorMessage="1" xr:uid="{1988F5D6-15EB-455D-AE45-6E137E164754}">
          <x14:formula1>
            <xm:f>'ASIS 2 TRIM'!$B$8:$B$25</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173" t="s">
        <v>74</v>
      </c>
      <c r="C2" s="169"/>
      <c r="D2" s="169"/>
      <c r="E2" s="169"/>
      <c r="F2" s="169"/>
      <c r="G2" s="169"/>
      <c r="H2" s="169"/>
      <c r="I2" s="169"/>
      <c r="J2" s="169"/>
      <c r="K2" s="169"/>
      <c r="L2" s="169"/>
      <c r="M2" s="169"/>
      <c r="N2" s="169"/>
      <c r="O2" s="169"/>
      <c r="P2" s="169"/>
      <c r="Q2" s="169"/>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c r="AP2" s="169"/>
      <c r="AQ2" s="169"/>
      <c r="AR2" s="169"/>
      <c r="AS2" s="169"/>
      <c r="AT2" s="169"/>
      <c r="AU2" s="169"/>
      <c r="AV2" s="169"/>
      <c r="AW2" s="169"/>
      <c r="AX2" s="169"/>
      <c r="AY2" s="169"/>
      <c r="AZ2" s="169"/>
      <c r="BA2" s="169"/>
      <c r="BB2" s="169"/>
      <c r="BC2" s="169"/>
      <c r="BD2" s="169"/>
      <c r="BE2" s="169"/>
      <c r="BF2" s="169"/>
      <c r="BG2" s="169"/>
      <c r="BH2" s="169"/>
      <c r="BI2" s="169"/>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51</v>
      </c>
      <c r="AL3" s="40"/>
      <c r="AM3" s="40"/>
      <c r="AN3" s="40"/>
      <c r="AO3" s="40"/>
      <c r="AP3" s="40"/>
      <c r="AQ3" s="40"/>
      <c r="AR3" s="40"/>
      <c r="AS3" s="40"/>
      <c r="AT3" s="174">
        <f>CARÁTULA!$H$24</f>
        <v>44440</v>
      </c>
      <c r="AU3" s="169"/>
      <c r="AV3" s="169"/>
      <c r="AW3" s="169"/>
      <c r="AX3" s="169"/>
      <c r="AY3" s="169"/>
      <c r="AZ3" s="169"/>
      <c r="BA3" s="188"/>
      <c r="BB3" s="169"/>
      <c r="BC3" s="169"/>
      <c r="BD3" s="169"/>
      <c r="BE3" s="169"/>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53</v>
      </c>
      <c r="T4" s="42"/>
      <c r="U4" s="40"/>
      <c r="V4" s="40"/>
      <c r="W4" s="40"/>
      <c r="X4" s="39">
        <f>CARÁTULA!$C$19</f>
        <v>0</v>
      </c>
      <c r="Y4" s="40"/>
      <c r="Z4" s="40"/>
      <c r="AA4" s="40"/>
      <c r="AB4" s="40"/>
      <c r="AC4" s="40"/>
      <c r="AD4" s="40"/>
      <c r="AE4" s="40"/>
      <c r="AF4" s="40"/>
      <c r="AG4" s="40"/>
      <c r="AH4" s="40"/>
      <c r="AI4" s="40"/>
      <c r="AJ4" s="40"/>
      <c r="AK4" s="42" t="s">
        <v>54</v>
      </c>
      <c r="AL4" s="40"/>
      <c r="AM4" s="40"/>
      <c r="AN4" s="40"/>
      <c r="AO4" s="40"/>
      <c r="AP4" s="40"/>
      <c r="AQ4" s="40"/>
      <c r="AR4" s="40"/>
      <c r="AS4" s="40"/>
      <c r="AT4" s="174">
        <f>CARÁTULA!$J$24</f>
        <v>44531</v>
      </c>
      <c r="AU4" s="169"/>
      <c r="AV4" s="169"/>
      <c r="AW4" s="169"/>
      <c r="AX4" s="169"/>
      <c r="AY4" s="169"/>
      <c r="AZ4" s="169"/>
      <c r="BA4" s="189">
        <f ca="1">AT4-AT5</f>
        <v>112</v>
      </c>
      <c r="BB4" s="179"/>
      <c r="BC4" s="179"/>
      <c r="BD4" s="179"/>
      <c r="BE4" s="180"/>
    </row>
    <row r="5" spans="1:61" ht="12.75" customHeight="1" x14ac:dyDescent="0.3">
      <c r="B5" s="38" t="s">
        <v>22</v>
      </c>
      <c r="C5" s="39" t="str">
        <f>CARÁTULA!$C$23</f>
        <v>4to de Secundaria</v>
      </c>
      <c r="D5" s="40"/>
      <c r="E5" s="40"/>
      <c r="F5" s="40"/>
      <c r="G5" s="40"/>
      <c r="H5" s="40"/>
      <c r="I5" s="40"/>
      <c r="J5" s="40"/>
      <c r="K5" s="40"/>
      <c r="L5" s="40"/>
      <c r="M5" s="40"/>
      <c r="N5" s="40"/>
      <c r="O5" s="38"/>
      <c r="P5" s="38"/>
      <c r="Q5" s="38"/>
      <c r="R5" s="38"/>
      <c r="S5" s="43" t="s">
        <v>23</v>
      </c>
      <c r="T5" s="44"/>
      <c r="U5" s="44"/>
      <c r="V5" s="44"/>
      <c r="W5" s="44"/>
      <c r="X5" s="187">
        <f ca="1">TODAY()</f>
        <v>44419</v>
      </c>
      <c r="Y5" s="169"/>
      <c r="Z5" s="169"/>
      <c r="AA5" s="169"/>
      <c r="AB5" s="169"/>
      <c r="AC5" s="169"/>
      <c r="AD5" s="40"/>
      <c r="AE5" s="40"/>
      <c r="AF5" s="40"/>
      <c r="AG5" s="40"/>
      <c r="AH5" s="40"/>
      <c r="AI5" s="40"/>
      <c r="AJ5" s="40"/>
      <c r="AK5" s="45" t="s">
        <v>55</v>
      </c>
      <c r="AL5" s="46"/>
      <c r="AM5" s="46"/>
      <c r="AN5" s="46"/>
      <c r="AO5" s="46"/>
      <c r="AP5" s="46"/>
      <c r="AQ5" s="46"/>
      <c r="AR5" s="40"/>
      <c r="AS5" s="40"/>
      <c r="AT5" s="185">
        <f ca="1">TODAY()</f>
        <v>44419</v>
      </c>
      <c r="AU5" s="169"/>
      <c r="AV5" s="169"/>
      <c r="AW5" s="169"/>
      <c r="AX5" s="169"/>
      <c r="AY5" s="169"/>
      <c r="AZ5" s="169"/>
      <c r="BA5" s="181"/>
      <c r="BB5" s="182"/>
      <c r="BC5" s="182"/>
      <c r="BD5" s="182"/>
      <c r="BE5" s="183"/>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3">
      <c r="A7" s="48" t="s">
        <v>56</v>
      </c>
      <c r="B7" s="49" t="s">
        <v>57</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75</v>
      </c>
      <c r="BB7" s="56" t="s">
        <v>76</v>
      </c>
      <c r="BC7" s="56" t="s">
        <v>77</v>
      </c>
      <c r="BD7" s="56" t="s">
        <v>78</v>
      </c>
      <c r="BE7" s="57" t="s">
        <v>62</v>
      </c>
    </row>
    <row r="8" spans="1:61" ht="12" customHeight="1" x14ac:dyDescent="0.3">
      <c r="A8" s="58">
        <v>1</v>
      </c>
      <c r="B8" s="59" t="str">
        <f>'C. FILIACION'!B8</f>
        <v>BENITEZ BALLESTEROS KAREN ARIANA</v>
      </c>
      <c r="C8" s="48" t="s">
        <v>70</v>
      </c>
      <c r="D8" s="48" t="s">
        <v>71</v>
      </c>
      <c r="E8" s="48" t="s">
        <v>72</v>
      </c>
      <c r="F8" s="48" t="s">
        <v>73</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73</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3">
      <c r="A9" s="58">
        <v>2</v>
      </c>
      <c r="B9" s="59" t="str">
        <f>'C. FILIACION'!B9</f>
        <v>CALIZAYA MERCADO AXEL GABRIEL</v>
      </c>
      <c r="C9" s="48"/>
      <c r="D9" s="48"/>
      <c r="E9" s="48"/>
      <c r="F9" s="48"/>
      <c r="G9" s="48"/>
      <c r="H9" s="48"/>
      <c r="I9" s="48"/>
      <c r="J9" s="48"/>
      <c r="K9" s="48"/>
      <c r="L9" s="48" t="s">
        <v>73</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3">
      <c r="A10" s="58">
        <v>3</v>
      </c>
      <c r="B10" s="59" t="str">
        <f>'C. FILIACION'!B10</f>
        <v>CANO GUZMAN FABRIZIO RODRIGO</v>
      </c>
      <c r="C10" s="48"/>
      <c r="D10" s="48" t="s">
        <v>71</v>
      </c>
      <c r="E10" s="48" t="s">
        <v>71</v>
      </c>
      <c r="F10" s="48" t="s">
        <v>71</v>
      </c>
      <c r="G10" s="48" t="s">
        <v>71</v>
      </c>
      <c r="H10" s="48" t="s">
        <v>71</v>
      </c>
      <c r="I10" s="48" t="s">
        <v>71</v>
      </c>
      <c r="J10" s="48" t="s">
        <v>71</v>
      </c>
      <c r="K10" s="48" t="s">
        <v>71</v>
      </c>
      <c r="L10" s="48" t="s">
        <v>71</v>
      </c>
      <c r="M10" s="48" t="s">
        <v>71</v>
      </c>
      <c r="N10" s="48" t="s">
        <v>71</v>
      </c>
      <c r="O10" s="48" t="s">
        <v>64</v>
      </c>
      <c r="P10" s="48" t="s">
        <v>64</v>
      </c>
      <c r="Q10" s="48" t="s">
        <v>64</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3">
      <c r="A11" s="58">
        <v>4</v>
      </c>
      <c r="B11" s="59" t="str">
        <f>'C. FILIACION'!B11</f>
        <v>CHOQUE LAURA CARLOS EDUARDO</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3">
      <c r="A12" s="58">
        <v>5</v>
      </c>
      <c r="B12" s="59" t="str">
        <f>'C. FILIACION'!B12</f>
        <v>CONDORI GALARZA DENSEL ALEXSIS</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3">
      <c r="A13" s="58">
        <v>6</v>
      </c>
      <c r="B13" s="59" t="str">
        <f>'C. FILIACION'!B13</f>
        <v>DAZA RAMIREZ KALEP MATEO</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3">
      <c r="A14" s="58">
        <v>7</v>
      </c>
      <c r="B14" s="59" t="str">
        <f>'C. FILIACION'!B14</f>
        <v>ESTRADA FUNES NAZARETH</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3">
      <c r="A15" s="58">
        <v>8</v>
      </c>
      <c r="B15" s="59" t="str">
        <f>'C. FILIACION'!B15</f>
        <v>FLORES VILLEGAS CARLOS IVAN</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3">
      <c r="A16" s="58">
        <v>9</v>
      </c>
      <c r="B16" s="59" t="str">
        <f>'C. FILIACION'!B16</f>
        <v>FRANCISCO RUIZ LUCERO</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3">
      <c r="A17" s="58">
        <v>10</v>
      </c>
      <c r="B17" s="59" t="str">
        <f>'C. FILIACION'!B17</f>
        <v>IBARRA VINO ELOY INTI</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3">
      <c r="A18" s="58">
        <v>11</v>
      </c>
      <c r="B18" s="59" t="str">
        <f>'C. FILIACION'!B18</f>
        <v>LOPEZ BLANCO SOFIA FELEN</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3">
      <c r="A19" s="58">
        <v>12</v>
      </c>
      <c r="B19" s="59" t="str">
        <f>'C. FILIACION'!B19</f>
        <v>LOPEZ PACO RODRIGO ADRIAN</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3">
      <c r="A20" s="58">
        <v>13</v>
      </c>
      <c r="B20" s="59" t="str">
        <f>'C. FILIACION'!B20</f>
        <v>LOPEZ VERA MILENCA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3">
      <c r="A21" s="58">
        <v>14</v>
      </c>
      <c r="B21" s="59" t="str">
        <f>'C. FILIACION'!B21</f>
        <v>MEDINA CHOQUE JOSE ROBERTO</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3">
      <c r="A22" s="58">
        <v>15</v>
      </c>
      <c r="B22" s="59" t="str">
        <f>'C. FILIACION'!B22</f>
        <v>MIRABAL AYANOME JOSE ALFREDO</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3">
      <c r="A23" s="58">
        <v>16</v>
      </c>
      <c r="B23" s="59" t="str">
        <f>'C. FILIACION'!B23</f>
        <v>NINA RUEDA ESTEFANY DANIELA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3">
      <c r="A24" s="58">
        <v>17</v>
      </c>
      <c r="B24" s="59" t="str">
        <f>'C. FILIACION'!B24</f>
        <v>PORTILLO QUISPE JORGE LUIS</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
      <c r="A25" s="58">
        <v>18</v>
      </c>
      <c r="B25" s="59" t="str">
        <f>'C. FILIACION'!B25</f>
        <v>TORREZ PACO CARLA MILENKA</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35">
      <c r="A2" s="70"/>
      <c r="B2" s="195" t="s">
        <v>79</v>
      </c>
      <c r="C2" s="160"/>
      <c r="D2" s="160"/>
      <c r="E2" s="160"/>
      <c r="F2" s="160"/>
      <c r="G2" s="160"/>
      <c r="H2" s="160"/>
      <c r="I2" s="160"/>
      <c r="J2" s="160"/>
      <c r="K2" s="160"/>
      <c r="L2" s="160"/>
      <c r="M2" s="160"/>
      <c r="N2" s="160"/>
      <c r="O2" s="160"/>
      <c r="P2" s="160"/>
      <c r="Q2" s="160"/>
      <c r="R2" s="160"/>
      <c r="S2" s="160"/>
      <c r="T2" s="160"/>
      <c r="U2" s="160"/>
      <c r="V2" s="160"/>
      <c r="W2" s="160"/>
      <c r="X2" s="160"/>
      <c r="Y2" s="160"/>
      <c r="Z2" s="160"/>
      <c r="AA2" s="160"/>
      <c r="AB2" s="160"/>
      <c r="AC2" s="160"/>
      <c r="AD2" s="160"/>
      <c r="AE2" s="160"/>
      <c r="AF2" s="160"/>
      <c r="AG2" s="160"/>
      <c r="AH2" s="160"/>
      <c r="AI2" s="160"/>
      <c r="AJ2" s="160"/>
      <c r="AK2" s="160"/>
      <c r="AL2" s="160"/>
      <c r="AM2" s="160"/>
      <c r="AN2" s="160"/>
      <c r="AO2" s="160"/>
      <c r="AP2" s="160"/>
      <c r="AQ2" s="160"/>
      <c r="AR2" s="161"/>
      <c r="AS2" s="72"/>
      <c r="AT2" s="72"/>
      <c r="AU2" s="72"/>
      <c r="AV2" s="72"/>
    </row>
    <row r="3" spans="1:48" ht="12.75" customHeight="1" x14ac:dyDescent="0.35">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193" t="s">
        <v>51</v>
      </c>
      <c r="AD3" s="191"/>
      <c r="AE3" s="191"/>
      <c r="AF3" s="191"/>
      <c r="AG3" s="191"/>
      <c r="AH3" s="192"/>
      <c r="AI3" s="187">
        <f>CARÁTULA!$H$14</f>
        <v>44228</v>
      </c>
      <c r="AJ3" s="169"/>
      <c r="AK3" s="169"/>
      <c r="AL3" s="169"/>
      <c r="AM3" s="169"/>
      <c r="AN3" s="196" t="s">
        <v>52</v>
      </c>
      <c r="AO3" s="160"/>
      <c r="AP3" s="160"/>
      <c r="AQ3" s="160"/>
      <c r="AR3" s="161"/>
      <c r="AS3" s="71"/>
      <c r="AT3" s="71"/>
      <c r="AU3" s="71"/>
      <c r="AV3" s="71"/>
    </row>
    <row r="4" spans="1:48" ht="12.75" customHeight="1" x14ac:dyDescent="0.35">
      <c r="A4" s="70"/>
      <c r="B4" s="73" t="s">
        <v>14</v>
      </c>
      <c r="C4" s="74" t="str">
        <f>CARÁTULA!$C$21</f>
        <v>Secundaria</v>
      </c>
      <c r="D4" s="75"/>
      <c r="E4" s="75"/>
      <c r="F4" s="75"/>
      <c r="G4" s="76"/>
      <c r="H4" s="76"/>
      <c r="I4" s="76"/>
      <c r="J4" s="76"/>
      <c r="K4" s="76"/>
      <c r="L4" s="76"/>
      <c r="M4" s="76"/>
      <c r="N4" s="76"/>
      <c r="O4" s="76" t="s">
        <v>53</v>
      </c>
      <c r="P4" s="77"/>
      <c r="Q4" s="75"/>
      <c r="R4" s="75"/>
      <c r="S4" s="74">
        <f>CARÁTULA!$C$19</f>
        <v>0</v>
      </c>
      <c r="T4" s="75"/>
      <c r="U4" s="75"/>
      <c r="V4" s="75"/>
      <c r="W4" s="75"/>
      <c r="X4" s="75"/>
      <c r="Y4" s="75"/>
      <c r="Z4" s="75"/>
      <c r="AA4" s="75"/>
      <c r="AB4" s="75"/>
      <c r="AC4" s="193" t="s">
        <v>54</v>
      </c>
      <c r="AD4" s="191"/>
      <c r="AE4" s="191"/>
      <c r="AF4" s="191"/>
      <c r="AG4" s="191"/>
      <c r="AH4" s="192"/>
      <c r="AI4" s="187">
        <f>CARÁTULA!$J$14</f>
        <v>44323</v>
      </c>
      <c r="AJ4" s="169"/>
      <c r="AK4" s="169"/>
      <c r="AL4" s="169"/>
      <c r="AM4" s="169"/>
      <c r="AN4" s="189">
        <f ca="1">AI4-AI5</f>
        <v>-96</v>
      </c>
      <c r="AO4" s="179"/>
      <c r="AP4" s="179"/>
      <c r="AQ4" s="179"/>
      <c r="AR4" s="180"/>
    </row>
    <row r="5" spans="1:48" ht="12.75" customHeight="1" x14ac:dyDescent="0.35">
      <c r="A5" s="70"/>
      <c r="B5" s="73" t="s">
        <v>22</v>
      </c>
      <c r="C5" s="74" t="str">
        <f>CARÁTULA!$C$23</f>
        <v>4to de Secundaria</v>
      </c>
      <c r="D5" s="75"/>
      <c r="E5" s="75"/>
      <c r="F5" s="75"/>
      <c r="G5" s="73"/>
      <c r="H5" s="73"/>
      <c r="I5" s="73"/>
      <c r="J5" s="73"/>
      <c r="K5" s="73"/>
      <c r="L5" s="73"/>
      <c r="M5" s="73"/>
      <c r="N5" s="73"/>
      <c r="O5" s="76" t="s">
        <v>23</v>
      </c>
      <c r="P5" s="78"/>
      <c r="Q5" s="78"/>
      <c r="R5" s="78"/>
      <c r="S5" s="201">
        <f ca="1">TODAY()</f>
        <v>44419</v>
      </c>
      <c r="T5" s="160"/>
      <c r="U5" s="160"/>
      <c r="V5" s="160"/>
      <c r="W5" s="160"/>
      <c r="X5" s="160"/>
      <c r="Y5" s="160"/>
      <c r="Z5" s="160"/>
      <c r="AA5" s="161"/>
      <c r="AB5" s="75"/>
      <c r="AC5" s="194" t="s">
        <v>55</v>
      </c>
      <c r="AD5" s="191"/>
      <c r="AE5" s="191"/>
      <c r="AF5" s="191"/>
      <c r="AG5" s="191"/>
      <c r="AH5" s="192"/>
      <c r="AI5" s="197">
        <f ca="1">TODAY()</f>
        <v>44419</v>
      </c>
      <c r="AJ5" s="169"/>
      <c r="AK5" s="169"/>
      <c r="AL5" s="169"/>
      <c r="AM5" s="169"/>
      <c r="AN5" s="181"/>
      <c r="AO5" s="182"/>
      <c r="AP5" s="182"/>
      <c r="AQ5" s="182"/>
      <c r="AR5" s="183"/>
    </row>
    <row r="6" spans="1:48" ht="12.75" customHeight="1" x14ac:dyDescent="0.35">
      <c r="A6" s="70"/>
      <c r="B6" s="73"/>
      <c r="C6" s="175" t="s">
        <v>80</v>
      </c>
      <c r="D6" s="176"/>
      <c r="E6" s="176"/>
      <c r="F6" s="176"/>
      <c r="G6" s="176"/>
      <c r="H6" s="176"/>
      <c r="I6" s="176"/>
      <c r="J6" s="176"/>
      <c r="K6" s="176"/>
      <c r="L6" s="176"/>
      <c r="M6" s="176"/>
      <c r="N6" s="176"/>
      <c r="O6" s="176"/>
      <c r="P6" s="176"/>
      <c r="Q6" s="176"/>
      <c r="R6" s="176"/>
      <c r="S6" s="176"/>
      <c r="T6" s="176"/>
      <c r="U6" s="176"/>
      <c r="V6" s="176"/>
      <c r="W6" s="176"/>
      <c r="X6" s="176"/>
      <c r="Y6" s="176"/>
      <c r="Z6" s="176"/>
      <c r="AA6" s="177"/>
      <c r="AB6" s="202" t="s">
        <v>81</v>
      </c>
      <c r="AC6" s="191"/>
      <c r="AD6" s="191"/>
      <c r="AE6" s="192"/>
      <c r="AF6" s="79"/>
      <c r="AG6" s="80"/>
      <c r="AH6" s="80"/>
      <c r="AI6" s="81"/>
      <c r="AJ6" s="82"/>
      <c r="AK6" s="82"/>
      <c r="AL6" s="82"/>
      <c r="AM6" s="82"/>
      <c r="AN6" s="83"/>
      <c r="AO6" s="83"/>
      <c r="AP6" s="83"/>
      <c r="AQ6" s="83"/>
      <c r="AR6" s="83"/>
    </row>
    <row r="7" spans="1:48" ht="12" customHeight="1" x14ac:dyDescent="0.35">
      <c r="A7" s="70"/>
      <c r="B7" s="84"/>
      <c r="C7" s="203" t="s">
        <v>82</v>
      </c>
      <c r="D7" s="204" t="s">
        <v>83</v>
      </c>
      <c r="E7" s="191"/>
      <c r="F7" s="191"/>
      <c r="G7" s="191"/>
      <c r="H7" s="191"/>
      <c r="I7" s="191"/>
      <c r="J7" s="191"/>
      <c r="K7" s="191"/>
      <c r="L7" s="191"/>
      <c r="M7" s="191"/>
      <c r="N7" s="191"/>
      <c r="O7" s="200" t="s">
        <v>84</v>
      </c>
      <c r="P7" s="204" t="s">
        <v>85</v>
      </c>
      <c r="Q7" s="191"/>
      <c r="R7" s="191"/>
      <c r="S7" s="191"/>
      <c r="T7" s="191"/>
      <c r="U7" s="191"/>
      <c r="V7" s="191"/>
      <c r="W7" s="191"/>
      <c r="X7" s="191"/>
      <c r="Y7" s="191"/>
      <c r="Z7" s="191"/>
      <c r="AA7" s="198" t="s">
        <v>86</v>
      </c>
      <c r="AB7" s="200" t="s">
        <v>84</v>
      </c>
      <c r="AC7" s="198" t="s">
        <v>87</v>
      </c>
      <c r="AD7" s="198" t="s">
        <v>88</v>
      </c>
      <c r="AE7" s="200" t="s">
        <v>84</v>
      </c>
      <c r="AF7" s="205" t="s">
        <v>89</v>
      </c>
      <c r="AG7" s="206" t="s">
        <v>90</v>
      </c>
      <c r="AH7" s="207" t="s">
        <v>91</v>
      </c>
      <c r="AI7" s="176"/>
      <c r="AJ7" s="176"/>
      <c r="AK7" s="176"/>
      <c r="AL7" s="176"/>
      <c r="AM7" s="177"/>
      <c r="AN7" s="85"/>
      <c r="AO7" s="75"/>
      <c r="AP7" s="75"/>
      <c r="AQ7" s="75"/>
      <c r="AR7" s="70"/>
    </row>
    <row r="8" spans="1:48" ht="156.75" x14ac:dyDescent="0.3">
      <c r="A8" s="48" t="s">
        <v>56</v>
      </c>
      <c r="B8" s="49" t="s">
        <v>57</v>
      </c>
      <c r="C8" s="199"/>
      <c r="D8" s="86" t="s">
        <v>92</v>
      </c>
      <c r="E8" s="86" t="s">
        <v>93</v>
      </c>
      <c r="F8" s="86" t="s">
        <v>94</v>
      </c>
      <c r="G8" s="53"/>
      <c r="H8" s="53"/>
      <c r="I8" s="53"/>
      <c r="J8" s="51"/>
      <c r="K8" s="52"/>
      <c r="L8" s="52"/>
      <c r="M8" s="53"/>
      <c r="N8" s="54"/>
      <c r="O8" s="199"/>
      <c r="P8" s="86" t="s">
        <v>95</v>
      </c>
      <c r="Q8" s="86" t="s">
        <v>96</v>
      </c>
      <c r="R8" s="52"/>
      <c r="S8" s="53"/>
      <c r="T8" s="53"/>
      <c r="U8" s="53"/>
      <c r="V8" s="53"/>
      <c r="W8" s="53"/>
      <c r="X8" s="53"/>
      <c r="Y8" s="53"/>
      <c r="Z8" s="53"/>
      <c r="AA8" s="199"/>
      <c r="AB8" s="199"/>
      <c r="AC8" s="199"/>
      <c r="AD8" s="199"/>
      <c r="AE8" s="199"/>
      <c r="AF8" s="199"/>
      <c r="AG8" s="199"/>
      <c r="AH8" s="208"/>
      <c r="AI8" s="209"/>
      <c r="AJ8" s="209"/>
      <c r="AK8" s="209"/>
      <c r="AL8" s="209"/>
      <c r="AM8" s="210"/>
      <c r="AN8" s="87"/>
      <c r="AO8" s="87"/>
      <c r="AP8" s="87"/>
      <c r="AQ8" s="87"/>
      <c r="AR8" s="88"/>
    </row>
    <row r="9" spans="1:48" ht="12" customHeight="1" x14ac:dyDescent="0.3">
      <c r="A9" s="58">
        <v>1</v>
      </c>
      <c r="B9" s="89" t="str">
        <f>'C. FILIACION'!B8</f>
        <v>BENITEZ BALLESTEROS KAREN ARIANA</v>
      </c>
      <c r="C9" s="31">
        <v>10</v>
      </c>
      <c r="D9" s="60">
        <v>30</v>
      </c>
      <c r="E9" s="90">
        <v>30</v>
      </c>
      <c r="F9" s="90">
        <v>30</v>
      </c>
      <c r="G9" s="31"/>
      <c r="H9" s="31"/>
      <c r="I9" s="31"/>
      <c r="J9" s="31"/>
      <c r="K9" s="31"/>
      <c r="L9" s="31"/>
      <c r="M9" s="31"/>
      <c r="N9" s="31"/>
      <c r="O9" s="91">
        <f t="shared" ref="O9:O44" si="0">IFERROR(ROUND(AVERAGE(D9:N9),0),"")</f>
        <v>30</v>
      </c>
      <c r="P9" s="90">
        <v>30</v>
      </c>
      <c r="Q9" s="90">
        <v>30</v>
      </c>
      <c r="R9" s="31"/>
      <c r="S9" s="31"/>
      <c r="T9" s="31"/>
      <c r="U9" s="31"/>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90</v>
      </c>
      <c r="AH9" s="190" t="str">
        <f t="shared" ref="AH9:AH44" si="5">IF(AG9="","",(IF(AND(AG9&gt;=1,AG9&lt;=50.499),"REPROBADO",IF(AND(AG9&gt;=50.5,AG9&lt;=100),"APROBADO"))))</f>
        <v>APROBADO</v>
      </c>
      <c r="AI9" s="191"/>
      <c r="AJ9" s="191"/>
      <c r="AK9" s="191"/>
      <c r="AL9" s="191"/>
      <c r="AM9" s="192"/>
      <c r="AN9" s="93" t="s">
        <v>97</v>
      </c>
      <c r="AO9" s="211">
        <f>COUNTIF(AF9:AF44,"ED")</f>
        <v>0</v>
      </c>
      <c r="AP9" s="192"/>
      <c r="AQ9" s="94"/>
      <c r="AR9" s="94"/>
    </row>
    <row r="10" spans="1:48" ht="12" customHeight="1" x14ac:dyDescent="0.3">
      <c r="A10" s="58">
        <v>2</v>
      </c>
      <c r="B10" s="89" t="str">
        <f>'C. FILIACION'!B9</f>
        <v>CALIZAYA MERCADO AXEL GABRIEL</v>
      </c>
      <c r="C10" s="31">
        <v>10</v>
      </c>
      <c r="D10" s="60">
        <v>30</v>
      </c>
      <c r="E10" s="90">
        <v>0</v>
      </c>
      <c r="F10" s="90">
        <v>0</v>
      </c>
      <c r="G10" s="31"/>
      <c r="H10" s="31"/>
      <c r="I10" s="31"/>
      <c r="J10" s="31"/>
      <c r="K10" s="31"/>
      <c r="L10" s="31"/>
      <c r="M10" s="31"/>
      <c r="N10" s="31"/>
      <c r="O10" s="91">
        <f t="shared" si="0"/>
        <v>10</v>
      </c>
      <c r="P10" s="90">
        <v>30</v>
      </c>
      <c r="Q10" s="90">
        <v>0</v>
      </c>
      <c r="R10" s="31"/>
      <c r="S10" s="31"/>
      <c r="T10" s="31"/>
      <c r="U10" s="31"/>
      <c r="V10" s="31"/>
      <c r="W10" s="31"/>
      <c r="X10" s="31"/>
      <c r="Y10" s="31"/>
      <c r="Z10" s="31"/>
      <c r="AA10" s="31">
        <v>10</v>
      </c>
      <c r="AB10" s="91">
        <f t="shared" si="1"/>
        <v>15</v>
      </c>
      <c r="AC10" s="31">
        <v>5</v>
      </c>
      <c r="AD10" s="31">
        <v>5</v>
      </c>
      <c r="AE10" s="91">
        <f t="shared" si="2"/>
        <v>10</v>
      </c>
      <c r="AF10" s="92" t="str">
        <f t="shared" si="3"/>
        <v>DA</v>
      </c>
      <c r="AG10" s="91">
        <f t="shared" si="4"/>
        <v>55</v>
      </c>
      <c r="AH10" s="190" t="str">
        <f t="shared" si="5"/>
        <v>APROBADO</v>
      </c>
      <c r="AI10" s="191"/>
      <c r="AJ10" s="191"/>
      <c r="AK10" s="191"/>
      <c r="AL10" s="191"/>
      <c r="AM10" s="192"/>
      <c r="AN10" s="48" t="s">
        <v>98</v>
      </c>
      <c r="AO10" s="211">
        <f>COUNTIF(AF9:AF44,"DA")</f>
        <v>3</v>
      </c>
      <c r="AP10" s="192"/>
      <c r="AQ10" s="94"/>
      <c r="AR10" s="94"/>
    </row>
    <row r="11" spans="1:48" ht="12" customHeight="1" x14ac:dyDescent="0.3">
      <c r="A11" s="58">
        <v>3</v>
      </c>
      <c r="B11" s="89" t="str">
        <f>'C. FILIACION'!B10</f>
        <v>CANO GUZMAN FABRIZIO RODRIGO</v>
      </c>
      <c r="C11" s="31">
        <v>10</v>
      </c>
      <c r="D11" s="60">
        <v>30</v>
      </c>
      <c r="E11" s="90">
        <v>5</v>
      </c>
      <c r="F11" s="90">
        <v>5</v>
      </c>
      <c r="G11" s="31"/>
      <c r="H11" s="31"/>
      <c r="I11" s="31"/>
      <c r="J11" s="31"/>
      <c r="K11" s="31"/>
      <c r="L11" s="31"/>
      <c r="M11" s="31"/>
      <c r="N11" s="31"/>
      <c r="O11" s="91">
        <f t="shared" si="0"/>
        <v>13</v>
      </c>
      <c r="P11" s="90">
        <v>30</v>
      </c>
      <c r="Q11" s="90">
        <v>5</v>
      </c>
      <c r="R11" s="31"/>
      <c r="S11" s="31"/>
      <c r="T11" s="31"/>
      <c r="U11" s="31"/>
      <c r="V11" s="31"/>
      <c r="W11" s="31"/>
      <c r="X11" s="31"/>
      <c r="Y11" s="31"/>
      <c r="Z11" s="31"/>
      <c r="AA11" s="31">
        <v>10</v>
      </c>
      <c r="AB11" s="91">
        <f t="shared" si="1"/>
        <v>18</v>
      </c>
      <c r="AC11" s="31">
        <v>5</v>
      </c>
      <c r="AD11" s="31">
        <v>5</v>
      </c>
      <c r="AE11" s="91">
        <f t="shared" si="2"/>
        <v>10</v>
      </c>
      <c r="AF11" s="92" t="str">
        <f t="shared" si="3"/>
        <v>DA</v>
      </c>
      <c r="AG11" s="91">
        <f t="shared" si="4"/>
        <v>61</v>
      </c>
      <c r="AH11" s="190" t="str">
        <f t="shared" si="5"/>
        <v>APROBADO</v>
      </c>
      <c r="AI11" s="191"/>
      <c r="AJ11" s="191"/>
      <c r="AK11" s="191"/>
      <c r="AL11" s="191"/>
      <c r="AM11" s="192"/>
      <c r="AN11" s="48" t="s">
        <v>99</v>
      </c>
      <c r="AO11" s="211">
        <f>COUNTIF(AF9:AF44,"DO")</f>
        <v>2</v>
      </c>
      <c r="AP11" s="192"/>
      <c r="AQ11" s="94"/>
      <c r="AR11" s="94"/>
    </row>
    <row r="12" spans="1:48" ht="12" customHeight="1" x14ac:dyDescent="0.3">
      <c r="A12" s="58">
        <v>4</v>
      </c>
      <c r="B12" s="89" t="str">
        <f>'C. FILIACION'!B11</f>
        <v>CHOQUE LAURA CARLOS EDUARDO</v>
      </c>
      <c r="C12" s="31">
        <v>10</v>
      </c>
      <c r="D12" s="60">
        <v>30</v>
      </c>
      <c r="E12" s="90">
        <v>30</v>
      </c>
      <c r="F12" s="90">
        <v>30</v>
      </c>
      <c r="G12" s="31"/>
      <c r="H12" s="31"/>
      <c r="I12" s="31"/>
      <c r="J12" s="31"/>
      <c r="K12" s="31"/>
      <c r="L12" s="31"/>
      <c r="M12" s="31"/>
      <c r="N12" s="31"/>
      <c r="O12" s="91">
        <f t="shared" si="0"/>
        <v>30</v>
      </c>
      <c r="P12" s="90">
        <v>30</v>
      </c>
      <c r="Q12" s="90">
        <v>30</v>
      </c>
      <c r="R12" s="31"/>
      <c r="S12" s="31"/>
      <c r="T12" s="31"/>
      <c r="U12" s="31"/>
      <c r="V12" s="31"/>
      <c r="W12" s="31"/>
      <c r="X12" s="31"/>
      <c r="Y12" s="31"/>
      <c r="Z12" s="31"/>
      <c r="AA12" s="31">
        <v>10</v>
      </c>
      <c r="AB12" s="91">
        <f t="shared" si="1"/>
        <v>30</v>
      </c>
      <c r="AC12" s="31">
        <v>5</v>
      </c>
      <c r="AD12" s="31">
        <v>5</v>
      </c>
      <c r="AE12" s="91">
        <f t="shared" si="2"/>
        <v>10</v>
      </c>
      <c r="AF12" s="92" t="str">
        <f t="shared" si="3"/>
        <v>DP</v>
      </c>
      <c r="AG12" s="91">
        <f t="shared" si="4"/>
        <v>90</v>
      </c>
      <c r="AH12" s="190" t="str">
        <f t="shared" si="5"/>
        <v>APROBADO</v>
      </c>
      <c r="AI12" s="191"/>
      <c r="AJ12" s="191"/>
      <c r="AK12" s="191"/>
      <c r="AL12" s="191"/>
      <c r="AM12" s="192"/>
      <c r="AN12" s="48" t="s">
        <v>100</v>
      </c>
      <c r="AO12" s="211">
        <f>COUNTIF(AF9:AF44,"DP")</f>
        <v>31</v>
      </c>
      <c r="AP12" s="192"/>
      <c r="AQ12" s="94"/>
      <c r="AR12" s="94"/>
    </row>
    <row r="13" spans="1:48" ht="12" customHeight="1" x14ac:dyDescent="0.3">
      <c r="A13" s="58">
        <v>5</v>
      </c>
      <c r="B13" s="89" t="str">
        <f>'C. FILIACION'!B12</f>
        <v>CONDORI GALARZA DENSEL ALEXSIS</v>
      </c>
      <c r="C13" s="31">
        <v>10</v>
      </c>
      <c r="D13" s="60">
        <v>30</v>
      </c>
      <c r="E13" s="90">
        <v>30</v>
      </c>
      <c r="F13" s="90">
        <v>30</v>
      </c>
      <c r="G13" s="31"/>
      <c r="H13" s="31"/>
      <c r="I13" s="31"/>
      <c r="J13" s="31"/>
      <c r="K13" s="31"/>
      <c r="L13" s="31"/>
      <c r="M13" s="31"/>
      <c r="N13" s="31"/>
      <c r="O13" s="91">
        <f t="shared" si="0"/>
        <v>30</v>
      </c>
      <c r="P13" s="90">
        <v>30</v>
      </c>
      <c r="Q13" s="90">
        <v>30</v>
      </c>
      <c r="R13" s="31"/>
      <c r="S13" s="31"/>
      <c r="T13" s="31"/>
      <c r="U13" s="31"/>
      <c r="V13" s="31"/>
      <c r="W13" s="31"/>
      <c r="X13" s="31"/>
      <c r="Y13" s="31"/>
      <c r="Z13" s="31"/>
      <c r="AA13" s="31">
        <v>10</v>
      </c>
      <c r="AB13" s="91">
        <f t="shared" si="1"/>
        <v>30</v>
      </c>
      <c r="AC13" s="31">
        <v>5</v>
      </c>
      <c r="AD13" s="31">
        <v>5</v>
      </c>
      <c r="AE13" s="91">
        <f t="shared" si="2"/>
        <v>10</v>
      </c>
      <c r="AF13" s="92" t="str">
        <f t="shared" si="3"/>
        <v>DP</v>
      </c>
      <c r="AG13" s="91">
        <f t="shared" si="4"/>
        <v>90</v>
      </c>
      <c r="AH13" s="190" t="str">
        <f t="shared" si="5"/>
        <v>APROBADO</v>
      </c>
      <c r="AI13" s="191"/>
      <c r="AJ13" s="191"/>
      <c r="AK13" s="191"/>
      <c r="AL13" s="191"/>
      <c r="AM13" s="192"/>
      <c r="AN13" s="94"/>
      <c r="AO13" s="94"/>
      <c r="AP13" s="94"/>
      <c r="AQ13" s="94"/>
      <c r="AR13" s="94"/>
    </row>
    <row r="14" spans="1:48" ht="12" customHeight="1" x14ac:dyDescent="0.3">
      <c r="A14" s="58">
        <v>6</v>
      </c>
      <c r="B14" s="89" t="str">
        <f>'C. FILIACION'!B13</f>
        <v>DAZA RAMIREZ KALEP MATEO</v>
      </c>
      <c r="C14" s="31">
        <v>10</v>
      </c>
      <c r="D14" s="60">
        <v>30</v>
      </c>
      <c r="E14" s="90">
        <v>30</v>
      </c>
      <c r="F14" s="90">
        <v>5</v>
      </c>
      <c r="G14" s="31"/>
      <c r="H14" s="31"/>
      <c r="I14" s="31"/>
      <c r="J14" s="31"/>
      <c r="K14" s="31"/>
      <c r="L14" s="31"/>
      <c r="M14" s="31"/>
      <c r="N14" s="31"/>
      <c r="O14" s="91">
        <f t="shared" si="0"/>
        <v>22</v>
      </c>
      <c r="P14" s="90">
        <v>30</v>
      </c>
      <c r="Q14" s="90">
        <v>5</v>
      </c>
      <c r="R14" s="31"/>
      <c r="S14" s="31"/>
      <c r="T14" s="31"/>
      <c r="U14" s="31"/>
      <c r="V14" s="31"/>
      <c r="W14" s="31"/>
      <c r="X14" s="31"/>
      <c r="Y14" s="31"/>
      <c r="Z14" s="31"/>
      <c r="AA14" s="31">
        <v>10</v>
      </c>
      <c r="AB14" s="91">
        <f t="shared" si="1"/>
        <v>18</v>
      </c>
      <c r="AC14" s="31">
        <v>5</v>
      </c>
      <c r="AD14" s="31">
        <v>5</v>
      </c>
      <c r="AE14" s="91">
        <f t="shared" si="2"/>
        <v>10</v>
      </c>
      <c r="AF14" s="92" t="str">
        <f t="shared" si="3"/>
        <v>DO</v>
      </c>
      <c r="AG14" s="91">
        <f t="shared" si="4"/>
        <v>70</v>
      </c>
      <c r="AH14" s="190" t="str">
        <f t="shared" si="5"/>
        <v>APROBADO</v>
      </c>
      <c r="AI14" s="191"/>
      <c r="AJ14" s="191"/>
      <c r="AK14" s="191"/>
      <c r="AL14" s="191"/>
      <c r="AM14" s="192"/>
      <c r="AN14" s="94"/>
      <c r="AO14" s="94"/>
      <c r="AP14" s="94"/>
      <c r="AQ14" s="94"/>
      <c r="AR14" s="94"/>
    </row>
    <row r="15" spans="1:48" ht="12" customHeight="1" x14ac:dyDescent="0.3">
      <c r="A15" s="58">
        <v>7</v>
      </c>
      <c r="B15" s="89" t="str">
        <f>'C. FILIACION'!B14</f>
        <v>ESTRADA FUNES NAZARETH</v>
      </c>
      <c r="C15" s="31">
        <v>10</v>
      </c>
      <c r="D15" s="60">
        <v>30</v>
      </c>
      <c r="E15" s="90">
        <v>30</v>
      </c>
      <c r="F15" s="90">
        <v>30</v>
      </c>
      <c r="G15" s="31"/>
      <c r="H15" s="31"/>
      <c r="I15" s="31"/>
      <c r="J15" s="31"/>
      <c r="K15" s="31"/>
      <c r="L15" s="31"/>
      <c r="M15" s="31"/>
      <c r="N15" s="31"/>
      <c r="O15" s="91">
        <f t="shared" si="0"/>
        <v>30</v>
      </c>
      <c r="P15" s="90">
        <v>30</v>
      </c>
      <c r="Q15" s="90">
        <v>30</v>
      </c>
      <c r="R15" s="31"/>
      <c r="S15" s="31"/>
      <c r="T15" s="31"/>
      <c r="U15" s="31"/>
      <c r="V15" s="31"/>
      <c r="W15" s="31"/>
      <c r="X15" s="31"/>
      <c r="Y15" s="31"/>
      <c r="Z15" s="31"/>
      <c r="AA15" s="31">
        <v>10</v>
      </c>
      <c r="AB15" s="91">
        <f t="shared" si="1"/>
        <v>30</v>
      </c>
      <c r="AC15" s="31">
        <v>5</v>
      </c>
      <c r="AD15" s="31">
        <v>5</v>
      </c>
      <c r="AE15" s="91">
        <f t="shared" si="2"/>
        <v>10</v>
      </c>
      <c r="AF15" s="92" t="str">
        <f t="shared" si="3"/>
        <v>DP</v>
      </c>
      <c r="AG15" s="91">
        <f t="shared" si="4"/>
        <v>90</v>
      </c>
      <c r="AH15" s="190" t="str">
        <f t="shared" si="5"/>
        <v>APROBADO</v>
      </c>
      <c r="AI15" s="191"/>
      <c r="AJ15" s="191"/>
      <c r="AK15" s="191"/>
      <c r="AL15" s="191"/>
      <c r="AM15" s="192"/>
      <c r="AN15" s="94"/>
      <c r="AO15" s="94"/>
      <c r="AP15" s="94"/>
      <c r="AQ15" s="94"/>
      <c r="AR15" s="94"/>
    </row>
    <row r="16" spans="1:48" ht="12" customHeight="1" x14ac:dyDescent="0.3">
      <c r="A16" s="58">
        <v>8</v>
      </c>
      <c r="B16" s="89" t="str">
        <f>'C. FILIACION'!B15</f>
        <v>FLORES VILLEGAS CARLOS IVAN</v>
      </c>
      <c r="C16" s="31">
        <v>10</v>
      </c>
      <c r="D16" s="60">
        <v>30</v>
      </c>
      <c r="E16" s="90">
        <v>30</v>
      </c>
      <c r="F16" s="90">
        <v>30</v>
      </c>
      <c r="G16" s="31"/>
      <c r="H16" s="31"/>
      <c r="I16" s="31"/>
      <c r="J16" s="31"/>
      <c r="K16" s="31"/>
      <c r="L16" s="31"/>
      <c r="M16" s="31"/>
      <c r="N16" s="31"/>
      <c r="O16" s="91">
        <f t="shared" si="0"/>
        <v>30</v>
      </c>
      <c r="P16" s="90">
        <v>30</v>
      </c>
      <c r="Q16" s="90">
        <v>30</v>
      </c>
      <c r="R16" s="31"/>
      <c r="S16" s="31"/>
      <c r="T16" s="31"/>
      <c r="U16" s="31"/>
      <c r="V16" s="31"/>
      <c r="W16" s="31"/>
      <c r="X16" s="31"/>
      <c r="Y16" s="31"/>
      <c r="Z16" s="31"/>
      <c r="AA16" s="31">
        <v>10</v>
      </c>
      <c r="AB16" s="91">
        <f t="shared" si="1"/>
        <v>30</v>
      </c>
      <c r="AC16" s="31">
        <v>5</v>
      </c>
      <c r="AD16" s="31">
        <v>5</v>
      </c>
      <c r="AE16" s="91">
        <f t="shared" si="2"/>
        <v>10</v>
      </c>
      <c r="AF16" s="92" t="str">
        <f t="shared" si="3"/>
        <v>DP</v>
      </c>
      <c r="AG16" s="91">
        <f t="shared" si="4"/>
        <v>90</v>
      </c>
      <c r="AH16" s="190" t="str">
        <f t="shared" si="5"/>
        <v>APROBADO</v>
      </c>
      <c r="AI16" s="191"/>
      <c r="AJ16" s="191"/>
      <c r="AK16" s="191"/>
      <c r="AL16" s="191"/>
      <c r="AM16" s="192"/>
      <c r="AN16" s="94"/>
      <c r="AO16" s="94"/>
      <c r="AP16" s="94"/>
      <c r="AQ16" s="94"/>
      <c r="AR16" s="94"/>
    </row>
    <row r="17" spans="1:44" ht="12" customHeight="1" x14ac:dyDescent="0.3">
      <c r="A17" s="58">
        <v>9</v>
      </c>
      <c r="B17" s="89" t="str">
        <f>'C. FILIACION'!B16</f>
        <v>FRANCISCO RUIZ LUCERO</v>
      </c>
      <c r="C17" s="31">
        <v>10</v>
      </c>
      <c r="D17" s="60">
        <v>30</v>
      </c>
      <c r="E17" s="90">
        <v>30</v>
      </c>
      <c r="F17" s="90">
        <v>30</v>
      </c>
      <c r="G17" s="31"/>
      <c r="H17" s="31"/>
      <c r="I17" s="31"/>
      <c r="J17" s="31"/>
      <c r="K17" s="31"/>
      <c r="L17" s="31"/>
      <c r="M17" s="31"/>
      <c r="N17" s="31"/>
      <c r="O17" s="91">
        <f t="shared" si="0"/>
        <v>30</v>
      </c>
      <c r="P17" s="90">
        <v>30</v>
      </c>
      <c r="Q17" s="90">
        <v>30</v>
      </c>
      <c r="R17" s="31"/>
      <c r="S17" s="31"/>
      <c r="T17" s="31"/>
      <c r="U17" s="31"/>
      <c r="V17" s="31"/>
      <c r="W17" s="31"/>
      <c r="X17" s="31"/>
      <c r="Y17" s="31"/>
      <c r="Z17" s="31"/>
      <c r="AA17" s="31">
        <v>10</v>
      </c>
      <c r="AB17" s="91">
        <f t="shared" si="1"/>
        <v>30</v>
      </c>
      <c r="AC17" s="31">
        <v>5</v>
      </c>
      <c r="AD17" s="31">
        <v>5</v>
      </c>
      <c r="AE17" s="91">
        <f t="shared" si="2"/>
        <v>10</v>
      </c>
      <c r="AF17" s="92" t="str">
        <f t="shared" si="3"/>
        <v>DP</v>
      </c>
      <c r="AG17" s="91">
        <f t="shared" si="4"/>
        <v>90</v>
      </c>
      <c r="AH17" s="190" t="str">
        <f t="shared" si="5"/>
        <v>APROBADO</v>
      </c>
      <c r="AI17" s="191"/>
      <c r="AJ17" s="191"/>
      <c r="AK17" s="191"/>
      <c r="AL17" s="191"/>
      <c r="AM17" s="192"/>
      <c r="AN17" s="94"/>
      <c r="AO17" s="94"/>
      <c r="AP17" s="94"/>
      <c r="AQ17" s="94"/>
      <c r="AR17" s="94"/>
    </row>
    <row r="18" spans="1:44" ht="12" customHeight="1" x14ac:dyDescent="0.3">
      <c r="A18" s="58">
        <v>10</v>
      </c>
      <c r="B18" s="89" t="str">
        <f>'C. FILIACION'!B17</f>
        <v>IBARRA VINO ELOY INTI</v>
      </c>
      <c r="C18" s="31">
        <v>10</v>
      </c>
      <c r="D18" s="60">
        <v>30</v>
      </c>
      <c r="E18" s="90">
        <v>30</v>
      </c>
      <c r="F18" s="90">
        <v>30</v>
      </c>
      <c r="G18" s="31"/>
      <c r="H18" s="31"/>
      <c r="I18" s="31"/>
      <c r="J18" s="31"/>
      <c r="K18" s="31"/>
      <c r="L18" s="31"/>
      <c r="M18" s="31"/>
      <c r="N18" s="31"/>
      <c r="O18" s="91">
        <f t="shared" si="0"/>
        <v>30</v>
      </c>
      <c r="P18" s="90">
        <v>30</v>
      </c>
      <c r="Q18" s="90">
        <v>30</v>
      </c>
      <c r="R18" s="31"/>
      <c r="S18" s="31"/>
      <c r="T18" s="31"/>
      <c r="U18" s="31"/>
      <c r="V18" s="31"/>
      <c r="W18" s="31"/>
      <c r="X18" s="31"/>
      <c r="Y18" s="31"/>
      <c r="Z18" s="31"/>
      <c r="AA18" s="31">
        <v>10</v>
      </c>
      <c r="AB18" s="91">
        <f t="shared" si="1"/>
        <v>30</v>
      </c>
      <c r="AC18" s="31">
        <v>5</v>
      </c>
      <c r="AD18" s="31">
        <v>5</v>
      </c>
      <c r="AE18" s="91">
        <f t="shared" si="2"/>
        <v>10</v>
      </c>
      <c r="AF18" s="92" t="str">
        <f t="shared" si="3"/>
        <v>DP</v>
      </c>
      <c r="AG18" s="91">
        <f t="shared" si="4"/>
        <v>90</v>
      </c>
      <c r="AH18" s="190" t="str">
        <f t="shared" si="5"/>
        <v>APROBADO</v>
      </c>
      <c r="AI18" s="191"/>
      <c r="AJ18" s="191"/>
      <c r="AK18" s="191"/>
      <c r="AL18" s="191"/>
      <c r="AM18" s="192"/>
      <c r="AN18" s="94"/>
      <c r="AO18" s="94"/>
      <c r="AP18" s="94"/>
      <c r="AQ18" s="94"/>
      <c r="AR18" s="94"/>
    </row>
    <row r="19" spans="1:44" ht="12" customHeight="1" x14ac:dyDescent="0.3">
      <c r="A19" s="58">
        <v>11</v>
      </c>
      <c r="B19" s="89" t="str">
        <f>'C. FILIACION'!B18</f>
        <v>LOPEZ BLANCO SOFIA FELEN</v>
      </c>
      <c r="C19" s="31">
        <v>10</v>
      </c>
      <c r="D19" s="60">
        <v>30</v>
      </c>
      <c r="E19" s="90">
        <v>30</v>
      </c>
      <c r="F19" s="90">
        <v>30</v>
      </c>
      <c r="G19" s="31"/>
      <c r="H19" s="31"/>
      <c r="I19" s="31"/>
      <c r="J19" s="31"/>
      <c r="K19" s="31"/>
      <c r="L19" s="31"/>
      <c r="M19" s="31"/>
      <c r="N19" s="31"/>
      <c r="O19" s="91">
        <f t="shared" si="0"/>
        <v>30</v>
      </c>
      <c r="P19" s="90">
        <v>30</v>
      </c>
      <c r="Q19" s="90">
        <v>30</v>
      </c>
      <c r="R19" s="31"/>
      <c r="S19" s="31"/>
      <c r="T19" s="31"/>
      <c r="U19" s="31"/>
      <c r="V19" s="31"/>
      <c r="W19" s="31"/>
      <c r="X19" s="31"/>
      <c r="Y19" s="31"/>
      <c r="Z19" s="31"/>
      <c r="AA19" s="31">
        <v>10</v>
      </c>
      <c r="AB19" s="91">
        <f t="shared" si="1"/>
        <v>30</v>
      </c>
      <c r="AC19" s="31">
        <v>5</v>
      </c>
      <c r="AD19" s="31">
        <v>5</v>
      </c>
      <c r="AE19" s="91">
        <f t="shared" si="2"/>
        <v>10</v>
      </c>
      <c r="AF19" s="92" t="str">
        <f t="shared" si="3"/>
        <v>DP</v>
      </c>
      <c r="AG19" s="91">
        <f t="shared" si="4"/>
        <v>90</v>
      </c>
      <c r="AH19" s="190" t="str">
        <f t="shared" si="5"/>
        <v>APROBADO</v>
      </c>
      <c r="AI19" s="191"/>
      <c r="AJ19" s="191"/>
      <c r="AK19" s="191"/>
      <c r="AL19" s="191"/>
      <c r="AM19" s="192"/>
      <c r="AN19" s="94"/>
      <c r="AO19" s="94"/>
      <c r="AP19" s="94"/>
      <c r="AQ19" s="94"/>
      <c r="AR19" s="94"/>
    </row>
    <row r="20" spans="1:44" ht="12" customHeight="1" x14ac:dyDescent="0.3">
      <c r="A20" s="58">
        <v>12</v>
      </c>
      <c r="B20" s="89" t="str">
        <f>'C. FILIACION'!B19</f>
        <v>LOPEZ PACO RODRIGO ADRIAN</v>
      </c>
      <c r="C20" s="31">
        <v>10</v>
      </c>
      <c r="D20" s="60">
        <v>30</v>
      </c>
      <c r="E20" s="90">
        <v>5</v>
      </c>
      <c r="F20" s="90">
        <v>5</v>
      </c>
      <c r="G20" s="31"/>
      <c r="H20" s="31"/>
      <c r="I20" s="31"/>
      <c r="J20" s="31"/>
      <c r="K20" s="31"/>
      <c r="L20" s="31"/>
      <c r="M20" s="31"/>
      <c r="N20" s="31"/>
      <c r="O20" s="91">
        <f t="shared" si="0"/>
        <v>13</v>
      </c>
      <c r="P20" s="90">
        <v>30</v>
      </c>
      <c r="Q20" s="90">
        <v>5</v>
      </c>
      <c r="R20" s="31"/>
      <c r="S20" s="31"/>
      <c r="T20" s="31"/>
      <c r="U20" s="31"/>
      <c r="V20" s="31"/>
      <c r="W20" s="31"/>
      <c r="X20" s="31"/>
      <c r="Y20" s="31"/>
      <c r="Z20" s="31"/>
      <c r="AA20" s="31">
        <v>10</v>
      </c>
      <c r="AB20" s="91">
        <f t="shared" si="1"/>
        <v>18</v>
      </c>
      <c r="AC20" s="31">
        <v>5</v>
      </c>
      <c r="AD20" s="31">
        <v>5</v>
      </c>
      <c r="AE20" s="91">
        <f t="shared" si="2"/>
        <v>10</v>
      </c>
      <c r="AF20" s="92" t="str">
        <f t="shared" si="3"/>
        <v>DA</v>
      </c>
      <c r="AG20" s="91">
        <f t="shared" si="4"/>
        <v>61</v>
      </c>
      <c r="AH20" s="190" t="str">
        <f t="shared" si="5"/>
        <v>APROBADO</v>
      </c>
      <c r="AI20" s="191"/>
      <c r="AJ20" s="191"/>
      <c r="AK20" s="191"/>
      <c r="AL20" s="191"/>
      <c r="AM20" s="192"/>
      <c r="AN20" s="94"/>
      <c r="AO20" s="94"/>
      <c r="AP20" s="94"/>
      <c r="AQ20" s="94"/>
      <c r="AR20" s="94"/>
    </row>
    <row r="21" spans="1:44" ht="12" customHeight="1" x14ac:dyDescent="0.3">
      <c r="A21" s="58">
        <v>13</v>
      </c>
      <c r="B21" s="89" t="str">
        <f>'C. FILIACION'!B20</f>
        <v>LOPEZ VERA MILENCA</v>
      </c>
      <c r="C21" s="31">
        <v>10</v>
      </c>
      <c r="D21" s="60">
        <v>30</v>
      </c>
      <c r="E21" s="90">
        <v>30</v>
      </c>
      <c r="F21" s="90">
        <v>30</v>
      </c>
      <c r="G21" s="31"/>
      <c r="H21" s="31"/>
      <c r="I21" s="31"/>
      <c r="J21" s="31"/>
      <c r="K21" s="31"/>
      <c r="L21" s="31"/>
      <c r="M21" s="31"/>
      <c r="N21" s="31"/>
      <c r="O21" s="91">
        <f t="shared" si="0"/>
        <v>30</v>
      </c>
      <c r="P21" s="90">
        <v>30</v>
      </c>
      <c r="Q21" s="90">
        <v>30</v>
      </c>
      <c r="R21" s="31"/>
      <c r="S21" s="31"/>
      <c r="T21" s="31"/>
      <c r="U21" s="31"/>
      <c r="V21" s="31"/>
      <c r="W21" s="31"/>
      <c r="X21" s="31"/>
      <c r="Y21" s="31"/>
      <c r="Z21" s="31"/>
      <c r="AA21" s="31">
        <v>10</v>
      </c>
      <c r="AB21" s="91">
        <f t="shared" si="1"/>
        <v>30</v>
      </c>
      <c r="AC21" s="31">
        <v>5</v>
      </c>
      <c r="AD21" s="31">
        <v>5</v>
      </c>
      <c r="AE21" s="91">
        <f t="shared" si="2"/>
        <v>10</v>
      </c>
      <c r="AF21" s="92" t="str">
        <f t="shared" si="3"/>
        <v>DP</v>
      </c>
      <c r="AG21" s="91">
        <f t="shared" si="4"/>
        <v>90</v>
      </c>
      <c r="AH21" s="190" t="str">
        <f t="shared" si="5"/>
        <v>APROBADO</v>
      </c>
      <c r="AI21" s="191"/>
      <c r="AJ21" s="191"/>
      <c r="AK21" s="191"/>
      <c r="AL21" s="191"/>
      <c r="AM21" s="192"/>
      <c r="AN21" s="94"/>
      <c r="AO21" s="94"/>
      <c r="AP21" s="94"/>
      <c r="AQ21" s="94"/>
      <c r="AR21" s="94"/>
    </row>
    <row r="22" spans="1:44" ht="12" customHeight="1" x14ac:dyDescent="0.3">
      <c r="A22" s="58">
        <v>14</v>
      </c>
      <c r="B22" s="89" t="str">
        <f>'C. FILIACION'!B21</f>
        <v>MEDINA CHOQUE JOSE ROBERTO</v>
      </c>
      <c r="C22" s="31">
        <v>10</v>
      </c>
      <c r="D22" s="60">
        <v>30</v>
      </c>
      <c r="E22" s="90">
        <v>30</v>
      </c>
      <c r="F22" s="90">
        <v>30</v>
      </c>
      <c r="G22" s="31"/>
      <c r="H22" s="31"/>
      <c r="I22" s="31"/>
      <c r="J22" s="31"/>
      <c r="K22" s="31"/>
      <c r="L22" s="31"/>
      <c r="M22" s="31"/>
      <c r="N22" s="31"/>
      <c r="O22" s="91">
        <f t="shared" si="0"/>
        <v>30</v>
      </c>
      <c r="P22" s="90">
        <v>30</v>
      </c>
      <c r="Q22" s="90">
        <v>30</v>
      </c>
      <c r="R22" s="31"/>
      <c r="S22" s="31"/>
      <c r="T22" s="31"/>
      <c r="U22" s="31"/>
      <c r="V22" s="31"/>
      <c r="W22" s="31"/>
      <c r="X22" s="31"/>
      <c r="Y22" s="31"/>
      <c r="Z22" s="31"/>
      <c r="AA22" s="31">
        <v>10</v>
      </c>
      <c r="AB22" s="91">
        <f t="shared" si="1"/>
        <v>30</v>
      </c>
      <c r="AC22" s="31">
        <v>5</v>
      </c>
      <c r="AD22" s="31">
        <v>5</v>
      </c>
      <c r="AE22" s="91">
        <f t="shared" si="2"/>
        <v>10</v>
      </c>
      <c r="AF22" s="92" t="str">
        <f t="shared" si="3"/>
        <v>DP</v>
      </c>
      <c r="AG22" s="91">
        <f t="shared" si="4"/>
        <v>90</v>
      </c>
      <c r="AH22" s="190" t="str">
        <f t="shared" si="5"/>
        <v>APROBADO</v>
      </c>
      <c r="AI22" s="191"/>
      <c r="AJ22" s="191"/>
      <c r="AK22" s="191"/>
      <c r="AL22" s="191"/>
      <c r="AM22" s="192"/>
      <c r="AN22" s="94"/>
      <c r="AO22" s="94"/>
      <c r="AP22" s="94"/>
      <c r="AQ22" s="94"/>
      <c r="AR22" s="94"/>
    </row>
    <row r="23" spans="1:44" ht="12" customHeight="1" x14ac:dyDescent="0.3">
      <c r="A23" s="58">
        <v>15</v>
      </c>
      <c r="B23" s="89" t="str">
        <f>'C. FILIACION'!B22</f>
        <v>MIRABAL AYANOME JOSE ALFREDO</v>
      </c>
      <c r="C23" s="31">
        <v>10</v>
      </c>
      <c r="D23" s="60">
        <v>30</v>
      </c>
      <c r="E23" s="90">
        <v>30</v>
      </c>
      <c r="F23" s="90">
        <v>5</v>
      </c>
      <c r="G23" s="31"/>
      <c r="H23" s="31"/>
      <c r="I23" s="31"/>
      <c r="J23" s="31"/>
      <c r="K23" s="31"/>
      <c r="L23" s="31"/>
      <c r="M23" s="31"/>
      <c r="N23" s="31"/>
      <c r="O23" s="91">
        <f t="shared" si="0"/>
        <v>22</v>
      </c>
      <c r="P23" s="90">
        <v>30</v>
      </c>
      <c r="Q23" s="90">
        <v>5</v>
      </c>
      <c r="R23" s="31"/>
      <c r="S23" s="31"/>
      <c r="T23" s="31"/>
      <c r="U23" s="31"/>
      <c r="V23" s="31"/>
      <c r="W23" s="31"/>
      <c r="X23" s="31"/>
      <c r="Y23" s="31"/>
      <c r="Z23" s="31"/>
      <c r="AA23" s="31">
        <v>10</v>
      </c>
      <c r="AB23" s="91">
        <f t="shared" si="1"/>
        <v>18</v>
      </c>
      <c r="AC23" s="31">
        <v>5</v>
      </c>
      <c r="AD23" s="31">
        <v>5</v>
      </c>
      <c r="AE23" s="91">
        <f t="shared" si="2"/>
        <v>10</v>
      </c>
      <c r="AF23" s="92" t="str">
        <f t="shared" si="3"/>
        <v>DO</v>
      </c>
      <c r="AG23" s="91">
        <f t="shared" si="4"/>
        <v>70</v>
      </c>
      <c r="AH23" s="190" t="str">
        <f t="shared" si="5"/>
        <v>APROBADO</v>
      </c>
      <c r="AI23" s="191"/>
      <c r="AJ23" s="191"/>
      <c r="AK23" s="191"/>
      <c r="AL23" s="191"/>
      <c r="AM23" s="192"/>
      <c r="AN23" s="94"/>
      <c r="AO23" s="94"/>
      <c r="AP23" s="94"/>
      <c r="AQ23" s="94"/>
      <c r="AR23" s="94"/>
    </row>
    <row r="24" spans="1:44" ht="12" customHeight="1" x14ac:dyDescent="0.3">
      <c r="A24" s="58">
        <v>16</v>
      </c>
      <c r="B24" s="89" t="str">
        <f>'C. FILIACION'!B23</f>
        <v>NINA RUEDA ESTEFANY DANIELA</v>
      </c>
      <c r="C24" s="31">
        <v>10</v>
      </c>
      <c r="D24" s="60">
        <v>30</v>
      </c>
      <c r="E24" s="90">
        <v>30</v>
      </c>
      <c r="F24" s="90">
        <v>30</v>
      </c>
      <c r="G24" s="31"/>
      <c r="H24" s="31"/>
      <c r="I24" s="31"/>
      <c r="J24" s="31"/>
      <c r="K24" s="31"/>
      <c r="L24" s="31"/>
      <c r="M24" s="31"/>
      <c r="N24" s="31"/>
      <c r="O24" s="91">
        <f t="shared" si="0"/>
        <v>30</v>
      </c>
      <c r="P24" s="90">
        <v>30</v>
      </c>
      <c r="Q24" s="90">
        <v>30</v>
      </c>
      <c r="R24" s="31"/>
      <c r="S24" s="31"/>
      <c r="T24" s="31"/>
      <c r="U24" s="31"/>
      <c r="V24" s="31"/>
      <c r="W24" s="31"/>
      <c r="X24" s="31"/>
      <c r="Y24" s="31"/>
      <c r="Z24" s="31"/>
      <c r="AA24" s="31">
        <v>10</v>
      </c>
      <c r="AB24" s="91">
        <f t="shared" si="1"/>
        <v>30</v>
      </c>
      <c r="AC24" s="31">
        <v>5</v>
      </c>
      <c r="AD24" s="31">
        <v>5</v>
      </c>
      <c r="AE24" s="91">
        <f t="shared" si="2"/>
        <v>10</v>
      </c>
      <c r="AF24" s="92" t="str">
        <f t="shared" si="3"/>
        <v>DP</v>
      </c>
      <c r="AG24" s="91">
        <f t="shared" si="4"/>
        <v>90</v>
      </c>
      <c r="AH24" s="190" t="str">
        <f t="shared" si="5"/>
        <v>APROBADO</v>
      </c>
      <c r="AI24" s="191"/>
      <c r="AJ24" s="191"/>
      <c r="AK24" s="191"/>
      <c r="AL24" s="191"/>
      <c r="AM24" s="192"/>
      <c r="AN24" s="94"/>
      <c r="AO24" s="94"/>
      <c r="AP24" s="94"/>
      <c r="AQ24" s="94"/>
      <c r="AR24" s="94"/>
    </row>
    <row r="25" spans="1:44" ht="12" customHeight="1" x14ac:dyDescent="0.3">
      <c r="A25" s="58">
        <v>17</v>
      </c>
      <c r="B25" s="89" t="str">
        <f>'C. FILIACION'!B24</f>
        <v>PORTILLO QUISPE JORGE LUIS</v>
      </c>
      <c r="C25" s="31">
        <v>10</v>
      </c>
      <c r="D25" s="60">
        <v>30</v>
      </c>
      <c r="E25" s="90">
        <v>30</v>
      </c>
      <c r="F25" s="90">
        <v>30</v>
      </c>
      <c r="G25" s="31"/>
      <c r="H25" s="31"/>
      <c r="I25" s="31"/>
      <c r="J25" s="31"/>
      <c r="K25" s="31"/>
      <c r="L25" s="31"/>
      <c r="M25" s="31"/>
      <c r="N25" s="31"/>
      <c r="O25" s="91">
        <f t="shared" si="0"/>
        <v>30</v>
      </c>
      <c r="P25" s="90">
        <v>30</v>
      </c>
      <c r="Q25" s="90">
        <v>30</v>
      </c>
      <c r="R25" s="31"/>
      <c r="S25" s="31"/>
      <c r="T25" s="31"/>
      <c r="U25" s="31"/>
      <c r="V25" s="31"/>
      <c r="W25" s="31"/>
      <c r="X25" s="31"/>
      <c r="Y25" s="31"/>
      <c r="Z25" s="31"/>
      <c r="AA25" s="31">
        <v>10</v>
      </c>
      <c r="AB25" s="91">
        <f t="shared" si="1"/>
        <v>30</v>
      </c>
      <c r="AC25" s="31">
        <v>5</v>
      </c>
      <c r="AD25" s="31">
        <v>5</v>
      </c>
      <c r="AE25" s="91">
        <f t="shared" si="2"/>
        <v>10</v>
      </c>
      <c r="AF25" s="92" t="str">
        <f t="shared" si="3"/>
        <v>DP</v>
      </c>
      <c r="AG25" s="91">
        <f t="shared" si="4"/>
        <v>90</v>
      </c>
      <c r="AH25" s="190" t="str">
        <f t="shared" si="5"/>
        <v>APROBADO</v>
      </c>
      <c r="AI25" s="191"/>
      <c r="AJ25" s="191"/>
      <c r="AK25" s="191"/>
      <c r="AL25" s="191"/>
      <c r="AM25" s="192"/>
      <c r="AN25" s="94"/>
      <c r="AO25" s="94"/>
      <c r="AP25" s="94"/>
      <c r="AQ25" s="94"/>
      <c r="AR25" s="94"/>
    </row>
    <row r="26" spans="1:44" ht="12" customHeight="1" x14ac:dyDescent="0.3">
      <c r="A26" s="58">
        <v>18</v>
      </c>
      <c r="B26" s="89" t="str">
        <f>'C. FILIACION'!B25</f>
        <v>TORREZ PACO CARLA MILENKA</v>
      </c>
      <c r="C26" s="31">
        <v>10</v>
      </c>
      <c r="D26" s="60">
        <v>30</v>
      </c>
      <c r="E26" s="90">
        <v>30</v>
      </c>
      <c r="F26" s="90">
        <v>30</v>
      </c>
      <c r="G26" s="31"/>
      <c r="H26" s="31"/>
      <c r="I26" s="31"/>
      <c r="J26" s="31"/>
      <c r="K26" s="31"/>
      <c r="L26" s="31"/>
      <c r="M26" s="31"/>
      <c r="N26" s="31"/>
      <c r="O26" s="91">
        <f t="shared" si="0"/>
        <v>30</v>
      </c>
      <c r="P26" s="90">
        <v>30</v>
      </c>
      <c r="Q26" s="90">
        <v>30</v>
      </c>
      <c r="R26" s="31"/>
      <c r="S26" s="31"/>
      <c r="T26" s="31"/>
      <c r="U26" s="31"/>
      <c r="V26" s="31"/>
      <c r="W26" s="31"/>
      <c r="X26" s="31"/>
      <c r="Y26" s="31"/>
      <c r="Z26" s="31"/>
      <c r="AA26" s="31">
        <v>10</v>
      </c>
      <c r="AB26" s="91">
        <f t="shared" si="1"/>
        <v>30</v>
      </c>
      <c r="AC26" s="31">
        <v>5</v>
      </c>
      <c r="AD26" s="31">
        <v>5</v>
      </c>
      <c r="AE26" s="91">
        <f t="shared" si="2"/>
        <v>10</v>
      </c>
      <c r="AF26" s="92" t="str">
        <f t="shared" si="3"/>
        <v>DP</v>
      </c>
      <c r="AG26" s="91">
        <f t="shared" si="4"/>
        <v>90</v>
      </c>
      <c r="AH26" s="190" t="str">
        <f t="shared" si="5"/>
        <v>APROBADO</v>
      </c>
      <c r="AI26" s="191"/>
      <c r="AJ26" s="191"/>
      <c r="AK26" s="191"/>
      <c r="AL26" s="191"/>
      <c r="AM26" s="192"/>
      <c r="AN26" s="94"/>
      <c r="AO26" s="94"/>
      <c r="AP26" s="94"/>
      <c r="AQ26" s="94"/>
      <c r="AR26" s="94"/>
    </row>
    <row r="27" spans="1:44" ht="12" customHeight="1" x14ac:dyDescent="0.3">
      <c r="A27" s="58">
        <v>19</v>
      </c>
      <c r="B27" s="89">
        <f>'C. FILIACION'!B26</f>
        <v>0</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190" t="str">
        <f t="shared" si="5"/>
        <v>APROBADO</v>
      </c>
      <c r="AI27" s="191"/>
      <c r="AJ27" s="191"/>
      <c r="AK27" s="191"/>
      <c r="AL27" s="191"/>
      <c r="AM27" s="192"/>
      <c r="AN27" s="94"/>
      <c r="AO27" s="94"/>
      <c r="AP27" s="94"/>
      <c r="AQ27" s="94"/>
      <c r="AR27" s="94"/>
    </row>
    <row r="28" spans="1:44" ht="12" customHeight="1" x14ac:dyDescent="0.3">
      <c r="A28" s="58">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190" t="str">
        <f t="shared" si="5"/>
        <v>APROBADO</v>
      </c>
      <c r="AI28" s="191"/>
      <c r="AJ28" s="191"/>
      <c r="AK28" s="191"/>
      <c r="AL28" s="191"/>
      <c r="AM28" s="192"/>
      <c r="AN28" s="94"/>
      <c r="AO28" s="94"/>
      <c r="AP28" s="94"/>
      <c r="AQ28" s="94"/>
      <c r="AR28" s="94"/>
    </row>
    <row r="29" spans="1:44" ht="12" customHeight="1" x14ac:dyDescent="0.3">
      <c r="A29" s="58">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190" t="str">
        <f t="shared" si="5"/>
        <v>APROBADO</v>
      </c>
      <c r="AI29" s="191"/>
      <c r="AJ29" s="191"/>
      <c r="AK29" s="191"/>
      <c r="AL29" s="191"/>
      <c r="AM29" s="192"/>
      <c r="AN29" s="94"/>
      <c r="AO29" s="94"/>
      <c r="AP29" s="94"/>
      <c r="AQ29" s="94"/>
      <c r="AR29" s="94"/>
    </row>
    <row r="30" spans="1:44" ht="12" customHeight="1" x14ac:dyDescent="0.3">
      <c r="A30" s="58">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190" t="str">
        <f t="shared" si="5"/>
        <v>APROBADO</v>
      </c>
      <c r="AI30" s="191"/>
      <c r="AJ30" s="191"/>
      <c r="AK30" s="191"/>
      <c r="AL30" s="191"/>
      <c r="AM30" s="192"/>
      <c r="AN30" s="94"/>
      <c r="AO30" s="94"/>
      <c r="AP30" s="94"/>
      <c r="AQ30" s="94"/>
      <c r="AR30" s="94"/>
    </row>
    <row r="31" spans="1:44" ht="12" customHeight="1" x14ac:dyDescent="0.3">
      <c r="A31" s="58">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190" t="str">
        <f t="shared" si="5"/>
        <v>APROBADO</v>
      </c>
      <c r="AI31" s="191"/>
      <c r="AJ31" s="191"/>
      <c r="AK31" s="191"/>
      <c r="AL31" s="191"/>
      <c r="AM31" s="192"/>
      <c r="AN31" s="94"/>
      <c r="AO31" s="94"/>
      <c r="AP31" s="94"/>
      <c r="AQ31" s="94"/>
      <c r="AR31" s="94"/>
    </row>
    <row r="32" spans="1:44" ht="12" customHeight="1" x14ac:dyDescent="0.3">
      <c r="A32" s="58">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190" t="str">
        <f t="shared" si="5"/>
        <v>APROBADO</v>
      </c>
      <c r="AI32" s="191"/>
      <c r="AJ32" s="191"/>
      <c r="AK32" s="191"/>
      <c r="AL32" s="191"/>
      <c r="AM32" s="192"/>
      <c r="AN32" s="94"/>
      <c r="AO32" s="94"/>
      <c r="AP32" s="94"/>
      <c r="AQ32" s="94"/>
      <c r="AR32" s="94"/>
    </row>
    <row r="33" spans="1:44" ht="12" customHeight="1" x14ac:dyDescent="0.3">
      <c r="A33" s="58">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190" t="str">
        <f t="shared" si="5"/>
        <v>APROBADO</v>
      </c>
      <c r="AI33" s="191"/>
      <c r="AJ33" s="191"/>
      <c r="AK33" s="191"/>
      <c r="AL33" s="191"/>
      <c r="AM33" s="192"/>
      <c r="AN33" s="94"/>
      <c r="AO33" s="94"/>
      <c r="AP33" s="94"/>
      <c r="AQ33" s="94"/>
      <c r="AR33" s="94"/>
    </row>
    <row r="34" spans="1:44" ht="12" customHeight="1" x14ac:dyDescent="0.3">
      <c r="A34" s="58">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190" t="str">
        <f t="shared" si="5"/>
        <v>APROBADO</v>
      </c>
      <c r="AI34" s="191"/>
      <c r="AJ34" s="191"/>
      <c r="AK34" s="191"/>
      <c r="AL34" s="191"/>
      <c r="AM34" s="192"/>
      <c r="AN34" s="94"/>
      <c r="AO34" s="94"/>
      <c r="AP34" s="94"/>
      <c r="AQ34" s="94"/>
      <c r="AR34" s="94"/>
    </row>
    <row r="35" spans="1:44" ht="12" customHeight="1" x14ac:dyDescent="0.3">
      <c r="A35" s="58">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190" t="str">
        <f t="shared" si="5"/>
        <v>APROBADO</v>
      </c>
      <c r="AI35" s="191"/>
      <c r="AJ35" s="191"/>
      <c r="AK35" s="191"/>
      <c r="AL35" s="191"/>
      <c r="AM35" s="192"/>
      <c r="AN35" s="94"/>
      <c r="AO35" s="94"/>
      <c r="AP35" s="94"/>
      <c r="AQ35" s="94"/>
      <c r="AR35" s="94"/>
    </row>
    <row r="36" spans="1:44" ht="12" customHeight="1" x14ac:dyDescent="0.3">
      <c r="A36" s="58">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190" t="str">
        <f t="shared" si="5"/>
        <v>APROBADO</v>
      </c>
      <c r="AI36" s="191"/>
      <c r="AJ36" s="191"/>
      <c r="AK36" s="191"/>
      <c r="AL36" s="191"/>
      <c r="AM36" s="192"/>
      <c r="AN36" s="94"/>
      <c r="AO36" s="94"/>
      <c r="AP36" s="94"/>
      <c r="AQ36" s="94"/>
      <c r="AR36" s="94"/>
    </row>
    <row r="37" spans="1:44" ht="12" customHeight="1" x14ac:dyDescent="0.3">
      <c r="A37" s="58">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190" t="str">
        <f t="shared" si="5"/>
        <v>APROBADO</v>
      </c>
      <c r="AI37" s="191"/>
      <c r="AJ37" s="191"/>
      <c r="AK37" s="191"/>
      <c r="AL37" s="191"/>
      <c r="AM37" s="192"/>
      <c r="AN37" s="94"/>
      <c r="AO37" s="94"/>
      <c r="AP37" s="94"/>
      <c r="AQ37" s="94"/>
      <c r="AR37" s="94"/>
    </row>
    <row r="38" spans="1:44" ht="12" customHeight="1" x14ac:dyDescent="0.3">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190" t="str">
        <f t="shared" si="5"/>
        <v>APROBADO</v>
      </c>
      <c r="AI38" s="191"/>
      <c r="AJ38" s="191"/>
      <c r="AK38" s="191"/>
      <c r="AL38" s="191"/>
      <c r="AM38" s="192"/>
      <c r="AN38" s="94"/>
      <c r="AO38" s="94"/>
      <c r="AP38" s="94"/>
      <c r="AQ38" s="94"/>
      <c r="AR38" s="94"/>
    </row>
    <row r="39" spans="1:44" ht="12" customHeight="1" x14ac:dyDescent="0.3">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190" t="str">
        <f t="shared" si="5"/>
        <v>APROBADO</v>
      </c>
      <c r="AI39" s="191"/>
      <c r="AJ39" s="191"/>
      <c r="AK39" s="191"/>
      <c r="AL39" s="191"/>
      <c r="AM39" s="192"/>
      <c r="AN39" s="94"/>
      <c r="AO39" s="94"/>
      <c r="AP39" s="94"/>
      <c r="AQ39" s="94"/>
      <c r="AR39" s="94"/>
    </row>
    <row r="40" spans="1:44" ht="12" customHeight="1" x14ac:dyDescent="0.3">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190" t="str">
        <f t="shared" si="5"/>
        <v>APROBADO</v>
      </c>
      <c r="AI40" s="191"/>
      <c r="AJ40" s="191"/>
      <c r="AK40" s="191"/>
      <c r="AL40" s="191"/>
      <c r="AM40" s="192"/>
      <c r="AN40" s="94"/>
      <c r="AO40" s="94"/>
      <c r="AP40" s="94"/>
      <c r="AQ40" s="94"/>
      <c r="AR40" s="94"/>
    </row>
    <row r="41" spans="1:44" ht="12" customHeight="1" x14ac:dyDescent="0.3">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190" t="str">
        <f t="shared" si="5"/>
        <v>APROBADO</v>
      </c>
      <c r="AI41" s="191"/>
      <c r="AJ41" s="191"/>
      <c r="AK41" s="191"/>
      <c r="AL41" s="191"/>
      <c r="AM41" s="192"/>
      <c r="AN41" s="94"/>
      <c r="AO41" s="94"/>
      <c r="AP41" s="94"/>
      <c r="AQ41" s="94"/>
      <c r="AR41" s="94"/>
    </row>
    <row r="42" spans="1:44" ht="12" customHeight="1" x14ac:dyDescent="0.3">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190" t="str">
        <f t="shared" si="5"/>
        <v>APROBADO</v>
      </c>
      <c r="AI42" s="191"/>
      <c r="AJ42" s="191"/>
      <c r="AK42" s="191"/>
      <c r="AL42" s="191"/>
      <c r="AM42" s="192"/>
      <c r="AN42" s="94"/>
      <c r="AO42" s="94"/>
      <c r="AP42" s="94"/>
      <c r="AQ42" s="94"/>
      <c r="AR42" s="94"/>
    </row>
    <row r="43" spans="1:44" ht="12" customHeight="1" x14ac:dyDescent="0.3">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190" t="str">
        <f t="shared" si="5"/>
        <v>APROBADO</v>
      </c>
      <c r="AI43" s="191"/>
      <c r="AJ43" s="191"/>
      <c r="AK43" s="191"/>
      <c r="AL43" s="191"/>
      <c r="AM43" s="192"/>
      <c r="AN43" s="94"/>
      <c r="AO43" s="94"/>
      <c r="AP43" s="94"/>
      <c r="AQ43" s="94"/>
      <c r="AR43" s="94"/>
    </row>
    <row r="44" spans="1:44" ht="12" customHeight="1" x14ac:dyDescent="0.3">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190" t="str">
        <f t="shared" si="5"/>
        <v>APROBADO</v>
      </c>
      <c r="AI44" s="191"/>
      <c r="AJ44" s="191"/>
      <c r="AK44" s="191"/>
      <c r="AL44" s="191"/>
      <c r="AM44" s="192"/>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E9:N26 D27: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D8" sqref="D8"/>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35">
      <c r="A2" s="70"/>
      <c r="B2" s="195" t="s">
        <v>101</v>
      </c>
      <c r="C2" s="160"/>
      <c r="D2" s="160"/>
      <c r="E2" s="160"/>
      <c r="F2" s="160"/>
      <c r="G2" s="160"/>
      <c r="H2" s="160"/>
      <c r="I2" s="160"/>
      <c r="J2" s="160"/>
      <c r="K2" s="160"/>
      <c r="L2" s="160"/>
      <c r="M2" s="160"/>
      <c r="N2" s="160"/>
      <c r="O2" s="160"/>
      <c r="P2" s="160"/>
      <c r="Q2" s="160"/>
      <c r="R2" s="160"/>
      <c r="S2" s="160"/>
      <c r="T2" s="160"/>
      <c r="U2" s="160"/>
      <c r="V2" s="160"/>
      <c r="W2" s="160"/>
      <c r="X2" s="160"/>
      <c r="Y2" s="160"/>
      <c r="Z2" s="160"/>
      <c r="AA2" s="160"/>
      <c r="AB2" s="160"/>
      <c r="AC2" s="160"/>
      <c r="AD2" s="160"/>
      <c r="AE2" s="160"/>
      <c r="AF2" s="160"/>
      <c r="AG2" s="160"/>
      <c r="AH2" s="160"/>
      <c r="AI2" s="160"/>
      <c r="AJ2" s="160"/>
      <c r="AK2" s="160"/>
      <c r="AL2" s="160"/>
      <c r="AM2" s="160"/>
      <c r="AN2" s="160"/>
      <c r="AO2" s="160"/>
      <c r="AP2" s="160"/>
      <c r="AQ2" s="160"/>
      <c r="AR2" s="161"/>
      <c r="AS2" s="72"/>
      <c r="AT2" s="72"/>
      <c r="AU2" s="72"/>
      <c r="AV2" s="72"/>
    </row>
    <row r="3" spans="1:48" ht="12.75" customHeight="1" x14ac:dyDescent="0.35">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193" t="s">
        <v>51</v>
      </c>
      <c r="AD3" s="191"/>
      <c r="AE3" s="191"/>
      <c r="AF3" s="191"/>
      <c r="AG3" s="191"/>
      <c r="AH3" s="192"/>
      <c r="AI3" s="187">
        <f>CARÁTULA!$H$19</f>
        <v>44326</v>
      </c>
      <c r="AJ3" s="169"/>
      <c r="AK3" s="169"/>
      <c r="AL3" s="169"/>
      <c r="AM3" s="169"/>
      <c r="AN3" s="196" t="s">
        <v>52</v>
      </c>
      <c r="AO3" s="160"/>
      <c r="AP3" s="160"/>
      <c r="AQ3" s="160"/>
      <c r="AR3" s="161"/>
      <c r="AS3" s="71"/>
      <c r="AT3" s="71"/>
      <c r="AU3" s="71"/>
      <c r="AV3" s="71"/>
    </row>
    <row r="4" spans="1:48" ht="12.75" customHeight="1" x14ac:dyDescent="0.35">
      <c r="A4" s="70"/>
      <c r="B4" s="73" t="s">
        <v>14</v>
      </c>
      <c r="C4" s="74" t="str">
        <f>CARÁTULA!$C$21</f>
        <v>Secundaria</v>
      </c>
      <c r="D4" s="75"/>
      <c r="E4" s="75"/>
      <c r="F4" s="75"/>
      <c r="G4" s="76"/>
      <c r="H4" s="76"/>
      <c r="I4" s="76"/>
      <c r="J4" s="76"/>
      <c r="K4" s="76"/>
      <c r="L4" s="76"/>
      <c r="M4" s="76"/>
      <c r="N4" s="76"/>
      <c r="O4" s="76" t="s">
        <v>53</v>
      </c>
      <c r="P4" s="77"/>
      <c r="Q4" s="75"/>
      <c r="R4" s="75"/>
      <c r="S4" s="74">
        <f>CARÁTULA!$C$19</f>
        <v>0</v>
      </c>
      <c r="T4" s="75"/>
      <c r="U4" s="75"/>
      <c r="V4" s="75"/>
      <c r="W4" s="75"/>
      <c r="X4" s="75"/>
      <c r="Y4" s="75"/>
      <c r="Z4" s="75"/>
      <c r="AA4" s="75"/>
      <c r="AB4" s="75"/>
      <c r="AC4" s="193" t="s">
        <v>54</v>
      </c>
      <c r="AD4" s="191"/>
      <c r="AE4" s="191"/>
      <c r="AF4" s="191"/>
      <c r="AG4" s="191"/>
      <c r="AH4" s="192"/>
      <c r="AI4" s="187">
        <f>CARÁTULA!$J$19</f>
        <v>44439</v>
      </c>
      <c r="AJ4" s="169"/>
      <c r="AK4" s="169"/>
      <c r="AL4" s="169"/>
      <c r="AM4" s="169"/>
      <c r="AN4" s="189">
        <f ca="1">AI4-AI5</f>
        <v>20</v>
      </c>
      <c r="AO4" s="179"/>
      <c r="AP4" s="179"/>
      <c r="AQ4" s="179"/>
      <c r="AR4" s="180"/>
    </row>
    <row r="5" spans="1:48" ht="12.75" customHeight="1" x14ac:dyDescent="0.35">
      <c r="A5" s="70"/>
      <c r="B5" s="73" t="s">
        <v>22</v>
      </c>
      <c r="C5" s="74" t="str">
        <f>CARÁTULA!$C$23</f>
        <v>4to de Secundaria</v>
      </c>
      <c r="D5" s="75"/>
      <c r="E5" s="75"/>
      <c r="F5" s="75"/>
      <c r="G5" s="73"/>
      <c r="H5" s="73"/>
      <c r="I5" s="73"/>
      <c r="J5" s="73"/>
      <c r="K5" s="73"/>
      <c r="L5" s="73"/>
      <c r="M5" s="73"/>
      <c r="N5" s="73"/>
      <c r="O5" s="73" t="s">
        <v>23</v>
      </c>
      <c r="P5" s="78"/>
      <c r="Q5" s="78"/>
      <c r="R5" s="78"/>
      <c r="S5" s="201">
        <f ca="1">TODAY()</f>
        <v>44419</v>
      </c>
      <c r="T5" s="160"/>
      <c r="U5" s="160"/>
      <c r="V5" s="160"/>
      <c r="W5" s="160"/>
      <c r="X5" s="160"/>
      <c r="Y5" s="160"/>
      <c r="Z5" s="160"/>
      <c r="AA5" s="161"/>
      <c r="AB5" s="75"/>
      <c r="AC5" s="194" t="s">
        <v>55</v>
      </c>
      <c r="AD5" s="191"/>
      <c r="AE5" s="191"/>
      <c r="AF5" s="191"/>
      <c r="AG5" s="191"/>
      <c r="AH5" s="192"/>
      <c r="AI5" s="197">
        <f ca="1">TODAY()</f>
        <v>44419</v>
      </c>
      <c r="AJ5" s="169"/>
      <c r="AK5" s="169"/>
      <c r="AL5" s="169"/>
      <c r="AM5" s="169"/>
      <c r="AN5" s="181"/>
      <c r="AO5" s="182"/>
      <c r="AP5" s="182"/>
      <c r="AQ5" s="182"/>
      <c r="AR5" s="183"/>
    </row>
    <row r="6" spans="1:48" ht="12.75" customHeight="1" x14ac:dyDescent="0.35">
      <c r="A6" s="70"/>
      <c r="B6" s="73"/>
      <c r="C6" s="175" t="s">
        <v>80</v>
      </c>
      <c r="D6" s="176"/>
      <c r="E6" s="176"/>
      <c r="F6" s="176"/>
      <c r="G6" s="176"/>
      <c r="H6" s="176"/>
      <c r="I6" s="176"/>
      <c r="J6" s="176"/>
      <c r="K6" s="176"/>
      <c r="L6" s="176"/>
      <c r="M6" s="176"/>
      <c r="N6" s="176"/>
      <c r="O6" s="176"/>
      <c r="P6" s="176"/>
      <c r="Q6" s="176"/>
      <c r="R6" s="176"/>
      <c r="S6" s="176"/>
      <c r="T6" s="176"/>
      <c r="U6" s="176"/>
      <c r="V6" s="176"/>
      <c r="W6" s="176"/>
      <c r="X6" s="176"/>
      <c r="Y6" s="176"/>
      <c r="Z6" s="176"/>
      <c r="AA6" s="177"/>
      <c r="AB6" s="202" t="s">
        <v>81</v>
      </c>
      <c r="AC6" s="191"/>
      <c r="AD6" s="191"/>
      <c r="AE6" s="192"/>
      <c r="AF6" s="79"/>
      <c r="AG6" s="80"/>
      <c r="AH6" s="80"/>
      <c r="AI6" s="81"/>
      <c r="AJ6" s="82"/>
      <c r="AK6" s="82"/>
      <c r="AL6" s="82"/>
      <c r="AM6" s="82"/>
      <c r="AN6" s="83"/>
      <c r="AO6" s="83"/>
      <c r="AP6" s="83"/>
      <c r="AQ6" s="83"/>
      <c r="AR6" s="83"/>
    </row>
    <row r="7" spans="1:48" ht="12" customHeight="1" x14ac:dyDescent="0.35">
      <c r="A7" s="70"/>
      <c r="B7" s="84"/>
      <c r="C7" s="203" t="s">
        <v>82</v>
      </c>
      <c r="D7" s="204" t="s">
        <v>83</v>
      </c>
      <c r="E7" s="191"/>
      <c r="F7" s="191"/>
      <c r="G7" s="191"/>
      <c r="H7" s="191"/>
      <c r="I7" s="191"/>
      <c r="J7" s="191"/>
      <c r="K7" s="191"/>
      <c r="L7" s="191"/>
      <c r="M7" s="191"/>
      <c r="N7" s="191"/>
      <c r="O7" s="200" t="s">
        <v>84</v>
      </c>
      <c r="P7" s="204" t="s">
        <v>85</v>
      </c>
      <c r="Q7" s="191"/>
      <c r="R7" s="191"/>
      <c r="S7" s="191"/>
      <c r="T7" s="191"/>
      <c r="U7" s="191"/>
      <c r="V7" s="191"/>
      <c r="W7" s="191"/>
      <c r="X7" s="191"/>
      <c r="Y7" s="191"/>
      <c r="Z7" s="191"/>
      <c r="AA7" s="198" t="s">
        <v>86</v>
      </c>
      <c r="AB7" s="200" t="s">
        <v>84</v>
      </c>
      <c r="AC7" s="198" t="s">
        <v>87</v>
      </c>
      <c r="AD7" s="198" t="s">
        <v>88</v>
      </c>
      <c r="AE7" s="200" t="s">
        <v>84</v>
      </c>
      <c r="AF7" s="205" t="s">
        <v>89</v>
      </c>
      <c r="AG7" s="206" t="s">
        <v>90</v>
      </c>
      <c r="AH7" s="207" t="s">
        <v>91</v>
      </c>
      <c r="AI7" s="176"/>
      <c r="AJ7" s="176"/>
      <c r="AK7" s="176"/>
      <c r="AL7" s="176"/>
      <c r="AM7" s="177"/>
      <c r="AN7" s="85"/>
      <c r="AO7" s="75"/>
      <c r="AP7" s="75"/>
      <c r="AQ7" s="75"/>
      <c r="AR7" s="70"/>
    </row>
    <row r="8" spans="1:48" ht="67.5" customHeight="1" x14ac:dyDescent="0.3">
      <c r="A8" s="48" t="s">
        <v>56</v>
      </c>
      <c r="B8" s="49" t="s">
        <v>57</v>
      </c>
      <c r="C8" s="199"/>
      <c r="D8" s="53" t="s">
        <v>240</v>
      </c>
      <c r="E8" s="53"/>
      <c r="F8" s="53"/>
      <c r="G8" s="53"/>
      <c r="H8" s="53"/>
      <c r="I8" s="53"/>
      <c r="J8" s="53"/>
      <c r="K8" s="53"/>
      <c r="L8" s="53"/>
      <c r="M8" s="53"/>
      <c r="N8" s="54"/>
      <c r="O8" s="199"/>
      <c r="P8" s="95" t="s">
        <v>171</v>
      </c>
      <c r="Q8" s="53" t="s">
        <v>192</v>
      </c>
      <c r="R8" s="53" t="s">
        <v>239</v>
      </c>
      <c r="S8" s="53"/>
      <c r="T8" s="53"/>
      <c r="U8" s="53"/>
      <c r="V8" s="53"/>
      <c r="W8" s="53"/>
      <c r="X8" s="53"/>
      <c r="Y8" s="53"/>
      <c r="Z8" s="53"/>
      <c r="AA8" s="199"/>
      <c r="AB8" s="199"/>
      <c r="AC8" s="199"/>
      <c r="AD8" s="199"/>
      <c r="AE8" s="199"/>
      <c r="AF8" s="199"/>
      <c r="AG8" s="199"/>
      <c r="AH8" s="208"/>
      <c r="AI8" s="209"/>
      <c r="AJ8" s="209"/>
      <c r="AK8" s="209"/>
      <c r="AL8" s="209"/>
      <c r="AM8" s="210"/>
      <c r="AN8" s="87"/>
      <c r="AO8" s="87"/>
      <c r="AP8" s="87"/>
      <c r="AQ8" s="87"/>
      <c r="AR8" s="88"/>
    </row>
    <row r="9" spans="1:48" ht="12" customHeight="1" x14ac:dyDescent="0.3">
      <c r="A9" s="58">
        <v>1</v>
      </c>
      <c r="B9" s="89" t="str">
        <f>'C. FILIACION'!B8</f>
        <v>BENITEZ BALLESTEROS KAREN ARIANA</v>
      </c>
      <c r="C9" s="31">
        <v>10</v>
      </c>
      <c r="D9" s="31">
        <v>23</v>
      </c>
      <c r="E9" s="31"/>
      <c r="F9" s="31"/>
      <c r="G9" s="31"/>
      <c r="H9" s="31"/>
      <c r="I9" s="31"/>
      <c r="J9" s="31"/>
      <c r="K9" s="31"/>
      <c r="L9" s="31"/>
      <c r="M9" s="31"/>
      <c r="N9" s="31"/>
      <c r="O9" s="91">
        <f t="shared" ref="O9:O44" si="0">IFERROR(ROUND(AVERAGE(D9:N9),0),"")</f>
        <v>23</v>
      </c>
      <c r="P9" s="31">
        <v>18</v>
      </c>
      <c r="Q9" s="31">
        <v>35</v>
      </c>
      <c r="R9" s="31"/>
      <c r="S9" s="31"/>
      <c r="T9" s="31"/>
      <c r="U9" s="31"/>
      <c r="V9" s="31"/>
      <c r="W9" s="31"/>
      <c r="X9" s="31"/>
      <c r="Y9" s="31"/>
      <c r="Z9" s="31"/>
      <c r="AA9" s="31">
        <v>10</v>
      </c>
      <c r="AB9" s="91">
        <f t="shared" ref="AB9:AB44" si="1">IFERROR(ROUND(AVERAGE(P9:Z9),0),"")</f>
        <v>27</v>
      </c>
      <c r="AC9" s="31">
        <v>5</v>
      </c>
      <c r="AD9" s="31">
        <v>5</v>
      </c>
      <c r="AE9" s="91">
        <f t="shared" ref="AE9:AE44" si="2">IFERROR((SUM(AC9,AD9)),"")</f>
        <v>10</v>
      </c>
      <c r="AF9" s="92" t="str">
        <f t="shared" ref="AF9:AF44" si="3">IF(AG9&lt;51,"ED",IF(AG9&lt;67,"DA",IF(AG9&lt;85,"DO","DP")))</f>
        <v>DO</v>
      </c>
      <c r="AG9" s="91">
        <f t="shared" ref="AG9:AG44" si="4">IFERROR((SUM(C9,O9,AA9,AB9,AE9)),"")</f>
        <v>80</v>
      </c>
      <c r="AH9" s="190" t="str">
        <f t="shared" ref="AH9:AH44" si="5">IF(AG9="","",(IF(AND(AG9&gt;=1,AG9&lt;=50.499),"REPROBADO",IF(AND(AG9&gt;=50.5,AG9&lt;=100),"APROBADO"))))</f>
        <v>APROBADO</v>
      </c>
      <c r="AI9" s="191"/>
      <c r="AJ9" s="191"/>
      <c r="AK9" s="191"/>
      <c r="AL9" s="191"/>
      <c r="AM9" s="192"/>
      <c r="AN9" s="93" t="s">
        <v>97</v>
      </c>
      <c r="AO9" s="211">
        <f>COUNTIF(AF9:AF44,"ED")</f>
        <v>19</v>
      </c>
      <c r="AP9" s="192"/>
      <c r="AQ9" s="94"/>
      <c r="AR9" s="94"/>
    </row>
    <row r="10" spans="1:48" ht="12" customHeight="1" x14ac:dyDescent="0.3">
      <c r="A10" s="58">
        <v>2</v>
      </c>
      <c r="B10" s="89" t="str">
        <f>'C. FILIACION'!B9</f>
        <v>CALIZAYA MERCADO AXEL GABRIEL</v>
      </c>
      <c r="C10" s="31">
        <v>10</v>
      </c>
      <c r="D10" s="31"/>
      <c r="E10" s="31"/>
      <c r="F10" s="31"/>
      <c r="G10" s="31"/>
      <c r="H10" s="31"/>
      <c r="I10" s="31"/>
      <c r="J10" s="31"/>
      <c r="K10" s="31"/>
      <c r="L10" s="31"/>
      <c r="M10" s="31"/>
      <c r="N10" s="31"/>
      <c r="O10" s="91" t="str">
        <f t="shared" si="0"/>
        <v/>
      </c>
      <c r="P10" s="31"/>
      <c r="Q10" s="31"/>
      <c r="R10" s="31"/>
      <c r="S10" s="31"/>
      <c r="T10" s="31"/>
      <c r="U10" s="31"/>
      <c r="V10" s="31"/>
      <c r="W10" s="31"/>
      <c r="X10" s="31"/>
      <c r="Y10" s="31"/>
      <c r="Z10" s="31"/>
      <c r="AA10" s="31">
        <v>10</v>
      </c>
      <c r="AB10" s="91" t="str">
        <f t="shared" si="1"/>
        <v/>
      </c>
      <c r="AC10" s="31">
        <v>5</v>
      </c>
      <c r="AD10" s="31">
        <v>5</v>
      </c>
      <c r="AE10" s="91">
        <f t="shared" si="2"/>
        <v>10</v>
      </c>
      <c r="AF10" s="92" t="str">
        <f t="shared" si="3"/>
        <v>ED</v>
      </c>
      <c r="AG10" s="91">
        <f t="shared" si="4"/>
        <v>30</v>
      </c>
      <c r="AH10" s="190" t="str">
        <f t="shared" si="5"/>
        <v>REPROBADO</v>
      </c>
      <c r="AI10" s="191"/>
      <c r="AJ10" s="191"/>
      <c r="AK10" s="191"/>
      <c r="AL10" s="191"/>
      <c r="AM10" s="192"/>
      <c r="AN10" s="48" t="s">
        <v>98</v>
      </c>
      <c r="AO10" s="211">
        <f>COUNTIF(AF9:AF44,"DA")</f>
        <v>4</v>
      </c>
      <c r="AP10" s="192"/>
      <c r="AQ10" s="94"/>
      <c r="AR10" s="94"/>
    </row>
    <row r="11" spans="1:48" ht="12" customHeight="1" x14ac:dyDescent="0.3">
      <c r="A11" s="58">
        <v>3</v>
      </c>
      <c r="B11" s="89" t="str">
        <f>'C. FILIACION'!B10</f>
        <v>CANO GUZMAN FABRIZIO RODRIGO</v>
      </c>
      <c r="C11" s="31">
        <v>10</v>
      </c>
      <c r="D11" s="31"/>
      <c r="E11" s="31"/>
      <c r="F11" s="31"/>
      <c r="G11" s="31"/>
      <c r="H11" s="31"/>
      <c r="I11" s="31"/>
      <c r="J11" s="31"/>
      <c r="K11" s="31"/>
      <c r="L11" s="31"/>
      <c r="M11" s="31"/>
      <c r="N11" s="31"/>
      <c r="O11" s="91" t="str">
        <f t="shared" si="0"/>
        <v/>
      </c>
      <c r="P11" s="31"/>
      <c r="Q11" s="31"/>
      <c r="R11" s="31"/>
      <c r="S11" s="31"/>
      <c r="T11" s="31"/>
      <c r="U11" s="31"/>
      <c r="V11" s="31"/>
      <c r="W11" s="31"/>
      <c r="X11" s="31"/>
      <c r="Y11" s="31"/>
      <c r="Z11" s="31"/>
      <c r="AA11" s="31">
        <v>10</v>
      </c>
      <c r="AB11" s="91" t="str">
        <f t="shared" si="1"/>
        <v/>
      </c>
      <c r="AC11" s="31">
        <v>5</v>
      </c>
      <c r="AD11" s="31">
        <v>5</v>
      </c>
      <c r="AE11" s="91">
        <f t="shared" si="2"/>
        <v>10</v>
      </c>
      <c r="AF11" s="92" t="str">
        <f t="shared" si="3"/>
        <v>ED</v>
      </c>
      <c r="AG11" s="91">
        <f t="shared" si="4"/>
        <v>30</v>
      </c>
      <c r="AH11" s="190" t="str">
        <f t="shared" si="5"/>
        <v>REPROBADO</v>
      </c>
      <c r="AI11" s="191"/>
      <c r="AJ11" s="191"/>
      <c r="AK11" s="191"/>
      <c r="AL11" s="191"/>
      <c r="AM11" s="192"/>
      <c r="AN11" s="48" t="s">
        <v>99</v>
      </c>
      <c r="AO11" s="211">
        <f>COUNTIF(AF9:AF44,"DO")</f>
        <v>3</v>
      </c>
      <c r="AP11" s="192"/>
      <c r="AQ11" s="94"/>
      <c r="AR11" s="94"/>
    </row>
    <row r="12" spans="1:48" ht="12" customHeight="1" x14ac:dyDescent="0.3">
      <c r="A12" s="58">
        <v>4</v>
      </c>
      <c r="B12" s="89" t="str">
        <f>'C. FILIACION'!B11</f>
        <v>CHOQUE LAURA CARLOS EDUARDO</v>
      </c>
      <c r="C12" s="31">
        <v>10</v>
      </c>
      <c r="D12" s="31"/>
      <c r="E12" s="31"/>
      <c r="F12" s="31"/>
      <c r="G12" s="31"/>
      <c r="H12" s="31"/>
      <c r="I12" s="31"/>
      <c r="J12" s="31"/>
      <c r="K12" s="31"/>
      <c r="L12" s="31"/>
      <c r="M12" s="31"/>
      <c r="N12" s="31"/>
      <c r="O12" s="91" t="str">
        <f t="shared" si="0"/>
        <v/>
      </c>
      <c r="P12" s="31"/>
      <c r="Q12" s="31"/>
      <c r="R12" s="31"/>
      <c r="S12" s="31"/>
      <c r="T12" s="31"/>
      <c r="U12" s="31"/>
      <c r="V12" s="31"/>
      <c r="W12" s="31"/>
      <c r="X12" s="31"/>
      <c r="Y12" s="31"/>
      <c r="Z12" s="31"/>
      <c r="AA12" s="31">
        <v>10</v>
      </c>
      <c r="AB12" s="91" t="str">
        <f t="shared" si="1"/>
        <v/>
      </c>
      <c r="AC12" s="31">
        <v>5</v>
      </c>
      <c r="AD12" s="31">
        <v>5</v>
      </c>
      <c r="AE12" s="91">
        <f t="shared" si="2"/>
        <v>10</v>
      </c>
      <c r="AF12" s="92" t="str">
        <f t="shared" si="3"/>
        <v>ED</v>
      </c>
      <c r="AG12" s="91">
        <f t="shared" si="4"/>
        <v>30</v>
      </c>
      <c r="AH12" s="190" t="str">
        <f t="shared" si="5"/>
        <v>REPROBADO</v>
      </c>
      <c r="AI12" s="191"/>
      <c r="AJ12" s="191"/>
      <c r="AK12" s="191"/>
      <c r="AL12" s="191"/>
      <c r="AM12" s="192"/>
      <c r="AN12" s="48" t="s">
        <v>100</v>
      </c>
      <c r="AO12" s="211">
        <f>COUNTIF(AF9:AF44,"DP")</f>
        <v>10</v>
      </c>
      <c r="AP12" s="192"/>
      <c r="AQ12" s="94"/>
      <c r="AR12" s="94"/>
    </row>
    <row r="13" spans="1:48" ht="12" customHeight="1" x14ac:dyDescent="0.3">
      <c r="A13" s="58">
        <v>5</v>
      </c>
      <c r="B13" s="89" t="str">
        <f>'C. FILIACION'!B12</f>
        <v>CONDORI GALARZA DENSEL ALEXSIS</v>
      </c>
      <c r="C13" s="31">
        <v>10</v>
      </c>
      <c r="D13" s="31">
        <v>35</v>
      </c>
      <c r="E13" s="31"/>
      <c r="F13" s="31"/>
      <c r="G13" s="31"/>
      <c r="H13" s="31"/>
      <c r="I13" s="31"/>
      <c r="J13" s="31"/>
      <c r="K13" s="31"/>
      <c r="L13" s="31"/>
      <c r="M13" s="31"/>
      <c r="N13" s="31"/>
      <c r="O13" s="91">
        <f t="shared" si="0"/>
        <v>35</v>
      </c>
      <c r="P13" s="31">
        <v>35</v>
      </c>
      <c r="Q13" s="31">
        <v>35</v>
      </c>
      <c r="R13" s="31"/>
      <c r="S13" s="31"/>
      <c r="T13" s="31"/>
      <c r="U13" s="31"/>
      <c r="V13" s="31"/>
      <c r="W13" s="31"/>
      <c r="X13" s="31"/>
      <c r="Y13" s="31"/>
      <c r="Z13" s="31"/>
      <c r="AA13" s="31">
        <v>10</v>
      </c>
      <c r="AB13" s="91">
        <f t="shared" si="1"/>
        <v>35</v>
      </c>
      <c r="AC13" s="31">
        <v>5</v>
      </c>
      <c r="AD13" s="31">
        <v>5</v>
      </c>
      <c r="AE13" s="91">
        <f t="shared" si="2"/>
        <v>10</v>
      </c>
      <c r="AF13" s="92" t="str">
        <f t="shared" si="3"/>
        <v>DP</v>
      </c>
      <c r="AG13" s="91">
        <f t="shared" si="4"/>
        <v>100</v>
      </c>
      <c r="AH13" s="190" t="str">
        <f t="shared" si="5"/>
        <v>APROBADO</v>
      </c>
      <c r="AI13" s="191"/>
      <c r="AJ13" s="191"/>
      <c r="AK13" s="191"/>
      <c r="AL13" s="191"/>
      <c r="AM13" s="192"/>
      <c r="AN13" s="94"/>
      <c r="AO13" s="94"/>
      <c r="AP13" s="94"/>
      <c r="AQ13" s="94"/>
      <c r="AR13" s="94"/>
    </row>
    <row r="14" spans="1:48" ht="12" customHeight="1" x14ac:dyDescent="0.3">
      <c r="A14" s="58">
        <v>6</v>
      </c>
      <c r="B14" s="89" t="str">
        <f>'C. FILIACION'!B13</f>
        <v>DAZA RAMIREZ KALEP MATEO</v>
      </c>
      <c r="C14" s="31">
        <v>10</v>
      </c>
      <c r="D14" s="31"/>
      <c r="E14" s="31"/>
      <c r="F14" s="31"/>
      <c r="G14" s="31"/>
      <c r="H14" s="31"/>
      <c r="I14" s="31"/>
      <c r="J14" s="31"/>
      <c r="K14" s="31"/>
      <c r="L14" s="31"/>
      <c r="M14" s="31"/>
      <c r="N14" s="31"/>
      <c r="O14" s="91" t="str">
        <f t="shared" si="0"/>
        <v/>
      </c>
      <c r="P14" s="31"/>
      <c r="Q14" s="31"/>
      <c r="R14" s="31"/>
      <c r="S14" s="31"/>
      <c r="T14" s="31"/>
      <c r="U14" s="31"/>
      <c r="V14" s="31"/>
      <c r="W14" s="31"/>
      <c r="X14" s="31"/>
      <c r="Y14" s="31"/>
      <c r="Z14" s="31"/>
      <c r="AA14" s="31">
        <v>10</v>
      </c>
      <c r="AB14" s="91" t="str">
        <f t="shared" si="1"/>
        <v/>
      </c>
      <c r="AC14" s="31">
        <v>5</v>
      </c>
      <c r="AD14" s="31">
        <v>5</v>
      </c>
      <c r="AE14" s="91">
        <f t="shared" si="2"/>
        <v>10</v>
      </c>
      <c r="AF14" s="92" t="str">
        <f t="shared" si="3"/>
        <v>ED</v>
      </c>
      <c r="AG14" s="91">
        <f t="shared" si="4"/>
        <v>30</v>
      </c>
      <c r="AH14" s="190" t="str">
        <f t="shared" si="5"/>
        <v>REPROBADO</v>
      </c>
      <c r="AI14" s="191"/>
      <c r="AJ14" s="191"/>
      <c r="AK14" s="191"/>
      <c r="AL14" s="191"/>
      <c r="AM14" s="192"/>
      <c r="AN14" s="94"/>
      <c r="AO14" s="94"/>
      <c r="AP14" s="94"/>
      <c r="AQ14" s="94"/>
      <c r="AR14" s="94"/>
    </row>
    <row r="15" spans="1:48" ht="12" customHeight="1" x14ac:dyDescent="0.3">
      <c r="A15" s="58">
        <v>7</v>
      </c>
      <c r="B15" s="89" t="str">
        <f>'C. FILIACION'!B14</f>
        <v>ESTRADA FUNES NAZARETH</v>
      </c>
      <c r="C15" s="31">
        <v>10</v>
      </c>
      <c r="D15" s="31">
        <v>23</v>
      </c>
      <c r="E15" s="31"/>
      <c r="F15" s="31"/>
      <c r="G15" s="31"/>
      <c r="H15" s="31"/>
      <c r="I15" s="31"/>
      <c r="J15" s="31"/>
      <c r="K15" s="31"/>
      <c r="L15" s="31"/>
      <c r="M15" s="31"/>
      <c r="N15" s="31"/>
      <c r="O15" s="91">
        <f t="shared" si="0"/>
        <v>23</v>
      </c>
      <c r="P15" s="31">
        <v>18</v>
      </c>
      <c r="Q15" s="31">
        <v>35</v>
      </c>
      <c r="R15" s="31"/>
      <c r="S15" s="31"/>
      <c r="T15" s="31"/>
      <c r="U15" s="31"/>
      <c r="V15" s="31"/>
      <c r="W15" s="31"/>
      <c r="X15" s="31"/>
      <c r="Y15" s="31"/>
      <c r="Z15" s="31"/>
      <c r="AA15" s="31">
        <v>10</v>
      </c>
      <c r="AB15" s="91">
        <f t="shared" si="1"/>
        <v>27</v>
      </c>
      <c r="AC15" s="31">
        <v>5</v>
      </c>
      <c r="AD15" s="31">
        <v>5</v>
      </c>
      <c r="AE15" s="91">
        <f t="shared" si="2"/>
        <v>10</v>
      </c>
      <c r="AF15" s="92" t="str">
        <f t="shared" si="3"/>
        <v>DO</v>
      </c>
      <c r="AG15" s="91">
        <f t="shared" si="4"/>
        <v>80</v>
      </c>
      <c r="AH15" s="190" t="str">
        <f t="shared" si="5"/>
        <v>APROBADO</v>
      </c>
      <c r="AI15" s="191"/>
      <c r="AJ15" s="191"/>
      <c r="AK15" s="191"/>
      <c r="AL15" s="191"/>
      <c r="AM15" s="192"/>
      <c r="AN15" s="94"/>
      <c r="AO15" s="94"/>
      <c r="AP15" s="94"/>
      <c r="AQ15" s="94"/>
      <c r="AR15" s="94"/>
    </row>
    <row r="16" spans="1:48" ht="12" customHeight="1" x14ac:dyDescent="0.3">
      <c r="A16" s="58">
        <v>8</v>
      </c>
      <c r="B16" s="89" t="str">
        <f>'C. FILIACION'!B15</f>
        <v>FLORES VILLEGAS CARLOS IVAN</v>
      </c>
      <c r="C16" s="31">
        <v>10</v>
      </c>
      <c r="D16" s="31"/>
      <c r="E16" s="31"/>
      <c r="F16" s="31"/>
      <c r="G16" s="31"/>
      <c r="H16" s="31"/>
      <c r="I16" s="31"/>
      <c r="J16" s="31"/>
      <c r="K16" s="31"/>
      <c r="L16" s="31"/>
      <c r="M16" s="31"/>
      <c r="N16" s="31"/>
      <c r="O16" s="91" t="str">
        <f t="shared" si="0"/>
        <v/>
      </c>
      <c r="P16" s="31"/>
      <c r="Q16" s="31"/>
      <c r="R16" s="31"/>
      <c r="S16" s="31"/>
      <c r="T16" s="31"/>
      <c r="U16" s="31"/>
      <c r="V16" s="31"/>
      <c r="W16" s="31"/>
      <c r="X16" s="31"/>
      <c r="Y16" s="31"/>
      <c r="Z16" s="31"/>
      <c r="AA16" s="31">
        <v>10</v>
      </c>
      <c r="AB16" s="91" t="str">
        <f t="shared" si="1"/>
        <v/>
      </c>
      <c r="AC16" s="31">
        <v>5</v>
      </c>
      <c r="AD16" s="31">
        <v>5</v>
      </c>
      <c r="AE16" s="91">
        <f t="shared" si="2"/>
        <v>10</v>
      </c>
      <c r="AF16" s="92" t="str">
        <f t="shared" si="3"/>
        <v>ED</v>
      </c>
      <c r="AG16" s="91">
        <f t="shared" si="4"/>
        <v>30</v>
      </c>
      <c r="AH16" s="190" t="str">
        <f t="shared" si="5"/>
        <v>REPROBADO</v>
      </c>
      <c r="AI16" s="191"/>
      <c r="AJ16" s="191"/>
      <c r="AK16" s="191"/>
      <c r="AL16" s="191"/>
      <c r="AM16" s="192"/>
      <c r="AN16" s="94"/>
      <c r="AO16" s="94"/>
      <c r="AP16" s="94"/>
      <c r="AQ16" s="94"/>
      <c r="AR16" s="94"/>
    </row>
    <row r="17" spans="1:44" ht="12" customHeight="1" x14ac:dyDescent="0.3">
      <c r="A17" s="58">
        <v>9</v>
      </c>
      <c r="B17" s="89" t="str">
        <f>'C. FILIACION'!B16</f>
        <v>FRANCISCO RUIZ LUCERO</v>
      </c>
      <c r="C17" s="31">
        <v>10</v>
      </c>
      <c r="D17" s="31">
        <v>27</v>
      </c>
      <c r="E17" s="31"/>
      <c r="F17" s="31"/>
      <c r="G17" s="31"/>
      <c r="H17" s="31"/>
      <c r="I17" s="31"/>
      <c r="J17" s="31"/>
      <c r="K17" s="31"/>
      <c r="L17" s="31"/>
      <c r="M17" s="31"/>
      <c r="N17" s="31"/>
      <c r="O17" s="91">
        <f t="shared" si="0"/>
        <v>27</v>
      </c>
      <c r="P17" s="31">
        <v>35</v>
      </c>
      <c r="Q17" s="31">
        <v>35</v>
      </c>
      <c r="R17" s="31">
        <v>35</v>
      </c>
      <c r="S17" s="31"/>
      <c r="T17" s="31"/>
      <c r="U17" s="31"/>
      <c r="V17" s="31"/>
      <c r="W17" s="31"/>
      <c r="X17" s="31"/>
      <c r="Y17" s="31"/>
      <c r="Z17" s="31"/>
      <c r="AA17" s="31">
        <v>10</v>
      </c>
      <c r="AB17" s="91">
        <f t="shared" si="1"/>
        <v>35</v>
      </c>
      <c r="AC17" s="31">
        <v>5</v>
      </c>
      <c r="AD17" s="31">
        <v>5</v>
      </c>
      <c r="AE17" s="91">
        <f t="shared" si="2"/>
        <v>10</v>
      </c>
      <c r="AF17" s="92" t="str">
        <f t="shared" si="3"/>
        <v>DP</v>
      </c>
      <c r="AG17" s="91">
        <f t="shared" si="4"/>
        <v>92</v>
      </c>
      <c r="AH17" s="190" t="str">
        <f t="shared" si="5"/>
        <v>APROBADO</v>
      </c>
      <c r="AI17" s="191"/>
      <c r="AJ17" s="191"/>
      <c r="AK17" s="191"/>
      <c r="AL17" s="191"/>
      <c r="AM17" s="192"/>
      <c r="AN17" s="94"/>
      <c r="AO17" s="94"/>
      <c r="AP17" s="94"/>
      <c r="AQ17" s="94"/>
      <c r="AR17" s="94"/>
    </row>
    <row r="18" spans="1:44" ht="12" customHeight="1" x14ac:dyDescent="0.3">
      <c r="A18" s="58">
        <v>10</v>
      </c>
      <c r="B18" s="89" t="str">
        <f>'C. FILIACION'!B17</f>
        <v>IBARRA VINO ELOY INTI</v>
      </c>
      <c r="C18" s="31">
        <v>10</v>
      </c>
      <c r="D18" s="31">
        <v>30</v>
      </c>
      <c r="E18" s="31"/>
      <c r="F18" s="31"/>
      <c r="G18" s="31"/>
      <c r="H18" s="31"/>
      <c r="I18" s="31"/>
      <c r="J18" s="31"/>
      <c r="K18" s="31"/>
      <c r="L18" s="31"/>
      <c r="M18" s="31"/>
      <c r="N18" s="31"/>
      <c r="O18" s="91">
        <f t="shared" si="0"/>
        <v>30</v>
      </c>
      <c r="P18" s="31">
        <v>30</v>
      </c>
      <c r="Q18" s="31">
        <v>20</v>
      </c>
      <c r="R18" s="31">
        <v>20</v>
      </c>
      <c r="S18" s="31"/>
      <c r="T18" s="31"/>
      <c r="U18" s="31"/>
      <c r="V18" s="31"/>
      <c r="W18" s="31"/>
      <c r="X18" s="31"/>
      <c r="Y18" s="31"/>
      <c r="Z18" s="31"/>
      <c r="AA18" s="31">
        <v>10</v>
      </c>
      <c r="AB18" s="91">
        <f t="shared" si="1"/>
        <v>23</v>
      </c>
      <c r="AC18" s="31">
        <v>5</v>
      </c>
      <c r="AD18" s="31">
        <v>5</v>
      </c>
      <c r="AE18" s="91">
        <f t="shared" si="2"/>
        <v>10</v>
      </c>
      <c r="AF18" s="92" t="str">
        <f t="shared" si="3"/>
        <v>DO</v>
      </c>
      <c r="AG18" s="91">
        <f t="shared" si="4"/>
        <v>83</v>
      </c>
      <c r="AH18" s="190" t="str">
        <f t="shared" si="5"/>
        <v>APROBADO</v>
      </c>
      <c r="AI18" s="191"/>
      <c r="AJ18" s="191"/>
      <c r="AK18" s="191"/>
      <c r="AL18" s="191"/>
      <c r="AM18" s="192"/>
      <c r="AN18" s="94"/>
      <c r="AO18" s="94"/>
      <c r="AP18" s="94"/>
      <c r="AQ18" s="94"/>
      <c r="AR18" s="94"/>
    </row>
    <row r="19" spans="1:44" ht="12" customHeight="1" x14ac:dyDescent="0.3">
      <c r="A19" s="58">
        <v>11</v>
      </c>
      <c r="B19" s="89" t="str">
        <f>'C. FILIACION'!B18</f>
        <v>LOPEZ BLANCO SOFIA FELEN</v>
      </c>
      <c r="C19" s="31">
        <v>10</v>
      </c>
      <c r="D19" s="31">
        <v>29</v>
      </c>
      <c r="E19" s="31"/>
      <c r="F19" s="31"/>
      <c r="G19" s="31"/>
      <c r="H19" s="31"/>
      <c r="I19" s="31"/>
      <c r="J19" s="31"/>
      <c r="K19" s="31"/>
      <c r="L19" s="31"/>
      <c r="M19" s="31"/>
      <c r="N19" s="31"/>
      <c r="O19" s="91">
        <f t="shared" si="0"/>
        <v>29</v>
      </c>
      <c r="P19" s="31"/>
      <c r="Q19" s="31"/>
      <c r="R19" s="31"/>
      <c r="S19" s="31"/>
      <c r="T19" s="31"/>
      <c r="U19" s="31"/>
      <c r="V19" s="31"/>
      <c r="W19" s="31"/>
      <c r="X19" s="31"/>
      <c r="Y19" s="31"/>
      <c r="Z19" s="31"/>
      <c r="AA19" s="31">
        <v>10</v>
      </c>
      <c r="AB19" s="91" t="str">
        <f t="shared" si="1"/>
        <v/>
      </c>
      <c r="AC19" s="31">
        <v>5</v>
      </c>
      <c r="AD19" s="31">
        <v>5</v>
      </c>
      <c r="AE19" s="91">
        <f t="shared" si="2"/>
        <v>10</v>
      </c>
      <c r="AF19" s="92" t="str">
        <f t="shared" si="3"/>
        <v>DA</v>
      </c>
      <c r="AG19" s="91">
        <f t="shared" si="4"/>
        <v>59</v>
      </c>
      <c r="AH19" s="190" t="str">
        <f t="shared" si="5"/>
        <v>APROBADO</v>
      </c>
      <c r="AI19" s="191"/>
      <c r="AJ19" s="191"/>
      <c r="AK19" s="191"/>
      <c r="AL19" s="191"/>
      <c r="AM19" s="192"/>
      <c r="AN19" s="94"/>
      <c r="AO19" s="94"/>
      <c r="AP19" s="94"/>
      <c r="AQ19" s="94"/>
      <c r="AR19" s="94"/>
    </row>
    <row r="20" spans="1:44" ht="12" customHeight="1" x14ac:dyDescent="0.3">
      <c r="A20" s="58">
        <v>12</v>
      </c>
      <c r="B20" s="89" t="str">
        <f>'C. FILIACION'!B19</f>
        <v>LOPEZ PACO RODRIGO ADRIAN</v>
      </c>
      <c r="C20" s="31">
        <v>10</v>
      </c>
      <c r="D20" s="31"/>
      <c r="E20" s="31"/>
      <c r="F20" s="31"/>
      <c r="G20" s="31"/>
      <c r="H20" s="31"/>
      <c r="I20" s="31"/>
      <c r="J20" s="31"/>
      <c r="K20" s="31"/>
      <c r="L20" s="31"/>
      <c r="M20" s="31"/>
      <c r="N20" s="31"/>
      <c r="O20" s="91" t="str">
        <f t="shared" si="0"/>
        <v/>
      </c>
      <c r="P20" s="31"/>
      <c r="Q20" s="31"/>
      <c r="R20" s="31"/>
      <c r="S20" s="31"/>
      <c r="T20" s="31"/>
      <c r="U20" s="31"/>
      <c r="V20" s="31"/>
      <c r="W20" s="31"/>
      <c r="X20" s="31"/>
      <c r="Y20" s="31"/>
      <c r="Z20" s="31"/>
      <c r="AA20" s="31">
        <v>10</v>
      </c>
      <c r="AB20" s="91" t="str">
        <f t="shared" si="1"/>
        <v/>
      </c>
      <c r="AC20" s="31">
        <v>5</v>
      </c>
      <c r="AD20" s="31">
        <v>5</v>
      </c>
      <c r="AE20" s="91">
        <f t="shared" si="2"/>
        <v>10</v>
      </c>
      <c r="AF20" s="92" t="str">
        <f t="shared" si="3"/>
        <v>ED</v>
      </c>
      <c r="AG20" s="91">
        <f t="shared" si="4"/>
        <v>30</v>
      </c>
      <c r="AH20" s="190" t="str">
        <f t="shared" si="5"/>
        <v>REPROBADO</v>
      </c>
      <c r="AI20" s="191"/>
      <c r="AJ20" s="191"/>
      <c r="AK20" s="191"/>
      <c r="AL20" s="191"/>
      <c r="AM20" s="192"/>
      <c r="AN20" s="94"/>
      <c r="AO20" s="94"/>
      <c r="AP20" s="94"/>
      <c r="AQ20" s="94"/>
      <c r="AR20" s="94"/>
    </row>
    <row r="21" spans="1:44" ht="12" customHeight="1" x14ac:dyDescent="0.3">
      <c r="A21" s="58">
        <v>13</v>
      </c>
      <c r="B21" s="89" t="str">
        <f>'C. FILIACION'!B20</f>
        <v>LOPEZ VERA MILENCA</v>
      </c>
      <c r="C21" s="31">
        <v>10</v>
      </c>
      <c r="D21" s="31">
        <v>28</v>
      </c>
      <c r="E21" s="31"/>
      <c r="F21" s="31"/>
      <c r="G21" s="31"/>
      <c r="H21" s="31"/>
      <c r="I21" s="31"/>
      <c r="J21" s="31"/>
      <c r="K21" s="31"/>
      <c r="L21" s="31"/>
      <c r="M21" s="31"/>
      <c r="N21" s="31"/>
      <c r="O21" s="91">
        <f t="shared" si="0"/>
        <v>28</v>
      </c>
      <c r="P21" s="31">
        <v>35</v>
      </c>
      <c r="Q21" s="31">
        <v>35</v>
      </c>
      <c r="R21" s="31">
        <v>35</v>
      </c>
      <c r="S21" s="31"/>
      <c r="T21" s="31"/>
      <c r="U21" s="31"/>
      <c r="V21" s="31"/>
      <c r="W21" s="31"/>
      <c r="X21" s="31"/>
      <c r="Y21" s="31"/>
      <c r="Z21" s="31"/>
      <c r="AA21" s="31">
        <v>10</v>
      </c>
      <c r="AB21" s="91">
        <f t="shared" si="1"/>
        <v>35</v>
      </c>
      <c r="AC21" s="31">
        <v>5</v>
      </c>
      <c r="AD21" s="31">
        <v>5</v>
      </c>
      <c r="AE21" s="91">
        <f t="shared" si="2"/>
        <v>10</v>
      </c>
      <c r="AF21" s="92" t="str">
        <f t="shared" si="3"/>
        <v>DP</v>
      </c>
      <c r="AG21" s="91">
        <f t="shared" si="4"/>
        <v>93</v>
      </c>
      <c r="AH21" s="190" t="str">
        <f t="shared" si="5"/>
        <v>APROBADO</v>
      </c>
      <c r="AI21" s="191"/>
      <c r="AJ21" s="191"/>
      <c r="AK21" s="191"/>
      <c r="AL21" s="191"/>
      <c r="AM21" s="192"/>
      <c r="AN21" s="94"/>
      <c r="AO21" s="94"/>
      <c r="AP21" s="94"/>
      <c r="AQ21" s="94"/>
      <c r="AR21" s="94"/>
    </row>
    <row r="22" spans="1:44" ht="12" customHeight="1" x14ac:dyDescent="0.3">
      <c r="A22" s="58">
        <v>14</v>
      </c>
      <c r="B22" s="89" t="str">
        <f>'C. FILIACION'!B21</f>
        <v>MEDINA CHOQUE JOSE ROBERTO</v>
      </c>
      <c r="C22" s="31">
        <v>10</v>
      </c>
      <c r="D22" s="31">
        <v>23</v>
      </c>
      <c r="E22" s="31"/>
      <c r="F22" s="31"/>
      <c r="G22" s="31"/>
      <c r="H22" s="31"/>
      <c r="I22" s="31"/>
      <c r="J22" s="31"/>
      <c r="K22" s="31"/>
      <c r="L22" s="31"/>
      <c r="M22" s="31"/>
      <c r="N22" s="31"/>
      <c r="O22" s="91">
        <f t="shared" si="0"/>
        <v>23</v>
      </c>
      <c r="P22" s="31"/>
      <c r="Q22" s="31"/>
      <c r="R22" s="31"/>
      <c r="S22" s="31"/>
      <c r="T22" s="31"/>
      <c r="U22" s="31"/>
      <c r="V22" s="31"/>
      <c r="W22" s="31"/>
      <c r="X22" s="31"/>
      <c r="Y22" s="31"/>
      <c r="Z22" s="31"/>
      <c r="AA22" s="31">
        <v>10</v>
      </c>
      <c r="AB22" s="91" t="str">
        <f t="shared" si="1"/>
        <v/>
      </c>
      <c r="AC22" s="31">
        <v>5</v>
      </c>
      <c r="AD22" s="31">
        <v>5</v>
      </c>
      <c r="AE22" s="91">
        <f t="shared" si="2"/>
        <v>10</v>
      </c>
      <c r="AF22" s="92" t="str">
        <f t="shared" si="3"/>
        <v>DA</v>
      </c>
      <c r="AG22" s="91">
        <f t="shared" si="4"/>
        <v>53</v>
      </c>
      <c r="AH22" s="190" t="str">
        <f t="shared" si="5"/>
        <v>APROBADO</v>
      </c>
      <c r="AI22" s="191"/>
      <c r="AJ22" s="191"/>
      <c r="AK22" s="191"/>
      <c r="AL22" s="191"/>
      <c r="AM22" s="192"/>
      <c r="AN22" s="94"/>
      <c r="AO22" s="94"/>
      <c r="AP22" s="94"/>
      <c r="AQ22" s="94"/>
      <c r="AR22" s="94"/>
    </row>
    <row r="23" spans="1:44" ht="12" customHeight="1" x14ac:dyDescent="0.3">
      <c r="A23" s="58">
        <v>15</v>
      </c>
      <c r="B23" s="89" t="str">
        <f>'C. FILIACION'!B22</f>
        <v>MIRABAL AYANOME JOSE ALFREDO</v>
      </c>
      <c r="C23" s="31">
        <v>10</v>
      </c>
      <c r="D23" s="31"/>
      <c r="E23" s="31"/>
      <c r="F23" s="31"/>
      <c r="G23" s="31"/>
      <c r="H23" s="31"/>
      <c r="I23" s="31"/>
      <c r="J23" s="31"/>
      <c r="K23" s="31"/>
      <c r="L23" s="31"/>
      <c r="M23" s="31"/>
      <c r="N23" s="31"/>
      <c r="O23" s="91" t="str">
        <f t="shared" si="0"/>
        <v/>
      </c>
      <c r="P23" s="31"/>
      <c r="Q23" s="31"/>
      <c r="R23" s="31"/>
      <c r="S23" s="31"/>
      <c r="T23" s="31"/>
      <c r="U23" s="31"/>
      <c r="V23" s="31"/>
      <c r="W23" s="31"/>
      <c r="X23" s="31"/>
      <c r="Y23" s="31"/>
      <c r="Z23" s="31"/>
      <c r="AA23" s="31">
        <v>10</v>
      </c>
      <c r="AB23" s="91" t="str">
        <f t="shared" si="1"/>
        <v/>
      </c>
      <c r="AC23" s="31">
        <v>5</v>
      </c>
      <c r="AD23" s="31">
        <v>5</v>
      </c>
      <c r="AE23" s="91">
        <f t="shared" si="2"/>
        <v>10</v>
      </c>
      <c r="AF23" s="92" t="str">
        <f t="shared" si="3"/>
        <v>ED</v>
      </c>
      <c r="AG23" s="91">
        <f t="shared" si="4"/>
        <v>30</v>
      </c>
      <c r="AH23" s="190" t="str">
        <f t="shared" si="5"/>
        <v>REPROBADO</v>
      </c>
      <c r="AI23" s="191"/>
      <c r="AJ23" s="191"/>
      <c r="AK23" s="191"/>
      <c r="AL23" s="191"/>
      <c r="AM23" s="192"/>
      <c r="AN23" s="94"/>
      <c r="AO23" s="94"/>
      <c r="AP23" s="94"/>
      <c r="AQ23" s="94"/>
      <c r="AR23" s="94"/>
    </row>
    <row r="24" spans="1:44" ht="12" customHeight="1" x14ac:dyDescent="0.3">
      <c r="A24" s="58">
        <v>16</v>
      </c>
      <c r="B24" s="89" t="str">
        <f>'C. FILIACION'!B23</f>
        <v>NINA RUEDA ESTEFANY DANIELA</v>
      </c>
      <c r="C24" s="31">
        <v>10</v>
      </c>
      <c r="D24" s="31">
        <v>25</v>
      </c>
      <c r="E24" s="31"/>
      <c r="F24" s="31"/>
      <c r="G24" s="31"/>
      <c r="H24" s="31"/>
      <c r="I24" s="31"/>
      <c r="J24" s="31"/>
      <c r="K24" s="31"/>
      <c r="L24" s="31"/>
      <c r="M24" s="31"/>
      <c r="N24" s="31"/>
      <c r="O24" s="91">
        <f t="shared" si="0"/>
        <v>25</v>
      </c>
      <c r="P24" s="31"/>
      <c r="Q24" s="31"/>
      <c r="R24" s="31"/>
      <c r="S24" s="31"/>
      <c r="T24" s="31"/>
      <c r="U24" s="31"/>
      <c r="V24" s="31"/>
      <c r="W24" s="31"/>
      <c r="X24" s="31"/>
      <c r="Y24" s="31"/>
      <c r="Z24" s="31"/>
      <c r="AA24" s="31">
        <v>10</v>
      </c>
      <c r="AB24" s="91" t="str">
        <f t="shared" si="1"/>
        <v/>
      </c>
      <c r="AC24" s="31">
        <v>5</v>
      </c>
      <c r="AD24" s="31">
        <v>5</v>
      </c>
      <c r="AE24" s="91">
        <f t="shared" si="2"/>
        <v>10</v>
      </c>
      <c r="AF24" s="92" t="str">
        <f t="shared" si="3"/>
        <v>DA</v>
      </c>
      <c r="AG24" s="91">
        <f t="shared" si="4"/>
        <v>55</v>
      </c>
      <c r="AH24" s="190" t="str">
        <f t="shared" si="5"/>
        <v>APROBADO</v>
      </c>
      <c r="AI24" s="191"/>
      <c r="AJ24" s="191"/>
      <c r="AK24" s="191"/>
      <c r="AL24" s="191"/>
      <c r="AM24" s="192"/>
      <c r="AN24" s="94"/>
      <c r="AO24" s="94"/>
      <c r="AP24" s="94"/>
      <c r="AQ24" s="94"/>
      <c r="AR24" s="94"/>
    </row>
    <row r="25" spans="1:44" ht="12" customHeight="1" x14ac:dyDescent="0.3">
      <c r="A25" s="58">
        <v>17</v>
      </c>
      <c r="B25" s="89" t="str">
        <f>'C. FILIACION'!B24</f>
        <v>PORTILLO QUISPE JORGE LUIS</v>
      </c>
      <c r="C25" s="31">
        <v>10</v>
      </c>
      <c r="D25" s="31">
        <v>18</v>
      </c>
      <c r="E25" s="31"/>
      <c r="F25" s="31"/>
      <c r="G25" s="31"/>
      <c r="H25" s="31"/>
      <c r="I25" s="31"/>
      <c r="J25" s="31"/>
      <c r="K25" s="31"/>
      <c r="L25" s="31"/>
      <c r="M25" s="31"/>
      <c r="N25" s="31"/>
      <c r="O25" s="91">
        <f t="shared" si="0"/>
        <v>18</v>
      </c>
      <c r="P25" s="31"/>
      <c r="Q25" s="31"/>
      <c r="R25" s="31"/>
      <c r="S25" s="31"/>
      <c r="T25" s="31"/>
      <c r="U25" s="31"/>
      <c r="V25" s="31"/>
      <c r="W25" s="31"/>
      <c r="X25" s="31"/>
      <c r="Y25" s="31"/>
      <c r="Z25" s="31"/>
      <c r="AA25" s="31">
        <v>10</v>
      </c>
      <c r="AB25" s="91" t="str">
        <f t="shared" si="1"/>
        <v/>
      </c>
      <c r="AC25" s="31">
        <v>5</v>
      </c>
      <c r="AD25" s="31">
        <v>5</v>
      </c>
      <c r="AE25" s="91">
        <f t="shared" si="2"/>
        <v>10</v>
      </c>
      <c r="AF25" s="92" t="str">
        <f t="shared" si="3"/>
        <v>ED</v>
      </c>
      <c r="AG25" s="91">
        <f t="shared" si="4"/>
        <v>48</v>
      </c>
      <c r="AH25" s="190" t="str">
        <f t="shared" si="5"/>
        <v>REPROBADO</v>
      </c>
      <c r="AI25" s="191"/>
      <c r="AJ25" s="191"/>
      <c r="AK25" s="191"/>
      <c r="AL25" s="191"/>
      <c r="AM25" s="192"/>
      <c r="AN25" s="94"/>
      <c r="AO25" s="94"/>
      <c r="AP25" s="94"/>
      <c r="AQ25" s="94"/>
      <c r="AR25" s="94"/>
    </row>
    <row r="26" spans="1:44" ht="12" customHeight="1" x14ac:dyDescent="0.3">
      <c r="A26" s="58">
        <v>18</v>
      </c>
      <c r="B26" s="89" t="str">
        <f>'C. FILIACION'!B25</f>
        <v>TORREZ PACO CARLA MILENKA</v>
      </c>
      <c r="C26" s="31">
        <v>10</v>
      </c>
      <c r="D26" s="31">
        <v>15</v>
      </c>
      <c r="E26" s="31"/>
      <c r="F26" s="31"/>
      <c r="G26" s="31"/>
      <c r="H26" s="31"/>
      <c r="I26" s="31"/>
      <c r="J26" s="31"/>
      <c r="K26" s="31"/>
      <c r="L26" s="31"/>
      <c r="M26" s="31"/>
      <c r="N26" s="31"/>
      <c r="O26" s="91">
        <f t="shared" si="0"/>
        <v>15</v>
      </c>
      <c r="P26" s="31"/>
      <c r="Q26" s="31"/>
      <c r="R26" s="31"/>
      <c r="S26" s="31"/>
      <c r="T26" s="31"/>
      <c r="U26" s="31"/>
      <c r="V26" s="31"/>
      <c r="W26" s="31"/>
      <c r="X26" s="31"/>
      <c r="Y26" s="31"/>
      <c r="Z26" s="31"/>
      <c r="AA26" s="31">
        <v>10</v>
      </c>
      <c r="AB26" s="91" t="str">
        <f t="shared" si="1"/>
        <v/>
      </c>
      <c r="AC26" s="31">
        <v>5</v>
      </c>
      <c r="AD26" s="31">
        <v>5</v>
      </c>
      <c r="AE26" s="91">
        <f t="shared" si="2"/>
        <v>10</v>
      </c>
      <c r="AF26" s="92" t="str">
        <f t="shared" si="3"/>
        <v>ED</v>
      </c>
      <c r="AG26" s="91">
        <f t="shared" si="4"/>
        <v>45</v>
      </c>
      <c r="AH26" s="190" t="str">
        <f t="shared" si="5"/>
        <v>REPROBADO</v>
      </c>
      <c r="AI26" s="191"/>
      <c r="AJ26" s="191"/>
      <c r="AK26" s="191"/>
      <c r="AL26" s="191"/>
      <c r="AM26" s="192"/>
      <c r="AN26" s="94"/>
      <c r="AO26" s="94"/>
      <c r="AP26" s="94"/>
      <c r="AQ26" s="94"/>
      <c r="AR26" s="94"/>
    </row>
    <row r="27" spans="1:44" ht="12" customHeight="1" x14ac:dyDescent="0.3">
      <c r="A27" s="58">
        <v>19</v>
      </c>
      <c r="B27" s="89">
        <f>'C. FILIACION'!B26</f>
        <v>0</v>
      </c>
      <c r="C27" s="31">
        <v>10</v>
      </c>
      <c r="D27" s="31"/>
      <c r="E27" s="31"/>
      <c r="F27" s="31"/>
      <c r="G27" s="31"/>
      <c r="H27" s="31"/>
      <c r="I27" s="31"/>
      <c r="J27" s="31"/>
      <c r="K27" s="31"/>
      <c r="L27" s="31"/>
      <c r="M27" s="31"/>
      <c r="N27" s="31"/>
      <c r="O27" s="91" t="str">
        <f t="shared" si="0"/>
        <v/>
      </c>
      <c r="P27" s="31"/>
      <c r="Q27" s="31"/>
      <c r="R27" s="31"/>
      <c r="S27" s="31"/>
      <c r="T27" s="31"/>
      <c r="U27" s="31"/>
      <c r="V27" s="31"/>
      <c r="W27" s="31"/>
      <c r="X27" s="31"/>
      <c r="Y27" s="31"/>
      <c r="Z27" s="31"/>
      <c r="AA27" s="31">
        <v>10</v>
      </c>
      <c r="AB27" s="91" t="str">
        <f t="shared" si="1"/>
        <v/>
      </c>
      <c r="AC27" s="31">
        <v>5</v>
      </c>
      <c r="AD27" s="31">
        <v>5</v>
      </c>
      <c r="AE27" s="91">
        <f t="shared" si="2"/>
        <v>10</v>
      </c>
      <c r="AF27" s="92" t="str">
        <f t="shared" si="3"/>
        <v>ED</v>
      </c>
      <c r="AG27" s="91">
        <f t="shared" si="4"/>
        <v>30</v>
      </c>
      <c r="AH27" s="190" t="str">
        <f t="shared" si="5"/>
        <v>REPROBADO</v>
      </c>
      <c r="AI27" s="191"/>
      <c r="AJ27" s="191"/>
      <c r="AK27" s="191"/>
      <c r="AL27" s="191"/>
      <c r="AM27" s="192"/>
      <c r="AN27" s="94"/>
      <c r="AO27" s="94"/>
      <c r="AP27" s="94"/>
      <c r="AQ27" s="94"/>
      <c r="AR27" s="94"/>
    </row>
    <row r="28" spans="1:44" ht="12" customHeight="1" x14ac:dyDescent="0.3">
      <c r="A28" s="58">
        <v>20</v>
      </c>
      <c r="B28" s="89">
        <f>'C. FILIACION'!B27</f>
        <v>0</v>
      </c>
      <c r="C28" s="31">
        <v>10</v>
      </c>
      <c r="D28" s="31"/>
      <c r="E28" s="31"/>
      <c r="F28" s="31"/>
      <c r="G28" s="31"/>
      <c r="H28" s="31"/>
      <c r="I28" s="31"/>
      <c r="J28" s="31"/>
      <c r="K28" s="31"/>
      <c r="L28" s="31"/>
      <c r="M28" s="31"/>
      <c r="N28" s="31"/>
      <c r="O28" s="91" t="str">
        <f t="shared" si="0"/>
        <v/>
      </c>
      <c r="P28" s="31"/>
      <c r="Q28" s="31"/>
      <c r="R28" s="31"/>
      <c r="S28" s="31"/>
      <c r="T28" s="31"/>
      <c r="U28" s="31"/>
      <c r="V28" s="31"/>
      <c r="W28" s="31"/>
      <c r="X28" s="31"/>
      <c r="Y28" s="31"/>
      <c r="Z28" s="31"/>
      <c r="AA28" s="31">
        <v>10</v>
      </c>
      <c r="AB28" s="91" t="str">
        <f t="shared" si="1"/>
        <v/>
      </c>
      <c r="AC28" s="31">
        <v>5</v>
      </c>
      <c r="AD28" s="31">
        <v>5</v>
      </c>
      <c r="AE28" s="91">
        <f t="shared" si="2"/>
        <v>10</v>
      </c>
      <c r="AF28" s="92" t="str">
        <f t="shared" si="3"/>
        <v>ED</v>
      </c>
      <c r="AG28" s="91">
        <f t="shared" si="4"/>
        <v>30</v>
      </c>
      <c r="AH28" s="190" t="str">
        <f t="shared" si="5"/>
        <v>REPROBADO</v>
      </c>
      <c r="AI28" s="191"/>
      <c r="AJ28" s="191"/>
      <c r="AK28" s="191"/>
      <c r="AL28" s="191"/>
      <c r="AM28" s="192"/>
      <c r="AN28" s="94"/>
      <c r="AO28" s="94"/>
      <c r="AP28" s="94"/>
      <c r="AQ28" s="94"/>
      <c r="AR28" s="94"/>
    </row>
    <row r="29" spans="1:44" ht="12" customHeight="1" x14ac:dyDescent="0.3">
      <c r="A29" s="58">
        <v>21</v>
      </c>
      <c r="B29" s="89">
        <f>'C. FILIACION'!B28</f>
        <v>0</v>
      </c>
      <c r="C29" s="31">
        <v>10</v>
      </c>
      <c r="D29" s="31"/>
      <c r="E29" s="31"/>
      <c r="F29" s="31"/>
      <c r="G29" s="31"/>
      <c r="H29" s="31"/>
      <c r="I29" s="31"/>
      <c r="J29" s="31"/>
      <c r="K29" s="31"/>
      <c r="L29" s="31"/>
      <c r="M29" s="31"/>
      <c r="N29" s="31"/>
      <c r="O29" s="91" t="str">
        <f t="shared" si="0"/>
        <v/>
      </c>
      <c r="P29" s="31"/>
      <c r="Q29" s="31"/>
      <c r="R29" s="31"/>
      <c r="S29" s="31"/>
      <c r="T29" s="31"/>
      <c r="U29" s="31"/>
      <c r="V29" s="31"/>
      <c r="W29" s="31"/>
      <c r="X29" s="31"/>
      <c r="Y29" s="31"/>
      <c r="Z29" s="31"/>
      <c r="AA29" s="31">
        <v>10</v>
      </c>
      <c r="AB29" s="91" t="str">
        <f t="shared" si="1"/>
        <v/>
      </c>
      <c r="AC29" s="31">
        <v>5</v>
      </c>
      <c r="AD29" s="31">
        <v>5</v>
      </c>
      <c r="AE29" s="91">
        <f t="shared" si="2"/>
        <v>10</v>
      </c>
      <c r="AF29" s="92" t="str">
        <f t="shared" si="3"/>
        <v>ED</v>
      </c>
      <c r="AG29" s="91">
        <f t="shared" si="4"/>
        <v>30</v>
      </c>
      <c r="AH29" s="190" t="str">
        <f t="shared" si="5"/>
        <v>REPROBADO</v>
      </c>
      <c r="AI29" s="191"/>
      <c r="AJ29" s="191"/>
      <c r="AK29" s="191"/>
      <c r="AL29" s="191"/>
      <c r="AM29" s="192"/>
      <c r="AN29" s="94"/>
      <c r="AO29" s="94"/>
      <c r="AP29" s="94"/>
      <c r="AQ29" s="94"/>
      <c r="AR29" s="94"/>
    </row>
    <row r="30" spans="1:44" ht="12" customHeight="1" x14ac:dyDescent="0.3">
      <c r="A30" s="58">
        <v>22</v>
      </c>
      <c r="B30" s="89">
        <f>'C. FILIACION'!B29</f>
        <v>0</v>
      </c>
      <c r="C30" s="31">
        <v>10</v>
      </c>
      <c r="D30" s="31"/>
      <c r="E30" s="31"/>
      <c r="F30" s="31"/>
      <c r="G30" s="31"/>
      <c r="H30" s="31"/>
      <c r="I30" s="31"/>
      <c r="J30" s="31"/>
      <c r="K30" s="31"/>
      <c r="L30" s="31"/>
      <c r="M30" s="31"/>
      <c r="N30" s="31"/>
      <c r="O30" s="91" t="str">
        <f t="shared" si="0"/>
        <v/>
      </c>
      <c r="P30" s="31"/>
      <c r="Q30" s="31"/>
      <c r="R30" s="31"/>
      <c r="S30" s="31"/>
      <c r="T30" s="31"/>
      <c r="U30" s="31"/>
      <c r="V30" s="31"/>
      <c r="W30" s="31"/>
      <c r="X30" s="31"/>
      <c r="Y30" s="31"/>
      <c r="Z30" s="31"/>
      <c r="AA30" s="31">
        <v>10</v>
      </c>
      <c r="AB30" s="91" t="str">
        <f t="shared" si="1"/>
        <v/>
      </c>
      <c r="AC30" s="31">
        <v>5</v>
      </c>
      <c r="AD30" s="31">
        <v>5</v>
      </c>
      <c r="AE30" s="91">
        <f t="shared" si="2"/>
        <v>10</v>
      </c>
      <c r="AF30" s="92" t="str">
        <f t="shared" si="3"/>
        <v>ED</v>
      </c>
      <c r="AG30" s="91">
        <f t="shared" si="4"/>
        <v>30</v>
      </c>
      <c r="AH30" s="190" t="str">
        <f t="shared" si="5"/>
        <v>REPROBADO</v>
      </c>
      <c r="AI30" s="191"/>
      <c r="AJ30" s="191"/>
      <c r="AK30" s="191"/>
      <c r="AL30" s="191"/>
      <c r="AM30" s="192"/>
      <c r="AN30" s="94"/>
      <c r="AO30" s="94"/>
      <c r="AP30" s="94"/>
      <c r="AQ30" s="94"/>
      <c r="AR30" s="94"/>
    </row>
    <row r="31" spans="1:44" ht="12" customHeight="1" x14ac:dyDescent="0.3">
      <c r="A31" s="58">
        <v>23</v>
      </c>
      <c r="B31" s="89">
        <f>'C. FILIACION'!B30</f>
        <v>0</v>
      </c>
      <c r="C31" s="31">
        <v>10</v>
      </c>
      <c r="D31" s="31"/>
      <c r="E31" s="31"/>
      <c r="F31" s="31"/>
      <c r="G31" s="31"/>
      <c r="H31" s="31"/>
      <c r="I31" s="31"/>
      <c r="J31" s="31"/>
      <c r="K31" s="31"/>
      <c r="L31" s="31"/>
      <c r="M31" s="31"/>
      <c r="N31" s="31"/>
      <c r="O31" s="91" t="str">
        <f t="shared" si="0"/>
        <v/>
      </c>
      <c r="P31" s="31"/>
      <c r="Q31" s="31"/>
      <c r="R31" s="31"/>
      <c r="S31" s="31"/>
      <c r="T31" s="31"/>
      <c r="U31" s="31"/>
      <c r="V31" s="31"/>
      <c r="W31" s="31"/>
      <c r="X31" s="31"/>
      <c r="Y31" s="31"/>
      <c r="Z31" s="31"/>
      <c r="AA31" s="31">
        <v>10</v>
      </c>
      <c r="AB31" s="91" t="str">
        <f t="shared" si="1"/>
        <v/>
      </c>
      <c r="AC31" s="31">
        <v>5</v>
      </c>
      <c r="AD31" s="31">
        <v>5</v>
      </c>
      <c r="AE31" s="91">
        <f t="shared" si="2"/>
        <v>10</v>
      </c>
      <c r="AF31" s="92" t="str">
        <f t="shared" si="3"/>
        <v>ED</v>
      </c>
      <c r="AG31" s="91">
        <f t="shared" si="4"/>
        <v>30</v>
      </c>
      <c r="AH31" s="190" t="str">
        <f t="shared" si="5"/>
        <v>REPROBADO</v>
      </c>
      <c r="AI31" s="191"/>
      <c r="AJ31" s="191"/>
      <c r="AK31" s="191"/>
      <c r="AL31" s="191"/>
      <c r="AM31" s="192"/>
      <c r="AN31" s="94"/>
      <c r="AO31" s="94"/>
      <c r="AP31" s="94"/>
      <c r="AQ31" s="94"/>
      <c r="AR31" s="94"/>
    </row>
    <row r="32" spans="1:44" ht="12" customHeight="1" x14ac:dyDescent="0.3">
      <c r="A32" s="58">
        <v>24</v>
      </c>
      <c r="B32" s="89">
        <f>'C. FILIACION'!B31</f>
        <v>0</v>
      </c>
      <c r="C32" s="31">
        <v>10</v>
      </c>
      <c r="D32" s="31"/>
      <c r="E32" s="31"/>
      <c r="F32" s="31"/>
      <c r="G32" s="31"/>
      <c r="H32" s="31"/>
      <c r="I32" s="31"/>
      <c r="J32" s="31"/>
      <c r="K32" s="31"/>
      <c r="L32" s="31"/>
      <c r="M32" s="31"/>
      <c r="N32" s="31"/>
      <c r="O32" s="91" t="str">
        <f t="shared" si="0"/>
        <v/>
      </c>
      <c r="P32" s="31"/>
      <c r="Q32" s="31"/>
      <c r="R32" s="31"/>
      <c r="S32" s="31"/>
      <c r="T32" s="31"/>
      <c r="U32" s="31"/>
      <c r="V32" s="31"/>
      <c r="W32" s="31"/>
      <c r="X32" s="31"/>
      <c r="Y32" s="31"/>
      <c r="Z32" s="31"/>
      <c r="AA32" s="31">
        <v>10</v>
      </c>
      <c r="AB32" s="91" t="str">
        <f t="shared" si="1"/>
        <v/>
      </c>
      <c r="AC32" s="31">
        <v>5</v>
      </c>
      <c r="AD32" s="31">
        <v>5</v>
      </c>
      <c r="AE32" s="91">
        <f t="shared" si="2"/>
        <v>10</v>
      </c>
      <c r="AF32" s="92" t="str">
        <f t="shared" si="3"/>
        <v>ED</v>
      </c>
      <c r="AG32" s="91">
        <f t="shared" si="4"/>
        <v>30</v>
      </c>
      <c r="AH32" s="190" t="str">
        <f t="shared" si="5"/>
        <v>REPROBADO</v>
      </c>
      <c r="AI32" s="191"/>
      <c r="AJ32" s="191"/>
      <c r="AK32" s="191"/>
      <c r="AL32" s="191"/>
      <c r="AM32" s="192"/>
      <c r="AN32" s="94"/>
      <c r="AO32" s="94"/>
      <c r="AP32" s="94"/>
      <c r="AQ32" s="94"/>
      <c r="AR32" s="94"/>
    </row>
    <row r="33" spans="1:44" ht="12" customHeight="1" x14ac:dyDescent="0.3">
      <c r="A33" s="58">
        <v>25</v>
      </c>
      <c r="B33" s="89">
        <f>'C. FILIACION'!B32</f>
        <v>0</v>
      </c>
      <c r="C33" s="31">
        <v>10</v>
      </c>
      <c r="D33" s="31"/>
      <c r="E33" s="31"/>
      <c r="F33" s="31"/>
      <c r="G33" s="31"/>
      <c r="H33" s="31"/>
      <c r="I33" s="31"/>
      <c r="J33" s="31"/>
      <c r="K33" s="31"/>
      <c r="L33" s="31"/>
      <c r="M33" s="31"/>
      <c r="N33" s="31"/>
      <c r="O33" s="91" t="str">
        <f t="shared" si="0"/>
        <v/>
      </c>
      <c r="P33" s="31"/>
      <c r="Q33" s="31"/>
      <c r="R33" s="31"/>
      <c r="S33" s="31"/>
      <c r="T33" s="31"/>
      <c r="U33" s="31"/>
      <c r="V33" s="31"/>
      <c r="W33" s="31"/>
      <c r="X33" s="31"/>
      <c r="Y33" s="31"/>
      <c r="Z33" s="31"/>
      <c r="AA33" s="31">
        <v>10</v>
      </c>
      <c r="AB33" s="91" t="str">
        <f t="shared" si="1"/>
        <v/>
      </c>
      <c r="AC33" s="31">
        <v>5</v>
      </c>
      <c r="AD33" s="31">
        <v>5</v>
      </c>
      <c r="AE33" s="91">
        <f t="shared" si="2"/>
        <v>10</v>
      </c>
      <c r="AF33" s="92" t="str">
        <f t="shared" si="3"/>
        <v>ED</v>
      </c>
      <c r="AG33" s="91">
        <f t="shared" si="4"/>
        <v>30</v>
      </c>
      <c r="AH33" s="190" t="str">
        <f t="shared" si="5"/>
        <v>REPROBADO</v>
      </c>
      <c r="AI33" s="191"/>
      <c r="AJ33" s="191"/>
      <c r="AK33" s="191"/>
      <c r="AL33" s="191"/>
      <c r="AM33" s="192"/>
      <c r="AN33" s="94"/>
      <c r="AO33" s="94"/>
      <c r="AP33" s="94"/>
      <c r="AQ33" s="94"/>
      <c r="AR33" s="94"/>
    </row>
    <row r="34" spans="1:44" ht="12" customHeight="1" x14ac:dyDescent="0.3">
      <c r="A34" s="58">
        <v>26</v>
      </c>
      <c r="B34" s="89">
        <f>'C. FILIACION'!B33</f>
        <v>0</v>
      </c>
      <c r="C34" s="31">
        <v>10</v>
      </c>
      <c r="D34" s="31"/>
      <c r="E34" s="31"/>
      <c r="F34" s="31"/>
      <c r="G34" s="31"/>
      <c r="H34" s="31"/>
      <c r="I34" s="31"/>
      <c r="J34" s="31"/>
      <c r="K34" s="31"/>
      <c r="L34" s="31"/>
      <c r="M34" s="31"/>
      <c r="N34" s="31"/>
      <c r="O34" s="91" t="str">
        <f t="shared" si="0"/>
        <v/>
      </c>
      <c r="P34" s="31"/>
      <c r="Q34" s="31"/>
      <c r="R34" s="31"/>
      <c r="S34" s="31"/>
      <c r="T34" s="31"/>
      <c r="U34" s="31"/>
      <c r="V34" s="31"/>
      <c r="W34" s="31"/>
      <c r="X34" s="31"/>
      <c r="Y34" s="31"/>
      <c r="Z34" s="31"/>
      <c r="AA34" s="31">
        <v>10</v>
      </c>
      <c r="AB34" s="91" t="str">
        <f t="shared" si="1"/>
        <v/>
      </c>
      <c r="AC34" s="31">
        <v>5</v>
      </c>
      <c r="AD34" s="31">
        <v>5</v>
      </c>
      <c r="AE34" s="91">
        <f t="shared" si="2"/>
        <v>10</v>
      </c>
      <c r="AF34" s="92" t="str">
        <f t="shared" si="3"/>
        <v>ED</v>
      </c>
      <c r="AG34" s="91">
        <f t="shared" si="4"/>
        <v>30</v>
      </c>
      <c r="AH34" s="190" t="str">
        <f t="shared" si="5"/>
        <v>REPROBADO</v>
      </c>
      <c r="AI34" s="191"/>
      <c r="AJ34" s="191"/>
      <c r="AK34" s="191"/>
      <c r="AL34" s="191"/>
      <c r="AM34" s="192"/>
      <c r="AN34" s="94"/>
      <c r="AO34" s="94"/>
      <c r="AP34" s="94"/>
      <c r="AQ34" s="94"/>
      <c r="AR34" s="94"/>
    </row>
    <row r="35" spans="1:44" ht="12" customHeight="1" x14ac:dyDescent="0.3">
      <c r="A35" s="58">
        <v>27</v>
      </c>
      <c r="B35" s="89">
        <f>'C. FILIACION'!B34</f>
        <v>0</v>
      </c>
      <c r="C35" s="31">
        <v>10</v>
      </c>
      <c r="D35" s="31"/>
      <c r="E35" s="31"/>
      <c r="F35" s="31"/>
      <c r="G35" s="31"/>
      <c r="H35" s="31"/>
      <c r="I35" s="31"/>
      <c r="J35" s="31"/>
      <c r="K35" s="31"/>
      <c r="L35" s="31"/>
      <c r="M35" s="31"/>
      <c r="N35" s="31"/>
      <c r="O35" s="91" t="str">
        <f t="shared" si="0"/>
        <v/>
      </c>
      <c r="P35" s="31"/>
      <c r="Q35" s="31"/>
      <c r="R35" s="31"/>
      <c r="S35" s="31"/>
      <c r="T35" s="31"/>
      <c r="U35" s="31"/>
      <c r="V35" s="31"/>
      <c r="W35" s="31"/>
      <c r="X35" s="31"/>
      <c r="Y35" s="31"/>
      <c r="Z35" s="31"/>
      <c r="AA35" s="31">
        <v>10</v>
      </c>
      <c r="AB35" s="91" t="str">
        <f t="shared" si="1"/>
        <v/>
      </c>
      <c r="AC35" s="31">
        <v>5</v>
      </c>
      <c r="AD35" s="31">
        <v>5</v>
      </c>
      <c r="AE35" s="91">
        <f t="shared" si="2"/>
        <v>10</v>
      </c>
      <c r="AF35" s="92" t="str">
        <f t="shared" si="3"/>
        <v>ED</v>
      </c>
      <c r="AG35" s="91">
        <f t="shared" si="4"/>
        <v>30</v>
      </c>
      <c r="AH35" s="190" t="str">
        <f t="shared" si="5"/>
        <v>REPROBADO</v>
      </c>
      <c r="AI35" s="191"/>
      <c r="AJ35" s="191"/>
      <c r="AK35" s="191"/>
      <c r="AL35" s="191"/>
      <c r="AM35" s="192"/>
      <c r="AN35" s="94"/>
      <c r="AO35" s="94"/>
      <c r="AP35" s="94"/>
      <c r="AQ35" s="94"/>
      <c r="AR35" s="94"/>
    </row>
    <row r="36" spans="1:44" ht="12" customHeight="1" x14ac:dyDescent="0.3">
      <c r="A36" s="58">
        <v>28</v>
      </c>
      <c r="B36" s="89">
        <f>'C. FILIACION'!B35</f>
        <v>0</v>
      </c>
      <c r="C36" s="31">
        <v>10</v>
      </c>
      <c r="D36" s="31"/>
      <c r="E36" s="31"/>
      <c r="F36" s="31"/>
      <c r="G36" s="31"/>
      <c r="H36" s="31"/>
      <c r="I36" s="31"/>
      <c r="J36" s="31"/>
      <c r="K36" s="31"/>
      <c r="L36" s="31"/>
      <c r="M36" s="31"/>
      <c r="N36" s="31"/>
      <c r="O36" s="91" t="str">
        <f t="shared" si="0"/>
        <v/>
      </c>
      <c r="P36" s="31"/>
      <c r="Q36" s="31"/>
      <c r="R36" s="31"/>
      <c r="S36" s="31"/>
      <c r="T36" s="31"/>
      <c r="U36" s="31"/>
      <c r="V36" s="31"/>
      <c r="W36" s="31"/>
      <c r="X36" s="31"/>
      <c r="Y36" s="31"/>
      <c r="Z36" s="31"/>
      <c r="AA36" s="31">
        <v>10</v>
      </c>
      <c r="AB36" s="91" t="str">
        <f t="shared" si="1"/>
        <v/>
      </c>
      <c r="AC36" s="31">
        <v>5</v>
      </c>
      <c r="AD36" s="31">
        <v>5</v>
      </c>
      <c r="AE36" s="91">
        <f t="shared" si="2"/>
        <v>10</v>
      </c>
      <c r="AF36" s="92" t="str">
        <f t="shared" si="3"/>
        <v>ED</v>
      </c>
      <c r="AG36" s="91">
        <f t="shared" si="4"/>
        <v>30</v>
      </c>
      <c r="AH36" s="190" t="str">
        <f t="shared" si="5"/>
        <v>REPROBADO</v>
      </c>
      <c r="AI36" s="191"/>
      <c r="AJ36" s="191"/>
      <c r="AK36" s="191"/>
      <c r="AL36" s="191"/>
      <c r="AM36" s="192"/>
      <c r="AN36" s="94"/>
      <c r="AO36" s="94"/>
      <c r="AP36" s="94"/>
      <c r="AQ36" s="94"/>
      <c r="AR36" s="94"/>
    </row>
    <row r="37" spans="1:44" ht="12" customHeight="1" x14ac:dyDescent="0.3">
      <c r="A37" s="58">
        <v>29</v>
      </c>
      <c r="B37" s="89">
        <f>'C. FILIACION'!B36</f>
        <v>0</v>
      </c>
      <c r="C37" s="31">
        <v>10</v>
      </c>
      <c r="D37" s="31"/>
      <c r="E37" s="31"/>
      <c r="F37" s="31"/>
      <c r="G37" s="31"/>
      <c r="H37" s="31"/>
      <c r="I37" s="31"/>
      <c r="J37" s="31"/>
      <c r="K37" s="31"/>
      <c r="L37" s="31"/>
      <c r="M37" s="31"/>
      <c r="N37" s="31"/>
      <c r="O37" s="91" t="str">
        <f t="shared" si="0"/>
        <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DA</v>
      </c>
      <c r="AG37" s="91">
        <f t="shared" si="4"/>
        <v>65</v>
      </c>
      <c r="AH37" s="190" t="str">
        <f t="shared" si="5"/>
        <v>APROBADO</v>
      </c>
      <c r="AI37" s="191"/>
      <c r="AJ37" s="191"/>
      <c r="AK37" s="191"/>
      <c r="AL37" s="191"/>
      <c r="AM37" s="192"/>
      <c r="AN37" s="94"/>
      <c r="AO37" s="94"/>
      <c r="AP37" s="94"/>
      <c r="AQ37" s="94"/>
      <c r="AR37" s="94"/>
    </row>
    <row r="38" spans="1:44" ht="12" customHeight="1" x14ac:dyDescent="0.3">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190" t="str">
        <f t="shared" si="5"/>
        <v>APROBADO</v>
      </c>
      <c r="AI38" s="191"/>
      <c r="AJ38" s="191"/>
      <c r="AK38" s="191"/>
      <c r="AL38" s="191"/>
      <c r="AM38" s="192"/>
      <c r="AN38" s="94"/>
      <c r="AO38" s="94"/>
      <c r="AP38" s="94"/>
      <c r="AQ38" s="94"/>
      <c r="AR38" s="94"/>
    </row>
    <row r="39" spans="1:44" ht="12" customHeight="1" x14ac:dyDescent="0.3">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190" t="str">
        <f t="shared" si="5"/>
        <v>APROBADO</v>
      </c>
      <c r="AI39" s="191"/>
      <c r="AJ39" s="191"/>
      <c r="AK39" s="191"/>
      <c r="AL39" s="191"/>
      <c r="AM39" s="192"/>
      <c r="AN39" s="94"/>
      <c r="AO39" s="94"/>
      <c r="AP39" s="94"/>
      <c r="AQ39" s="94"/>
      <c r="AR39" s="94"/>
    </row>
    <row r="40" spans="1:44" ht="12" customHeight="1" x14ac:dyDescent="0.3">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190" t="str">
        <f t="shared" si="5"/>
        <v>APROBADO</v>
      </c>
      <c r="AI40" s="191"/>
      <c r="AJ40" s="191"/>
      <c r="AK40" s="191"/>
      <c r="AL40" s="191"/>
      <c r="AM40" s="192"/>
      <c r="AN40" s="94"/>
      <c r="AO40" s="94"/>
      <c r="AP40" s="94"/>
      <c r="AQ40" s="94"/>
      <c r="AR40" s="94"/>
    </row>
    <row r="41" spans="1:44" ht="12" customHeight="1" x14ac:dyDescent="0.3">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190" t="str">
        <f t="shared" si="5"/>
        <v>APROBADO</v>
      </c>
      <c r="AI41" s="191"/>
      <c r="AJ41" s="191"/>
      <c r="AK41" s="191"/>
      <c r="AL41" s="191"/>
      <c r="AM41" s="192"/>
      <c r="AN41" s="94"/>
      <c r="AO41" s="94"/>
      <c r="AP41" s="94"/>
      <c r="AQ41" s="94"/>
      <c r="AR41" s="94"/>
    </row>
    <row r="42" spans="1:44" ht="12" customHeight="1" x14ac:dyDescent="0.3">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190" t="str">
        <f t="shared" si="5"/>
        <v>APROBADO</v>
      </c>
      <c r="AI42" s="191"/>
      <c r="AJ42" s="191"/>
      <c r="AK42" s="191"/>
      <c r="AL42" s="191"/>
      <c r="AM42" s="192"/>
      <c r="AN42" s="94"/>
      <c r="AO42" s="94"/>
      <c r="AP42" s="94"/>
      <c r="AQ42" s="94"/>
      <c r="AR42" s="94"/>
    </row>
    <row r="43" spans="1:44" ht="12" customHeight="1" x14ac:dyDescent="0.3">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190" t="str">
        <f t="shared" si="5"/>
        <v>APROBADO</v>
      </c>
      <c r="AI43" s="191"/>
      <c r="AJ43" s="191"/>
      <c r="AK43" s="191"/>
      <c r="AL43" s="191"/>
      <c r="AM43" s="192"/>
      <c r="AN43" s="94"/>
      <c r="AO43" s="94"/>
      <c r="AP43" s="94"/>
      <c r="AQ43" s="94"/>
      <c r="AR43" s="94"/>
    </row>
    <row r="44" spans="1:44" ht="12" customHeight="1" x14ac:dyDescent="0.3">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190" t="str">
        <f t="shared" si="5"/>
        <v>APROBADO</v>
      </c>
      <c r="AI44" s="191"/>
      <c r="AJ44" s="191"/>
      <c r="AK44" s="191"/>
      <c r="AL44" s="191"/>
      <c r="AM44" s="192"/>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35">
      <c r="A2" s="70"/>
      <c r="B2" s="195" t="s">
        <v>102</v>
      </c>
      <c r="C2" s="160"/>
      <c r="D2" s="160"/>
      <c r="E2" s="160"/>
      <c r="F2" s="160"/>
      <c r="G2" s="160"/>
      <c r="H2" s="160"/>
      <c r="I2" s="160"/>
      <c r="J2" s="160"/>
      <c r="K2" s="160"/>
      <c r="L2" s="160"/>
      <c r="M2" s="160"/>
      <c r="N2" s="160"/>
      <c r="O2" s="160"/>
      <c r="P2" s="160"/>
      <c r="Q2" s="160"/>
      <c r="R2" s="160"/>
      <c r="S2" s="160"/>
      <c r="T2" s="160"/>
      <c r="U2" s="160"/>
      <c r="V2" s="160"/>
      <c r="W2" s="160"/>
      <c r="X2" s="160"/>
      <c r="Y2" s="160"/>
      <c r="Z2" s="160"/>
      <c r="AA2" s="160"/>
      <c r="AB2" s="160"/>
      <c r="AC2" s="160"/>
      <c r="AD2" s="160"/>
      <c r="AE2" s="160"/>
      <c r="AF2" s="160"/>
      <c r="AG2" s="160"/>
      <c r="AH2" s="160"/>
      <c r="AI2" s="160"/>
      <c r="AJ2" s="160"/>
      <c r="AK2" s="160"/>
      <c r="AL2" s="160"/>
      <c r="AM2" s="160"/>
      <c r="AN2" s="160"/>
      <c r="AO2" s="160"/>
      <c r="AP2" s="160"/>
      <c r="AQ2" s="160"/>
      <c r="AR2" s="161"/>
      <c r="AS2" s="72"/>
      <c r="AT2" s="72"/>
      <c r="AU2" s="72"/>
      <c r="AV2" s="72"/>
    </row>
    <row r="3" spans="1:48" ht="12.75" customHeight="1" x14ac:dyDescent="0.35">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193" t="s">
        <v>51</v>
      </c>
      <c r="AD3" s="191"/>
      <c r="AE3" s="191"/>
      <c r="AF3" s="191"/>
      <c r="AG3" s="191"/>
      <c r="AH3" s="192"/>
      <c r="AI3" s="187">
        <f>CARÁTULA!$H$24</f>
        <v>44440</v>
      </c>
      <c r="AJ3" s="169"/>
      <c r="AK3" s="169"/>
      <c r="AL3" s="169"/>
      <c r="AM3" s="169"/>
      <c r="AN3" s="196" t="s">
        <v>52</v>
      </c>
      <c r="AO3" s="160"/>
      <c r="AP3" s="160"/>
      <c r="AQ3" s="160"/>
      <c r="AR3" s="161"/>
      <c r="AS3" s="71"/>
      <c r="AT3" s="71"/>
      <c r="AU3" s="71"/>
      <c r="AV3" s="71"/>
    </row>
    <row r="4" spans="1:48" ht="12.75" customHeight="1" x14ac:dyDescent="0.35">
      <c r="A4" s="70"/>
      <c r="B4" s="73" t="s">
        <v>14</v>
      </c>
      <c r="C4" s="74" t="str">
        <f>CARÁTULA!$C$21</f>
        <v>Secundaria</v>
      </c>
      <c r="D4" s="75"/>
      <c r="E4" s="75"/>
      <c r="F4" s="75"/>
      <c r="G4" s="76"/>
      <c r="H4" s="76"/>
      <c r="I4" s="76"/>
      <c r="J4" s="76"/>
      <c r="K4" s="76"/>
      <c r="L4" s="76"/>
      <c r="M4" s="76"/>
      <c r="N4" s="76"/>
      <c r="O4" s="76" t="s">
        <v>53</v>
      </c>
      <c r="P4" s="77"/>
      <c r="Q4" s="75"/>
      <c r="R4" s="75"/>
      <c r="S4" s="74">
        <f>CARÁTULA!$C$19</f>
        <v>0</v>
      </c>
      <c r="T4" s="75"/>
      <c r="U4" s="75"/>
      <c r="V4" s="75"/>
      <c r="W4" s="75"/>
      <c r="X4" s="75"/>
      <c r="Y4" s="75"/>
      <c r="Z4" s="75"/>
      <c r="AA4" s="75"/>
      <c r="AB4" s="75"/>
      <c r="AC4" s="193" t="s">
        <v>54</v>
      </c>
      <c r="AD4" s="191"/>
      <c r="AE4" s="191"/>
      <c r="AF4" s="191"/>
      <c r="AG4" s="191"/>
      <c r="AH4" s="192"/>
      <c r="AI4" s="187">
        <f>CARÁTULA!$J$24</f>
        <v>44531</v>
      </c>
      <c r="AJ4" s="169"/>
      <c r="AK4" s="169"/>
      <c r="AL4" s="169"/>
      <c r="AM4" s="169"/>
      <c r="AN4" s="189">
        <f ca="1">AI4-AI5</f>
        <v>112</v>
      </c>
      <c r="AO4" s="179"/>
      <c r="AP4" s="179"/>
      <c r="AQ4" s="179"/>
      <c r="AR4" s="180"/>
    </row>
    <row r="5" spans="1:48" ht="12.75" customHeight="1" x14ac:dyDescent="0.35">
      <c r="A5" s="70"/>
      <c r="B5" s="73" t="s">
        <v>22</v>
      </c>
      <c r="C5" s="74" t="str">
        <f>CARÁTULA!$C$23</f>
        <v>4to de Secundaria</v>
      </c>
      <c r="D5" s="75"/>
      <c r="E5" s="75"/>
      <c r="F5" s="75"/>
      <c r="G5" s="73"/>
      <c r="H5" s="73"/>
      <c r="I5" s="73"/>
      <c r="J5" s="73"/>
      <c r="K5" s="73"/>
      <c r="L5" s="73"/>
      <c r="M5" s="73"/>
      <c r="N5" s="73"/>
      <c r="O5" s="76" t="s">
        <v>23</v>
      </c>
      <c r="P5" s="78"/>
      <c r="Q5" s="78"/>
      <c r="R5" s="78"/>
      <c r="S5" s="201">
        <f ca="1">TODAY()</f>
        <v>44419</v>
      </c>
      <c r="T5" s="160"/>
      <c r="U5" s="160"/>
      <c r="V5" s="160"/>
      <c r="W5" s="160"/>
      <c r="X5" s="160"/>
      <c r="Y5" s="160"/>
      <c r="Z5" s="160"/>
      <c r="AA5" s="161"/>
      <c r="AB5" s="75"/>
      <c r="AC5" s="194" t="s">
        <v>55</v>
      </c>
      <c r="AD5" s="191"/>
      <c r="AE5" s="191"/>
      <c r="AF5" s="191"/>
      <c r="AG5" s="191"/>
      <c r="AH5" s="192"/>
      <c r="AI5" s="197">
        <f ca="1">TODAY()</f>
        <v>44419</v>
      </c>
      <c r="AJ5" s="169"/>
      <c r="AK5" s="169"/>
      <c r="AL5" s="169"/>
      <c r="AM5" s="169"/>
      <c r="AN5" s="181"/>
      <c r="AO5" s="182"/>
      <c r="AP5" s="182"/>
      <c r="AQ5" s="182"/>
      <c r="AR5" s="183"/>
    </row>
    <row r="6" spans="1:48" ht="12.75" customHeight="1" x14ac:dyDescent="0.35">
      <c r="A6" s="70"/>
      <c r="B6" s="73"/>
      <c r="C6" s="175" t="s">
        <v>80</v>
      </c>
      <c r="D6" s="176"/>
      <c r="E6" s="176"/>
      <c r="F6" s="176"/>
      <c r="G6" s="176"/>
      <c r="H6" s="176"/>
      <c r="I6" s="176"/>
      <c r="J6" s="176"/>
      <c r="K6" s="176"/>
      <c r="L6" s="176"/>
      <c r="M6" s="176"/>
      <c r="N6" s="176"/>
      <c r="O6" s="176"/>
      <c r="P6" s="176"/>
      <c r="Q6" s="176"/>
      <c r="R6" s="176"/>
      <c r="S6" s="176"/>
      <c r="T6" s="176"/>
      <c r="U6" s="176"/>
      <c r="V6" s="176"/>
      <c r="W6" s="176"/>
      <c r="X6" s="176"/>
      <c r="Y6" s="176"/>
      <c r="Z6" s="176"/>
      <c r="AA6" s="177"/>
      <c r="AB6" s="202" t="s">
        <v>81</v>
      </c>
      <c r="AC6" s="191"/>
      <c r="AD6" s="191"/>
      <c r="AE6" s="192"/>
      <c r="AF6" s="79"/>
      <c r="AG6" s="80"/>
      <c r="AH6" s="80"/>
      <c r="AI6" s="81"/>
      <c r="AJ6" s="82"/>
      <c r="AK6" s="82"/>
      <c r="AL6" s="82"/>
      <c r="AM6" s="82"/>
      <c r="AN6" s="83"/>
      <c r="AO6" s="83"/>
      <c r="AP6" s="83"/>
      <c r="AQ6" s="83"/>
      <c r="AR6" s="83"/>
    </row>
    <row r="7" spans="1:48" ht="12" customHeight="1" x14ac:dyDescent="0.35">
      <c r="A7" s="70"/>
      <c r="B7" s="84"/>
      <c r="C7" s="203" t="s">
        <v>82</v>
      </c>
      <c r="D7" s="204" t="s">
        <v>83</v>
      </c>
      <c r="E7" s="191"/>
      <c r="F7" s="191"/>
      <c r="G7" s="191"/>
      <c r="H7" s="191"/>
      <c r="I7" s="191"/>
      <c r="J7" s="191"/>
      <c r="K7" s="191"/>
      <c r="L7" s="191"/>
      <c r="M7" s="191"/>
      <c r="N7" s="191"/>
      <c r="O7" s="200" t="s">
        <v>84</v>
      </c>
      <c r="P7" s="204" t="s">
        <v>85</v>
      </c>
      <c r="Q7" s="191"/>
      <c r="R7" s="191"/>
      <c r="S7" s="191"/>
      <c r="T7" s="191"/>
      <c r="U7" s="191"/>
      <c r="V7" s="191"/>
      <c r="W7" s="191"/>
      <c r="X7" s="191"/>
      <c r="Y7" s="191"/>
      <c r="Z7" s="191"/>
      <c r="AA7" s="198" t="s">
        <v>86</v>
      </c>
      <c r="AB7" s="200" t="s">
        <v>84</v>
      </c>
      <c r="AC7" s="198" t="s">
        <v>87</v>
      </c>
      <c r="AD7" s="198" t="s">
        <v>88</v>
      </c>
      <c r="AE7" s="200" t="s">
        <v>84</v>
      </c>
      <c r="AF7" s="205" t="s">
        <v>89</v>
      </c>
      <c r="AG7" s="206" t="s">
        <v>90</v>
      </c>
      <c r="AH7" s="207" t="s">
        <v>91</v>
      </c>
      <c r="AI7" s="176"/>
      <c r="AJ7" s="176"/>
      <c r="AK7" s="176"/>
      <c r="AL7" s="176"/>
      <c r="AM7" s="177"/>
      <c r="AN7" s="85"/>
      <c r="AO7" s="75"/>
      <c r="AP7" s="75"/>
      <c r="AQ7" s="75"/>
      <c r="AR7" s="70"/>
    </row>
    <row r="8" spans="1:48" ht="67.5" customHeight="1" x14ac:dyDescent="0.3">
      <c r="A8" s="48" t="s">
        <v>56</v>
      </c>
      <c r="B8" s="49" t="s">
        <v>57</v>
      </c>
      <c r="C8" s="199"/>
      <c r="D8" s="53"/>
      <c r="E8" s="53"/>
      <c r="F8" s="53"/>
      <c r="G8" s="53"/>
      <c r="H8" s="53"/>
      <c r="I8" s="53"/>
      <c r="J8" s="53"/>
      <c r="K8" s="53"/>
      <c r="L8" s="53"/>
      <c r="M8" s="53"/>
      <c r="N8" s="54"/>
      <c r="O8" s="199"/>
      <c r="P8" s="95"/>
      <c r="Q8" s="53"/>
      <c r="R8" s="53"/>
      <c r="S8" s="53"/>
      <c r="T8" s="53"/>
      <c r="U8" s="53"/>
      <c r="V8" s="53"/>
      <c r="W8" s="53"/>
      <c r="X8" s="53"/>
      <c r="Y8" s="53"/>
      <c r="Z8" s="53"/>
      <c r="AA8" s="199"/>
      <c r="AB8" s="199"/>
      <c r="AC8" s="199"/>
      <c r="AD8" s="199"/>
      <c r="AE8" s="199"/>
      <c r="AF8" s="199"/>
      <c r="AG8" s="199"/>
      <c r="AH8" s="208"/>
      <c r="AI8" s="209"/>
      <c r="AJ8" s="209"/>
      <c r="AK8" s="209"/>
      <c r="AL8" s="209"/>
      <c r="AM8" s="210"/>
      <c r="AN8" s="87"/>
      <c r="AO8" s="87"/>
      <c r="AP8" s="87"/>
      <c r="AQ8" s="87"/>
      <c r="AR8" s="88"/>
    </row>
    <row r="9" spans="1:48" ht="12" customHeight="1" x14ac:dyDescent="0.3">
      <c r="A9" s="58">
        <v>1</v>
      </c>
      <c r="B9" s="89" t="str">
        <f>'C. FILIACION'!B8</f>
        <v>BENITEZ BALLESTEROS KAREN ARIANA</v>
      </c>
      <c r="C9" s="31">
        <v>10</v>
      </c>
      <c r="D9" s="31">
        <v>35</v>
      </c>
      <c r="E9" s="31">
        <v>35</v>
      </c>
      <c r="F9" s="31">
        <v>35</v>
      </c>
      <c r="G9" s="31">
        <v>35</v>
      </c>
      <c r="H9" s="31">
        <v>35</v>
      </c>
      <c r="I9" s="31">
        <v>35</v>
      </c>
      <c r="J9" s="31">
        <v>35</v>
      </c>
      <c r="K9" s="31">
        <v>35</v>
      </c>
      <c r="L9" s="31">
        <v>35</v>
      </c>
      <c r="M9" s="31">
        <v>35</v>
      </c>
      <c r="N9" s="31">
        <v>35</v>
      </c>
      <c r="O9" s="91">
        <f t="shared" ref="O9:O44" si="0">IFERROR(ROUND(AVERAGE(D9:N9),0),"")</f>
        <v>35</v>
      </c>
      <c r="P9" s="31">
        <v>35</v>
      </c>
      <c r="Q9" s="31">
        <v>35</v>
      </c>
      <c r="R9" s="31">
        <v>35</v>
      </c>
      <c r="S9" s="31">
        <v>35</v>
      </c>
      <c r="T9" s="31">
        <v>35</v>
      </c>
      <c r="U9" s="31">
        <v>35</v>
      </c>
      <c r="V9" s="31">
        <v>35</v>
      </c>
      <c r="W9" s="31">
        <v>35</v>
      </c>
      <c r="X9" s="31">
        <v>35</v>
      </c>
      <c r="Y9" s="31">
        <v>35</v>
      </c>
      <c r="Z9" s="31">
        <v>35</v>
      </c>
      <c r="AA9" s="31">
        <v>10</v>
      </c>
      <c r="AB9" s="91">
        <f t="shared" ref="AB9:AB44" si="1">IFERROR(ROUND(AVERAGE(P9:Z9),0),"")</f>
        <v>35</v>
      </c>
      <c r="AC9" s="31">
        <v>5</v>
      </c>
      <c r="AD9" s="31">
        <v>5</v>
      </c>
      <c r="AE9" s="91">
        <f t="shared" ref="AE9:AE44" si="2">IFERROR((SUM(AC9,AD9)),"")</f>
        <v>10</v>
      </c>
      <c r="AF9" s="92" t="str">
        <f t="shared" ref="AF9:AF44" si="3">IF(AG9&lt;51,"ED",IF(AG9&lt;67,"DA",IF(AG9&lt;85,"DO","DP")))</f>
        <v>DP</v>
      </c>
      <c r="AG9" s="91">
        <f t="shared" ref="AG9:AG44" si="4">IFERROR((SUM(C9,O9,AA9,AB9,AE9)),"")</f>
        <v>100</v>
      </c>
      <c r="AH9" s="190" t="str">
        <f t="shared" ref="AH9:AH44" si="5">IF(AG9="","",(IF(AND(AG9&gt;=1,AG9&lt;=50.499),"REPROBADO",IF(AND(AG9&gt;=50.5,AG9&lt;=100),"APROBADO"))))</f>
        <v>APROBADO</v>
      </c>
      <c r="AI9" s="191"/>
      <c r="AJ9" s="191"/>
      <c r="AK9" s="191"/>
      <c r="AL9" s="191"/>
      <c r="AM9" s="192"/>
      <c r="AN9" s="93" t="s">
        <v>97</v>
      </c>
      <c r="AO9" s="211">
        <f>COUNTIF(AF9:AF44,"ED")</f>
        <v>0</v>
      </c>
      <c r="AP9" s="192"/>
      <c r="AQ9" s="94"/>
      <c r="AR9" s="94"/>
    </row>
    <row r="10" spans="1:48" ht="12" customHeight="1" x14ac:dyDescent="0.3">
      <c r="A10" s="58">
        <v>2</v>
      </c>
      <c r="B10" s="89" t="str">
        <f>'C. FILIACION'!B9</f>
        <v>CALIZAYA MERCADO AXEL GABRIEL</v>
      </c>
      <c r="C10" s="31">
        <v>10</v>
      </c>
      <c r="D10" s="31">
        <v>35</v>
      </c>
      <c r="E10" s="31">
        <v>35</v>
      </c>
      <c r="F10" s="31">
        <v>35</v>
      </c>
      <c r="G10" s="31">
        <v>35</v>
      </c>
      <c r="H10" s="31">
        <v>35</v>
      </c>
      <c r="I10" s="31">
        <v>35</v>
      </c>
      <c r="J10" s="31">
        <v>35</v>
      </c>
      <c r="K10" s="31">
        <v>35</v>
      </c>
      <c r="L10" s="31">
        <v>35</v>
      </c>
      <c r="M10" s="31">
        <v>35</v>
      </c>
      <c r="N10" s="31">
        <v>35</v>
      </c>
      <c r="O10" s="91">
        <f t="shared" si="0"/>
        <v>35</v>
      </c>
      <c r="P10" s="31">
        <v>35</v>
      </c>
      <c r="Q10" s="31">
        <v>35</v>
      </c>
      <c r="R10" s="31">
        <v>35</v>
      </c>
      <c r="S10" s="31">
        <v>35</v>
      </c>
      <c r="T10" s="31">
        <v>35</v>
      </c>
      <c r="U10" s="31">
        <v>35</v>
      </c>
      <c r="V10" s="31">
        <v>35</v>
      </c>
      <c r="W10" s="31">
        <v>35</v>
      </c>
      <c r="X10" s="31">
        <v>35</v>
      </c>
      <c r="Y10" s="31">
        <v>35</v>
      </c>
      <c r="Z10" s="31">
        <v>35</v>
      </c>
      <c r="AA10" s="31">
        <v>10</v>
      </c>
      <c r="AB10" s="91">
        <f t="shared" si="1"/>
        <v>35</v>
      </c>
      <c r="AC10" s="31">
        <v>5</v>
      </c>
      <c r="AD10" s="31">
        <v>5</v>
      </c>
      <c r="AE10" s="91">
        <f t="shared" si="2"/>
        <v>10</v>
      </c>
      <c r="AF10" s="92" t="str">
        <f t="shared" si="3"/>
        <v>DP</v>
      </c>
      <c r="AG10" s="91">
        <f t="shared" si="4"/>
        <v>100</v>
      </c>
      <c r="AH10" s="190" t="str">
        <f t="shared" si="5"/>
        <v>APROBADO</v>
      </c>
      <c r="AI10" s="191"/>
      <c r="AJ10" s="191"/>
      <c r="AK10" s="191"/>
      <c r="AL10" s="191"/>
      <c r="AM10" s="192"/>
      <c r="AN10" s="48" t="s">
        <v>98</v>
      </c>
      <c r="AO10" s="211">
        <f>COUNTIF(AF9:AF44,"DA")</f>
        <v>0</v>
      </c>
      <c r="AP10" s="192"/>
      <c r="AQ10" s="94"/>
      <c r="AR10" s="94"/>
    </row>
    <row r="11" spans="1:48" ht="12" customHeight="1" x14ac:dyDescent="0.3">
      <c r="A11" s="58">
        <v>3</v>
      </c>
      <c r="B11" s="89" t="str">
        <f>'C. FILIACION'!B10</f>
        <v>CANO GUZMAN FABRIZIO RODRIGO</v>
      </c>
      <c r="C11" s="31">
        <v>10</v>
      </c>
      <c r="D11" s="31">
        <v>35</v>
      </c>
      <c r="E11" s="31">
        <v>35</v>
      </c>
      <c r="F11" s="31">
        <v>35</v>
      </c>
      <c r="G11" s="31">
        <v>35</v>
      </c>
      <c r="H11" s="31">
        <v>35</v>
      </c>
      <c r="I11" s="31">
        <v>35</v>
      </c>
      <c r="J11" s="31">
        <v>35</v>
      </c>
      <c r="K11" s="31">
        <v>35</v>
      </c>
      <c r="L11" s="31">
        <v>35</v>
      </c>
      <c r="M11" s="31">
        <v>35</v>
      </c>
      <c r="N11" s="31">
        <v>35</v>
      </c>
      <c r="O11" s="91">
        <f t="shared" si="0"/>
        <v>35</v>
      </c>
      <c r="P11" s="31">
        <v>35</v>
      </c>
      <c r="Q11" s="31">
        <v>35</v>
      </c>
      <c r="R11" s="31">
        <v>35</v>
      </c>
      <c r="S11" s="31">
        <v>35</v>
      </c>
      <c r="T11" s="31">
        <v>35</v>
      </c>
      <c r="U11" s="31">
        <v>35</v>
      </c>
      <c r="V11" s="31">
        <v>35</v>
      </c>
      <c r="W11" s="31">
        <v>35</v>
      </c>
      <c r="X11" s="31">
        <v>35</v>
      </c>
      <c r="Y11" s="31">
        <v>35</v>
      </c>
      <c r="Z11" s="31">
        <v>35</v>
      </c>
      <c r="AA11" s="31">
        <v>10</v>
      </c>
      <c r="AB11" s="91">
        <f t="shared" si="1"/>
        <v>35</v>
      </c>
      <c r="AC11" s="31">
        <v>5</v>
      </c>
      <c r="AD11" s="31">
        <v>5</v>
      </c>
      <c r="AE11" s="91">
        <f t="shared" si="2"/>
        <v>10</v>
      </c>
      <c r="AF11" s="92" t="str">
        <f t="shared" si="3"/>
        <v>DP</v>
      </c>
      <c r="AG11" s="91">
        <f t="shared" si="4"/>
        <v>100</v>
      </c>
      <c r="AH11" s="190" t="str">
        <f t="shared" si="5"/>
        <v>APROBADO</v>
      </c>
      <c r="AI11" s="191"/>
      <c r="AJ11" s="191"/>
      <c r="AK11" s="191"/>
      <c r="AL11" s="191"/>
      <c r="AM11" s="192"/>
      <c r="AN11" s="48" t="s">
        <v>99</v>
      </c>
      <c r="AO11" s="211">
        <f>COUNTIF(AF9:AF44,"DO")</f>
        <v>0</v>
      </c>
      <c r="AP11" s="192"/>
      <c r="AQ11" s="94"/>
      <c r="AR11" s="94"/>
    </row>
    <row r="12" spans="1:48" ht="12" customHeight="1" x14ac:dyDescent="0.3">
      <c r="A12" s="58">
        <v>4</v>
      </c>
      <c r="B12" s="89" t="str">
        <f>'C. FILIACION'!B11</f>
        <v>CHOQUE LAURA CARLOS EDUARDO</v>
      </c>
      <c r="C12" s="31">
        <v>10</v>
      </c>
      <c r="D12" s="31">
        <v>35</v>
      </c>
      <c r="E12" s="31">
        <v>35</v>
      </c>
      <c r="F12" s="31">
        <v>35</v>
      </c>
      <c r="G12" s="31">
        <v>35</v>
      </c>
      <c r="H12" s="31">
        <v>35</v>
      </c>
      <c r="I12" s="31">
        <v>35</v>
      </c>
      <c r="J12" s="31">
        <v>35</v>
      </c>
      <c r="K12" s="31">
        <v>35</v>
      </c>
      <c r="L12" s="31">
        <v>35</v>
      </c>
      <c r="M12" s="31">
        <v>35</v>
      </c>
      <c r="N12" s="31">
        <v>35</v>
      </c>
      <c r="O12" s="91">
        <f t="shared" si="0"/>
        <v>35</v>
      </c>
      <c r="P12" s="31">
        <v>35</v>
      </c>
      <c r="Q12" s="31">
        <v>35</v>
      </c>
      <c r="R12" s="31">
        <v>35</v>
      </c>
      <c r="S12" s="31">
        <v>35</v>
      </c>
      <c r="T12" s="31">
        <v>35</v>
      </c>
      <c r="U12" s="31">
        <v>35</v>
      </c>
      <c r="V12" s="31">
        <v>35</v>
      </c>
      <c r="W12" s="31">
        <v>35</v>
      </c>
      <c r="X12" s="31">
        <v>35</v>
      </c>
      <c r="Y12" s="31">
        <v>35</v>
      </c>
      <c r="Z12" s="31">
        <v>35</v>
      </c>
      <c r="AA12" s="31">
        <v>10</v>
      </c>
      <c r="AB12" s="91">
        <f t="shared" si="1"/>
        <v>35</v>
      </c>
      <c r="AC12" s="31">
        <v>5</v>
      </c>
      <c r="AD12" s="31">
        <v>5</v>
      </c>
      <c r="AE12" s="91">
        <f t="shared" si="2"/>
        <v>10</v>
      </c>
      <c r="AF12" s="92" t="str">
        <f t="shared" si="3"/>
        <v>DP</v>
      </c>
      <c r="AG12" s="91">
        <f t="shared" si="4"/>
        <v>100</v>
      </c>
      <c r="AH12" s="190" t="str">
        <f t="shared" si="5"/>
        <v>APROBADO</v>
      </c>
      <c r="AI12" s="191"/>
      <c r="AJ12" s="191"/>
      <c r="AK12" s="191"/>
      <c r="AL12" s="191"/>
      <c r="AM12" s="192"/>
      <c r="AN12" s="48" t="s">
        <v>100</v>
      </c>
      <c r="AO12" s="211">
        <f>COUNTIF(AF9:AF44,"DP")</f>
        <v>36</v>
      </c>
      <c r="AP12" s="192"/>
      <c r="AQ12" s="94"/>
      <c r="AR12" s="94"/>
    </row>
    <row r="13" spans="1:48" ht="12" customHeight="1" x14ac:dyDescent="0.3">
      <c r="A13" s="58">
        <v>5</v>
      </c>
      <c r="B13" s="89" t="str">
        <f>'C. FILIACION'!B12</f>
        <v>CONDORI GALARZA DENSEL ALEXSIS</v>
      </c>
      <c r="C13" s="31">
        <v>10</v>
      </c>
      <c r="D13" s="31">
        <v>35</v>
      </c>
      <c r="E13" s="31">
        <v>35</v>
      </c>
      <c r="F13" s="31">
        <v>35</v>
      </c>
      <c r="G13" s="31">
        <v>35</v>
      </c>
      <c r="H13" s="31">
        <v>35</v>
      </c>
      <c r="I13" s="31">
        <v>35</v>
      </c>
      <c r="J13" s="31">
        <v>35</v>
      </c>
      <c r="K13" s="31">
        <v>35</v>
      </c>
      <c r="L13" s="31">
        <v>35</v>
      </c>
      <c r="M13" s="31">
        <v>35</v>
      </c>
      <c r="N13" s="31">
        <v>35</v>
      </c>
      <c r="O13" s="91">
        <f t="shared" si="0"/>
        <v>35</v>
      </c>
      <c r="P13" s="31">
        <v>35</v>
      </c>
      <c r="Q13" s="31">
        <v>35</v>
      </c>
      <c r="R13" s="31">
        <v>35</v>
      </c>
      <c r="S13" s="31">
        <v>35</v>
      </c>
      <c r="T13" s="31">
        <v>35</v>
      </c>
      <c r="U13" s="31">
        <v>35</v>
      </c>
      <c r="V13" s="31">
        <v>35</v>
      </c>
      <c r="W13" s="31">
        <v>35</v>
      </c>
      <c r="X13" s="31">
        <v>35</v>
      </c>
      <c r="Y13" s="31">
        <v>35</v>
      </c>
      <c r="Z13" s="31">
        <v>35</v>
      </c>
      <c r="AA13" s="31">
        <v>10</v>
      </c>
      <c r="AB13" s="91">
        <f t="shared" si="1"/>
        <v>35</v>
      </c>
      <c r="AC13" s="31">
        <v>5</v>
      </c>
      <c r="AD13" s="31">
        <v>5</v>
      </c>
      <c r="AE13" s="91">
        <f t="shared" si="2"/>
        <v>10</v>
      </c>
      <c r="AF13" s="92" t="str">
        <f t="shared" si="3"/>
        <v>DP</v>
      </c>
      <c r="AG13" s="91">
        <f t="shared" si="4"/>
        <v>100</v>
      </c>
      <c r="AH13" s="190" t="str">
        <f t="shared" si="5"/>
        <v>APROBADO</v>
      </c>
      <c r="AI13" s="191"/>
      <c r="AJ13" s="191"/>
      <c r="AK13" s="191"/>
      <c r="AL13" s="191"/>
      <c r="AM13" s="192"/>
      <c r="AN13" s="94"/>
      <c r="AO13" s="94"/>
      <c r="AP13" s="94"/>
      <c r="AQ13" s="94"/>
      <c r="AR13" s="94"/>
    </row>
    <row r="14" spans="1:48" ht="12" customHeight="1" x14ac:dyDescent="0.3">
      <c r="A14" s="58">
        <v>6</v>
      </c>
      <c r="B14" s="89" t="str">
        <f>'C. FILIACION'!B13</f>
        <v>DAZA RAMIREZ KALEP MATEO</v>
      </c>
      <c r="C14" s="31">
        <v>10</v>
      </c>
      <c r="D14" s="31">
        <v>35</v>
      </c>
      <c r="E14" s="31">
        <v>35</v>
      </c>
      <c r="F14" s="31">
        <v>35</v>
      </c>
      <c r="G14" s="31">
        <v>35</v>
      </c>
      <c r="H14" s="31">
        <v>35</v>
      </c>
      <c r="I14" s="31">
        <v>35</v>
      </c>
      <c r="J14" s="31">
        <v>35</v>
      </c>
      <c r="K14" s="31">
        <v>35</v>
      </c>
      <c r="L14" s="31">
        <v>35</v>
      </c>
      <c r="M14" s="31">
        <v>35</v>
      </c>
      <c r="N14" s="31">
        <v>35</v>
      </c>
      <c r="O14" s="91">
        <f t="shared" si="0"/>
        <v>35</v>
      </c>
      <c r="P14" s="31">
        <v>35</v>
      </c>
      <c r="Q14" s="31">
        <v>35</v>
      </c>
      <c r="R14" s="31">
        <v>35</v>
      </c>
      <c r="S14" s="31">
        <v>35</v>
      </c>
      <c r="T14" s="31">
        <v>35</v>
      </c>
      <c r="U14" s="31">
        <v>35</v>
      </c>
      <c r="V14" s="31">
        <v>35</v>
      </c>
      <c r="W14" s="31">
        <v>35</v>
      </c>
      <c r="X14" s="31">
        <v>35</v>
      </c>
      <c r="Y14" s="31">
        <v>35</v>
      </c>
      <c r="Z14" s="31">
        <v>35</v>
      </c>
      <c r="AA14" s="31">
        <v>10</v>
      </c>
      <c r="AB14" s="91">
        <f t="shared" si="1"/>
        <v>35</v>
      </c>
      <c r="AC14" s="31">
        <v>5</v>
      </c>
      <c r="AD14" s="31">
        <v>5</v>
      </c>
      <c r="AE14" s="91">
        <f t="shared" si="2"/>
        <v>10</v>
      </c>
      <c r="AF14" s="92" t="str">
        <f t="shared" si="3"/>
        <v>DP</v>
      </c>
      <c r="AG14" s="91">
        <f t="shared" si="4"/>
        <v>100</v>
      </c>
      <c r="AH14" s="190" t="str">
        <f t="shared" si="5"/>
        <v>APROBADO</v>
      </c>
      <c r="AI14" s="191"/>
      <c r="AJ14" s="191"/>
      <c r="AK14" s="191"/>
      <c r="AL14" s="191"/>
      <c r="AM14" s="192"/>
      <c r="AN14" s="94"/>
      <c r="AO14" s="94"/>
      <c r="AP14" s="94"/>
      <c r="AQ14" s="94"/>
      <c r="AR14" s="94"/>
    </row>
    <row r="15" spans="1:48" ht="12" customHeight="1" x14ac:dyDescent="0.3">
      <c r="A15" s="58">
        <v>7</v>
      </c>
      <c r="B15" s="89" t="str">
        <f>'C. FILIACION'!B14</f>
        <v>ESTRADA FUNES NAZARETH</v>
      </c>
      <c r="C15" s="31">
        <v>10</v>
      </c>
      <c r="D15" s="31">
        <v>35</v>
      </c>
      <c r="E15" s="31">
        <v>35</v>
      </c>
      <c r="F15" s="31">
        <v>35</v>
      </c>
      <c r="G15" s="31">
        <v>35</v>
      </c>
      <c r="H15" s="31">
        <v>35</v>
      </c>
      <c r="I15" s="31">
        <v>35</v>
      </c>
      <c r="J15" s="31">
        <v>35</v>
      </c>
      <c r="K15" s="31">
        <v>35</v>
      </c>
      <c r="L15" s="31">
        <v>35</v>
      </c>
      <c r="M15" s="31">
        <v>35</v>
      </c>
      <c r="N15" s="31">
        <v>35</v>
      </c>
      <c r="O15" s="91">
        <f t="shared" si="0"/>
        <v>35</v>
      </c>
      <c r="P15" s="31">
        <v>35</v>
      </c>
      <c r="Q15" s="31">
        <v>35</v>
      </c>
      <c r="R15" s="31">
        <v>35</v>
      </c>
      <c r="S15" s="31">
        <v>35</v>
      </c>
      <c r="T15" s="31">
        <v>35</v>
      </c>
      <c r="U15" s="31">
        <v>35</v>
      </c>
      <c r="V15" s="31">
        <v>35</v>
      </c>
      <c r="W15" s="31">
        <v>35</v>
      </c>
      <c r="X15" s="31">
        <v>35</v>
      </c>
      <c r="Y15" s="31">
        <v>35</v>
      </c>
      <c r="Z15" s="31">
        <v>35</v>
      </c>
      <c r="AA15" s="31">
        <v>10</v>
      </c>
      <c r="AB15" s="91">
        <f t="shared" si="1"/>
        <v>35</v>
      </c>
      <c r="AC15" s="31">
        <v>5</v>
      </c>
      <c r="AD15" s="31">
        <v>5</v>
      </c>
      <c r="AE15" s="91">
        <f t="shared" si="2"/>
        <v>10</v>
      </c>
      <c r="AF15" s="92" t="str">
        <f t="shared" si="3"/>
        <v>DP</v>
      </c>
      <c r="AG15" s="91">
        <f t="shared" si="4"/>
        <v>100</v>
      </c>
      <c r="AH15" s="190" t="str">
        <f t="shared" si="5"/>
        <v>APROBADO</v>
      </c>
      <c r="AI15" s="191"/>
      <c r="AJ15" s="191"/>
      <c r="AK15" s="191"/>
      <c r="AL15" s="191"/>
      <c r="AM15" s="192"/>
      <c r="AN15" s="94"/>
      <c r="AO15" s="94"/>
      <c r="AP15" s="94"/>
      <c r="AQ15" s="94"/>
      <c r="AR15" s="94"/>
    </row>
    <row r="16" spans="1:48" ht="12" customHeight="1" x14ac:dyDescent="0.3">
      <c r="A16" s="58">
        <v>8</v>
      </c>
      <c r="B16" s="89" t="str">
        <f>'C. FILIACION'!B15</f>
        <v>FLORES VILLEGAS CARLOS IVAN</v>
      </c>
      <c r="C16" s="31">
        <v>10</v>
      </c>
      <c r="D16" s="31">
        <v>35</v>
      </c>
      <c r="E16" s="31">
        <v>35</v>
      </c>
      <c r="F16" s="31">
        <v>35</v>
      </c>
      <c r="G16" s="31">
        <v>35</v>
      </c>
      <c r="H16" s="31">
        <v>35</v>
      </c>
      <c r="I16" s="31">
        <v>35</v>
      </c>
      <c r="J16" s="31">
        <v>35</v>
      </c>
      <c r="K16" s="31">
        <v>35</v>
      </c>
      <c r="L16" s="31">
        <v>35</v>
      </c>
      <c r="M16" s="31">
        <v>35</v>
      </c>
      <c r="N16" s="31">
        <v>35</v>
      </c>
      <c r="O16" s="91">
        <f t="shared" si="0"/>
        <v>35</v>
      </c>
      <c r="P16" s="31">
        <v>35</v>
      </c>
      <c r="Q16" s="31">
        <v>35</v>
      </c>
      <c r="R16" s="31">
        <v>35</v>
      </c>
      <c r="S16" s="31">
        <v>35</v>
      </c>
      <c r="T16" s="31">
        <v>35</v>
      </c>
      <c r="U16" s="31">
        <v>35</v>
      </c>
      <c r="V16" s="31">
        <v>35</v>
      </c>
      <c r="W16" s="31">
        <v>35</v>
      </c>
      <c r="X16" s="31">
        <v>35</v>
      </c>
      <c r="Y16" s="31">
        <v>35</v>
      </c>
      <c r="Z16" s="31">
        <v>35</v>
      </c>
      <c r="AA16" s="31">
        <v>10</v>
      </c>
      <c r="AB16" s="91">
        <f t="shared" si="1"/>
        <v>35</v>
      </c>
      <c r="AC16" s="31">
        <v>5</v>
      </c>
      <c r="AD16" s="31">
        <v>5</v>
      </c>
      <c r="AE16" s="91">
        <f t="shared" si="2"/>
        <v>10</v>
      </c>
      <c r="AF16" s="92" t="str">
        <f t="shared" si="3"/>
        <v>DP</v>
      </c>
      <c r="AG16" s="91">
        <f t="shared" si="4"/>
        <v>100</v>
      </c>
      <c r="AH16" s="190" t="str">
        <f t="shared" si="5"/>
        <v>APROBADO</v>
      </c>
      <c r="AI16" s="191"/>
      <c r="AJ16" s="191"/>
      <c r="AK16" s="191"/>
      <c r="AL16" s="191"/>
      <c r="AM16" s="192"/>
      <c r="AN16" s="94"/>
      <c r="AO16" s="94"/>
      <c r="AP16" s="94"/>
      <c r="AQ16" s="94"/>
      <c r="AR16" s="94"/>
    </row>
    <row r="17" spans="1:44" ht="12" customHeight="1" x14ac:dyDescent="0.3">
      <c r="A17" s="58">
        <v>9</v>
      </c>
      <c r="B17" s="89" t="str">
        <f>'C. FILIACION'!B16</f>
        <v>FRANCISCO RUIZ LUCERO</v>
      </c>
      <c r="C17" s="31">
        <v>10</v>
      </c>
      <c r="D17" s="31">
        <v>35</v>
      </c>
      <c r="E17" s="31">
        <v>35</v>
      </c>
      <c r="F17" s="31">
        <v>35</v>
      </c>
      <c r="G17" s="31">
        <v>35</v>
      </c>
      <c r="H17" s="31">
        <v>35</v>
      </c>
      <c r="I17" s="31">
        <v>35</v>
      </c>
      <c r="J17" s="31">
        <v>35</v>
      </c>
      <c r="K17" s="31">
        <v>35</v>
      </c>
      <c r="L17" s="31">
        <v>35</v>
      </c>
      <c r="M17" s="31">
        <v>35</v>
      </c>
      <c r="N17" s="31">
        <v>35</v>
      </c>
      <c r="O17" s="91">
        <f t="shared" si="0"/>
        <v>35</v>
      </c>
      <c r="P17" s="31">
        <v>35</v>
      </c>
      <c r="Q17" s="31">
        <v>35</v>
      </c>
      <c r="R17" s="31">
        <v>35</v>
      </c>
      <c r="S17" s="31">
        <v>35</v>
      </c>
      <c r="T17" s="31">
        <v>35</v>
      </c>
      <c r="U17" s="31">
        <v>35</v>
      </c>
      <c r="V17" s="31">
        <v>35</v>
      </c>
      <c r="W17" s="31">
        <v>35</v>
      </c>
      <c r="X17" s="31">
        <v>35</v>
      </c>
      <c r="Y17" s="31">
        <v>35</v>
      </c>
      <c r="Z17" s="31">
        <v>35</v>
      </c>
      <c r="AA17" s="31">
        <v>10</v>
      </c>
      <c r="AB17" s="91">
        <f t="shared" si="1"/>
        <v>35</v>
      </c>
      <c r="AC17" s="31">
        <v>5</v>
      </c>
      <c r="AD17" s="31">
        <v>5</v>
      </c>
      <c r="AE17" s="91">
        <f t="shared" si="2"/>
        <v>10</v>
      </c>
      <c r="AF17" s="92" t="str">
        <f t="shared" si="3"/>
        <v>DP</v>
      </c>
      <c r="AG17" s="91">
        <f t="shared" si="4"/>
        <v>100</v>
      </c>
      <c r="AH17" s="190" t="str">
        <f t="shared" si="5"/>
        <v>APROBADO</v>
      </c>
      <c r="AI17" s="191"/>
      <c r="AJ17" s="191"/>
      <c r="AK17" s="191"/>
      <c r="AL17" s="191"/>
      <c r="AM17" s="192"/>
      <c r="AN17" s="94"/>
      <c r="AO17" s="94"/>
      <c r="AP17" s="94"/>
      <c r="AQ17" s="94"/>
      <c r="AR17" s="94"/>
    </row>
    <row r="18" spans="1:44" ht="12" customHeight="1" x14ac:dyDescent="0.3">
      <c r="A18" s="58">
        <v>10</v>
      </c>
      <c r="B18" s="89" t="str">
        <f>'C. FILIACION'!B17</f>
        <v>IBARRA VINO ELOY INTI</v>
      </c>
      <c r="C18" s="31">
        <v>10</v>
      </c>
      <c r="D18" s="31">
        <v>35</v>
      </c>
      <c r="E18" s="31">
        <v>35</v>
      </c>
      <c r="F18" s="31">
        <v>35</v>
      </c>
      <c r="G18" s="31">
        <v>35</v>
      </c>
      <c r="H18" s="31">
        <v>35</v>
      </c>
      <c r="I18" s="31">
        <v>35</v>
      </c>
      <c r="J18" s="31">
        <v>35</v>
      </c>
      <c r="K18" s="31">
        <v>35</v>
      </c>
      <c r="L18" s="31">
        <v>35</v>
      </c>
      <c r="M18" s="31">
        <v>35</v>
      </c>
      <c r="N18" s="31">
        <v>35</v>
      </c>
      <c r="O18" s="91">
        <f t="shared" si="0"/>
        <v>35</v>
      </c>
      <c r="P18" s="31">
        <v>35</v>
      </c>
      <c r="Q18" s="31">
        <v>35</v>
      </c>
      <c r="R18" s="31">
        <v>35</v>
      </c>
      <c r="S18" s="31">
        <v>35</v>
      </c>
      <c r="T18" s="31">
        <v>35</v>
      </c>
      <c r="U18" s="31">
        <v>35</v>
      </c>
      <c r="V18" s="31">
        <v>35</v>
      </c>
      <c r="W18" s="31">
        <v>35</v>
      </c>
      <c r="X18" s="31">
        <v>35</v>
      </c>
      <c r="Y18" s="31">
        <v>35</v>
      </c>
      <c r="Z18" s="31">
        <v>35</v>
      </c>
      <c r="AA18" s="31">
        <v>10</v>
      </c>
      <c r="AB18" s="91">
        <f t="shared" si="1"/>
        <v>35</v>
      </c>
      <c r="AC18" s="31">
        <v>5</v>
      </c>
      <c r="AD18" s="31">
        <v>5</v>
      </c>
      <c r="AE18" s="91">
        <f t="shared" si="2"/>
        <v>10</v>
      </c>
      <c r="AF18" s="92" t="str">
        <f t="shared" si="3"/>
        <v>DP</v>
      </c>
      <c r="AG18" s="91">
        <f t="shared" si="4"/>
        <v>100</v>
      </c>
      <c r="AH18" s="190" t="str">
        <f t="shared" si="5"/>
        <v>APROBADO</v>
      </c>
      <c r="AI18" s="191"/>
      <c r="AJ18" s="191"/>
      <c r="AK18" s="191"/>
      <c r="AL18" s="191"/>
      <c r="AM18" s="192"/>
      <c r="AN18" s="94"/>
      <c r="AO18" s="94"/>
      <c r="AP18" s="94"/>
      <c r="AQ18" s="94"/>
      <c r="AR18" s="94"/>
    </row>
    <row r="19" spans="1:44" ht="12" customHeight="1" x14ac:dyDescent="0.3">
      <c r="A19" s="58">
        <v>11</v>
      </c>
      <c r="B19" s="89" t="str">
        <f>'C. FILIACION'!B18</f>
        <v>LOPEZ BLANCO SOFIA FELEN</v>
      </c>
      <c r="C19" s="31">
        <v>10</v>
      </c>
      <c r="D19" s="31">
        <v>35</v>
      </c>
      <c r="E19" s="31">
        <v>35</v>
      </c>
      <c r="F19" s="31">
        <v>35</v>
      </c>
      <c r="G19" s="31">
        <v>35</v>
      </c>
      <c r="H19" s="31">
        <v>35</v>
      </c>
      <c r="I19" s="31">
        <v>35</v>
      </c>
      <c r="J19" s="31">
        <v>35</v>
      </c>
      <c r="K19" s="31">
        <v>35</v>
      </c>
      <c r="L19" s="31">
        <v>35</v>
      </c>
      <c r="M19" s="31">
        <v>35</v>
      </c>
      <c r="N19" s="31">
        <v>35</v>
      </c>
      <c r="O19" s="91">
        <f t="shared" si="0"/>
        <v>35</v>
      </c>
      <c r="P19" s="31">
        <v>35</v>
      </c>
      <c r="Q19" s="31">
        <v>35</v>
      </c>
      <c r="R19" s="31">
        <v>35</v>
      </c>
      <c r="S19" s="31">
        <v>35</v>
      </c>
      <c r="T19" s="31">
        <v>35</v>
      </c>
      <c r="U19" s="31">
        <v>35</v>
      </c>
      <c r="V19" s="31">
        <v>35</v>
      </c>
      <c r="W19" s="31">
        <v>35</v>
      </c>
      <c r="X19" s="31">
        <v>35</v>
      </c>
      <c r="Y19" s="31">
        <v>35</v>
      </c>
      <c r="Z19" s="31">
        <v>35</v>
      </c>
      <c r="AA19" s="31">
        <v>10</v>
      </c>
      <c r="AB19" s="91">
        <f t="shared" si="1"/>
        <v>35</v>
      </c>
      <c r="AC19" s="31">
        <v>5</v>
      </c>
      <c r="AD19" s="31">
        <v>5</v>
      </c>
      <c r="AE19" s="91">
        <f t="shared" si="2"/>
        <v>10</v>
      </c>
      <c r="AF19" s="92" t="str">
        <f t="shared" si="3"/>
        <v>DP</v>
      </c>
      <c r="AG19" s="91">
        <f t="shared" si="4"/>
        <v>100</v>
      </c>
      <c r="AH19" s="190" t="str">
        <f t="shared" si="5"/>
        <v>APROBADO</v>
      </c>
      <c r="AI19" s="191"/>
      <c r="AJ19" s="191"/>
      <c r="AK19" s="191"/>
      <c r="AL19" s="191"/>
      <c r="AM19" s="192"/>
      <c r="AN19" s="94"/>
      <c r="AO19" s="94"/>
      <c r="AP19" s="94"/>
      <c r="AQ19" s="94"/>
      <c r="AR19" s="94"/>
    </row>
    <row r="20" spans="1:44" ht="12" customHeight="1" x14ac:dyDescent="0.3">
      <c r="A20" s="58">
        <v>12</v>
      </c>
      <c r="B20" s="89" t="str">
        <f>'C. FILIACION'!B19</f>
        <v>LOPEZ PACO RODRIGO ADRIAN</v>
      </c>
      <c r="C20" s="31">
        <v>10</v>
      </c>
      <c r="D20" s="31">
        <v>35</v>
      </c>
      <c r="E20" s="31">
        <v>35</v>
      </c>
      <c r="F20" s="31">
        <v>35</v>
      </c>
      <c r="G20" s="31">
        <v>35</v>
      </c>
      <c r="H20" s="31">
        <v>35</v>
      </c>
      <c r="I20" s="31">
        <v>35</v>
      </c>
      <c r="J20" s="31">
        <v>35</v>
      </c>
      <c r="K20" s="31">
        <v>35</v>
      </c>
      <c r="L20" s="31">
        <v>35</v>
      </c>
      <c r="M20" s="31">
        <v>35</v>
      </c>
      <c r="N20" s="31">
        <v>35</v>
      </c>
      <c r="O20" s="91">
        <f t="shared" si="0"/>
        <v>35</v>
      </c>
      <c r="P20" s="31">
        <v>35</v>
      </c>
      <c r="Q20" s="31">
        <v>35</v>
      </c>
      <c r="R20" s="31">
        <v>35</v>
      </c>
      <c r="S20" s="31">
        <v>35</v>
      </c>
      <c r="T20" s="31">
        <v>35</v>
      </c>
      <c r="U20" s="31">
        <v>35</v>
      </c>
      <c r="V20" s="31">
        <v>35</v>
      </c>
      <c r="W20" s="31">
        <v>35</v>
      </c>
      <c r="X20" s="31">
        <v>35</v>
      </c>
      <c r="Y20" s="31">
        <v>35</v>
      </c>
      <c r="Z20" s="31">
        <v>35</v>
      </c>
      <c r="AA20" s="31">
        <v>10</v>
      </c>
      <c r="AB20" s="91">
        <f t="shared" si="1"/>
        <v>35</v>
      </c>
      <c r="AC20" s="31">
        <v>5</v>
      </c>
      <c r="AD20" s="31">
        <v>5</v>
      </c>
      <c r="AE20" s="91">
        <f t="shared" si="2"/>
        <v>10</v>
      </c>
      <c r="AF20" s="92" t="str">
        <f t="shared" si="3"/>
        <v>DP</v>
      </c>
      <c r="AG20" s="91">
        <f t="shared" si="4"/>
        <v>100</v>
      </c>
      <c r="AH20" s="190" t="str">
        <f t="shared" si="5"/>
        <v>APROBADO</v>
      </c>
      <c r="AI20" s="191"/>
      <c r="AJ20" s="191"/>
      <c r="AK20" s="191"/>
      <c r="AL20" s="191"/>
      <c r="AM20" s="192"/>
      <c r="AN20" s="94"/>
      <c r="AO20" s="94"/>
      <c r="AP20" s="94"/>
      <c r="AQ20" s="94"/>
      <c r="AR20" s="94"/>
    </row>
    <row r="21" spans="1:44" ht="12" customHeight="1" x14ac:dyDescent="0.3">
      <c r="A21" s="58">
        <v>13</v>
      </c>
      <c r="B21" s="89" t="str">
        <f>'C. FILIACION'!B20</f>
        <v>LOPEZ VERA MILENCA</v>
      </c>
      <c r="C21" s="31">
        <v>10</v>
      </c>
      <c r="D21" s="31">
        <v>35</v>
      </c>
      <c r="E21" s="31">
        <v>35</v>
      </c>
      <c r="F21" s="31">
        <v>35</v>
      </c>
      <c r="G21" s="31">
        <v>35</v>
      </c>
      <c r="H21" s="31">
        <v>35</v>
      </c>
      <c r="I21" s="31">
        <v>35</v>
      </c>
      <c r="J21" s="31">
        <v>35</v>
      </c>
      <c r="K21" s="31">
        <v>35</v>
      </c>
      <c r="L21" s="31">
        <v>35</v>
      </c>
      <c r="M21" s="31">
        <v>35</v>
      </c>
      <c r="N21" s="31">
        <v>35</v>
      </c>
      <c r="O21" s="91">
        <f t="shared" si="0"/>
        <v>35</v>
      </c>
      <c r="P21" s="31">
        <v>35</v>
      </c>
      <c r="Q21" s="31">
        <v>35</v>
      </c>
      <c r="R21" s="31">
        <v>35</v>
      </c>
      <c r="S21" s="31">
        <v>35</v>
      </c>
      <c r="T21" s="31">
        <v>35</v>
      </c>
      <c r="U21" s="31">
        <v>35</v>
      </c>
      <c r="V21" s="31">
        <v>35</v>
      </c>
      <c r="W21" s="31">
        <v>35</v>
      </c>
      <c r="X21" s="31">
        <v>35</v>
      </c>
      <c r="Y21" s="31">
        <v>35</v>
      </c>
      <c r="Z21" s="31">
        <v>35</v>
      </c>
      <c r="AA21" s="31">
        <v>10</v>
      </c>
      <c r="AB21" s="91">
        <f t="shared" si="1"/>
        <v>35</v>
      </c>
      <c r="AC21" s="31">
        <v>5</v>
      </c>
      <c r="AD21" s="31">
        <v>5</v>
      </c>
      <c r="AE21" s="91">
        <f t="shared" si="2"/>
        <v>10</v>
      </c>
      <c r="AF21" s="92" t="str">
        <f t="shared" si="3"/>
        <v>DP</v>
      </c>
      <c r="AG21" s="91">
        <f t="shared" si="4"/>
        <v>100</v>
      </c>
      <c r="AH21" s="190" t="str">
        <f t="shared" si="5"/>
        <v>APROBADO</v>
      </c>
      <c r="AI21" s="191"/>
      <c r="AJ21" s="191"/>
      <c r="AK21" s="191"/>
      <c r="AL21" s="191"/>
      <c r="AM21" s="192"/>
      <c r="AN21" s="94"/>
      <c r="AO21" s="94"/>
      <c r="AP21" s="94"/>
      <c r="AQ21" s="94"/>
      <c r="AR21" s="94"/>
    </row>
    <row r="22" spans="1:44" ht="12" customHeight="1" x14ac:dyDescent="0.3">
      <c r="A22" s="58">
        <v>14</v>
      </c>
      <c r="B22" s="89" t="str">
        <f>'C. FILIACION'!B21</f>
        <v>MEDINA CHOQUE JOSE ROBERTO</v>
      </c>
      <c r="C22" s="31">
        <v>10</v>
      </c>
      <c r="D22" s="31">
        <v>35</v>
      </c>
      <c r="E22" s="31">
        <v>35</v>
      </c>
      <c r="F22" s="31">
        <v>35</v>
      </c>
      <c r="G22" s="31">
        <v>35</v>
      </c>
      <c r="H22" s="31">
        <v>35</v>
      </c>
      <c r="I22" s="31">
        <v>35</v>
      </c>
      <c r="J22" s="31">
        <v>35</v>
      </c>
      <c r="K22" s="31">
        <v>35</v>
      </c>
      <c r="L22" s="31">
        <v>35</v>
      </c>
      <c r="M22" s="31">
        <v>35</v>
      </c>
      <c r="N22" s="31">
        <v>35</v>
      </c>
      <c r="O22" s="91">
        <f t="shared" si="0"/>
        <v>35</v>
      </c>
      <c r="P22" s="31">
        <v>35</v>
      </c>
      <c r="Q22" s="31">
        <v>35</v>
      </c>
      <c r="R22" s="31">
        <v>35</v>
      </c>
      <c r="S22" s="31">
        <v>35</v>
      </c>
      <c r="T22" s="31">
        <v>35</v>
      </c>
      <c r="U22" s="31">
        <v>35</v>
      </c>
      <c r="V22" s="31">
        <v>35</v>
      </c>
      <c r="W22" s="31">
        <v>35</v>
      </c>
      <c r="X22" s="31">
        <v>35</v>
      </c>
      <c r="Y22" s="31">
        <v>35</v>
      </c>
      <c r="Z22" s="31">
        <v>35</v>
      </c>
      <c r="AA22" s="31">
        <v>10</v>
      </c>
      <c r="AB22" s="91">
        <f t="shared" si="1"/>
        <v>35</v>
      </c>
      <c r="AC22" s="31">
        <v>5</v>
      </c>
      <c r="AD22" s="31">
        <v>5</v>
      </c>
      <c r="AE22" s="91">
        <f t="shared" si="2"/>
        <v>10</v>
      </c>
      <c r="AF22" s="92" t="str">
        <f t="shared" si="3"/>
        <v>DP</v>
      </c>
      <c r="AG22" s="91">
        <f t="shared" si="4"/>
        <v>100</v>
      </c>
      <c r="AH22" s="190" t="str">
        <f t="shared" si="5"/>
        <v>APROBADO</v>
      </c>
      <c r="AI22" s="191"/>
      <c r="AJ22" s="191"/>
      <c r="AK22" s="191"/>
      <c r="AL22" s="191"/>
      <c r="AM22" s="192"/>
      <c r="AN22" s="94"/>
      <c r="AO22" s="94"/>
      <c r="AP22" s="94"/>
      <c r="AQ22" s="94"/>
      <c r="AR22" s="94"/>
    </row>
    <row r="23" spans="1:44" ht="12" customHeight="1" x14ac:dyDescent="0.3">
      <c r="A23" s="58">
        <v>15</v>
      </c>
      <c r="B23" s="89" t="str">
        <f>'C. FILIACION'!B22</f>
        <v>MIRABAL AYANOME JOSE ALFREDO</v>
      </c>
      <c r="C23" s="31">
        <v>10</v>
      </c>
      <c r="D23" s="31">
        <v>35</v>
      </c>
      <c r="E23" s="31">
        <v>35</v>
      </c>
      <c r="F23" s="31">
        <v>35</v>
      </c>
      <c r="G23" s="31">
        <v>35</v>
      </c>
      <c r="H23" s="31">
        <v>35</v>
      </c>
      <c r="I23" s="31">
        <v>35</v>
      </c>
      <c r="J23" s="31">
        <v>35</v>
      </c>
      <c r="K23" s="31">
        <v>35</v>
      </c>
      <c r="L23" s="31">
        <v>35</v>
      </c>
      <c r="M23" s="31">
        <v>35</v>
      </c>
      <c r="N23" s="31">
        <v>35</v>
      </c>
      <c r="O23" s="91">
        <f t="shared" si="0"/>
        <v>35</v>
      </c>
      <c r="P23" s="31">
        <v>35</v>
      </c>
      <c r="Q23" s="31">
        <v>35</v>
      </c>
      <c r="R23" s="31">
        <v>35</v>
      </c>
      <c r="S23" s="31">
        <v>35</v>
      </c>
      <c r="T23" s="31">
        <v>35</v>
      </c>
      <c r="U23" s="31">
        <v>35</v>
      </c>
      <c r="V23" s="31">
        <v>35</v>
      </c>
      <c r="W23" s="31">
        <v>35</v>
      </c>
      <c r="X23" s="31">
        <v>35</v>
      </c>
      <c r="Y23" s="31">
        <v>35</v>
      </c>
      <c r="Z23" s="31">
        <v>35</v>
      </c>
      <c r="AA23" s="31">
        <v>10</v>
      </c>
      <c r="AB23" s="91">
        <f t="shared" si="1"/>
        <v>35</v>
      </c>
      <c r="AC23" s="31">
        <v>5</v>
      </c>
      <c r="AD23" s="31">
        <v>5</v>
      </c>
      <c r="AE23" s="91">
        <f t="shared" si="2"/>
        <v>10</v>
      </c>
      <c r="AF23" s="92" t="str">
        <f t="shared" si="3"/>
        <v>DP</v>
      </c>
      <c r="AG23" s="91">
        <f t="shared" si="4"/>
        <v>100</v>
      </c>
      <c r="AH23" s="190" t="str">
        <f t="shared" si="5"/>
        <v>APROBADO</v>
      </c>
      <c r="AI23" s="191"/>
      <c r="AJ23" s="191"/>
      <c r="AK23" s="191"/>
      <c r="AL23" s="191"/>
      <c r="AM23" s="192"/>
      <c r="AN23" s="94"/>
      <c r="AO23" s="94"/>
      <c r="AP23" s="94"/>
      <c r="AQ23" s="94"/>
      <c r="AR23" s="94"/>
    </row>
    <row r="24" spans="1:44" ht="12" customHeight="1" x14ac:dyDescent="0.3">
      <c r="A24" s="58">
        <v>16</v>
      </c>
      <c r="B24" s="89" t="str">
        <f>'C. FILIACION'!B23</f>
        <v>NINA RUEDA ESTEFANY DANIELA</v>
      </c>
      <c r="C24" s="31">
        <v>10</v>
      </c>
      <c r="D24" s="31">
        <v>35</v>
      </c>
      <c r="E24" s="31">
        <v>35</v>
      </c>
      <c r="F24" s="31">
        <v>35</v>
      </c>
      <c r="G24" s="31">
        <v>35</v>
      </c>
      <c r="H24" s="31">
        <v>35</v>
      </c>
      <c r="I24" s="31">
        <v>35</v>
      </c>
      <c r="J24" s="31">
        <v>35</v>
      </c>
      <c r="K24" s="31">
        <v>35</v>
      </c>
      <c r="L24" s="31">
        <v>35</v>
      </c>
      <c r="M24" s="31">
        <v>35</v>
      </c>
      <c r="N24" s="31">
        <v>35</v>
      </c>
      <c r="O24" s="91">
        <f t="shared" si="0"/>
        <v>35</v>
      </c>
      <c r="P24" s="31">
        <v>35</v>
      </c>
      <c r="Q24" s="31">
        <v>35</v>
      </c>
      <c r="R24" s="31">
        <v>35</v>
      </c>
      <c r="S24" s="31">
        <v>35</v>
      </c>
      <c r="T24" s="31">
        <v>35</v>
      </c>
      <c r="U24" s="31">
        <v>35</v>
      </c>
      <c r="V24" s="31">
        <v>35</v>
      </c>
      <c r="W24" s="31">
        <v>35</v>
      </c>
      <c r="X24" s="31">
        <v>35</v>
      </c>
      <c r="Y24" s="31">
        <v>35</v>
      </c>
      <c r="Z24" s="31">
        <v>35</v>
      </c>
      <c r="AA24" s="31">
        <v>10</v>
      </c>
      <c r="AB24" s="91">
        <f t="shared" si="1"/>
        <v>35</v>
      </c>
      <c r="AC24" s="31">
        <v>5</v>
      </c>
      <c r="AD24" s="31">
        <v>5</v>
      </c>
      <c r="AE24" s="91">
        <f t="shared" si="2"/>
        <v>10</v>
      </c>
      <c r="AF24" s="92" t="str">
        <f t="shared" si="3"/>
        <v>DP</v>
      </c>
      <c r="AG24" s="91">
        <f t="shared" si="4"/>
        <v>100</v>
      </c>
      <c r="AH24" s="190" t="str">
        <f t="shared" si="5"/>
        <v>APROBADO</v>
      </c>
      <c r="AI24" s="191"/>
      <c r="AJ24" s="191"/>
      <c r="AK24" s="191"/>
      <c r="AL24" s="191"/>
      <c r="AM24" s="192"/>
      <c r="AN24" s="94"/>
      <c r="AO24" s="94"/>
      <c r="AP24" s="94"/>
      <c r="AQ24" s="94"/>
      <c r="AR24" s="94"/>
    </row>
    <row r="25" spans="1:44" ht="12" customHeight="1" x14ac:dyDescent="0.3">
      <c r="A25" s="58">
        <v>17</v>
      </c>
      <c r="B25" s="89" t="str">
        <f>'C. FILIACION'!B24</f>
        <v>PORTILLO QUISPE JORGE LUIS</v>
      </c>
      <c r="C25" s="31">
        <v>10</v>
      </c>
      <c r="D25" s="31">
        <v>35</v>
      </c>
      <c r="E25" s="31">
        <v>35</v>
      </c>
      <c r="F25" s="31">
        <v>35</v>
      </c>
      <c r="G25" s="31">
        <v>35</v>
      </c>
      <c r="H25" s="31">
        <v>35</v>
      </c>
      <c r="I25" s="31">
        <v>35</v>
      </c>
      <c r="J25" s="31">
        <v>35</v>
      </c>
      <c r="K25" s="31">
        <v>35</v>
      </c>
      <c r="L25" s="31">
        <v>35</v>
      </c>
      <c r="M25" s="31">
        <v>35</v>
      </c>
      <c r="N25" s="31">
        <v>35</v>
      </c>
      <c r="O25" s="91">
        <f t="shared" si="0"/>
        <v>35</v>
      </c>
      <c r="P25" s="31">
        <v>35</v>
      </c>
      <c r="Q25" s="31">
        <v>35</v>
      </c>
      <c r="R25" s="31">
        <v>35</v>
      </c>
      <c r="S25" s="31">
        <v>35</v>
      </c>
      <c r="T25" s="31">
        <v>35</v>
      </c>
      <c r="U25" s="31">
        <v>35</v>
      </c>
      <c r="V25" s="31">
        <v>35</v>
      </c>
      <c r="W25" s="31">
        <v>35</v>
      </c>
      <c r="X25" s="31">
        <v>35</v>
      </c>
      <c r="Y25" s="31">
        <v>35</v>
      </c>
      <c r="Z25" s="31">
        <v>35</v>
      </c>
      <c r="AA25" s="31">
        <v>10</v>
      </c>
      <c r="AB25" s="91">
        <f t="shared" si="1"/>
        <v>35</v>
      </c>
      <c r="AC25" s="31">
        <v>5</v>
      </c>
      <c r="AD25" s="31">
        <v>5</v>
      </c>
      <c r="AE25" s="91">
        <f t="shared" si="2"/>
        <v>10</v>
      </c>
      <c r="AF25" s="92" t="str">
        <f t="shared" si="3"/>
        <v>DP</v>
      </c>
      <c r="AG25" s="91">
        <f t="shared" si="4"/>
        <v>100</v>
      </c>
      <c r="AH25" s="190" t="str">
        <f t="shared" si="5"/>
        <v>APROBADO</v>
      </c>
      <c r="AI25" s="191"/>
      <c r="AJ25" s="191"/>
      <c r="AK25" s="191"/>
      <c r="AL25" s="191"/>
      <c r="AM25" s="192"/>
      <c r="AN25" s="94"/>
      <c r="AO25" s="94"/>
      <c r="AP25" s="94"/>
      <c r="AQ25" s="94"/>
      <c r="AR25" s="94"/>
    </row>
    <row r="26" spans="1:44" ht="12" customHeight="1" x14ac:dyDescent="0.3">
      <c r="A26" s="58">
        <v>18</v>
      </c>
      <c r="B26" s="89" t="str">
        <f>'C. FILIACION'!B25</f>
        <v>TORREZ PACO CARLA MILENKA</v>
      </c>
      <c r="C26" s="31">
        <v>10</v>
      </c>
      <c r="D26" s="31">
        <v>35</v>
      </c>
      <c r="E26" s="31">
        <v>35</v>
      </c>
      <c r="F26" s="31">
        <v>35</v>
      </c>
      <c r="G26" s="31">
        <v>35</v>
      </c>
      <c r="H26" s="31">
        <v>35</v>
      </c>
      <c r="I26" s="31">
        <v>35</v>
      </c>
      <c r="J26" s="31">
        <v>35</v>
      </c>
      <c r="K26" s="31">
        <v>35</v>
      </c>
      <c r="L26" s="31">
        <v>35</v>
      </c>
      <c r="M26" s="31">
        <v>35</v>
      </c>
      <c r="N26" s="31">
        <v>35</v>
      </c>
      <c r="O26" s="91">
        <f t="shared" si="0"/>
        <v>35</v>
      </c>
      <c r="P26" s="31">
        <v>35</v>
      </c>
      <c r="Q26" s="31">
        <v>35</v>
      </c>
      <c r="R26" s="31">
        <v>35</v>
      </c>
      <c r="S26" s="31">
        <v>35</v>
      </c>
      <c r="T26" s="31">
        <v>35</v>
      </c>
      <c r="U26" s="31">
        <v>35</v>
      </c>
      <c r="V26" s="31">
        <v>35</v>
      </c>
      <c r="W26" s="31">
        <v>35</v>
      </c>
      <c r="X26" s="31">
        <v>35</v>
      </c>
      <c r="Y26" s="31">
        <v>35</v>
      </c>
      <c r="Z26" s="31">
        <v>35</v>
      </c>
      <c r="AA26" s="31">
        <v>10</v>
      </c>
      <c r="AB26" s="91">
        <f t="shared" si="1"/>
        <v>35</v>
      </c>
      <c r="AC26" s="31">
        <v>5</v>
      </c>
      <c r="AD26" s="31">
        <v>5</v>
      </c>
      <c r="AE26" s="91">
        <f t="shared" si="2"/>
        <v>10</v>
      </c>
      <c r="AF26" s="92" t="str">
        <f t="shared" si="3"/>
        <v>DP</v>
      </c>
      <c r="AG26" s="91">
        <f t="shared" si="4"/>
        <v>100</v>
      </c>
      <c r="AH26" s="190" t="str">
        <f t="shared" si="5"/>
        <v>APROBADO</v>
      </c>
      <c r="AI26" s="191"/>
      <c r="AJ26" s="191"/>
      <c r="AK26" s="191"/>
      <c r="AL26" s="191"/>
      <c r="AM26" s="192"/>
      <c r="AN26" s="94"/>
      <c r="AO26" s="94"/>
      <c r="AP26" s="94"/>
      <c r="AQ26" s="94"/>
      <c r="AR26" s="94"/>
    </row>
    <row r="27" spans="1:44" ht="12" customHeight="1" x14ac:dyDescent="0.3">
      <c r="A27" s="58">
        <v>19</v>
      </c>
      <c r="B27" s="89">
        <f>'C. FILIACION'!B26</f>
        <v>0</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190" t="str">
        <f t="shared" si="5"/>
        <v>APROBADO</v>
      </c>
      <c r="AI27" s="191"/>
      <c r="AJ27" s="191"/>
      <c r="AK27" s="191"/>
      <c r="AL27" s="191"/>
      <c r="AM27" s="192"/>
      <c r="AN27" s="94"/>
      <c r="AO27" s="94"/>
      <c r="AP27" s="94"/>
      <c r="AQ27" s="94"/>
      <c r="AR27" s="94"/>
    </row>
    <row r="28" spans="1:44" ht="12" customHeight="1" x14ac:dyDescent="0.3">
      <c r="A28" s="58">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190" t="str">
        <f t="shared" si="5"/>
        <v>APROBADO</v>
      </c>
      <c r="AI28" s="191"/>
      <c r="AJ28" s="191"/>
      <c r="AK28" s="191"/>
      <c r="AL28" s="191"/>
      <c r="AM28" s="192"/>
      <c r="AN28" s="94"/>
      <c r="AO28" s="94"/>
      <c r="AP28" s="94"/>
      <c r="AQ28" s="94"/>
      <c r="AR28" s="94"/>
    </row>
    <row r="29" spans="1:44" ht="12" customHeight="1" x14ac:dyDescent="0.3">
      <c r="A29" s="58">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190" t="str">
        <f t="shared" si="5"/>
        <v>APROBADO</v>
      </c>
      <c r="AI29" s="191"/>
      <c r="AJ29" s="191"/>
      <c r="AK29" s="191"/>
      <c r="AL29" s="191"/>
      <c r="AM29" s="192"/>
      <c r="AN29" s="94"/>
      <c r="AO29" s="94"/>
      <c r="AP29" s="94"/>
      <c r="AQ29" s="94"/>
      <c r="AR29" s="94"/>
    </row>
    <row r="30" spans="1:44" ht="12" customHeight="1" x14ac:dyDescent="0.3">
      <c r="A30" s="58">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190" t="str">
        <f t="shared" si="5"/>
        <v>APROBADO</v>
      </c>
      <c r="AI30" s="191"/>
      <c r="AJ30" s="191"/>
      <c r="AK30" s="191"/>
      <c r="AL30" s="191"/>
      <c r="AM30" s="192"/>
      <c r="AN30" s="94"/>
      <c r="AO30" s="94"/>
      <c r="AP30" s="94"/>
      <c r="AQ30" s="94"/>
      <c r="AR30" s="94"/>
    </row>
    <row r="31" spans="1:44" ht="12" customHeight="1" x14ac:dyDescent="0.3">
      <c r="A31" s="58">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190" t="str">
        <f t="shared" si="5"/>
        <v>APROBADO</v>
      </c>
      <c r="AI31" s="191"/>
      <c r="AJ31" s="191"/>
      <c r="AK31" s="191"/>
      <c r="AL31" s="191"/>
      <c r="AM31" s="192"/>
      <c r="AN31" s="94"/>
      <c r="AO31" s="94"/>
      <c r="AP31" s="94"/>
      <c r="AQ31" s="94"/>
      <c r="AR31" s="94"/>
    </row>
    <row r="32" spans="1:44" ht="12" customHeight="1" x14ac:dyDescent="0.3">
      <c r="A32" s="58">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190" t="str">
        <f t="shared" si="5"/>
        <v>APROBADO</v>
      </c>
      <c r="AI32" s="191"/>
      <c r="AJ32" s="191"/>
      <c r="AK32" s="191"/>
      <c r="AL32" s="191"/>
      <c r="AM32" s="192"/>
      <c r="AN32" s="94"/>
      <c r="AO32" s="94"/>
      <c r="AP32" s="94"/>
      <c r="AQ32" s="94"/>
      <c r="AR32" s="94"/>
    </row>
    <row r="33" spans="1:44" ht="12" customHeight="1" x14ac:dyDescent="0.3">
      <c r="A33" s="58">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190" t="str">
        <f t="shared" si="5"/>
        <v>APROBADO</v>
      </c>
      <c r="AI33" s="191"/>
      <c r="AJ33" s="191"/>
      <c r="AK33" s="191"/>
      <c r="AL33" s="191"/>
      <c r="AM33" s="192"/>
      <c r="AN33" s="94"/>
      <c r="AO33" s="94"/>
      <c r="AP33" s="94"/>
      <c r="AQ33" s="94"/>
      <c r="AR33" s="94"/>
    </row>
    <row r="34" spans="1:44" ht="12" customHeight="1" x14ac:dyDescent="0.3">
      <c r="A34" s="58">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190" t="str">
        <f t="shared" si="5"/>
        <v>APROBADO</v>
      </c>
      <c r="AI34" s="191"/>
      <c r="AJ34" s="191"/>
      <c r="AK34" s="191"/>
      <c r="AL34" s="191"/>
      <c r="AM34" s="192"/>
      <c r="AN34" s="94"/>
      <c r="AO34" s="94"/>
      <c r="AP34" s="94"/>
      <c r="AQ34" s="94"/>
      <c r="AR34" s="94"/>
    </row>
    <row r="35" spans="1:44" ht="12" customHeight="1" x14ac:dyDescent="0.3">
      <c r="A35" s="58">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190" t="str">
        <f t="shared" si="5"/>
        <v>APROBADO</v>
      </c>
      <c r="AI35" s="191"/>
      <c r="AJ35" s="191"/>
      <c r="AK35" s="191"/>
      <c r="AL35" s="191"/>
      <c r="AM35" s="192"/>
      <c r="AN35" s="94"/>
      <c r="AO35" s="94"/>
      <c r="AP35" s="94"/>
      <c r="AQ35" s="94"/>
      <c r="AR35" s="94"/>
    </row>
    <row r="36" spans="1:44" ht="12" customHeight="1" x14ac:dyDescent="0.3">
      <c r="A36" s="58">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190" t="str">
        <f t="shared" si="5"/>
        <v>APROBADO</v>
      </c>
      <c r="AI36" s="191"/>
      <c r="AJ36" s="191"/>
      <c r="AK36" s="191"/>
      <c r="AL36" s="191"/>
      <c r="AM36" s="192"/>
      <c r="AN36" s="94"/>
      <c r="AO36" s="94"/>
      <c r="AP36" s="94"/>
      <c r="AQ36" s="94"/>
      <c r="AR36" s="94"/>
    </row>
    <row r="37" spans="1:44" ht="12" customHeight="1" x14ac:dyDescent="0.3">
      <c r="A37" s="58">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190" t="str">
        <f t="shared" si="5"/>
        <v>APROBADO</v>
      </c>
      <c r="AI37" s="191"/>
      <c r="AJ37" s="191"/>
      <c r="AK37" s="191"/>
      <c r="AL37" s="191"/>
      <c r="AM37" s="192"/>
      <c r="AN37" s="94"/>
      <c r="AO37" s="94"/>
      <c r="AP37" s="94"/>
      <c r="AQ37" s="94"/>
      <c r="AR37" s="94"/>
    </row>
    <row r="38" spans="1:44" ht="12" customHeight="1" x14ac:dyDescent="0.3">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190" t="str">
        <f t="shared" si="5"/>
        <v>APROBADO</v>
      </c>
      <c r="AI38" s="191"/>
      <c r="AJ38" s="191"/>
      <c r="AK38" s="191"/>
      <c r="AL38" s="191"/>
      <c r="AM38" s="192"/>
      <c r="AN38" s="94"/>
      <c r="AO38" s="94"/>
      <c r="AP38" s="94"/>
      <c r="AQ38" s="94"/>
      <c r="AR38" s="94"/>
    </row>
    <row r="39" spans="1:44" ht="12" customHeight="1" x14ac:dyDescent="0.3">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190" t="str">
        <f t="shared" si="5"/>
        <v>APROBADO</v>
      </c>
      <c r="AI39" s="191"/>
      <c r="AJ39" s="191"/>
      <c r="AK39" s="191"/>
      <c r="AL39" s="191"/>
      <c r="AM39" s="192"/>
      <c r="AN39" s="94"/>
      <c r="AO39" s="94"/>
      <c r="AP39" s="94"/>
      <c r="AQ39" s="94"/>
      <c r="AR39" s="94"/>
    </row>
    <row r="40" spans="1:44" ht="12" customHeight="1" x14ac:dyDescent="0.3">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190" t="str">
        <f t="shared" si="5"/>
        <v>APROBADO</v>
      </c>
      <c r="AI40" s="191"/>
      <c r="AJ40" s="191"/>
      <c r="AK40" s="191"/>
      <c r="AL40" s="191"/>
      <c r="AM40" s="192"/>
      <c r="AN40" s="94"/>
      <c r="AO40" s="94"/>
      <c r="AP40" s="94"/>
      <c r="AQ40" s="94"/>
      <c r="AR40" s="94"/>
    </row>
    <row r="41" spans="1:44" ht="12" customHeight="1" x14ac:dyDescent="0.3">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190" t="str">
        <f t="shared" si="5"/>
        <v>APROBADO</v>
      </c>
      <c r="AI41" s="191"/>
      <c r="AJ41" s="191"/>
      <c r="AK41" s="191"/>
      <c r="AL41" s="191"/>
      <c r="AM41" s="192"/>
      <c r="AN41" s="94"/>
      <c r="AO41" s="94"/>
      <c r="AP41" s="94"/>
      <c r="AQ41" s="94"/>
      <c r="AR41" s="94"/>
    </row>
    <row r="42" spans="1:44" ht="12" customHeight="1" x14ac:dyDescent="0.3">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190" t="str">
        <f t="shared" si="5"/>
        <v>APROBADO</v>
      </c>
      <c r="AI42" s="191"/>
      <c r="AJ42" s="191"/>
      <c r="AK42" s="191"/>
      <c r="AL42" s="191"/>
      <c r="AM42" s="192"/>
      <c r="AN42" s="94"/>
      <c r="AO42" s="94"/>
      <c r="AP42" s="94"/>
      <c r="AQ42" s="94"/>
      <c r="AR42" s="94"/>
    </row>
    <row r="43" spans="1:44" ht="12" customHeight="1" x14ac:dyDescent="0.3">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190" t="str">
        <f t="shared" si="5"/>
        <v>APROBADO</v>
      </c>
      <c r="AI43" s="191"/>
      <c r="AJ43" s="191"/>
      <c r="AK43" s="191"/>
      <c r="AL43" s="191"/>
      <c r="AM43" s="192"/>
      <c r="AN43" s="94"/>
      <c r="AO43" s="94"/>
      <c r="AP43" s="94"/>
      <c r="AQ43" s="94"/>
      <c r="AR43" s="94"/>
    </row>
    <row r="44" spans="1:44" ht="12" customHeight="1" x14ac:dyDescent="0.3">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190" t="str">
        <f t="shared" si="5"/>
        <v>APROBADO</v>
      </c>
      <c r="AI44" s="191"/>
      <c r="AJ44" s="191"/>
      <c r="AK44" s="191"/>
      <c r="AL44" s="191"/>
      <c r="AM44" s="192"/>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x14ac:dyDescent="0.3"/>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x14ac:dyDescent="0.3"/>
    <row r="2" spans="1:28" ht="12.75" customHeight="1" x14ac:dyDescent="0.3">
      <c r="B2" s="173" t="s">
        <v>103</v>
      </c>
      <c r="C2" s="169"/>
      <c r="D2" s="169"/>
      <c r="E2" s="169"/>
      <c r="F2" s="169"/>
      <c r="G2" s="169"/>
      <c r="H2" s="169"/>
      <c r="I2" s="169"/>
      <c r="J2" s="169"/>
      <c r="K2" s="169"/>
      <c r="L2" s="169"/>
      <c r="M2" s="169"/>
      <c r="N2" s="169"/>
      <c r="O2" s="169"/>
      <c r="P2" s="169"/>
      <c r="Q2" s="169"/>
      <c r="R2" s="169"/>
      <c r="S2" s="169"/>
      <c r="T2" s="169"/>
      <c r="U2" s="169"/>
      <c r="V2" s="169"/>
      <c r="W2" s="169"/>
      <c r="X2" s="169"/>
      <c r="Y2" s="72"/>
      <c r="Z2" s="72"/>
      <c r="AA2" s="72"/>
      <c r="AB2" s="72"/>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53</v>
      </c>
      <c r="S4" s="42"/>
      <c r="T4" s="40"/>
      <c r="U4" s="39">
        <f>CARÁTULA!$C$19</f>
        <v>0</v>
      </c>
      <c r="V4" s="40"/>
      <c r="W4" s="40"/>
      <c r="X4" s="40"/>
    </row>
    <row r="5" spans="1:28" ht="12.75" customHeight="1" x14ac:dyDescent="0.3">
      <c r="B5" s="38" t="s">
        <v>22</v>
      </c>
      <c r="C5" s="96" t="str">
        <f>CARÁTULA!$C$23</f>
        <v>4to de Secundaria</v>
      </c>
      <c r="D5" s="40"/>
      <c r="E5" s="40"/>
      <c r="F5" s="40"/>
      <c r="G5" s="40"/>
      <c r="H5" s="40"/>
      <c r="I5" s="40"/>
      <c r="J5" s="40"/>
      <c r="K5" s="40"/>
      <c r="L5" s="40"/>
      <c r="M5" s="40"/>
      <c r="N5" s="38"/>
      <c r="O5" s="38"/>
      <c r="P5" s="38"/>
      <c r="Q5" s="38"/>
      <c r="R5" s="43" t="s">
        <v>23</v>
      </c>
      <c r="S5" s="44"/>
      <c r="T5" s="44"/>
      <c r="U5" s="187">
        <f ca="1">TODAY()</f>
        <v>44419</v>
      </c>
      <c r="V5" s="169"/>
      <c r="W5" s="169"/>
      <c r="X5" s="169"/>
    </row>
    <row r="6" spans="1:28" ht="12.75" customHeight="1" x14ac:dyDescent="0.3">
      <c r="B6" s="38"/>
      <c r="C6" s="212" t="s">
        <v>4</v>
      </c>
      <c r="D6" s="191"/>
      <c r="E6" s="191"/>
      <c r="F6" s="191"/>
      <c r="G6" s="191"/>
      <c r="H6" s="192"/>
      <c r="I6" s="212" t="s">
        <v>10</v>
      </c>
      <c r="J6" s="191"/>
      <c r="K6" s="191"/>
      <c r="L6" s="191"/>
      <c r="M6" s="191"/>
      <c r="N6" s="192"/>
      <c r="O6" s="212" t="s">
        <v>16</v>
      </c>
      <c r="P6" s="191"/>
      <c r="Q6" s="191"/>
      <c r="R6" s="191"/>
      <c r="S6" s="191"/>
      <c r="T6" s="192"/>
      <c r="U6" s="217" t="s">
        <v>104</v>
      </c>
      <c r="V6" s="213" t="s">
        <v>105</v>
      </c>
      <c r="W6" s="67"/>
      <c r="X6" s="67"/>
    </row>
    <row r="7" spans="1:28" ht="12" customHeight="1" x14ac:dyDescent="0.3">
      <c r="B7" s="47"/>
      <c r="C7" s="215"/>
      <c r="D7" s="191"/>
      <c r="E7" s="191"/>
      <c r="F7" s="191"/>
      <c r="G7" s="192"/>
      <c r="H7" s="216" t="s">
        <v>106</v>
      </c>
      <c r="I7" s="215"/>
      <c r="J7" s="191"/>
      <c r="K7" s="191"/>
      <c r="L7" s="191"/>
      <c r="M7" s="192"/>
      <c r="N7" s="216" t="s">
        <v>106</v>
      </c>
      <c r="O7" s="215"/>
      <c r="P7" s="191"/>
      <c r="Q7" s="191"/>
      <c r="R7" s="191"/>
      <c r="S7" s="192"/>
      <c r="T7" s="203" t="s">
        <v>106</v>
      </c>
      <c r="U7" s="214"/>
      <c r="V7" s="214"/>
      <c r="W7" s="40"/>
      <c r="X7" s="40"/>
    </row>
    <row r="8" spans="1:28" ht="67.5" customHeight="1" x14ac:dyDescent="0.3">
      <c r="A8" s="48" t="s">
        <v>56</v>
      </c>
      <c r="B8" s="49" t="s">
        <v>57</v>
      </c>
      <c r="C8" s="97" t="s">
        <v>82</v>
      </c>
      <c r="D8" s="98" t="s">
        <v>83</v>
      </c>
      <c r="E8" s="98" t="s">
        <v>85</v>
      </c>
      <c r="F8" s="98" t="s">
        <v>86</v>
      </c>
      <c r="G8" s="98" t="s">
        <v>107</v>
      </c>
      <c r="H8" s="199"/>
      <c r="I8" s="97" t="s">
        <v>82</v>
      </c>
      <c r="J8" s="98" t="s">
        <v>83</v>
      </c>
      <c r="K8" s="98" t="s">
        <v>85</v>
      </c>
      <c r="L8" s="98" t="s">
        <v>86</v>
      </c>
      <c r="M8" s="98" t="s">
        <v>107</v>
      </c>
      <c r="N8" s="199"/>
      <c r="O8" s="97" t="s">
        <v>82</v>
      </c>
      <c r="P8" s="98" t="s">
        <v>83</v>
      </c>
      <c r="Q8" s="98" t="s">
        <v>85</v>
      </c>
      <c r="R8" s="98" t="s">
        <v>86</v>
      </c>
      <c r="S8" s="98" t="s">
        <v>107</v>
      </c>
      <c r="T8" s="199"/>
      <c r="U8" s="199"/>
      <c r="V8" s="199"/>
      <c r="W8" s="99"/>
      <c r="X8" s="99"/>
    </row>
    <row r="9" spans="1:28" ht="12" customHeight="1" x14ac:dyDescent="0.3">
      <c r="A9" s="58">
        <v>1</v>
      </c>
      <c r="B9" s="59" t="str">
        <f>'C. FILIACION'!B8</f>
        <v>BENITEZ BALLESTEROS KAREN ARIANA</v>
      </c>
      <c r="C9" s="31">
        <f>'VAL 1 TRIM '!C9</f>
        <v>10</v>
      </c>
      <c r="D9" s="31">
        <f>'VAL 1 TRIM '!O9</f>
        <v>30</v>
      </c>
      <c r="E9" s="31">
        <f>'VAL 1 TRIM '!AB9</f>
        <v>30</v>
      </c>
      <c r="F9" s="31">
        <f>'VAL 1 TRIM '!AE9</f>
        <v>10</v>
      </c>
      <c r="G9" s="31">
        <f>'VAL 1 TRIM '!AE9</f>
        <v>10</v>
      </c>
      <c r="H9" s="100">
        <f>'VAL 1 TRIM '!AG9</f>
        <v>90</v>
      </c>
      <c r="I9" s="31">
        <f>'VAL 2 TRIM'!C9</f>
        <v>10</v>
      </c>
      <c r="J9" s="31">
        <f>'VAL 2 TRIM'!O9</f>
        <v>23</v>
      </c>
      <c r="K9" s="31">
        <f>'VAL 2 TRIM'!AB9</f>
        <v>27</v>
      </c>
      <c r="L9" s="31">
        <f>'VAL 2 TRIM'!AA9</f>
        <v>10</v>
      </c>
      <c r="M9" s="31">
        <f>'VAL 2 TRIM'!AE9</f>
        <v>10</v>
      </c>
      <c r="N9" s="100">
        <f>'VAL 2 TRIM'!AG9</f>
        <v>80</v>
      </c>
      <c r="O9" s="31">
        <f>'VAL 3 TRIM'!C9</f>
        <v>10</v>
      </c>
      <c r="P9" s="31">
        <f>'VAL 3 TRIM'!O9</f>
        <v>35</v>
      </c>
      <c r="Q9" s="31">
        <f>'VAL 3 TRIM'!AB9</f>
        <v>35</v>
      </c>
      <c r="R9" s="31">
        <f>'VAL 3 TRIM'!AA9</f>
        <v>10</v>
      </c>
      <c r="S9" s="31">
        <f>'VAL 3 TRIM'!AE9</f>
        <v>10</v>
      </c>
      <c r="T9" s="100">
        <f>'VAL 3 TRIM'!AG9</f>
        <v>100</v>
      </c>
      <c r="U9" s="101">
        <f t="shared" ref="U9:U44" si="0">AVERAGE(H9,N9,T9)</f>
        <v>90</v>
      </c>
      <c r="V9" s="102" t="str">
        <f t="shared" ref="V9:V44" si="1">IF(U9="","",(IF(AND(U9&gt;=1,U9&lt;=50.499),"REPROBADO",IF(AND(U9&gt;=50.5,U9&lt;=100),"APROBADO"))))</f>
        <v>APROBADO</v>
      </c>
      <c r="W9" s="103"/>
      <c r="X9" s="103"/>
    </row>
    <row r="10" spans="1:28" ht="12" customHeight="1" x14ac:dyDescent="0.3">
      <c r="A10" s="58">
        <v>2</v>
      </c>
      <c r="B10" s="59" t="str">
        <f>'C. FILIACION'!B9</f>
        <v>CALIZAYA MERCADO AXEL GABRIEL</v>
      </c>
      <c r="C10" s="48">
        <f>'VAL 1 TRIM '!C10</f>
        <v>10</v>
      </c>
      <c r="D10" s="48">
        <f>'VAL 1 TRIM '!O10</f>
        <v>10</v>
      </c>
      <c r="E10" s="48">
        <f>'VAL 1 TRIM '!AB10</f>
        <v>15</v>
      </c>
      <c r="F10" s="48">
        <f>'VAL 1 TRIM '!AE10</f>
        <v>10</v>
      </c>
      <c r="G10" s="48">
        <f>'VAL 1 TRIM '!AE10</f>
        <v>10</v>
      </c>
      <c r="H10" s="100">
        <f>'VAL 1 TRIM '!AG10</f>
        <v>55</v>
      </c>
      <c r="I10" s="31">
        <f>'VAL 2 TRIM'!C10</f>
        <v>10</v>
      </c>
      <c r="J10" s="31" t="str">
        <f>'VAL 2 TRIM'!O10</f>
        <v/>
      </c>
      <c r="K10" s="31" t="str">
        <f>'VAL 2 TRIM'!AB10</f>
        <v/>
      </c>
      <c r="L10" s="31">
        <f>'VAL 2 TRIM'!AA10</f>
        <v>10</v>
      </c>
      <c r="M10" s="31">
        <f>'VAL 2 TRIM'!AE10</f>
        <v>10</v>
      </c>
      <c r="N10" s="100">
        <f>'VAL 2 TRIM'!AG10</f>
        <v>30</v>
      </c>
      <c r="O10" s="31">
        <f>'VAL 3 TRIM'!C10</f>
        <v>10</v>
      </c>
      <c r="P10" s="31">
        <f>'VAL 3 TRIM'!O10</f>
        <v>35</v>
      </c>
      <c r="Q10" s="31">
        <f>'VAL 3 TRIM'!AB10</f>
        <v>35</v>
      </c>
      <c r="R10" s="31">
        <f>'VAL 3 TRIM'!AA10</f>
        <v>10</v>
      </c>
      <c r="S10" s="48">
        <f>'VAL 3 TRIM'!AE10</f>
        <v>10</v>
      </c>
      <c r="T10" s="100">
        <f>'VAL 3 TRIM'!AG10</f>
        <v>100</v>
      </c>
      <c r="U10" s="101">
        <f t="shared" si="0"/>
        <v>61.666666666666664</v>
      </c>
      <c r="V10" s="102" t="str">
        <f t="shared" si="1"/>
        <v>APROBADO</v>
      </c>
      <c r="W10" s="103"/>
      <c r="X10" s="103"/>
    </row>
    <row r="11" spans="1:28" ht="12" customHeight="1" x14ac:dyDescent="0.3">
      <c r="A11" s="58">
        <v>3</v>
      </c>
      <c r="B11" s="59" t="str">
        <f>'C. FILIACION'!B10</f>
        <v>CANO GUZMAN FABRIZIO RODRIGO</v>
      </c>
      <c r="C11" s="48">
        <f>'VAL 1 TRIM '!C11</f>
        <v>10</v>
      </c>
      <c r="D11" s="48">
        <f>'VAL 1 TRIM '!O11</f>
        <v>13</v>
      </c>
      <c r="E11" s="48">
        <f>'VAL 1 TRIM '!AB11</f>
        <v>18</v>
      </c>
      <c r="F11" s="48">
        <f>'VAL 1 TRIM '!AE11</f>
        <v>10</v>
      </c>
      <c r="G11" s="48">
        <f>'VAL 1 TRIM '!AE11</f>
        <v>10</v>
      </c>
      <c r="H11" s="100">
        <f>'VAL 1 TRIM '!AG11</f>
        <v>61</v>
      </c>
      <c r="I11" s="31">
        <f>'VAL 2 TRIM'!C11</f>
        <v>10</v>
      </c>
      <c r="J11" s="31" t="str">
        <f>'VAL 2 TRIM'!O11</f>
        <v/>
      </c>
      <c r="K11" s="31" t="str">
        <f>'VAL 2 TRIM'!AB11</f>
        <v/>
      </c>
      <c r="L11" s="31">
        <f>'VAL 2 TRIM'!AA11</f>
        <v>10</v>
      </c>
      <c r="M11" s="31">
        <f>'VAL 2 TRIM'!AE11</f>
        <v>10</v>
      </c>
      <c r="N11" s="100">
        <f>'VAL 2 TRIM'!AG11</f>
        <v>30</v>
      </c>
      <c r="O11" s="31">
        <f>'VAL 3 TRIM'!C11</f>
        <v>10</v>
      </c>
      <c r="P11" s="31">
        <f>'VAL 3 TRIM'!O11</f>
        <v>35</v>
      </c>
      <c r="Q11" s="31">
        <f>'VAL 3 TRIM'!AB11</f>
        <v>35</v>
      </c>
      <c r="R11" s="31">
        <f>'VAL 3 TRIM'!AA11</f>
        <v>10</v>
      </c>
      <c r="S11" s="48">
        <f>'VAL 3 TRIM'!AE11</f>
        <v>10</v>
      </c>
      <c r="T11" s="100">
        <f>'VAL 3 TRIM'!AG11</f>
        <v>100</v>
      </c>
      <c r="U11" s="101">
        <f t="shared" si="0"/>
        <v>63.666666666666664</v>
      </c>
      <c r="V11" s="102" t="str">
        <f t="shared" si="1"/>
        <v>APROBADO</v>
      </c>
      <c r="W11" s="103"/>
      <c r="X11" s="103"/>
    </row>
    <row r="12" spans="1:28" ht="12" customHeight="1" x14ac:dyDescent="0.3">
      <c r="A12" s="58">
        <v>4</v>
      </c>
      <c r="B12" s="59" t="str">
        <f>'C. FILIACION'!B11</f>
        <v>CHOQUE LAURA CARLOS EDUARDO</v>
      </c>
      <c r="C12" s="48">
        <f>'VAL 1 TRIM '!C12</f>
        <v>10</v>
      </c>
      <c r="D12" s="48">
        <f>'VAL 1 TRIM '!O12</f>
        <v>30</v>
      </c>
      <c r="E12" s="48">
        <f>'VAL 1 TRIM '!AB12</f>
        <v>30</v>
      </c>
      <c r="F12" s="48">
        <f>'VAL 1 TRIM '!AE12</f>
        <v>10</v>
      </c>
      <c r="G12" s="48">
        <f>'VAL 1 TRIM '!AE12</f>
        <v>10</v>
      </c>
      <c r="H12" s="100">
        <f>'VAL 1 TRIM '!AG12</f>
        <v>90</v>
      </c>
      <c r="I12" s="31">
        <f>'VAL 2 TRIM'!C12</f>
        <v>10</v>
      </c>
      <c r="J12" s="31" t="str">
        <f>'VAL 2 TRIM'!O12</f>
        <v/>
      </c>
      <c r="K12" s="31" t="str">
        <f>'VAL 2 TRIM'!AB12</f>
        <v/>
      </c>
      <c r="L12" s="31">
        <f>'VAL 2 TRIM'!AA12</f>
        <v>10</v>
      </c>
      <c r="M12" s="31">
        <f>'VAL 2 TRIM'!AE12</f>
        <v>10</v>
      </c>
      <c r="N12" s="100">
        <f>'VAL 2 TRIM'!AG12</f>
        <v>30</v>
      </c>
      <c r="O12" s="31">
        <f>'VAL 3 TRIM'!C12</f>
        <v>10</v>
      </c>
      <c r="P12" s="31">
        <f>'VAL 3 TRIM'!O12</f>
        <v>35</v>
      </c>
      <c r="Q12" s="31">
        <f>'VAL 3 TRIM'!AB12</f>
        <v>35</v>
      </c>
      <c r="R12" s="31">
        <f>'VAL 3 TRIM'!AA12</f>
        <v>10</v>
      </c>
      <c r="S12" s="48">
        <f>'VAL 3 TRIM'!AE12</f>
        <v>10</v>
      </c>
      <c r="T12" s="100">
        <f>'VAL 3 TRIM'!AG12</f>
        <v>100</v>
      </c>
      <c r="U12" s="101">
        <f t="shared" si="0"/>
        <v>73.333333333333329</v>
      </c>
      <c r="V12" s="102" t="str">
        <f t="shared" si="1"/>
        <v>APROBADO</v>
      </c>
      <c r="W12" s="103"/>
      <c r="X12" s="103"/>
    </row>
    <row r="13" spans="1:28" ht="12" customHeight="1" x14ac:dyDescent="0.3">
      <c r="A13" s="58">
        <v>5</v>
      </c>
      <c r="B13" s="59" t="str">
        <f>'C. FILIACION'!B12</f>
        <v>CONDORI GALARZA DENSEL ALEXSIS</v>
      </c>
      <c r="C13" s="48">
        <f>'VAL 1 TRIM '!C13</f>
        <v>10</v>
      </c>
      <c r="D13" s="48">
        <f>'VAL 1 TRIM '!O13</f>
        <v>30</v>
      </c>
      <c r="E13" s="48">
        <f>'VAL 1 TRIM '!AB13</f>
        <v>30</v>
      </c>
      <c r="F13" s="48">
        <f>'VAL 1 TRIM '!AE13</f>
        <v>10</v>
      </c>
      <c r="G13" s="48">
        <f>'VAL 1 TRIM '!AE13</f>
        <v>10</v>
      </c>
      <c r="H13" s="100">
        <f>'VAL 1 TRIM '!AG13</f>
        <v>90</v>
      </c>
      <c r="I13" s="31">
        <f>'VAL 2 TRIM'!C13</f>
        <v>10</v>
      </c>
      <c r="J13" s="31">
        <f>'VAL 2 TRIM'!O13</f>
        <v>35</v>
      </c>
      <c r="K13" s="31">
        <f>'VAL 2 TRIM'!AB13</f>
        <v>35</v>
      </c>
      <c r="L13" s="31">
        <f>'VAL 2 TRIM'!AA13</f>
        <v>10</v>
      </c>
      <c r="M13" s="31">
        <f>'VAL 2 TRIM'!AE13</f>
        <v>10</v>
      </c>
      <c r="N13" s="100">
        <f>'VAL 2 TRIM'!AG13</f>
        <v>100</v>
      </c>
      <c r="O13" s="31">
        <f>'VAL 3 TRIM'!C13</f>
        <v>10</v>
      </c>
      <c r="P13" s="31">
        <f>'VAL 3 TRIM'!O13</f>
        <v>35</v>
      </c>
      <c r="Q13" s="31">
        <f>'VAL 3 TRIM'!AB13</f>
        <v>35</v>
      </c>
      <c r="R13" s="31">
        <f>'VAL 3 TRIM'!AA13</f>
        <v>10</v>
      </c>
      <c r="S13" s="48">
        <f>'VAL 3 TRIM'!AE13</f>
        <v>10</v>
      </c>
      <c r="T13" s="100">
        <f>'VAL 3 TRIM'!AG13</f>
        <v>100</v>
      </c>
      <c r="U13" s="101">
        <f t="shared" si="0"/>
        <v>96.666666666666671</v>
      </c>
      <c r="V13" s="102" t="str">
        <f t="shared" si="1"/>
        <v>APROBADO</v>
      </c>
      <c r="W13" s="103"/>
      <c r="X13" s="103"/>
    </row>
    <row r="14" spans="1:28" ht="12" customHeight="1" x14ac:dyDescent="0.3">
      <c r="A14" s="58">
        <v>6</v>
      </c>
      <c r="B14" s="59" t="str">
        <f>'C. FILIACION'!B13</f>
        <v>DAZA RAMIREZ KALEP MATEO</v>
      </c>
      <c r="C14" s="48">
        <f>'VAL 1 TRIM '!C14</f>
        <v>10</v>
      </c>
      <c r="D14" s="48">
        <f>'VAL 1 TRIM '!O14</f>
        <v>22</v>
      </c>
      <c r="E14" s="48">
        <f>'VAL 1 TRIM '!AB14</f>
        <v>18</v>
      </c>
      <c r="F14" s="48">
        <f>'VAL 1 TRIM '!AE14</f>
        <v>10</v>
      </c>
      <c r="G14" s="48">
        <f>'VAL 1 TRIM '!AE14</f>
        <v>10</v>
      </c>
      <c r="H14" s="100">
        <f>'VAL 1 TRIM '!AG14</f>
        <v>70</v>
      </c>
      <c r="I14" s="31">
        <f>'VAL 2 TRIM'!C14</f>
        <v>10</v>
      </c>
      <c r="J14" s="31" t="str">
        <f>'VAL 2 TRIM'!O14</f>
        <v/>
      </c>
      <c r="K14" s="31" t="str">
        <f>'VAL 2 TRIM'!AB14</f>
        <v/>
      </c>
      <c r="L14" s="31">
        <f>'VAL 2 TRIM'!AA14</f>
        <v>10</v>
      </c>
      <c r="M14" s="31">
        <f>'VAL 2 TRIM'!AE14</f>
        <v>10</v>
      </c>
      <c r="N14" s="100">
        <f>'VAL 2 TRIM'!AG14</f>
        <v>30</v>
      </c>
      <c r="O14" s="31">
        <f>'VAL 3 TRIM'!C14</f>
        <v>10</v>
      </c>
      <c r="P14" s="31">
        <f>'VAL 3 TRIM'!O14</f>
        <v>35</v>
      </c>
      <c r="Q14" s="31">
        <f>'VAL 3 TRIM'!AB14</f>
        <v>35</v>
      </c>
      <c r="R14" s="31">
        <f>'VAL 3 TRIM'!AA14</f>
        <v>10</v>
      </c>
      <c r="S14" s="48">
        <f>'VAL 3 TRIM'!AE14</f>
        <v>10</v>
      </c>
      <c r="T14" s="100">
        <f>'VAL 3 TRIM'!AG14</f>
        <v>100</v>
      </c>
      <c r="U14" s="101">
        <f t="shared" si="0"/>
        <v>66.666666666666671</v>
      </c>
      <c r="V14" s="102" t="str">
        <f t="shared" si="1"/>
        <v>APROBADO</v>
      </c>
      <c r="W14" s="103"/>
      <c r="X14" s="103"/>
    </row>
    <row r="15" spans="1:28" ht="12" customHeight="1" x14ac:dyDescent="0.3">
      <c r="A15" s="58">
        <v>7</v>
      </c>
      <c r="B15" s="59" t="str">
        <f>'C. FILIACION'!B14</f>
        <v>ESTRADA FUNES NAZARETH</v>
      </c>
      <c r="C15" s="48">
        <f>'VAL 1 TRIM '!C15</f>
        <v>10</v>
      </c>
      <c r="D15" s="48">
        <f>'VAL 1 TRIM '!O15</f>
        <v>30</v>
      </c>
      <c r="E15" s="48">
        <f>'VAL 1 TRIM '!AB15</f>
        <v>30</v>
      </c>
      <c r="F15" s="48">
        <f>'VAL 1 TRIM '!AE15</f>
        <v>10</v>
      </c>
      <c r="G15" s="48">
        <f>'VAL 1 TRIM '!AE15</f>
        <v>10</v>
      </c>
      <c r="H15" s="100">
        <f>'VAL 1 TRIM '!AG15</f>
        <v>90</v>
      </c>
      <c r="I15" s="31">
        <f>'VAL 2 TRIM'!C15</f>
        <v>10</v>
      </c>
      <c r="J15" s="31">
        <f>'VAL 2 TRIM'!O15</f>
        <v>23</v>
      </c>
      <c r="K15" s="31">
        <f>'VAL 2 TRIM'!AB15</f>
        <v>27</v>
      </c>
      <c r="L15" s="31">
        <f>'VAL 2 TRIM'!AA15</f>
        <v>10</v>
      </c>
      <c r="M15" s="31">
        <f>'VAL 2 TRIM'!AE15</f>
        <v>10</v>
      </c>
      <c r="N15" s="100">
        <f>'VAL 2 TRIM'!AG15</f>
        <v>80</v>
      </c>
      <c r="O15" s="31">
        <f>'VAL 3 TRIM'!C15</f>
        <v>10</v>
      </c>
      <c r="P15" s="31">
        <f>'VAL 3 TRIM'!O15</f>
        <v>35</v>
      </c>
      <c r="Q15" s="31">
        <f>'VAL 3 TRIM'!AB15</f>
        <v>35</v>
      </c>
      <c r="R15" s="31">
        <f>'VAL 3 TRIM'!AA15</f>
        <v>10</v>
      </c>
      <c r="S15" s="48">
        <f>'VAL 3 TRIM'!AE15</f>
        <v>10</v>
      </c>
      <c r="T15" s="100">
        <f>'VAL 3 TRIM'!AG15</f>
        <v>100</v>
      </c>
      <c r="U15" s="101">
        <f t="shared" si="0"/>
        <v>90</v>
      </c>
      <c r="V15" s="102" t="str">
        <f t="shared" si="1"/>
        <v>APROBADO</v>
      </c>
      <c r="W15" s="103"/>
      <c r="X15" s="103"/>
    </row>
    <row r="16" spans="1:28" ht="12" customHeight="1" x14ac:dyDescent="0.3">
      <c r="A16" s="58">
        <v>8</v>
      </c>
      <c r="B16" s="59" t="str">
        <f>'C. FILIACION'!B15</f>
        <v>FLORES VILLEGAS CARLOS IVAN</v>
      </c>
      <c r="C16" s="48">
        <f>'VAL 1 TRIM '!C16</f>
        <v>10</v>
      </c>
      <c r="D16" s="48">
        <f>'VAL 1 TRIM '!O16</f>
        <v>30</v>
      </c>
      <c r="E16" s="48">
        <f>'VAL 1 TRIM '!AB16</f>
        <v>30</v>
      </c>
      <c r="F16" s="48">
        <f>'VAL 1 TRIM '!AE16</f>
        <v>10</v>
      </c>
      <c r="G16" s="48">
        <f>'VAL 1 TRIM '!AE16</f>
        <v>10</v>
      </c>
      <c r="H16" s="100">
        <f>'VAL 1 TRIM '!AG16</f>
        <v>90</v>
      </c>
      <c r="I16" s="31">
        <f>'VAL 2 TRIM'!C16</f>
        <v>10</v>
      </c>
      <c r="J16" s="31" t="str">
        <f>'VAL 2 TRIM'!O16</f>
        <v/>
      </c>
      <c r="K16" s="31" t="str">
        <f>'VAL 2 TRIM'!AB16</f>
        <v/>
      </c>
      <c r="L16" s="31">
        <f>'VAL 2 TRIM'!AA16</f>
        <v>10</v>
      </c>
      <c r="M16" s="31">
        <f>'VAL 2 TRIM'!AE16</f>
        <v>10</v>
      </c>
      <c r="N16" s="100">
        <f>'VAL 2 TRIM'!AG16</f>
        <v>30</v>
      </c>
      <c r="O16" s="31">
        <f>'VAL 3 TRIM'!C16</f>
        <v>10</v>
      </c>
      <c r="P16" s="31">
        <f>'VAL 3 TRIM'!O16</f>
        <v>35</v>
      </c>
      <c r="Q16" s="31">
        <f>'VAL 3 TRIM'!AB16</f>
        <v>35</v>
      </c>
      <c r="R16" s="31">
        <f>'VAL 3 TRIM'!AA16</f>
        <v>10</v>
      </c>
      <c r="S16" s="48">
        <f>'VAL 3 TRIM'!AE16</f>
        <v>10</v>
      </c>
      <c r="T16" s="100">
        <f>'VAL 3 TRIM'!AG16</f>
        <v>100</v>
      </c>
      <c r="U16" s="101">
        <f t="shared" si="0"/>
        <v>73.333333333333329</v>
      </c>
      <c r="V16" s="102" t="str">
        <f t="shared" si="1"/>
        <v>APROBADO</v>
      </c>
      <c r="W16" s="103"/>
      <c r="X16" s="103"/>
    </row>
    <row r="17" spans="1:24" ht="12" customHeight="1" x14ac:dyDescent="0.3">
      <c r="A17" s="58">
        <v>9</v>
      </c>
      <c r="B17" s="59" t="str">
        <f>'C. FILIACION'!B16</f>
        <v>FRANCISCO RUIZ LUCERO</v>
      </c>
      <c r="C17" s="48">
        <f>'VAL 1 TRIM '!C17</f>
        <v>10</v>
      </c>
      <c r="D17" s="48">
        <f>'VAL 1 TRIM '!O17</f>
        <v>30</v>
      </c>
      <c r="E17" s="48">
        <f>'VAL 1 TRIM '!AB17</f>
        <v>30</v>
      </c>
      <c r="F17" s="48">
        <f>'VAL 1 TRIM '!AE17</f>
        <v>10</v>
      </c>
      <c r="G17" s="48">
        <f>'VAL 1 TRIM '!AE17</f>
        <v>10</v>
      </c>
      <c r="H17" s="100">
        <f>'VAL 1 TRIM '!AG17</f>
        <v>90</v>
      </c>
      <c r="I17" s="31">
        <f>'VAL 2 TRIM'!C17</f>
        <v>10</v>
      </c>
      <c r="J17" s="31">
        <f>'VAL 2 TRIM'!O17</f>
        <v>27</v>
      </c>
      <c r="K17" s="31">
        <f>'VAL 2 TRIM'!AB17</f>
        <v>35</v>
      </c>
      <c r="L17" s="31">
        <f>'VAL 2 TRIM'!AA17</f>
        <v>10</v>
      </c>
      <c r="M17" s="31">
        <f>'VAL 2 TRIM'!AE17</f>
        <v>10</v>
      </c>
      <c r="N17" s="100">
        <f>'VAL 2 TRIM'!AG17</f>
        <v>92</v>
      </c>
      <c r="O17" s="31">
        <f>'VAL 3 TRIM'!C17</f>
        <v>10</v>
      </c>
      <c r="P17" s="31">
        <f>'VAL 3 TRIM'!O17</f>
        <v>35</v>
      </c>
      <c r="Q17" s="31">
        <f>'VAL 3 TRIM'!AB17</f>
        <v>35</v>
      </c>
      <c r="R17" s="31">
        <f>'VAL 3 TRIM'!AA17</f>
        <v>10</v>
      </c>
      <c r="S17" s="48">
        <f>'VAL 3 TRIM'!AE17</f>
        <v>10</v>
      </c>
      <c r="T17" s="100">
        <f>'VAL 3 TRIM'!AG17</f>
        <v>100</v>
      </c>
      <c r="U17" s="101">
        <f t="shared" si="0"/>
        <v>94</v>
      </c>
      <c r="V17" s="102" t="str">
        <f t="shared" si="1"/>
        <v>APROBADO</v>
      </c>
      <c r="W17" s="103"/>
      <c r="X17" s="103"/>
    </row>
    <row r="18" spans="1:24" ht="12" customHeight="1" x14ac:dyDescent="0.3">
      <c r="A18" s="58">
        <v>10</v>
      </c>
      <c r="B18" s="59" t="str">
        <f>'C. FILIACION'!B17</f>
        <v>IBARRA VINO ELOY INTI</v>
      </c>
      <c r="C18" s="48">
        <f>'VAL 1 TRIM '!C18</f>
        <v>10</v>
      </c>
      <c r="D18" s="48">
        <f>'VAL 1 TRIM '!O18</f>
        <v>30</v>
      </c>
      <c r="E18" s="48">
        <f>'VAL 1 TRIM '!AB18</f>
        <v>30</v>
      </c>
      <c r="F18" s="48">
        <f>'VAL 1 TRIM '!AE18</f>
        <v>10</v>
      </c>
      <c r="G18" s="48">
        <f>'VAL 1 TRIM '!AE18</f>
        <v>10</v>
      </c>
      <c r="H18" s="100">
        <f>'VAL 1 TRIM '!AG18</f>
        <v>90</v>
      </c>
      <c r="I18" s="31">
        <f>'VAL 2 TRIM'!C18</f>
        <v>10</v>
      </c>
      <c r="J18" s="31">
        <f>'VAL 2 TRIM'!O18</f>
        <v>30</v>
      </c>
      <c r="K18" s="31">
        <f>'VAL 2 TRIM'!AB18</f>
        <v>23</v>
      </c>
      <c r="L18" s="31">
        <f>'VAL 2 TRIM'!AA18</f>
        <v>10</v>
      </c>
      <c r="M18" s="31">
        <f>'VAL 2 TRIM'!AE18</f>
        <v>10</v>
      </c>
      <c r="N18" s="100">
        <f>'VAL 2 TRIM'!AG18</f>
        <v>83</v>
      </c>
      <c r="O18" s="31">
        <f>'VAL 3 TRIM'!C18</f>
        <v>10</v>
      </c>
      <c r="P18" s="31">
        <f>'VAL 3 TRIM'!O18</f>
        <v>35</v>
      </c>
      <c r="Q18" s="31">
        <f>'VAL 3 TRIM'!AB18</f>
        <v>35</v>
      </c>
      <c r="R18" s="31">
        <f>'VAL 3 TRIM'!AA18</f>
        <v>10</v>
      </c>
      <c r="S18" s="48">
        <f>'VAL 3 TRIM'!AE18</f>
        <v>10</v>
      </c>
      <c r="T18" s="100">
        <f>'VAL 3 TRIM'!AG18</f>
        <v>100</v>
      </c>
      <c r="U18" s="101">
        <f t="shared" si="0"/>
        <v>91</v>
      </c>
      <c r="V18" s="102" t="str">
        <f t="shared" si="1"/>
        <v>APROBADO</v>
      </c>
      <c r="W18" s="103"/>
      <c r="X18" s="103"/>
    </row>
    <row r="19" spans="1:24" ht="12" customHeight="1" x14ac:dyDescent="0.3">
      <c r="A19" s="58">
        <v>11</v>
      </c>
      <c r="B19" s="59" t="str">
        <f>'C. FILIACION'!B18</f>
        <v>LOPEZ BLANCO SOFIA FELEN</v>
      </c>
      <c r="C19" s="48">
        <f>'VAL 1 TRIM '!C19</f>
        <v>10</v>
      </c>
      <c r="D19" s="48">
        <f>'VAL 1 TRIM '!O19</f>
        <v>30</v>
      </c>
      <c r="E19" s="48">
        <f>'VAL 1 TRIM '!AB19</f>
        <v>30</v>
      </c>
      <c r="F19" s="48">
        <f>'VAL 1 TRIM '!AE19</f>
        <v>10</v>
      </c>
      <c r="G19" s="48">
        <f>'VAL 1 TRIM '!AE19</f>
        <v>10</v>
      </c>
      <c r="H19" s="100">
        <f>'VAL 1 TRIM '!AG19</f>
        <v>90</v>
      </c>
      <c r="I19" s="31">
        <f>'VAL 2 TRIM'!C19</f>
        <v>10</v>
      </c>
      <c r="J19" s="31">
        <f>'VAL 2 TRIM'!O19</f>
        <v>29</v>
      </c>
      <c r="K19" s="31" t="str">
        <f>'VAL 2 TRIM'!AB19</f>
        <v/>
      </c>
      <c r="L19" s="31">
        <f>'VAL 2 TRIM'!AA19</f>
        <v>10</v>
      </c>
      <c r="M19" s="31">
        <f>'VAL 2 TRIM'!AE19</f>
        <v>10</v>
      </c>
      <c r="N19" s="100">
        <f>'VAL 2 TRIM'!AG19</f>
        <v>59</v>
      </c>
      <c r="O19" s="31">
        <f>'VAL 3 TRIM'!C19</f>
        <v>10</v>
      </c>
      <c r="P19" s="31">
        <f>'VAL 3 TRIM'!O19</f>
        <v>35</v>
      </c>
      <c r="Q19" s="31">
        <f>'VAL 3 TRIM'!AB19</f>
        <v>35</v>
      </c>
      <c r="R19" s="31">
        <f>'VAL 3 TRIM'!AA19</f>
        <v>10</v>
      </c>
      <c r="S19" s="48">
        <f>'VAL 3 TRIM'!AE19</f>
        <v>10</v>
      </c>
      <c r="T19" s="100">
        <f>'VAL 3 TRIM'!AG19</f>
        <v>100</v>
      </c>
      <c r="U19" s="101">
        <f t="shared" si="0"/>
        <v>83</v>
      </c>
      <c r="V19" s="102" t="str">
        <f t="shared" si="1"/>
        <v>APROBADO</v>
      </c>
      <c r="W19" s="103"/>
      <c r="X19" s="103"/>
    </row>
    <row r="20" spans="1:24" ht="12" customHeight="1" x14ac:dyDescent="0.3">
      <c r="A20" s="58">
        <v>12</v>
      </c>
      <c r="B20" s="59" t="str">
        <f>'C. FILIACION'!B19</f>
        <v>LOPEZ PACO RODRIGO ADRIAN</v>
      </c>
      <c r="C20" s="48">
        <f>'VAL 1 TRIM '!C20</f>
        <v>10</v>
      </c>
      <c r="D20" s="48">
        <f>'VAL 1 TRIM '!O20</f>
        <v>13</v>
      </c>
      <c r="E20" s="48">
        <f>'VAL 1 TRIM '!AB20</f>
        <v>18</v>
      </c>
      <c r="F20" s="48">
        <f>'VAL 1 TRIM '!AE20</f>
        <v>10</v>
      </c>
      <c r="G20" s="48">
        <f>'VAL 1 TRIM '!AE20</f>
        <v>10</v>
      </c>
      <c r="H20" s="100">
        <f>'VAL 1 TRIM '!AG20</f>
        <v>61</v>
      </c>
      <c r="I20" s="31">
        <f>'VAL 2 TRIM'!C20</f>
        <v>10</v>
      </c>
      <c r="J20" s="31" t="str">
        <f>'VAL 2 TRIM'!O20</f>
        <v/>
      </c>
      <c r="K20" s="31" t="str">
        <f>'VAL 2 TRIM'!AB20</f>
        <v/>
      </c>
      <c r="L20" s="31">
        <f>'VAL 2 TRIM'!AA20</f>
        <v>10</v>
      </c>
      <c r="M20" s="31">
        <f>'VAL 2 TRIM'!AE20</f>
        <v>10</v>
      </c>
      <c r="N20" s="100">
        <f>'VAL 2 TRIM'!AG20</f>
        <v>30</v>
      </c>
      <c r="O20" s="31">
        <f>'VAL 3 TRIM'!C20</f>
        <v>10</v>
      </c>
      <c r="P20" s="31">
        <f>'VAL 3 TRIM'!O20</f>
        <v>35</v>
      </c>
      <c r="Q20" s="31">
        <f>'VAL 3 TRIM'!AB20</f>
        <v>35</v>
      </c>
      <c r="R20" s="31">
        <f>'VAL 3 TRIM'!AA20</f>
        <v>10</v>
      </c>
      <c r="S20" s="48">
        <f>'VAL 3 TRIM'!AE20</f>
        <v>10</v>
      </c>
      <c r="T20" s="100">
        <f>'VAL 3 TRIM'!AG20</f>
        <v>100</v>
      </c>
      <c r="U20" s="101">
        <f t="shared" si="0"/>
        <v>63.666666666666664</v>
      </c>
      <c r="V20" s="102" t="str">
        <f t="shared" si="1"/>
        <v>APROBADO</v>
      </c>
      <c r="W20" s="103"/>
      <c r="X20" s="103"/>
    </row>
    <row r="21" spans="1:24" ht="12" customHeight="1" x14ac:dyDescent="0.3">
      <c r="A21" s="58">
        <v>13</v>
      </c>
      <c r="B21" s="59" t="str">
        <f>'C. FILIACION'!B20</f>
        <v>LOPEZ VERA MILENCA</v>
      </c>
      <c r="C21" s="48">
        <f>'VAL 1 TRIM '!C21</f>
        <v>10</v>
      </c>
      <c r="D21" s="48">
        <f>'VAL 1 TRIM '!O21</f>
        <v>30</v>
      </c>
      <c r="E21" s="48">
        <f>'VAL 1 TRIM '!AB21</f>
        <v>30</v>
      </c>
      <c r="F21" s="48">
        <f>'VAL 1 TRIM '!AE21</f>
        <v>10</v>
      </c>
      <c r="G21" s="48">
        <f>'VAL 1 TRIM '!AE21</f>
        <v>10</v>
      </c>
      <c r="H21" s="100">
        <f>'VAL 1 TRIM '!AG21</f>
        <v>90</v>
      </c>
      <c r="I21" s="31">
        <f>'VAL 2 TRIM'!C21</f>
        <v>10</v>
      </c>
      <c r="J21" s="31">
        <f>'VAL 2 TRIM'!O21</f>
        <v>28</v>
      </c>
      <c r="K21" s="31">
        <f>'VAL 2 TRIM'!AB21</f>
        <v>35</v>
      </c>
      <c r="L21" s="31">
        <f>'VAL 2 TRIM'!AA21</f>
        <v>10</v>
      </c>
      <c r="M21" s="31">
        <f>'VAL 2 TRIM'!AE21</f>
        <v>10</v>
      </c>
      <c r="N21" s="100">
        <f>'VAL 2 TRIM'!AG21</f>
        <v>93</v>
      </c>
      <c r="O21" s="31">
        <f>'VAL 3 TRIM'!C21</f>
        <v>10</v>
      </c>
      <c r="P21" s="31">
        <f>'VAL 3 TRIM'!O21</f>
        <v>35</v>
      </c>
      <c r="Q21" s="31">
        <f>'VAL 3 TRIM'!AB21</f>
        <v>35</v>
      </c>
      <c r="R21" s="31">
        <f>'VAL 3 TRIM'!AA21</f>
        <v>10</v>
      </c>
      <c r="S21" s="48">
        <f>'VAL 3 TRIM'!AE21</f>
        <v>10</v>
      </c>
      <c r="T21" s="100">
        <f>'VAL 3 TRIM'!AG21</f>
        <v>100</v>
      </c>
      <c r="U21" s="101">
        <f t="shared" si="0"/>
        <v>94.333333333333329</v>
      </c>
      <c r="V21" s="102" t="str">
        <f t="shared" si="1"/>
        <v>APROBADO</v>
      </c>
      <c r="W21" s="103"/>
      <c r="X21" s="103"/>
    </row>
    <row r="22" spans="1:24" ht="12" customHeight="1" x14ac:dyDescent="0.3">
      <c r="A22" s="58">
        <v>14</v>
      </c>
      <c r="B22" s="59" t="str">
        <f>'C. FILIACION'!B21</f>
        <v>MEDINA CHOQUE JOSE ROBERTO</v>
      </c>
      <c r="C22" s="48">
        <f>'VAL 1 TRIM '!C22</f>
        <v>10</v>
      </c>
      <c r="D22" s="48">
        <f>'VAL 1 TRIM '!O22</f>
        <v>30</v>
      </c>
      <c r="E22" s="48">
        <f>'VAL 1 TRIM '!AB22</f>
        <v>30</v>
      </c>
      <c r="F22" s="48">
        <f>'VAL 1 TRIM '!AE22</f>
        <v>10</v>
      </c>
      <c r="G22" s="48">
        <f>'VAL 1 TRIM '!AE22</f>
        <v>10</v>
      </c>
      <c r="H22" s="100">
        <f>'VAL 1 TRIM '!AG22</f>
        <v>90</v>
      </c>
      <c r="I22" s="31">
        <f>'VAL 2 TRIM'!C22</f>
        <v>10</v>
      </c>
      <c r="J22" s="31">
        <f>'VAL 2 TRIM'!O22</f>
        <v>23</v>
      </c>
      <c r="K22" s="31" t="str">
        <f>'VAL 2 TRIM'!AB22</f>
        <v/>
      </c>
      <c r="L22" s="31">
        <f>'VAL 2 TRIM'!AA22</f>
        <v>10</v>
      </c>
      <c r="M22" s="31">
        <f>'VAL 2 TRIM'!AE22</f>
        <v>10</v>
      </c>
      <c r="N22" s="100">
        <f>'VAL 2 TRIM'!AG22</f>
        <v>53</v>
      </c>
      <c r="O22" s="31">
        <f>'VAL 3 TRIM'!C22</f>
        <v>10</v>
      </c>
      <c r="P22" s="31">
        <f>'VAL 3 TRIM'!O22</f>
        <v>35</v>
      </c>
      <c r="Q22" s="31">
        <f>'VAL 3 TRIM'!AB22</f>
        <v>35</v>
      </c>
      <c r="R22" s="31">
        <f>'VAL 3 TRIM'!AA22</f>
        <v>10</v>
      </c>
      <c r="S22" s="48">
        <f>'VAL 3 TRIM'!AE22</f>
        <v>10</v>
      </c>
      <c r="T22" s="100">
        <f>'VAL 3 TRIM'!AG22</f>
        <v>100</v>
      </c>
      <c r="U22" s="101">
        <f t="shared" si="0"/>
        <v>81</v>
      </c>
      <c r="V22" s="102" t="str">
        <f t="shared" si="1"/>
        <v>APROBADO</v>
      </c>
      <c r="W22" s="103"/>
      <c r="X22" s="103"/>
    </row>
    <row r="23" spans="1:24" ht="12" customHeight="1" x14ac:dyDescent="0.3">
      <c r="A23" s="58">
        <v>15</v>
      </c>
      <c r="B23" s="59" t="str">
        <f>'C. FILIACION'!B22</f>
        <v>MIRABAL AYANOME JOSE ALFREDO</v>
      </c>
      <c r="C23" s="48">
        <f>'VAL 1 TRIM '!C23</f>
        <v>10</v>
      </c>
      <c r="D23" s="48">
        <f>'VAL 1 TRIM '!O23</f>
        <v>22</v>
      </c>
      <c r="E23" s="48">
        <f>'VAL 1 TRIM '!AB23</f>
        <v>18</v>
      </c>
      <c r="F23" s="48">
        <f>'VAL 1 TRIM '!AE23</f>
        <v>10</v>
      </c>
      <c r="G23" s="48">
        <f>'VAL 1 TRIM '!AE23</f>
        <v>10</v>
      </c>
      <c r="H23" s="100">
        <f>'VAL 1 TRIM '!AG23</f>
        <v>70</v>
      </c>
      <c r="I23" s="31">
        <f>'VAL 2 TRIM'!C23</f>
        <v>10</v>
      </c>
      <c r="J23" s="31" t="str">
        <f>'VAL 2 TRIM'!O23</f>
        <v/>
      </c>
      <c r="K23" s="31" t="str">
        <f>'VAL 2 TRIM'!AB23</f>
        <v/>
      </c>
      <c r="L23" s="31">
        <f>'VAL 2 TRIM'!AA23</f>
        <v>10</v>
      </c>
      <c r="M23" s="31">
        <f>'VAL 2 TRIM'!AE23</f>
        <v>10</v>
      </c>
      <c r="N23" s="100">
        <f>'VAL 2 TRIM'!AG23</f>
        <v>30</v>
      </c>
      <c r="O23" s="31">
        <f>'VAL 3 TRIM'!C23</f>
        <v>10</v>
      </c>
      <c r="P23" s="31">
        <f>'VAL 3 TRIM'!O23</f>
        <v>35</v>
      </c>
      <c r="Q23" s="31">
        <f>'VAL 3 TRIM'!AB23</f>
        <v>35</v>
      </c>
      <c r="R23" s="31">
        <f>'VAL 3 TRIM'!AA23</f>
        <v>10</v>
      </c>
      <c r="S23" s="48">
        <f>'VAL 3 TRIM'!AE23</f>
        <v>10</v>
      </c>
      <c r="T23" s="100">
        <f>'VAL 3 TRIM'!AG23</f>
        <v>100</v>
      </c>
      <c r="U23" s="101">
        <f t="shared" si="0"/>
        <v>66.666666666666671</v>
      </c>
      <c r="V23" s="102" t="str">
        <f t="shared" si="1"/>
        <v>APROBADO</v>
      </c>
      <c r="W23" s="103"/>
      <c r="X23" s="103"/>
    </row>
    <row r="24" spans="1:24" ht="12" customHeight="1" x14ac:dyDescent="0.3">
      <c r="A24" s="58">
        <v>16</v>
      </c>
      <c r="B24" s="59" t="str">
        <f>'C. FILIACION'!B23</f>
        <v>NINA RUEDA ESTEFANY DANIELA</v>
      </c>
      <c r="C24" s="48">
        <f>'VAL 1 TRIM '!C24</f>
        <v>10</v>
      </c>
      <c r="D24" s="48">
        <f>'VAL 1 TRIM '!O24</f>
        <v>30</v>
      </c>
      <c r="E24" s="48">
        <f>'VAL 1 TRIM '!AB24</f>
        <v>30</v>
      </c>
      <c r="F24" s="48">
        <f>'VAL 1 TRIM '!AE24</f>
        <v>10</v>
      </c>
      <c r="G24" s="48">
        <f>'VAL 1 TRIM '!AE24</f>
        <v>10</v>
      </c>
      <c r="H24" s="100">
        <f>'VAL 1 TRIM '!AG24</f>
        <v>90</v>
      </c>
      <c r="I24" s="31">
        <f>'VAL 2 TRIM'!C24</f>
        <v>10</v>
      </c>
      <c r="J24" s="31">
        <f>'VAL 2 TRIM'!O24</f>
        <v>25</v>
      </c>
      <c r="K24" s="31" t="str">
        <f>'VAL 2 TRIM'!AB24</f>
        <v/>
      </c>
      <c r="L24" s="31">
        <f>'VAL 2 TRIM'!AA24</f>
        <v>10</v>
      </c>
      <c r="M24" s="31">
        <f>'VAL 2 TRIM'!AE24</f>
        <v>10</v>
      </c>
      <c r="N24" s="100">
        <f>'VAL 2 TRIM'!AG24</f>
        <v>55</v>
      </c>
      <c r="O24" s="31">
        <f>'VAL 3 TRIM'!C24</f>
        <v>10</v>
      </c>
      <c r="P24" s="31">
        <f>'VAL 3 TRIM'!O24</f>
        <v>35</v>
      </c>
      <c r="Q24" s="31">
        <f>'VAL 3 TRIM'!AB24</f>
        <v>35</v>
      </c>
      <c r="R24" s="31">
        <f>'VAL 3 TRIM'!AA24</f>
        <v>10</v>
      </c>
      <c r="S24" s="48">
        <f>'VAL 3 TRIM'!AE24</f>
        <v>10</v>
      </c>
      <c r="T24" s="100">
        <f>'VAL 3 TRIM'!AG24</f>
        <v>100</v>
      </c>
      <c r="U24" s="101">
        <f t="shared" si="0"/>
        <v>81.666666666666671</v>
      </c>
      <c r="V24" s="102" t="str">
        <f t="shared" si="1"/>
        <v>APROBADO</v>
      </c>
      <c r="W24" s="103"/>
      <c r="X24" s="103"/>
    </row>
    <row r="25" spans="1:24" ht="12" customHeight="1" x14ac:dyDescent="0.3">
      <c r="A25" s="58">
        <v>17</v>
      </c>
      <c r="B25" s="59" t="str">
        <f>'C. FILIACION'!B24</f>
        <v>PORTILLO QUISPE JORGE LUIS</v>
      </c>
      <c r="C25" s="48">
        <f>'VAL 1 TRIM '!C25</f>
        <v>10</v>
      </c>
      <c r="D25" s="48">
        <f>'VAL 1 TRIM '!O25</f>
        <v>30</v>
      </c>
      <c r="E25" s="48">
        <f>'VAL 1 TRIM '!AB25</f>
        <v>30</v>
      </c>
      <c r="F25" s="48">
        <f>'VAL 1 TRIM '!AE25</f>
        <v>10</v>
      </c>
      <c r="G25" s="48">
        <f>'VAL 1 TRIM '!AE25</f>
        <v>10</v>
      </c>
      <c r="H25" s="100">
        <f>'VAL 1 TRIM '!AG25</f>
        <v>90</v>
      </c>
      <c r="I25" s="31">
        <f>'VAL 2 TRIM'!C25</f>
        <v>10</v>
      </c>
      <c r="J25" s="31">
        <f>'VAL 2 TRIM'!O25</f>
        <v>18</v>
      </c>
      <c r="K25" s="31" t="str">
        <f>'VAL 2 TRIM'!AB25</f>
        <v/>
      </c>
      <c r="L25" s="31">
        <f>'VAL 2 TRIM'!AA25</f>
        <v>10</v>
      </c>
      <c r="M25" s="31">
        <f>'VAL 2 TRIM'!AE25</f>
        <v>10</v>
      </c>
      <c r="N25" s="100">
        <f>'VAL 2 TRIM'!AG25</f>
        <v>48</v>
      </c>
      <c r="O25" s="31">
        <f>'VAL 3 TRIM'!C25</f>
        <v>10</v>
      </c>
      <c r="P25" s="31">
        <f>'VAL 3 TRIM'!O25</f>
        <v>35</v>
      </c>
      <c r="Q25" s="31">
        <f>'VAL 3 TRIM'!AB25</f>
        <v>35</v>
      </c>
      <c r="R25" s="31">
        <f>'VAL 3 TRIM'!AA25</f>
        <v>10</v>
      </c>
      <c r="S25" s="48">
        <f>'VAL 3 TRIM'!AE25</f>
        <v>10</v>
      </c>
      <c r="T25" s="100">
        <f>'VAL 3 TRIM'!AG25</f>
        <v>100</v>
      </c>
      <c r="U25" s="101">
        <f t="shared" si="0"/>
        <v>79.333333333333329</v>
      </c>
      <c r="V25" s="102" t="str">
        <f t="shared" si="1"/>
        <v>APROBADO</v>
      </c>
      <c r="W25" s="103"/>
      <c r="X25" s="103"/>
    </row>
    <row r="26" spans="1:24" ht="12" customHeight="1" x14ac:dyDescent="0.3">
      <c r="A26" s="58">
        <v>18</v>
      </c>
      <c r="B26" s="59" t="str">
        <f>'C. FILIACION'!B25</f>
        <v>TORREZ PACO CARLA MILENKA</v>
      </c>
      <c r="C26" s="48">
        <f>'VAL 1 TRIM '!C26</f>
        <v>10</v>
      </c>
      <c r="D26" s="48">
        <f>'VAL 1 TRIM '!O26</f>
        <v>30</v>
      </c>
      <c r="E26" s="48">
        <f>'VAL 1 TRIM '!AB26</f>
        <v>30</v>
      </c>
      <c r="F26" s="48">
        <f>'VAL 1 TRIM '!AE26</f>
        <v>10</v>
      </c>
      <c r="G26" s="48">
        <f>'VAL 1 TRIM '!AE26</f>
        <v>10</v>
      </c>
      <c r="H26" s="100">
        <f>'VAL 1 TRIM '!AG26</f>
        <v>90</v>
      </c>
      <c r="I26" s="31">
        <f>'VAL 2 TRIM'!C26</f>
        <v>10</v>
      </c>
      <c r="J26" s="31">
        <f>'VAL 2 TRIM'!O26</f>
        <v>15</v>
      </c>
      <c r="K26" s="31" t="str">
        <f>'VAL 2 TRIM'!AB26</f>
        <v/>
      </c>
      <c r="L26" s="31">
        <f>'VAL 2 TRIM'!AA26</f>
        <v>10</v>
      </c>
      <c r="M26" s="31">
        <f>'VAL 2 TRIM'!AE26</f>
        <v>10</v>
      </c>
      <c r="N26" s="100">
        <f>'VAL 2 TRIM'!AG26</f>
        <v>45</v>
      </c>
      <c r="O26" s="31">
        <f>'VAL 3 TRIM'!C26</f>
        <v>10</v>
      </c>
      <c r="P26" s="31">
        <f>'VAL 3 TRIM'!O26</f>
        <v>35</v>
      </c>
      <c r="Q26" s="31">
        <f>'VAL 3 TRIM'!AB26</f>
        <v>35</v>
      </c>
      <c r="R26" s="31">
        <f>'VAL 3 TRIM'!AA26</f>
        <v>10</v>
      </c>
      <c r="S26" s="48">
        <f>'VAL 3 TRIM'!AE26</f>
        <v>10</v>
      </c>
      <c r="T26" s="100">
        <f>'VAL 3 TRIM'!AG26</f>
        <v>100</v>
      </c>
      <c r="U26" s="101">
        <f t="shared" si="0"/>
        <v>78.333333333333329</v>
      </c>
      <c r="V26" s="102" t="str">
        <f t="shared" si="1"/>
        <v>APROBADO</v>
      </c>
      <c r="W26" s="103"/>
      <c r="X26" s="103"/>
    </row>
    <row r="27" spans="1:24" ht="12" customHeight="1" x14ac:dyDescent="0.3">
      <c r="A27" s="58">
        <v>19</v>
      </c>
      <c r="B27" s="59">
        <f>'C. FILIACION'!B26</f>
        <v>0</v>
      </c>
      <c r="C27" s="48">
        <f>'VAL 1 TRIM '!C27</f>
        <v>10</v>
      </c>
      <c r="D27" s="48">
        <f>'VAL 1 TRIM '!O27</f>
        <v>35</v>
      </c>
      <c r="E27" s="48">
        <f>'VAL 1 TRIM '!AB27</f>
        <v>35</v>
      </c>
      <c r="F27" s="48">
        <f>'VAL 1 TRIM '!AE27</f>
        <v>10</v>
      </c>
      <c r="G27" s="48">
        <f>'VAL 1 TRIM '!AE27</f>
        <v>10</v>
      </c>
      <c r="H27" s="100">
        <f>'VAL 1 TRIM '!AG27</f>
        <v>100</v>
      </c>
      <c r="I27" s="31">
        <f>'VAL 2 TRIM'!C27</f>
        <v>10</v>
      </c>
      <c r="J27" s="31" t="str">
        <f>'VAL 2 TRIM'!O27</f>
        <v/>
      </c>
      <c r="K27" s="31" t="str">
        <f>'VAL 2 TRIM'!AB27</f>
        <v/>
      </c>
      <c r="L27" s="31">
        <f>'VAL 2 TRIM'!AA27</f>
        <v>10</v>
      </c>
      <c r="M27" s="31">
        <f>'VAL 2 TRIM'!AE27</f>
        <v>10</v>
      </c>
      <c r="N27" s="100">
        <f>'VAL 2 TRIM'!AG27</f>
        <v>30</v>
      </c>
      <c r="O27" s="31">
        <f>'VAL 3 TRIM'!C27</f>
        <v>10</v>
      </c>
      <c r="P27" s="31">
        <f>'VAL 3 TRIM'!O27</f>
        <v>35</v>
      </c>
      <c r="Q27" s="31">
        <f>'VAL 3 TRIM'!AB27</f>
        <v>35</v>
      </c>
      <c r="R27" s="31">
        <f>'VAL 3 TRIM'!AA27</f>
        <v>10</v>
      </c>
      <c r="S27" s="48">
        <f>'VAL 3 TRIM'!AE27</f>
        <v>10</v>
      </c>
      <c r="T27" s="100">
        <f>'VAL 3 TRIM'!AG27</f>
        <v>100</v>
      </c>
      <c r="U27" s="101">
        <f t="shared" si="0"/>
        <v>76.666666666666671</v>
      </c>
      <c r="V27" s="102" t="str">
        <f t="shared" si="1"/>
        <v>APROBADO</v>
      </c>
      <c r="W27" s="103"/>
      <c r="X27" s="103"/>
    </row>
    <row r="28" spans="1:24" ht="12" customHeight="1" x14ac:dyDescent="0.3">
      <c r="A28" s="58">
        <v>20</v>
      </c>
      <c r="B28" s="59">
        <f>'C. FILIACION'!B27</f>
        <v>0</v>
      </c>
      <c r="C28" s="48">
        <f>'VAL 1 TRIM '!C28</f>
        <v>10</v>
      </c>
      <c r="D28" s="48">
        <f>'VAL 1 TRIM '!O28</f>
        <v>35</v>
      </c>
      <c r="E28" s="48">
        <f>'VAL 1 TRIM '!AB28</f>
        <v>35</v>
      </c>
      <c r="F28" s="48">
        <f>'VAL 1 TRIM '!AE28</f>
        <v>10</v>
      </c>
      <c r="G28" s="48">
        <f>'VAL 1 TRIM '!AE28</f>
        <v>10</v>
      </c>
      <c r="H28" s="100">
        <f>'VAL 1 TRIM '!AG28</f>
        <v>100</v>
      </c>
      <c r="I28" s="31">
        <f>'VAL 2 TRIM'!C28</f>
        <v>10</v>
      </c>
      <c r="J28" s="31" t="str">
        <f>'VAL 2 TRIM'!O28</f>
        <v/>
      </c>
      <c r="K28" s="31" t="str">
        <f>'VAL 2 TRIM'!AB28</f>
        <v/>
      </c>
      <c r="L28" s="31">
        <f>'VAL 2 TRIM'!AA28</f>
        <v>10</v>
      </c>
      <c r="M28" s="31">
        <f>'VAL 2 TRIM'!AE28</f>
        <v>10</v>
      </c>
      <c r="N28" s="100">
        <f>'VAL 2 TRIM'!AG28</f>
        <v>30</v>
      </c>
      <c r="O28" s="31">
        <f>'VAL 3 TRIM'!C28</f>
        <v>10</v>
      </c>
      <c r="P28" s="31">
        <f>'VAL 3 TRIM'!O28</f>
        <v>35</v>
      </c>
      <c r="Q28" s="31">
        <f>'VAL 3 TRIM'!AB28</f>
        <v>35</v>
      </c>
      <c r="R28" s="31">
        <f>'VAL 3 TRIM'!AA28</f>
        <v>10</v>
      </c>
      <c r="S28" s="48">
        <f>'VAL 3 TRIM'!AE28</f>
        <v>10</v>
      </c>
      <c r="T28" s="100">
        <f>'VAL 3 TRIM'!AG28</f>
        <v>100</v>
      </c>
      <c r="U28" s="101">
        <f t="shared" si="0"/>
        <v>76.666666666666671</v>
      </c>
      <c r="V28" s="102" t="str">
        <f t="shared" si="1"/>
        <v>APROBADO</v>
      </c>
      <c r="W28" s="103"/>
      <c r="X28" s="103"/>
    </row>
    <row r="29" spans="1:24" ht="12" customHeight="1" x14ac:dyDescent="0.3">
      <c r="A29" s="58">
        <v>21</v>
      </c>
      <c r="B29" s="59">
        <f>'C. FILIACION'!B28</f>
        <v>0</v>
      </c>
      <c r="C29" s="48">
        <f>'VAL 1 TRIM '!C29</f>
        <v>10</v>
      </c>
      <c r="D29" s="48">
        <f>'VAL 1 TRIM '!O29</f>
        <v>35</v>
      </c>
      <c r="E29" s="48">
        <f>'VAL 1 TRIM '!AB29</f>
        <v>35</v>
      </c>
      <c r="F29" s="48">
        <f>'VAL 1 TRIM '!AE29</f>
        <v>10</v>
      </c>
      <c r="G29" s="48">
        <f>'VAL 1 TRIM '!AE29</f>
        <v>10</v>
      </c>
      <c r="H29" s="100">
        <f>'VAL 1 TRIM '!AG29</f>
        <v>100</v>
      </c>
      <c r="I29" s="31">
        <f>'VAL 2 TRIM'!C29</f>
        <v>10</v>
      </c>
      <c r="J29" s="31" t="str">
        <f>'VAL 2 TRIM'!O29</f>
        <v/>
      </c>
      <c r="K29" s="31" t="str">
        <f>'VAL 2 TRIM'!AB29</f>
        <v/>
      </c>
      <c r="L29" s="31">
        <f>'VAL 2 TRIM'!AA29</f>
        <v>10</v>
      </c>
      <c r="M29" s="31">
        <f>'VAL 2 TRIM'!AE29</f>
        <v>10</v>
      </c>
      <c r="N29" s="100">
        <f>'VAL 2 TRIM'!AG29</f>
        <v>30</v>
      </c>
      <c r="O29" s="31">
        <f>'VAL 3 TRIM'!C29</f>
        <v>10</v>
      </c>
      <c r="P29" s="31">
        <f>'VAL 3 TRIM'!O29</f>
        <v>35</v>
      </c>
      <c r="Q29" s="31">
        <f>'VAL 3 TRIM'!AB29</f>
        <v>35</v>
      </c>
      <c r="R29" s="31">
        <f>'VAL 3 TRIM'!AA29</f>
        <v>10</v>
      </c>
      <c r="S29" s="48">
        <f>'VAL 3 TRIM'!AE29</f>
        <v>10</v>
      </c>
      <c r="T29" s="100">
        <f>'VAL 3 TRIM'!AG29</f>
        <v>100</v>
      </c>
      <c r="U29" s="101">
        <f t="shared" si="0"/>
        <v>76.666666666666671</v>
      </c>
      <c r="V29" s="102" t="str">
        <f t="shared" si="1"/>
        <v>APROBADO</v>
      </c>
      <c r="W29" s="103"/>
      <c r="X29" s="103"/>
    </row>
    <row r="30" spans="1:24" ht="12" customHeight="1" x14ac:dyDescent="0.3">
      <c r="A30" s="58">
        <v>22</v>
      </c>
      <c r="B30" s="59">
        <f>'C. FILIACION'!B29</f>
        <v>0</v>
      </c>
      <c r="C30" s="48">
        <f>'VAL 1 TRIM '!C30</f>
        <v>10</v>
      </c>
      <c r="D30" s="48">
        <f>'VAL 1 TRIM '!O30</f>
        <v>35</v>
      </c>
      <c r="E30" s="48">
        <f>'VAL 1 TRIM '!AB30</f>
        <v>35</v>
      </c>
      <c r="F30" s="48">
        <f>'VAL 1 TRIM '!AE30</f>
        <v>10</v>
      </c>
      <c r="G30" s="48">
        <f>'VAL 1 TRIM '!AE30</f>
        <v>10</v>
      </c>
      <c r="H30" s="100">
        <f>'VAL 1 TRIM '!AG30</f>
        <v>100</v>
      </c>
      <c r="I30" s="31">
        <f>'VAL 2 TRIM'!C30</f>
        <v>10</v>
      </c>
      <c r="J30" s="31" t="str">
        <f>'VAL 2 TRIM'!O30</f>
        <v/>
      </c>
      <c r="K30" s="31" t="str">
        <f>'VAL 2 TRIM'!AB30</f>
        <v/>
      </c>
      <c r="L30" s="31">
        <f>'VAL 2 TRIM'!AA30</f>
        <v>10</v>
      </c>
      <c r="M30" s="31">
        <f>'VAL 2 TRIM'!AE30</f>
        <v>10</v>
      </c>
      <c r="N30" s="100">
        <f>'VAL 2 TRIM'!AG30</f>
        <v>30</v>
      </c>
      <c r="O30" s="31">
        <f>'VAL 3 TRIM'!C30</f>
        <v>10</v>
      </c>
      <c r="P30" s="31">
        <f>'VAL 3 TRIM'!O30</f>
        <v>35</v>
      </c>
      <c r="Q30" s="31">
        <f>'VAL 3 TRIM'!AB30</f>
        <v>35</v>
      </c>
      <c r="R30" s="31">
        <f>'VAL 3 TRIM'!AA30</f>
        <v>10</v>
      </c>
      <c r="S30" s="48">
        <f>'VAL 3 TRIM'!AE30</f>
        <v>10</v>
      </c>
      <c r="T30" s="100">
        <f>'VAL 3 TRIM'!AG30</f>
        <v>100</v>
      </c>
      <c r="U30" s="101">
        <f t="shared" si="0"/>
        <v>76.666666666666671</v>
      </c>
      <c r="V30" s="102" t="str">
        <f t="shared" si="1"/>
        <v>APROBADO</v>
      </c>
      <c r="W30" s="103"/>
      <c r="X30" s="103"/>
    </row>
    <row r="31" spans="1:24" ht="12" customHeight="1" x14ac:dyDescent="0.3">
      <c r="A31" s="58">
        <v>23</v>
      </c>
      <c r="B31" s="59">
        <f>'C. FILIACION'!B30</f>
        <v>0</v>
      </c>
      <c r="C31" s="48">
        <f>'VAL 1 TRIM '!C31</f>
        <v>10</v>
      </c>
      <c r="D31" s="48">
        <f>'VAL 1 TRIM '!O31</f>
        <v>35</v>
      </c>
      <c r="E31" s="48">
        <f>'VAL 1 TRIM '!AB31</f>
        <v>35</v>
      </c>
      <c r="F31" s="48">
        <f>'VAL 1 TRIM '!AE31</f>
        <v>10</v>
      </c>
      <c r="G31" s="48">
        <f>'VAL 1 TRIM '!AE31</f>
        <v>10</v>
      </c>
      <c r="H31" s="100">
        <f>'VAL 1 TRIM '!AG31</f>
        <v>100</v>
      </c>
      <c r="I31" s="31">
        <f>'VAL 2 TRIM'!C31</f>
        <v>10</v>
      </c>
      <c r="J31" s="31" t="str">
        <f>'VAL 2 TRIM'!O31</f>
        <v/>
      </c>
      <c r="K31" s="31" t="str">
        <f>'VAL 2 TRIM'!AB31</f>
        <v/>
      </c>
      <c r="L31" s="31">
        <f>'VAL 2 TRIM'!AA31</f>
        <v>10</v>
      </c>
      <c r="M31" s="31">
        <f>'VAL 2 TRIM'!AE31</f>
        <v>10</v>
      </c>
      <c r="N31" s="100">
        <f>'VAL 2 TRIM'!AG31</f>
        <v>30</v>
      </c>
      <c r="O31" s="31">
        <f>'VAL 3 TRIM'!C31</f>
        <v>10</v>
      </c>
      <c r="P31" s="31">
        <f>'VAL 3 TRIM'!O31</f>
        <v>35</v>
      </c>
      <c r="Q31" s="31">
        <f>'VAL 3 TRIM'!AB31</f>
        <v>35</v>
      </c>
      <c r="R31" s="31">
        <f>'VAL 3 TRIM'!AA31</f>
        <v>10</v>
      </c>
      <c r="S31" s="48">
        <f>'VAL 3 TRIM'!AE31</f>
        <v>10</v>
      </c>
      <c r="T31" s="100">
        <f>'VAL 3 TRIM'!AG31</f>
        <v>100</v>
      </c>
      <c r="U31" s="101">
        <f t="shared" si="0"/>
        <v>76.666666666666671</v>
      </c>
      <c r="V31" s="102" t="str">
        <f t="shared" si="1"/>
        <v>APROBADO</v>
      </c>
      <c r="W31" s="103"/>
      <c r="X31" s="103"/>
    </row>
    <row r="32" spans="1:24" ht="12" customHeight="1" x14ac:dyDescent="0.3">
      <c r="A32" s="58">
        <v>24</v>
      </c>
      <c r="B32" s="59">
        <f>'C. FILIACION'!B31</f>
        <v>0</v>
      </c>
      <c r="C32" s="48">
        <f>'VAL 1 TRIM '!C32</f>
        <v>10</v>
      </c>
      <c r="D32" s="48">
        <f>'VAL 1 TRIM '!O32</f>
        <v>35</v>
      </c>
      <c r="E32" s="48">
        <f>'VAL 1 TRIM '!AB32</f>
        <v>35</v>
      </c>
      <c r="F32" s="48">
        <f>'VAL 1 TRIM '!AE32</f>
        <v>10</v>
      </c>
      <c r="G32" s="48">
        <f>'VAL 1 TRIM '!AE32</f>
        <v>10</v>
      </c>
      <c r="H32" s="100">
        <f>'VAL 1 TRIM '!AG32</f>
        <v>100</v>
      </c>
      <c r="I32" s="31">
        <f>'VAL 2 TRIM'!C32</f>
        <v>10</v>
      </c>
      <c r="J32" s="31" t="str">
        <f>'VAL 2 TRIM'!O32</f>
        <v/>
      </c>
      <c r="K32" s="31" t="str">
        <f>'VAL 2 TRIM'!AB32</f>
        <v/>
      </c>
      <c r="L32" s="31">
        <f>'VAL 2 TRIM'!AA32</f>
        <v>10</v>
      </c>
      <c r="M32" s="31">
        <f>'VAL 2 TRIM'!AE32</f>
        <v>10</v>
      </c>
      <c r="N32" s="100">
        <f>'VAL 2 TRIM'!AG32</f>
        <v>30</v>
      </c>
      <c r="O32" s="31">
        <f>'VAL 3 TRIM'!C32</f>
        <v>10</v>
      </c>
      <c r="P32" s="31">
        <f>'VAL 3 TRIM'!O32</f>
        <v>35</v>
      </c>
      <c r="Q32" s="31">
        <f>'VAL 3 TRIM'!AB32</f>
        <v>35</v>
      </c>
      <c r="R32" s="31">
        <f>'VAL 3 TRIM'!AA32</f>
        <v>10</v>
      </c>
      <c r="S32" s="48">
        <f>'VAL 3 TRIM'!AE32</f>
        <v>10</v>
      </c>
      <c r="T32" s="100">
        <f>'VAL 3 TRIM'!AG32</f>
        <v>100</v>
      </c>
      <c r="U32" s="101">
        <f t="shared" si="0"/>
        <v>76.666666666666671</v>
      </c>
      <c r="V32" s="102" t="str">
        <f t="shared" si="1"/>
        <v>APROBADO</v>
      </c>
      <c r="W32" s="103"/>
      <c r="X32" s="103"/>
    </row>
    <row r="33" spans="1:24" ht="12" customHeight="1" x14ac:dyDescent="0.3">
      <c r="A33" s="58">
        <v>25</v>
      </c>
      <c r="B33" s="59">
        <f>'C. FILIACION'!B32</f>
        <v>0</v>
      </c>
      <c r="C33" s="48">
        <f>'VAL 1 TRIM '!C33</f>
        <v>10</v>
      </c>
      <c r="D33" s="48">
        <f>'VAL 1 TRIM '!O33</f>
        <v>35</v>
      </c>
      <c r="E33" s="48">
        <f>'VAL 1 TRIM '!AB33</f>
        <v>35</v>
      </c>
      <c r="F33" s="48">
        <f>'VAL 1 TRIM '!AE33</f>
        <v>10</v>
      </c>
      <c r="G33" s="48">
        <f>'VAL 1 TRIM '!AE33</f>
        <v>10</v>
      </c>
      <c r="H33" s="100">
        <f>'VAL 1 TRIM '!AG33</f>
        <v>100</v>
      </c>
      <c r="I33" s="31">
        <f>'VAL 2 TRIM'!C33</f>
        <v>10</v>
      </c>
      <c r="J33" s="31" t="str">
        <f>'VAL 2 TRIM'!O33</f>
        <v/>
      </c>
      <c r="K33" s="31" t="str">
        <f>'VAL 2 TRIM'!AB33</f>
        <v/>
      </c>
      <c r="L33" s="31">
        <f>'VAL 2 TRIM'!AA33</f>
        <v>10</v>
      </c>
      <c r="M33" s="31">
        <f>'VAL 2 TRIM'!AE33</f>
        <v>10</v>
      </c>
      <c r="N33" s="100">
        <f>'VAL 2 TRIM'!AG33</f>
        <v>30</v>
      </c>
      <c r="O33" s="31">
        <f>'VAL 3 TRIM'!C33</f>
        <v>10</v>
      </c>
      <c r="P33" s="31">
        <f>'VAL 3 TRIM'!O33</f>
        <v>35</v>
      </c>
      <c r="Q33" s="31">
        <f>'VAL 3 TRIM'!AB33</f>
        <v>35</v>
      </c>
      <c r="R33" s="31">
        <f>'VAL 3 TRIM'!AA33</f>
        <v>10</v>
      </c>
      <c r="S33" s="48">
        <f>'VAL 3 TRIM'!AE33</f>
        <v>10</v>
      </c>
      <c r="T33" s="100">
        <f>'VAL 3 TRIM'!AG33</f>
        <v>100</v>
      </c>
      <c r="U33" s="101">
        <f t="shared" si="0"/>
        <v>76.666666666666671</v>
      </c>
      <c r="V33" s="102" t="str">
        <f t="shared" si="1"/>
        <v>APROBADO</v>
      </c>
      <c r="W33" s="103"/>
      <c r="X33" s="103"/>
    </row>
    <row r="34" spans="1:24" ht="12" customHeight="1" x14ac:dyDescent="0.3">
      <c r="A34" s="58">
        <v>26</v>
      </c>
      <c r="B34" s="59">
        <f>'C. FILIACION'!B33</f>
        <v>0</v>
      </c>
      <c r="C34" s="48">
        <f>'VAL 1 TRIM '!C34</f>
        <v>10</v>
      </c>
      <c r="D34" s="48">
        <f>'VAL 1 TRIM '!O34</f>
        <v>35</v>
      </c>
      <c r="E34" s="48">
        <f>'VAL 1 TRIM '!AB34</f>
        <v>35</v>
      </c>
      <c r="F34" s="48">
        <f>'VAL 1 TRIM '!AE34</f>
        <v>10</v>
      </c>
      <c r="G34" s="48">
        <f>'VAL 1 TRIM '!AE34</f>
        <v>10</v>
      </c>
      <c r="H34" s="100">
        <f>'VAL 1 TRIM '!AG34</f>
        <v>100</v>
      </c>
      <c r="I34" s="31">
        <f>'VAL 2 TRIM'!C34</f>
        <v>10</v>
      </c>
      <c r="J34" s="31" t="str">
        <f>'VAL 2 TRIM'!O34</f>
        <v/>
      </c>
      <c r="K34" s="31" t="str">
        <f>'VAL 2 TRIM'!AB34</f>
        <v/>
      </c>
      <c r="L34" s="31">
        <f>'VAL 2 TRIM'!AA34</f>
        <v>10</v>
      </c>
      <c r="M34" s="31">
        <f>'VAL 2 TRIM'!AE34</f>
        <v>10</v>
      </c>
      <c r="N34" s="100">
        <f>'VAL 2 TRIM'!AG34</f>
        <v>30</v>
      </c>
      <c r="O34" s="31">
        <f>'VAL 3 TRIM'!C34</f>
        <v>10</v>
      </c>
      <c r="P34" s="31">
        <f>'VAL 3 TRIM'!O34</f>
        <v>35</v>
      </c>
      <c r="Q34" s="31">
        <f>'VAL 3 TRIM'!AB34</f>
        <v>35</v>
      </c>
      <c r="R34" s="31">
        <f>'VAL 3 TRIM'!AA34</f>
        <v>10</v>
      </c>
      <c r="S34" s="48">
        <f>'VAL 3 TRIM'!AE34</f>
        <v>10</v>
      </c>
      <c r="T34" s="100">
        <f>'VAL 3 TRIM'!AG34</f>
        <v>100</v>
      </c>
      <c r="U34" s="101">
        <f t="shared" si="0"/>
        <v>76.666666666666671</v>
      </c>
      <c r="V34" s="102" t="str">
        <f t="shared" si="1"/>
        <v>APROBADO</v>
      </c>
      <c r="W34" s="103"/>
      <c r="X34" s="103"/>
    </row>
    <row r="35" spans="1:24" ht="12" customHeight="1" x14ac:dyDescent="0.3">
      <c r="A35" s="58">
        <v>27</v>
      </c>
      <c r="B35" s="59">
        <f>'C. FILIACION'!B34</f>
        <v>0</v>
      </c>
      <c r="C35" s="48">
        <f>'VAL 1 TRIM '!C35</f>
        <v>10</v>
      </c>
      <c r="D35" s="48">
        <f>'VAL 1 TRIM '!O35</f>
        <v>35</v>
      </c>
      <c r="E35" s="48">
        <f>'VAL 1 TRIM '!AB35</f>
        <v>35</v>
      </c>
      <c r="F35" s="48">
        <f>'VAL 1 TRIM '!AE35</f>
        <v>10</v>
      </c>
      <c r="G35" s="48">
        <f>'VAL 1 TRIM '!AE35</f>
        <v>10</v>
      </c>
      <c r="H35" s="100">
        <f>'VAL 1 TRIM '!AG35</f>
        <v>100</v>
      </c>
      <c r="I35" s="31">
        <f>'VAL 2 TRIM'!C35</f>
        <v>10</v>
      </c>
      <c r="J35" s="31" t="str">
        <f>'VAL 2 TRIM'!O35</f>
        <v/>
      </c>
      <c r="K35" s="31" t="str">
        <f>'VAL 2 TRIM'!AB35</f>
        <v/>
      </c>
      <c r="L35" s="31">
        <f>'VAL 2 TRIM'!AA35</f>
        <v>10</v>
      </c>
      <c r="M35" s="31">
        <f>'VAL 2 TRIM'!AE35</f>
        <v>10</v>
      </c>
      <c r="N35" s="100">
        <f>'VAL 2 TRIM'!AG35</f>
        <v>30</v>
      </c>
      <c r="O35" s="31">
        <f>'VAL 3 TRIM'!C35</f>
        <v>10</v>
      </c>
      <c r="P35" s="31">
        <f>'VAL 3 TRIM'!O35</f>
        <v>35</v>
      </c>
      <c r="Q35" s="31">
        <f>'VAL 3 TRIM'!AB35</f>
        <v>35</v>
      </c>
      <c r="R35" s="31">
        <f>'VAL 3 TRIM'!AA35</f>
        <v>10</v>
      </c>
      <c r="S35" s="48">
        <f>'VAL 3 TRIM'!AE35</f>
        <v>10</v>
      </c>
      <c r="T35" s="100">
        <f>'VAL 3 TRIM'!AG35</f>
        <v>100</v>
      </c>
      <c r="U35" s="101">
        <f t="shared" si="0"/>
        <v>76.666666666666671</v>
      </c>
      <c r="V35" s="102" t="str">
        <f t="shared" si="1"/>
        <v>APROBADO</v>
      </c>
      <c r="W35" s="103"/>
      <c r="X35" s="103"/>
    </row>
    <row r="36" spans="1:24" ht="12" customHeight="1" x14ac:dyDescent="0.3">
      <c r="A36" s="58">
        <v>28</v>
      </c>
      <c r="B36" s="59">
        <f>'C. FILIACION'!B35</f>
        <v>0</v>
      </c>
      <c r="C36" s="48">
        <f>'VAL 1 TRIM '!C36</f>
        <v>10</v>
      </c>
      <c r="D36" s="48">
        <f>'VAL 1 TRIM '!O36</f>
        <v>35</v>
      </c>
      <c r="E36" s="48">
        <f>'VAL 1 TRIM '!AB36</f>
        <v>35</v>
      </c>
      <c r="F36" s="48">
        <f>'VAL 1 TRIM '!AE36</f>
        <v>10</v>
      </c>
      <c r="G36" s="48">
        <f>'VAL 1 TRIM '!AE36</f>
        <v>10</v>
      </c>
      <c r="H36" s="100">
        <f>'VAL 1 TRIM '!AG36</f>
        <v>100</v>
      </c>
      <c r="I36" s="31">
        <f>'VAL 2 TRIM'!C36</f>
        <v>10</v>
      </c>
      <c r="J36" s="31" t="str">
        <f>'VAL 2 TRIM'!O36</f>
        <v/>
      </c>
      <c r="K36" s="31" t="str">
        <f>'VAL 2 TRIM'!AB36</f>
        <v/>
      </c>
      <c r="L36" s="31">
        <f>'VAL 2 TRIM'!AA36</f>
        <v>10</v>
      </c>
      <c r="M36" s="31">
        <f>'VAL 2 TRIM'!AE36</f>
        <v>10</v>
      </c>
      <c r="N36" s="100">
        <f>'VAL 2 TRIM'!AG36</f>
        <v>30</v>
      </c>
      <c r="O36" s="31">
        <f>'VAL 3 TRIM'!C36</f>
        <v>10</v>
      </c>
      <c r="P36" s="31">
        <f>'VAL 3 TRIM'!O36</f>
        <v>35</v>
      </c>
      <c r="Q36" s="31">
        <f>'VAL 3 TRIM'!AB36</f>
        <v>35</v>
      </c>
      <c r="R36" s="31">
        <f>'VAL 3 TRIM'!AA36</f>
        <v>10</v>
      </c>
      <c r="S36" s="48">
        <f>'VAL 3 TRIM'!AE36</f>
        <v>10</v>
      </c>
      <c r="T36" s="100">
        <f>'VAL 3 TRIM'!AG36</f>
        <v>100</v>
      </c>
      <c r="U36" s="101">
        <f t="shared" si="0"/>
        <v>76.666666666666671</v>
      </c>
      <c r="V36" s="102" t="str">
        <f t="shared" si="1"/>
        <v>APROBADO</v>
      </c>
      <c r="W36" s="103"/>
      <c r="X36" s="103"/>
    </row>
    <row r="37" spans="1:24" ht="12" customHeight="1" x14ac:dyDescent="0.3">
      <c r="A37" s="58">
        <v>29</v>
      </c>
      <c r="B37" s="59">
        <f>'C. FILIACION'!B36</f>
        <v>0</v>
      </c>
      <c r="C37" s="48">
        <f>'VAL 1 TRIM '!C37</f>
        <v>10</v>
      </c>
      <c r="D37" s="48">
        <f>'VAL 1 TRIM '!O37</f>
        <v>35</v>
      </c>
      <c r="E37" s="48">
        <f>'VAL 1 TRIM '!AB37</f>
        <v>35</v>
      </c>
      <c r="F37" s="48">
        <f>'VAL 1 TRIM '!AE37</f>
        <v>10</v>
      </c>
      <c r="G37" s="48">
        <f>'VAL 1 TRIM '!AE37</f>
        <v>10</v>
      </c>
      <c r="H37" s="100">
        <f>'VAL 1 TRIM '!AG37</f>
        <v>100</v>
      </c>
      <c r="I37" s="31">
        <f>'VAL 2 TRIM'!C37</f>
        <v>10</v>
      </c>
      <c r="J37" s="31" t="str">
        <f>'VAL 2 TRIM'!O37</f>
        <v/>
      </c>
      <c r="K37" s="31">
        <f>'VAL 2 TRIM'!AB37</f>
        <v>35</v>
      </c>
      <c r="L37" s="31">
        <f>'VAL 2 TRIM'!AA37</f>
        <v>10</v>
      </c>
      <c r="M37" s="31">
        <f>'VAL 2 TRIM'!AE37</f>
        <v>10</v>
      </c>
      <c r="N37" s="100">
        <f>'VAL 2 TRIM'!AG37</f>
        <v>65</v>
      </c>
      <c r="O37" s="31">
        <f>'VAL 3 TRIM'!C37</f>
        <v>10</v>
      </c>
      <c r="P37" s="31">
        <f>'VAL 3 TRIM'!O37</f>
        <v>35</v>
      </c>
      <c r="Q37" s="31">
        <f>'VAL 3 TRIM'!AB37</f>
        <v>35</v>
      </c>
      <c r="R37" s="31">
        <f>'VAL 3 TRIM'!AA37</f>
        <v>10</v>
      </c>
      <c r="S37" s="48">
        <f>'VAL 3 TRIM'!AE37</f>
        <v>10</v>
      </c>
      <c r="T37" s="100">
        <f>'VAL 3 TRIM'!AG37</f>
        <v>100</v>
      </c>
      <c r="U37" s="101">
        <f t="shared" si="0"/>
        <v>88.333333333333329</v>
      </c>
      <c r="V37" s="102" t="str">
        <f t="shared" si="1"/>
        <v>APROBADO</v>
      </c>
      <c r="W37" s="103"/>
      <c r="X37" s="103"/>
    </row>
    <row r="38" spans="1:24" ht="12" customHeight="1" x14ac:dyDescent="0.3">
      <c r="A38" s="58">
        <v>30</v>
      </c>
      <c r="B38" s="59">
        <f>'C. FILIACION'!B37</f>
        <v>0</v>
      </c>
      <c r="C38" s="48">
        <f>'VAL 1 TRIM '!C38</f>
        <v>10</v>
      </c>
      <c r="D38" s="48">
        <f>'VAL 1 TRIM '!O38</f>
        <v>35</v>
      </c>
      <c r="E38" s="48">
        <f>'VAL 1 TRIM '!AB38</f>
        <v>35</v>
      </c>
      <c r="F38" s="48">
        <f>'VAL 1 TRIM '!AE38</f>
        <v>10</v>
      </c>
      <c r="G38" s="48">
        <f>'VAL 1 TRIM '!AE38</f>
        <v>10</v>
      </c>
      <c r="H38" s="100">
        <f>'VAL 1 TRIM '!AG38</f>
        <v>100</v>
      </c>
      <c r="I38" s="31">
        <f>'VAL 2 TRIM'!C38</f>
        <v>10</v>
      </c>
      <c r="J38" s="31">
        <f>'VAL 2 TRIM'!O38</f>
        <v>35</v>
      </c>
      <c r="K38" s="31">
        <f>'VAL 2 TRIM'!AB38</f>
        <v>35</v>
      </c>
      <c r="L38" s="31">
        <f>'VAL 2 TRIM'!AA38</f>
        <v>10</v>
      </c>
      <c r="M38" s="31">
        <f>'VAL 2 TRIM'!AE38</f>
        <v>10</v>
      </c>
      <c r="N38" s="100">
        <f>'VAL 2 TRIM'!AG38</f>
        <v>100</v>
      </c>
      <c r="O38" s="31">
        <f>'VAL 3 TRIM'!C38</f>
        <v>10</v>
      </c>
      <c r="P38" s="31">
        <f>'VAL 3 TRIM'!O38</f>
        <v>35</v>
      </c>
      <c r="Q38" s="31">
        <f>'VAL 3 TRIM'!AB38</f>
        <v>35</v>
      </c>
      <c r="R38" s="31">
        <f>'VAL 3 TRIM'!AA38</f>
        <v>10</v>
      </c>
      <c r="S38" s="48">
        <f>'VAL 3 TRIM'!AE38</f>
        <v>10</v>
      </c>
      <c r="T38" s="100">
        <f>'VAL 3 TRIM'!AG38</f>
        <v>100</v>
      </c>
      <c r="U38" s="101">
        <f t="shared" si="0"/>
        <v>100</v>
      </c>
      <c r="V38" s="102" t="str">
        <f t="shared" si="1"/>
        <v>APROBADO</v>
      </c>
      <c r="W38" s="103"/>
      <c r="X38" s="103"/>
    </row>
    <row r="39" spans="1:24" ht="12" customHeight="1" x14ac:dyDescent="0.3">
      <c r="A39" s="58">
        <v>31</v>
      </c>
      <c r="B39" s="59">
        <f>'C. FILIACION'!B38</f>
        <v>0</v>
      </c>
      <c r="C39" s="48">
        <f>'VAL 1 TRIM '!C39</f>
        <v>10</v>
      </c>
      <c r="D39" s="48">
        <f>'VAL 1 TRIM '!O39</f>
        <v>35</v>
      </c>
      <c r="E39" s="48">
        <f>'VAL 1 TRIM '!AB39</f>
        <v>35</v>
      </c>
      <c r="F39" s="48">
        <f>'VAL 1 TRIM '!AE39</f>
        <v>10</v>
      </c>
      <c r="G39" s="48">
        <f>'VAL 1 TRIM '!AE39</f>
        <v>10</v>
      </c>
      <c r="H39" s="100">
        <f>'VAL 1 TRIM '!AG39</f>
        <v>100</v>
      </c>
      <c r="I39" s="31">
        <f>'VAL 2 TRIM'!C39</f>
        <v>10</v>
      </c>
      <c r="J39" s="31">
        <f>'VAL 2 TRIM'!O39</f>
        <v>35</v>
      </c>
      <c r="K39" s="31">
        <f>'VAL 2 TRIM'!AB39</f>
        <v>35</v>
      </c>
      <c r="L39" s="31">
        <f>'VAL 2 TRIM'!AA39</f>
        <v>10</v>
      </c>
      <c r="M39" s="31">
        <f>'VAL 2 TRIM'!AE39</f>
        <v>10</v>
      </c>
      <c r="N39" s="100">
        <f>'VAL 2 TRIM'!AG39</f>
        <v>100</v>
      </c>
      <c r="O39" s="31">
        <f>'VAL 3 TRIM'!C39</f>
        <v>10</v>
      </c>
      <c r="P39" s="31">
        <f>'VAL 3 TRIM'!O39</f>
        <v>35</v>
      </c>
      <c r="Q39" s="31">
        <f>'VAL 3 TRIM'!AB39</f>
        <v>35</v>
      </c>
      <c r="R39" s="31">
        <f>'VAL 3 TRIM'!AA39</f>
        <v>10</v>
      </c>
      <c r="S39" s="48">
        <f>'VAL 3 TRIM'!AE39</f>
        <v>10</v>
      </c>
      <c r="T39" s="100">
        <f>'VAL 3 TRIM'!AG39</f>
        <v>100</v>
      </c>
      <c r="U39" s="101">
        <f t="shared" si="0"/>
        <v>100</v>
      </c>
      <c r="V39" s="102" t="str">
        <f t="shared" si="1"/>
        <v>APROBADO</v>
      </c>
      <c r="W39" s="103"/>
      <c r="X39" s="103"/>
    </row>
    <row r="40" spans="1:24" ht="12" customHeight="1" x14ac:dyDescent="0.3">
      <c r="A40" s="58">
        <v>32</v>
      </c>
      <c r="B40" s="59">
        <f>'C. FILIACION'!B39</f>
        <v>0</v>
      </c>
      <c r="C40" s="48">
        <f>'VAL 1 TRIM '!C40</f>
        <v>10</v>
      </c>
      <c r="D40" s="48">
        <f>'VAL 1 TRIM '!O40</f>
        <v>35</v>
      </c>
      <c r="E40" s="48">
        <f>'VAL 1 TRIM '!AB40</f>
        <v>35</v>
      </c>
      <c r="F40" s="48">
        <f>'VAL 1 TRIM '!AE40</f>
        <v>10</v>
      </c>
      <c r="G40" s="48">
        <f>'VAL 1 TRIM '!AE40</f>
        <v>10</v>
      </c>
      <c r="H40" s="100">
        <f>'VAL 1 TRIM '!AG40</f>
        <v>100</v>
      </c>
      <c r="I40" s="31">
        <f>'VAL 2 TRIM'!C40</f>
        <v>10</v>
      </c>
      <c r="J40" s="31">
        <f>'VAL 2 TRIM'!O40</f>
        <v>35</v>
      </c>
      <c r="K40" s="31">
        <f>'VAL 2 TRIM'!AB40</f>
        <v>35</v>
      </c>
      <c r="L40" s="31">
        <f>'VAL 2 TRIM'!AA40</f>
        <v>10</v>
      </c>
      <c r="M40" s="31">
        <f>'VAL 2 TRIM'!AE40</f>
        <v>10</v>
      </c>
      <c r="N40" s="100">
        <f>'VAL 2 TRIM'!AG40</f>
        <v>100</v>
      </c>
      <c r="O40" s="31">
        <f>'VAL 3 TRIM'!C40</f>
        <v>10</v>
      </c>
      <c r="P40" s="31">
        <f>'VAL 3 TRIM'!O40</f>
        <v>35</v>
      </c>
      <c r="Q40" s="31">
        <f>'VAL 3 TRIM'!AB40</f>
        <v>35</v>
      </c>
      <c r="R40" s="31">
        <f>'VAL 3 TRIM'!AA40</f>
        <v>10</v>
      </c>
      <c r="S40" s="48">
        <f>'VAL 3 TRIM'!AE40</f>
        <v>10</v>
      </c>
      <c r="T40" s="100">
        <f>'VAL 3 TRIM'!AG40</f>
        <v>100</v>
      </c>
      <c r="U40" s="101">
        <f t="shared" si="0"/>
        <v>100</v>
      </c>
      <c r="V40" s="102" t="str">
        <f t="shared" si="1"/>
        <v>APROBADO</v>
      </c>
      <c r="W40" s="103"/>
      <c r="X40" s="103"/>
    </row>
    <row r="41" spans="1:24" ht="12" customHeight="1" x14ac:dyDescent="0.3">
      <c r="A41" s="58">
        <v>33</v>
      </c>
      <c r="B41" s="59">
        <f>'C. FILIACION'!B40</f>
        <v>0</v>
      </c>
      <c r="C41" s="48">
        <f>'VAL 1 TRIM '!C41</f>
        <v>10</v>
      </c>
      <c r="D41" s="48">
        <f>'VAL 1 TRIM '!O41</f>
        <v>35</v>
      </c>
      <c r="E41" s="48">
        <f>'VAL 1 TRIM '!AB41</f>
        <v>35</v>
      </c>
      <c r="F41" s="48">
        <f>'VAL 1 TRIM '!AE41</f>
        <v>10</v>
      </c>
      <c r="G41" s="48">
        <f>'VAL 1 TRIM '!AE41</f>
        <v>10</v>
      </c>
      <c r="H41" s="100">
        <f>'VAL 1 TRIM '!AG41</f>
        <v>100</v>
      </c>
      <c r="I41" s="31">
        <f>'VAL 2 TRIM'!C41</f>
        <v>10</v>
      </c>
      <c r="J41" s="31">
        <f>'VAL 2 TRIM'!O41</f>
        <v>35</v>
      </c>
      <c r="K41" s="31">
        <f>'VAL 2 TRIM'!AB41</f>
        <v>35</v>
      </c>
      <c r="L41" s="31">
        <f>'VAL 2 TRIM'!AA41</f>
        <v>10</v>
      </c>
      <c r="M41" s="31">
        <f>'VAL 2 TRIM'!AE41</f>
        <v>10</v>
      </c>
      <c r="N41" s="100">
        <f>'VAL 2 TRIM'!AG41</f>
        <v>100</v>
      </c>
      <c r="O41" s="31">
        <f>'VAL 3 TRIM'!C41</f>
        <v>10</v>
      </c>
      <c r="P41" s="31">
        <f>'VAL 3 TRIM'!O41</f>
        <v>35</v>
      </c>
      <c r="Q41" s="31">
        <f>'VAL 3 TRIM'!AB41</f>
        <v>35</v>
      </c>
      <c r="R41" s="31">
        <f>'VAL 3 TRIM'!AA41</f>
        <v>10</v>
      </c>
      <c r="S41" s="48">
        <f>'VAL 3 TRIM'!AE41</f>
        <v>10</v>
      </c>
      <c r="T41" s="100">
        <f>'VAL 3 TRIM'!AG41</f>
        <v>100</v>
      </c>
      <c r="U41" s="101">
        <f t="shared" si="0"/>
        <v>100</v>
      </c>
      <c r="V41" s="102" t="str">
        <f t="shared" si="1"/>
        <v>APROBADO</v>
      </c>
      <c r="W41" s="103"/>
      <c r="X41" s="103"/>
    </row>
    <row r="42" spans="1:24" ht="12" customHeight="1" x14ac:dyDescent="0.3">
      <c r="A42" s="58">
        <v>34</v>
      </c>
      <c r="B42" s="59">
        <f>'C. FILIACION'!B41</f>
        <v>0</v>
      </c>
      <c r="C42" s="48">
        <f>'VAL 1 TRIM '!C42</f>
        <v>10</v>
      </c>
      <c r="D42" s="48">
        <f>'VAL 1 TRIM '!O42</f>
        <v>35</v>
      </c>
      <c r="E42" s="48">
        <f>'VAL 1 TRIM '!AB42</f>
        <v>35</v>
      </c>
      <c r="F42" s="48">
        <f>'VAL 1 TRIM '!AE42</f>
        <v>10</v>
      </c>
      <c r="G42" s="48">
        <f>'VAL 1 TRIM '!AE42</f>
        <v>10</v>
      </c>
      <c r="H42" s="100">
        <f>'VAL 1 TRIM '!AG42</f>
        <v>100</v>
      </c>
      <c r="I42" s="31">
        <f>'VAL 2 TRIM'!C42</f>
        <v>10</v>
      </c>
      <c r="J42" s="31">
        <f>'VAL 2 TRIM'!O42</f>
        <v>35</v>
      </c>
      <c r="K42" s="31">
        <f>'VAL 2 TRIM'!AB42</f>
        <v>35</v>
      </c>
      <c r="L42" s="31">
        <f>'VAL 2 TRIM'!AA42</f>
        <v>10</v>
      </c>
      <c r="M42" s="31">
        <f>'VAL 2 TRIM'!AE42</f>
        <v>10</v>
      </c>
      <c r="N42" s="100">
        <f>'VAL 2 TRIM'!AG42</f>
        <v>100</v>
      </c>
      <c r="O42" s="31">
        <f>'VAL 3 TRIM'!C42</f>
        <v>10</v>
      </c>
      <c r="P42" s="31">
        <f>'VAL 3 TRIM'!O42</f>
        <v>35</v>
      </c>
      <c r="Q42" s="31">
        <f>'VAL 3 TRIM'!AB42</f>
        <v>35</v>
      </c>
      <c r="R42" s="31">
        <f>'VAL 3 TRIM'!AA42</f>
        <v>10</v>
      </c>
      <c r="S42" s="48">
        <f>'VAL 3 TRIM'!AE42</f>
        <v>10</v>
      </c>
      <c r="T42" s="100">
        <f>'VAL 3 TRIM'!AG42</f>
        <v>100</v>
      </c>
      <c r="U42" s="101">
        <f t="shared" si="0"/>
        <v>100</v>
      </c>
      <c r="V42" s="102" t="str">
        <f t="shared" si="1"/>
        <v>APROBADO</v>
      </c>
      <c r="W42" s="103"/>
      <c r="X42" s="103"/>
    </row>
    <row r="43" spans="1:24" ht="12" customHeight="1" x14ac:dyDescent="0.3">
      <c r="A43" s="58">
        <v>35</v>
      </c>
      <c r="B43" s="59">
        <f>'C. FILIACION'!B42</f>
        <v>0</v>
      </c>
      <c r="C43" s="48">
        <f>'VAL 1 TRIM '!C43</f>
        <v>10</v>
      </c>
      <c r="D43" s="48">
        <f>'VAL 1 TRIM '!O43</f>
        <v>35</v>
      </c>
      <c r="E43" s="48">
        <f>'VAL 1 TRIM '!AB43</f>
        <v>35</v>
      </c>
      <c r="F43" s="48">
        <f>'VAL 1 TRIM '!AE43</f>
        <v>10</v>
      </c>
      <c r="G43" s="48">
        <f>'VAL 1 TRIM '!AE43</f>
        <v>10</v>
      </c>
      <c r="H43" s="100">
        <f>'VAL 1 TRIM '!AG43</f>
        <v>100</v>
      </c>
      <c r="I43" s="31">
        <f>'VAL 2 TRIM'!C43</f>
        <v>10</v>
      </c>
      <c r="J43" s="31">
        <f>'VAL 2 TRIM'!O43</f>
        <v>35</v>
      </c>
      <c r="K43" s="31">
        <f>'VAL 2 TRIM'!AB43</f>
        <v>35</v>
      </c>
      <c r="L43" s="31">
        <f>'VAL 2 TRIM'!AA43</f>
        <v>10</v>
      </c>
      <c r="M43" s="31">
        <f>'VAL 2 TRIM'!AE43</f>
        <v>10</v>
      </c>
      <c r="N43" s="100">
        <f>'VAL 2 TRIM'!AG43</f>
        <v>100</v>
      </c>
      <c r="O43" s="31">
        <f>'VAL 3 TRIM'!C43</f>
        <v>10</v>
      </c>
      <c r="P43" s="31">
        <f>'VAL 3 TRIM'!O43</f>
        <v>35</v>
      </c>
      <c r="Q43" s="31">
        <f>'VAL 3 TRIM'!AB43</f>
        <v>35</v>
      </c>
      <c r="R43" s="31">
        <f>'VAL 3 TRIM'!AA43</f>
        <v>10</v>
      </c>
      <c r="S43" s="48">
        <f>'VAL 3 TRIM'!AE43</f>
        <v>10</v>
      </c>
      <c r="T43" s="100">
        <f>'VAL 3 TRIM'!AG43</f>
        <v>100</v>
      </c>
      <c r="U43" s="101">
        <f t="shared" si="0"/>
        <v>100</v>
      </c>
      <c r="V43" s="102" t="str">
        <f t="shared" si="1"/>
        <v>APROBADO</v>
      </c>
      <c r="W43" s="103"/>
      <c r="X43" s="103"/>
    </row>
    <row r="44" spans="1:24" ht="12" customHeight="1" x14ac:dyDescent="0.3">
      <c r="A44" s="58">
        <v>36</v>
      </c>
      <c r="B44" s="59">
        <f>'C. FILIACION'!B43</f>
        <v>0</v>
      </c>
      <c r="C44" s="48">
        <f>'VAL 1 TRIM '!C44</f>
        <v>10</v>
      </c>
      <c r="D44" s="48">
        <f>'VAL 1 TRIM '!O44</f>
        <v>35</v>
      </c>
      <c r="E44" s="48">
        <f>'VAL 1 TRIM '!AB44</f>
        <v>35</v>
      </c>
      <c r="F44" s="48">
        <f>'VAL 1 TRIM '!AE44</f>
        <v>10</v>
      </c>
      <c r="G44" s="48">
        <f>'VAL 1 TRIM '!AE44</f>
        <v>10</v>
      </c>
      <c r="H44" s="100">
        <f>'VAL 1 TRIM '!AG44</f>
        <v>100</v>
      </c>
      <c r="I44" s="31">
        <f>'VAL 2 TRIM'!C44</f>
        <v>10</v>
      </c>
      <c r="J44" s="31">
        <f>'VAL 2 TRIM'!O44</f>
        <v>35</v>
      </c>
      <c r="K44" s="31">
        <f>'VAL 2 TRIM'!AB44</f>
        <v>35</v>
      </c>
      <c r="L44" s="31">
        <f>'VAL 2 TRIM'!AA44</f>
        <v>10</v>
      </c>
      <c r="M44" s="31">
        <f>'VAL 2 TRIM'!AE44</f>
        <v>10</v>
      </c>
      <c r="N44" s="100">
        <f>'VAL 2 TRIM'!AG44</f>
        <v>100</v>
      </c>
      <c r="O44" s="31">
        <f>'VAL 3 TRIM'!C44</f>
        <v>10</v>
      </c>
      <c r="P44" s="31">
        <f>'VAL 3 TRIM'!O44</f>
        <v>35</v>
      </c>
      <c r="Q44" s="31">
        <f>'VAL 3 TRIM'!AB44</f>
        <v>35</v>
      </c>
      <c r="R44" s="31">
        <f>'VAL 3 TRIM'!AA44</f>
        <v>10</v>
      </c>
      <c r="S44" s="48">
        <f>'VAL 3 TRIM'!AE44</f>
        <v>10</v>
      </c>
      <c r="T44" s="100">
        <f>'VAL 3 TRIM'!AG44</f>
        <v>100</v>
      </c>
      <c r="U44" s="101">
        <f t="shared" si="0"/>
        <v>100</v>
      </c>
      <c r="V44" s="102" t="str">
        <f t="shared" si="1"/>
        <v>APROBADO</v>
      </c>
      <c r="W44" s="104"/>
      <c r="X44" s="104"/>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x14ac:dyDescent="0.3"/>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x14ac:dyDescent="0.3"/>
    <row r="2" spans="1:13" ht="12.75" customHeight="1" x14ac:dyDescent="0.3">
      <c r="B2" s="173" t="s">
        <v>103</v>
      </c>
      <c r="C2" s="169"/>
      <c r="D2" s="169"/>
      <c r="E2" s="169"/>
      <c r="F2" s="169"/>
      <c r="G2" s="169"/>
      <c r="H2" s="169"/>
      <c r="I2" s="72"/>
      <c r="J2" s="72"/>
      <c r="K2" s="72"/>
      <c r="L2" s="72"/>
      <c r="M2" s="72"/>
    </row>
    <row r="3" spans="1:13" ht="12.75" customHeight="1" x14ac:dyDescent="0.3">
      <c r="B3" s="38" t="s">
        <v>8</v>
      </c>
      <c r="C3" s="39" t="str">
        <f>CARÁTULA!$C$15</f>
        <v>Instituto Tecnico Humanistico Jauzel Arrieta</v>
      </c>
      <c r="D3" s="41"/>
      <c r="E3" s="42"/>
      <c r="F3" s="42"/>
      <c r="G3" s="42"/>
      <c r="H3" s="42"/>
      <c r="I3" s="42"/>
      <c r="J3" s="38" t="s">
        <v>19</v>
      </c>
      <c r="K3" s="105"/>
      <c r="L3" s="39">
        <f>CARÁTULA!$C$25</f>
        <v>0</v>
      </c>
      <c r="M3" s="105"/>
    </row>
    <row r="4" spans="1:13" ht="12.75" customHeight="1" x14ac:dyDescent="0.3">
      <c r="B4" s="38" t="s">
        <v>14</v>
      </c>
      <c r="C4" s="39" t="str">
        <f>CARÁTULA!$C$21</f>
        <v>Secundaria</v>
      </c>
      <c r="D4" s="41"/>
      <c r="E4" s="40"/>
      <c r="F4" s="39"/>
      <c r="G4" s="40"/>
      <c r="H4" s="40"/>
      <c r="I4" s="40"/>
      <c r="J4" s="38" t="s">
        <v>53</v>
      </c>
      <c r="K4" s="105"/>
      <c r="L4" s="39">
        <f>CARÁTULA!$C$19</f>
        <v>0</v>
      </c>
      <c r="M4" s="105"/>
    </row>
    <row r="5" spans="1:13" ht="12.75" customHeight="1" x14ac:dyDescent="0.3">
      <c r="B5" s="38" t="s">
        <v>22</v>
      </c>
      <c r="C5" s="39" t="str">
        <f>CARÁTULA!$C$23</f>
        <v>4to de Secundaria</v>
      </c>
      <c r="D5" s="38"/>
      <c r="E5" s="44"/>
      <c r="F5" s="220"/>
      <c r="G5" s="209"/>
      <c r="H5" s="44"/>
      <c r="I5" s="44"/>
      <c r="J5" s="38" t="s">
        <v>23</v>
      </c>
      <c r="K5" s="105"/>
      <c r="L5" s="187">
        <f ca="1">TODAY()</f>
        <v>44419</v>
      </c>
      <c r="M5" s="169"/>
    </row>
    <row r="6" spans="1:13" ht="12.75" customHeight="1" x14ac:dyDescent="0.3">
      <c r="B6" s="38"/>
      <c r="C6" s="221" t="s">
        <v>108</v>
      </c>
      <c r="D6" s="191"/>
      <c r="E6" s="192"/>
      <c r="F6" s="217" t="s">
        <v>104</v>
      </c>
      <c r="G6" s="213" t="s">
        <v>105</v>
      </c>
      <c r="H6" s="67"/>
      <c r="I6" s="67"/>
    </row>
    <row r="7" spans="1:13" ht="12" customHeight="1" x14ac:dyDescent="0.3">
      <c r="B7" s="47"/>
      <c r="C7" s="218" t="s">
        <v>4</v>
      </c>
      <c r="D7" s="218" t="s">
        <v>109</v>
      </c>
      <c r="E7" s="219" t="s">
        <v>16</v>
      </c>
      <c r="F7" s="214"/>
      <c r="G7" s="214"/>
      <c r="H7" s="40"/>
      <c r="I7" s="40"/>
    </row>
    <row r="8" spans="1:13" ht="67.5" customHeight="1" x14ac:dyDescent="0.3">
      <c r="A8" s="48" t="s">
        <v>56</v>
      </c>
      <c r="B8" s="49" t="s">
        <v>57</v>
      </c>
      <c r="C8" s="199"/>
      <c r="D8" s="199"/>
      <c r="E8" s="199"/>
      <c r="F8" s="199"/>
      <c r="G8" s="199"/>
      <c r="H8" s="99"/>
      <c r="I8" s="99" t="s">
        <v>110</v>
      </c>
      <c r="J8" s="99" t="s">
        <v>111</v>
      </c>
      <c r="K8" s="99" t="s">
        <v>112</v>
      </c>
    </row>
    <row r="9" spans="1:13" ht="12" customHeight="1" x14ac:dyDescent="0.3">
      <c r="A9" s="58">
        <v>1</v>
      </c>
      <c r="B9" s="59" t="str">
        <f>'C. FILIACION'!B8</f>
        <v>BENITEZ BALLESTEROS KAREN ARIANA</v>
      </c>
      <c r="C9" s="100">
        <f>'VAL 1 TRIM '!AG9</f>
        <v>90</v>
      </c>
      <c r="D9" s="100">
        <f>'VAL 2 TRIM'!AG9</f>
        <v>80</v>
      </c>
      <c r="E9" s="100">
        <f>'VAL 3 TRIM'!AG9</f>
        <v>100</v>
      </c>
      <c r="F9" s="101">
        <f>'CENTRAL 1'!U9</f>
        <v>90</v>
      </c>
      <c r="G9" s="102" t="str">
        <f t="shared" ref="G9:G44" si="0">IF(F9="","",(IF(AND(F9&gt;=1,F9&lt;=50.499),"REPROBADO",IF(AND(F9&gt;=50.5,F9&lt;=100),"APROBADO"))))</f>
        <v>APROBADO</v>
      </c>
      <c r="H9" s="103"/>
      <c r="I9" s="31">
        <f t="shared" ref="I9:K9" si="1">COUNTIF(C9:C44,"&gt;=51")</f>
        <v>36</v>
      </c>
      <c r="J9" s="106">
        <f t="shared" si="1"/>
        <v>17</v>
      </c>
      <c r="K9" s="106">
        <f t="shared" si="1"/>
        <v>36</v>
      </c>
    </row>
    <row r="10" spans="1:13" ht="12" customHeight="1" x14ac:dyDescent="0.3">
      <c r="A10" s="58">
        <v>2</v>
      </c>
      <c r="B10" s="59" t="str">
        <f>'C. FILIACION'!B9</f>
        <v>CALIZAYA MERCADO AXEL GABRIEL</v>
      </c>
      <c r="C10" s="100">
        <f>'VAL 1 TRIM '!AG10</f>
        <v>55</v>
      </c>
      <c r="D10" s="100">
        <f>'VAL 2 TRIM'!AG10</f>
        <v>30</v>
      </c>
      <c r="E10" s="100">
        <f>'VAL 3 TRIM'!AG10</f>
        <v>100</v>
      </c>
      <c r="F10" s="101">
        <f>'CENTRAL 1'!U10</f>
        <v>61.666666666666664</v>
      </c>
      <c r="G10" s="102" t="str">
        <f t="shared" si="0"/>
        <v>APROBADO</v>
      </c>
      <c r="H10" s="103"/>
      <c r="I10" s="107" t="s">
        <v>113</v>
      </c>
      <c r="J10" s="108"/>
    </row>
    <row r="11" spans="1:13" ht="12" customHeight="1" x14ac:dyDescent="0.3">
      <c r="A11" s="58">
        <v>3</v>
      </c>
      <c r="B11" s="59" t="str">
        <f>'C. FILIACION'!B10</f>
        <v>CANO GUZMAN FABRIZIO RODRIGO</v>
      </c>
      <c r="C11" s="100">
        <f>'VAL 1 TRIM '!AG11</f>
        <v>61</v>
      </c>
      <c r="D11" s="100">
        <f>'VAL 2 TRIM'!AG11</f>
        <v>30</v>
      </c>
      <c r="E11" s="100">
        <f>'VAL 3 TRIM'!AG11</f>
        <v>100</v>
      </c>
      <c r="F11" s="101">
        <f>'CENTRAL 1'!U11</f>
        <v>63.666666666666664</v>
      </c>
      <c r="G11" s="102" t="str">
        <f t="shared" si="0"/>
        <v>APROBADO</v>
      </c>
      <c r="H11" s="103"/>
      <c r="I11" s="103"/>
    </row>
    <row r="12" spans="1:13" ht="12" customHeight="1" x14ac:dyDescent="0.3">
      <c r="A12" s="58">
        <v>4</v>
      </c>
      <c r="B12" s="59" t="str">
        <f>'C. FILIACION'!B11</f>
        <v>CHOQUE LAURA CARLOS EDUARDO</v>
      </c>
      <c r="C12" s="100">
        <f>'VAL 1 TRIM '!AG12</f>
        <v>90</v>
      </c>
      <c r="D12" s="100">
        <f>'VAL 2 TRIM'!AG12</f>
        <v>30</v>
      </c>
      <c r="E12" s="100">
        <f>'VAL 3 TRIM'!AG12</f>
        <v>100</v>
      </c>
      <c r="F12" s="101">
        <f>'CENTRAL 1'!U12</f>
        <v>73.333333333333329</v>
      </c>
      <c r="G12" s="102" t="str">
        <f t="shared" si="0"/>
        <v>APROBADO</v>
      </c>
      <c r="H12" s="103"/>
      <c r="I12" s="103"/>
    </row>
    <row r="13" spans="1:13" ht="12" customHeight="1" x14ac:dyDescent="0.3">
      <c r="A13" s="58">
        <v>5</v>
      </c>
      <c r="B13" s="59" t="str">
        <f>'C. FILIACION'!B12</f>
        <v>CONDORI GALARZA DENSEL ALEXSIS</v>
      </c>
      <c r="C13" s="100">
        <f>'VAL 1 TRIM '!AG13</f>
        <v>90</v>
      </c>
      <c r="D13" s="100">
        <f>'VAL 2 TRIM'!AG13</f>
        <v>100</v>
      </c>
      <c r="E13" s="100">
        <f>'VAL 3 TRIM'!AG13</f>
        <v>100</v>
      </c>
      <c r="F13" s="101">
        <f>'CENTRAL 1'!U13</f>
        <v>96.666666666666671</v>
      </c>
      <c r="G13" s="102" t="str">
        <f t="shared" si="0"/>
        <v>APROBADO</v>
      </c>
      <c r="H13" s="103"/>
      <c r="I13" s="106">
        <f t="shared" ref="I13:K13" si="2">COUNTIF(C9:C44,"&lt;=51")</f>
        <v>0</v>
      </c>
      <c r="J13" s="106">
        <f t="shared" si="2"/>
        <v>19</v>
      </c>
      <c r="K13" s="106">
        <f t="shared" si="2"/>
        <v>0</v>
      </c>
    </row>
    <row r="14" spans="1:13" ht="12" customHeight="1" x14ac:dyDescent="0.3">
      <c r="A14" s="58">
        <v>6</v>
      </c>
      <c r="B14" s="59" t="str">
        <f>'C. FILIACION'!B13</f>
        <v>DAZA RAMIREZ KALEP MATEO</v>
      </c>
      <c r="C14" s="100">
        <f>'VAL 1 TRIM '!AG14</f>
        <v>70</v>
      </c>
      <c r="D14" s="100">
        <f>'VAL 2 TRIM'!AG14</f>
        <v>30</v>
      </c>
      <c r="E14" s="100">
        <f>'VAL 3 TRIM'!AG14</f>
        <v>100</v>
      </c>
      <c r="F14" s="101">
        <f>'CENTRAL 1'!U14</f>
        <v>66.666666666666671</v>
      </c>
      <c r="G14" s="102" t="str">
        <f t="shared" si="0"/>
        <v>APROBADO</v>
      </c>
      <c r="H14" s="103"/>
      <c r="I14" s="107" t="s">
        <v>114</v>
      </c>
    </row>
    <row r="15" spans="1:13" ht="12" customHeight="1" x14ac:dyDescent="0.3">
      <c r="A15" s="58">
        <v>7</v>
      </c>
      <c r="B15" s="59" t="str">
        <f>'C. FILIACION'!B14</f>
        <v>ESTRADA FUNES NAZARETH</v>
      </c>
      <c r="C15" s="100">
        <f>'VAL 1 TRIM '!AG15</f>
        <v>90</v>
      </c>
      <c r="D15" s="100">
        <f>'VAL 2 TRIM'!AG15</f>
        <v>80</v>
      </c>
      <c r="E15" s="100">
        <f>'VAL 3 TRIM'!AG15</f>
        <v>100</v>
      </c>
      <c r="F15" s="101">
        <f>'CENTRAL 1'!U15</f>
        <v>90</v>
      </c>
      <c r="G15" s="102" t="str">
        <f t="shared" si="0"/>
        <v>APROBADO</v>
      </c>
      <c r="H15" s="103"/>
      <c r="I15" s="103"/>
    </row>
    <row r="16" spans="1:13" ht="12" customHeight="1" x14ac:dyDescent="0.3">
      <c r="A16" s="58">
        <v>8</v>
      </c>
      <c r="B16" s="59" t="str">
        <f>'C. FILIACION'!B15</f>
        <v>FLORES VILLEGAS CARLOS IVAN</v>
      </c>
      <c r="C16" s="100">
        <f>'VAL 1 TRIM '!AG16</f>
        <v>90</v>
      </c>
      <c r="D16" s="100">
        <f>'VAL 2 TRIM'!AG16</f>
        <v>30</v>
      </c>
      <c r="E16" s="100">
        <f>'VAL 3 TRIM'!AG16</f>
        <v>100</v>
      </c>
      <c r="F16" s="101">
        <f>'CENTRAL 1'!U16</f>
        <v>73.333333333333329</v>
      </c>
      <c r="G16" s="102" t="str">
        <f t="shared" si="0"/>
        <v>APROBADO</v>
      </c>
      <c r="H16" s="103"/>
      <c r="I16" s="103"/>
    </row>
    <row r="17" spans="1:9" ht="12" customHeight="1" x14ac:dyDescent="0.3">
      <c r="A17" s="58">
        <v>9</v>
      </c>
      <c r="B17" s="59" t="str">
        <f>'C. FILIACION'!B16</f>
        <v>FRANCISCO RUIZ LUCERO</v>
      </c>
      <c r="C17" s="100">
        <f>'VAL 1 TRIM '!AG17</f>
        <v>90</v>
      </c>
      <c r="D17" s="100">
        <f>'VAL 2 TRIM'!AG17</f>
        <v>92</v>
      </c>
      <c r="E17" s="100">
        <f>'VAL 3 TRIM'!AG17</f>
        <v>100</v>
      </c>
      <c r="F17" s="101">
        <f>'CENTRAL 1'!U17</f>
        <v>94</v>
      </c>
      <c r="G17" s="102" t="str">
        <f t="shared" si="0"/>
        <v>APROBADO</v>
      </c>
      <c r="H17" s="103"/>
      <c r="I17" s="103"/>
    </row>
    <row r="18" spans="1:9" ht="12" customHeight="1" x14ac:dyDescent="0.3">
      <c r="A18" s="58">
        <v>10</v>
      </c>
      <c r="B18" s="59" t="str">
        <f>'C. FILIACION'!B17</f>
        <v>IBARRA VINO ELOY INTI</v>
      </c>
      <c r="C18" s="100">
        <f>'VAL 1 TRIM '!AG18</f>
        <v>90</v>
      </c>
      <c r="D18" s="100">
        <f>'VAL 2 TRIM'!AG18</f>
        <v>83</v>
      </c>
      <c r="E18" s="100">
        <f>'VAL 3 TRIM'!AG18</f>
        <v>100</v>
      </c>
      <c r="F18" s="101">
        <f>'CENTRAL 1'!U18</f>
        <v>91</v>
      </c>
      <c r="G18" s="102" t="str">
        <f t="shared" si="0"/>
        <v>APROBADO</v>
      </c>
      <c r="H18" s="103"/>
      <c r="I18" s="103"/>
    </row>
    <row r="19" spans="1:9" ht="12" customHeight="1" x14ac:dyDescent="0.3">
      <c r="A19" s="58">
        <v>11</v>
      </c>
      <c r="B19" s="59" t="str">
        <f>'C. FILIACION'!B18</f>
        <v>LOPEZ BLANCO SOFIA FELEN</v>
      </c>
      <c r="C19" s="100">
        <f>'VAL 1 TRIM '!AG19</f>
        <v>90</v>
      </c>
      <c r="D19" s="100">
        <f>'VAL 2 TRIM'!AG19</f>
        <v>59</v>
      </c>
      <c r="E19" s="100">
        <f>'VAL 3 TRIM'!AG19</f>
        <v>100</v>
      </c>
      <c r="F19" s="101">
        <f>'CENTRAL 1'!U19</f>
        <v>83</v>
      </c>
      <c r="G19" s="102" t="str">
        <f t="shared" si="0"/>
        <v>APROBADO</v>
      </c>
      <c r="H19" s="103"/>
      <c r="I19" s="103"/>
    </row>
    <row r="20" spans="1:9" ht="12" customHeight="1" x14ac:dyDescent="0.3">
      <c r="A20" s="58">
        <v>12</v>
      </c>
      <c r="B20" s="59" t="str">
        <f>'C. FILIACION'!B19</f>
        <v>LOPEZ PACO RODRIGO ADRIAN</v>
      </c>
      <c r="C20" s="100">
        <f>'VAL 1 TRIM '!AG20</f>
        <v>61</v>
      </c>
      <c r="D20" s="100">
        <f>'VAL 2 TRIM'!AG20</f>
        <v>30</v>
      </c>
      <c r="E20" s="100">
        <f>'VAL 3 TRIM'!AG20</f>
        <v>100</v>
      </c>
      <c r="F20" s="101">
        <f>'CENTRAL 1'!U20</f>
        <v>63.666666666666664</v>
      </c>
      <c r="G20" s="102" t="str">
        <f t="shared" si="0"/>
        <v>APROBADO</v>
      </c>
      <c r="H20" s="103"/>
      <c r="I20" s="103"/>
    </row>
    <row r="21" spans="1:9" ht="12" customHeight="1" x14ac:dyDescent="0.3">
      <c r="A21" s="58">
        <v>13</v>
      </c>
      <c r="B21" s="59" t="str">
        <f>'C. FILIACION'!B20</f>
        <v>LOPEZ VERA MILENCA</v>
      </c>
      <c r="C21" s="100">
        <f>'VAL 1 TRIM '!AG21</f>
        <v>90</v>
      </c>
      <c r="D21" s="100">
        <f>'VAL 2 TRIM'!AG21</f>
        <v>93</v>
      </c>
      <c r="E21" s="100">
        <f>'VAL 3 TRIM'!AG21</f>
        <v>100</v>
      </c>
      <c r="F21" s="101">
        <f>'CENTRAL 1'!U21</f>
        <v>94.333333333333329</v>
      </c>
      <c r="G21" s="102" t="str">
        <f t="shared" si="0"/>
        <v>APROBADO</v>
      </c>
      <c r="H21" s="103"/>
      <c r="I21" s="103"/>
    </row>
    <row r="22" spans="1:9" ht="12" customHeight="1" x14ac:dyDescent="0.3">
      <c r="A22" s="58">
        <v>14</v>
      </c>
      <c r="B22" s="59" t="str">
        <f>'C. FILIACION'!B21</f>
        <v>MEDINA CHOQUE JOSE ROBERTO</v>
      </c>
      <c r="C22" s="100">
        <f>'VAL 1 TRIM '!AG22</f>
        <v>90</v>
      </c>
      <c r="D22" s="100">
        <f>'VAL 2 TRIM'!AG22</f>
        <v>53</v>
      </c>
      <c r="E22" s="100">
        <f>'VAL 3 TRIM'!AG22</f>
        <v>100</v>
      </c>
      <c r="F22" s="101">
        <f>'CENTRAL 1'!U22</f>
        <v>81</v>
      </c>
      <c r="G22" s="102" t="str">
        <f t="shared" si="0"/>
        <v>APROBADO</v>
      </c>
      <c r="H22" s="103"/>
      <c r="I22" s="103"/>
    </row>
    <row r="23" spans="1:9" ht="12" customHeight="1" x14ac:dyDescent="0.3">
      <c r="A23" s="58">
        <v>15</v>
      </c>
      <c r="B23" s="59" t="str">
        <f>'C. FILIACION'!B22</f>
        <v>MIRABAL AYANOME JOSE ALFREDO</v>
      </c>
      <c r="C23" s="100">
        <f>'VAL 1 TRIM '!AG23</f>
        <v>70</v>
      </c>
      <c r="D23" s="100">
        <f>'VAL 2 TRIM'!AG23</f>
        <v>30</v>
      </c>
      <c r="E23" s="100">
        <f>'VAL 3 TRIM'!AG23</f>
        <v>100</v>
      </c>
      <c r="F23" s="101">
        <f>'CENTRAL 1'!U23</f>
        <v>66.666666666666671</v>
      </c>
      <c r="G23" s="102" t="str">
        <f t="shared" si="0"/>
        <v>APROBADO</v>
      </c>
      <c r="H23" s="103"/>
      <c r="I23" s="103"/>
    </row>
    <row r="24" spans="1:9" ht="12" customHeight="1" x14ac:dyDescent="0.3">
      <c r="A24" s="58">
        <v>16</v>
      </c>
      <c r="B24" s="59" t="str">
        <f>'C. FILIACION'!B23</f>
        <v>NINA RUEDA ESTEFANY DANIELA</v>
      </c>
      <c r="C24" s="100">
        <f>'VAL 1 TRIM '!AG24</f>
        <v>90</v>
      </c>
      <c r="D24" s="100">
        <f>'VAL 2 TRIM'!AG24</f>
        <v>55</v>
      </c>
      <c r="E24" s="100">
        <f>'VAL 3 TRIM'!AG24</f>
        <v>100</v>
      </c>
      <c r="F24" s="101">
        <f>'CENTRAL 1'!U24</f>
        <v>81.666666666666671</v>
      </c>
      <c r="G24" s="102" t="str">
        <f t="shared" si="0"/>
        <v>APROBADO</v>
      </c>
      <c r="H24" s="103"/>
      <c r="I24" s="103"/>
    </row>
    <row r="25" spans="1:9" ht="12" customHeight="1" x14ac:dyDescent="0.3">
      <c r="A25" s="58">
        <v>17</v>
      </c>
      <c r="B25" s="59" t="str">
        <f>'C. FILIACION'!B24</f>
        <v>PORTILLO QUISPE JORGE LUIS</v>
      </c>
      <c r="C25" s="100">
        <f>'VAL 1 TRIM '!AG25</f>
        <v>90</v>
      </c>
      <c r="D25" s="100">
        <f>'VAL 2 TRIM'!AG25</f>
        <v>48</v>
      </c>
      <c r="E25" s="100">
        <f>'VAL 3 TRIM'!AG25</f>
        <v>100</v>
      </c>
      <c r="F25" s="101">
        <f>'CENTRAL 1'!U25</f>
        <v>79.333333333333329</v>
      </c>
      <c r="G25" s="102" t="str">
        <f t="shared" si="0"/>
        <v>APROBADO</v>
      </c>
      <c r="H25" s="103"/>
      <c r="I25" s="103"/>
    </row>
    <row r="26" spans="1:9" ht="12" customHeight="1" x14ac:dyDescent="0.3">
      <c r="A26" s="58">
        <v>18</v>
      </c>
      <c r="B26" s="59" t="str">
        <f>'C. FILIACION'!B25</f>
        <v>TORREZ PACO CARLA MILENKA</v>
      </c>
      <c r="C26" s="100">
        <f>'VAL 1 TRIM '!AG26</f>
        <v>90</v>
      </c>
      <c r="D26" s="100">
        <f>'VAL 2 TRIM'!AG26</f>
        <v>45</v>
      </c>
      <c r="E26" s="100">
        <f>'VAL 3 TRIM'!AG26</f>
        <v>100</v>
      </c>
      <c r="F26" s="101">
        <f>'CENTRAL 1'!U26</f>
        <v>78.333333333333329</v>
      </c>
      <c r="G26" s="102" t="str">
        <f t="shared" si="0"/>
        <v>APROBADO</v>
      </c>
      <c r="H26" s="103"/>
      <c r="I26" s="103"/>
    </row>
    <row r="27" spans="1:9" ht="12" customHeight="1" x14ac:dyDescent="0.3">
      <c r="A27" s="58">
        <v>19</v>
      </c>
      <c r="B27" s="59">
        <f>'C. FILIACION'!B26</f>
        <v>0</v>
      </c>
      <c r="C27" s="100">
        <f>'VAL 1 TRIM '!AG27</f>
        <v>100</v>
      </c>
      <c r="D27" s="100">
        <f>'VAL 2 TRIM'!AG27</f>
        <v>30</v>
      </c>
      <c r="E27" s="100">
        <f>'VAL 3 TRIM'!AG27</f>
        <v>100</v>
      </c>
      <c r="F27" s="101">
        <f>'CENTRAL 1'!U27</f>
        <v>76.666666666666671</v>
      </c>
      <c r="G27" s="102" t="str">
        <f t="shared" si="0"/>
        <v>APROBADO</v>
      </c>
      <c r="H27" s="103"/>
      <c r="I27" s="103"/>
    </row>
    <row r="28" spans="1:9" ht="12" customHeight="1" x14ac:dyDescent="0.3">
      <c r="A28" s="58">
        <v>20</v>
      </c>
      <c r="B28" s="59">
        <f>'C. FILIACION'!B27</f>
        <v>0</v>
      </c>
      <c r="C28" s="100">
        <f>'VAL 1 TRIM '!AG28</f>
        <v>100</v>
      </c>
      <c r="D28" s="100">
        <f>'VAL 2 TRIM'!AG28</f>
        <v>30</v>
      </c>
      <c r="E28" s="100">
        <f>'VAL 3 TRIM'!AG28</f>
        <v>100</v>
      </c>
      <c r="F28" s="101">
        <f>'CENTRAL 1'!U28</f>
        <v>76.666666666666671</v>
      </c>
      <c r="G28" s="102" t="str">
        <f t="shared" si="0"/>
        <v>APROBADO</v>
      </c>
      <c r="H28" s="103"/>
      <c r="I28" s="103"/>
    </row>
    <row r="29" spans="1:9" ht="12" customHeight="1" x14ac:dyDescent="0.3">
      <c r="A29" s="58">
        <v>21</v>
      </c>
      <c r="B29" s="59">
        <f>'C. FILIACION'!B28</f>
        <v>0</v>
      </c>
      <c r="C29" s="100">
        <f>'VAL 1 TRIM '!AG29</f>
        <v>100</v>
      </c>
      <c r="D29" s="100">
        <f>'VAL 2 TRIM'!AG29</f>
        <v>30</v>
      </c>
      <c r="E29" s="100">
        <f>'VAL 3 TRIM'!AG29</f>
        <v>100</v>
      </c>
      <c r="F29" s="101">
        <f>'CENTRAL 1'!U29</f>
        <v>76.666666666666671</v>
      </c>
      <c r="G29" s="102" t="str">
        <f t="shared" si="0"/>
        <v>APROBADO</v>
      </c>
      <c r="H29" s="103"/>
      <c r="I29" s="103"/>
    </row>
    <row r="30" spans="1:9" ht="12" customHeight="1" x14ac:dyDescent="0.3">
      <c r="A30" s="58">
        <v>22</v>
      </c>
      <c r="B30" s="59">
        <f>'C. FILIACION'!B29</f>
        <v>0</v>
      </c>
      <c r="C30" s="100">
        <f>'VAL 1 TRIM '!AG30</f>
        <v>100</v>
      </c>
      <c r="D30" s="100">
        <f>'VAL 2 TRIM'!AG30</f>
        <v>30</v>
      </c>
      <c r="E30" s="100">
        <f>'VAL 3 TRIM'!AG30</f>
        <v>100</v>
      </c>
      <c r="F30" s="101">
        <f>'CENTRAL 1'!U30</f>
        <v>76.666666666666671</v>
      </c>
      <c r="G30" s="102" t="str">
        <f t="shared" si="0"/>
        <v>APROBADO</v>
      </c>
      <c r="H30" s="103"/>
      <c r="I30" s="103"/>
    </row>
    <row r="31" spans="1:9" ht="12" customHeight="1" x14ac:dyDescent="0.3">
      <c r="A31" s="58">
        <v>23</v>
      </c>
      <c r="B31" s="59">
        <f>'C. FILIACION'!B30</f>
        <v>0</v>
      </c>
      <c r="C31" s="100">
        <f>'VAL 1 TRIM '!AG31</f>
        <v>100</v>
      </c>
      <c r="D31" s="100">
        <f>'VAL 2 TRIM'!AG31</f>
        <v>30</v>
      </c>
      <c r="E31" s="100">
        <f>'VAL 3 TRIM'!AG31</f>
        <v>100</v>
      </c>
      <c r="F31" s="101">
        <f>'CENTRAL 1'!U31</f>
        <v>76.666666666666671</v>
      </c>
      <c r="G31" s="102" t="str">
        <f t="shared" si="0"/>
        <v>APROBADO</v>
      </c>
      <c r="H31" s="103"/>
      <c r="I31" s="103"/>
    </row>
    <row r="32" spans="1:9" ht="12" customHeight="1" x14ac:dyDescent="0.3">
      <c r="A32" s="58">
        <v>24</v>
      </c>
      <c r="B32" s="59">
        <f>'C. FILIACION'!B31</f>
        <v>0</v>
      </c>
      <c r="C32" s="100">
        <f>'VAL 1 TRIM '!AG32</f>
        <v>100</v>
      </c>
      <c r="D32" s="100">
        <f>'VAL 2 TRIM'!AG32</f>
        <v>30</v>
      </c>
      <c r="E32" s="100">
        <f>'VAL 3 TRIM'!AG32</f>
        <v>100</v>
      </c>
      <c r="F32" s="101">
        <f>'CENTRAL 1'!U32</f>
        <v>76.666666666666671</v>
      </c>
      <c r="G32" s="102" t="str">
        <f t="shared" si="0"/>
        <v>APROBADO</v>
      </c>
      <c r="H32" s="103"/>
      <c r="I32" s="103"/>
    </row>
    <row r="33" spans="1:9" ht="12" customHeight="1" x14ac:dyDescent="0.3">
      <c r="A33" s="58">
        <v>25</v>
      </c>
      <c r="B33" s="59">
        <f>'C. FILIACION'!B32</f>
        <v>0</v>
      </c>
      <c r="C33" s="100">
        <f>'VAL 1 TRIM '!AG33</f>
        <v>100</v>
      </c>
      <c r="D33" s="100">
        <f>'VAL 2 TRIM'!AG33</f>
        <v>30</v>
      </c>
      <c r="E33" s="100">
        <f>'VAL 3 TRIM'!AG33</f>
        <v>100</v>
      </c>
      <c r="F33" s="101">
        <f>'CENTRAL 1'!U33</f>
        <v>76.666666666666671</v>
      </c>
      <c r="G33" s="102" t="str">
        <f t="shared" si="0"/>
        <v>APROBADO</v>
      </c>
      <c r="H33" s="103"/>
      <c r="I33" s="103"/>
    </row>
    <row r="34" spans="1:9" ht="12" customHeight="1" x14ac:dyDescent="0.3">
      <c r="A34" s="58">
        <v>26</v>
      </c>
      <c r="B34" s="59">
        <f>'C. FILIACION'!B33</f>
        <v>0</v>
      </c>
      <c r="C34" s="100">
        <f>'VAL 1 TRIM '!AG34</f>
        <v>100</v>
      </c>
      <c r="D34" s="100">
        <f>'VAL 2 TRIM'!AG34</f>
        <v>30</v>
      </c>
      <c r="E34" s="100">
        <f>'VAL 3 TRIM'!AG34</f>
        <v>100</v>
      </c>
      <c r="F34" s="101">
        <f>'CENTRAL 1'!U34</f>
        <v>76.666666666666671</v>
      </c>
      <c r="G34" s="102" t="str">
        <f t="shared" si="0"/>
        <v>APROBADO</v>
      </c>
      <c r="H34" s="103"/>
      <c r="I34" s="103"/>
    </row>
    <row r="35" spans="1:9" ht="12" customHeight="1" x14ac:dyDescent="0.3">
      <c r="A35" s="58">
        <v>27</v>
      </c>
      <c r="B35" s="59">
        <f>'C. FILIACION'!B34</f>
        <v>0</v>
      </c>
      <c r="C35" s="100">
        <f>'VAL 1 TRIM '!AG35</f>
        <v>100</v>
      </c>
      <c r="D35" s="100">
        <f>'VAL 2 TRIM'!AG35</f>
        <v>30</v>
      </c>
      <c r="E35" s="100">
        <f>'VAL 3 TRIM'!AG35</f>
        <v>100</v>
      </c>
      <c r="F35" s="101">
        <f>'CENTRAL 1'!U35</f>
        <v>76.666666666666671</v>
      </c>
      <c r="G35" s="102" t="str">
        <f t="shared" si="0"/>
        <v>APROBADO</v>
      </c>
      <c r="H35" s="103"/>
      <c r="I35" s="103"/>
    </row>
    <row r="36" spans="1:9" ht="12" customHeight="1" x14ac:dyDescent="0.3">
      <c r="A36" s="58">
        <v>28</v>
      </c>
      <c r="B36" s="59">
        <f>'C. FILIACION'!B35</f>
        <v>0</v>
      </c>
      <c r="C36" s="100">
        <f>'VAL 1 TRIM '!AG36</f>
        <v>100</v>
      </c>
      <c r="D36" s="100">
        <f>'VAL 2 TRIM'!AG36</f>
        <v>30</v>
      </c>
      <c r="E36" s="100">
        <f>'VAL 3 TRIM'!AG36</f>
        <v>100</v>
      </c>
      <c r="F36" s="101">
        <f>'CENTRAL 1'!U36</f>
        <v>76.666666666666671</v>
      </c>
      <c r="G36" s="102" t="str">
        <f t="shared" si="0"/>
        <v>APROBADO</v>
      </c>
      <c r="H36" s="103"/>
      <c r="I36" s="103"/>
    </row>
    <row r="37" spans="1:9" ht="12" customHeight="1" x14ac:dyDescent="0.3">
      <c r="A37" s="58">
        <v>29</v>
      </c>
      <c r="B37" s="59">
        <f>'C. FILIACION'!B36</f>
        <v>0</v>
      </c>
      <c r="C37" s="100">
        <f>'VAL 1 TRIM '!AG37</f>
        <v>100</v>
      </c>
      <c r="D37" s="100">
        <f>'VAL 2 TRIM'!AG37</f>
        <v>65</v>
      </c>
      <c r="E37" s="100">
        <f>'VAL 3 TRIM'!AG37</f>
        <v>100</v>
      </c>
      <c r="F37" s="101">
        <f>'CENTRAL 1'!U37</f>
        <v>88.333333333333329</v>
      </c>
      <c r="G37" s="102" t="str">
        <f t="shared" si="0"/>
        <v>APROBADO</v>
      </c>
      <c r="H37" s="103"/>
      <c r="I37" s="103"/>
    </row>
    <row r="38" spans="1:9" ht="12" customHeight="1" x14ac:dyDescent="0.3">
      <c r="A38" s="58">
        <v>30</v>
      </c>
      <c r="B38" s="59">
        <f>'C. FILIACION'!B37</f>
        <v>0</v>
      </c>
      <c r="C38" s="100">
        <f>'VAL 1 TRIM '!AG38</f>
        <v>100</v>
      </c>
      <c r="D38" s="100">
        <f>'VAL 2 TRIM'!AG38</f>
        <v>100</v>
      </c>
      <c r="E38" s="100">
        <f>'VAL 3 TRIM'!AG38</f>
        <v>100</v>
      </c>
      <c r="F38" s="101">
        <f>'CENTRAL 1'!U38</f>
        <v>100</v>
      </c>
      <c r="G38" s="102" t="str">
        <f t="shared" si="0"/>
        <v>APROBADO</v>
      </c>
      <c r="H38" s="103"/>
      <c r="I38" s="103"/>
    </row>
    <row r="39" spans="1:9" ht="12" customHeight="1" x14ac:dyDescent="0.3">
      <c r="A39" s="58">
        <v>31</v>
      </c>
      <c r="B39" s="59">
        <f>'C. FILIACION'!B38</f>
        <v>0</v>
      </c>
      <c r="C39" s="100">
        <f>'VAL 1 TRIM '!AG39</f>
        <v>100</v>
      </c>
      <c r="D39" s="100">
        <f>'VAL 2 TRIM'!AG39</f>
        <v>100</v>
      </c>
      <c r="E39" s="100">
        <f>'VAL 3 TRIM'!AG39</f>
        <v>100</v>
      </c>
      <c r="F39" s="101">
        <f>'CENTRAL 1'!U39</f>
        <v>100</v>
      </c>
      <c r="G39" s="102" t="str">
        <f t="shared" si="0"/>
        <v>APROBADO</v>
      </c>
      <c r="H39" s="103"/>
      <c r="I39" s="103"/>
    </row>
    <row r="40" spans="1:9" ht="12" customHeight="1" x14ac:dyDescent="0.3">
      <c r="A40" s="58">
        <v>32</v>
      </c>
      <c r="B40" s="59">
        <f>'C. FILIACION'!B39</f>
        <v>0</v>
      </c>
      <c r="C40" s="100">
        <f>'VAL 1 TRIM '!AG40</f>
        <v>100</v>
      </c>
      <c r="D40" s="100">
        <f>'VAL 2 TRIM'!AG40</f>
        <v>100</v>
      </c>
      <c r="E40" s="100">
        <f>'VAL 3 TRIM'!AG40</f>
        <v>100</v>
      </c>
      <c r="F40" s="101">
        <f>'CENTRAL 1'!U40</f>
        <v>100</v>
      </c>
      <c r="G40" s="102" t="str">
        <f t="shared" si="0"/>
        <v>APROBADO</v>
      </c>
      <c r="H40" s="103"/>
      <c r="I40" s="103"/>
    </row>
    <row r="41" spans="1:9" ht="12" customHeight="1" x14ac:dyDescent="0.3">
      <c r="A41" s="58">
        <v>33</v>
      </c>
      <c r="B41" s="59">
        <f>'C. FILIACION'!B40</f>
        <v>0</v>
      </c>
      <c r="C41" s="100">
        <f>'VAL 1 TRIM '!AG41</f>
        <v>100</v>
      </c>
      <c r="D41" s="100">
        <f>'VAL 2 TRIM'!AG41</f>
        <v>100</v>
      </c>
      <c r="E41" s="100">
        <f>'VAL 3 TRIM'!AG41</f>
        <v>100</v>
      </c>
      <c r="F41" s="101">
        <f>'CENTRAL 1'!U41</f>
        <v>100</v>
      </c>
      <c r="G41" s="102" t="str">
        <f t="shared" si="0"/>
        <v>APROBADO</v>
      </c>
      <c r="H41" s="103"/>
      <c r="I41" s="103"/>
    </row>
    <row r="42" spans="1:9" ht="12" customHeight="1" x14ac:dyDescent="0.3">
      <c r="A42" s="58">
        <v>34</v>
      </c>
      <c r="B42" s="59">
        <f>'C. FILIACION'!B41</f>
        <v>0</v>
      </c>
      <c r="C42" s="100">
        <f>'VAL 1 TRIM '!AG42</f>
        <v>100</v>
      </c>
      <c r="D42" s="100">
        <f>'VAL 2 TRIM'!AG42</f>
        <v>100</v>
      </c>
      <c r="E42" s="100">
        <f>'VAL 3 TRIM'!AG42</f>
        <v>100</v>
      </c>
      <c r="F42" s="101">
        <f>'CENTRAL 1'!U42</f>
        <v>100</v>
      </c>
      <c r="G42" s="102" t="str">
        <f t="shared" si="0"/>
        <v>APROBADO</v>
      </c>
      <c r="H42" s="103"/>
      <c r="I42" s="103"/>
    </row>
    <row r="43" spans="1:9" ht="12" customHeight="1" x14ac:dyDescent="0.3">
      <c r="A43" s="58">
        <v>35</v>
      </c>
      <c r="B43" s="59">
        <f>'C. FILIACION'!B42</f>
        <v>0</v>
      </c>
      <c r="C43" s="100">
        <f>'VAL 1 TRIM '!AG43</f>
        <v>100</v>
      </c>
      <c r="D43" s="100">
        <f>'VAL 2 TRIM'!AG43</f>
        <v>100</v>
      </c>
      <c r="E43" s="100">
        <f>'VAL 3 TRIM'!AG43</f>
        <v>100</v>
      </c>
      <c r="F43" s="101">
        <f>'CENTRAL 1'!U43</f>
        <v>100</v>
      </c>
      <c r="G43" s="102" t="str">
        <f t="shared" si="0"/>
        <v>APROBADO</v>
      </c>
      <c r="H43" s="103"/>
      <c r="I43" s="103"/>
    </row>
    <row r="44" spans="1:9" ht="12" customHeight="1" x14ac:dyDescent="0.3">
      <c r="A44" s="58">
        <v>36</v>
      </c>
      <c r="B44" s="59">
        <f>'C. FILIACION'!B43</f>
        <v>0</v>
      </c>
      <c r="C44" s="100">
        <f>'VAL 1 TRIM '!AG44</f>
        <v>100</v>
      </c>
      <c r="D44" s="100">
        <f>'VAL 2 TRIM'!AG44</f>
        <v>100</v>
      </c>
      <c r="E44" s="100">
        <f>'VAL 3 TRIM'!AG44</f>
        <v>100</v>
      </c>
      <c r="F44" s="101">
        <f>'CENTRAL 1'!U44</f>
        <v>100</v>
      </c>
      <c r="G44" s="102" t="str">
        <f t="shared" si="0"/>
        <v>APROBADO</v>
      </c>
      <c r="H44" s="104"/>
      <c r="I44" s="104"/>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225" t="s">
        <v>115</v>
      </c>
      <c r="C2" s="169"/>
      <c r="D2" s="169"/>
      <c r="E2" s="169"/>
      <c r="F2" s="169"/>
      <c r="G2" s="169"/>
      <c r="H2" s="169"/>
      <c r="I2" s="169"/>
      <c r="J2" s="169"/>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53</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4to de Secundaria</v>
      </c>
      <c r="E5" s="109"/>
      <c r="F5" s="109"/>
      <c r="G5" s="109"/>
      <c r="H5" s="110" t="s">
        <v>23</v>
      </c>
      <c r="I5" s="67">
        <f ca="1">TODAY()</f>
        <v>44419</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116</v>
      </c>
      <c r="J6" s="109"/>
      <c r="K6" s="109"/>
      <c r="L6" s="109"/>
      <c r="M6" s="109"/>
      <c r="N6" s="109"/>
      <c r="O6" s="109"/>
      <c r="P6" s="109"/>
      <c r="Q6" s="109"/>
      <c r="R6" s="109"/>
      <c r="S6" s="109"/>
      <c r="T6" s="109"/>
      <c r="U6" s="109"/>
      <c r="V6" s="109"/>
      <c r="W6" s="109"/>
      <c r="X6" s="109"/>
      <c r="Y6" s="109"/>
      <c r="Z6" s="109"/>
    </row>
    <row r="7" spans="1:26" ht="20.25" x14ac:dyDescent="0.3">
      <c r="A7" s="109"/>
      <c r="B7" s="114" t="s">
        <v>97</v>
      </c>
      <c r="C7" s="113" t="s">
        <v>117</v>
      </c>
      <c r="D7" s="114" t="s">
        <v>118</v>
      </c>
      <c r="E7" s="115" t="s">
        <v>119</v>
      </c>
      <c r="F7" s="109"/>
      <c r="G7" s="116" t="s">
        <v>120</v>
      </c>
      <c r="H7" s="114">
        <f>'VAL 1 TRIM '!$AO$9</f>
        <v>0</v>
      </c>
      <c r="I7" s="117">
        <f>H7/H11</f>
        <v>0</v>
      </c>
      <c r="J7" s="109"/>
      <c r="K7" s="109"/>
      <c r="L7" s="109"/>
      <c r="M7" s="109"/>
      <c r="N7" s="109"/>
      <c r="O7" s="109"/>
      <c r="P7" s="109"/>
      <c r="Q7" s="109"/>
      <c r="R7" s="109"/>
      <c r="S7" s="109"/>
      <c r="T7" s="109"/>
      <c r="U7" s="109"/>
      <c r="V7" s="109"/>
      <c r="W7" s="109"/>
      <c r="X7" s="109"/>
      <c r="Y7" s="109"/>
      <c r="Z7" s="109"/>
    </row>
    <row r="8" spans="1:26" ht="20.25" x14ac:dyDescent="0.3">
      <c r="A8" s="109"/>
      <c r="B8" s="114" t="s">
        <v>98</v>
      </c>
      <c r="C8" s="113" t="s">
        <v>121</v>
      </c>
      <c r="D8" s="114" t="s">
        <v>122</v>
      </c>
      <c r="E8" s="115" t="s">
        <v>123</v>
      </c>
      <c r="F8" s="109"/>
      <c r="G8" s="116" t="s">
        <v>124</v>
      </c>
      <c r="H8" s="114">
        <f>'VAL 1 TRIM '!$AO$10</f>
        <v>3</v>
      </c>
      <c r="I8" s="117">
        <f>H8/H11</f>
        <v>8.3333333333333329E-2</v>
      </c>
      <c r="J8" s="109"/>
      <c r="K8" s="109"/>
      <c r="L8" s="109"/>
      <c r="M8" s="109"/>
      <c r="N8" s="109"/>
      <c r="O8" s="109"/>
      <c r="P8" s="109"/>
      <c r="Q8" s="109"/>
      <c r="R8" s="109"/>
      <c r="S8" s="109"/>
      <c r="T8" s="109"/>
      <c r="U8" s="109"/>
      <c r="V8" s="109"/>
      <c r="W8" s="109"/>
      <c r="X8" s="109"/>
      <c r="Y8" s="109"/>
      <c r="Z8" s="109"/>
    </row>
    <row r="9" spans="1:26" ht="20.25" x14ac:dyDescent="0.3">
      <c r="A9" s="109"/>
      <c r="B9" s="114" t="s">
        <v>99</v>
      </c>
      <c r="C9" s="113" t="s">
        <v>125</v>
      </c>
      <c r="D9" s="114" t="s">
        <v>126</v>
      </c>
      <c r="E9" s="115" t="s">
        <v>123</v>
      </c>
      <c r="F9" s="109"/>
      <c r="G9" s="118" t="s">
        <v>127</v>
      </c>
      <c r="H9" s="114">
        <f>'VAL 1 TRIM '!$AO$11</f>
        <v>2</v>
      </c>
      <c r="I9" s="117">
        <f>H9/H11</f>
        <v>5.5555555555555552E-2</v>
      </c>
      <c r="J9" s="109"/>
      <c r="K9" s="109"/>
      <c r="L9" s="109"/>
      <c r="M9" s="109"/>
      <c r="N9" s="109"/>
      <c r="O9" s="109"/>
      <c r="P9" s="109"/>
      <c r="Q9" s="109"/>
      <c r="R9" s="109"/>
      <c r="S9" s="109"/>
      <c r="T9" s="109"/>
      <c r="U9" s="109"/>
      <c r="V9" s="109"/>
      <c r="W9" s="109"/>
      <c r="X9" s="109"/>
      <c r="Y9" s="109"/>
      <c r="Z9" s="109"/>
    </row>
    <row r="10" spans="1:26" ht="20.25" x14ac:dyDescent="0.3">
      <c r="A10" s="109"/>
      <c r="B10" s="114" t="s">
        <v>100</v>
      </c>
      <c r="C10" s="113" t="s">
        <v>128</v>
      </c>
      <c r="D10" s="114" t="s">
        <v>129</v>
      </c>
      <c r="E10" s="115" t="s">
        <v>123</v>
      </c>
      <c r="F10" s="109"/>
      <c r="G10" s="118" t="s">
        <v>130</v>
      </c>
      <c r="H10" s="114">
        <f>'VAL 1 TRIM '!$AO$12</f>
        <v>31</v>
      </c>
      <c r="I10" s="117">
        <f>H10/H11</f>
        <v>0.86111111111111116</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131</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226" t="s">
        <v>132</v>
      </c>
      <c r="C13" s="169"/>
      <c r="D13" s="169"/>
      <c r="E13" s="169"/>
      <c r="F13" s="169"/>
      <c r="G13" s="169"/>
      <c r="H13" s="169"/>
      <c r="I13" s="169"/>
      <c r="J13" s="169"/>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222" t="s">
        <v>133</v>
      </c>
      <c r="C15" s="176"/>
      <c r="D15" s="176"/>
      <c r="E15" s="176"/>
      <c r="F15" s="176"/>
      <c r="G15" s="176"/>
      <c r="H15" s="176"/>
      <c r="I15" s="176"/>
      <c r="J15" s="177"/>
      <c r="K15" s="109"/>
      <c r="L15" s="109"/>
      <c r="M15" s="109"/>
      <c r="N15" s="109"/>
      <c r="O15" s="109"/>
      <c r="P15" s="109"/>
      <c r="Q15" s="109"/>
      <c r="R15" s="109"/>
      <c r="S15" s="109"/>
      <c r="T15" s="109"/>
      <c r="U15" s="109"/>
      <c r="V15" s="109"/>
      <c r="W15" s="109"/>
      <c r="X15" s="109"/>
      <c r="Y15" s="109"/>
      <c r="Z15" s="109"/>
    </row>
    <row r="16" spans="1:26" ht="16.5" customHeight="1" x14ac:dyDescent="0.3">
      <c r="A16" s="109"/>
      <c r="B16" s="223"/>
      <c r="C16" s="169"/>
      <c r="D16" s="169"/>
      <c r="E16" s="169"/>
      <c r="F16" s="169"/>
      <c r="G16" s="169"/>
      <c r="H16" s="169"/>
      <c r="I16" s="169"/>
      <c r="J16" s="224"/>
      <c r="K16" s="109"/>
      <c r="L16" s="109"/>
      <c r="M16" s="109"/>
      <c r="N16" s="109"/>
      <c r="O16" s="109"/>
      <c r="P16" s="109"/>
      <c r="Q16" s="109"/>
      <c r="R16" s="109"/>
      <c r="S16" s="109"/>
      <c r="T16" s="109"/>
      <c r="U16" s="109"/>
      <c r="V16" s="109"/>
      <c r="W16" s="109"/>
      <c r="X16" s="109"/>
      <c r="Y16" s="109"/>
      <c r="Z16" s="109"/>
    </row>
    <row r="17" spans="1:26" ht="16.5" customHeight="1" x14ac:dyDescent="0.3">
      <c r="A17" s="109"/>
      <c r="B17" s="208"/>
      <c r="C17" s="209"/>
      <c r="D17" s="209"/>
      <c r="E17" s="209"/>
      <c r="F17" s="209"/>
      <c r="G17" s="209"/>
      <c r="H17" s="209"/>
      <c r="I17" s="209"/>
      <c r="J17" s="210"/>
      <c r="K17" s="109"/>
      <c r="L17" s="109"/>
      <c r="M17" s="109"/>
      <c r="N17" s="109"/>
      <c r="O17" s="109"/>
      <c r="P17" s="109"/>
      <c r="Q17" s="109"/>
      <c r="R17" s="109"/>
      <c r="S17" s="109"/>
      <c r="T17" s="109"/>
      <c r="U17" s="109"/>
      <c r="V17" s="109"/>
      <c r="W17" s="109"/>
      <c r="X17" s="109"/>
      <c r="Y17" s="109"/>
      <c r="Z17" s="109"/>
    </row>
    <row r="18" spans="1:26" ht="16.5" customHeight="1" x14ac:dyDescent="0.3">
      <c r="A18" s="109"/>
      <c r="B18" s="222" t="s">
        <v>134</v>
      </c>
      <c r="C18" s="176"/>
      <c r="D18" s="176"/>
      <c r="E18" s="176"/>
      <c r="F18" s="176"/>
      <c r="G18" s="176"/>
      <c r="H18" s="176"/>
      <c r="I18" s="176"/>
      <c r="J18" s="177"/>
      <c r="K18" s="109"/>
      <c r="L18" s="109"/>
      <c r="M18" s="109"/>
      <c r="N18" s="109"/>
      <c r="O18" s="109"/>
      <c r="P18" s="109"/>
      <c r="Q18" s="109"/>
      <c r="R18" s="109"/>
      <c r="S18" s="109"/>
      <c r="T18" s="109"/>
      <c r="U18" s="109"/>
      <c r="V18" s="109"/>
      <c r="W18" s="109"/>
      <c r="X18" s="109"/>
      <c r="Y18" s="109"/>
      <c r="Z18" s="109"/>
    </row>
    <row r="19" spans="1:26" ht="16.5" customHeight="1" x14ac:dyDescent="0.3">
      <c r="A19" s="109"/>
      <c r="B19" s="223"/>
      <c r="C19" s="169"/>
      <c r="D19" s="169"/>
      <c r="E19" s="169"/>
      <c r="F19" s="169"/>
      <c r="G19" s="169"/>
      <c r="H19" s="169"/>
      <c r="I19" s="169"/>
      <c r="J19" s="224"/>
      <c r="K19" s="109"/>
      <c r="L19" s="109"/>
      <c r="M19" s="109"/>
      <c r="N19" s="109"/>
      <c r="O19" s="109"/>
      <c r="P19" s="109"/>
      <c r="Q19" s="109"/>
      <c r="R19" s="109"/>
      <c r="S19" s="109"/>
      <c r="T19" s="109"/>
      <c r="U19" s="109"/>
      <c r="V19" s="109"/>
      <c r="W19" s="109"/>
      <c r="X19" s="109"/>
      <c r="Y19" s="109"/>
      <c r="Z19" s="109"/>
    </row>
    <row r="20" spans="1:26" ht="16.5" customHeight="1" x14ac:dyDescent="0.3">
      <c r="A20" s="109"/>
      <c r="B20" s="208"/>
      <c r="C20" s="209"/>
      <c r="D20" s="209"/>
      <c r="E20" s="209"/>
      <c r="F20" s="209"/>
      <c r="G20" s="209"/>
      <c r="H20" s="209"/>
      <c r="I20" s="209"/>
      <c r="J20" s="210"/>
      <c r="K20" s="109"/>
      <c r="L20" s="109"/>
      <c r="M20" s="109"/>
      <c r="N20" s="109"/>
      <c r="O20" s="109"/>
      <c r="P20" s="109"/>
      <c r="Q20" s="109"/>
      <c r="R20" s="109"/>
      <c r="S20" s="109"/>
      <c r="T20" s="109"/>
      <c r="U20" s="109"/>
      <c r="V20" s="109"/>
      <c r="W20" s="109"/>
      <c r="X20" s="109"/>
      <c r="Y20" s="109"/>
      <c r="Z20" s="109"/>
    </row>
    <row r="21" spans="1:26" ht="16.5" customHeight="1" x14ac:dyDescent="0.3">
      <c r="A21" s="109"/>
      <c r="B21" s="222" t="s">
        <v>135</v>
      </c>
      <c r="C21" s="176"/>
      <c r="D21" s="176"/>
      <c r="E21" s="176"/>
      <c r="F21" s="176"/>
      <c r="G21" s="176"/>
      <c r="H21" s="176"/>
      <c r="I21" s="176"/>
      <c r="J21" s="177"/>
      <c r="K21" s="109"/>
      <c r="L21" s="109"/>
      <c r="M21" s="109"/>
      <c r="N21" s="109"/>
      <c r="O21" s="109"/>
      <c r="P21" s="109"/>
      <c r="Q21" s="109"/>
      <c r="R21" s="109"/>
      <c r="S21" s="109"/>
      <c r="T21" s="109"/>
      <c r="U21" s="109"/>
      <c r="V21" s="109"/>
      <c r="W21" s="109"/>
      <c r="X21" s="109"/>
      <c r="Y21" s="109"/>
      <c r="Z21" s="109"/>
    </row>
    <row r="22" spans="1:26" ht="16.5" customHeight="1" x14ac:dyDescent="0.3">
      <c r="A22" s="109"/>
      <c r="B22" s="223"/>
      <c r="C22" s="169"/>
      <c r="D22" s="169"/>
      <c r="E22" s="169"/>
      <c r="F22" s="169"/>
      <c r="G22" s="169"/>
      <c r="H22" s="169"/>
      <c r="I22" s="169"/>
      <c r="J22" s="224"/>
      <c r="K22" s="109"/>
      <c r="L22" s="109"/>
      <c r="M22" s="109"/>
      <c r="N22" s="109"/>
      <c r="O22" s="109"/>
      <c r="P22" s="109"/>
      <c r="Q22" s="109"/>
      <c r="R22" s="109"/>
      <c r="S22" s="109"/>
      <c r="T22" s="109"/>
      <c r="U22" s="109"/>
      <c r="V22" s="109"/>
      <c r="W22" s="109"/>
      <c r="X22" s="109"/>
      <c r="Y22" s="109"/>
      <c r="Z22" s="109"/>
    </row>
    <row r="23" spans="1:26" ht="16.5" customHeight="1" x14ac:dyDescent="0.3">
      <c r="A23" s="109"/>
      <c r="B23" s="208"/>
      <c r="C23" s="209"/>
      <c r="D23" s="209"/>
      <c r="E23" s="209"/>
      <c r="F23" s="209"/>
      <c r="G23" s="209"/>
      <c r="H23" s="209"/>
      <c r="I23" s="209"/>
      <c r="J23" s="210"/>
      <c r="K23" s="109"/>
      <c r="L23" s="109"/>
      <c r="M23" s="109"/>
      <c r="N23" s="109"/>
      <c r="O23" s="109"/>
      <c r="P23" s="109"/>
      <c r="Q23" s="109"/>
      <c r="R23" s="109"/>
      <c r="S23" s="109"/>
      <c r="T23" s="109"/>
      <c r="U23" s="109"/>
      <c r="V23" s="109"/>
      <c r="W23" s="109"/>
      <c r="X23" s="109"/>
      <c r="Y23" s="109"/>
      <c r="Z23" s="109"/>
    </row>
    <row r="24" spans="1:26" ht="16.5" customHeight="1" x14ac:dyDescent="0.3">
      <c r="A24" s="109"/>
      <c r="B24" s="222" t="s">
        <v>136</v>
      </c>
      <c r="C24" s="176"/>
      <c r="D24" s="176"/>
      <c r="E24" s="176"/>
      <c r="F24" s="176"/>
      <c r="G24" s="176"/>
      <c r="H24" s="176"/>
      <c r="I24" s="176"/>
      <c r="J24" s="177"/>
      <c r="K24" s="109"/>
      <c r="L24" s="109"/>
      <c r="M24" s="109"/>
      <c r="N24" s="109"/>
      <c r="O24" s="109"/>
      <c r="P24" s="109"/>
      <c r="Q24" s="109"/>
      <c r="R24" s="109"/>
      <c r="S24" s="109"/>
      <c r="T24" s="109"/>
      <c r="U24" s="109"/>
      <c r="V24" s="109"/>
      <c r="W24" s="109"/>
      <c r="X24" s="109"/>
      <c r="Y24" s="109"/>
      <c r="Z24" s="109"/>
    </row>
    <row r="25" spans="1:26" ht="16.5" customHeight="1" x14ac:dyDescent="0.3">
      <c r="A25" s="109"/>
      <c r="B25" s="223"/>
      <c r="C25" s="169"/>
      <c r="D25" s="169"/>
      <c r="E25" s="169"/>
      <c r="F25" s="169"/>
      <c r="G25" s="169"/>
      <c r="H25" s="169"/>
      <c r="I25" s="169"/>
      <c r="J25" s="224"/>
      <c r="K25" s="109"/>
      <c r="L25" s="109"/>
      <c r="M25" s="109"/>
      <c r="N25" s="109"/>
      <c r="O25" s="109"/>
      <c r="P25" s="109"/>
      <c r="Q25" s="109"/>
      <c r="R25" s="109"/>
      <c r="S25" s="109"/>
      <c r="T25" s="109"/>
      <c r="U25" s="109"/>
      <c r="V25" s="109"/>
      <c r="W25" s="109"/>
      <c r="X25" s="109"/>
      <c r="Y25" s="109"/>
      <c r="Z25" s="109"/>
    </row>
    <row r="26" spans="1:26" ht="16.5" customHeight="1" x14ac:dyDescent="0.3">
      <c r="A26" s="109"/>
      <c r="B26" s="208"/>
      <c r="C26" s="209"/>
      <c r="D26" s="209"/>
      <c r="E26" s="209"/>
      <c r="F26" s="209"/>
      <c r="G26" s="209"/>
      <c r="H26" s="209"/>
      <c r="I26" s="209"/>
      <c r="J26" s="210"/>
      <c r="K26" s="109"/>
      <c r="L26" s="109"/>
      <c r="M26" s="109"/>
      <c r="N26" s="109"/>
      <c r="O26" s="109"/>
      <c r="P26" s="109"/>
      <c r="Q26" s="109"/>
      <c r="R26" s="109"/>
      <c r="S26" s="109"/>
      <c r="T26" s="109"/>
      <c r="U26" s="109"/>
      <c r="V26" s="109"/>
      <c r="W26" s="109"/>
      <c r="X26" s="109"/>
      <c r="Y26" s="109"/>
      <c r="Z26" s="109"/>
    </row>
    <row r="27" spans="1:26" ht="16.5" customHeight="1" x14ac:dyDescent="0.3">
      <c r="A27" s="109"/>
      <c r="B27" s="222" t="s">
        <v>137</v>
      </c>
      <c r="C27" s="176"/>
      <c r="D27" s="176"/>
      <c r="E27" s="176"/>
      <c r="F27" s="176"/>
      <c r="G27" s="176"/>
      <c r="H27" s="176"/>
      <c r="I27" s="176"/>
      <c r="J27" s="177"/>
      <c r="K27" s="109"/>
      <c r="L27" s="109"/>
      <c r="M27" s="109"/>
      <c r="N27" s="109"/>
      <c r="O27" s="109"/>
      <c r="P27" s="109"/>
      <c r="Q27" s="109"/>
      <c r="R27" s="109"/>
      <c r="S27" s="109"/>
      <c r="T27" s="109"/>
      <c r="U27" s="109"/>
      <c r="V27" s="109"/>
      <c r="W27" s="109"/>
      <c r="X27" s="109"/>
      <c r="Y27" s="109"/>
      <c r="Z27" s="109"/>
    </row>
    <row r="28" spans="1:26" ht="16.5" customHeight="1" x14ac:dyDescent="0.3">
      <c r="A28" s="109"/>
      <c r="B28" s="223"/>
      <c r="C28" s="169"/>
      <c r="D28" s="169"/>
      <c r="E28" s="169"/>
      <c r="F28" s="169"/>
      <c r="G28" s="169"/>
      <c r="H28" s="169"/>
      <c r="I28" s="169"/>
      <c r="J28" s="224"/>
      <c r="K28" s="109"/>
      <c r="L28" s="109"/>
      <c r="M28" s="109"/>
      <c r="N28" s="109"/>
      <c r="O28" s="109"/>
      <c r="P28" s="109"/>
      <c r="Q28" s="109"/>
      <c r="R28" s="109"/>
      <c r="S28" s="109"/>
      <c r="T28" s="109"/>
      <c r="U28" s="109"/>
      <c r="V28" s="109"/>
      <c r="W28" s="109"/>
      <c r="X28" s="109"/>
      <c r="Y28" s="109"/>
      <c r="Z28" s="109"/>
    </row>
    <row r="29" spans="1:26" ht="16.5" customHeight="1" x14ac:dyDescent="0.3">
      <c r="A29" s="109"/>
      <c r="B29" s="208"/>
      <c r="C29" s="209"/>
      <c r="D29" s="209"/>
      <c r="E29" s="209"/>
      <c r="F29" s="209"/>
      <c r="G29" s="209"/>
      <c r="H29" s="209"/>
      <c r="I29" s="209"/>
      <c r="J29" s="210"/>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138</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225" t="s">
        <v>139</v>
      </c>
      <c r="C2" s="169"/>
      <c r="D2" s="169"/>
      <c r="E2" s="169"/>
      <c r="F2" s="169"/>
      <c r="G2" s="169"/>
      <c r="H2" s="169"/>
      <c r="I2" s="169"/>
      <c r="J2" s="169"/>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53</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4to de Secundaria</v>
      </c>
      <c r="E5" s="109"/>
      <c r="F5" s="109"/>
      <c r="G5" s="109"/>
      <c r="H5" s="110" t="s">
        <v>23</v>
      </c>
      <c r="I5" s="67">
        <f ca="1">TODAY()</f>
        <v>44419</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116</v>
      </c>
      <c r="J6" s="109"/>
      <c r="K6" s="109"/>
      <c r="L6" s="109"/>
      <c r="M6" s="109"/>
      <c r="N6" s="109"/>
      <c r="O6" s="109"/>
      <c r="P6" s="109"/>
      <c r="Q6" s="109"/>
      <c r="R6" s="109"/>
      <c r="S6" s="109"/>
      <c r="T6" s="109"/>
      <c r="U6" s="109"/>
      <c r="V6" s="109"/>
      <c r="W6" s="109"/>
      <c r="X6" s="109"/>
      <c r="Y6" s="109"/>
      <c r="Z6" s="109"/>
    </row>
    <row r="7" spans="1:26" ht="20.25" x14ac:dyDescent="0.3">
      <c r="A7" s="109"/>
      <c r="B7" s="114" t="s">
        <v>97</v>
      </c>
      <c r="C7" s="113" t="s">
        <v>117</v>
      </c>
      <c r="D7" s="114" t="s">
        <v>118</v>
      </c>
      <c r="E7" s="115" t="s">
        <v>119</v>
      </c>
      <c r="F7" s="109"/>
      <c r="G7" s="116" t="s">
        <v>120</v>
      </c>
      <c r="H7" s="114">
        <f>'VAL 2 TRIM'!$AO$9</f>
        <v>19</v>
      </c>
      <c r="I7" s="117">
        <f>H7/H11</f>
        <v>0.52777777777777779</v>
      </c>
      <c r="J7" s="109"/>
      <c r="K7" s="109"/>
      <c r="L7" s="109"/>
      <c r="M7" s="109"/>
      <c r="N7" s="109"/>
      <c r="O7" s="109"/>
      <c r="P7" s="109"/>
      <c r="Q7" s="109"/>
      <c r="R7" s="109"/>
      <c r="S7" s="109"/>
      <c r="T7" s="109"/>
      <c r="U7" s="109"/>
      <c r="V7" s="109"/>
      <c r="W7" s="109"/>
      <c r="X7" s="109"/>
      <c r="Y7" s="109"/>
      <c r="Z7" s="109"/>
    </row>
    <row r="8" spans="1:26" ht="20.25" x14ac:dyDescent="0.3">
      <c r="A8" s="109"/>
      <c r="B8" s="114" t="s">
        <v>98</v>
      </c>
      <c r="C8" s="113" t="s">
        <v>121</v>
      </c>
      <c r="D8" s="114" t="s">
        <v>122</v>
      </c>
      <c r="E8" s="115" t="s">
        <v>123</v>
      </c>
      <c r="F8" s="109"/>
      <c r="G8" s="116" t="s">
        <v>124</v>
      </c>
      <c r="H8" s="114">
        <f>'VAL 2 TRIM'!$AO$10</f>
        <v>4</v>
      </c>
      <c r="I8" s="117">
        <f>H8/H11</f>
        <v>0.1111111111111111</v>
      </c>
      <c r="J8" s="109"/>
      <c r="K8" s="109"/>
      <c r="L8" s="109"/>
      <c r="M8" s="109"/>
      <c r="N8" s="109"/>
      <c r="O8" s="109"/>
      <c r="P8" s="109"/>
      <c r="Q8" s="109"/>
      <c r="R8" s="109"/>
      <c r="S8" s="109"/>
      <c r="T8" s="109"/>
      <c r="U8" s="109"/>
      <c r="V8" s="109"/>
      <c r="W8" s="109"/>
      <c r="X8" s="109"/>
      <c r="Y8" s="109"/>
      <c r="Z8" s="109"/>
    </row>
    <row r="9" spans="1:26" ht="20.25" x14ac:dyDescent="0.3">
      <c r="A9" s="109"/>
      <c r="B9" s="114" t="s">
        <v>99</v>
      </c>
      <c r="C9" s="113" t="s">
        <v>125</v>
      </c>
      <c r="D9" s="114" t="s">
        <v>126</v>
      </c>
      <c r="E9" s="115" t="s">
        <v>123</v>
      </c>
      <c r="F9" s="109"/>
      <c r="G9" s="118" t="s">
        <v>127</v>
      </c>
      <c r="H9" s="114">
        <f>'VAL 2 TRIM'!$AO$11</f>
        <v>3</v>
      </c>
      <c r="I9" s="117">
        <f>H9/H11</f>
        <v>8.3333333333333329E-2</v>
      </c>
      <c r="J9" s="109"/>
      <c r="K9" s="109"/>
      <c r="L9" s="109"/>
      <c r="M9" s="109"/>
      <c r="N9" s="109"/>
      <c r="O9" s="109"/>
      <c r="P9" s="109"/>
      <c r="Q9" s="109"/>
      <c r="R9" s="109"/>
      <c r="S9" s="109"/>
      <c r="T9" s="109"/>
      <c r="U9" s="109"/>
      <c r="V9" s="109"/>
      <c r="W9" s="109"/>
      <c r="X9" s="109"/>
      <c r="Y9" s="109"/>
      <c r="Z9" s="109"/>
    </row>
    <row r="10" spans="1:26" ht="20.25" x14ac:dyDescent="0.3">
      <c r="A10" s="109"/>
      <c r="B10" s="114" t="s">
        <v>100</v>
      </c>
      <c r="C10" s="113" t="s">
        <v>128</v>
      </c>
      <c r="D10" s="114" t="s">
        <v>129</v>
      </c>
      <c r="E10" s="115" t="s">
        <v>123</v>
      </c>
      <c r="F10" s="109"/>
      <c r="G10" s="118" t="s">
        <v>130</v>
      </c>
      <c r="H10" s="114">
        <f>'VAL 2 TRIM'!$AO$12</f>
        <v>10</v>
      </c>
      <c r="I10" s="117">
        <f>H10/H11</f>
        <v>0.27777777777777779</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131</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226" t="s">
        <v>132</v>
      </c>
      <c r="C13" s="169"/>
      <c r="D13" s="169"/>
      <c r="E13" s="169"/>
      <c r="F13" s="169"/>
      <c r="G13" s="169"/>
      <c r="H13" s="169"/>
      <c r="I13" s="169"/>
      <c r="J13" s="169"/>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222" t="s">
        <v>133</v>
      </c>
      <c r="C15" s="176"/>
      <c r="D15" s="176"/>
      <c r="E15" s="176"/>
      <c r="F15" s="176"/>
      <c r="G15" s="176"/>
      <c r="H15" s="176"/>
      <c r="I15" s="176"/>
      <c r="J15" s="177"/>
      <c r="K15" s="109"/>
      <c r="L15" s="109"/>
      <c r="M15" s="109"/>
      <c r="N15" s="109"/>
      <c r="O15" s="109"/>
      <c r="P15" s="109"/>
      <c r="Q15" s="109"/>
      <c r="R15" s="109"/>
      <c r="S15" s="109"/>
      <c r="T15" s="109"/>
      <c r="U15" s="109"/>
      <c r="V15" s="109"/>
      <c r="W15" s="109"/>
      <c r="X15" s="109"/>
      <c r="Y15" s="109"/>
      <c r="Z15" s="109"/>
    </row>
    <row r="16" spans="1:26" ht="16.5" customHeight="1" x14ac:dyDescent="0.3">
      <c r="A16" s="109"/>
      <c r="B16" s="223"/>
      <c r="C16" s="169"/>
      <c r="D16" s="169"/>
      <c r="E16" s="169"/>
      <c r="F16" s="169"/>
      <c r="G16" s="169"/>
      <c r="H16" s="169"/>
      <c r="I16" s="169"/>
      <c r="J16" s="224"/>
      <c r="K16" s="109"/>
      <c r="L16" s="109"/>
      <c r="M16" s="109"/>
      <c r="N16" s="109"/>
      <c r="O16" s="109"/>
      <c r="P16" s="109"/>
      <c r="Q16" s="109"/>
      <c r="R16" s="109"/>
      <c r="S16" s="109"/>
      <c r="T16" s="109"/>
      <c r="U16" s="109"/>
      <c r="V16" s="109"/>
      <c r="W16" s="109"/>
      <c r="X16" s="109"/>
      <c r="Y16" s="109"/>
      <c r="Z16" s="109"/>
    </row>
    <row r="17" spans="1:26" ht="16.5" customHeight="1" x14ac:dyDescent="0.3">
      <c r="A17" s="109"/>
      <c r="B17" s="208"/>
      <c r="C17" s="209"/>
      <c r="D17" s="209"/>
      <c r="E17" s="209"/>
      <c r="F17" s="209"/>
      <c r="G17" s="209"/>
      <c r="H17" s="209"/>
      <c r="I17" s="209"/>
      <c r="J17" s="210"/>
      <c r="K17" s="109"/>
      <c r="L17" s="109"/>
      <c r="M17" s="109"/>
      <c r="N17" s="109"/>
      <c r="O17" s="109"/>
      <c r="P17" s="109"/>
      <c r="Q17" s="109"/>
      <c r="R17" s="109"/>
      <c r="S17" s="109"/>
      <c r="T17" s="109"/>
      <c r="U17" s="109"/>
      <c r="V17" s="109"/>
      <c r="W17" s="109"/>
      <c r="X17" s="109"/>
      <c r="Y17" s="109"/>
      <c r="Z17" s="109"/>
    </row>
    <row r="18" spans="1:26" ht="16.5" customHeight="1" x14ac:dyDescent="0.3">
      <c r="A18" s="109"/>
      <c r="B18" s="222" t="s">
        <v>134</v>
      </c>
      <c r="C18" s="176"/>
      <c r="D18" s="176"/>
      <c r="E18" s="176"/>
      <c r="F18" s="176"/>
      <c r="G18" s="176"/>
      <c r="H18" s="176"/>
      <c r="I18" s="176"/>
      <c r="J18" s="177"/>
      <c r="K18" s="109"/>
      <c r="L18" s="109"/>
      <c r="M18" s="109"/>
      <c r="N18" s="109"/>
      <c r="O18" s="109"/>
      <c r="P18" s="109"/>
      <c r="Q18" s="109"/>
      <c r="R18" s="109"/>
      <c r="S18" s="109"/>
      <c r="T18" s="109"/>
      <c r="U18" s="109"/>
      <c r="V18" s="109"/>
      <c r="W18" s="109"/>
      <c r="X18" s="109"/>
      <c r="Y18" s="109"/>
      <c r="Z18" s="109"/>
    </row>
    <row r="19" spans="1:26" ht="16.5" customHeight="1" x14ac:dyDescent="0.3">
      <c r="A19" s="109"/>
      <c r="B19" s="223"/>
      <c r="C19" s="169"/>
      <c r="D19" s="169"/>
      <c r="E19" s="169"/>
      <c r="F19" s="169"/>
      <c r="G19" s="169"/>
      <c r="H19" s="169"/>
      <c r="I19" s="169"/>
      <c r="J19" s="224"/>
      <c r="K19" s="109"/>
      <c r="L19" s="109"/>
      <c r="M19" s="109"/>
      <c r="N19" s="109"/>
      <c r="O19" s="109"/>
      <c r="P19" s="109"/>
      <c r="Q19" s="109"/>
      <c r="R19" s="109"/>
      <c r="S19" s="109"/>
      <c r="T19" s="109"/>
      <c r="U19" s="109"/>
      <c r="V19" s="109"/>
      <c r="W19" s="109"/>
      <c r="X19" s="109"/>
      <c r="Y19" s="109"/>
      <c r="Z19" s="109"/>
    </row>
    <row r="20" spans="1:26" ht="16.5" customHeight="1" x14ac:dyDescent="0.3">
      <c r="A20" s="109"/>
      <c r="B20" s="208"/>
      <c r="C20" s="209"/>
      <c r="D20" s="209"/>
      <c r="E20" s="209"/>
      <c r="F20" s="209"/>
      <c r="G20" s="209"/>
      <c r="H20" s="209"/>
      <c r="I20" s="209"/>
      <c r="J20" s="210"/>
      <c r="K20" s="109"/>
      <c r="L20" s="109"/>
      <c r="M20" s="109"/>
      <c r="N20" s="109"/>
      <c r="O20" s="109"/>
      <c r="P20" s="109"/>
      <c r="Q20" s="109"/>
      <c r="R20" s="109"/>
      <c r="S20" s="109"/>
      <c r="T20" s="109"/>
      <c r="U20" s="109"/>
      <c r="V20" s="109"/>
      <c r="W20" s="109"/>
      <c r="X20" s="109"/>
      <c r="Y20" s="109"/>
      <c r="Z20" s="109"/>
    </row>
    <row r="21" spans="1:26" ht="16.5" customHeight="1" x14ac:dyDescent="0.3">
      <c r="A21" s="109"/>
      <c r="B21" s="222" t="s">
        <v>135</v>
      </c>
      <c r="C21" s="176"/>
      <c r="D21" s="176"/>
      <c r="E21" s="176"/>
      <c r="F21" s="176"/>
      <c r="G21" s="176"/>
      <c r="H21" s="176"/>
      <c r="I21" s="176"/>
      <c r="J21" s="177"/>
      <c r="K21" s="109"/>
      <c r="L21" s="109"/>
      <c r="M21" s="109"/>
      <c r="N21" s="109"/>
      <c r="O21" s="109"/>
      <c r="P21" s="109"/>
      <c r="Q21" s="109"/>
      <c r="R21" s="109"/>
      <c r="S21" s="109"/>
      <c r="T21" s="109"/>
      <c r="U21" s="109"/>
      <c r="V21" s="109"/>
      <c r="W21" s="109"/>
      <c r="X21" s="109"/>
      <c r="Y21" s="109"/>
      <c r="Z21" s="109"/>
    </row>
    <row r="22" spans="1:26" ht="16.5" customHeight="1" x14ac:dyDescent="0.3">
      <c r="A22" s="109"/>
      <c r="B22" s="223"/>
      <c r="C22" s="169"/>
      <c r="D22" s="169"/>
      <c r="E22" s="169"/>
      <c r="F22" s="169"/>
      <c r="G22" s="169"/>
      <c r="H22" s="169"/>
      <c r="I22" s="169"/>
      <c r="J22" s="224"/>
      <c r="K22" s="109"/>
      <c r="L22" s="109"/>
      <c r="M22" s="109"/>
      <c r="N22" s="109"/>
      <c r="O22" s="109"/>
      <c r="P22" s="109"/>
      <c r="Q22" s="109"/>
      <c r="R22" s="109"/>
      <c r="S22" s="109"/>
      <c r="T22" s="109"/>
      <c r="U22" s="109"/>
      <c r="V22" s="109"/>
      <c r="W22" s="109"/>
      <c r="X22" s="109"/>
      <c r="Y22" s="109"/>
      <c r="Z22" s="109"/>
    </row>
    <row r="23" spans="1:26" ht="16.5" customHeight="1" x14ac:dyDescent="0.3">
      <c r="A23" s="109"/>
      <c r="B23" s="208"/>
      <c r="C23" s="209"/>
      <c r="D23" s="209"/>
      <c r="E23" s="209"/>
      <c r="F23" s="209"/>
      <c r="G23" s="209"/>
      <c r="H23" s="209"/>
      <c r="I23" s="209"/>
      <c r="J23" s="210"/>
      <c r="K23" s="109"/>
      <c r="L23" s="109"/>
      <c r="M23" s="109"/>
      <c r="N23" s="109"/>
      <c r="O23" s="109"/>
      <c r="P23" s="109"/>
      <c r="Q23" s="109"/>
      <c r="R23" s="109"/>
      <c r="S23" s="109"/>
      <c r="T23" s="109"/>
      <c r="U23" s="109"/>
      <c r="V23" s="109"/>
      <c r="W23" s="109"/>
      <c r="X23" s="109"/>
      <c r="Y23" s="109"/>
      <c r="Z23" s="109"/>
    </row>
    <row r="24" spans="1:26" ht="16.5" customHeight="1" x14ac:dyDescent="0.3">
      <c r="A24" s="109"/>
      <c r="B24" s="222" t="s">
        <v>136</v>
      </c>
      <c r="C24" s="176"/>
      <c r="D24" s="176"/>
      <c r="E24" s="176"/>
      <c r="F24" s="176"/>
      <c r="G24" s="176"/>
      <c r="H24" s="176"/>
      <c r="I24" s="176"/>
      <c r="J24" s="177"/>
      <c r="K24" s="109"/>
      <c r="L24" s="109"/>
      <c r="M24" s="109"/>
      <c r="N24" s="109"/>
      <c r="O24" s="109"/>
      <c r="P24" s="109"/>
      <c r="Q24" s="109"/>
      <c r="R24" s="109"/>
      <c r="S24" s="109"/>
      <c r="T24" s="109"/>
      <c r="U24" s="109"/>
      <c r="V24" s="109"/>
      <c r="W24" s="109"/>
      <c r="X24" s="109"/>
      <c r="Y24" s="109"/>
      <c r="Z24" s="109"/>
    </row>
    <row r="25" spans="1:26" ht="16.5" customHeight="1" x14ac:dyDescent="0.3">
      <c r="A25" s="109"/>
      <c r="B25" s="223"/>
      <c r="C25" s="169"/>
      <c r="D25" s="169"/>
      <c r="E25" s="169"/>
      <c r="F25" s="169"/>
      <c r="G25" s="169"/>
      <c r="H25" s="169"/>
      <c r="I25" s="169"/>
      <c r="J25" s="224"/>
      <c r="K25" s="109"/>
      <c r="L25" s="109"/>
      <c r="M25" s="109"/>
      <c r="N25" s="109"/>
      <c r="O25" s="109"/>
      <c r="P25" s="109"/>
      <c r="Q25" s="109"/>
      <c r="R25" s="109"/>
      <c r="S25" s="109"/>
      <c r="T25" s="109"/>
      <c r="U25" s="109"/>
      <c r="V25" s="109"/>
      <c r="W25" s="109"/>
      <c r="X25" s="109"/>
      <c r="Y25" s="109"/>
      <c r="Z25" s="109"/>
    </row>
    <row r="26" spans="1:26" ht="16.5" customHeight="1" x14ac:dyDescent="0.3">
      <c r="A26" s="109"/>
      <c r="B26" s="208"/>
      <c r="C26" s="209"/>
      <c r="D26" s="209"/>
      <c r="E26" s="209"/>
      <c r="F26" s="209"/>
      <c r="G26" s="209"/>
      <c r="H26" s="209"/>
      <c r="I26" s="209"/>
      <c r="J26" s="210"/>
      <c r="K26" s="109"/>
      <c r="L26" s="109"/>
      <c r="M26" s="109"/>
      <c r="N26" s="109"/>
      <c r="O26" s="109"/>
      <c r="P26" s="109"/>
      <c r="Q26" s="109"/>
      <c r="R26" s="109"/>
      <c r="S26" s="109"/>
      <c r="T26" s="109"/>
      <c r="U26" s="109"/>
      <c r="V26" s="109"/>
      <c r="W26" s="109"/>
      <c r="X26" s="109"/>
      <c r="Y26" s="109"/>
      <c r="Z26" s="109"/>
    </row>
    <row r="27" spans="1:26" ht="16.5" customHeight="1" x14ac:dyDescent="0.3">
      <c r="A27" s="109"/>
      <c r="B27" s="222" t="s">
        <v>137</v>
      </c>
      <c r="C27" s="176"/>
      <c r="D27" s="176"/>
      <c r="E27" s="176"/>
      <c r="F27" s="176"/>
      <c r="G27" s="176"/>
      <c r="H27" s="176"/>
      <c r="I27" s="176"/>
      <c r="J27" s="177"/>
      <c r="K27" s="109"/>
      <c r="L27" s="109"/>
      <c r="M27" s="109"/>
      <c r="N27" s="109"/>
      <c r="O27" s="109"/>
      <c r="P27" s="109"/>
      <c r="Q27" s="109"/>
      <c r="R27" s="109"/>
      <c r="S27" s="109"/>
      <c r="T27" s="109"/>
      <c r="U27" s="109"/>
      <c r="V27" s="109"/>
      <c r="W27" s="109"/>
      <c r="X27" s="109"/>
      <c r="Y27" s="109"/>
      <c r="Z27" s="109"/>
    </row>
    <row r="28" spans="1:26" ht="16.5" customHeight="1" x14ac:dyDescent="0.3">
      <c r="A28" s="109"/>
      <c r="B28" s="223"/>
      <c r="C28" s="169"/>
      <c r="D28" s="169"/>
      <c r="E28" s="169"/>
      <c r="F28" s="169"/>
      <c r="G28" s="169"/>
      <c r="H28" s="169"/>
      <c r="I28" s="169"/>
      <c r="J28" s="224"/>
      <c r="K28" s="109"/>
      <c r="L28" s="109"/>
      <c r="M28" s="109"/>
      <c r="N28" s="109"/>
      <c r="O28" s="109"/>
      <c r="P28" s="109"/>
      <c r="Q28" s="109"/>
      <c r="R28" s="109"/>
      <c r="S28" s="109"/>
      <c r="T28" s="109"/>
      <c r="U28" s="109"/>
      <c r="V28" s="109"/>
      <c r="W28" s="109"/>
      <c r="X28" s="109"/>
      <c r="Y28" s="109"/>
      <c r="Z28" s="109"/>
    </row>
    <row r="29" spans="1:26" ht="16.5" customHeight="1" x14ac:dyDescent="0.3">
      <c r="A29" s="109"/>
      <c r="B29" s="208"/>
      <c r="C29" s="209"/>
      <c r="D29" s="209"/>
      <c r="E29" s="209"/>
      <c r="F29" s="209"/>
      <c r="G29" s="209"/>
      <c r="H29" s="209"/>
      <c r="I29" s="209"/>
      <c r="J29" s="210"/>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138</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225" t="s">
        <v>140</v>
      </c>
      <c r="C2" s="169"/>
      <c r="D2" s="169"/>
      <c r="E2" s="169"/>
      <c r="F2" s="169"/>
      <c r="G2" s="169"/>
      <c r="H2" s="169"/>
      <c r="I2" s="169"/>
      <c r="J2" s="169"/>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53</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4to de Secundaria</v>
      </c>
      <c r="E5" s="109"/>
      <c r="F5" s="109"/>
      <c r="G5" s="109"/>
      <c r="H5" s="110" t="s">
        <v>23</v>
      </c>
      <c r="I5" s="67">
        <f ca="1">TODAY()</f>
        <v>44419</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116</v>
      </c>
      <c r="J6" s="109"/>
      <c r="K6" s="109"/>
      <c r="L6" s="109"/>
      <c r="M6" s="109"/>
      <c r="N6" s="109"/>
      <c r="O6" s="109"/>
      <c r="P6" s="109"/>
      <c r="Q6" s="109"/>
      <c r="R6" s="109"/>
      <c r="S6" s="109"/>
      <c r="T6" s="109"/>
      <c r="U6" s="109"/>
      <c r="V6" s="109"/>
      <c r="W6" s="109"/>
      <c r="X6" s="109"/>
      <c r="Y6" s="109"/>
      <c r="Z6" s="109"/>
    </row>
    <row r="7" spans="1:26" ht="20.25" x14ac:dyDescent="0.3">
      <c r="A7" s="109"/>
      <c r="B7" s="114" t="s">
        <v>97</v>
      </c>
      <c r="C7" s="113" t="s">
        <v>117</v>
      </c>
      <c r="D7" s="114" t="s">
        <v>118</v>
      </c>
      <c r="E7" s="115" t="s">
        <v>119</v>
      </c>
      <c r="F7" s="109"/>
      <c r="G7" s="116" t="s">
        <v>120</v>
      </c>
      <c r="H7" s="114">
        <f>'VAL 3 TRIM'!$AO$9</f>
        <v>0</v>
      </c>
      <c r="I7" s="117">
        <f>H7/H11</f>
        <v>0</v>
      </c>
      <c r="J7" s="109"/>
      <c r="K7" s="109"/>
      <c r="L7" s="109"/>
      <c r="M7" s="109"/>
      <c r="N7" s="109"/>
      <c r="O7" s="109"/>
      <c r="P7" s="109"/>
      <c r="Q7" s="109"/>
      <c r="R7" s="109"/>
      <c r="S7" s="109"/>
      <c r="T7" s="109"/>
      <c r="U7" s="109"/>
      <c r="V7" s="109"/>
      <c r="W7" s="109"/>
      <c r="X7" s="109"/>
      <c r="Y7" s="109"/>
      <c r="Z7" s="109"/>
    </row>
    <row r="8" spans="1:26" ht="20.25" x14ac:dyDescent="0.3">
      <c r="A8" s="109"/>
      <c r="B8" s="114" t="s">
        <v>98</v>
      </c>
      <c r="C8" s="113" t="s">
        <v>121</v>
      </c>
      <c r="D8" s="114" t="s">
        <v>122</v>
      </c>
      <c r="E8" s="115" t="s">
        <v>123</v>
      </c>
      <c r="F8" s="109"/>
      <c r="G8" s="116" t="s">
        <v>124</v>
      </c>
      <c r="H8" s="114">
        <f>'VAL 3 TRIM'!$AO$10</f>
        <v>0</v>
      </c>
      <c r="I8" s="117">
        <f>H8/H11</f>
        <v>0</v>
      </c>
      <c r="J8" s="109"/>
      <c r="K8" s="109"/>
      <c r="L8" s="109"/>
      <c r="M8" s="109"/>
      <c r="N8" s="109"/>
      <c r="O8" s="109"/>
      <c r="P8" s="109"/>
      <c r="Q8" s="109"/>
      <c r="R8" s="109"/>
      <c r="S8" s="109"/>
      <c r="T8" s="109"/>
      <c r="U8" s="109"/>
      <c r="V8" s="109"/>
      <c r="W8" s="109"/>
      <c r="X8" s="109"/>
      <c r="Y8" s="109"/>
      <c r="Z8" s="109"/>
    </row>
    <row r="9" spans="1:26" ht="20.25" x14ac:dyDescent="0.3">
      <c r="A9" s="109"/>
      <c r="B9" s="114" t="s">
        <v>99</v>
      </c>
      <c r="C9" s="113" t="s">
        <v>125</v>
      </c>
      <c r="D9" s="114" t="s">
        <v>126</v>
      </c>
      <c r="E9" s="115" t="s">
        <v>123</v>
      </c>
      <c r="F9" s="109"/>
      <c r="G9" s="118" t="s">
        <v>127</v>
      </c>
      <c r="H9" s="114">
        <f>'VAL 3 TRIM'!$AO$11</f>
        <v>0</v>
      </c>
      <c r="I9" s="117">
        <f>H9/H11</f>
        <v>0</v>
      </c>
      <c r="J9" s="109"/>
      <c r="K9" s="109"/>
      <c r="L9" s="109"/>
      <c r="M9" s="109"/>
      <c r="N9" s="109"/>
      <c r="O9" s="109"/>
      <c r="P9" s="109"/>
      <c r="Q9" s="109"/>
      <c r="R9" s="109"/>
      <c r="S9" s="109"/>
      <c r="T9" s="109"/>
      <c r="U9" s="109"/>
      <c r="V9" s="109"/>
      <c r="W9" s="109"/>
      <c r="X9" s="109"/>
      <c r="Y9" s="109"/>
      <c r="Z9" s="109"/>
    </row>
    <row r="10" spans="1:26" ht="20.25" x14ac:dyDescent="0.3">
      <c r="A10" s="109"/>
      <c r="B10" s="114" t="s">
        <v>100</v>
      </c>
      <c r="C10" s="113" t="s">
        <v>128</v>
      </c>
      <c r="D10" s="114" t="s">
        <v>129</v>
      </c>
      <c r="E10" s="115" t="s">
        <v>123</v>
      </c>
      <c r="F10" s="109"/>
      <c r="G10" s="118" t="s">
        <v>130</v>
      </c>
      <c r="H10" s="114">
        <f>'VAL 3 TRIM'!$AO$12</f>
        <v>36</v>
      </c>
      <c r="I10" s="117">
        <f>H10/H11</f>
        <v>1</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131</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226" t="s">
        <v>132</v>
      </c>
      <c r="C13" s="169"/>
      <c r="D13" s="169"/>
      <c r="E13" s="169"/>
      <c r="F13" s="169"/>
      <c r="G13" s="169"/>
      <c r="H13" s="169"/>
      <c r="I13" s="169"/>
      <c r="J13" s="169"/>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222" t="s">
        <v>133</v>
      </c>
      <c r="C15" s="176"/>
      <c r="D15" s="176"/>
      <c r="E15" s="176"/>
      <c r="F15" s="176"/>
      <c r="G15" s="176"/>
      <c r="H15" s="176"/>
      <c r="I15" s="176"/>
      <c r="J15" s="177"/>
      <c r="K15" s="109"/>
      <c r="L15" s="109"/>
      <c r="M15" s="109"/>
      <c r="N15" s="109"/>
      <c r="O15" s="109"/>
      <c r="P15" s="109"/>
      <c r="Q15" s="109"/>
      <c r="R15" s="109"/>
      <c r="S15" s="109"/>
      <c r="T15" s="109"/>
      <c r="U15" s="109"/>
      <c r="V15" s="109"/>
      <c r="W15" s="109"/>
      <c r="X15" s="109"/>
      <c r="Y15" s="109"/>
      <c r="Z15" s="109"/>
    </row>
    <row r="16" spans="1:26" ht="16.5" customHeight="1" x14ac:dyDescent="0.3">
      <c r="A16" s="109"/>
      <c r="B16" s="223"/>
      <c r="C16" s="169"/>
      <c r="D16" s="169"/>
      <c r="E16" s="169"/>
      <c r="F16" s="169"/>
      <c r="G16" s="169"/>
      <c r="H16" s="169"/>
      <c r="I16" s="169"/>
      <c r="J16" s="224"/>
      <c r="K16" s="109"/>
      <c r="L16" s="109"/>
      <c r="M16" s="109"/>
      <c r="N16" s="109"/>
      <c r="O16" s="109"/>
      <c r="P16" s="109"/>
      <c r="Q16" s="109"/>
      <c r="R16" s="109"/>
      <c r="S16" s="109"/>
      <c r="T16" s="109"/>
      <c r="U16" s="109"/>
      <c r="V16" s="109"/>
      <c r="W16" s="109"/>
      <c r="X16" s="109"/>
      <c r="Y16" s="109"/>
      <c r="Z16" s="109"/>
    </row>
    <row r="17" spans="1:26" ht="16.5" customHeight="1" x14ac:dyDescent="0.3">
      <c r="A17" s="109"/>
      <c r="B17" s="208"/>
      <c r="C17" s="209"/>
      <c r="D17" s="209"/>
      <c r="E17" s="209"/>
      <c r="F17" s="209"/>
      <c r="G17" s="209"/>
      <c r="H17" s="209"/>
      <c r="I17" s="209"/>
      <c r="J17" s="210"/>
      <c r="K17" s="109"/>
      <c r="L17" s="109"/>
      <c r="M17" s="109"/>
      <c r="N17" s="109"/>
      <c r="O17" s="109"/>
      <c r="P17" s="109"/>
      <c r="Q17" s="109"/>
      <c r="R17" s="109"/>
      <c r="S17" s="109"/>
      <c r="T17" s="109"/>
      <c r="U17" s="109"/>
      <c r="V17" s="109"/>
      <c r="W17" s="109"/>
      <c r="X17" s="109"/>
      <c r="Y17" s="109"/>
      <c r="Z17" s="109"/>
    </row>
    <row r="18" spans="1:26" ht="16.5" customHeight="1" x14ac:dyDescent="0.3">
      <c r="A18" s="109"/>
      <c r="B18" s="222" t="s">
        <v>134</v>
      </c>
      <c r="C18" s="176"/>
      <c r="D18" s="176"/>
      <c r="E18" s="176"/>
      <c r="F18" s="176"/>
      <c r="G18" s="176"/>
      <c r="H18" s="176"/>
      <c r="I18" s="176"/>
      <c r="J18" s="177"/>
      <c r="K18" s="109"/>
      <c r="L18" s="109"/>
      <c r="M18" s="109"/>
      <c r="N18" s="109"/>
      <c r="O18" s="109"/>
      <c r="P18" s="109"/>
      <c r="Q18" s="109"/>
      <c r="R18" s="109"/>
      <c r="S18" s="109"/>
      <c r="T18" s="109"/>
      <c r="U18" s="109"/>
      <c r="V18" s="109"/>
      <c r="W18" s="109"/>
      <c r="X18" s="109"/>
      <c r="Y18" s="109"/>
      <c r="Z18" s="109"/>
    </row>
    <row r="19" spans="1:26" ht="16.5" customHeight="1" x14ac:dyDescent="0.3">
      <c r="A19" s="109"/>
      <c r="B19" s="223"/>
      <c r="C19" s="169"/>
      <c r="D19" s="169"/>
      <c r="E19" s="169"/>
      <c r="F19" s="169"/>
      <c r="G19" s="169"/>
      <c r="H19" s="169"/>
      <c r="I19" s="169"/>
      <c r="J19" s="224"/>
      <c r="K19" s="109"/>
      <c r="L19" s="109"/>
      <c r="M19" s="109"/>
      <c r="N19" s="109"/>
      <c r="O19" s="109"/>
      <c r="P19" s="109"/>
      <c r="Q19" s="109"/>
      <c r="R19" s="109"/>
      <c r="S19" s="109"/>
      <c r="T19" s="109"/>
      <c r="U19" s="109"/>
      <c r="V19" s="109"/>
      <c r="W19" s="109"/>
      <c r="X19" s="109"/>
      <c r="Y19" s="109"/>
      <c r="Z19" s="109"/>
    </row>
    <row r="20" spans="1:26" ht="16.5" customHeight="1" x14ac:dyDescent="0.3">
      <c r="A20" s="109"/>
      <c r="B20" s="208"/>
      <c r="C20" s="209"/>
      <c r="D20" s="209"/>
      <c r="E20" s="209"/>
      <c r="F20" s="209"/>
      <c r="G20" s="209"/>
      <c r="H20" s="209"/>
      <c r="I20" s="209"/>
      <c r="J20" s="210"/>
      <c r="K20" s="109"/>
      <c r="L20" s="109"/>
      <c r="M20" s="109"/>
      <c r="N20" s="109"/>
      <c r="O20" s="109"/>
      <c r="P20" s="109"/>
      <c r="Q20" s="109"/>
      <c r="R20" s="109"/>
      <c r="S20" s="109"/>
      <c r="T20" s="109"/>
      <c r="U20" s="109"/>
      <c r="V20" s="109"/>
      <c r="W20" s="109"/>
      <c r="X20" s="109"/>
      <c r="Y20" s="109"/>
      <c r="Z20" s="109"/>
    </row>
    <row r="21" spans="1:26" ht="16.5" customHeight="1" x14ac:dyDescent="0.3">
      <c r="A21" s="109"/>
      <c r="B21" s="222" t="s">
        <v>135</v>
      </c>
      <c r="C21" s="176"/>
      <c r="D21" s="176"/>
      <c r="E21" s="176"/>
      <c r="F21" s="176"/>
      <c r="G21" s="176"/>
      <c r="H21" s="176"/>
      <c r="I21" s="176"/>
      <c r="J21" s="177"/>
      <c r="K21" s="109"/>
      <c r="L21" s="109"/>
      <c r="M21" s="109"/>
      <c r="N21" s="109"/>
      <c r="O21" s="109"/>
      <c r="P21" s="109"/>
      <c r="Q21" s="109"/>
      <c r="R21" s="109"/>
      <c r="S21" s="109"/>
      <c r="T21" s="109"/>
      <c r="U21" s="109"/>
      <c r="V21" s="109"/>
      <c r="W21" s="109"/>
      <c r="X21" s="109"/>
      <c r="Y21" s="109"/>
      <c r="Z21" s="109"/>
    </row>
    <row r="22" spans="1:26" ht="16.5" customHeight="1" x14ac:dyDescent="0.3">
      <c r="A22" s="109"/>
      <c r="B22" s="223"/>
      <c r="C22" s="169"/>
      <c r="D22" s="169"/>
      <c r="E22" s="169"/>
      <c r="F22" s="169"/>
      <c r="G22" s="169"/>
      <c r="H22" s="169"/>
      <c r="I22" s="169"/>
      <c r="J22" s="224"/>
      <c r="K22" s="109"/>
      <c r="L22" s="109"/>
      <c r="M22" s="109"/>
      <c r="N22" s="109"/>
      <c r="O22" s="109"/>
      <c r="P22" s="109"/>
      <c r="Q22" s="109"/>
      <c r="R22" s="109"/>
      <c r="S22" s="109"/>
      <c r="T22" s="109"/>
      <c r="U22" s="109"/>
      <c r="V22" s="109"/>
      <c r="W22" s="109"/>
      <c r="X22" s="109"/>
      <c r="Y22" s="109"/>
      <c r="Z22" s="109"/>
    </row>
    <row r="23" spans="1:26" ht="16.5" customHeight="1" x14ac:dyDescent="0.3">
      <c r="A23" s="109"/>
      <c r="B23" s="208"/>
      <c r="C23" s="209"/>
      <c r="D23" s="209"/>
      <c r="E23" s="209"/>
      <c r="F23" s="209"/>
      <c r="G23" s="209"/>
      <c r="H23" s="209"/>
      <c r="I23" s="209"/>
      <c r="J23" s="210"/>
      <c r="K23" s="109"/>
      <c r="L23" s="109"/>
      <c r="M23" s="109"/>
      <c r="N23" s="109"/>
      <c r="O23" s="109"/>
      <c r="P23" s="109"/>
      <c r="Q23" s="109"/>
      <c r="R23" s="109"/>
      <c r="S23" s="109"/>
      <c r="T23" s="109"/>
      <c r="U23" s="109"/>
      <c r="V23" s="109"/>
      <c r="W23" s="109"/>
      <c r="X23" s="109"/>
      <c r="Y23" s="109"/>
      <c r="Z23" s="109"/>
    </row>
    <row r="24" spans="1:26" ht="16.5" customHeight="1" x14ac:dyDescent="0.3">
      <c r="A24" s="109"/>
      <c r="B24" s="222" t="s">
        <v>136</v>
      </c>
      <c r="C24" s="176"/>
      <c r="D24" s="176"/>
      <c r="E24" s="176"/>
      <c r="F24" s="176"/>
      <c r="G24" s="176"/>
      <c r="H24" s="176"/>
      <c r="I24" s="176"/>
      <c r="J24" s="177"/>
      <c r="K24" s="109"/>
      <c r="L24" s="109"/>
      <c r="M24" s="109"/>
      <c r="N24" s="109"/>
      <c r="O24" s="109"/>
      <c r="P24" s="109"/>
      <c r="Q24" s="109"/>
      <c r="R24" s="109"/>
      <c r="S24" s="109"/>
      <c r="T24" s="109"/>
      <c r="U24" s="109"/>
      <c r="V24" s="109"/>
      <c r="W24" s="109"/>
      <c r="X24" s="109"/>
      <c r="Y24" s="109"/>
      <c r="Z24" s="109"/>
    </row>
    <row r="25" spans="1:26" ht="16.5" customHeight="1" x14ac:dyDescent="0.3">
      <c r="A25" s="109"/>
      <c r="B25" s="223"/>
      <c r="C25" s="169"/>
      <c r="D25" s="169"/>
      <c r="E25" s="169"/>
      <c r="F25" s="169"/>
      <c r="G25" s="169"/>
      <c r="H25" s="169"/>
      <c r="I25" s="169"/>
      <c r="J25" s="224"/>
      <c r="K25" s="109"/>
      <c r="L25" s="109"/>
      <c r="M25" s="109"/>
      <c r="N25" s="109"/>
      <c r="O25" s="109"/>
      <c r="P25" s="109"/>
      <c r="Q25" s="109"/>
      <c r="R25" s="109"/>
      <c r="S25" s="109"/>
      <c r="T25" s="109"/>
      <c r="U25" s="109"/>
      <c r="V25" s="109"/>
      <c r="W25" s="109"/>
      <c r="X25" s="109"/>
      <c r="Y25" s="109"/>
      <c r="Z25" s="109"/>
    </row>
    <row r="26" spans="1:26" ht="16.5" customHeight="1" x14ac:dyDescent="0.3">
      <c r="A26" s="109"/>
      <c r="B26" s="208"/>
      <c r="C26" s="209"/>
      <c r="D26" s="209"/>
      <c r="E26" s="209"/>
      <c r="F26" s="209"/>
      <c r="G26" s="209"/>
      <c r="H26" s="209"/>
      <c r="I26" s="209"/>
      <c r="J26" s="210"/>
      <c r="K26" s="109"/>
      <c r="L26" s="109"/>
      <c r="M26" s="109"/>
      <c r="N26" s="109"/>
      <c r="O26" s="109"/>
      <c r="P26" s="109"/>
      <c r="Q26" s="109"/>
      <c r="R26" s="109"/>
      <c r="S26" s="109"/>
      <c r="T26" s="109"/>
      <c r="U26" s="109"/>
      <c r="V26" s="109"/>
      <c r="W26" s="109"/>
      <c r="X26" s="109"/>
      <c r="Y26" s="109"/>
      <c r="Z26" s="109"/>
    </row>
    <row r="27" spans="1:26" ht="16.5" customHeight="1" x14ac:dyDescent="0.3">
      <c r="A27" s="109"/>
      <c r="B27" s="222" t="s">
        <v>137</v>
      </c>
      <c r="C27" s="176"/>
      <c r="D27" s="176"/>
      <c r="E27" s="176"/>
      <c r="F27" s="176"/>
      <c r="G27" s="176"/>
      <c r="H27" s="176"/>
      <c r="I27" s="176"/>
      <c r="J27" s="177"/>
      <c r="K27" s="109"/>
      <c r="L27" s="109"/>
      <c r="M27" s="109"/>
      <c r="N27" s="109"/>
      <c r="O27" s="109"/>
      <c r="P27" s="109"/>
      <c r="Q27" s="109"/>
      <c r="R27" s="109"/>
      <c r="S27" s="109"/>
      <c r="T27" s="109"/>
      <c r="U27" s="109"/>
      <c r="V27" s="109"/>
      <c r="W27" s="109"/>
      <c r="X27" s="109"/>
      <c r="Y27" s="109"/>
      <c r="Z27" s="109"/>
    </row>
    <row r="28" spans="1:26" ht="16.5" customHeight="1" x14ac:dyDescent="0.3">
      <c r="A28" s="109"/>
      <c r="B28" s="223"/>
      <c r="C28" s="169"/>
      <c r="D28" s="169"/>
      <c r="E28" s="169"/>
      <c r="F28" s="169"/>
      <c r="G28" s="169"/>
      <c r="H28" s="169"/>
      <c r="I28" s="169"/>
      <c r="J28" s="224"/>
      <c r="K28" s="109"/>
      <c r="L28" s="109"/>
      <c r="M28" s="109"/>
      <c r="N28" s="109"/>
      <c r="O28" s="109"/>
      <c r="P28" s="109"/>
      <c r="Q28" s="109"/>
      <c r="R28" s="109"/>
      <c r="S28" s="109"/>
      <c r="T28" s="109"/>
      <c r="U28" s="109"/>
      <c r="V28" s="109"/>
      <c r="W28" s="109"/>
      <c r="X28" s="109"/>
      <c r="Y28" s="109"/>
      <c r="Z28" s="109"/>
    </row>
    <row r="29" spans="1:26" ht="16.5" customHeight="1" x14ac:dyDescent="0.3">
      <c r="A29" s="109"/>
      <c r="B29" s="208"/>
      <c r="C29" s="209"/>
      <c r="D29" s="209"/>
      <c r="E29" s="209"/>
      <c r="F29" s="209"/>
      <c r="G29" s="209"/>
      <c r="H29" s="209"/>
      <c r="I29" s="209"/>
      <c r="J29" s="210"/>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138</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x14ac:dyDescent="0.3"/>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173" t="s">
        <v>141</v>
      </c>
      <c r="D2" s="169"/>
      <c r="E2" s="169"/>
      <c r="F2" s="169"/>
      <c r="G2" s="169"/>
      <c r="H2" s="169"/>
      <c r="I2" s="169"/>
      <c r="J2" s="169"/>
      <c r="K2" s="169"/>
      <c r="L2" s="169"/>
      <c r="M2" s="169"/>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
      <c r="A4" s="40"/>
      <c r="B4" s="122" t="s">
        <v>14</v>
      </c>
      <c r="C4" s="40"/>
      <c r="D4" s="40"/>
      <c r="E4" s="40" t="str">
        <f>CARÁTULA!$C$21</f>
        <v>Secundaria</v>
      </c>
      <c r="F4" s="40"/>
      <c r="G4" s="40"/>
      <c r="H4" s="40"/>
      <c r="I4" s="40"/>
      <c r="J4" s="43" t="s">
        <v>53</v>
      </c>
      <c r="K4" s="39">
        <f>CARÁTULA!$C$19</f>
        <v>0</v>
      </c>
      <c r="L4" s="39"/>
      <c r="M4" s="39"/>
      <c r="N4" s="39"/>
      <c r="O4" s="40"/>
      <c r="P4" s="40"/>
      <c r="Q4" s="40"/>
      <c r="R4" s="40"/>
      <c r="S4" s="40"/>
      <c r="T4" s="40"/>
      <c r="U4" s="40"/>
      <c r="V4" s="40"/>
      <c r="W4" s="40"/>
      <c r="X4" s="40"/>
      <c r="Y4" s="40"/>
      <c r="Z4" s="40"/>
    </row>
    <row r="5" spans="1:26" ht="13.5" customHeight="1" x14ac:dyDescent="0.3">
      <c r="A5" s="40"/>
      <c r="B5" s="122" t="s">
        <v>22</v>
      </c>
      <c r="C5" s="40"/>
      <c r="D5" s="40"/>
      <c r="E5" s="40" t="str">
        <f>CARÁTULA!$C$23</f>
        <v>4to de Secundaria</v>
      </c>
      <c r="F5" s="40"/>
      <c r="G5" s="40"/>
      <c r="H5" s="40"/>
      <c r="I5" s="40"/>
      <c r="J5" s="43" t="s">
        <v>23</v>
      </c>
      <c r="K5" s="67">
        <f ca="1">TODAY()</f>
        <v>44419</v>
      </c>
      <c r="L5" s="39"/>
      <c r="M5" s="39"/>
      <c r="N5" s="39"/>
      <c r="O5" s="40"/>
      <c r="P5" s="40"/>
      <c r="Q5" s="40"/>
      <c r="R5" s="40"/>
      <c r="S5" s="40"/>
      <c r="T5" s="40"/>
      <c r="U5" s="40"/>
      <c r="V5" s="40"/>
      <c r="W5" s="40"/>
      <c r="X5" s="40"/>
      <c r="Y5" s="40"/>
      <c r="Z5" s="40"/>
    </row>
    <row r="6" spans="1:26" ht="13.5" customHeight="1" x14ac:dyDescent="0.3">
      <c r="A6" s="40"/>
      <c r="B6" s="96"/>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6"/>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188" t="s">
        <v>142</v>
      </c>
      <c r="D10" s="169"/>
      <c r="E10" s="123"/>
      <c r="F10" s="40"/>
      <c r="G10" s="43" t="s">
        <v>143</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4" t="s">
        <v>144</v>
      </c>
      <c r="D11" s="40"/>
      <c r="E11" s="125">
        <f>'CENTRAL 2'!$I$9</f>
        <v>36</v>
      </c>
      <c r="F11" s="123"/>
      <c r="G11" s="126">
        <f t="shared" ref="G11:G12" si="0">E11/$E$13</f>
        <v>1</v>
      </c>
      <c r="H11" s="127"/>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8" t="s">
        <v>145</v>
      </c>
      <c r="D12" s="40"/>
      <c r="E12" s="128">
        <f>'CENTRAL 2'!$I$13</f>
        <v>0</v>
      </c>
      <c r="F12" s="123"/>
      <c r="G12" s="126">
        <f t="shared" si="0"/>
        <v>0</v>
      </c>
      <c r="H12" s="127"/>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146</v>
      </c>
      <c r="D13" s="129"/>
      <c r="E13" s="130">
        <f>SUM(E11:E12)</f>
        <v>36</v>
      </c>
      <c r="F13" s="40"/>
      <c r="G13" s="126">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3"/>
      <c r="E14" s="123"/>
      <c r="F14" s="123"/>
      <c r="G14" s="123"/>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188" t="s">
        <v>147</v>
      </c>
      <c r="D23" s="169"/>
      <c r="E23" s="40"/>
      <c r="F23" s="40"/>
      <c r="G23" s="43" t="s">
        <v>148</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4" t="s">
        <v>144</v>
      </c>
      <c r="D24" s="40"/>
      <c r="E24" s="125">
        <f>'CENTRAL 2'!$J$9</f>
        <v>17</v>
      </c>
      <c r="F24" s="40"/>
      <c r="G24" s="126">
        <f t="shared" ref="G24:G25" si="1">E24/$E$26</f>
        <v>0.47222222222222221</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8" t="s">
        <v>145</v>
      </c>
      <c r="D25" s="40"/>
      <c r="E25" s="128">
        <f>'CENTRAL 2'!$J$13</f>
        <v>19</v>
      </c>
      <c r="F25" s="40"/>
      <c r="G25" s="126">
        <f t="shared" si="1"/>
        <v>0.52777777777777779</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146</v>
      </c>
      <c r="D26" s="40"/>
      <c r="E26" s="130">
        <f>SUM(E24:E25)</f>
        <v>36</v>
      </c>
      <c r="F26" s="40"/>
      <c r="G26" s="126">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188" t="s">
        <v>149</v>
      </c>
      <c r="D35" s="169"/>
      <c r="E35" s="40"/>
      <c r="F35" s="40"/>
      <c r="G35" s="122" t="s">
        <v>150</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4" t="s">
        <v>144</v>
      </c>
      <c r="D36" s="40"/>
      <c r="E36" s="125">
        <f>'CENTRAL 2'!$K$9</f>
        <v>36</v>
      </c>
      <c r="F36" s="40"/>
      <c r="G36" s="126">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8" t="s">
        <v>145</v>
      </c>
      <c r="D37" s="40"/>
      <c r="E37" s="128">
        <f>'CENTRAL 2'!$K$13</f>
        <v>0</v>
      </c>
      <c r="F37" s="40"/>
      <c r="G37" s="126">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146</v>
      </c>
      <c r="D38" s="40"/>
      <c r="E38" s="130">
        <f>SUM(E36:E37)</f>
        <v>36</v>
      </c>
      <c r="F38" s="40"/>
      <c r="G38" s="126">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x14ac:dyDescent="0.3"/>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x14ac:dyDescent="0.3">
      <c r="A1" s="127"/>
      <c r="B1" s="127"/>
      <c r="C1" s="127"/>
      <c r="D1" s="127"/>
      <c r="E1" s="127"/>
      <c r="F1" s="127"/>
      <c r="G1" s="127"/>
      <c r="H1" s="127"/>
      <c r="I1" s="127"/>
      <c r="J1" s="127"/>
      <c r="K1" s="127"/>
      <c r="L1" s="127"/>
      <c r="M1" s="127"/>
      <c r="N1" s="127"/>
      <c r="O1" s="127"/>
      <c r="P1" s="127"/>
      <c r="Q1" s="127"/>
      <c r="R1" s="127"/>
      <c r="S1" s="127"/>
      <c r="T1" s="127"/>
      <c r="U1" s="127"/>
      <c r="V1" s="127"/>
      <c r="W1" s="127"/>
      <c r="X1" s="127"/>
      <c r="Y1" s="127"/>
      <c r="Z1" s="127"/>
    </row>
    <row r="2" spans="1:26" ht="13.5" customHeight="1" x14ac:dyDescent="0.3">
      <c r="A2" s="127"/>
      <c r="B2" s="127"/>
      <c r="C2" s="228" t="s">
        <v>151</v>
      </c>
      <c r="D2" s="169"/>
      <c r="E2" s="169"/>
      <c r="F2" s="169"/>
      <c r="G2" s="169"/>
      <c r="H2" s="169"/>
      <c r="I2" s="169"/>
      <c r="J2" s="127"/>
      <c r="K2" s="127"/>
      <c r="L2" s="127"/>
      <c r="M2" s="127"/>
      <c r="N2" s="127"/>
      <c r="O2" s="127"/>
      <c r="P2" s="127"/>
      <c r="Q2" s="127"/>
      <c r="R2" s="127"/>
      <c r="S2" s="127"/>
      <c r="T2" s="127"/>
      <c r="U2" s="127"/>
      <c r="V2" s="127"/>
      <c r="W2" s="127"/>
      <c r="X2" s="127"/>
      <c r="Y2" s="127"/>
      <c r="Z2" s="127"/>
    </row>
    <row r="3" spans="1:26" ht="13.5" customHeight="1" x14ac:dyDescent="0.3">
      <c r="A3" s="127"/>
      <c r="B3" s="131" t="s">
        <v>8</v>
      </c>
      <c r="C3" s="132"/>
      <c r="D3" s="132"/>
      <c r="E3" s="132" t="str">
        <f>CARÁTULA!$C$15</f>
        <v>Instituto Tecnico Humanistico Jauzel Arrieta</v>
      </c>
      <c r="F3" s="132"/>
      <c r="G3" s="131" t="s">
        <v>19</v>
      </c>
      <c r="H3" s="132">
        <f>CARÁTULA!$C$25</f>
        <v>0</v>
      </c>
      <c r="I3" s="132"/>
      <c r="J3" s="132"/>
      <c r="K3" s="127"/>
      <c r="L3" s="127"/>
      <c r="M3" s="127"/>
      <c r="N3" s="127"/>
      <c r="O3" s="127"/>
      <c r="P3" s="127"/>
      <c r="Q3" s="127"/>
      <c r="R3" s="127"/>
      <c r="S3" s="127"/>
      <c r="T3" s="127"/>
      <c r="U3" s="127"/>
      <c r="V3" s="127"/>
      <c r="W3" s="127"/>
      <c r="X3" s="127"/>
      <c r="Y3" s="127"/>
      <c r="Z3" s="127"/>
    </row>
    <row r="4" spans="1:26" ht="13.5" customHeight="1" x14ac:dyDescent="0.3">
      <c r="A4" s="127"/>
      <c r="B4" s="131" t="s">
        <v>14</v>
      </c>
      <c r="C4" s="132"/>
      <c r="D4" s="132"/>
      <c r="E4" s="132" t="str">
        <f>CARÁTULA!$C$21</f>
        <v>Secundaria</v>
      </c>
      <c r="F4" s="132"/>
      <c r="G4" s="131" t="s">
        <v>53</v>
      </c>
      <c r="H4" s="132">
        <f>CARÁTULA!$C$19</f>
        <v>0</v>
      </c>
      <c r="I4" s="132"/>
      <c r="J4" s="132"/>
      <c r="K4" s="127"/>
      <c r="L4" s="127"/>
      <c r="M4" s="127"/>
      <c r="N4" s="127"/>
      <c r="O4" s="127"/>
      <c r="P4" s="127"/>
      <c r="Q4" s="127"/>
      <c r="R4" s="127"/>
      <c r="S4" s="127"/>
      <c r="T4" s="127"/>
      <c r="U4" s="127"/>
      <c r="V4" s="127"/>
      <c r="W4" s="127"/>
      <c r="X4" s="127"/>
      <c r="Y4" s="127"/>
      <c r="Z4" s="127"/>
    </row>
    <row r="5" spans="1:26" ht="13.5" customHeight="1" x14ac:dyDescent="0.3">
      <c r="A5" s="127"/>
      <c r="B5" s="131" t="s">
        <v>22</v>
      </c>
      <c r="C5" s="132"/>
      <c r="D5" s="132"/>
      <c r="E5" s="132" t="str">
        <f>CARÁTULA!$C$23</f>
        <v>4to de Secundaria</v>
      </c>
      <c r="F5" s="132"/>
      <c r="G5" s="131" t="s">
        <v>23</v>
      </c>
      <c r="H5" s="133">
        <f ca="1">TODAY()</f>
        <v>44419</v>
      </c>
      <c r="I5" s="132"/>
      <c r="J5" s="132"/>
      <c r="K5" s="127"/>
      <c r="L5" s="127"/>
      <c r="M5" s="127"/>
      <c r="N5" s="127"/>
      <c r="O5" s="127"/>
      <c r="P5" s="127"/>
      <c r="Q5" s="127"/>
      <c r="R5" s="127"/>
      <c r="S5" s="127"/>
      <c r="T5" s="127"/>
      <c r="U5" s="127"/>
      <c r="V5" s="127"/>
      <c r="W5" s="127"/>
      <c r="X5" s="127"/>
      <c r="Y5" s="127"/>
      <c r="Z5" s="127"/>
    </row>
    <row r="6" spans="1:26" ht="13.5" customHeight="1" x14ac:dyDescent="0.3">
      <c r="A6" s="127"/>
      <c r="B6" s="132"/>
      <c r="C6" s="132"/>
      <c r="D6" s="132"/>
      <c r="E6" s="132"/>
      <c r="F6" s="132"/>
      <c r="G6" s="132"/>
      <c r="H6" s="132"/>
      <c r="I6" s="132"/>
      <c r="J6" s="132"/>
      <c r="K6" s="127"/>
      <c r="L6" s="127"/>
      <c r="M6" s="127"/>
      <c r="N6" s="127"/>
      <c r="O6" s="127"/>
      <c r="P6" s="127"/>
      <c r="Q6" s="127"/>
      <c r="R6" s="127"/>
      <c r="S6" s="127"/>
      <c r="T6" s="127"/>
      <c r="U6" s="127"/>
      <c r="V6" s="127"/>
      <c r="W6" s="127"/>
      <c r="X6" s="127"/>
      <c r="Y6" s="127"/>
      <c r="Z6" s="127"/>
    </row>
    <row r="7" spans="1:26" ht="13.5" customHeight="1" x14ac:dyDescent="0.3">
      <c r="A7" s="127"/>
      <c r="B7" s="134"/>
      <c r="C7" s="134"/>
      <c r="D7" s="134"/>
      <c r="E7" s="134"/>
      <c r="F7" s="134"/>
      <c r="G7" s="134"/>
      <c r="H7" s="134"/>
      <c r="I7" s="134"/>
      <c r="J7" s="134"/>
      <c r="K7" s="127"/>
      <c r="L7" s="127"/>
      <c r="M7" s="127"/>
      <c r="N7" s="127"/>
      <c r="O7" s="127"/>
      <c r="P7" s="127"/>
      <c r="Q7" s="127"/>
      <c r="R7" s="127"/>
      <c r="S7" s="127"/>
      <c r="T7" s="127"/>
      <c r="U7" s="127"/>
      <c r="V7" s="127"/>
      <c r="W7" s="127"/>
      <c r="X7" s="127"/>
      <c r="Y7" s="127"/>
      <c r="Z7" s="127"/>
    </row>
    <row r="8" spans="1:26" ht="13.5" customHeight="1" x14ac:dyDescent="0.3">
      <c r="A8" s="127"/>
      <c r="B8" s="127"/>
      <c r="C8" s="227" t="s">
        <v>152</v>
      </c>
      <c r="D8" s="135" t="s">
        <v>153</v>
      </c>
      <c r="E8" s="135" t="s">
        <v>154</v>
      </c>
      <c r="F8" s="136" t="s">
        <v>155</v>
      </c>
      <c r="G8" s="135" t="s">
        <v>156</v>
      </c>
      <c r="H8" s="135" t="s">
        <v>157</v>
      </c>
      <c r="I8" s="127"/>
      <c r="J8" s="127"/>
      <c r="K8" s="127"/>
      <c r="L8" s="127"/>
      <c r="M8" s="127"/>
      <c r="N8" s="127"/>
      <c r="O8" s="127"/>
      <c r="P8" s="127"/>
      <c r="Q8" s="127"/>
      <c r="R8" s="127"/>
      <c r="S8" s="127"/>
      <c r="T8" s="127"/>
      <c r="U8" s="127"/>
      <c r="V8" s="127"/>
      <c r="W8" s="127"/>
      <c r="X8" s="127"/>
      <c r="Y8" s="127"/>
      <c r="Z8" s="127"/>
    </row>
    <row r="9" spans="1:26" ht="13.5" customHeight="1" x14ac:dyDescent="0.3">
      <c r="A9" s="127"/>
      <c r="B9" s="127"/>
      <c r="C9" s="214"/>
      <c r="D9" s="137" t="s">
        <v>158</v>
      </c>
      <c r="E9" s="114">
        <v>3</v>
      </c>
      <c r="F9" s="138">
        <v>20</v>
      </c>
      <c r="G9" s="138">
        <v>19</v>
      </c>
      <c r="H9" s="117">
        <f t="shared" ref="H9:H11" si="0">G9/$G$12</f>
        <v>0.43181818181818182</v>
      </c>
      <c r="I9" s="127"/>
      <c r="J9" s="127"/>
      <c r="K9" s="127"/>
      <c r="L9" s="127"/>
      <c r="M9" s="127"/>
      <c r="N9" s="127"/>
      <c r="O9" s="127"/>
      <c r="P9" s="127"/>
      <c r="Q9" s="127"/>
      <c r="R9" s="127"/>
      <c r="S9" s="127"/>
      <c r="T9" s="127"/>
      <c r="U9" s="127"/>
      <c r="V9" s="127"/>
      <c r="W9" s="127"/>
      <c r="X9" s="127"/>
      <c r="Y9" s="127"/>
      <c r="Z9" s="127"/>
    </row>
    <row r="10" spans="1:26" ht="13.5" customHeight="1" x14ac:dyDescent="0.3">
      <c r="A10" s="127"/>
      <c r="B10" s="127"/>
      <c r="C10" s="214"/>
      <c r="D10" s="137" t="s">
        <v>159</v>
      </c>
      <c r="E10" s="114">
        <v>2</v>
      </c>
      <c r="F10" s="138">
        <v>13</v>
      </c>
      <c r="G10" s="138">
        <v>13</v>
      </c>
      <c r="H10" s="117">
        <f t="shared" si="0"/>
        <v>0.29545454545454547</v>
      </c>
      <c r="I10" s="127"/>
      <c r="J10" s="127"/>
      <c r="K10" s="127"/>
      <c r="L10" s="127"/>
      <c r="M10" s="127"/>
      <c r="N10" s="127"/>
      <c r="O10" s="127"/>
      <c r="P10" s="127"/>
      <c r="Q10" s="127"/>
      <c r="R10" s="127"/>
      <c r="S10" s="127"/>
      <c r="T10" s="127"/>
      <c r="U10" s="127"/>
      <c r="V10" s="127"/>
      <c r="W10" s="127"/>
      <c r="X10" s="127"/>
      <c r="Y10" s="127"/>
      <c r="Z10" s="127"/>
    </row>
    <row r="11" spans="1:26" ht="13.5" customHeight="1" x14ac:dyDescent="0.3">
      <c r="A11" s="127"/>
      <c r="B11" s="127"/>
      <c r="C11" s="214"/>
      <c r="D11" s="137" t="s">
        <v>160</v>
      </c>
      <c r="E11" s="114">
        <v>2</v>
      </c>
      <c r="F11" s="138">
        <v>12</v>
      </c>
      <c r="G11" s="138">
        <v>12</v>
      </c>
      <c r="H11" s="117">
        <f t="shared" si="0"/>
        <v>0.27272727272727271</v>
      </c>
      <c r="I11" s="127"/>
      <c r="J11" s="127"/>
      <c r="K11" s="127"/>
      <c r="L11" s="127"/>
      <c r="M11" s="127"/>
      <c r="N11" s="127"/>
      <c r="O11" s="127"/>
      <c r="P11" s="127"/>
      <c r="Q11" s="127"/>
      <c r="R11" s="127"/>
      <c r="S11" s="127"/>
      <c r="T11" s="127"/>
      <c r="U11" s="127"/>
      <c r="V11" s="127"/>
      <c r="W11" s="127"/>
      <c r="X11" s="127"/>
      <c r="Y11" s="127"/>
      <c r="Z11" s="127"/>
    </row>
    <row r="12" spans="1:26" ht="13.5" customHeight="1" x14ac:dyDescent="0.3">
      <c r="A12" s="127"/>
      <c r="B12" s="127"/>
      <c r="C12" s="199"/>
      <c r="D12" s="139"/>
      <c r="E12" s="140">
        <f t="shared" ref="E12:H12" si="1">SUM(E9:E11)</f>
        <v>7</v>
      </c>
      <c r="F12" s="141">
        <f t="shared" si="1"/>
        <v>45</v>
      </c>
      <c r="G12" s="140">
        <f t="shared" si="1"/>
        <v>44</v>
      </c>
      <c r="H12" s="126">
        <f t="shared" si="1"/>
        <v>1</v>
      </c>
      <c r="I12" s="127"/>
      <c r="J12" s="127"/>
      <c r="K12" s="127"/>
      <c r="L12" s="127"/>
      <c r="M12" s="127"/>
      <c r="N12" s="127"/>
      <c r="O12" s="127"/>
      <c r="P12" s="127"/>
      <c r="Q12" s="127"/>
      <c r="R12" s="127"/>
      <c r="S12" s="127"/>
      <c r="T12" s="127"/>
      <c r="U12" s="127"/>
      <c r="V12" s="127"/>
      <c r="W12" s="127"/>
      <c r="X12" s="127"/>
      <c r="Y12" s="127"/>
      <c r="Z12" s="127"/>
    </row>
    <row r="13" spans="1:26" ht="13.5" customHeight="1" x14ac:dyDescent="0.3">
      <c r="A13" s="127"/>
      <c r="B13" s="127"/>
      <c r="C13" s="127"/>
      <c r="D13" s="127"/>
      <c r="E13" s="127"/>
      <c r="F13" s="127"/>
      <c r="G13" s="127"/>
      <c r="H13" s="127"/>
      <c r="I13" s="127"/>
      <c r="J13" s="127"/>
      <c r="K13" s="127"/>
      <c r="L13" s="127"/>
      <c r="M13" s="127"/>
      <c r="N13" s="127"/>
      <c r="O13" s="127"/>
      <c r="P13" s="127"/>
      <c r="Q13" s="127"/>
      <c r="R13" s="127"/>
      <c r="S13" s="127"/>
      <c r="T13" s="127"/>
      <c r="U13" s="127"/>
      <c r="V13" s="127"/>
      <c r="W13" s="127"/>
      <c r="X13" s="127"/>
      <c r="Y13" s="127"/>
      <c r="Z13" s="127"/>
    </row>
    <row r="14" spans="1:26" ht="13.5" customHeight="1" x14ac:dyDescent="0.3">
      <c r="A14" s="127"/>
      <c r="B14" s="127"/>
      <c r="C14" s="127"/>
      <c r="D14" s="127"/>
      <c r="E14" s="127"/>
      <c r="F14" s="127"/>
      <c r="G14" s="127"/>
      <c r="H14" s="127"/>
      <c r="I14" s="127"/>
      <c r="J14" s="127"/>
      <c r="K14" s="127"/>
      <c r="L14" s="127"/>
      <c r="M14" s="127"/>
      <c r="N14" s="127"/>
      <c r="O14" s="127"/>
      <c r="P14" s="127"/>
      <c r="Q14" s="127"/>
      <c r="R14" s="127"/>
      <c r="S14" s="127"/>
      <c r="T14" s="127"/>
      <c r="U14" s="127"/>
      <c r="V14" s="127"/>
      <c r="W14" s="127"/>
      <c r="X14" s="127"/>
      <c r="Y14" s="127"/>
      <c r="Z14" s="127"/>
    </row>
    <row r="15" spans="1:26" ht="13.5" customHeight="1" x14ac:dyDescent="0.3">
      <c r="A15" s="127"/>
      <c r="B15" s="127"/>
      <c r="C15" s="227" t="s">
        <v>161</v>
      </c>
      <c r="D15" s="135" t="s">
        <v>153</v>
      </c>
      <c r="E15" s="135" t="s">
        <v>154</v>
      </c>
      <c r="F15" s="136" t="s">
        <v>155</v>
      </c>
      <c r="G15" s="135" t="s">
        <v>156</v>
      </c>
      <c r="H15" s="135" t="s">
        <v>157</v>
      </c>
      <c r="I15" s="127"/>
      <c r="J15" s="127"/>
      <c r="K15" s="127"/>
      <c r="L15" s="127"/>
      <c r="M15" s="127"/>
      <c r="N15" s="127"/>
      <c r="O15" s="127"/>
      <c r="P15" s="127"/>
      <c r="Q15" s="127"/>
      <c r="R15" s="127"/>
      <c r="S15" s="127"/>
      <c r="T15" s="127"/>
      <c r="U15" s="127"/>
      <c r="V15" s="127"/>
      <c r="W15" s="127"/>
      <c r="X15" s="127"/>
      <c r="Y15" s="127"/>
      <c r="Z15" s="127"/>
    </row>
    <row r="16" spans="1:26" ht="13.5" customHeight="1" x14ac:dyDescent="0.3">
      <c r="A16" s="127"/>
      <c r="B16" s="127"/>
      <c r="C16" s="214"/>
      <c r="D16" s="137" t="s">
        <v>158</v>
      </c>
      <c r="E16" s="114">
        <v>3</v>
      </c>
      <c r="F16" s="138">
        <v>12</v>
      </c>
      <c r="G16" s="138">
        <v>12</v>
      </c>
      <c r="H16" s="117">
        <f t="shared" ref="H16:H18" si="2">G16/$G$19</f>
        <v>0.33333333333333331</v>
      </c>
      <c r="I16" s="127"/>
      <c r="J16" s="127"/>
      <c r="K16" s="127"/>
      <c r="L16" s="127"/>
      <c r="M16" s="127"/>
      <c r="N16" s="127"/>
      <c r="O16" s="127"/>
      <c r="P16" s="127"/>
      <c r="Q16" s="127"/>
      <c r="R16" s="127"/>
      <c r="S16" s="127"/>
      <c r="T16" s="127"/>
      <c r="U16" s="127"/>
      <c r="V16" s="127"/>
      <c r="W16" s="127"/>
      <c r="X16" s="127"/>
      <c r="Y16" s="127"/>
      <c r="Z16" s="127"/>
    </row>
    <row r="17" spans="1:26" ht="13.5" customHeight="1" x14ac:dyDescent="0.3">
      <c r="A17" s="127"/>
      <c r="B17" s="127"/>
      <c r="C17" s="214"/>
      <c r="D17" s="137" t="s">
        <v>159</v>
      </c>
      <c r="E17" s="114">
        <v>4</v>
      </c>
      <c r="F17" s="138">
        <v>11</v>
      </c>
      <c r="G17" s="138">
        <v>11</v>
      </c>
      <c r="H17" s="117">
        <f t="shared" si="2"/>
        <v>0.30555555555555558</v>
      </c>
      <c r="I17" s="127"/>
      <c r="J17" s="127"/>
      <c r="K17" s="127"/>
      <c r="L17" s="127"/>
      <c r="M17" s="127"/>
      <c r="N17" s="127"/>
      <c r="O17" s="127"/>
      <c r="P17" s="127"/>
      <c r="Q17" s="127"/>
      <c r="R17" s="127"/>
      <c r="S17" s="127"/>
      <c r="T17" s="127"/>
      <c r="U17" s="127"/>
      <c r="V17" s="127"/>
      <c r="W17" s="127"/>
      <c r="X17" s="127"/>
      <c r="Y17" s="127"/>
      <c r="Z17" s="127"/>
    </row>
    <row r="18" spans="1:26" ht="13.5" customHeight="1" x14ac:dyDescent="0.3">
      <c r="A18" s="127"/>
      <c r="B18" s="127"/>
      <c r="C18" s="214"/>
      <c r="D18" s="137" t="s">
        <v>160</v>
      </c>
      <c r="E18" s="114">
        <v>5</v>
      </c>
      <c r="F18" s="138">
        <v>13</v>
      </c>
      <c r="G18" s="138">
        <v>13</v>
      </c>
      <c r="H18" s="117">
        <f t="shared" si="2"/>
        <v>0.3611111111111111</v>
      </c>
      <c r="I18" s="127"/>
      <c r="J18" s="127"/>
      <c r="K18" s="127"/>
      <c r="L18" s="127"/>
      <c r="M18" s="127"/>
      <c r="N18" s="127"/>
      <c r="O18" s="127"/>
      <c r="P18" s="127"/>
      <c r="Q18" s="127"/>
      <c r="R18" s="127"/>
      <c r="S18" s="127"/>
      <c r="T18" s="127"/>
      <c r="U18" s="127"/>
      <c r="V18" s="127"/>
      <c r="W18" s="127"/>
      <c r="X18" s="127"/>
      <c r="Y18" s="127"/>
      <c r="Z18" s="127"/>
    </row>
    <row r="19" spans="1:26" ht="13.5" customHeight="1" x14ac:dyDescent="0.3">
      <c r="A19" s="127"/>
      <c r="B19" s="127"/>
      <c r="C19" s="199"/>
      <c r="D19" s="139"/>
      <c r="E19" s="140">
        <f t="shared" ref="E19:H19" si="3">SUM(E16:E18)</f>
        <v>12</v>
      </c>
      <c r="F19" s="141">
        <f t="shared" si="3"/>
        <v>36</v>
      </c>
      <c r="G19" s="140">
        <f t="shared" si="3"/>
        <v>36</v>
      </c>
      <c r="H19" s="126">
        <f t="shared" si="3"/>
        <v>1</v>
      </c>
      <c r="I19" s="127"/>
      <c r="J19" s="127"/>
      <c r="K19" s="127"/>
      <c r="L19" s="127"/>
      <c r="M19" s="127"/>
      <c r="N19" s="127"/>
      <c r="O19" s="127"/>
      <c r="P19" s="127"/>
      <c r="Q19" s="127"/>
      <c r="R19" s="127"/>
      <c r="S19" s="127"/>
      <c r="T19" s="127"/>
      <c r="U19" s="127"/>
      <c r="V19" s="127"/>
      <c r="W19" s="127"/>
      <c r="X19" s="127"/>
      <c r="Y19" s="127"/>
      <c r="Z19" s="127"/>
    </row>
    <row r="20" spans="1:26" ht="13.5" customHeight="1" x14ac:dyDescent="0.3">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ht="13.5" customHeight="1" x14ac:dyDescent="0.3">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ht="13.5" customHeight="1" x14ac:dyDescent="0.3">
      <c r="A22" s="127"/>
      <c r="B22" s="127"/>
      <c r="C22" s="227" t="s">
        <v>162</v>
      </c>
      <c r="D22" s="135" t="s">
        <v>153</v>
      </c>
      <c r="E22" s="135" t="s">
        <v>154</v>
      </c>
      <c r="F22" s="136" t="s">
        <v>155</v>
      </c>
      <c r="G22" s="135" t="s">
        <v>156</v>
      </c>
      <c r="H22" s="135" t="s">
        <v>157</v>
      </c>
      <c r="I22" s="127"/>
      <c r="J22" s="127"/>
      <c r="K22" s="127"/>
      <c r="L22" s="127"/>
      <c r="M22" s="127"/>
      <c r="N22" s="127"/>
      <c r="O22" s="127"/>
      <c r="P22" s="127"/>
      <c r="Q22" s="127"/>
      <c r="R22" s="127"/>
      <c r="S22" s="127"/>
      <c r="T22" s="127"/>
      <c r="U22" s="127"/>
      <c r="V22" s="127"/>
      <c r="W22" s="127"/>
      <c r="X22" s="127"/>
      <c r="Y22" s="127"/>
      <c r="Z22" s="127"/>
    </row>
    <row r="23" spans="1:26" ht="13.5" customHeight="1" x14ac:dyDescent="0.3">
      <c r="A23" s="127"/>
      <c r="B23" s="127"/>
      <c r="C23" s="214"/>
      <c r="D23" s="137" t="s">
        <v>158</v>
      </c>
      <c r="E23" s="114">
        <v>5</v>
      </c>
      <c r="F23" s="138">
        <v>10</v>
      </c>
      <c r="G23" s="138">
        <v>10</v>
      </c>
      <c r="H23" s="117">
        <f t="shared" ref="H23:H25" si="4">G23/$G$26</f>
        <v>0.25641025641025639</v>
      </c>
      <c r="I23" s="127"/>
      <c r="J23" s="127"/>
      <c r="K23" s="127"/>
      <c r="L23" s="127"/>
      <c r="M23" s="127"/>
      <c r="N23" s="127"/>
      <c r="O23" s="127"/>
      <c r="P23" s="127"/>
      <c r="Q23" s="127"/>
      <c r="R23" s="127"/>
      <c r="S23" s="127"/>
      <c r="T23" s="127"/>
      <c r="U23" s="127"/>
      <c r="V23" s="127"/>
      <c r="W23" s="127"/>
      <c r="X23" s="127"/>
      <c r="Y23" s="127"/>
      <c r="Z23" s="127"/>
    </row>
    <row r="24" spans="1:26" ht="13.5" customHeight="1" x14ac:dyDescent="0.3">
      <c r="A24" s="127"/>
      <c r="B24" s="127"/>
      <c r="C24" s="214"/>
      <c r="D24" s="137" t="s">
        <v>159</v>
      </c>
      <c r="E24" s="114">
        <v>6</v>
      </c>
      <c r="F24" s="138">
        <v>14</v>
      </c>
      <c r="G24" s="138">
        <v>14</v>
      </c>
      <c r="H24" s="117">
        <f t="shared" si="4"/>
        <v>0.35897435897435898</v>
      </c>
      <c r="I24" s="127"/>
      <c r="J24" s="127"/>
      <c r="K24" s="127"/>
      <c r="L24" s="127"/>
      <c r="M24" s="127"/>
      <c r="N24" s="127"/>
      <c r="O24" s="127"/>
      <c r="P24" s="127"/>
      <c r="Q24" s="127"/>
      <c r="R24" s="127"/>
      <c r="S24" s="127"/>
      <c r="T24" s="127"/>
      <c r="U24" s="127"/>
      <c r="V24" s="127"/>
      <c r="W24" s="127"/>
      <c r="X24" s="127"/>
      <c r="Y24" s="127"/>
      <c r="Z24" s="127"/>
    </row>
    <row r="25" spans="1:26" ht="13.5" customHeight="1" x14ac:dyDescent="0.3">
      <c r="A25" s="127"/>
      <c r="B25" s="127"/>
      <c r="C25" s="214"/>
      <c r="D25" s="137" t="s">
        <v>160</v>
      </c>
      <c r="E25" s="114">
        <v>4</v>
      </c>
      <c r="F25" s="138">
        <v>15</v>
      </c>
      <c r="G25" s="138">
        <v>15</v>
      </c>
      <c r="H25" s="117">
        <f t="shared" si="4"/>
        <v>0.38461538461538464</v>
      </c>
      <c r="I25" s="127"/>
      <c r="J25" s="127"/>
      <c r="K25" s="127"/>
      <c r="L25" s="127"/>
      <c r="M25" s="127"/>
      <c r="N25" s="127"/>
      <c r="O25" s="127"/>
      <c r="P25" s="127"/>
      <c r="Q25" s="127"/>
      <c r="R25" s="127"/>
      <c r="S25" s="127"/>
      <c r="T25" s="127"/>
      <c r="U25" s="127"/>
      <c r="V25" s="127"/>
      <c r="W25" s="127"/>
      <c r="X25" s="127"/>
      <c r="Y25" s="127"/>
      <c r="Z25" s="127"/>
    </row>
    <row r="26" spans="1:26" ht="13.5" customHeight="1" x14ac:dyDescent="0.3">
      <c r="A26" s="127"/>
      <c r="B26" s="127"/>
      <c r="C26" s="199"/>
      <c r="D26" s="139"/>
      <c r="E26" s="140">
        <f t="shared" ref="E26:H26" si="5">SUM(E23:E25)</f>
        <v>15</v>
      </c>
      <c r="F26" s="141">
        <f t="shared" si="5"/>
        <v>39</v>
      </c>
      <c r="G26" s="140">
        <f t="shared" si="5"/>
        <v>39</v>
      </c>
      <c r="H26" s="126">
        <f t="shared" si="5"/>
        <v>1</v>
      </c>
      <c r="I26" s="127"/>
      <c r="J26" s="127"/>
      <c r="K26" s="127"/>
      <c r="L26" s="127"/>
      <c r="M26" s="127"/>
      <c r="N26" s="127"/>
      <c r="O26" s="127"/>
      <c r="P26" s="127"/>
      <c r="Q26" s="127"/>
      <c r="R26" s="127"/>
      <c r="S26" s="127"/>
      <c r="T26" s="127"/>
      <c r="U26" s="127"/>
      <c r="V26" s="127"/>
      <c r="W26" s="127"/>
      <c r="X26" s="127"/>
      <c r="Y26" s="127"/>
      <c r="Z26" s="127"/>
    </row>
    <row r="27" spans="1:26" ht="13.5" customHeight="1" x14ac:dyDescent="0.3">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ht="13.5" customHeight="1" x14ac:dyDescent="0.3">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ht="13.5" customHeight="1" x14ac:dyDescent="0.3">
      <c r="A29" s="127"/>
      <c r="B29" s="127"/>
      <c r="C29" s="227" t="s">
        <v>163</v>
      </c>
      <c r="D29" s="135" t="s">
        <v>153</v>
      </c>
      <c r="E29" s="135" t="s">
        <v>154</v>
      </c>
      <c r="F29" s="136" t="s">
        <v>155</v>
      </c>
      <c r="G29" s="135" t="s">
        <v>156</v>
      </c>
      <c r="H29" s="135" t="s">
        <v>157</v>
      </c>
      <c r="I29" s="127"/>
      <c r="J29" s="127"/>
      <c r="K29" s="127"/>
      <c r="L29" s="127"/>
      <c r="M29" s="127"/>
      <c r="N29" s="127"/>
      <c r="O29" s="127"/>
      <c r="P29" s="127"/>
      <c r="Q29" s="127"/>
      <c r="R29" s="127"/>
      <c r="S29" s="127"/>
      <c r="T29" s="127"/>
      <c r="U29" s="127"/>
      <c r="V29" s="127"/>
      <c r="W29" s="127"/>
      <c r="X29" s="127"/>
      <c r="Y29" s="127"/>
      <c r="Z29" s="127"/>
    </row>
    <row r="30" spans="1:26" ht="13.5" customHeight="1" x14ac:dyDescent="0.3">
      <c r="A30" s="127"/>
      <c r="B30" s="127"/>
      <c r="C30" s="214"/>
      <c r="D30" s="137" t="s">
        <v>158</v>
      </c>
      <c r="E30" s="114">
        <v>6</v>
      </c>
      <c r="F30" s="138">
        <v>9</v>
      </c>
      <c r="G30" s="138">
        <v>9</v>
      </c>
      <c r="H30" s="117">
        <f t="shared" ref="H30:H32" si="6">G30/$G$33</f>
        <v>0.28125</v>
      </c>
      <c r="I30" s="127"/>
      <c r="J30" s="127"/>
      <c r="K30" s="127"/>
      <c r="L30" s="127"/>
      <c r="M30" s="127"/>
      <c r="N30" s="127"/>
      <c r="O30" s="127"/>
      <c r="P30" s="127"/>
      <c r="Q30" s="127"/>
      <c r="R30" s="127"/>
      <c r="S30" s="127"/>
      <c r="T30" s="127"/>
      <c r="U30" s="127"/>
      <c r="V30" s="127"/>
      <c r="W30" s="127"/>
      <c r="X30" s="127"/>
      <c r="Y30" s="127"/>
      <c r="Z30" s="127"/>
    </row>
    <row r="31" spans="1:26" ht="13.5" customHeight="1" x14ac:dyDescent="0.3">
      <c r="A31" s="127"/>
      <c r="B31" s="127"/>
      <c r="C31" s="214"/>
      <c r="D31" s="137" t="s">
        <v>159</v>
      </c>
      <c r="E31" s="114">
        <v>5</v>
      </c>
      <c r="F31" s="138">
        <v>11</v>
      </c>
      <c r="G31" s="138">
        <v>11</v>
      </c>
      <c r="H31" s="117">
        <f t="shared" si="6"/>
        <v>0.34375</v>
      </c>
      <c r="I31" s="127"/>
      <c r="J31" s="127"/>
      <c r="K31" s="127"/>
      <c r="L31" s="127"/>
      <c r="M31" s="127"/>
      <c r="N31" s="127"/>
      <c r="O31" s="127"/>
      <c r="P31" s="127"/>
      <c r="Q31" s="127"/>
      <c r="R31" s="127"/>
      <c r="S31" s="127"/>
      <c r="T31" s="127"/>
      <c r="U31" s="127"/>
      <c r="V31" s="127"/>
      <c r="W31" s="127"/>
      <c r="X31" s="127"/>
      <c r="Y31" s="127"/>
      <c r="Z31" s="127"/>
    </row>
    <row r="32" spans="1:26" ht="13.5" customHeight="1" x14ac:dyDescent="0.3">
      <c r="A32" s="127"/>
      <c r="B32" s="127"/>
      <c r="C32" s="214"/>
      <c r="D32" s="137" t="s">
        <v>160</v>
      </c>
      <c r="E32" s="114">
        <v>3</v>
      </c>
      <c r="F32" s="138">
        <v>12</v>
      </c>
      <c r="G32" s="138">
        <v>12</v>
      </c>
      <c r="H32" s="117">
        <f t="shared" si="6"/>
        <v>0.375</v>
      </c>
      <c r="I32" s="127"/>
      <c r="J32" s="127"/>
      <c r="K32" s="127"/>
      <c r="L32" s="127"/>
      <c r="M32" s="127"/>
      <c r="N32" s="127"/>
      <c r="O32" s="127"/>
      <c r="P32" s="127"/>
      <c r="Q32" s="127"/>
      <c r="R32" s="127"/>
      <c r="S32" s="127"/>
      <c r="T32" s="127"/>
      <c r="U32" s="127"/>
      <c r="V32" s="127"/>
      <c r="W32" s="127"/>
      <c r="X32" s="127"/>
      <c r="Y32" s="127"/>
      <c r="Z32" s="127"/>
    </row>
    <row r="33" spans="1:26" ht="13.5" customHeight="1" x14ac:dyDescent="0.3">
      <c r="A33" s="127"/>
      <c r="B33" s="127"/>
      <c r="C33" s="199"/>
      <c r="D33" s="139"/>
      <c r="E33" s="140">
        <f t="shared" ref="E33:H33" si="7">SUM(E30:E32)</f>
        <v>14</v>
      </c>
      <c r="F33" s="141">
        <f t="shared" si="7"/>
        <v>32</v>
      </c>
      <c r="G33" s="140">
        <f t="shared" si="7"/>
        <v>32</v>
      </c>
      <c r="H33" s="126">
        <f t="shared" si="7"/>
        <v>1</v>
      </c>
      <c r="I33" s="127"/>
      <c r="J33" s="127"/>
      <c r="K33" s="127"/>
      <c r="L33" s="127"/>
      <c r="M33" s="127"/>
      <c r="N33" s="127"/>
      <c r="O33" s="127"/>
      <c r="P33" s="127"/>
      <c r="Q33" s="127"/>
      <c r="R33" s="127"/>
      <c r="S33" s="127"/>
      <c r="T33" s="127"/>
      <c r="U33" s="127"/>
      <c r="V33" s="127"/>
      <c r="W33" s="127"/>
      <c r="X33" s="127"/>
      <c r="Y33" s="127"/>
      <c r="Z33" s="127"/>
    </row>
    <row r="34" spans="1:26" ht="13.5" customHeight="1" x14ac:dyDescent="0.3">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6" ht="13.5" customHeight="1" x14ac:dyDescent="0.3">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6" ht="13.5" customHeight="1" x14ac:dyDescent="0.3">
      <c r="A36" s="127"/>
      <c r="B36" s="127"/>
      <c r="C36" s="227" t="s">
        <v>164</v>
      </c>
      <c r="D36" s="135" t="s">
        <v>153</v>
      </c>
      <c r="E36" s="135" t="s">
        <v>154</v>
      </c>
      <c r="F36" s="136" t="s">
        <v>155</v>
      </c>
      <c r="G36" s="135" t="s">
        <v>156</v>
      </c>
      <c r="H36" s="135" t="s">
        <v>157</v>
      </c>
      <c r="I36" s="127"/>
      <c r="J36" s="127"/>
      <c r="K36" s="127"/>
      <c r="L36" s="127"/>
      <c r="M36" s="127"/>
      <c r="N36" s="127"/>
      <c r="O36" s="127"/>
      <c r="P36" s="127"/>
      <c r="Q36" s="127"/>
      <c r="R36" s="127"/>
      <c r="S36" s="127"/>
      <c r="T36" s="127"/>
      <c r="U36" s="127"/>
      <c r="V36" s="127"/>
      <c r="W36" s="127"/>
      <c r="X36" s="127"/>
      <c r="Y36" s="127"/>
      <c r="Z36" s="127"/>
    </row>
    <row r="37" spans="1:26" ht="13.5" customHeight="1" x14ac:dyDescent="0.3">
      <c r="A37" s="127"/>
      <c r="B37" s="127"/>
      <c r="C37" s="214"/>
      <c r="D37" s="137" t="s">
        <v>158</v>
      </c>
      <c r="E37" s="114">
        <v>3</v>
      </c>
      <c r="F37" s="138">
        <v>18</v>
      </c>
      <c r="G37" s="138">
        <v>18</v>
      </c>
      <c r="H37" s="117">
        <f t="shared" ref="H37:H39" si="8">G37/$G$40</f>
        <v>0.33333333333333331</v>
      </c>
      <c r="I37" s="127"/>
      <c r="J37" s="127"/>
      <c r="K37" s="127"/>
      <c r="L37" s="127"/>
      <c r="M37" s="127"/>
      <c r="N37" s="127"/>
      <c r="O37" s="127"/>
      <c r="P37" s="127"/>
      <c r="Q37" s="127"/>
      <c r="R37" s="127"/>
      <c r="S37" s="127"/>
      <c r="T37" s="127"/>
      <c r="U37" s="127"/>
      <c r="V37" s="127"/>
      <c r="W37" s="127"/>
      <c r="X37" s="127"/>
      <c r="Y37" s="127"/>
      <c r="Z37" s="127"/>
    </row>
    <row r="38" spans="1:26" ht="13.5" customHeight="1" x14ac:dyDescent="0.3">
      <c r="A38" s="127"/>
      <c r="B38" s="127"/>
      <c r="C38" s="214"/>
      <c r="D38" s="137" t="s">
        <v>159</v>
      </c>
      <c r="E38" s="114">
        <v>3</v>
      </c>
      <c r="F38" s="138">
        <v>19</v>
      </c>
      <c r="G38" s="138">
        <v>19</v>
      </c>
      <c r="H38" s="117">
        <f t="shared" si="8"/>
        <v>0.35185185185185186</v>
      </c>
      <c r="I38" s="127"/>
      <c r="J38" s="127"/>
      <c r="K38" s="127"/>
      <c r="L38" s="127"/>
      <c r="M38" s="127"/>
      <c r="N38" s="127"/>
      <c r="O38" s="127"/>
      <c r="P38" s="127"/>
      <c r="Q38" s="127"/>
      <c r="R38" s="127"/>
      <c r="S38" s="127"/>
      <c r="T38" s="127"/>
      <c r="U38" s="127"/>
      <c r="V38" s="127"/>
      <c r="W38" s="127"/>
      <c r="X38" s="127"/>
      <c r="Y38" s="127"/>
      <c r="Z38" s="127"/>
    </row>
    <row r="39" spans="1:26" ht="13.5" customHeight="1" x14ac:dyDescent="0.3">
      <c r="A39" s="127"/>
      <c r="B39" s="127"/>
      <c r="C39" s="214"/>
      <c r="D39" s="137" t="s">
        <v>160</v>
      </c>
      <c r="E39" s="114">
        <v>3</v>
      </c>
      <c r="F39" s="138">
        <v>17</v>
      </c>
      <c r="G39" s="138">
        <v>17</v>
      </c>
      <c r="H39" s="117">
        <f t="shared" si="8"/>
        <v>0.31481481481481483</v>
      </c>
      <c r="I39" s="127"/>
      <c r="J39" s="127"/>
      <c r="K39" s="127"/>
      <c r="L39" s="127"/>
      <c r="M39" s="127"/>
      <c r="N39" s="127"/>
      <c r="O39" s="127"/>
      <c r="P39" s="127"/>
      <c r="Q39" s="127"/>
      <c r="R39" s="127"/>
      <c r="S39" s="127"/>
      <c r="T39" s="127"/>
      <c r="U39" s="127"/>
      <c r="V39" s="127"/>
      <c r="W39" s="127"/>
      <c r="X39" s="127"/>
      <c r="Y39" s="127"/>
      <c r="Z39" s="127"/>
    </row>
    <row r="40" spans="1:26" ht="13.5" customHeight="1" x14ac:dyDescent="0.3">
      <c r="A40" s="127"/>
      <c r="B40" s="127"/>
      <c r="C40" s="199"/>
      <c r="D40" s="139"/>
      <c r="E40" s="140">
        <f t="shared" ref="E40:H40" si="9">SUM(E37:E39)</f>
        <v>9</v>
      </c>
      <c r="F40" s="141">
        <f t="shared" si="9"/>
        <v>54</v>
      </c>
      <c r="G40" s="140">
        <f t="shared" si="9"/>
        <v>54</v>
      </c>
      <c r="H40" s="126">
        <f t="shared" si="9"/>
        <v>1</v>
      </c>
      <c r="I40" s="127"/>
      <c r="J40" s="127"/>
      <c r="K40" s="127"/>
      <c r="L40" s="127"/>
      <c r="M40" s="127"/>
      <c r="N40" s="127"/>
      <c r="O40" s="127"/>
      <c r="P40" s="127"/>
      <c r="Q40" s="127"/>
      <c r="R40" s="127"/>
      <c r="S40" s="127"/>
      <c r="T40" s="127"/>
      <c r="U40" s="127"/>
      <c r="V40" s="127"/>
      <c r="W40" s="127"/>
      <c r="X40" s="127"/>
      <c r="Y40" s="127"/>
      <c r="Z40" s="127"/>
    </row>
    <row r="41" spans="1:26" ht="13.5" customHeight="1" x14ac:dyDescent="0.3">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row>
    <row r="42" spans="1:26" ht="13.5" customHeight="1" x14ac:dyDescent="0.3">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c r="Y42" s="127"/>
      <c r="Z42" s="127"/>
    </row>
    <row r="43" spans="1:26" ht="13.5" customHeight="1" x14ac:dyDescent="0.3">
      <c r="A43" s="127"/>
      <c r="B43" s="127"/>
      <c r="C43" s="227" t="s">
        <v>165</v>
      </c>
      <c r="D43" s="135" t="s">
        <v>153</v>
      </c>
      <c r="E43" s="135" t="s">
        <v>154</v>
      </c>
      <c r="F43" s="136" t="s">
        <v>155</v>
      </c>
      <c r="G43" s="135" t="s">
        <v>156</v>
      </c>
      <c r="H43" s="135" t="s">
        <v>157</v>
      </c>
      <c r="I43" s="127"/>
      <c r="J43" s="127"/>
      <c r="K43" s="127"/>
      <c r="L43" s="127"/>
      <c r="M43" s="127"/>
      <c r="N43" s="127"/>
      <c r="O43" s="127"/>
      <c r="P43" s="127"/>
      <c r="Q43" s="127"/>
      <c r="R43" s="127"/>
      <c r="S43" s="127"/>
      <c r="T43" s="127"/>
      <c r="U43" s="127"/>
      <c r="V43" s="127"/>
      <c r="W43" s="127"/>
      <c r="X43" s="127"/>
      <c r="Y43" s="127"/>
      <c r="Z43" s="127"/>
    </row>
    <row r="44" spans="1:26" ht="13.5" customHeight="1" x14ac:dyDescent="0.3">
      <c r="A44" s="127"/>
      <c r="B44" s="127"/>
      <c r="C44" s="214"/>
      <c r="D44" s="137" t="s">
        <v>158</v>
      </c>
      <c r="E44" s="114">
        <v>2</v>
      </c>
      <c r="F44" s="138">
        <v>7</v>
      </c>
      <c r="G44" s="138">
        <v>7</v>
      </c>
      <c r="H44" s="117">
        <f t="shared" ref="H44:H46" si="10">G44/$G$47</f>
        <v>0.22580645161290322</v>
      </c>
      <c r="I44" s="127"/>
      <c r="J44" s="127"/>
      <c r="K44" s="127"/>
      <c r="L44" s="127"/>
      <c r="M44" s="127"/>
      <c r="N44" s="127"/>
      <c r="O44" s="127"/>
      <c r="P44" s="127"/>
      <c r="Q44" s="127"/>
      <c r="R44" s="127"/>
      <c r="S44" s="127"/>
      <c r="T44" s="127"/>
      <c r="U44" s="127"/>
      <c r="V44" s="127"/>
      <c r="W44" s="127"/>
      <c r="X44" s="127"/>
      <c r="Y44" s="127"/>
      <c r="Z44" s="127"/>
    </row>
    <row r="45" spans="1:26" ht="13.5" customHeight="1" x14ac:dyDescent="0.3">
      <c r="A45" s="127"/>
      <c r="B45" s="127"/>
      <c r="C45" s="214"/>
      <c r="D45" s="137" t="s">
        <v>159</v>
      </c>
      <c r="E45" s="114">
        <v>4</v>
      </c>
      <c r="F45" s="138">
        <v>10</v>
      </c>
      <c r="G45" s="138">
        <v>10</v>
      </c>
      <c r="H45" s="117">
        <f t="shared" si="10"/>
        <v>0.32258064516129031</v>
      </c>
      <c r="I45" s="127"/>
      <c r="J45" s="127"/>
      <c r="K45" s="127"/>
      <c r="L45" s="127"/>
      <c r="M45" s="127"/>
      <c r="N45" s="127"/>
      <c r="O45" s="127"/>
      <c r="P45" s="127"/>
      <c r="Q45" s="127"/>
      <c r="R45" s="127"/>
      <c r="S45" s="127"/>
      <c r="T45" s="127"/>
      <c r="U45" s="127"/>
      <c r="V45" s="127"/>
      <c r="W45" s="127"/>
      <c r="X45" s="127"/>
      <c r="Y45" s="127"/>
      <c r="Z45" s="127"/>
    </row>
    <row r="46" spans="1:26" ht="13.5" customHeight="1" x14ac:dyDescent="0.3">
      <c r="A46" s="127"/>
      <c r="B46" s="127"/>
      <c r="C46" s="214"/>
      <c r="D46" s="137" t="s">
        <v>160</v>
      </c>
      <c r="E46" s="114">
        <v>4</v>
      </c>
      <c r="F46" s="138">
        <v>14</v>
      </c>
      <c r="G46" s="138">
        <v>14</v>
      </c>
      <c r="H46" s="117">
        <f t="shared" si="10"/>
        <v>0.45161290322580644</v>
      </c>
      <c r="I46" s="127"/>
      <c r="J46" s="127"/>
      <c r="K46" s="127"/>
      <c r="L46" s="127"/>
      <c r="M46" s="127"/>
      <c r="N46" s="127"/>
      <c r="O46" s="127"/>
      <c r="P46" s="127"/>
      <c r="Q46" s="127"/>
      <c r="R46" s="127"/>
      <c r="S46" s="127"/>
      <c r="T46" s="127"/>
      <c r="U46" s="127"/>
      <c r="V46" s="127"/>
      <c r="W46" s="127"/>
      <c r="X46" s="127"/>
      <c r="Y46" s="127"/>
      <c r="Z46" s="127"/>
    </row>
    <row r="47" spans="1:26" ht="13.5" customHeight="1" x14ac:dyDescent="0.3">
      <c r="A47" s="127"/>
      <c r="B47" s="127"/>
      <c r="C47" s="199"/>
      <c r="D47" s="139"/>
      <c r="E47" s="140">
        <f t="shared" ref="E47:H47" si="11">SUM(E44:E46)</f>
        <v>10</v>
      </c>
      <c r="F47" s="141">
        <f t="shared" si="11"/>
        <v>31</v>
      </c>
      <c r="G47" s="140">
        <f t="shared" si="11"/>
        <v>31</v>
      </c>
      <c r="H47" s="126">
        <f t="shared" si="11"/>
        <v>1</v>
      </c>
      <c r="I47" s="127"/>
      <c r="J47" s="127"/>
      <c r="K47" s="127"/>
      <c r="L47" s="127"/>
      <c r="M47" s="127"/>
      <c r="N47" s="127"/>
      <c r="O47" s="127"/>
      <c r="P47" s="127"/>
      <c r="Q47" s="127"/>
      <c r="R47" s="127"/>
      <c r="S47" s="127"/>
      <c r="T47" s="127"/>
      <c r="U47" s="127"/>
      <c r="V47" s="127"/>
      <c r="W47" s="127"/>
      <c r="X47" s="127"/>
      <c r="Y47" s="127"/>
      <c r="Z47" s="127"/>
    </row>
    <row r="48" spans="1:26" ht="13.5" customHeight="1" x14ac:dyDescent="0.3">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row>
    <row r="49" spans="1:26" ht="13.5" customHeight="1" x14ac:dyDescent="0.3">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row>
    <row r="50" spans="1:26" ht="13.5" customHeight="1" x14ac:dyDescent="0.3">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row>
    <row r="51" spans="1:26" ht="13.5" customHeight="1" x14ac:dyDescent="0.3">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c r="Y51" s="127"/>
      <c r="Z51" s="127"/>
    </row>
    <row r="52" spans="1:26" ht="13.5" customHeight="1" x14ac:dyDescent="0.3">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c r="Y52" s="127"/>
      <c r="Z52" s="127"/>
    </row>
    <row r="53" spans="1:26" ht="13.5" customHeight="1" x14ac:dyDescent="0.3">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ht="13.5" customHeight="1" x14ac:dyDescent="0.3">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ht="13.5" customHeight="1" x14ac:dyDescent="0.3">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ht="13.5" customHeight="1" x14ac:dyDescent="0.3">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ht="13.5" customHeight="1" x14ac:dyDescent="0.3">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ht="13.5" customHeight="1" x14ac:dyDescent="0.3">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ht="13.5" customHeight="1" x14ac:dyDescent="0.3">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ht="13.5" customHeight="1" x14ac:dyDescent="0.3">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ht="13.5" customHeight="1" x14ac:dyDescent="0.3">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ht="13.5" customHeight="1" x14ac:dyDescent="0.3">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ht="13.5" customHeight="1" x14ac:dyDescent="0.3">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ht="13.5" customHeight="1" x14ac:dyDescent="0.3">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ht="13.5" customHeight="1" x14ac:dyDescent="0.3">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ht="13.5" customHeight="1" x14ac:dyDescent="0.3">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ht="13.5" customHeight="1" x14ac:dyDescent="0.3">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ht="13.5" customHeight="1" x14ac:dyDescent="0.3">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ht="13.5" customHeight="1" x14ac:dyDescent="0.3">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ht="13.5" customHeight="1" x14ac:dyDescent="0.3">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ht="13.5" customHeight="1" x14ac:dyDescent="0.3">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ht="13.5" customHeight="1" x14ac:dyDescent="0.3">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ht="13.5" customHeight="1" x14ac:dyDescent="0.3">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ht="13.5" customHeight="1" x14ac:dyDescent="0.3">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ht="13.5" customHeight="1" x14ac:dyDescent="0.3">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ht="13.5" customHeight="1" x14ac:dyDescent="0.3">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ht="13.5" customHeight="1" x14ac:dyDescent="0.3">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ht="13.5" customHeight="1" x14ac:dyDescent="0.3">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ht="13.5" customHeight="1" x14ac:dyDescent="0.3">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ht="13.5" customHeight="1" x14ac:dyDescent="0.3">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ht="13.5" customHeight="1" x14ac:dyDescent="0.3">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ht="13.5" customHeight="1" x14ac:dyDescent="0.3">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ht="13.5" customHeight="1" x14ac:dyDescent="0.3">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ht="13.5" customHeight="1" x14ac:dyDescent="0.3">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ht="13.5" customHeight="1" x14ac:dyDescent="0.3">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ht="13.5" customHeight="1" x14ac:dyDescent="0.3">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ht="13.5" customHeight="1" x14ac:dyDescent="0.3">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ht="13.5" customHeight="1" x14ac:dyDescent="0.3">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ht="13.5" customHeight="1" x14ac:dyDescent="0.3">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ht="13.5" customHeight="1" x14ac:dyDescent="0.3">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ht="13.5" customHeight="1" x14ac:dyDescent="0.3">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ht="13.5" customHeight="1" x14ac:dyDescent="0.3">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ht="13.5" customHeight="1" x14ac:dyDescent="0.3">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ht="13.5" customHeight="1" x14ac:dyDescent="0.3">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ht="13.5" customHeight="1" x14ac:dyDescent="0.3">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ht="13.5" customHeight="1" x14ac:dyDescent="0.3">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ht="13.5" customHeight="1" x14ac:dyDescent="0.3">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ht="13.5" customHeight="1" x14ac:dyDescent="0.3">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ht="13.5" customHeight="1" x14ac:dyDescent="0.3">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ht="13.5" customHeight="1" x14ac:dyDescent="0.3">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row r="101" spans="1:26" ht="13.5" customHeight="1" x14ac:dyDescent="0.3">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row>
    <row r="102" spans="1:26" ht="13.5" customHeight="1" x14ac:dyDescent="0.3">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row>
    <row r="103" spans="1:26" ht="13.5" customHeight="1" x14ac:dyDescent="0.3">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row>
    <row r="104" spans="1:26" ht="13.5" customHeight="1" x14ac:dyDescent="0.3">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row>
    <row r="105" spans="1:26" ht="13.5" customHeight="1" x14ac:dyDescent="0.3">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row>
    <row r="106" spans="1:26" ht="13.5" customHeight="1" x14ac:dyDescent="0.3">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row>
    <row r="107" spans="1:26" ht="13.5" customHeight="1" x14ac:dyDescent="0.3">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row>
    <row r="108" spans="1:26" ht="13.5" customHeight="1" x14ac:dyDescent="0.3">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row>
    <row r="109" spans="1:26" ht="13.5" customHeight="1" x14ac:dyDescent="0.3">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row>
    <row r="110" spans="1:26" ht="13.5" customHeight="1" x14ac:dyDescent="0.3">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row>
    <row r="111" spans="1:26" ht="13.5" customHeight="1" x14ac:dyDescent="0.3">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row>
    <row r="112" spans="1:26" ht="13.5" customHeight="1" x14ac:dyDescent="0.3">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row>
    <row r="113" spans="1:26" ht="13.5" customHeight="1" x14ac:dyDescent="0.3">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row>
    <row r="114" spans="1:26" ht="13.5" customHeight="1" x14ac:dyDescent="0.3">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row>
    <row r="115" spans="1:26" ht="13.5" customHeight="1" x14ac:dyDescent="0.3">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row>
    <row r="116" spans="1:26" ht="13.5" customHeight="1" x14ac:dyDescent="0.3">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row>
    <row r="117" spans="1:26" ht="13.5" customHeight="1" x14ac:dyDescent="0.3">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row>
    <row r="118" spans="1:26" ht="13.5" customHeight="1" x14ac:dyDescent="0.3">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row>
    <row r="119" spans="1:26" ht="13.5" customHeight="1" x14ac:dyDescent="0.3">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row>
    <row r="120" spans="1:26" ht="13.5" customHeight="1" x14ac:dyDescent="0.3">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row>
    <row r="121" spans="1:26" ht="13.5" customHeight="1" x14ac:dyDescent="0.3">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row>
    <row r="122" spans="1:26" ht="13.5" customHeight="1" x14ac:dyDescent="0.3">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row>
    <row r="123" spans="1:26" ht="13.5" customHeight="1" x14ac:dyDescent="0.3">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row>
    <row r="124" spans="1:26" ht="13.5" customHeight="1" x14ac:dyDescent="0.3">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row>
    <row r="125" spans="1:26" ht="13.5" customHeight="1" x14ac:dyDescent="0.3">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row>
    <row r="126" spans="1:26" ht="13.5" customHeight="1" x14ac:dyDescent="0.3">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row>
    <row r="127" spans="1:26" ht="13.5" customHeight="1" x14ac:dyDescent="0.3">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row>
    <row r="128" spans="1:26" ht="13.5" customHeight="1" x14ac:dyDescent="0.3">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row>
    <row r="129" spans="1:26" ht="13.5" customHeight="1" x14ac:dyDescent="0.3">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row>
    <row r="130" spans="1:26" ht="13.5" customHeight="1" x14ac:dyDescent="0.3">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row>
    <row r="131" spans="1:26" ht="13.5" customHeight="1" x14ac:dyDescent="0.3">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row>
    <row r="132" spans="1:26" ht="13.5" customHeight="1" x14ac:dyDescent="0.3">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row>
    <row r="133" spans="1:26" ht="13.5" customHeight="1" x14ac:dyDescent="0.3">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row>
    <row r="134" spans="1:26" ht="13.5" customHeight="1" x14ac:dyDescent="0.3">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row>
    <row r="135" spans="1:26" ht="13.5" customHeight="1" x14ac:dyDescent="0.3">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row>
    <row r="136" spans="1:26" ht="13.5" customHeight="1" x14ac:dyDescent="0.3">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row>
    <row r="137" spans="1:26" ht="13.5" customHeight="1" x14ac:dyDescent="0.3">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row>
    <row r="138" spans="1:26" ht="13.5" customHeight="1" x14ac:dyDescent="0.3">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row>
    <row r="139" spans="1:26" ht="13.5" customHeight="1" x14ac:dyDescent="0.3">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row>
    <row r="140" spans="1:26" ht="13.5" customHeight="1" x14ac:dyDescent="0.3">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row>
    <row r="141" spans="1:26" ht="13.5" customHeight="1" x14ac:dyDescent="0.3">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row>
    <row r="142" spans="1:26" ht="13.5" customHeight="1" x14ac:dyDescent="0.3">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c r="Y142" s="127"/>
      <c r="Z142" s="127"/>
    </row>
    <row r="143" spans="1:26" ht="13.5" customHeight="1" x14ac:dyDescent="0.3">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row>
    <row r="144" spans="1:26" ht="13.5" customHeight="1" x14ac:dyDescent="0.3">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row>
    <row r="145" spans="1:26" ht="13.5" customHeight="1" x14ac:dyDescent="0.3">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c r="Y145" s="127"/>
      <c r="Z145" s="127"/>
    </row>
    <row r="146" spans="1:26" ht="13.5" customHeight="1" x14ac:dyDescent="0.3">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c r="Y146" s="127"/>
      <c r="Z146" s="127"/>
    </row>
    <row r="147" spans="1:26" ht="13.5" customHeight="1" x14ac:dyDescent="0.3">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row>
    <row r="148" spans="1:26" ht="13.5" customHeight="1" x14ac:dyDescent="0.3">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row>
    <row r="149" spans="1:26" ht="13.5" customHeight="1" x14ac:dyDescent="0.3">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row>
    <row r="150" spans="1:26" ht="13.5" customHeight="1" x14ac:dyDescent="0.3">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row>
    <row r="151" spans="1:26" ht="13.5" customHeight="1" x14ac:dyDescent="0.3">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row>
    <row r="152" spans="1:26" ht="13.5" customHeight="1" x14ac:dyDescent="0.3">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row>
    <row r="153" spans="1:26" ht="13.5" customHeight="1" x14ac:dyDescent="0.3">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row>
    <row r="154" spans="1:26" ht="13.5" customHeight="1" x14ac:dyDescent="0.3">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row>
    <row r="155" spans="1:26" ht="13.5" customHeight="1" x14ac:dyDescent="0.3">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row>
    <row r="156" spans="1:26" ht="13.5" customHeight="1" x14ac:dyDescent="0.3">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row>
    <row r="157" spans="1:26" ht="13.5" customHeight="1" x14ac:dyDescent="0.3">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row>
    <row r="158" spans="1:26" ht="13.5" customHeight="1" x14ac:dyDescent="0.3">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row>
    <row r="159" spans="1:26" ht="13.5" customHeight="1" x14ac:dyDescent="0.3">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c r="Y159" s="127"/>
      <c r="Z159" s="127"/>
    </row>
    <row r="160" spans="1:26" ht="13.5" customHeight="1" x14ac:dyDescent="0.3">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row>
    <row r="161" spans="1:26" ht="13.5" customHeight="1" x14ac:dyDescent="0.3">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row>
    <row r="162" spans="1:26" ht="13.5" customHeight="1" x14ac:dyDescent="0.3">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c r="Y162" s="127"/>
      <c r="Z162" s="127"/>
    </row>
    <row r="163" spans="1:26" ht="13.5" customHeight="1" x14ac:dyDescent="0.3">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c r="Y163" s="127"/>
      <c r="Z163" s="127"/>
    </row>
    <row r="164" spans="1:26" ht="13.5" customHeight="1" x14ac:dyDescent="0.3">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row>
    <row r="165" spans="1:26" ht="13.5" customHeight="1" x14ac:dyDescent="0.3">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row>
    <row r="166" spans="1:26" ht="13.5" customHeight="1" x14ac:dyDescent="0.3">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row>
    <row r="167" spans="1:26" ht="13.5" customHeight="1" x14ac:dyDescent="0.3">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row>
    <row r="168" spans="1:26" ht="13.5" customHeight="1" x14ac:dyDescent="0.3">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row>
    <row r="169" spans="1:26" ht="13.5" customHeight="1" x14ac:dyDescent="0.3">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row>
    <row r="170" spans="1:26" ht="13.5" customHeight="1" x14ac:dyDescent="0.3">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row>
    <row r="171" spans="1:26" ht="13.5" customHeight="1" x14ac:dyDescent="0.3">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row>
    <row r="172" spans="1:26" ht="13.5" customHeight="1" x14ac:dyDescent="0.3">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row>
    <row r="173" spans="1:26" ht="13.5" customHeight="1" x14ac:dyDescent="0.3">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c r="Y173" s="127"/>
      <c r="Z173" s="127"/>
    </row>
    <row r="174" spans="1:26" ht="13.5" customHeight="1" x14ac:dyDescent="0.3">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c r="Y174" s="127"/>
      <c r="Z174" s="127"/>
    </row>
    <row r="175" spans="1:26" ht="13.5" customHeight="1" x14ac:dyDescent="0.3">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row>
    <row r="176" spans="1:26" ht="13.5" customHeight="1" x14ac:dyDescent="0.3">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c r="Y176" s="127"/>
      <c r="Z176" s="127"/>
    </row>
    <row r="177" spans="1:26" ht="13.5" customHeight="1" x14ac:dyDescent="0.3">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row>
    <row r="178" spans="1:26" ht="13.5" customHeight="1" x14ac:dyDescent="0.3">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row>
    <row r="179" spans="1:26" ht="13.5" customHeight="1" x14ac:dyDescent="0.3">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row>
    <row r="180" spans="1:26" ht="13.5" customHeight="1" x14ac:dyDescent="0.3">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c r="Y180" s="127"/>
      <c r="Z180" s="127"/>
    </row>
    <row r="181" spans="1:26" ht="13.5" customHeight="1" x14ac:dyDescent="0.3">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row>
    <row r="182" spans="1:26" ht="13.5" customHeight="1" x14ac:dyDescent="0.3">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row>
    <row r="183" spans="1:26" ht="13.5" customHeight="1" x14ac:dyDescent="0.3">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row>
    <row r="184" spans="1:26" ht="13.5" customHeight="1" x14ac:dyDescent="0.3">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row>
    <row r="185" spans="1:26" ht="13.5" customHeight="1" x14ac:dyDescent="0.3">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c r="Y185" s="127"/>
      <c r="Z185" s="127"/>
    </row>
    <row r="186" spans="1:26" ht="13.5" customHeight="1" x14ac:dyDescent="0.3">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row>
    <row r="187" spans="1:26" ht="13.5" customHeight="1" x14ac:dyDescent="0.3">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row>
    <row r="188" spans="1:26" ht="13.5" customHeight="1" x14ac:dyDescent="0.3">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row>
    <row r="189" spans="1:26" ht="13.5" customHeight="1" x14ac:dyDescent="0.3">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row>
    <row r="190" spans="1:26" ht="13.5" customHeight="1" x14ac:dyDescent="0.3">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row>
    <row r="191" spans="1:26" ht="13.5" customHeight="1" x14ac:dyDescent="0.3">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c r="Y191" s="127"/>
      <c r="Z191" s="127"/>
    </row>
    <row r="192" spans="1:26" ht="13.5" customHeight="1" x14ac:dyDescent="0.3">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row>
    <row r="193" spans="1:26" ht="13.5" customHeight="1" x14ac:dyDescent="0.3">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c r="Y193" s="127"/>
      <c r="Z193" s="127"/>
    </row>
    <row r="194" spans="1:26" ht="13.5" customHeight="1" x14ac:dyDescent="0.3">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row>
    <row r="195" spans="1:26" ht="13.5" customHeight="1" x14ac:dyDescent="0.3">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row>
    <row r="196" spans="1:26" ht="13.5" customHeight="1" x14ac:dyDescent="0.3">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row>
    <row r="197" spans="1:26" ht="13.5" customHeight="1" x14ac:dyDescent="0.3">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row>
    <row r="198" spans="1:26" ht="13.5" customHeight="1" x14ac:dyDescent="0.3">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row>
    <row r="199" spans="1:26" ht="13.5" customHeight="1" x14ac:dyDescent="0.3">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row>
    <row r="200" spans="1:26" ht="13.5" customHeight="1" x14ac:dyDescent="0.3">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row>
    <row r="201" spans="1:26" ht="13.5" customHeight="1" x14ac:dyDescent="0.3">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row>
    <row r="202" spans="1:26" ht="13.5" customHeight="1" x14ac:dyDescent="0.3">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c r="Y202" s="127"/>
      <c r="Z202" s="127"/>
    </row>
    <row r="203" spans="1:26" ht="13.5" customHeight="1" x14ac:dyDescent="0.3">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row>
    <row r="204" spans="1:26" ht="13.5" customHeight="1" x14ac:dyDescent="0.3">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row>
    <row r="205" spans="1:26" ht="13.5" customHeight="1" x14ac:dyDescent="0.3">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row>
    <row r="206" spans="1:26" ht="13.5" customHeight="1" x14ac:dyDescent="0.3">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row>
    <row r="207" spans="1:26" ht="13.5" customHeight="1" x14ac:dyDescent="0.3">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c r="Y207" s="127"/>
      <c r="Z207" s="127"/>
    </row>
    <row r="208" spans="1:26" ht="13.5" customHeight="1" x14ac:dyDescent="0.3">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c r="Y208" s="127"/>
      <c r="Z208" s="127"/>
    </row>
    <row r="209" spans="1:26" ht="13.5" customHeight="1" x14ac:dyDescent="0.3">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row>
    <row r="210" spans="1:26" ht="13.5" customHeight="1" x14ac:dyDescent="0.3">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c r="Y210" s="127"/>
      <c r="Z210" s="127"/>
    </row>
    <row r="211" spans="1:26" ht="13.5" customHeight="1" x14ac:dyDescent="0.3">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row>
    <row r="212" spans="1:26" ht="13.5" customHeight="1" x14ac:dyDescent="0.3">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row>
    <row r="213" spans="1:26" ht="13.5" customHeight="1" x14ac:dyDescent="0.3">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row>
    <row r="214" spans="1:26" ht="13.5" customHeight="1" x14ac:dyDescent="0.3">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row>
    <row r="215" spans="1:26" ht="13.5" customHeight="1" x14ac:dyDescent="0.3">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row>
    <row r="216" spans="1:26" ht="13.5" customHeight="1" x14ac:dyDescent="0.3">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row>
    <row r="217" spans="1:26" ht="13.5" customHeight="1" x14ac:dyDescent="0.3">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row>
    <row r="218" spans="1:26" ht="13.5" customHeight="1" x14ac:dyDescent="0.3">
      <c r="A218" s="127"/>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row>
    <row r="219" spans="1:26" ht="13.5" customHeight="1" x14ac:dyDescent="0.3">
      <c r="A219" s="12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row>
    <row r="220" spans="1:26" ht="13.5" customHeight="1" x14ac:dyDescent="0.3">
      <c r="A220" s="12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row>
    <row r="221" spans="1:26" ht="13.5" customHeight="1" x14ac:dyDescent="0.3">
      <c r="A221" s="12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row>
    <row r="222" spans="1:26" ht="13.5" customHeight="1" x14ac:dyDescent="0.3">
      <c r="A222" s="12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row>
    <row r="223" spans="1:26" ht="13.5" customHeight="1" x14ac:dyDescent="0.3">
      <c r="A223" s="12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row>
    <row r="224" spans="1:26" ht="13.5" customHeight="1" x14ac:dyDescent="0.3">
      <c r="A224" s="12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row>
    <row r="225" spans="1:26" ht="13.5" customHeight="1" x14ac:dyDescent="0.3">
      <c r="A225" s="12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row>
    <row r="226" spans="1:26" ht="13.5" customHeight="1" x14ac:dyDescent="0.3">
      <c r="A226" s="12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row>
    <row r="227" spans="1:26" ht="13.5" customHeight="1" x14ac:dyDescent="0.3">
      <c r="A227" s="12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row>
    <row r="228" spans="1:26" ht="13.5" customHeight="1" x14ac:dyDescent="0.3">
      <c r="A228" s="12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row>
    <row r="229" spans="1:26" ht="13.5" customHeight="1" x14ac:dyDescent="0.3">
      <c r="A229" s="12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row>
    <row r="230" spans="1:26" ht="13.5" customHeight="1" x14ac:dyDescent="0.3">
      <c r="A230" s="12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row>
    <row r="231" spans="1:26" ht="13.5" customHeight="1" x14ac:dyDescent="0.3">
      <c r="A231" s="12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row>
    <row r="232" spans="1:26" ht="13.5" customHeight="1" x14ac:dyDescent="0.3">
      <c r="A232" s="12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row>
    <row r="233" spans="1:26" ht="13.5" customHeight="1" x14ac:dyDescent="0.3">
      <c r="A233" s="12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row>
    <row r="234" spans="1:26" ht="13.5" customHeight="1" x14ac:dyDescent="0.3">
      <c r="A234" s="12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row>
    <row r="235" spans="1:26" ht="13.5" customHeight="1" x14ac:dyDescent="0.3">
      <c r="A235" s="12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row>
    <row r="236" spans="1:26" ht="13.5" customHeight="1" x14ac:dyDescent="0.3">
      <c r="A236" s="12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row>
    <row r="237" spans="1:26" ht="13.5" customHeight="1" x14ac:dyDescent="0.3">
      <c r="A237" s="12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row>
    <row r="238" spans="1:26" ht="13.5" customHeight="1" x14ac:dyDescent="0.3">
      <c r="A238" s="12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row>
    <row r="239" spans="1:26" ht="13.5" customHeight="1" x14ac:dyDescent="0.3">
      <c r="A239" s="12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row>
    <row r="240" spans="1:26" ht="13.5" customHeight="1" x14ac:dyDescent="0.3">
      <c r="A240" s="12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row>
    <row r="241" spans="1:26" ht="13.5" customHeight="1" x14ac:dyDescent="0.3">
      <c r="A241" s="12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row>
    <row r="242" spans="1:26" ht="13.5" customHeight="1" x14ac:dyDescent="0.3">
      <c r="A242" s="12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row>
    <row r="243" spans="1:26" ht="13.5" customHeight="1" x14ac:dyDescent="0.3">
      <c r="A243" s="12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row>
    <row r="244" spans="1:26" ht="13.5" customHeight="1" x14ac:dyDescent="0.3">
      <c r="A244" s="12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row>
    <row r="245" spans="1:26" ht="13.5" customHeight="1" x14ac:dyDescent="0.3">
      <c r="A245" s="12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row>
    <row r="246" spans="1:26" ht="13.5" customHeight="1" x14ac:dyDescent="0.3">
      <c r="A246" s="12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row>
    <row r="247" spans="1:26" ht="13.5" customHeight="1" x14ac:dyDescent="0.3">
      <c r="A247" s="12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row>
    <row r="248" spans="1:26" ht="13.5" customHeight="1" x14ac:dyDescent="0.3">
      <c r="A248" s="12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row>
    <row r="249" spans="1:26" ht="13.5" customHeight="1" x14ac:dyDescent="0.3">
      <c r="A249" s="12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row>
    <row r="250" spans="1:26" ht="13.5" customHeight="1" x14ac:dyDescent="0.3">
      <c r="A250" s="12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row>
    <row r="251" spans="1:26" ht="13.5" customHeight="1" x14ac:dyDescent="0.3">
      <c r="A251" s="12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row>
    <row r="252" spans="1:26" ht="13.5" customHeight="1" x14ac:dyDescent="0.3">
      <c r="A252" s="12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row>
    <row r="253" spans="1:26" ht="13.5" customHeight="1" x14ac:dyDescent="0.3">
      <c r="A253" s="12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row>
    <row r="254" spans="1:26" ht="13.5" customHeight="1" x14ac:dyDescent="0.3">
      <c r="A254" s="12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row>
    <row r="255" spans="1:26" ht="13.5" customHeight="1" x14ac:dyDescent="0.3">
      <c r="A255" s="12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row>
    <row r="256" spans="1:26" ht="13.5" customHeight="1" x14ac:dyDescent="0.3">
      <c r="A256" s="12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row>
    <row r="257" spans="1:26" ht="13.5" customHeight="1" x14ac:dyDescent="0.3">
      <c r="A257" s="12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row>
    <row r="258" spans="1:26" ht="13.5" customHeight="1" x14ac:dyDescent="0.3">
      <c r="A258" s="12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row>
    <row r="259" spans="1:26" ht="13.5" customHeight="1" x14ac:dyDescent="0.3">
      <c r="A259" s="12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row>
    <row r="260" spans="1:26" ht="13.5" customHeight="1" x14ac:dyDescent="0.3">
      <c r="A260" s="12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row>
    <row r="261" spans="1:26" ht="13.5" customHeight="1" x14ac:dyDescent="0.3">
      <c r="A261" s="12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row>
    <row r="262" spans="1:26" ht="13.5" customHeight="1" x14ac:dyDescent="0.3">
      <c r="A262" s="12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row>
    <row r="263" spans="1:26" ht="13.5" customHeight="1" x14ac:dyDescent="0.3">
      <c r="A263" s="12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row>
    <row r="264" spans="1:26" ht="13.5" customHeight="1" x14ac:dyDescent="0.3">
      <c r="A264" s="12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row>
    <row r="265" spans="1:26" ht="13.5" customHeight="1" x14ac:dyDescent="0.3">
      <c r="A265" s="12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row>
    <row r="266" spans="1:26" ht="13.5" customHeight="1" x14ac:dyDescent="0.3">
      <c r="A266" s="12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row>
    <row r="267" spans="1:26" ht="13.5" customHeight="1" x14ac:dyDescent="0.3">
      <c r="A267" s="12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row>
    <row r="268" spans="1:26" ht="13.5" customHeight="1" x14ac:dyDescent="0.3">
      <c r="A268" s="12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row>
    <row r="269" spans="1:26" ht="13.5" customHeight="1" x14ac:dyDescent="0.3">
      <c r="A269" s="12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row>
    <row r="270" spans="1:26" ht="13.5" customHeight="1" x14ac:dyDescent="0.3">
      <c r="A270" s="12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row>
    <row r="271" spans="1:26" ht="13.5" customHeight="1" x14ac:dyDescent="0.3">
      <c r="A271" s="12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row>
    <row r="272" spans="1:26" ht="13.5" customHeight="1" x14ac:dyDescent="0.3">
      <c r="A272" s="12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row>
    <row r="273" spans="1:26" ht="13.5" customHeight="1" x14ac:dyDescent="0.3">
      <c r="A273" s="12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row>
    <row r="274" spans="1:26" ht="13.5" customHeight="1" x14ac:dyDescent="0.3">
      <c r="A274" s="12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row>
    <row r="275" spans="1:26" ht="13.5" customHeight="1" x14ac:dyDescent="0.3">
      <c r="A275" s="12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row>
    <row r="276" spans="1:26" ht="13.5" customHeight="1" x14ac:dyDescent="0.3">
      <c r="A276" s="12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row>
    <row r="277" spans="1:26" ht="13.5" customHeight="1" x14ac:dyDescent="0.3">
      <c r="A277" s="12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row>
    <row r="278" spans="1:26" ht="13.5" customHeight="1" x14ac:dyDescent="0.3">
      <c r="A278" s="12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row>
    <row r="279" spans="1:26" ht="13.5" customHeight="1" x14ac:dyDescent="0.3">
      <c r="A279" s="12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row>
    <row r="280" spans="1:26" ht="13.5" customHeight="1" x14ac:dyDescent="0.3">
      <c r="A280" s="12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row>
    <row r="281" spans="1:26" ht="13.5" customHeight="1" x14ac:dyDescent="0.3">
      <c r="A281" s="12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row>
    <row r="282" spans="1:26" ht="13.5" customHeight="1" x14ac:dyDescent="0.3">
      <c r="A282" s="12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row>
    <row r="283" spans="1:26" ht="13.5" customHeight="1" x14ac:dyDescent="0.3">
      <c r="A283" s="12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row>
    <row r="284" spans="1:26" ht="13.5" customHeight="1" x14ac:dyDescent="0.3">
      <c r="A284" s="12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row>
    <row r="285" spans="1:26" ht="13.5" customHeight="1" x14ac:dyDescent="0.3">
      <c r="A285" s="12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row>
    <row r="286" spans="1:26" ht="13.5" customHeight="1" x14ac:dyDescent="0.3">
      <c r="A286" s="12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row>
    <row r="287" spans="1:26" ht="13.5" customHeight="1" x14ac:dyDescent="0.3">
      <c r="A287" s="12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row>
    <row r="288" spans="1:26" ht="13.5" customHeight="1" x14ac:dyDescent="0.3">
      <c r="A288" s="12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row>
    <row r="289" spans="1:26" ht="13.5" customHeight="1" x14ac:dyDescent="0.3">
      <c r="A289" s="12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row>
    <row r="290" spans="1:26" ht="13.5" customHeight="1" x14ac:dyDescent="0.3">
      <c r="A290" s="12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row>
    <row r="291" spans="1:26" ht="13.5" customHeight="1" x14ac:dyDescent="0.3">
      <c r="A291" s="12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row>
    <row r="292" spans="1:26" ht="13.5" customHeight="1" x14ac:dyDescent="0.3">
      <c r="A292" s="12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row>
    <row r="293" spans="1:26" ht="13.5" customHeight="1" x14ac:dyDescent="0.3">
      <c r="A293" s="12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row>
    <row r="294" spans="1:26" ht="13.5" customHeight="1" x14ac:dyDescent="0.3">
      <c r="A294" s="12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row>
    <row r="295" spans="1:26" ht="13.5" customHeight="1" x14ac:dyDescent="0.3">
      <c r="A295" s="12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row>
    <row r="296" spans="1:26" ht="13.5" customHeight="1" x14ac:dyDescent="0.3">
      <c r="A296" s="12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row>
    <row r="297" spans="1:26" ht="13.5" customHeight="1" x14ac:dyDescent="0.3">
      <c r="A297" s="12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row>
    <row r="298" spans="1:26" ht="13.5" customHeight="1" x14ac:dyDescent="0.3">
      <c r="A298" s="12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row>
    <row r="299" spans="1:26" ht="13.5" customHeight="1" x14ac:dyDescent="0.3">
      <c r="A299" s="12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row>
    <row r="300" spans="1:26" ht="13.5" customHeight="1" x14ac:dyDescent="0.3">
      <c r="A300" s="12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row>
    <row r="301" spans="1:26" ht="13.5" customHeight="1" x14ac:dyDescent="0.3">
      <c r="A301" s="12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row>
    <row r="302" spans="1:26" ht="13.5" customHeight="1" x14ac:dyDescent="0.3">
      <c r="A302" s="12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row>
    <row r="303" spans="1:26" ht="13.5" customHeight="1" x14ac:dyDescent="0.3">
      <c r="A303" s="12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row>
    <row r="304" spans="1:26" ht="13.5" customHeight="1" x14ac:dyDescent="0.3">
      <c r="A304" s="12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row>
    <row r="305" spans="1:26" ht="13.5" customHeight="1" x14ac:dyDescent="0.3">
      <c r="A305" s="12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row>
    <row r="306" spans="1:26" ht="13.5" customHeight="1" x14ac:dyDescent="0.3">
      <c r="A306" s="12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row>
    <row r="307" spans="1:26" ht="13.5" customHeight="1" x14ac:dyDescent="0.3">
      <c r="A307" s="12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row>
    <row r="308" spans="1:26" ht="13.5" customHeight="1" x14ac:dyDescent="0.3">
      <c r="A308" s="12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row>
    <row r="309" spans="1:26" ht="13.5" customHeight="1" x14ac:dyDescent="0.3">
      <c r="A309" s="12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row>
    <row r="310" spans="1:26" ht="13.5" customHeight="1" x14ac:dyDescent="0.3">
      <c r="A310" s="12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row>
    <row r="311" spans="1:26" ht="13.5" customHeight="1" x14ac:dyDescent="0.3">
      <c r="A311" s="12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row>
    <row r="312" spans="1:26" ht="13.5" customHeight="1" x14ac:dyDescent="0.3">
      <c r="A312" s="12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row>
    <row r="313" spans="1:26" ht="13.5" customHeight="1" x14ac:dyDescent="0.3">
      <c r="A313" s="12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row>
    <row r="314" spans="1:26" ht="13.5" customHeight="1" x14ac:dyDescent="0.3">
      <c r="A314" s="12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row>
    <row r="315" spans="1:26" ht="13.5" customHeight="1" x14ac:dyDescent="0.3">
      <c r="A315" s="12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row>
    <row r="316" spans="1:26" ht="13.5" customHeight="1" x14ac:dyDescent="0.3">
      <c r="A316" s="12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row>
    <row r="317" spans="1:26" ht="13.5" customHeight="1" x14ac:dyDescent="0.3">
      <c r="A317" s="12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row>
    <row r="318" spans="1:26" ht="13.5" customHeight="1" x14ac:dyDescent="0.3">
      <c r="A318" s="12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row>
    <row r="319" spans="1:26" ht="13.5" customHeight="1" x14ac:dyDescent="0.3">
      <c r="A319" s="12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row>
    <row r="320" spans="1:26" ht="13.5" customHeight="1" x14ac:dyDescent="0.3">
      <c r="A320" s="12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row>
    <row r="321" spans="1:26" ht="13.5" customHeight="1" x14ac:dyDescent="0.3">
      <c r="A321" s="12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row>
    <row r="322" spans="1:26" ht="13.5" customHeight="1" x14ac:dyDescent="0.3">
      <c r="A322" s="12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row>
    <row r="323" spans="1:26" ht="13.5" customHeight="1" x14ac:dyDescent="0.3">
      <c r="A323" s="12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row>
    <row r="324" spans="1:26" ht="13.5" customHeight="1" x14ac:dyDescent="0.3">
      <c r="A324" s="12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row>
    <row r="325" spans="1:26" ht="13.5" customHeight="1" x14ac:dyDescent="0.3">
      <c r="A325" s="12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row>
    <row r="326" spans="1:26" ht="13.5" customHeight="1" x14ac:dyDescent="0.3">
      <c r="A326" s="12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row>
    <row r="327" spans="1:26" ht="13.5" customHeight="1" x14ac:dyDescent="0.3">
      <c r="A327" s="12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row>
    <row r="328" spans="1:26" ht="13.5" customHeight="1" x14ac:dyDescent="0.3">
      <c r="A328" s="12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row>
    <row r="329" spans="1:26" ht="13.5" customHeight="1" x14ac:dyDescent="0.3">
      <c r="A329" s="12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row>
    <row r="330" spans="1:26" ht="13.5" customHeight="1" x14ac:dyDescent="0.3">
      <c r="A330" s="12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row>
    <row r="331" spans="1:26" ht="13.5" customHeight="1" x14ac:dyDescent="0.3">
      <c r="A331" s="12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row>
    <row r="332" spans="1:26" ht="13.5" customHeight="1" x14ac:dyDescent="0.3">
      <c r="A332" s="12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row>
    <row r="333" spans="1:26" ht="13.5" customHeight="1" x14ac:dyDescent="0.3">
      <c r="A333" s="12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row>
    <row r="334" spans="1:26" ht="13.5" customHeight="1" x14ac:dyDescent="0.3">
      <c r="A334" s="12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row>
    <row r="335" spans="1:26" ht="13.5" customHeight="1" x14ac:dyDescent="0.3">
      <c r="A335" s="12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row>
    <row r="336" spans="1:26" ht="13.5" customHeight="1" x14ac:dyDescent="0.3">
      <c r="A336" s="12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row>
    <row r="337" spans="1:26" ht="13.5" customHeight="1" x14ac:dyDescent="0.3">
      <c r="A337" s="12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row>
    <row r="338" spans="1:26" ht="13.5" customHeight="1" x14ac:dyDescent="0.3">
      <c r="A338" s="12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row>
    <row r="339" spans="1:26" ht="13.5" customHeight="1" x14ac:dyDescent="0.3">
      <c r="A339" s="12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row>
    <row r="340" spans="1:26" ht="13.5" customHeight="1" x14ac:dyDescent="0.3">
      <c r="A340" s="12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row>
    <row r="341" spans="1:26" ht="13.5" customHeight="1" x14ac:dyDescent="0.3">
      <c r="A341" s="12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row>
    <row r="342" spans="1:26" ht="13.5" customHeight="1" x14ac:dyDescent="0.3">
      <c r="A342" s="12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row>
    <row r="343" spans="1:26" ht="13.5" customHeight="1" x14ac:dyDescent="0.3">
      <c r="A343" s="12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row>
    <row r="344" spans="1:26" ht="13.5" customHeight="1" x14ac:dyDescent="0.3">
      <c r="A344" s="12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row>
    <row r="345" spans="1:26" ht="13.5" customHeight="1" x14ac:dyDescent="0.3">
      <c r="A345" s="12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row>
    <row r="346" spans="1:26" ht="13.5" customHeight="1" x14ac:dyDescent="0.3">
      <c r="A346" s="12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row>
    <row r="347" spans="1:26" ht="13.5" customHeight="1" x14ac:dyDescent="0.3">
      <c r="A347" s="12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row>
    <row r="348" spans="1:26" ht="13.5" customHeight="1" x14ac:dyDescent="0.3">
      <c r="A348" s="127"/>
      <c r="B348" s="127"/>
      <c r="C348" s="127"/>
      <c r="D348" s="127"/>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row>
    <row r="349" spans="1:26" ht="13.5" customHeight="1" x14ac:dyDescent="0.3">
      <c r="A349" s="127"/>
      <c r="B349" s="127"/>
      <c r="C349" s="127"/>
      <c r="D349" s="127"/>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row>
    <row r="350" spans="1:26" ht="13.5" customHeight="1" x14ac:dyDescent="0.3">
      <c r="A350" s="127"/>
      <c r="B350" s="127"/>
      <c r="C350" s="127"/>
      <c r="D350" s="127"/>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row>
    <row r="351" spans="1:26" ht="13.5" customHeight="1" x14ac:dyDescent="0.3">
      <c r="A351" s="127"/>
      <c r="B351" s="127"/>
      <c r="C351" s="127"/>
      <c r="D351" s="127"/>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row>
    <row r="352" spans="1:26" ht="13.5" customHeight="1" x14ac:dyDescent="0.3">
      <c r="A352" s="127"/>
      <c r="B352" s="127"/>
      <c r="C352" s="127"/>
      <c r="D352" s="127"/>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row>
    <row r="353" spans="1:26" ht="13.5" customHeight="1" x14ac:dyDescent="0.3">
      <c r="A353" s="127"/>
      <c r="B353" s="127"/>
      <c r="C353" s="127"/>
      <c r="D353" s="127"/>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row>
    <row r="354" spans="1:26" ht="13.5" customHeight="1" x14ac:dyDescent="0.3">
      <c r="A354" s="127"/>
      <c r="B354" s="127"/>
      <c r="C354" s="127"/>
      <c r="D354" s="127"/>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row>
    <row r="355" spans="1:26" ht="13.5" customHeight="1" x14ac:dyDescent="0.3">
      <c r="A355" s="127"/>
      <c r="B355" s="127"/>
      <c r="C355" s="127"/>
      <c r="D355" s="127"/>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row>
    <row r="356" spans="1:26" ht="13.5" customHeight="1" x14ac:dyDescent="0.3">
      <c r="A356" s="127"/>
      <c r="B356" s="127"/>
      <c r="C356" s="127"/>
      <c r="D356" s="127"/>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row>
    <row r="357" spans="1:26" ht="13.5" customHeight="1" x14ac:dyDescent="0.3">
      <c r="A357" s="127"/>
      <c r="B357" s="127"/>
      <c r="C357" s="127"/>
      <c r="D357" s="127"/>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row>
    <row r="358" spans="1:26" ht="13.5" customHeight="1" x14ac:dyDescent="0.3">
      <c r="A358" s="127"/>
      <c r="B358" s="127"/>
      <c r="C358" s="127"/>
      <c r="D358" s="127"/>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row>
    <row r="359" spans="1:26" ht="13.5" customHeight="1" x14ac:dyDescent="0.3">
      <c r="A359" s="127"/>
      <c r="B359" s="127"/>
      <c r="C359" s="127"/>
      <c r="D359" s="127"/>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row>
    <row r="360" spans="1:26" ht="13.5" customHeight="1" x14ac:dyDescent="0.3">
      <c r="A360" s="127"/>
      <c r="B360" s="127"/>
      <c r="C360" s="127"/>
      <c r="D360" s="127"/>
      <c r="E360" s="127"/>
      <c r="F360" s="127"/>
      <c r="G360" s="127"/>
      <c r="H360" s="127"/>
      <c r="I360" s="127"/>
      <c r="J360" s="127"/>
      <c r="K360" s="127"/>
      <c r="L360" s="127"/>
      <c r="M360" s="127"/>
      <c r="N360" s="127"/>
      <c r="O360" s="127"/>
      <c r="P360" s="127"/>
      <c r="Q360" s="127"/>
      <c r="R360" s="127"/>
      <c r="S360" s="127"/>
      <c r="T360" s="127"/>
      <c r="U360" s="127"/>
      <c r="V360" s="127"/>
      <c r="W360" s="127"/>
      <c r="X360" s="127"/>
      <c r="Y360" s="127"/>
      <c r="Z360" s="127"/>
    </row>
    <row r="361" spans="1:26" ht="13.5" customHeight="1" x14ac:dyDescent="0.3">
      <c r="A361" s="127"/>
      <c r="B361" s="127"/>
      <c r="C361" s="127"/>
      <c r="D361" s="127"/>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row>
    <row r="362" spans="1:26" ht="13.5" customHeight="1" x14ac:dyDescent="0.3">
      <c r="A362" s="127"/>
      <c r="B362" s="127"/>
      <c r="C362" s="127"/>
      <c r="D362" s="127"/>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row>
    <row r="363" spans="1:26" ht="13.5" customHeight="1" x14ac:dyDescent="0.3">
      <c r="A363" s="127"/>
      <c r="B363" s="127"/>
      <c r="C363" s="127"/>
      <c r="D363" s="127"/>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row>
    <row r="364" spans="1:26" ht="13.5" customHeight="1" x14ac:dyDescent="0.3">
      <c r="A364" s="127"/>
      <c r="B364" s="127"/>
      <c r="C364" s="127"/>
      <c r="D364" s="127"/>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row>
    <row r="365" spans="1:26" ht="13.5" customHeight="1" x14ac:dyDescent="0.3">
      <c r="A365" s="127"/>
      <c r="B365" s="127"/>
      <c r="C365" s="127"/>
      <c r="D365" s="127"/>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row>
    <row r="366" spans="1:26" ht="13.5" customHeight="1" x14ac:dyDescent="0.3">
      <c r="A366" s="127"/>
      <c r="B366" s="127"/>
      <c r="C366" s="127"/>
      <c r="D366" s="127"/>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row>
    <row r="367" spans="1:26" ht="13.5" customHeight="1" x14ac:dyDescent="0.3">
      <c r="A367" s="127"/>
      <c r="B367" s="127"/>
      <c r="C367" s="127"/>
      <c r="D367" s="127"/>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row>
    <row r="368" spans="1:26" ht="13.5" customHeight="1" x14ac:dyDescent="0.3">
      <c r="A368" s="127"/>
      <c r="B368" s="127"/>
      <c r="C368" s="127"/>
      <c r="D368" s="127"/>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row>
    <row r="369" spans="1:26" ht="13.5" customHeight="1" x14ac:dyDescent="0.3">
      <c r="A369" s="127"/>
      <c r="B369" s="127"/>
      <c r="C369" s="127"/>
      <c r="D369" s="127"/>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row>
    <row r="370" spans="1:26" ht="13.5" customHeight="1" x14ac:dyDescent="0.3">
      <c r="A370" s="127"/>
      <c r="B370" s="127"/>
      <c r="C370" s="127"/>
      <c r="D370" s="127"/>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row>
    <row r="371" spans="1:26" ht="13.5" customHeight="1" x14ac:dyDescent="0.3">
      <c r="A371" s="127"/>
      <c r="B371" s="127"/>
      <c r="C371" s="127"/>
      <c r="D371" s="127"/>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row>
    <row r="372" spans="1:26" ht="13.5" customHeight="1" x14ac:dyDescent="0.3">
      <c r="A372" s="127"/>
      <c r="B372" s="127"/>
      <c r="C372" s="127"/>
      <c r="D372" s="127"/>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row>
    <row r="373" spans="1:26" ht="13.5" customHeight="1" x14ac:dyDescent="0.3">
      <c r="A373" s="127"/>
      <c r="B373" s="127"/>
      <c r="C373" s="127"/>
      <c r="D373" s="127"/>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row>
    <row r="374" spans="1:26" ht="13.5" customHeight="1" x14ac:dyDescent="0.3">
      <c r="A374" s="127"/>
      <c r="B374" s="127"/>
      <c r="C374" s="127"/>
      <c r="D374" s="127"/>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row>
    <row r="375" spans="1:26" ht="13.5" customHeight="1" x14ac:dyDescent="0.3">
      <c r="A375" s="127"/>
      <c r="B375" s="127"/>
      <c r="C375" s="127"/>
      <c r="D375" s="127"/>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row>
    <row r="376" spans="1:26" ht="13.5" customHeight="1" x14ac:dyDescent="0.3">
      <c r="A376" s="127"/>
      <c r="B376" s="127"/>
      <c r="C376" s="127"/>
      <c r="D376" s="127"/>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row>
    <row r="377" spans="1:26" ht="13.5" customHeight="1" x14ac:dyDescent="0.3">
      <c r="A377" s="127"/>
      <c r="B377" s="127"/>
      <c r="C377" s="127"/>
      <c r="D377" s="127"/>
      <c r="E377" s="127"/>
      <c r="F377" s="127"/>
      <c r="G377" s="127"/>
      <c r="H377" s="127"/>
      <c r="I377" s="127"/>
      <c r="J377" s="127"/>
      <c r="K377" s="127"/>
      <c r="L377" s="127"/>
      <c r="M377" s="127"/>
      <c r="N377" s="127"/>
      <c r="O377" s="127"/>
      <c r="P377" s="127"/>
      <c r="Q377" s="127"/>
      <c r="R377" s="127"/>
      <c r="S377" s="127"/>
      <c r="T377" s="127"/>
      <c r="U377" s="127"/>
      <c r="V377" s="127"/>
      <c r="W377" s="127"/>
      <c r="X377" s="127"/>
      <c r="Y377" s="127"/>
      <c r="Z377" s="127"/>
    </row>
    <row r="378" spans="1:26" ht="13.5" customHeight="1" x14ac:dyDescent="0.3">
      <c r="A378" s="127"/>
      <c r="B378" s="127"/>
      <c r="C378" s="127"/>
      <c r="D378" s="127"/>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row>
    <row r="379" spans="1:26" ht="13.5" customHeight="1" x14ac:dyDescent="0.3">
      <c r="A379" s="127"/>
      <c r="B379" s="127"/>
      <c r="C379" s="127"/>
      <c r="D379" s="127"/>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row>
    <row r="380" spans="1:26" ht="13.5" customHeight="1" x14ac:dyDescent="0.3">
      <c r="A380" s="127"/>
      <c r="B380" s="127"/>
      <c r="C380" s="127"/>
      <c r="D380" s="127"/>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row>
    <row r="381" spans="1:26" ht="13.5" customHeight="1" x14ac:dyDescent="0.3">
      <c r="A381" s="127"/>
      <c r="B381" s="127"/>
      <c r="C381" s="127"/>
      <c r="D381" s="127"/>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row>
    <row r="382" spans="1:26" ht="13.5" customHeight="1" x14ac:dyDescent="0.3">
      <c r="A382" s="127"/>
      <c r="B382" s="127"/>
      <c r="C382" s="127"/>
      <c r="D382" s="127"/>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row>
    <row r="383" spans="1:26" ht="13.5" customHeight="1" x14ac:dyDescent="0.3">
      <c r="A383" s="127"/>
      <c r="B383" s="127"/>
      <c r="C383" s="127"/>
      <c r="D383" s="127"/>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row>
    <row r="384" spans="1:26" ht="13.5" customHeight="1" x14ac:dyDescent="0.3">
      <c r="A384" s="127"/>
      <c r="B384" s="127"/>
      <c r="C384" s="127"/>
      <c r="D384" s="127"/>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row>
    <row r="385" spans="1:26" ht="13.5" customHeight="1" x14ac:dyDescent="0.3">
      <c r="A385" s="127"/>
      <c r="B385" s="127"/>
      <c r="C385" s="127"/>
      <c r="D385" s="127"/>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row>
    <row r="386" spans="1:26" ht="13.5" customHeight="1" x14ac:dyDescent="0.3">
      <c r="A386" s="127"/>
      <c r="B386" s="127"/>
      <c r="C386" s="127"/>
      <c r="D386" s="127"/>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row>
    <row r="387" spans="1:26" ht="13.5" customHeight="1" x14ac:dyDescent="0.3">
      <c r="A387" s="127"/>
      <c r="B387" s="127"/>
      <c r="C387" s="127"/>
      <c r="D387" s="127"/>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row>
    <row r="388" spans="1:26" ht="13.5" customHeight="1" x14ac:dyDescent="0.3">
      <c r="A388" s="127"/>
      <c r="B388" s="127"/>
      <c r="C388" s="127"/>
      <c r="D388" s="127"/>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row>
    <row r="389" spans="1:26" ht="13.5" customHeight="1" x14ac:dyDescent="0.3">
      <c r="A389" s="127"/>
      <c r="B389" s="127"/>
      <c r="C389" s="127"/>
      <c r="D389" s="127"/>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row>
    <row r="390" spans="1:26" ht="13.5" customHeight="1" x14ac:dyDescent="0.3">
      <c r="A390" s="127"/>
      <c r="B390" s="127"/>
      <c r="C390" s="127"/>
      <c r="D390" s="127"/>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row>
    <row r="391" spans="1:26" ht="13.5" customHeight="1" x14ac:dyDescent="0.3">
      <c r="A391" s="127"/>
      <c r="B391" s="127"/>
      <c r="C391" s="127"/>
      <c r="D391" s="127"/>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row>
    <row r="392" spans="1:26" ht="13.5" customHeight="1" x14ac:dyDescent="0.3">
      <c r="A392" s="127"/>
      <c r="B392" s="127"/>
      <c r="C392" s="127"/>
      <c r="D392" s="127"/>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row>
    <row r="393" spans="1:26" ht="13.5" customHeight="1" x14ac:dyDescent="0.3">
      <c r="A393" s="127"/>
      <c r="B393" s="127"/>
      <c r="C393" s="127"/>
      <c r="D393" s="127"/>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row>
    <row r="394" spans="1:26" ht="13.5" customHeight="1" x14ac:dyDescent="0.3">
      <c r="A394" s="127"/>
      <c r="B394" s="127"/>
      <c r="C394" s="127"/>
      <c r="D394" s="127"/>
      <c r="E394" s="127"/>
      <c r="F394" s="127"/>
      <c r="G394" s="127"/>
      <c r="H394" s="127"/>
      <c r="I394" s="127"/>
      <c r="J394" s="127"/>
      <c r="K394" s="127"/>
      <c r="L394" s="127"/>
      <c r="M394" s="127"/>
      <c r="N394" s="127"/>
      <c r="O394" s="127"/>
      <c r="P394" s="127"/>
      <c r="Q394" s="127"/>
      <c r="R394" s="127"/>
      <c r="S394" s="127"/>
      <c r="T394" s="127"/>
      <c r="U394" s="127"/>
      <c r="V394" s="127"/>
      <c r="W394" s="127"/>
      <c r="X394" s="127"/>
      <c r="Y394" s="127"/>
      <c r="Z394" s="127"/>
    </row>
    <row r="395" spans="1:26" ht="13.5" customHeight="1" x14ac:dyDescent="0.3">
      <c r="A395" s="127"/>
      <c r="B395" s="127"/>
      <c r="C395" s="127"/>
      <c r="D395" s="127"/>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row>
    <row r="396" spans="1:26" ht="13.5" customHeight="1" x14ac:dyDescent="0.3">
      <c r="A396" s="127"/>
      <c r="B396" s="127"/>
      <c r="C396" s="127"/>
      <c r="D396" s="127"/>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row>
    <row r="397" spans="1:26" ht="13.5" customHeight="1" x14ac:dyDescent="0.3">
      <c r="A397" s="127"/>
      <c r="B397" s="127"/>
      <c r="C397" s="127"/>
      <c r="D397" s="127"/>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row>
    <row r="398" spans="1:26" ht="13.5" customHeight="1" x14ac:dyDescent="0.3">
      <c r="A398" s="127"/>
      <c r="B398" s="127"/>
      <c r="C398" s="127"/>
      <c r="D398" s="127"/>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row>
    <row r="399" spans="1:26" ht="13.5" customHeight="1" x14ac:dyDescent="0.3">
      <c r="A399" s="127"/>
      <c r="B399" s="127"/>
      <c r="C399" s="127"/>
      <c r="D399" s="127"/>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row>
    <row r="400" spans="1:26" ht="13.5" customHeight="1" x14ac:dyDescent="0.3">
      <c r="A400" s="127"/>
      <c r="B400" s="127"/>
      <c r="C400" s="127"/>
      <c r="D400" s="127"/>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row>
    <row r="401" spans="1:26" ht="13.5" customHeight="1" x14ac:dyDescent="0.3">
      <c r="A401" s="127"/>
      <c r="B401" s="127"/>
      <c r="C401" s="127"/>
      <c r="D401" s="127"/>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row>
    <row r="402" spans="1:26" ht="13.5" customHeight="1" x14ac:dyDescent="0.3">
      <c r="A402" s="127"/>
      <c r="B402" s="127"/>
      <c r="C402" s="127"/>
      <c r="D402" s="127"/>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row>
    <row r="403" spans="1:26" ht="13.5" customHeight="1" x14ac:dyDescent="0.3">
      <c r="A403" s="127"/>
      <c r="B403" s="127"/>
      <c r="C403" s="127"/>
      <c r="D403" s="127"/>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row>
    <row r="404" spans="1:26" ht="13.5" customHeight="1" x14ac:dyDescent="0.3">
      <c r="A404" s="127"/>
      <c r="B404" s="127"/>
      <c r="C404" s="127"/>
      <c r="D404" s="127"/>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row>
    <row r="405" spans="1:26" ht="13.5" customHeight="1" x14ac:dyDescent="0.3">
      <c r="A405" s="127"/>
      <c r="B405" s="127"/>
      <c r="C405" s="127"/>
      <c r="D405" s="127"/>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row>
    <row r="406" spans="1:26" ht="13.5" customHeight="1" x14ac:dyDescent="0.3">
      <c r="A406" s="127"/>
      <c r="B406" s="127"/>
      <c r="C406" s="127"/>
      <c r="D406" s="127"/>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row>
    <row r="407" spans="1:26" ht="13.5" customHeight="1" x14ac:dyDescent="0.3">
      <c r="A407" s="127"/>
      <c r="B407" s="127"/>
      <c r="C407" s="127"/>
      <c r="D407" s="127"/>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row>
    <row r="408" spans="1:26" ht="13.5" customHeight="1" x14ac:dyDescent="0.3">
      <c r="A408" s="127"/>
      <c r="B408" s="127"/>
      <c r="C408" s="127"/>
      <c r="D408" s="127"/>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row>
    <row r="409" spans="1:26" ht="13.5" customHeight="1" x14ac:dyDescent="0.3">
      <c r="A409" s="127"/>
      <c r="B409" s="127"/>
      <c r="C409" s="127"/>
      <c r="D409" s="127"/>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row>
    <row r="410" spans="1:26" ht="13.5" customHeight="1" x14ac:dyDescent="0.3">
      <c r="A410" s="127"/>
      <c r="B410" s="127"/>
      <c r="C410" s="127"/>
      <c r="D410" s="127"/>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row>
    <row r="411" spans="1:26" ht="13.5" customHeight="1" x14ac:dyDescent="0.3">
      <c r="A411" s="127"/>
      <c r="B411" s="127"/>
      <c r="C411" s="127"/>
      <c r="D411" s="127"/>
      <c r="E411" s="127"/>
      <c r="F411" s="127"/>
      <c r="G411" s="127"/>
      <c r="H411" s="127"/>
      <c r="I411" s="127"/>
      <c r="J411" s="127"/>
      <c r="K411" s="127"/>
      <c r="L411" s="127"/>
      <c r="M411" s="127"/>
      <c r="N411" s="127"/>
      <c r="O411" s="127"/>
      <c r="P411" s="127"/>
      <c r="Q411" s="127"/>
      <c r="R411" s="127"/>
      <c r="S411" s="127"/>
      <c r="T411" s="127"/>
      <c r="U411" s="127"/>
      <c r="V411" s="127"/>
      <c r="W411" s="127"/>
      <c r="X411" s="127"/>
      <c r="Y411" s="127"/>
      <c r="Z411" s="127"/>
    </row>
    <row r="412" spans="1:26" ht="13.5" customHeight="1" x14ac:dyDescent="0.3">
      <c r="A412" s="127"/>
      <c r="B412" s="127"/>
      <c r="C412" s="127"/>
      <c r="D412" s="127"/>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row>
    <row r="413" spans="1:26" ht="13.5" customHeight="1" x14ac:dyDescent="0.3">
      <c r="A413" s="127"/>
      <c r="B413" s="127"/>
      <c r="C413" s="127"/>
      <c r="D413" s="127"/>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row>
    <row r="414" spans="1:26" ht="13.5" customHeight="1" x14ac:dyDescent="0.3">
      <c r="A414" s="127"/>
      <c r="B414" s="127"/>
      <c r="C414" s="127"/>
      <c r="D414" s="127"/>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row>
    <row r="415" spans="1:26" ht="13.5" customHeight="1" x14ac:dyDescent="0.3">
      <c r="A415" s="127"/>
      <c r="B415" s="127"/>
      <c r="C415" s="127"/>
      <c r="D415" s="127"/>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row>
    <row r="416" spans="1:26" ht="13.5" customHeight="1" x14ac:dyDescent="0.3">
      <c r="A416" s="127"/>
      <c r="B416" s="127"/>
      <c r="C416" s="127"/>
      <c r="D416" s="127"/>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row>
    <row r="417" spans="1:26" ht="13.5" customHeight="1" x14ac:dyDescent="0.3">
      <c r="A417" s="127"/>
      <c r="B417" s="127"/>
      <c r="C417" s="127"/>
      <c r="D417" s="127"/>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row>
    <row r="418" spans="1:26" ht="13.5" customHeight="1" x14ac:dyDescent="0.3">
      <c r="A418" s="127"/>
      <c r="B418" s="127"/>
      <c r="C418" s="127"/>
      <c r="D418" s="127"/>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row>
    <row r="419" spans="1:26" ht="13.5" customHeight="1" x14ac:dyDescent="0.3">
      <c r="A419" s="127"/>
      <c r="B419" s="127"/>
      <c r="C419" s="127"/>
      <c r="D419" s="127"/>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row>
    <row r="420" spans="1:26" ht="13.5" customHeight="1" x14ac:dyDescent="0.3">
      <c r="A420" s="127"/>
      <c r="B420" s="127"/>
      <c r="C420" s="127"/>
      <c r="D420" s="127"/>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row>
    <row r="421" spans="1:26" ht="13.5" customHeight="1" x14ac:dyDescent="0.3">
      <c r="A421" s="127"/>
      <c r="B421" s="127"/>
      <c r="C421" s="127"/>
      <c r="D421" s="127"/>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row>
    <row r="422" spans="1:26" ht="13.5" customHeight="1" x14ac:dyDescent="0.3">
      <c r="A422" s="127"/>
      <c r="B422" s="127"/>
      <c r="C422" s="127"/>
      <c r="D422" s="127"/>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row>
    <row r="423" spans="1:26" ht="13.5" customHeight="1" x14ac:dyDescent="0.3">
      <c r="A423" s="127"/>
      <c r="B423" s="127"/>
      <c r="C423" s="127"/>
      <c r="D423" s="127"/>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row>
    <row r="424" spans="1:26" ht="13.5" customHeight="1" x14ac:dyDescent="0.3">
      <c r="A424" s="127"/>
      <c r="B424" s="127"/>
      <c r="C424" s="127"/>
      <c r="D424" s="127"/>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row>
    <row r="425" spans="1:26" ht="13.5" customHeight="1" x14ac:dyDescent="0.3">
      <c r="A425" s="127"/>
      <c r="B425" s="127"/>
      <c r="C425" s="127"/>
      <c r="D425" s="127"/>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row>
    <row r="426" spans="1:26" ht="13.5" customHeight="1" x14ac:dyDescent="0.3">
      <c r="A426" s="127"/>
      <c r="B426" s="127"/>
      <c r="C426" s="127"/>
      <c r="D426" s="127"/>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row>
    <row r="427" spans="1:26" ht="13.5" customHeight="1" x14ac:dyDescent="0.3">
      <c r="A427" s="127"/>
      <c r="B427" s="127"/>
      <c r="C427" s="127"/>
      <c r="D427" s="127"/>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row>
    <row r="428" spans="1:26" ht="13.5" customHeight="1" x14ac:dyDescent="0.3">
      <c r="A428" s="127"/>
      <c r="B428" s="127"/>
      <c r="C428" s="127"/>
      <c r="D428" s="127"/>
      <c r="E428" s="127"/>
      <c r="F428" s="127"/>
      <c r="G428" s="127"/>
      <c r="H428" s="127"/>
      <c r="I428" s="127"/>
      <c r="J428" s="127"/>
      <c r="K428" s="127"/>
      <c r="L428" s="127"/>
      <c r="M428" s="127"/>
      <c r="N428" s="127"/>
      <c r="O428" s="127"/>
      <c r="P428" s="127"/>
      <c r="Q428" s="127"/>
      <c r="R428" s="127"/>
      <c r="S428" s="127"/>
      <c r="T428" s="127"/>
      <c r="U428" s="127"/>
      <c r="V428" s="127"/>
      <c r="W428" s="127"/>
      <c r="X428" s="127"/>
      <c r="Y428" s="127"/>
      <c r="Z428" s="127"/>
    </row>
    <row r="429" spans="1:26" ht="13.5" customHeight="1" x14ac:dyDescent="0.3">
      <c r="A429" s="127"/>
      <c r="B429" s="127"/>
      <c r="C429" s="127"/>
      <c r="D429" s="127"/>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row>
    <row r="430" spans="1:26" ht="13.5" customHeight="1" x14ac:dyDescent="0.3">
      <c r="A430" s="127"/>
      <c r="B430" s="127"/>
      <c r="C430" s="127"/>
      <c r="D430" s="127"/>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row>
    <row r="431" spans="1:26" ht="13.5" customHeight="1" x14ac:dyDescent="0.3">
      <c r="A431" s="127"/>
      <c r="B431" s="127"/>
      <c r="C431" s="127"/>
      <c r="D431" s="127"/>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row>
    <row r="432" spans="1:26" ht="13.5" customHeight="1" x14ac:dyDescent="0.3">
      <c r="A432" s="127"/>
      <c r="B432" s="127"/>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row>
    <row r="433" spans="1:26" ht="13.5" customHeight="1" x14ac:dyDescent="0.3">
      <c r="A433" s="127"/>
      <c r="B433" s="127"/>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row>
    <row r="434" spans="1:26" ht="13.5" customHeight="1" x14ac:dyDescent="0.3">
      <c r="A434" s="127"/>
      <c r="B434" s="127"/>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row>
    <row r="435" spans="1:26" ht="13.5" customHeight="1" x14ac:dyDescent="0.3">
      <c r="A435" s="127"/>
      <c r="B435" s="127"/>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row>
    <row r="436" spans="1:26" ht="13.5" customHeight="1" x14ac:dyDescent="0.3">
      <c r="A436" s="127"/>
      <c r="B436" s="127"/>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row>
    <row r="437" spans="1:26" ht="13.5" customHeight="1" x14ac:dyDescent="0.3">
      <c r="A437" s="127"/>
      <c r="B437" s="127"/>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row>
    <row r="438" spans="1:26" ht="13.5" customHeight="1" x14ac:dyDescent="0.3">
      <c r="A438" s="127"/>
      <c r="B438" s="127"/>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row>
    <row r="439" spans="1:26" ht="13.5" customHeight="1" x14ac:dyDescent="0.3">
      <c r="A439" s="127"/>
      <c r="B439" s="127"/>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row>
    <row r="440" spans="1:26" ht="13.5" customHeight="1" x14ac:dyDescent="0.3">
      <c r="A440" s="127"/>
      <c r="B440" s="127"/>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row>
    <row r="441" spans="1:26" ht="13.5" customHeight="1" x14ac:dyDescent="0.3">
      <c r="A441" s="127"/>
      <c r="B441" s="127"/>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row>
    <row r="442" spans="1:26" ht="13.5" customHeight="1" x14ac:dyDescent="0.3">
      <c r="A442" s="127"/>
      <c r="B442" s="127"/>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row>
    <row r="443" spans="1:26" ht="13.5" customHeight="1" x14ac:dyDescent="0.3">
      <c r="A443" s="127"/>
      <c r="B443" s="127"/>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row>
    <row r="444" spans="1:26" ht="13.5" customHeight="1" x14ac:dyDescent="0.3">
      <c r="A444" s="127"/>
      <c r="B444" s="127"/>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row>
    <row r="445" spans="1:26" ht="13.5" customHeight="1" x14ac:dyDescent="0.3">
      <c r="A445" s="127"/>
      <c r="B445" s="127"/>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7"/>
      <c r="Y445" s="127"/>
      <c r="Z445" s="127"/>
    </row>
    <row r="446" spans="1:26" ht="13.5" customHeight="1" x14ac:dyDescent="0.3">
      <c r="A446" s="127"/>
      <c r="B446" s="127"/>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row>
    <row r="447" spans="1:26" ht="13.5" customHeight="1" x14ac:dyDescent="0.3">
      <c r="A447" s="127"/>
      <c r="B447" s="127"/>
      <c r="C447" s="127"/>
      <c r="D447" s="127"/>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row>
    <row r="448" spans="1:26" ht="13.5" customHeight="1" x14ac:dyDescent="0.3">
      <c r="A448" s="127"/>
      <c r="B448" s="127"/>
      <c r="C448" s="127"/>
      <c r="D448" s="127"/>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row>
    <row r="449" spans="1:26" ht="13.5" customHeight="1" x14ac:dyDescent="0.3">
      <c r="A449" s="127"/>
      <c r="B449" s="127"/>
      <c r="C449" s="127"/>
      <c r="D449" s="127"/>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row>
    <row r="450" spans="1:26" ht="13.5" customHeight="1" x14ac:dyDescent="0.3">
      <c r="A450" s="127"/>
      <c r="B450" s="127"/>
      <c r="C450" s="127"/>
      <c r="D450" s="127"/>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row>
    <row r="451" spans="1:26" ht="13.5" customHeight="1" x14ac:dyDescent="0.3">
      <c r="A451" s="127"/>
      <c r="B451" s="127"/>
      <c r="C451" s="127"/>
      <c r="D451" s="127"/>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row>
    <row r="452" spans="1:26" ht="13.5" customHeight="1" x14ac:dyDescent="0.3">
      <c r="A452" s="127"/>
      <c r="B452" s="127"/>
      <c r="C452" s="127"/>
      <c r="D452" s="127"/>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row>
    <row r="453" spans="1:26" ht="13.5" customHeight="1" x14ac:dyDescent="0.3">
      <c r="A453" s="127"/>
      <c r="B453" s="127"/>
      <c r="C453" s="127"/>
      <c r="D453" s="127"/>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row>
    <row r="454" spans="1:26" ht="13.5" customHeight="1" x14ac:dyDescent="0.3">
      <c r="A454" s="127"/>
      <c r="B454" s="127"/>
      <c r="C454" s="127"/>
      <c r="D454" s="127"/>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row>
    <row r="455" spans="1:26" ht="13.5" customHeight="1" x14ac:dyDescent="0.3">
      <c r="A455" s="127"/>
      <c r="B455" s="127"/>
      <c r="C455" s="127"/>
      <c r="D455" s="127"/>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row>
    <row r="456" spans="1:26" ht="13.5" customHeight="1" x14ac:dyDescent="0.3">
      <c r="A456" s="127"/>
      <c r="B456" s="127"/>
      <c r="C456" s="127"/>
      <c r="D456" s="127"/>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row>
    <row r="457" spans="1:26" ht="13.5" customHeight="1" x14ac:dyDescent="0.3">
      <c r="A457" s="127"/>
      <c r="B457" s="127"/>
      <c r="C457" s="127"/>
      <c r="D457" s="127"/>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row>
    <row r="458" spans="1:26" ht="13.5" customHeight="1" x14ac:dyDescent="0.3">
      <c r="A458" s="127"/>
      <c r="B458" s="127"/>
      <c r="C458" s="127"/>
      <c r="D458" s="127"/>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row>
    <row r="459" spans="1:26" ht="13.5" customHeight="1" x14ac:dyDescent="0.3">
      <c r="A459" s="127"/>
      <c r="B459" s="127"/>
      <c r="C459" s="127"/>
      <c r="D459" s="127"/>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row>
    <row r="460" spans="1:26" ht="13.5" customHeight="1" x14ac:dyDescent="0.3">
      <c r="A460" s="127"/>
      <c r="B460" s="127"/>
      <c r="C460" s="127"/>
      <c r="D460" s="127"/>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row>
    <row r="461" spans="1:26" ht="13.5" customHeight="1" x14ac:dyDescent="0.3">
      <c r="A461" s="127"/>
      <c r="B461" s="127"/>
      <c r="C461" s="127"/>
      <c r="D461" s="127"/>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row>
    <row r="462" spans="1:26" ht="13.5" customHeight="1" x14ac:dyDescent="0.3">
      <c r="A462" s="127"/>
      <c r="B462" s="127"/>
      <c r="C462" s="127"/>
      <c r="D462" s="127"/>
      <c r="E462" s="127"/>
      <c r="F462" s="127"/>
      <c r="G462" s="127"/>
      <c r="H462" s="127"/>
      <c r="I462" s="127"/>
      <c r="J462" s="127"/>
      <c r="K462" s="127"/>
      <c r="L462" s="127"/>
      <c r="M462" s="127"/>
      <c r="N462" s="127"/>
      <c r="O462" s="127"/>
      <c r="P462" s="127"/>
      <c r="Q462" s="127"/>
      <c r="R462" s="127"/>
      <c r="S462" s="127"/>
      <c r="T462" s="127"/>
      <c r="U462" s="127"/>
      <c r="V462" s="127"/>
      <c r="W462" s="127"/>
      <c r="X462" s="127"/>
      <c r="Y462" s="127"/>
      <c r="Z462" s="127"/>
    </row>
    <row r="463" spans="1:26" ht="13.5" customHeight="1" x14ac:dyDescent="0.3">
      <c r="A463" s="127"/>
      <c r="B463" s="127"/>
      <c r="C463" s="127"/>
      <c r="D463" s="127"/>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row>
    <row r="464" spans="1:26" ht="13.5" customHeight="1" x14ac:dyDescent="0.3">
      <c r="A464" s="127"/>
      <c r="B464" s="127"/>
      <c r="C464" s="127"/>
      <c r="D464" s="127"/>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row>
    <row r="465" spans="1:26" ht="13.5" customHeight="1" x14ac:dyDescent="0.3">
      <c r="A465" s="127"/>
      <c r="B465" s="127"/>
      <c r="C465" s="127"/>
      <c r="D465" s="127"/>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row>
    <row r="466" spans="1:26" ht="13.5" customHeight="1" x14ac:dyDescent="0.3">
      <c r="A466" s="127"/>
      <c r="B466" s="127"/>
      <c r="C466" s="127"/>
      <c r="D466" s="127"/>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row>
    <row r="467" spans="1:26" ht="13.5" customHeight="1" x14ac:dyDescent="0.3">
      <c r="A467" s="127"/>
      <c r="B467" s="127"/>
      <c r="C467" s="127"/>
      <c r="D467" s="127"/>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row>
    <row r="468" spans="1:26" ht="13.5" customHeight="1" x14ac:dyDescent="0.3">
      <c r="A468" s="127"/>
      <c r="B468" s="127"/>
      <c r="C468" s="127"/>
      <c r="D468" s="127"/>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row>
    <row r="469" spans="1:26" ht="13.5" customHeight="1" x14ac:dyDescent="0.3">
      <c r="A469" s="127"/>
      <c r="B469" s="127"/>
      <c r="C469" s="127"/>
      <c r="D469" s="127"/>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row>
    <row r="470" spans="1:26" ht="13.5" customHeight="1" x14ac:dyDescent="0.3">
      <c r="A470" s="127"/>
      <c r="B470" s="127"/>
      <c r="C470" s="127"/>
      <c r="D470" s="127"/>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row>
    <row r="471" spans="1:26" ht="13.5" customHeight="1" x14ac:dyDescent="0.3">
      <c r="A471" s="127"/>
      <c r="B471" s="127"/>
      <c r="C471" s="127"/>
      <c r="D471" s="127"/>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row>
    <row r="472" spans="1:26" ht="13.5" customHeight="1" x14ac:dyDescent="0.3">
      <c r="A472" s="127"/>
      <c r="B472" s="127"/>
      <c r="C472" s="127"/>
      <c r="D472" s="127"/>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row>
    <row r="473" spans="1:26" ht="13.5" customHeight="1" x14ac:dyDescent="0.3">
      <c r="A473" s="127"/>
      <c r="B473" s="127"/>
      <c r="C473" s="127"/>
      <c r="D473" s="127"/>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row>
    <row r="474" spans="1:26" ht="13.5" customHeight="1" x14ac:dyDescent="0.3">
      <c r="A474" s="127"/>
      <c r="B474" s="127"/>
      <c r="C474" s="127"/>
      <c r="D474" s="127"/>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row>
    <row r="475" spans="1:26" ht="13.5" customHeight="1" x14ac:dyDescent="0.3">
      <c r="A475" s="127"/>
      <c r="B475" s="127"/>
      <c r="C475" s="127"/>
      <c r="D475" s="127"/>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row>
    <row r="476" spans="1:26" ht="13.5" customHeight="1" x14ac:dyDescent="0.3">
      <c r="A476" s="127"/>
      <c r="B476" s="127"/>
      <c r="C476" s="127"/>
      <c r="D476" s="127"/>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row>
    <row r="477" spans="1:26" ht="13.5" customHeight="1" x14ac:dyDescent="0.3">
      <c r="A477" s="127"/>
      <c r="B477" s="127"/>
      <c r="C477" s="127"/>
      <c r="D477" s="127"/>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row>
    <row r="478" spans="1:26" ht="13.5" customHeight="1" x14ac:dyDescent="0.3">
      <c r="A478" s="127"/>
      <c r="B478" s="127"/>
      <c r="C478" s="127"/>
      <c r="D478" s="127"/>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row>
    <row r="479" spans="1:26" ht="13.5" customHeight="1" x14ac:dyDescent="0.3">
      <c r="A479" s="127"/>
      <c r="B479" s="127"/>
      <c r="C479" s="127"/>
      <c r="D479" s="127"/>
      <c r="E479" s="127"/>
      <c r="F479" s="127"/>
      <c r="G479" s="127"/>
      <c r="H479" s="127"/>
      <c r="I479" s="127"/>
      <c r="J479" s="127"/>
      <c r="K479" s="127"/>
      <c r="L479" s="127"/>
      <c r="M479" s="127"/>
      <c r="N479" s="127"/>
      <c r="O479" s="127"/>
      <c r="P479" s="127"/>
      <c r="Q479" s="127"/>
      <c r="R479" s="127"/>
      <c r="S479" s="127"/>
      <c r="T479" s="127"/>
      <c r="U479" s="127"/>
      <c r="V479" s="127"/>
      <c r="W479" s="127"/>
      <c r="X479" s="127"/>
      <c r="Y479" s="127"/>
      <c r="Z479" s="127"/>
    </row>
    <row r="480" spans="1:26" ht="13.5" customHeight="1" x14ac:dyDescent="0.3">
      <c r="A480" s="127"/>
      <c r="B480" s="127"/>
      <c r="C480" s="127"/>
      <c r="D480" s="127"/>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row>
    <row r="481" spans="1:26" ht="13.5" customHeight="1" x14ac:dyDescent="0.3">
      <c r="A481" s="127"/>
      <c r="B481" s="127"/>
      <c r="C481" s="127"/>
      <c r="D481" s="127"/>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row>
    <row r="482" spans="1:26" ht="13.5" customHeight="1" x14ac:dyDescent="0.3">
      <c r="A482" s="127"/>
      <c r="B482" s="127"/>
      <c r="C482" s="127"/>
      <c r="D482" s="127"/>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row>
    <row r="483" spans="1:26" ht="13.5" customHeight="1" x14ac:dyDescent="0.3">
      <c r="A483" s="127"/>
      <c r="B483" s="127"/>
      <c r="C483" s="127"/>
      <c r="D483" s="127"/>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row>
    <row r="484" spans="1:26" ht="13.5" customHeight="1" x14ac:dyDescent="0.3">
      <c r="A484" s="127"/>
      <c r="B484" s="127"/>
      <c r="C484" s="127"/>
      <c r="D484" s="127"/>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row>
    <row r="485" spans="1:26" ht="13.5" customHeight="1" x14ac:dyDescent="0.3">
      <c r="A485" s="127"/>
      <c r="B485" s="127"/>
      <c r="C485" s="127"/>
      <c r="D485" s="127"/>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row>
    <row r="486" spans="1:26" ht="13.5" customHeight="1" x14ac:dyDescent="0.3">
      <c r="A486" s="127"/>
      <c r="B486" s="127"/>
      <c r="C486" s="127"/>
      <c r="D486" s="127"/>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row>
    <row r="487" spans="1:26" ht="13.5" customHeight="1" x14ac:dyDescent="0.3">
      <c r="A487" s="127"/>
      <c r="B487" s="127"/>
      <c r="C487" s="127"/>
      <c r="D487" s="127"/>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row>
    <row r="488" spans="1:26" ht="13.5" customHeight="1" x14ac:dyDescent="0.3">
      <c r="A488" s="127"/>
      <c r="B488" s="127"/>
      <c r="C488" s="127"/>
      <c r="D488" s="127"/>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row>
    <row r="489" spans="1:26" ht="13.5" customHeight="1" x14ac:dyDescent="0.3">
      <c r="A489" s="127"/>
      <c r="B489" s="127"/>
      <c r="C489" s="127"/>
      <c r="D489" s="127"/>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row>
    <row r="490" spans="1:26" ht="13.5" customHeight="1" x14ac:dyDescent="0.3">
      <c r="A490" s="127"/>
      <c r="B490" s="127"/>
      <c r="C490" s="127"/>
      <c r="D490" s="127"/>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row>
    <row r="491" spans="1:26" ht="13.5" customHeight="1" x14ac:dyDescent="0.3">
      <c r="A491" s="127"/>
      <c r="B491" s="127"/>
      <c r="C491" s="127"/>
      <c r="D491" s="127"/>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row>
    <row r="492" spans="1:26" ht="13.5" customHeight="1" x14ac:dyDescent="0.3">
      <c r="A492" s="127"/>
      <c r="B492" s="127"/>
      <c r="C492" s="127"/>
      <c r="D492" s="127"/>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row>
    <row r="493" spans="1:26" ht="13.5" customHeight="1" x14ac:dyDescent="0.3">
      <c r="A493" s="127"/>
      <c r="B493" s="127"/>
      <c r="C493" s="127"/>
      <c r="D493" s="127"/>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row>
    <row r="494" spans="1:26" ht="13.5" customHeight="1" x14ac:dyDescent="0.3">
      <c r="A494" s="127"/>
      <c r="B494" s="127"/>
      <c r="C494" s="127"/>
      <c r="D494" s="127"/>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row>
    <row r="495" spans="1:26" ht="13.5" customHeight="1" x14ac:dyDescent="0.3">
      <c r="A495" s="127"/>
      <c r="B495" s="127"/>
      <c r="C495" s="127"/>
      <c r="D495" s="127"/>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row>
    <row r="496" spans="1:26" ht="13.5" customHeight="1" x14ac:dyDescent="0.3">
      <c r="A496" s="127"/>
      <c r="B496" s="127"/>
      <c r="C496" s="127"/>
      <c r="D496" s="127"/>
      <c r="E496" s="127"/>
      <c r="F496" s="127"/>
      <c r="G496" s="127"/>
      <c r="H496" s="127"/>
      <c r="I496" s="127"/>
      <c r="J496" s="127"/>
      <c r="K496" s="127"/>
      <c r="L496" s="127"/>
      <c r="M496" s="127"/>
      <c r="N496" s="127"/>
      <c r="O496" s="127"/>
      <c r="P496" s="127"/>
      <c r="Q496" s="127"/>
      <c r="R496" s="127"/>
      <c r="S496" s="127"/>
      <c r="T496" s="127"/>
      <c r="U496" s="127"/>
      <c r="V496" s="127"/>
      <c r="W496" s="127"/>
      <c r="X496" s="127"/>
      <c r="Y496" s="127"/>
      <c r="Z496" s="127"/>
    </row>
    <row r="497" spans="1:26" ht="13.5" customHeight="1" x14ac:dyDescent="0.3">
      <c r="A497" s="127"/>
      <c r="B497" s="127"/>
      <c r="C497" s="127"/>
      <c r="D497" s="127"/>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row>
    <row r="498" spans="1:26" ht="13.5" customHeight="1" x14ac:dyDescent="0.3">
      <c r="A498" s="127"/>
      <c r="B498" s="127"/>
      <c r="C498" s="127"/>
      <c r="D498" s="127"/>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row>
    <row r="499" spans="1:26" ht="13.5" customHeight="1" x14ac:dyDescent="0.3">
      <c r="A499" s="127"/>
      <c r="B499" s="127"/>
      <c r="C499" s="127"/>
      <c r="D499" s="127"/>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row>
    <row r="500" spans="1:26" ht="13.5" customHeight="1" x14ac:dyDescent="0.3">
      <c r="A500" s="127"/>
      <c r="B500" s="127"/>
      <c r="C500" s="127"/>
      <c r="D500" s="127"/>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row>
    <row r="501" spans="1:26" ht="13.5" customHeight="1" x14ac:dyDescent="0.3">
      <c r="A501" s="127"/>
      <c r="B501" s="127"/>
      <c r="C501" s="127"/>
      <c r="D501" s="127"/>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row>
    <row r="502" spans="1:26" ht="13.5" customHeight="1" x14ac:dyDescent="0.3">
      <c r="A502" s="127"/>
      <c r="B502" s="127"/>
      <c r="C502" s="127"/>
      <c r="D502" s="127"/>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row>
    <row r="503" spans="1:26" ht="13.5" customHeight="1" x14ac:dyDescent="0.3">
      <c r="A503" s="127"/>
      <c r="B503" s="127"/>
      <c r="C503" s="127"/>
      <c r="D503" s="127"/>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row>
    <row r="504" spans="1:26" ht="13.5" customHeight="1" x14ac:dyDescent="0.3">
      <c r="A504" s="127"/>
      <c r="B504" s="127"/>
      <c r="C504" s="127"/>
      <c r="D504" s="127"/>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row>
    <row r="505" spans="1:26" ht="13.5" customHeight="1" x14ac:dyDescent="0.3">
      <c r="A505" s="127"/>
      <c r="B505" s="127"/>
      <c r="C505" s="127"/>
      <c r="D505" s="127"/>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row>
    <row r="506" spans="1:26" ht="13.5" customHeight="1" x14ac:dyDescent="0.3">
      <c r="A506" s="127"/>
      <c r="B506" s="127"/>
      <c r="C506" s="127"/>
      <c r="D506" s="127"/>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row>
    <row r="507" spans="1:26" ht="13.5" customHeight="1" x14ac:dyDescent="0.3">
      <c r="A507" s="127"/>
      <c r="B507" s="127"/>
      <c r="C507" s="127"/>
      <c r="D507" s="127"/>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row>
    <row r="508" spans="1:26" ht="13.5" customHeight="1" x14ac:dyDescent="0.3">
      <c r="A508" s="127"/>
      <c r="B508" s="127"/>
      <c r="C508" s="127"/>
      <c r="D508" s="127"/>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row>
    <row r="509" spans="1:26" ht="13.5" customHeight="1" x14ac:dyDescent="0.3">
      <c r="A509" s="127"/>
      <c r="B509" s="127"/>
      <c r="C509" s="127"/>
      <c r="D509" s="127"/>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row>
    <row r="510" spans="1:26" ht="13.5" customHeight="1" x14ac:dyDescent="0.3">
      <c r="A510" s="127"/>
      <c r="B510" s="127"/>
      <c r="C510" s="127"/>
      <c r="D510" s="127"/>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row>
    <row r="511" spans="1:26" ht="13.5" customHeight="1" x14ac:dyDescent="0.3">
      <c r="A511" s="127"/>
      <c r="B511" s="127"/>
      <c r="C511" s="127"/>
      <c r="D511" s="127"/>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row>
    <row r="512" spans="1:26" ht="13.5" customHeight="1" x14ac:dyDescent="0.3">
      <c r="A512" s="127"/>
      <c r="B512" s="127"/>
      <c r="C512" s="127"/>
      <c r="D512" s="127"/>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row>
    <row r="513" spans="1:26" ht="13.5" customHeight="1" x14ac:dyDescent="0.3">
      <c r="A513" s="127"/>
      <c r="B513" s="127"/>
      <c r="C513" s="127"/>
      <c r="D513" s="127"/>
      <c r="E513" s="127"/>
      <c r="F513" s="127"/>
      <c r="G513" s="127"/>
      <c r="H513" s="127"/>
      <c r="I513" s="127"/>
      <c r="J513" s="127"/>
      <c r="K513" s="127"/>
      <c r="L513" s="127"/>
      <c r="M513" s="127"/>
      <c r="N513" s="127"/>
      <c r="O513" s="127"/>
      <c r="P513" s="127"/>
      <c r="Q513" s="127"/>
      <c r="R513" s="127"/>
      <c r="S513" s="127"/>
      <c r="T513" s="127"/>
      <c r="U513" s="127"/>
      <c r="V513" s="127"/>
      <c r="W513" s="127"/>
      <c r="X513" s="127"/>
      <c r="Y513" s="127"/>
      <c r="Z513" s="127"/>
    </row>
    <row r="514" spans="1:26" ht="13.5" customHeight="1" x14ac:dyDescent="0.3">
      <c r="A514" s="127"/>
      <c r="B514" s="127"/>
      <c r="C514" s="127"/>
      <c r="D514" s="127"/>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row>
    <row r="515" spans="1:26" ht="13.5" customHeight="1" x14ac:dyDescent="0.3">
      <c r="A515" s="127"/>
      <c r="B515" s="127"/>
      <c r="C515" s="127"/>
      <c r="D515" s="127"/>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row>
    <row r="516" spans="1:26" ht="13.5" customHeight="1" x14ac:dyDescent="0.3">
      <c r="A516" s="127"/>
      <c r="B516" s="127"/>
      <c r="C516" s="127"/>
      <c r="D516" s="127"/>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row>
    <row r="517" spans="1:26" ht="13.5" customHeight="1" x14ac:dyDescent="0.3">
      <c r="A517" s="127"/>
      <c r="B517" s="127"/>
      <c r="C517" s="127"/>
      <c r="D517" s="127"/>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row>
    <row r="518" spans="1:26" ht="13.5" customHeight="1" x14ac:dyDescent="0.3">
      <c r="A518" s="127"/>
      <c r="B518" s="127"/>
      <c r="C518" s="127"/>
      <c r="D518" s="127"/>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row>
    <row r="519" spans="1:26" ht="13.5" customHeight="1" x14ac:dyDescent="0.3">
      <c r="A519" s="127"/>
      <c r="B519" s="127"/>
      <c r="C519" s="127"/>
      <c r="D519" s="127"/>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row>
    <row r="520" spans="1:26" ht="13.5" customHeight="1" x14ac:dyDescent="0.3">
      <c r="A520" s="127"/>
      <c r="B520" s="127"/>
      <c r="C520" s="127"/>
      <c r="D520" s="127"/>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row>
    <row r="521" spans="1:26" ht="13.5" customHeight="1" x14ac:dyDescent="0.3">
      <c r="A521" s="127"/>
      <c r="B521" s="127"/>
      <c r="C521" s="127"/>
      <c r="D521" s="127"/>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row>
    <row r="522" spans="1:26" ht="13.5" customHeight="1" x14ac:dyDescent="0.3">
      <c r="A522" s="127"/>
      <c r="B522" s="127"/>
      <c r="C522" s="127"/>
      <c r="D522" s="127"/>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row>
    <row r="523" spans="1:26" ht="13.5" customHeight="1" x14ac:dyDescent="0.3">
      <c r="A523" s="127"/>
      <c r="B523" s="127"/>
      <c r="C523" s="127"/>
      <c r="D523" s="127"/>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row>
    <row r="524" spans="1:26" ht="13.5" customHeight="1" x14ac:dyDescent="0.3">
      <c r="A524" s="127"/>
      <c r="B524" s="127"/>
      <c r="C524" s="127"/>
      <c r="D524" s="127"/>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row>
    <row r="525" spans="1:26" ht="13.5" customHeight="1" x14ac:dyDescent="0.3">
      <c r="A525" s="127"/>
      <c r="B525" s="127"/>
      <c r="C525" s="127"/>
      <c r="D525" s="127"/>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row>
    <row r="526" spans="1:26" ht="13.5" customHeight="1" x14ac:dyDescent="0.3">
      <c r="A526" s="127"/>
      <c r="B526" s="127"/>
      <c r="C526" s="127"/>
      <c r="D526" s="127"/>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row>
    <row r="527" spans="1:26" ht="13.5" customHeight="1" x14ac:dyDescent="0.3">
      <c r="A527" s="127"/>
      <c r="B527" s="127"/>
      <c r="C527" s="127"/>
      <c r="D527" s="127"/>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row>
    <row r="528" spans="1:26" ht="13.5" customHeight="1" x14ac:dyDescent="0.3">
      <c r="A528" s="127"/>
      <c r="B528" s="127"/>
      <c r="C528" s="127"/>
      <c r="D528" s="127"/>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row>
    <row r="529" spans="1:26" ht="13.5" customHeight="1" x14ac:dyDescent="0.3">
      <c r="A529" s="127"/>
      <c r="B529" s="127"/>
      <c r="C529" s="127"/>
      <c r="D529" s="127"/>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row>
    <row r="530" spans="1:26" ht="13.5" customHeight="1" x14ac:dyDescent="0.3">
      <c r="A530" s="127"/>
      <c r="B530" s="127"/>
      <c r="C530" s="127"/>
      <c r="D530" s="127"/>
      <c r="E530" s="127"/>
      <c r="F530" s="127"/>
      <c r="G530" s="127"/>
      <c r="H530" s="127"/>
      <c r="I530" s="127"/>
      <c r="J530" s="127"/>
      <c r="K530" s="127"/>
      <c r="L530" s="127"/>
      <c r="M530" s="127"/>
      <c r="N530" s="127"/>
      <c r="O530" s="127"/>
      <c r="P530" s="127"/>
      <c r="Q530" s="127"/>
      <c r="R530" s="127"/>
      <c r="S530" s="127"/>
      <c r="T530" s="127"/>
      <c r="U530" s="127"/>
      <c r="V530" s="127"/>
      <c r="W530" s="127"/>
      <c r="X530" s="127"/>
      <c r="Y530" s="127"/>
      <c r="Z530" s="127"/>
    </row>
    <row r="531" spans="1:26" ht="13.5" customHeight="1" x14ac:dyDescent="0.3">
      <c r="A531" s="127"/>
      <c r="B531" s="127"/>
      <c r="C531" s="127"/>
      <c r="D531" s="127"/>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row>
    <row r="532" spans="1:26" ht="13.5" customHeight="1" x14ac:dyDescent="0.3">
      <c r="A532" s="127"/>
      <c r="B532" s="127"/>
      <c r="C532" s="127"/>
      <c r="D532" s="127"/>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row>
    <row r="533" spans="1:26" ht="13.5" customHeight="1" x14ac:dyDescent="0.3">
      <c r="A533" s="127"/>
      <c r="B533" s="127"/>
      <c r="C533" s="127"/>
      <c r="D533" s="127"/>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row>
    <row r="534" spans="1:26" ht="13.5" customHeight="1" x14ac:dyDescent="0.3">
      <c r="A534" s="127"/>
      <c r="B534" s="127"/>
      <c r="C534" s="127"/>
      <c r="D534" s="127"/>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row>
    <row r="535" spans="1:26" ht="13.5" customHeight="1" x14ac:dyDescent="0.3">
      <c r="A535" s="127"/>
      <c r="B535" s="127"/>
      <c r="C535" s="127"/>
      <c r="D535" s="127"/>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row>
    <row r="536" spans="1:26" ht="13.5" customHeight="1" x14ac:dyDescent="0.3">
      <c r="A536" s="127"/>
      <c r="B536" s="127"/>
      <c r="C536" s="127"/>
      <c r="D536" s="127"/>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row>
    <row r="537" spans="1:26" ht="13.5" customHeight="1" x14ac:dyDescent="0.3">
      <c r="A537" s="127"/>
      <c r="B537" s="127"/>
      <c r="C537" s="127"/>
      <c r="D537" s="127"/>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row>
    <row r="538" spans="1:26" ht="13.5" customHeight="1" x14ac:dyDescent="0.3">
      <c r="A538" s="127"/>
      <c r="B538" s="127"/>
      <c r="C538" s="127"/>
      <c r="D538" s="127"/>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row>
    <row r="539" spans="1:26" ht="13.5" customHeight="1" x14ac:dyDescent="0.3">
      <c r="A539" s="127"/>
      <c r="B539" s="127"/>
      <c r="C539" s="127"/>
      <c r="D539" s="127"/>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row>
    <row r="540" spans="1:26" ht="13.5" customHeight="1" x14ac:dyDescent="0.3">
      <c r="A540" s="127"/>
      <c r="B540" s="127"/>
      <c r="C540" s="127"/>
      <c r="D540" s="127"/>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row>
    <row r="541" spans="1:26" ht="13.5" customHeight="1" x14ac:dyDescent="0.3">
      <c r="A541" s="127"/>
      <c r="B541" s="127"/>
      <c r="C541" s="127"/>
      <c r="D541" s="127"/>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row>
    <row r="542" spans="1:26" ht="13.5" customHeight="1" x14ac:dyDescent="0.3">
      <c r="A542" s="127"/>
      <c r="B542" s="127"/>
      <c r="C542" s="127"/>
      <c r="D542" s="127"/>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row>
    <row r="543" spans="1:26" ht="13.5" customHeight="1" x14ac:dyDescent="0.3">
      <c r="A543" s="127"/>
      <c r="B543" s="127"/>
      <c r="C543" s="127"/>
      <c r="D543" s="127"/>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row>
    <row r="544" spans="1:26" ht="13.5" customHeight="1" x14ac:dyDescent="0.3">
      <c r="A544" s="127"/>
      <c r="B544" s="127"/>
      <c r="C544" s="127"/>
      <c r="D544" s="127"/>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row>
    <row r="545" spans="1:26" ht="13.5" customHeight="1" x14ac:dyDescent="0.3">
      <c r="A545" s="127"/>
      <c r="B545" s="127"/>
      <c r="C545" s="127"/>
      <c r="D545" s="127"/>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row>
    <row r="546" spans="1:26" ht="13.5" customHeight="1" x14ac:dyDescent="0.3">
      <c r="A546" s="127"/>
      <c r="B546" s="127"/>
      <c r="C546" s="127"/>
      <c r="D546" s="127"/>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row>
    <row r="547" spans="1:26" ht="13.5" customHeight="1" x14ac:dyDescent="0.3">
      <c r="A547" s="127"/>
      <c r="B547" s="127"/>
      <c r="C547" s="127"/>
      <c r="D547" s="127"/>
      <c r="E547" s="127"/>
      <c r="F547" s="127"/>
      <c r="G547" s="127"/>
      <c r="H547" s="127"/>
      <c r="I547" s="127"/>
      <c r="J547" s="127"/>
      <c r="K547" s="127"/>
      <c r="L547" s="127"/>
      <c r="M547" s="127"/>
      <c r="N547" s="127"/>
      <c r="O547" s="127"/>
      <c r="P547" s="127"/>
      <c r="Q547" s="127"/>
      <c r="R547" s="127"/>
      <c r="S547" s="127"/>
      <c r="T547" s="127"/>
      <c r="U547" s="127"/>
      <c r="V547" s="127"/>
      <c r="W547" s="127"/>
      <c r="X547" s="127"/>
      <c r="Y547" s="127"/>
      <c r="Z547" s="127"/>
    </row>
    <row r="548" spans="1:26" ht="13.5" customHeight="1" x14ac:dyDescent="0.3">
      <c r="A548" s="127"/>
      <c r="B548" s="127"/>
      <c r="C548" s="127"/>
      <c r="D548" s="127"/>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row>
    <row r="549" spans="1:26" ht="13.5" customHeight="1" x14ac:dyDescent="0.3">
      <c r="A549" s="127"/>
      <c r="B549" s="127"/>
      <c r="C549" s="127"/>
      <c r="D549" s="127"/>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row>
    <row r="550" spans="1:26" ht="13.5" customHeight="1" x14ac:dyDescent="0.3">
      <c r="A550" s="127"/>
      <c r="B550" s="127"/>
      <c r="C550" s="127"/>
      <c r="D550" s="127"/>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row>
    <row r="551" spans="1:26" ht="13.5" customHeight="1" x14ac:dyDescent="0.3">
      <c r="A551" s="127"/>
      <c r="B551" s="127"/>
      <c r="C551" s="127"/>
      <c r="D551" s="127"/>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row>
    <row r="552" spans="1:26" ht="13.5" customHeight="1" x14ac:dyDescent="0.3">
      <c r="A552" s="127"/>
      <c r="B552" s="127"/>
      <c r="C552" s="127"/>
      <c r="D552" s="127"/>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row>
    <row r="553" spans="1:26" ht="13.5" customHeight="1" x14ac:dyDescent="0.3">
      <c r="A553" s="127"/>
      <c r="B553" s="127"/>
      <c r="C553" s="127"/>
      <c r="D553" s="127"/>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row>
    <row r="554" spans="1:26" ht="13.5" customHeight="1" x14ac:dyDescent="0.3">
      <c r="A554" s="127"/>
      <c r="B554" s="127"/>
      <c r="C554" s="127"/>
      <c r="D554" s="127"/>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row>
    <row r="555" spans="1:26" ht="13.5" customHeight="1" x14ac:dyDescent="0.3">
      <c r="A555" s="127"/>
      <c r="B555" s="127"/>
      <c r="C555" s="127"/>
      <c r="D555" s="127"/>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row>
    <row r="556" spans="1:26" ht="13.5" customHeight="1" x14ac:dyDescent="0.3">
      <c r="A556" s="127"/>
      <c r="B556" s="127"/>
      <c r="C556" s="127"/>
      <c r="D556" s="127"/>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row>
    <row r="557" spans="1:26" ht="13.5" customHeight="1" x14ac:dyDescent="0.3">
      <c r="A557" s="127"/>
      <c r="B557" s="127"/>
      <c r="C557" s="127"/>
      <c r="D557" s="127"/>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row>
    <row r="558" spans="1:26" ht="13.5" customHeight="1" x14ac:dyDescent="0.3">
      <c r="A558" s="127"/>
      <c r="B558" s="127"/>
      <c r="C558" s="127"/>
      <c r="D558" s="127"/>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row>
    <row r="559" spans="1:26" ht="13.5" customHeight="1" x14ac:dyDescent="0.3">
      <c r="A559" s="127"/>
      <c r="B559" s="127"/>
      <c r="C559" s="127"/>
      <c r="D559" s="127"/>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row>
    <row r="560" spans="1:26" ht="13.5" customHeight="1" x14ac:dyDescent="0.3">
      <c r="A560" s="127"/>
      <c r="B560" s="127"/>
      <c r="C560" s="127"/>
      <c r="D560" s="127"/>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row>
    <row r="561" spans="1:26" ht="13.5" customHeight="1" x14ac:dyDescent="0.3">
      <c r="A561" s="127"/>
      <c r="B561" s="127"/>
      <c r="C561" s="127"/>
      <c r="D561" s="127"/>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row>
    <row r="562" spans="1:26" ht="13.5" customHeight="1" x14ac:dyDescent="0.3">
      <c r="A562" s="127"/>
      <c r="B562" s="127"/>
      <c r="C562" s="127"/>
      <c r="D562" s="127"/>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row>
    <row r="563" spans="1:26" ht="13.5" customHeight="1" x14ac:dyDescent="0.3">
      <c r="A563" s="127"/>
      <c r="B563" s="127"/>
      <c r="C563" s="127"/>
      <c r="D563" s="127"/>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row>
    <row r="564" spans="1:26" ht="13.5" customHeight="1" x14ac:dyDescent="0.3">
      <c r="A564" s="127"/>
      <c r="B564" s="127"/>
      <c r="C564" s="127"/>
      <c r="D564" s="127"/>
      <c r="E564" s="127"/>
      <c r="F564" s="127"/>
      <c r="G564" s="127"/>
      <c r="H564" s="127"/>
      <c r="I564" s="127"/>
      <c r="J564" s="127"/>
      <c r="K564" s="127"/>
      <c r="L564" s="127"/>
      <c r="M564" s="127"/>
      <c r="N564" s="127"/>
      <c r="O564" s="127"/>
      <c r="P564" s="127"/>
      <c r="Q564" s="127"/>
      <c r="R564" s="127"/>
      <c r="S564" s="127"/>
      <c r="T564" s="127"/>
      <c r="U564" s="127"/>
      <c r="V564" s="127"/>
      <c r="W564" s="127"/>
      <c r="X564" s="127"/>
      <c r="Y564" s="127"/>
      <c r="Z564" s="127"/>
    </row>
    <row r="565" spans="1:26" ht="13.5" customHeight="1" x14ac:dyDescent="0.3">
      <c r="A565" s="127"/>
      <c r="B565" s="127"/>
      <c r="C565" s="127"/>
      <c r="D565" s="127"/>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row>
    <row r="566" spans="1:26" ht="13.5" customHeight="1" x14ac:dyDescent="0.3">
      <c r="A566" s="127"/>
      <c r="B566" s="127"/>
      <c r="C566" s="127"/>
      <c r="D566" s="127"/>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row>
    <row r="567" spans="1:26" ht="13.5" customHeight="1" x14ac:dyDescent="0.3">
      <c r="A567" s="127"/>
      <c r="B567" s="127"/>
      <c r="C567" s="127"/>
      <c r="D567" s="127"/>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row>
    <row r="568" spans="1:26" ht="13.5" customHeight="1" x14ac:dyDescent="0.3">
      <c r="A568" s="127"/>
      <c r="B568" s="127"/>
      <c r="C568" s="127"/>
      <c r="D568" s="127"/>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row>
    <row r="569" spans="1:26" ht="13.5" customHeight="1" x14ac:dyDescent="0.3">
      <c r="A569" s="127"/>
      <c r="B569" s="127"/>
      <c r="C569" s="127"/>
      <c r="D569" s="127"/>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row>
    <row r="570" spans="1:26" ht="13.5" customHeight="1" x14ac:dyDescent="0.3">
      <c r="A570" s="127"/>
      <c r="B570" s="127"/>
      <c r="C570" s="127"/>
      <c r="D570" s="127"/>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row>
    <row r="571" spans="1:26" ht="13.5" customHeight="1" x14ac:dyDescent="0.3">
      <c r="A571" s="127"/>
      <c r="B571" s="127"/>
      <c r="C571" s="127"/>
      <c r="D571" s="127"/>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row>
    <row r="572" spans="1:26" ht="13.5" customHeight="1" x14ac:dyDescent="0.3">
      <c r="A572" s="127"/>
      <c r="B572" s="127"/>
      <c r="C572" s="127"/>
      <c r="D572" s="127"/>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row>
    <row r="573" spans="1:26" ht="13.5" customHeight="1" x14ac:dyDescent="0.3">
      <c r="A573" s="127"/>
      <c r="B573" s="127"/>
      <c r="C573" s="127"/>
      <c r="D573" s="127"/>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row>
    <row r="574" spans="1:26" ht="13.5" customHeight="1" x14ac:dyDescent="0.3">
      <c r="A574" s="127"/>
      <c r="B574" s="127"/>
      <c r="C574" s="127"/>
      <c r="D574" s="127"/>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row>
    <row r="575" spans="1:26" ht="13.5" customHeight="1" x14ac:dyDescent="0.3">
      <c r="A575" s="127"/>
      <c r="B575" s="127"/>
      <c r="C575" s="127"/>
      <c r="D575" s="127"/>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row>
    <row r="576" spans="1:26" ht="13.5" customHeight="1" x14ac:dyDescent="0.3">
      <c r="A576" s="127"/>
      <c r="B576" s="127"/>
      <c r="C576" s="127"/>
      <c r="D576" s="127"/>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row>
    <row r="577" spans="1:26" ht="13.5" customHeight="1" x14ac:dyDescent="0.3">
      <c r="A577" s="127"/>
      <c r="B577" s="127"/>
      <c r="C577" s="127"/>
      <c r="D577" s="127"/>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row>
    <row r="578" spans="1:26" ht="13.5" customHeight="1" x14ac:dyDescent="0.3">
      <c r="A578" s="127"/>
      <c r="B578" s="127"/>
      <c r="C578" s="127"/>
      <c r="D578" s="127"/>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row>
    <row r="579" spans="1:26" ht="13.5" customHeight="1" x14ac:dyDescent="0.3">
      <c r="A579" s="127"/>
      <c r="B579" s="127"/>
      <c r="C579" s="127"/>
      <c r="D579" s="127"/>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row>
    <row r="580" spans="1:26" ht="13.5" customHeight="1" x14ac:dyDescent="0.3">
      <c r="A580" s="127"/>
      <c r="B580" s="127"/>
      <c r="C580" s="127"/>
      <c r="D580" s="127"/>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row>
    <row r="581" spans="1:26" ht="13.5" customHeight="1" x14ac:dyDescent="0.3">
      <c r="A581" s="127"/>
      <c r="B581" s="127"/>
      <c r="C581" s="127"/>
      <c r="D581" s="127"/>
      <c r="E581" s="127"/>
      <c r="F581" s="127"/>
      <c r="G581" s="127"/>
      <c r="H581" s="127"/>
      <c r="I581" s="127"/>
      <c r="J581" s="127"/>
      <c r="K581" s="127"/>
      <c r="L581" s="127"/>
      <c r="M581" s="127"/>
      <c r="N581" s="127"/>
      <c r="O581" s="127"/>
      <c r="P581" s="127"/>
      <c r="Q581" s="127"/>
      <c r="R581" s="127"/>
      <c r="S581" s="127"/>
      <c r="T581" s="127"/>
      <c r="U581" s="127"/>
      <c r="V581" s="127"/>
      <c r="W581" s="127"/>
      <c r="X581" s="127"/>
      <c r="Y581" s="127"/>
      <c r="Z581" s="127"/>
    </row>
    <row r="582" spans="1:26" ht="13.5" customHeight="1" x14ac:dyDescent="0.3">
      <c r="A582" s="127"/>
      <c r="B582" s="127"/>
      <c r="C582" s="127"/>
      <c r="D582" s="127"/>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row>
    <row r="583" spans="1:26" ht="13.5" customHeight="1" x14ac:dyDescent="0.3">
      <c r="A583" s="127"/>
      <c r="B583" s="127"/>
      <c r="C583" s="127"/>
      <c r="D583" s="127"/>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row>
    <row r="584" spans="1:26" ht="13.5" customHeight="1" x14ac:dyDescent="0.3">
      <c r="A584" s="127"/>
      <c r="B584" s="127"/>
      <c r="C584" s="127"/>
      <c r="D584" s="127"/>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row>
    <row r="585" spans="1:26" ht="13.5" customHeight="1" x14ac:dyDescent="0.3">
      <c r="A585" s="127"/>
      <c r="B585" s="127"/>
      <c r="C585" s="127"/>
      <c r="D585" s="127"/>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row>
    <row r="586" spans="1:26" ht="13.5" customHeight="1" x14ac:dyDescent="0.3">
      <c r="A586" s="127"/>
      <c r="B586" s="127"/>
      <c r="C586" s="127"/>
      <c r="D586" s="127"/>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row>
    <row r="587" spans="1:26" ht="13.5" customHeight="1" x14ac:dyDescent="0.3">
      <c r="A587" s="127"/>
      <c r="B587" s="127"/>
      <c r="C587" s="127"/>
      <c r="D587" s="127"/>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row>
    <row r="588" spans="1:26" ht="13.5" customHeight="1" x14ac:dyDescent="0.3">
      <c r="A588" s="127"/>
      <c r="B588" s="127"/>
      <c r="C588" s="127"/>
      <c r="D588" s="127"/>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row>
    <row r="589" spans="1:26" ht="13.5" customHeight="1" x14ac:dyDescent="0.3">
      <c r="A589" s="127"/>
      <c r="B589" s="127"/>
      <c r="C589" s="127"/>
      <c r="D589" s="127"/>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row>
    <row r="590" spans="1:26" ht="13.5" customHeight="1" x14ac:dyDescent="0.3">
      <c r="A590" s="127"/>
      <c r="B590" s="127"/>
      <c r="C590" s="127"/>
      <c r="D590" s="127"/>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row>
    <row r="591" spans="1:26" ht="13.5" customHeight="1" x14ac:dyDescent="0.3">
      <c r="A591" s="127"/>
      <c r="B591" s="127"/>
      <c r="C591" s="127"/>
      <c r="D591" s="127"/>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row>
    <row r="592" spans="1:26" ht="13.5" customHeight="1" x14ac:dyDescent="0.3">
      <c r="A592" s="127"/>
      <c r="B592" s="127"/>
      <c r="C592" s="127"/>
      <c r="D592" s="127"/>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row>
    <row r="593" spans="1:26" ht="13.5" customHeight="1" x14ac:dyDescent="0.3">
      <c r="A593" s="127"/>
      <c r="B593" s="127"/>
      <c r="C593" s="127"/>
      <c r="D593" s="127"/>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row>
    <row r="594" spans="1:26" ht="13.5" customHeight="1" x14ac:dyDescent="0.3">
      <c r="A594" s="127"/>
      <c r="B594" s="127"/>
      <c r="C594" s="127"/>
      <c r="D594" s="127"/>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row>
    <row r="595" spans="1:26" ht="13.5" customHeight="1" x14ac:dyDescent="0.3">
      <c r="A595" s="127"/>
      <c r="B595" s="127"/>
      <c r="C595" s="127"/>
      <c r="D595" s="127"/>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row>
    <row r="596" spans="1:26" ht="13.5" customHeight="1" x14ac:dyDescent="0.3">
      <c r="A596" s="127"/>
      <c r="B596" s="127"/>
      <c r="C596" s="127"/>
      <c r="D596" s="127"/>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row>
    <row r="597" spans="1:26" ht="13.5" customHeight="1" x14ac:dyDescent="0.3">
      <c r="A597" s="127"/>
      <c r="B597" s="127"/>
      <c r="C597" s="127"/>
      <c r="D597" s="127"/>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row>
    <row r="598" spans="1:26" ht="13.5" customHeight="1" x14ac:dyDescent="0.3">
      <c r="A598" s="127"/>
      <c r="B598" s="127"/>
      <c r="C598" s="127"/>
      <c r="D598" s="127"/>
      <c r="E598" s="127"/>
      <c r="F598" s="127"/>
      <c r="G598" s="127"/>
      <c r="H598" s="127"/>
      <c r="I598" s="127"/>
      <c r="J598" s="127"/>
      <c r="K598" s="127"/>
      <c r="L598" s="127"/>
      <c r="M598" s="127"/>
      <c r="N598" s="127"/>
      <c r="O598" s="127"/>
      <c r="P598" s="127"/>
      <c r="Q598" s="127"/>
      <c r="R598" s="127"/>
      <c r="S598" s="127"/>
      <c r="T598" s="127"/>
      <c r="U598" s="127"/>
      <c r="V598" s="127"/>
      <c r="W598" s="127"/>
      <c r="X598" s="127"/>
      <c r="Y598" s="127"/>
      <c r="Z598" s="127"/>
    </row>
    <row r="599" spans="1:26" ht="13.5" customHeight="1" x14ac:dyDescent="0.3">
      <c r="A599" s="127"/>
      <c r="B599" s="127"/>
      <c r="C599" s="127"/>
      <c r="D599" s="127"/>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row>
    <row r="600" spans="1:26" ht="13.5" customHeight="1" x14ac:dyDescent="0.3">
      <c r="A600" s="127"/>
      <c r="B600" s="127"/>
      <c r="C600" s="127"/>
      <c r="D600" s="127"/>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row>
    <row r="601" spans="1:26" ht="13.5" customHeight="1" x14ac:dyDescent="0.3">
      <c r="A601" s="127"/>
      <c r="B601" s="127"/>
      <c r="C601" s="127"/>
      <c r="D601" s="127"/>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row>
    <row r="602" spans="1:26" ht="13.5" customHeight="1" x14ac:dyDescent="0.3">
      <c r="A602" s="127"/>
      <c r="B602" s="127"/>
      <c r="C602" s="127"/>
      <c r="D602" s="127"/>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row>
    <row r="603" spans="1:26" ht="13.5" customHeight="1" x14ac:dyDescent="0.3">
      <c r="A603" s="127"/>
      <c r="B603" s="127"/>
      <c r="C603" s="127"/>
      <c r="D603" s="127"/>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row>
    <row r="604" spans="1:26" ht="13.5" customHeight="1" x14ac:dyDescent="0.3">
      <c r="A604" s="127"/>
      <c r="B604" s="127"/>
      <c r="C604" s="127"/>
      <c r="D604" s="127"/>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row>
    <row r="605" spans="1:26" ht="13.5" customHeight="1" x14ac:dyDescent="0.3">
      <c r="A605" s="127"/>
      <c r="B605" s="127"/>
      <c r="C605" s="127"/>
      <c r="D605" s="127"/>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row>
    <row r="606" spans="1:26" ht="13.5" customHeight="1" x14ac:dyDescent="0.3">
      <c r="A606" s="127"/>
      <c r="B606" s="127"/>
      <c r="C606" s="127"/>
      <c r="D606" s="127"/>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row>
    <row r="607" spans="1:26" ht="13.5" customHeight="1" x14ac:dyDescent="0.3">
      <c r="A607" s="127"/>
      <c r="B607" s="127"/>
      <c r="C607" s="127"/>
      <c r="D607" s="127"/>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row>
    <row r="608" spans="1:26" ht="13.5" customHeight="1" x14ac:dyDescent="0.3">
      <c r="A608" s="127"/>
      <c r="B608" s="127"/>
      <c r="C608" s="127"/>
      <c r="D608" s="127"/>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row>
    <row r="609" spans="1:26" ht="13.5" customHeight="1" x14ac:dyDescent="0.3">
      <c r="A609" s="127"/>
      <c r="B609" s="127"/>
      <c r="C609" s="127"/>
      <c r="D609" s="127"/>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row>
    <row r="610" spans="1:26" ht="13.5" customHeight="1" x14ac:dyDescent="0.3">
      <c r="A610" s="127"/>
      <c r="B610" s="127"/>
      <c r="C610" s="127"/>
      <c r="D610" s="127"/>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row>
    <row r="611" spans="1:26" ht="13.5" customHeight="1" x14ac:dyDescent="0.3">
      <c r="A611" s="127"/>
      <c r="B611" s="127"/>
      <c r="C611" s="127"/>
      <c r="D611" s="127"/>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row>
    <row r="612" spans="1:26" ht="13.5" customHeight="1" x14ac:dyDescent="0.3">
      <c r="A612" s="127"/>
      <c r="B612" s="127"/>
      <c r="C612" s="127"/>
      <c r="D612" s="127"/>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row>
    <row r="613" spans="1:26" ht="13.5" customHeight="1" x14ac:dyDescent="0.3">
      <c r="A613" s="127"/>
      <c r="B613" s="127"/>
      <c r="C613" s="127"/>
      <c r="D613" s="127"/>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row>
    <row r="614" spans="1:26" ht="13.5" customHeight="1" x14ac:dyDescent="0.3">
      <c r="A614" s="127"/>
      <c r="B614" s="127"/>
      <c r="C614" s="127"/>
      <c r="D614" s="127"/>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row>
    <row r="615" spans="1:26" ht="13.5" customHeight="1" x14ac:dyDescent="0.3">
      <c r="A615" s="127"/>
      <c r="B615" s="127"/>
      <c r="C615" s="127"/>
      <c r="D615" s="127"/>
      <c r="E615" s="127"/>
      <c r="F615" s="127"/>
      <c r="G615" s="127"/>
      <c r="H615" s="127"/>
      <c r="I615" s="127"/>
      <c r="J615" s="127"/>
      <c r="K615" s="127"/>
      <c r="L615" s="127"/>
      <c r="M615" s="127"/>
      <c r="N615" s="127"/>
      <c r="O615" s="127"/>
      <c r="P615" s="127"/>
      <c r="Q615" s="127"/>
      <c r="R615" s="127"/>
      <c r="S615" s="127"/>
      <c r="T615" s="127"/>
      <c r="U615" s="127"/>
      <c r="V615" s="127"/>
      <c r="W615" s="127"/>
      <c r="X615" s="127"/>
      <c r="Y615" s="127"/>
      <c r="Z615" s="127"/>
    </row>
    <row r="616" spans="1:26" ht="13.5" customHeight="1" x14ac:dyDescent="0.3">
      <c r="A616" s="127"/>
      <c r="B616" s="127"/>
      <c r="C616" s="127"/>
      <c r="D616" s="127"/>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row>
    <row r="617" spans="1:26" ht="13.5" customHeight="1" x14ac:dyDescent="0.3">
      <c r="A617" s="127"/>
      <c r="B617" s="127"/>
      <c r="C617" s="127"/>
      <c r="D617" s="127"/>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row>
    <row r="618" spans="1:26" ht="13.5" customHeight="1" x14ac:dyDescent="0.3">
      <c r="A618" s="127"/>
      <c r="B618" s="127"/>
      <c r="C618" s="127"/>
      <c r="D618" s="127"/>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row>
    <row r="619" spans="1:26" ht="13.5" customHeight="1" x14ac:dyDescent="0.3">
      <c r="A619" s="127"/>
      <c r="B619" s="127"/>
      <c r="C619" s="127"/>
      <c r="D619" s="127"/>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row>
    <row r="620" spans="1:26" ht="13.5" customHeight="1" x14ac:dyDescent="0.3">
      <c r="A620" s="127"/>
      <c r="B620" s="127"/>
      <c r="C620" s="127"/>
      <c r="D620" s="127"/>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row>
    <row r="621" spans="1:26" ht="13.5" customHeight="1" x14ac:dyDescent="0.3">
      <c r="A621" s="127"/>
      <c r="B621" s="127"/>
      <c r="C621" s="127"/>
      <c r="D621" s="127"/>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row>
    <row r="622" spans="1:26" ht="13.5" customHeight="1" x14ac:dyDescent="0.3">
      <c r="A622" s="127"/>
      <c r="B622" s="127"/>
      <c r="C622" s="127"/>
      <c r="D622" s="127"/>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row>
    <row r="623" spans="1:26" ht="13.5" customHeight="1" x14ac:dyDescent="0.3">
      <c r="A623" s="127"/>
      <c r="B623" s="127"/>
      <c r="C623" s="127"/>
      <c r="D623" s="127"/>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row>
    <row r="624" spans="1:26" ht="13.5" customHeight="1" x14ac:dyDescent="0.3">
      <c r="A624" s="127"/>
      <c r="B624" s="127"/>
      <c r="C624" s="127"/>
      <c r="D624" s="127"/>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row>
    <row r="625" spans="1:26" ht="13.5" customHeight="1" x14ac:dyDescent="0.3">
      <c r="A625" s="127"/>
      <c r="B625" s="127"/>
      <c r="C625" s="127"/>
      <c r="D625" s="127"/>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row>
    <row r="626" spans="1:26" ht="13.5" customHeight="1" x14ac:dyDescent="0.3">
      <c r="A626" s="127"/>
      <c r="B626" s="127"/>
      <c r="C626" s="127"/>
      <c r="D626" s="127"/>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row>
    <row r="627" spans="1:26" ht="13.5" customHeight="1" x14ac:dyDescent="0.3">
      <c r="A627" s="127"/>
      <c r="B627" s="127"/>
      <c r="C627" s="127"/>
      <c r="D627" s="127"/>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row>
    <row r="628" spans="1:26" ht="13.5" customHeight="1" x14ac:dyDescent="0.3">
      <c r="A628" s="127"/>
      <c r="B628" s="127"/>
      <c r="C628" s="127"/>
      <c r="D628" s="127"/>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row>
    <row r="629" spans="1:26" ht="13.5" customHeight="1" x14ac:dyDescent="0.3">
      <c r="A629" s="127"/>
      <c r="B629" s="127"/>
      <c r="C629" s="127"/>
      <c r="D629" s="127"/>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row>
    <row r="630" spans="1:26" ht="13.5" customHeight="1" x14ac:dyDescent="0.3">
      <c r="A630" s="127"/>
      <c r="B630" s="127"/>
      <c r="C630" s="127"/>
      <c r="D630" s="127"/>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row>
    <row r="631" spans="1:26" ht="13.5" customHeight="1" x14ac:dyDescent="0.3">
      <c r="A631" s="127"/>
      <c r="B631" s="127"/>
      <c r="C631" s="127"/>
      <c r="D631" s="127"/>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row>
    <row r="632" spans="1:26" ht="13.5" customHeight="1" x14ac:dyDescent="0.3">
      <c r="A632" s="127"/>
      <c r="B632" s="127"/>
      <c r="C632" s="127"/>
      <c r="D632" s="127"/>
      <c r="E632" s="127"/>
      <c r="F632" s="127"/>
      <c r="G632" s="127"/>
      <c r="H632" s="127"/>
      <c r="I632" s="127"/>
      <c r="J632" s="127"/>
      <c r="K632" s="127"/>
      <c r="L632" s="127"/>
      <c r="M632" s="127"/>
      <c r="N632" s="127"/>
      <c r="O632" s="127"/>
      <c r="P632" s="127"/>
      <c r="Q632" s="127"/>
      <c r="R632" s="127"/>
      <c r="S632" s="127"/>
      <c r="T632" s="127"/>
      <c r="U632" s="127"/>
      <c r="V632" s="127"/>
      <c r="W632" s="127"/>
      <c r="X632" s="127"/>
      <c r="Y632" s="127"/>
      <c r="Z632" s="127"/>
    </row>
    <row r="633" spans="1:26" ht="13.5" customHeight="1" x14ac:dyDescent="0.3">
      <c r="A633" s="127"/>
      <c r="B633" s="127"/>
      <c r="C633" s="127"/>
      <c r="D633" s="127"/>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row>
    <row r="634" spans="1:26" ht="13.5" customHeight="1" x14ac:dyDescent="0.3">
      <c r="A634" s="127"/>
      <c r="B634" s="127"/>
      <c r="C634" s="127"/>
      <c r="D634" s="127"/>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row>
    <row r="635" spans="1:26" ht="13.5" customHeight="1" x14ac:dyDescent="0.3">
      <c r="A635" s="127"/>
      <c r="B635" s="127"/>
      <c r="C635" s="127"/>
      <c r="D635" s="127"/>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row>
    <row r="636" spans="1:26" ht="13.5" customHeight="1" x14ac:dyDescent="0.3">
      <c r="A636" s="127"/>
      <c r="B636" s="127"/>
      <c r="C636" s="127"/>
      <c r="D636" s="127"/>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row>
    <row r="637" spans="1:26" ht="13.5" customHeight="1" x14ac:dyDescent="0.3">
      <c r="A637" s="127"/>
      <c r="B637" s="127"/>
      <c r="C637" s="127"/>
      <c r="D637" s="127"/>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row>
    <row r="638" spans="1:26" ht="13.5" customHeight="1" x14ac:dyDescent="0.3">
      <c r="A638" s="127"/>
      <c r="B638" s="127"/>
      <c r="C638" s="127"/>
      <c r="D638" s="127"/>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row>
    <row r="639" spans="1:26" ht="13.5" customHeight="1" x14ac:dyDescent="0.3">
      <c r="A639" s="127"/>
      <c r="B639" s="127"/>
      <c r="C639" s="127"/>
      <c r="D639" s="127"/>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row>
    <row r="640" spans="1:26" ht="13.5" customHeight="1" x14ac:dyDescent="0.3">
      <c r="A640" s="127"/>
      <c r="B640" s="127"/>
      <c r="C640" s="127"/>
      <c r="D640" s="127"/>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row>
    <row r="641" spans="1:26" ht="13.5" customHeight="1" x14ac:dyDescent="0.3">
      <c r="A641" s="127"/>
      <c r="B641" s="127"/>
      <c r="C641" s="127"/>
      <c r="D641" s="127"/>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row>
    <row r="642" spans="1:26" ht="13.5" customHeight="1" x14ac:dyDescent="0.3">
      <c r="A642" s="127"/>
      <c r="B642" s="127"/>
      <c r="C642" s="127"/>
      <c r="D642" s="127"/>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row>
    <row r="643" spans="1:26" ht="13.5" customHeight="1" x14ac:dyDescent="0.3">
      <c r="A643" s="127"/>
      <c r="B643" s="127"/>
      <c r="C643" s="127"/>
      <c r="D643" s="127"/>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row>
    <row r="644" spans="1:26" ht="13.5" customHeight="1" x14ac:dyDescent="0.3">
      <c r="A644" s="127"/>
      <c r="B644" s="127"/>
      <c r="C644" s="127"/>
      <c r="D644" s="127"/>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row>
    <row r="645" spans="1:26" ht="13.5" customHeight="1" x14ac:dyDescent="0.3">
      <c r="A645" s="127"/>
      <c r="B645" s="127"/>
      <c r="C645" s="127"/>
      <c r="D645" s="127"/>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row>
    <row r="646" spans="1:26" ht="13.5" customHeight="1" x14ac:dyDescent="0.3">
      <c r="A646" s="127"/>
      <c r="B646" s="127"/>
      <c r="C646" s="127"/>
      <c r="D646" s="127"/>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row>
    <row r="647" spans="1:26" ht="13.5" customHeight="1" x14ac:dyDescent="0.3">
      <c r="A647" s="127"/>
      <c r="B647" s="127"/>
      <c r="C647" s="127"/>
      <c r="D647" s="127"/>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row>
    <row r="648" spans="1:26" ht="13.5" customHeight="1" x14ac:dyDescent="0.3">
      <c r="A648" s="127"/>
      <c r="B648" s="127"/>
      <c r="C648" s="127"/>
      <c r="D648" s="127"/>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row>
    <row r="649" spans="1:26" ht="13.5" customHeight="1" x14ac:dyDescent="0.3">
      <c r="A649" s="127"/>
      <c r="B649" s="127"/>
      <c r="C649" s="127"/>
      <c r="D649" s="127"/>
      <c r="E649" s="127"/>
      <c r="F649" s="127"/>
      <c r="G649" s="127"/>
      <c r="H649" s="127"/>
      <c r="I649" s="127"/>
      <c r="J649" s="127"/>
      <c r="K649" s="127"/>
      <c r="L649" s="127"/>
      <c r="M649" s="127"/>
      <c r="N649" s="127"/>
      <c r="O649" s="127"/>
      <c r="P649" s="127"/>
      <c r="Q649" s="127"/>
      <c r="R649" s="127"/>
      <c r="S649" s="127"/>
      <c r="T649" s="127"/>
      <c r="U649" s="127"/>
      <c r="V649" s="127"/>
      <c r="W649" s="127"/>
      <c r="X649" s="127"/>
      <c r="Y649" s="127"/>
      <c r="Z649" s="127"/>
    </row>
    <row r="650" spans="1:26" ht="13.5" customHeight="1" x14ac:dyDescent="0.3">
      <c r="A650" s="127"/>
      <c r="B650" s="127"/>
      <c r="C650" s="127"/>
      <c r="D650" s="127"/>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row>
    <row r="651" spans="1:26" ht="13.5" customHeight="1" x14ac:dyDescent="0.3">
      <c r="A651" s="127"/>
      <c r="B651" s="127"/>
      <c r="C651" s="127"/>
      <c r="D651" s="127"/>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row>
    <row r="652" spans="1:26" ht="13.5" customHeight="1" x14ac:dyDescent="0.3">
      <c r="A652" s="127"/>
      <c r="B652" s="127"/>
      <c r="C652" s="127"/>
      <c r="D652" s="127"/>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row>
    <row r="653" spans="1:26" ht="13.5" customHeight="1" x14ac:dyDescent="0.3">
      <c r="A653" s="127"/>
      <c r="B653" s="127"/>
      <c r="C653" s="127"/>
      <c r="D653" s="127"/>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row>
    <row r="654" spans="1:26" ht="13.5" customHeight="1" x14ac:dyDescent="0.3">
      <c r="A654" s="127"/>
      <c r="B654" s="127"/>
      <c r="C654" s="127"/>
      <c r="D654" s="127"/>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row>
    <row r="655" spans="1:26" ht="13.5" customHeight="1" x14ac:dyDescent="0.3">
      <c r="A655" s="127"/>
      <c r="B655" s="127"/>
      <c r="C655" s="127"/>
      <c r="D655" s="127"/>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row>
    <row r="656" spans="1:26" ht="13.5" customHeight="1" x14ac:dyDescent="0.3">
      <c r="A656" s="127"/>
      <c r="B656" s="127"/>
      <c r="C656" s="127"/>
      <c r="D656" s="127"/>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row>
    <row r="657" spans="1:26" ht="13.5" customHeight="1" x14ac:dyDescent="0.3">
      <c r="A657" s="127"/>
      <c r="B657" s="127"/>
      <c r="C657" s="127"/>
      <c r="D657" s="127"/>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row>
    <row r="658" spans="1:26" ht="13.5" customHeight="1" x14ac:dyDescent="0.3">
      <c r="A658" s="127"/>
      <c r="B658" s="127"/>
      <c r="C658" s="127"/>
      <c r="D658" s="127"/>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row>
    <row r="659" spans="1:26" ht="13.5" customHeight="1" x14ac:dyDescent="0.3">
      <c r="A659" s="127"/>
      <c r="B659" s="127"/>
      <c r="C659" s="127"/>
      <c r="D659" s="127"/>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row>
    <row r="660" spans="1:26" ht="13.5" customHeight="1" x14ac:dyDescent="0.3">
      <c r="A660" s="127"/>
      <c r="B660" s="127"/>
      <c r="C660" s="127"/>
      <c r="D660" s="127"/>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row>
    <row r="661" spans="1:26" ht="13.5" customHeight="1" x14ac:dyDescent="0.3">
      <c r="A661" s="127"/>
      <c r="B661" s="127"/>
      <c r="C661" s="127"/>
      <c r="D661" s="127"/>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row>
    <row r="662" spans="1:26" ht="13.5" customHeight="1" x14ac:dyDescent="0.3">
      <c r="A662" s="127"/>
      <c r="B662" s="127"/>
      <c r="C662" s="127"/>
      <c r="D662" s="127"/>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row>
    <row r="663" spans="1:26" ht="13.5" customHeight="1" x14ac:dyDescent="0.3">
      <c r="A663" s="127"/>
      <c r="B663" s="127"/>
      <c r="C663" s="127"/>
      <c r="D663" s="127"/>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row>
    <row r="664" spans="1:26" ht="13.5" customHeight="1" x14ac:dyDescent="0.3">
      <c r="A664" s="127"/>
      <c r="B664" s="127"/>
      <c r="C664" s="127"/>
      <c r="D664" s="127"/>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row>
    <row r="665" spans="1:26" ht="13.5" customHeight="1" x14ac:dyDescent="0.3">
      <c r="A665" s="127"/>
      <c r="B665" s="127"/>
      <c r="C665" s="127"/>
      <c r="D665" s="127"/>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row>
    <row r="666" spans="1:26" ht="13.5" customHeight="1" x14ac:dyDescent="0.3">
      <c r="A666" s="127"/>
      <c r="B666" s="127"/>
      <c r="C666" s="127"/>
      <c r="D666" s="127"/>
      <c r="E666" s="127"/>
      <c r="F666" s="127"/>
      <c r="G666" s="127"/>
      <c r="H666" s="127"/>
      <c r="I666" s="127"/>
      <c r="J666" s="127"/>
      <c r="K666" s="127"/>
      <c r="L666" s="127"/>
      <c r="M666" s="127"/>
      <c r="N666" s="127"/>
      <c r="O666" s="127"/>
      <c r="P666" s="127"/>
      <c r="Q666" s="127"/>
      <c r="R666" s="127"/>
      <c r="S666" s="127"/>
      <c r="T666" s="127"/>
      <c r="U666" s="127"/>
      <c r="V666" s="127"/>
      <c r="W666" s="127"/>
      <c r="X666" s="127"/>
      <c r="Y666" s="127"/>
      <c r="Z666" s="127"/>
    </row>
    <row r="667" spans="1:26" ht="13.5" customHeight="1" x14ac:dyDescent="0.3">
      <c r="A667" s="127"/>
      <c r="B667" s="127"/>
      <c r="C667" s="127"/>
      <c r="D667" s="127"/>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row>
    <row r="668" spans="1:26" ht="13.5" customHeight="1" x14ac:dyDescent="0.3">
      <c r="A668" s="127"/>
      <c r="B668" s="127"/>
      <c r="C668" s="127"/>
      <c r="D668" s="127"/>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row>
    <row r="669" spans="1:26" ht="13.5" customHeight="1" x14ac:dyDescent="0.3">
      <c r="A669" s="127"/>
      <c r="B669" s="127"/>
      <c r="C669" s="127"/>
      <c r="D669" s="127"/>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row>
    <row r="670" spans="1:26" ht="13.5" customHeight="1" x14ac:dyDescent="0.3">
      <c r="A670" s="127"/>
      <c r="B670" s="127"/>
      <c r="C670" s="127"/>
      <c r="D670" s="127"/>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row>
    <row r="671" spans="1:26" ht="13.5" customHeight="1" x14ac:dyDescent="0.3">
      <c r="A671" s="127"/>
      <c r="B671" s="127"/>
      <c r="C671" s="127"/>
      <c r="D671" s="127"/>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row>
    <row r="672" spans="1:26" ht="13.5" customHeight="1" x14ac:dyDescent="0.3">
      <c r="A672" s="127"/>
      <c r="B672" s="127"/>
      <c r="C672" s="127"/>
      <c r="D672" s="127"/>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row>
    <row r="673" spans="1:26" ht="13.5" customHeight="1" x14ac:dyDescent="0.3">
      <c r="A673" s="127"/>
      <c r="B673" s="127"/>
      <c r="C673" s="127"/>
      <c r="D673" s="127"/>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row>
    <row r="674" spans="1:26" ht="13.5" customHeight="1" x14ac:dyDescent="0.3">
      <c r="A674" s="127"/>
      <c r="B674" s="127"/>
      <c r="C674" s="127"/>
      <c r="D674" s="127"/>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row>
    <row r="675" spans="1:26" ht="13.5" customHeight="1" x14ac:dyDescent="0.3">
      <c r="A675" s="127"/>
      <c r="B675" s="127"/>
      <c r="C675" s="127"/>
      <c r="D675" s="127"/>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row>
    <row r="676" spans="1:26" ht="13.5" customHeight="1" x14ac:dyDescent="0.3">
      <c r="A676" s="127"/>
      <c r="B676" s="127"/>
      <c r="C676" s="127"/>
      <c r="D676" s="127"/>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row>
    <row r="677" spans="1:26" ht="13.5" customHeight="1" x14ac:dyDescent="0.3">
      <c r="A677" s="127"/>
      <c r="B677" s="127"/>
      <c r="C677" s="127"/>
      <c r="D677" s="127"/>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row>
    <row r="678" spans="1:26" ht="13.5" customHeight="1" x14ac:dyDescent="0.3">
      <c r="A678" s="127"/>
      <c r="B678" s="127"/>
      <c r="C678" s="127"/>
      <c r="D678" s="127"/>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row>
    <row r="679" spans="1:26" ht="13.5" customHeight="1" x14ac:dyDescent="0.3">
      <c r="A679" s="127"/>
      <c r="B679" s="127"/>
      <c r="C679" s="127"/>
      <c r="D679" s="127"/>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row>
    <row r="680" spans="1:26" ht="13.5" customHeight="1" x14ac:dyDescent="0.3">
      <c r="A680" s="127"/>
      <c r="B680" s="127"/>
      <c r="C680" s="127"/>
      <c r="D680" s="127"/>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row>
    <row r="681" spans="1:26" ht="13.5" customHeight="1" x14ac:dyDescent="0.3">
      <c r="A681" s="127"/>
      <c r="B681" s="127"/>
      <c r="C681" s="127"/>
      <c r="D681" s="127"/>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row>
    <row r="682" spans="1:26" ht="13.5" customHeight="1" x14ac:dyDescent="0.3">
      <c r="A682" s="127"/>
      <c r="B682" s="127"/>
      <c r="C682" s="127"/>
      <c r="D682" s="127"/>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row>
    <row r="683" spans="1:26" ht="13.5" customHeight="1" x14ac:dyDescent="0.3">
      <c r="A683" s="127"/>
      <c r="B683" s="127"/>
      <c r="C683" s="127"/>
      <c r="D683" s="127"/>
      <c r="E683" s="127"/>
      <c r="F683" s="127"/>
      <c r="G683" s="127"/>
      <c r="H683" s="127"/>
      <c r="I683" s="127"/>
      <c r="J683" s="127"/>
      <c r="K683" s="127"/>
      <c r="L683" s="127"/>
      <c r="M683" s="127"/>
      <c r="N683" s="127"/>
      <c r="O683" s="127"/>
      <c r="P683" s="127"/>
      <c r="Q683" s="127"/>
      <c r="R683" s="127"/>
      <c r="S683" s="127"/>
      <c r="T683" s="127"/>
      <c r="U683" s="127"/>
      <c r="V683" s="127"/>
      <c r="W683" s="127"/>
      <c r="X683" s="127"/>
      <c r="Y683" s="127"/>
      <c r="Z683" s="127"/>
    </row>
    <row r="684" spans="1:26" ht="13.5" customHeight="1" x14ac:dyDescent="0.3">
      <c r="A684" s="127"/>
      <c r="B684" s="127"/>
      <c r="C684" s="127"/>
      <c r="D684" s="127"/>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row>
    <row r="685" spans="1:26" ht="13.5" customHeight="1" x14ac:dyDescent="0.3">
      <c r="A685" s="127"/>
      <c r="B685" s="127"/>
      <c r="C685" s="127"/>
      <c r="D685" s="127"/>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row>
    <row r="686" spans="1:26" ht="13.5" customHeight="1" x14ac:dyDescent="0.3">
      <c r="A686" s="127"/>
      <c r="B686" s="127"/>
      <c r="C686" s="127"/>
      <c r="D686" s="127"/>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row>
    <row r="687" spans="1:26" ht="13.5" customHeight="1" x14ac:dyDescent="0.3">
      <c r="A687" s="127"/>
      <c r="B687" s="127"/>
      <c r="C687" s="127"/>
      <c r="D687" s="127"/>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row>
    <row r="688" spans="1:26" ht="13.5" customHeight="1" x14ac:dyDescent="0.3">
      <c r="A688" s="127"/>
      <c r="B688" s="127"/>
      <c r="C688" s="127"/>
      <c r="D688" s="127"/>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row>
    <row r="689" spans="1:26" ht="13.5" customHeight="1" x14ac:dyDescent="0.3">
      <c r="A689" s="127"/>
      <c r="B689" s="127"/>
      <c r="C689" s="127"/>
      <c r="D689" s="127"/>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row>
    <row r="690" spans="1:26" ht="13.5" customHeight="1" x14ac:dyDescent="0.3">
      <c r="A690" s="127"/>
      <c r="B690" s="127"/>
      <c r="C690" s="127"/>
      <c r="D690" s="127"/>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row>
    <row r="691" spans="1:26" ht="13.5" customHeight="1" x14ac:dyDescent="0.3">
      <c r="A691" s="127"/>
      <c r="B691" s="127"/>
      <c r="C691" s="127"/>
      <c r="D691" s="127"/>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row>
    <row r="692" spans="1:26" ht="13.5" customHeight="1" x14ac:dyDescent="0.3">
      <c r="A692" s="127"/>
      <c r="B692" s="127"/>
      <c r="C692" s="127"/>
      <c r="D692" s="127"/>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row>
    <row r="693" spans="1:26" ht="13.5" customHeight="1" x14ac:dyDescent="0.3">
      <c r="A693" s="127"/>
      <c r="B693" s="127"/>
      <c r="C693" s="127"/>
      <c r="D693" s="127"/>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row>
    <row r="694" spans="1:26" ht="13.5" customHeight="1" x14ac:dyDescent="0.3">
      <c r="A694" s="127"/>
      <c r="B694" s="127"/>
      <c r="C694" s="127"/>
      <c r="D694" s="127"/>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row>
    <row r="695" spans="1:26" ht="13.5" customHeight="1" x14ac:dyDescent="0.3">
      <c r="A695" s="127"/>
      <c r="B695" s="127"/>
      <c r="C695" s="127"/>
      <c r="D695" s="127"/>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row>
    <row r="696" spans="1:26" ht="13.5" customHeight="1" x14ac:dyDescent="0.3">
      <c r="A696" s="127"/>
      <c r="B696" s="127"/>
      <c r="C696" s="127"/>
      <c r="D696" s="127"/>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row>
    <row r="697" spans="1:26" ht="13.5" customHeight="1" x14ac:dyDescent="0.3">
      <c r="A697" s="127"/>
      <c r="B697" s="127"/>
      <c r="C697" s="127"/>
      <c r="D697" s="127"/>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row>
    <row r="698" spans="1:26" ht="13.5" customHeight="1" x14ac:dyDescent="0.3">
      <c r="A698" s="127"/>
      <c r="B698" s="127"/>
      <c r="C698" s="127"/>
      <c r="D698" s="127"/>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row>
    <row r="699" spans="1:26" ht="13.5" customHeight="1" x14ac:dyDescent="0.3">
      <c r="A699" s="127"/>
      <c r="B699" s="127"/>
      <c r="C699" s="127"/>
      <c r="D699" s="127"/>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row>
    <row r="700" spans="1:26" ht="13.5" customHeight="1" x14ac:dyDescent="0.3">
      <c r="A700" s="127"/>
      <c r="B700" s="127"/>
      <c r="C700" s="127"/>
      <c r="D700" s="127"/>
      <c r="E700" s="127"/>
      <c r="F700" s="127"/>
      <c r="G700" s="127"/>
      <c r="H700" s="127"/>
      <c r="I700" s="127"/>
      <c r="J700" s="127"/>
      <c r="K700" s="127"/>
      <c r="L700" s="127"/>
      <c r="M700" s="127"/>
      <c r="N700" s="127"/>
      <c r="O700" s="127"/>
      <c r="P700" s="127"/>
      <c r="Q700" s="127"/>
      <c r="R700" s="127"/>
      <c r="S700" s="127"/>
      <c r="T700" s="127"/>
      <c r="U700" s="127"/>
      <c r="V700" s="127"/>
      <c r="W700" s="127"/>
      <c r="X700" s="127"/>
      <c r="Y700" s="127"/>
      <c r="Z700" s="127"/>
    </row>
    <row r="701" spans="1:26" ht="13.5" customHeight="1" x14ac:dyDescent="0.3">
      <c r="A701" s="127"/>
      <c r="B701" s="127"/>
      <c r="C701" s="127"/>
      <c r="D701" s="127"/>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row>
    <row r="702" spans="1:26" ht="13.5" customHeight="1" x14ac:dyDescent="0.3">
      <c r="A702" s="127"/>
      <c r="B702" s="127"/>
      <c r="C702" s="127"/>
      <c r="D702" s="127"/>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row>
    <row r="703" spans="1:26" ht="13.5" customHeight="1" x14ac:dyDescent="0.3">
      <c r="A703" s="127"/>
      <c r="B703" s="127"/>
      <c r="C703" s="127"/>
      <c r="D703" s="127"/>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row>
    <row r="704" spans="1:26" ht="13.5" customHeight="1" x14ac:dyDescent="0.3">
      <c r="A704" s="127"/>
      <c r="B704" s="127"/>
      <c r="C704" s="127"/>
      <c r="D704" s="127"/>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row>
    <row r="705" spans="1:26" ht="13.5" customHeight="1" x14ac:dyDescent="0.3">
      <c r="A705" s="127"/>
      <c r="B705" s="127"/>
      <c r="C705" s="127"/>
      <c r="D705" s="127"/>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row>
    <row r="706" spans="1:26" ht="13.5" customHeight="1" x14ac:dyDescent="0.3">
      <c r="A706" s="127"/>
      <c r="B706" s="127"/>
      <c r="C706" s="127"/>
      <c r="D706" s="127"/>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row>
    <row r="707" spans="1:26" ht="13.5" customHeight="1" x14ac:dyDescent="0.3">
      <c r="A707" s="127"/>
      <c r="B707" s="127"/>
      <c r="C707" s="127"/>
      <c r="D707" s="127"/>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row>
    <row r="708" spans="1:26" ht="13.5" customHeight="1" x14ac:dyDescent="0.3">
      <c r="A708" s="127"/>
      <c r="B708" s="127"/>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row>
    <row r="709" spans="1:26" ht="13.5" customHeight="1" x14ac:dyDescent="0.3">
      <c r="A709" s="127"/>
      <c r="B709" s="127"/>
      <c r="C709" s="127"/>
      <c r="D709" s="127"/>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row>
    <row r="710" spans="1:26" ht="13.5" customHeight="1" x14ac:dyDescent="0.3">
      <c r="A710" s="127"/>
      <c r="B710" s="127"/>
      <c r="C710" s="127"/>
      <c r="D710" s="127"/>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row>
    <row r="711" spans="1:26" ht="13.5" customHeight="1" x14ac:dyDescent="0.3">
      <c r="A711" s="127"/>
      <c r="B711" s="127"/>
      <c r="C711" s="127"/>
      <c r="D711" s="127"/>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row>
    <row r="712" spans="1:26" ht="13.5" customHeight="1" x14ac:dyDescent="0.3">
      <c r="A712" s="127"/>
      <c r="B712" s="127"/>
      <c r="C712" s="127"/>
      <c r="D712" s="127"/>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row>
    <row r="713" spans="1:26" ht="13.5" customHeight="1" x14ac:dyDescent="0.3">
      <c r="A713" s="127"/>
      <c r="B713" s="127"/>
      <c r="C713" s="127"/>
      <c r="D713" s="127"/>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row>
    <row r="714" spans="1:26" ht="13.5" customHeight="1" x14ac:dyDescent="0.3">
      <c r="A714" s="127"/>
      <c r="B714" s="127"/>
      <c r="C714" s="127"/>
      <c r="D714" s="127"/>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row>
    <row r="715" spans="1:26" ht="13.5" customHeight="1" x14ac:dyDescent="0.3">
      <c r="A715" s="127"/>
      <c r="B715" s="127"/>
      <c r="C715" s="127"/>
      <c r="D715" s="127"/>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row>
    <row r="716" spans="1:26" ht="13.5" customHeight="1" x14ac:dyDescent="0.3">
      <c r="A716" s="127"/>
      <c r="B716" s="127"/>
      <c r="C716" s="127"/>
      <c r="D716" s="127"/>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row>
    <row r="717" spans="1:26" ht="13.5" customHeight="1" x14ac:dyDescent="0.3">
      <c r="A717" s="127"/>
      <c r="B717" s="127"/>
      <c r="C717" s="127"/>
      <c r="D717" s="127"/>
      <c r="E717" s="127"/>
      <c r="F717" s="127"/>
      <c r="G717" s="127"/>
      <c r="H717" s="127"/>
      <c r="I717" s="127"/>
      <c r="J717" s="127"/>
      <c r="K717" s="127"/>
      <c r="L717" s="127"/>
      <c r="M717" s="127"/>
      <c r="N717" s="127"/>
      <c r="O717" s="127"/>
      <c r="P717" s="127"/>
      <c r="Q717" s="127"/>
      <c r="R717" s="127"/>
      <c r="S717" s="127"/>
      <c r="T717" s="127"/>
      <c r="U717" s="127"/>
      <c r="V717" s="127"/>
      <c r="W717" s="127"/>
      <c r="X717" s="127"/>
      <c r="Y717" s="127"/>
      <c r="Z717" s="127"/>
    </row>
    <row r="718" spans="1:26" ht="13.5" customHeight="1" x14ac:dyDescent="0.3">
      <c r="A718" s="127"/>
      <c r="B718" s="127"/>
      <c r="C718" s="127"/>
      <c r="D718" s="127"/>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row>
    <row r="719" spans="1:26" ht="13.5" customHeight="1" x14ac:dyDescent="0.3">
      <c r="A719" s="127"/>
      <c r="B719" s="127"/>
      <c r="C719" s="127"/>
      <c r="D719" s="127"/>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row>
    <row r="720" spans="1:26" ht="13.5" customHeight="1" x14ac:dyDescent="0.3">
      <c r="A720" s="127"/>
      <c r="B720" s="127"/>
      <c r="C720" s="127"/>
      <c r="D720" s="127"/>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row>
    <row r="721" spans="1:26" ht="13.5" customHeight="1" x14ac:dyDescent="0.3">
      <c r="A721" s="127"/>
      <c r="B721" s="127"/>
      <c r="C721" s="127"/>
      <c r="D721" s="127"/>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row>
    <row r="722" spans="1:26" ht="13.5" customHeight="1" x14ac:dyDescent="0.3">
      <c r="A722" s="127"/>
      <c r="B722" s="127"/>
      <c r="C722" s="127"/>
      <c r="D722" s="127"/>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row>
    <row r="723" spans="1:26" ht="13.5" customHeight="1" x14ac:dyDescent="0.3">
      <c r="A723" s="127"/>
      <c r="B723" s="127"/>
      <c r="C723" s="127"/>
      <c r="D723" s="127"/>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row>
    <row r="724" spans="1:26" ht="13.5" customHeight="1" x14ac:dyDescent="0.3">
      <c r="A724" s="127"/>
      <c r="B724" s="127"/>
      <c r="C724" s="127"/>
      <c r="D724" s="127"/>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row>
    <row r="725" spans="1:26" ht="13.5" customHeight="1" x14ac:dyDescent="0.3">
      <c r="A725" s="127"/>
      <c r="B725" s="127"/>
      <c r="C725" s="127"/>
      <c r="D725" s="127"/>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row>
    <row r="726" spans="1:26" ht="13.5" customHeight="1" x14ac:dyDescent="0.3">
      <c r="A726" s="127"/>
      <c r="B726" s="127"/>
      <c r="C726" s="127"/>
      <c r="D726" s="127"/>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row>
    <row r="727" spans="1:26" ht="13.5" customHeight="1" x14ac:dyDescent="0.3">
      <c r="A727" s="127"/>
      <c r="B727" s="127"/>
      <c r="C727" s="127"/>
      <c r="D727" s="127"/>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row>
    <row r="728" spans="1:26" ht="13.5" customHeight="1" x14ac:dyDescent="0.3">
      <c r="A728" s="127"/>
      <c r="B728" s="127"/>
      <c r="C728" s="127"/>
      <c r="D728" s="127"/>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row>
    <row r="729" spans="1:26" ht="13.5" customHeight="1" x14ac:dyDescent="0.3">
      <c r="A729" s="127"/>
      <c r="B729" s="127"/>
      <c r="C729" s="127"/>
      <c r="D729" s="127"/>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row>
    <row r="730" spans="1:26" ht="13.5" customHeight="1" x14ac:dyDescent="0.3">
      <c r="A730" s="127"/>
      <c r="B730" s="127"/>
      <c r="C730" s="127"/>
      <c r="D730" s="127"/>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row>
    <row r="731" spans="1:26" ht="13.5" customHeight="1" x14ac:dyDescent="0.3">
      <c r="A731" s="127"/>
      <c r="B731" s="127"/>
      <c r="C731" s="127"/>
      <c r="D731" s="127"/>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row>
    <row r="732" spans="1:26" ht="13.5" customHeight="1" x14ac:dyDescent="0.3">
      <c r="A732" s="127"/>
      <c r="B732" s="127"/>
      <c r="C732" s="127"/>
      <c r="D732" s="127"/>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row>
    <row r="733" spans="1:26" ht="13.5" customHeight="1" x14ac:dyDescent="0.3">
      <c r="A733" s="127"/>
      <c r="B733" s="127"/>
      <c r="C733" s="127"/>
      <c r="D733" s="127"/>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row>
    <row r="734" spans="1:26" ht="13.5" customHeight="1" x14ac:dyDescent="0.3">
      <c r="A734" s="127"/>
      <c r="B734" s="127"/>
      <c r="C734" s="127"/>
      <c r="D734" s="127"/>
      <c r="E734" s="127"/>
      <c r="F734" s="127"/>
      <c r="G734" s="127"/>
      <c r="H734" s="127"/>
      <c r="I734" s="127"/>
      <c r="J734" s="127"/>
      <c r="K734" s="127"/>
      <c r="L734" s="127"/>
      <c r="M734" s="127"/>
      <c r="N734" s="127"/>
      <c r="O734" s="127"/>
      <c r="P734" s="127"/>
      <c r="Q734" s="127"/>
      <c r="R734" s="127"/>
      <c r="S734" s="127"/>
      <c r="T734" s="127"/>
      <c r="U734" s="127"/>
      <c r="V734" s="127"/>
      <c r="W734" s="127"/>
      <c r="X734" s="127"/>
      <c r="Y734" s="127"/>
      <c r="Z734" s="127"/>
    </row>
    <row r="735" spans="1:26" ht="13.5" customHeight="1" x14ac:dyDescent="0.3">
      <c r="A735" s="127"/>
      <c r="B735" s="127"/>
      <c r="C735" s="127"/>
      <c r="D735" s="127"/>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row>
    <row r="736" spans="1:26" ht="13.5" customHeight="1" x14ac:dyDescent="0.3">
      <c r="A736" s="127"/>
      <c r="B736" s="127"/>
      <c r="C736" s="127"/>
      <c r="D736" s="127"/>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row>
    <row r="737" spans="1:26" ht="13.5" customHeight="1" x14ac:dyDescent="0.3">
      <c r="A737" s="127"/>
      <c r="B737" s="127"/>
      <c r="C737" s="127"/>
      <c r="D737" s="127"/>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row>
    <row r="738" spans="1:26" ht="13.5" customHeight="1" x14ac:dyDescent="0.3">
      <c r="A738" s="127"/>
      <c r="B738" s="127"/>
      <c r="C738" s="127"/>
      <c r="D738" s="127"/>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row>
    <row r="739" spans="1:26" ht="13.5" customHeight="1" x14ac:dyDescent="0.3">
      <c r="A739" s="127"/>
      <c r="B739" s="127"/>
      <c r="C739" s="127"/>
      <c r="D739" s="127"/>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row>
    <row r="740" spans="1:26" ht="13.5" customHeight="1" x14ac:dyDescent="0.3">
      <c r="A740" s="127"/>
      <c r="B740" s="127"/>
      <c r="C740" s="127"/>
      <c r="D740" s="127"/>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row>
    <row r="741" spans="1:26" ht="13.5" customHeight="1" x14ac:dyDescent="0.3">
      <c r="A741" s="127"/>
      <c r="B741" s="127"/>
      <c r="C741" s="127"/>
      <c r="D741" s="127"/>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row>
    <row r="742" spans="1:26" ht="13.5" customHeight="1" x14ac:dyDescent="0.3">
      <c r="A742" s="127"/>
      <c r="B742" s="127"/>
      <c r="C742" s="127"/>
      <c r="D742" s="127"/>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row>
    <row r="743" spans="1:26" ht="13.5" customHeight="1" x14ac:dyDescent="0.3">
      <c r="A743" s="127"/>
      <c r="B743" s="127"/>
      <c r="C743" s="127"/>
      <c r="D743" s="127"/>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row>
    <row r="744" spans="1:26" ht="13.5" customHeight="1" x14ac:dyDescent="0.3">
      <c r="A744" s="127"/>
      <c r="B744" s="127"/>
      <c r="C744" s="127"/>
      <c r="D744" s="127"/>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row>
    <row r="745" spans="1:26" ht="13.5" customHeight="1" x14ac:dyDescent="0.3">
      <c r="A745" s="127"/>
      <c r="B745" s="127"/>
      <c r="C745" s="127"/>
      <c r="D745" s="127"/>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row>
    <row r="746" spans="1:26" ht="13.5" customHeight="1" x14ac:dyDescent="0.3">
      <c r="A746" s="127"/>
      <c r="B746" s="127"/>
      <c r="C746" s="127"/>
      <c r="D746" s="127"/>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row>
    <row r="747" spans="1:26" ht="13.5" customHeight="1" x14ac:dyDescent="0.3">
      <c r="A747" s="127"/>
      <c r="B747" s="127"/>
      <c r="C747" s="127"/>
      <c r="D747" s="127"/>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row>
    <row r="748" spans="1:26" ht="13.5" customHeight="1" x14ac:dyDescent="0.3">
      <c r="A748" s="127"/>
      <c r="B748" s="127"/>
      <c r="C748" s="127"/>
      <c r="D748" s="127"/>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row>
    <row r="749" spans="1:26" ht="13.5" customHeight="1" x14ac:dyDescent="0.3">
      <c r="A749" s="127"/>
      <c r="B749" s="127"/>
      <c r="C749" s="127"/>
      <c r="D749" s="127"/>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row>
    <row r="750" spans="1:26" ht="13.5" customHeight="1" x14ac:dyDescent="0.3">
      <c r="A750" s="127"/>
      <c r="B750" s="127"/>
      <c r="C750" s="127"/>
      <c r="D750" s="127"/>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row>
    <row r="751" spans="1:26" ht="13.5" customHeight="1" x14ac:dyDescent="0.3">
      <c r="A751" s="127"/>
      <c r="B751" s="127"/>
      <c r="C751" s="127"/>
      <c r="D751" s="127"/>
      <c r="E751" s="127"/>
      <c r="F751" s="127"/>
      <c r="G751" s="127"/>
      <c r="H751" s="127"/>
      <c r="I751" s="127"/>
      <c r="J751" s="127"/>
      <c r="K751" s="127"/>
      <c r="L751" s="127"/>
      <c r="M751" s="127"/>
      <c r="N751" s="127"/>
      <c r="O751" s="127"/>
      <c r="P751" s="127"/>
      <c r="Q751" s="127"/>
      <c r="R751" s="127"/>
      <c r="S751" s="127"/>
      <c r="T751" s="127"/>
      <c r="U751" s="127"/>
      <c r="V751" s="127"/>
      <c r="W751" s="127"/>
      <c r="X751" s="127"/>
      <c r="Y751" s="127"/>
      <c r="Z751" s="127"/>
    </row>
    <row r="752" spans="1:26" ht="13.5" customHeight="1" x14ac:dyDescent="0.3">
      <c r="A752" s="127"/>
      <c r="B752" s="127"/>
      <c r="C752" s="127"/>
      <c r="D752" s="127"/>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row>
    <row r="753" spans="1:26" ht="13.5" customHeight="1" x14ac:dyDescent="0.3">
      <c r="A753" s="127"/>
      <c r="B753" s="127"/>
      <c r="C753" s="127"/>
      <c r="D753" s="127"/>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row>
    <row r="754" spans="1:26" ht="13.5" customHeight="1" x14ac:dyDescent="0.3">
      <c r="A754" s="127"/>
      <c r="B754" s="127"/>
      <c r="C754" s="127"/>
      <c r="D754" s="127"/>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row>
    <row r="755" spans="1:26" ht="13.5" customHeight="1" x14ac:dyDescent="0.3">
      <c r="A755" s="127"/>
      <c r="B755" s="127"/>
      <c r="C755" s="127"/>
      <c r="D755" s="127"/>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row>
    <row r="756" spans="1:26" ht="13.5" customHeight="1" x14ac:dyDescent="0.3">
      <c r="A756" s="127"/>
      <c r="B756" s="127"/>
      <c r="C756" s="127"/>
      <c r="D756" s="127"/>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row>
    <row r="757" spans="1:26" ht="13.5" customHeight="1" x14ac:dyDescent="0.3">
      <c r="A757" s="127"/>
      <c r="B757" s="127"/>
      <c r="C757" s="127"/>
      <c r="D757" s="127"/>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row>
    <row r="758" spans="1:26" ht="13.5" customHeight="1" x14ac:dyDescent="0.3">
      <c r="A758" s="127"/>
      <c r="B758" s="127"/>
      <c r="C758" s="127"/>
      <c r="D758" s="127"/>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row>
    <row r="759" spans="1:26" ht="13.5" customHeight="1" x14ac:dyDescent="0.3">
      <c r="A759" s="127"/>
      <c r="B759" s="127"/>
      <c r="C759" s="127"/>
      <c r="D759" s="127"/>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row>
    <row r="760" spans="1:26" ht="13.5" customHeight="1" x14ac:dyDescent="0.3">
      <c r="A760" s="127"/>
      <c r="B760" s="127"/>
      <c r="C760" s="127"/>
      <c r="D760" s="127"/>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row>
    <row r="761" spans="1:26" ht="13.5" customHeight="1" x14ac:dyDescent="0.3">
      <c r="A761" s="127"/>
      <c r="B761" s="127"/>
      <c r="C761" s="127"/>
      <c r="D761" s="127"/>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row>
    <row r="762" spans="1:26" ht="13.5" customHeight="1" x14ac:dyDescent="0.3">
      <c r="A762" s="127"/>
      <c r="B762" s="127"/>
      <c r="C762" s="127"/>
      <c r="D762" s="127"/>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row>
    <row r="763" spans="1:26" ht="13.5" customHeight="1" x14ac:dyDescent="0.3">
      <c r="A763" s="127"/>
      <c r="B763" s="127"/>
      <c r="C763" s="127"/>
      <c r="D763" s="127"/>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row>
    <row r="764" spans="1:26" ht="13.5" customHeight="1" x14ac:dyDescent="0.3">
      <c r="A764" s="127"/>
      <c r="B764" s="127"/>
      <c r="C764" s="127"/>
      <c r="D764" s="127"/>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row>
    <row r="765" spans="1:26" ht="13.5" customHeight="1" x14ac:dyDescent="0.3">
      <c r="A765" s="127"/>
      <c r="B765" s="127"/>
      <c r="C765" s="127"/>
      <c r="D765" s="127"/>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row>
    <row r="766" spans="1:26" ht="13.5" customHeight="1" x14ac:dyDescent="0.3">
      <c r="A766" s="127"/>
      <c r="B766" s="127"/>
      <c r="C766" s="127"/>
      <c r="D766" s="127"/>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row>
    <row r="767" spans="1:26" ht="13.5" customHeight="1" x14ac:dyDescent="0.3">
      <c r="A767" s="127"/>
      <c r="B767" s="127"/>
      <c r="C767" s="127"/>
      <c r="D767" s="127"/>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row>
    <row r="768" spans="1:26" ht="13.5" customHeight="1" x14ac:dyDescent="0.3">
      <c r="A768" s="127"/>
      <c r="B768" s="127"/>
      <c r="C768" s="127"/>
      <c r="D768" s="127"/>
      <c r="E768" s="127"/>
      <c r="F768" s="127"/>
      <c r="G768" s="127"/>
      <c r="H768" s="127"/>
      <c r="I768" s="127"/>
      <c r="J768" s="127"/>
      <c r="K768" s="127"/>
      <c r="L768" s="127"/>
      <c r="M768" s="127"/>
      <c r="N768" s="127"/>
      <c r="O768" s="127"/>
      <c r="P768" s="127"/>
      <c r="Q768" s="127"/>
      <c r="R768" s="127"/>
      <c r="S768" s="127"/>
      <c r="T768" s="127"/>
      <c r="U768" s="127"/>
      <c r="V768" s="127"/>
      <c r="W768" s="127"/>
      <c r="X768" s="127"/>
      <c r="Y768" s="127"/>
      <c r="Z768" s="127"/>
    </row>
    <row r="769" spans="1:26" ht="13.5" customHeight="1" x14ac:dyDescent="0.3">
      <c r="A769" s="127"/>
      <c r="B769" s="127"/>
      <c r="C769" s="127"/>
      <c r="D769" s="127"/>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row>
    <row r="770" spans="1:26" ht="13.5" customHeight="1" x14ac:dyDescent="0.3">
      <c r="A770" s="127"/>
      <c r="B770" s="127"/>
      <c r="C770" s="127"/>
      <c r="D770" s="127"/>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row>
    <row r="771" spans="1:26" ht="13.5" customHeight="1" x14ac:dyDescent="0.3">
      <c r="A771" s="127"/>
      <c r="B771" s="127"/>
      <c r="C771" s="127"/>
      <c r="D771" s="127"/>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row>
    <row r="772" spans="1:26" ht="13.5" customHeight="1" x14ac:dyDescent="0.3">
      <c r="A772" s="127"/>
      <c r="B772" s="127"/>
      <c r="C772" s="127"/>
      <c r="D772" s="127"/>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row>
    <row r="773" spans="1:26" ht="13.5" customHeight="1" x14ac:dyDescent="0.3">
      <c r="A773" s="127"/>
      <c r="B773" s="127"/>
      <c r="C773" s="127"/>
      <c r="D773" s="127"/>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row>
    <row r="774" spans="1:26" ht="13.5" customHeight="1" x14ac:dyDescent="0.3">
      <c r="A774" s="127"/>
      <c r="B774" s="127"/>
      <c r="C774" s="127"/>
      <c r="D774" s="127"/>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row>
    <row r="775" spans="1:26" ht="13.5" customHeight="1" x14ac:dyDescent="0.3">
      <c r="A775" s="127"/>
      <c r="B775" s="127"/>
      <c r="C775" s="127"/>
      <c r="D775" s="127"/>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row>
    <row r="776" spans="1:26" ht="13.5" customHeight="1" x14ac:dyDescent="0.3">
      <c r="A776" s="127"/>
      <c r="B776" s="127"/>
      <c r="C776" s="127"/>
      <c r="D776" s="127"/>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row>
    <row r="777" spans="1:26" ht="13.5" customHeight="1" x14ac:dyDescent="0.3">
      <c r="A777" s="127"/>
      <c r="B777" s="127"/>
      <c r="C777" s="127"/>
      <c r="D777" s="127"/>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row>
    <row r="778" spans="1:26" ht="13.5" customHeight="1" x14ac:dyDescent="0.3">
      <c r="A778" s="127"/>
      <c r="B778" s="127"/>
      <c r="C778" s="127"/>
      <c r="D778" s="127"/>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row>
    <row r="779" spans="1:26" ht="13.5" customHeight="1" x14ac:dyDescent="0.3">
      <c r="A779" s="127"/>
      <c r="B779" s="127"/>
      <c r="C779" s="127"/>
      <c r="D779" s="127"/>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row>
    <row r="780" spans="1:26" ht="13.5" customHeight="1" x14ac:dyDescent="0.3">
      <c r="A780" s="127"/>
      <c r="B780" s="127"/>
      <c r="C780" s="127"/>
      <c r="D780" s="127"/>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row>
    <row r="781" spans="1:26" ht="13.5" customHeight="1" x14ac:dyDescent="0.3">
      <c r="A781" s="127"/>
      <c r="B781" s="127"/>
      <c r="C781" s="127"/>
      <c r="D781" s="127"/>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row>
    <row r="782" spans="1:26" ht="13.5" customHeight="1" x14ac:dyDescent="0.3">
      <c r="A782" s="127"/>
      <c r="B782" s="127"/>
      <c r="C782" s="127"/>
      <c r="D782" s="127"/>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row>
    <row r="783" spans="1:26" ht="13.5" customHeight="1" x14ac:dyDescent="0.3">
      <c r="A783" s="127"/>
      <c r="B783" s="127"/>
      <c r="C783" s="127"/>
      <c r="D783" s="127"/>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row>
    <row r="784" spans="1:26" ht="13.5" customHeight="1" x14ac:dyDescent="0.3">
      <c r="A784" s="127"/>
      <c r="B784" s="127"/>
      <c r="C784" s="127"/>
      <c r="D784" s="127"/>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row>
    <row r="785" spans="1:26" ht="13.5" customHeight="1" x14ac:dyDescent="0.3">
      <c r="A785" s="127"/>
      <c r="B785" s="127"/>
      <c r="C785" s="127"/>
      <c r="D785" s="127"/>
      <c r="E785" s="127"/>
      <c r="F785" s="127"/>
      <c r="G785" s="127"/>
      <c r="H785" s="127"/>
      <c r="I785" s="127"/>
      <c r="J785" s="127"/>
      <c r="K785" s="127"/>
      <c r="L785" s="127"/>
      <c r="M785" s="127"/>
      <c r="N785" s="127"/>
      <c r="O785" s="127"/>
      <c r="P785" s="127"/>
      <c r="Q785" s="127"/>
      <c r="R785" s="127"/>
      <c r="S785" s="127"/>
      <c r="T785" s="127"/>
      <c r="U785" s="127"/>
      <c r="V785" s="127"/>
      <c r="W785" s="127"/>
      <c r="X785" s="127"/>
      <c r="Y785" s="127"/>
      <c r="Z785" s="127"/>
    </row>
    <row r="786" spans="1:26" ht="13.5" customHeight="1" x14ac:dyDescent="0.3">
      <c r="A786" s="127"/>
      <c r="B786" s="127"/>
      <c r="C786" s="127"/>
      <c r="D786" s="127"/>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row>
    <row r="787" spans="1:26" ht="13.5" customHeight="1" x14ac:dyDescent="0.3">
      <c r="A787" s="127"/>
      <c r="B787" s="127"/>
      <c r="C787" s="127"/>
      <c r="D787" s="127"/>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row>
    <row r="788" spans="1:26" ht="13.5" customHeight="1" x14ac:dyDescent="0.3">
      <c r="A788" s="127"/>
      <c r="B788" s="127"/>
      <c r="C788" s="127"/>
      <c r="D788" s="127"/>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row>
    <row r="789" spans="1:26" ht="13.5" customHeight="1" x14ac:dyDescent="0.3">
      <c r="A789" s="127"/>
      <c r="B789" s="127"/>
      <c r="C789" s="127"/>
      <c r="D789" s="127"/>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row>
    <row r="790" spans="1:26" ht="13.5" customHeight="1" x14ac:dyDescent="0.3">
      <c r="A790" s="127"/>
      <c r="B790" s="127"/>
      <c r="C790" s="127"/>
      <c r="D790" s="127"/>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row>
    <row r="791" spans="1:26" ht="13.5" customHeight="1" x14ac:dyDescent="0.3">
      <c r="A791" s="127"/>
      <c r="B791" s="127"/>
      <c r="C791" s="127"/>
      <c r="D791" s="127"/>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row>
    <row r="792" spans="1:26" ht="13.5" customHeight="1" x14ac:dyDescent="0.3">
      <c r="A792" s="127"/>
      <c r="B792" s="127"/>
      <c r="C792" s="127"/>
      <c r="D792" s="127"/>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row>
    <row r="793" spans="1:26" ht="13.5" customHeight="1" x14ac:dyDescent="0.3">
      <c r="A793" s="127"/>
      <c r="B793" s="127"/>
      <c r="C793" s="127"/>
      <c r="D793" s="127"/>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row>
    <row r="794" spans="1:26" ht="13.5" customHeight="1" x14ac:dyDescent="0.3">
      <c r="A794" s="127"/>
      <c r="B794" s="127"/>
      <c r="C794" s="127"/>
      <c r="D794" s="127"/>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row>
    <row r="795" spans="1:26" ht="13.5" customHeight="1" x14ac:dyDescent="0.3">
      <c r="A795" s="127"/>
      <c r="B795" s="127"/>
      <c r="C795" s="127"/>
      <c r="D795" s="127"/>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row>
    <row r="796" spans="1:26" ht="13.5" customHeight="1" x14ac:dyDescent="0.3">
      <c r="A796" s="127"/>
      <c r="B796" s="127"/>
      <c r="C796" s="127"/>
      <c r="D796" s="127"/>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row>
    <row r="797" spans="1:26" ht="13.5" customHeight="1" x14ac:dyDescent="0.3">
      <c r="A797" s="127"/>
      <c r="B797" s="127"/>
      <c r="C797" s="127"/>
      <c r="D797" s="127"/>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row>
    <row r="798" spans="1:26" ht="13.5" customHeight="1" x14ac:dyDescent="0.3">
      <c r="A798" s="127"/>
      <c r="B798" s="127"/>
      <c r="C798" s="127"/>
      <c r="D798" s="127"/>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row>
    <row r="799" spans="1:26" ht="13.5" customHeight="1" x14ac:dyDescent="0.3">
      <c r="A799" s="127"/>
      <c r="B799" s="127"/>
      <c r="C799" s="127"/>
      <c r="D799" s="127"/>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row>
    <row r="800" spans="1:26" ht="13.5" customHeight="1" x14ac:dyDescent="0.3">
      <c r="A800" s="127"/>
      <c r="B800" s="127"/>
      <c r="C800" s="127"/>
      <c r="D800" s="127"/>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row>
    <row r="801" spans="1:26" ht="13.5" customHeight="1" x14ac:dyDescent="0.3">
      <c r="A801" s="127"/>
      <c r="B801" s="127"/>
      <c r="C801" s="127"/>
      <c r="D801" s="127"/>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row>
    <row r="802" spans="1:26" ht="13.5" customHeight="1" x14ac:dyDescent="0.3">
      <c r="A802" s="127"/>
      <c r="B802" s="127"/>
      <c r="C802" s="127"/>
      <c r="D802" s="127"/>
      <c r="E802" s="127"/>
      <c r="F802" s="127"/>
      <c r="G802" s="127"/>
      <c r="H802" s="127"/>
      <c r="I802" s="127"/>
      <c r="J802" s="127"/>
      <c r="K802" s="127"/>
      <c r="L802" s="127"/>
      <c r="M802" s="127"/>
      <c r="N802" s="127"/>
      <c r="O802" s="127"/>
      <c r="P802" s="127"/>
      <c r="Q802" s="127"/>
      <c r="R802" s="127"/>
      <c r="S802" s="127"/>
      <c r="T802" s="127"/>
      <c r="U802" s="127"/>
      <c r="V802" s="127"/>
      <c r="W802" s="127"/>
      <c r="X802" s="127"/>
      <c r="Y802" s="127"/>
      <c r="Z802" s="127"/>
    </row>
    <row r="803" spans="1:26" ht="13.5" customHeight="1" x14ac:dyDescent="0.3">
      <c r="A803" s="127"/>
      <c r="B803" s="127"/>
      <c r="C803" s="127"/>
      <c r="D803" s="127"/>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row>
    <row r="804" spans="1:26" ht="13.5" customHeight="1" x14ac:dyDescent="0.3">
      <c r="A804" s="127"/>
      <c r="B804" s="127"/>
      <c r="C804" s="127"/>
      <c r="D804" s="127"/>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row>
    <row r="805" spans="1:26" ht="13.5" customHeight="1" x14ac:dyDescent="0.3">
      <c r="A805" s="127"/>
      <c r="B805" s="127"/>
      <c r="C805" s="127"/>
      <c r="D805" s="127"/>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row>
    <row r="806" spans="1:26" ht="13.5" customHeight="1" x14ac:dyDescent="0.3">
      <c r="A806" s="127"/>
      <c r="B806" s="127"/>
      <c r="C806" s="127"/>
      <c r="D806" s="127"/>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row>
    <row r="807" spans="1:26" ht="13.5" customHeight="1" x14ac:dyDescent="0.3">
      <c r="A807" s="127"/>
      <c r="B807" s="127"/>
      <c r="C807" s="127"/>
      <c r="D807" s="127"/>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row>
    <row r="808" spans="1:26" ht="13.5" customHeight="1" x14ac:dyDescent="0.3">
      <c r="A808" s="127"/>
      <c r="B808" s="127"/>
      <c r="C808" s="127"/>
      <c r="D808" s="127"/>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row>
    <row r="809" spans="1:26" ht="13.5" customHeight="1" x14ac:dyDescent="0.3">
      <c r="A809" s="127"/>
      <c r="B809" s="127"/>
      <c r="C809" s="127"/>
      <c r="D809" s="127"/>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row>
    <row r="810" spans="1:26" ht="13.5" customHeight="1" x14ac:dyDescent="0.3">
      <c r="A810" s="127"/>
      <c r="B810" s="127"/>
      <c r="C810" s="127"/>
      <c r="D810" s="127"/>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row>
    <row r="811" spans="1:26" ht="13.5" customHeight="1" x14ac:dyDescent="0.3">
      <c r="A811" s="127"/>
      <c r="B811" s="127"/>
      <c r="C811" s="127"/>
      <c r="D811" s="127"/>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row>
    <row r="812" spans="1:26" ht="13.5" customHeight="1" x14ac:dyDescent="0.3">
      <c r="A812" s="127"/>
      <c r="B812" s="127"/>
      <c r="C812" s="127"/>
      <c r="D812" s="127"/>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row>
    <row r="813" spans="1:26" ht="13.5" customHeight="1" x14ac:dyDescent="0.3">
      <c r="A813" s="127"/>
      <c r="B813" s="127"/>
      <c r="C813" s="127"/>
      <c r="D813" s="127"/>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row>
    <row r="814" spans="1:26" ht="13.5" customHeight="1" x14ac:dyDescent="0.3">
      <c r="A814" s="127"/>
      <c r="B814" s="127"/>
      <c r="C814" s="127"/>
      <c r="D814" s="127"/>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row>
    <row r="815" spans="1:26" ht="13.5" customHeight="1" x14ac:dyDescent="0.3">
      <c r="A815" s="127"/>
      <c r="B815" s="127"/>
      <c r="C815" s="127"/>
      <c r="D815" s="127"/>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row>
    <row r="816" spans="1:26" ht="13.5" customHeight="1" x14ac:dyDescent="0.3">
      <c r="A816" s="127"/>
      <c r="B816" s="127"/>
      <c r="C816" s="127"/>
      <c r="D816" s="127"/>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row>
    <row r="817" spans="1:26" ht="13.5" customHeight="1" x14ac:dyDescent="0.3">
      <c r="A817" s="127"/>
      <c r="B817" s="127"/>
      <c r="C817" s="127"/>
      <c r="D817" s="127"/>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row>
    <row r="818" spans="1:26" ht="13.5" customHeight="1" x14ac:dyDescent="0.3">
      <c r="A818" s="127"/>
      <c r="B818" s="127"/>
      <c r="C818" s="127"/>
      <c r="D818" s="127"/>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row>
    <row r="819" spans="1:26" ht="13.5" customHeight="1" x14ac:dyDescent="0.3">
      <c r="A819" s="127"/>
      <c r="B819" s="127"/>
      <c r="C819" s="127"/>
      <c r="D819" s="127"/>
      <c r="E819" s="127"/>
      <c r="F819" s="127"/>
      <c r="G819" s="127"/>
      <c r="H819" s="127"/>
      <c r="I819" s="127"/>
      <c r="J819" s="127"/>
      <c r="K819" s="127"/>
      <c r="L819" s="127"/>
      <c r="M819" s="127"/>
      <c r="N819" s="127"/>
      <c r="O819" s="127"/>
      <c r="P819" s="127"/>
      <c r="Q819" s="127"/>
      <c r="R819" s="127"/>
      <c r="S819" s="127"/>
      <c r="T819" s="127"/>
      <c r="U819" s="127"/>
      <c r="V819" s="127"/>
      <c r="W819" s="127"/>
      <c r="X819" s="127"/>
      <c r="Y819" s="127"/>
      <c r="Z819" s="127"/>
    </row>
    <row r="820" spans="1:26" ht="13.5" customHeight="1" x14ac:dyDescent="0.3">
      <c r="A820" s="127"/>
      <c r="B820" s="127"/>
      <c r="C820" s="127"/>
      <c r="D820" s="127"/>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row>
    <row r="821" spans="1:26" ht="13.5" customHeight="1" x14ac:dyDescent="0.3">
      <c r="A821" s="127"/>
      <c r="B821" s="127"/>
      <c r="C821" s="127"/>
      <c r="D821" s="127"/>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row>
    <row r="822" spans="1:26" ht="13.5" customHeight="1" x14ac:dyDescent="0.3">
      <c r="A822" s="127"/>
      <c r="B822" s="127"/>
      <c r="C822" s="127"/>
      <c r="D822" s="127"/>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row>
    <row r="823" spans="1:26" ht="13.5" customHeight="1" x14ac:dyDescent="0.3">
      <c r="A823" s="127"/>
      <c r="B823" s="127"/>
      <c r="C823" s="127"/>
      <c r="D823" s="127"/>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row>
    <row r="824" spans="1:26" ht="13.5" customHeight="1" x14ac:dyDescent="0.3">
      <c r="A824" s="127"/>
      <c r="B824" s="127"/>
      <c r="C824" s="127"/>
      <c r="D824" s="127"/>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row>
    <row r="825" spans="1:26" ht="13.5" customHeight="1" x14ac:dyDescent="0.3">
      <c r="A825" s="127"/>
      <c r="B825" s="127"/>
      <c r="C825" s="127"/>
      <c r="D825" s="127"/>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row>
    <row r="826" spans="1:26" ht="13.5" customHeight="1" x14ac:dyDescent="0.3">
      <c r="A826" s="127"/>
      <c r="B826" s="127"/>
      <c r="C826" s="127"/>
      <c r="D826" s="127"/>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row>
    <row r="827" spans="1:26" ht="13.5" customHeight="1" x14ac:dyDescent="0.3">
      <c r="A827" s="127"/>
      <c r="B827" s="127"/>
      <c r="C827" s="127"/>
      <c r="D827" s="127"/>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row>
    <row r="828" spans="1:26" ht="13.5" customHeight="1" x14ac:dyDescent="0.3">
      <c r="A828" s="127"/>
      <c r="B828" s="127"/>
      <c r="C828" s="127"/>
      <c r="D828" s="127"/>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row>
    <row r="829" spans="1:26" ht="13.5" customHeight="1" x14ac:dyDescent="0.3">
      <c r="A829" s="127"/>
      <c r="B829" s="127"/>
      <c r="C829" s="127"/>
      <c r="D829" s="127"/>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row>
    <row r="830" spans="1:26" ht="13.5" customHeight="1" x14ac:dyDescent="0.3">
      <c r="A830" s="127"/>
      <c r="B830" s="127"/>
      <c r="C830" s="127"/>
      <c r="D830" s="127"/>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row>
    <row r="831" spans="1:26" ht="13.5" customHeight="1" x14ac:dyDescent="0.3">
      <c r="A831" s="127"/>
      <c r="B831" s="127"/>
      <c r="C831" s="127"/>
      <c r="D831" s="127"/>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row>
    <row r="832" spans="1:26" ht="13.5" customHeight="1" x14ac:dyDescent="0.3">
      <c r="A832" s="127"/>
      <c r="B832" s="127"/>
      <c r="C832" s="127"/>
      <c r="D832" s="127"/>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row>
    <row r="833" spans="1:26" ht="13.5" customHeight="1" x14ac:dyDescent="0.3">
      <c r="A833" s="127"/>
      <c r="B833" s="127"/>
      <c r="C833" s="127"/>
      <c r="D833" s="127"/>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row>
    <row r="834" spans="1:26" ht="13.5" customHeight="1" x14ac:dyDescent="0.3">
      <c r="A834" s="127"/>
      <c r="B834" s="127"/>
      <c r="C834" s="127"/>
      <c r="D834" s="127"/>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row>
    <row r="835" spans="1:26" ht="13.5" customHeight="1" x14ac:dyDescent="0.3">
      <c r="A835" s="127"/>
      <c r="B835" s="127"/>
      <c r="C835" s="127"/>
      <c r="D835" s="127"/>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row>
    <row r="836" spans="1:26" ht="13.5" customHeight="1" x14ac:dyDescent="0.3">
      <c r="A836" s="127"/>
      <c r="B836" s="127"/>
      <c r="C836" s="127"/>
      <c r="D836" s="127"/>
      <c r="E836" s="127"/>
      <c r="F836" s="127"/>
      <c r="G836" s="127"/>
      <c r="H836" s="127"/>
      <c r="I836" s="127"/>
      <c r="J836" s="127"/>
      <c r="K836" s="127"/>
      <c r="L836" s="127"/>
      <c r="M836" s="127"/>
      <c r="N836" s="127"/>
      <c r="O836" s="127"/>
      <c r="P836" s="127"/>
      <c r="Q836" s="127"/>
      <c r="R836" s="127"/>
      <c r="S836" s="127"/>
      <c r="T836" s="127"/>
      <c r="U836" s="127"/>
      <c r="V836" s="127"/>
      <c r="W836" s="127"/>
      <c r="X836" s="127"/>
      <c r="Y836" s="127"/>
      <c r="Z836" s="127"/>
    </row>
    <row r="837" spans="1:26" ht="13.5" customHeight="1" x14ac:dyDescent="0.3">
      <c r="A837" s="127"/>
      <c r="B837" s="127"/>
      <c r="C837" s="127"/>
      <c r="D837" s="127"/>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row>
    <row r="838" spans="1:26" ht="13.5" customHeight="1" x14ac:dyDescent="0.3">
      <c r="A838" s="127"/>
      <c r="B838" s="127"/>
      <c r="C838" s="127"/>
      <c r="D838" s="127"/>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row>
    <row r="839" spans="1:26" ht="13.5" customHeight="1" x14ac:dyDescent="0.3">
      <c r="A839" s="127"/>
      <c r="B839" s="127"/>
      <c r="C839" s="127"/>
      <c r="D839" s="127"/>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row>
    <row r="840" spans="1:26" ht="13.5" customHeight="1" x14ac:dyDescent="0.3">
      <c r="A840" s="127"/>
      <c r="B840" s="127"/>
      <c r="C840" s="127"/>
      <c r="D840" s="127"/>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row>
    <row r="841" spans="1:26" ht="13.5" customHeight="1" x14ac:dyDescent="0.3">
      <c r="A841" s="127"/>
      <c r="B841" s="127"/>
      <c r="C841" s="127"/>
      <c r="D841" s="127"/>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row>
    <row r="842" spans="1:26" ht="13.5" customHeight="1" x14ac:dyDescent="0.3">
      <c r="A842" s="127"/>
      <c r="B842" s="127"/>
      <c r="C842" s="127"/>
      <c r="D842" s="127"/>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row>
    <row r="843" spans="1:26" ht="13.5" customHeight="1" x14ac:dyDescent="0.3">
      <c r="A843" s="127"/>
      <c r="B843" s="127"/>
      <c r="C843" s="127"/>
      <c r="D843" s="127"/>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row>
    <row r="844" spans="1:26" ht="13.5" customHeight="1" x14ac:dyDescent="0.3">
      <c r="A844" s="127"/>
      <c r="B844" s="127"/>
      <c r="C844" s="127"/>
      <c r="D844" s="127"/>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row>
    <row r="845" spans="1:26" ht="13.5" customHeight="1" x14ac:dyDescent="0.3">
      <c r="A845" s="127"/>
      <c r="B845" s="127"/>
      <c r="C845" s="127"/>
      <c r="D845" s="127"/>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row>
    <row r="846" spans="1:26" ht="13.5" customHeight="1" x14ac:dyDescent="0.3">
      <c r="A846" s="127"/>
      <c r="B846" s="127"/>
      <c r="C846" s="127"/>
      <c r="D846" s="127"/>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row>
    <row r="847" spans="1:26" ht="13.5" customHeight="1" x14ac:dyDescent="0.3">
      <c r="A847" s="127"/>
      <c r="B847" s="127"/>
      <c r="C847" s="127"/>
      <c r="D847" s="127"/>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row>
    <row r="848" spans="1:26" ht="13.5" customHeight="1" x14ac:dyDescent="0.3">
      <c r="A848" s="127"/>
      <c r="B848" s="127"/>
      <c r="C848" s="127"/>
      <c r="D848" s="127"/>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row>
    <row r="849" spans="1:26" ht="13.5" customHeight="1" x14ac:dyDescent="0.3">
      <c r="A849" s="127"/>
      <c r="B849" s="127"/>
      <c r="C849" s="127"/>
      <c r="D849" s="127"/>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row>
    <row r="850" spans="1:26" ht="13.5" customHeight="1" x14ac:dyDescent="0.3">
      <c r="A850" s="127"/>
      <c r="B850" s="127"/>
      <c r="C850" s="127"/>
      <c r="D850" s="127"/>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row>
    <row r="851" spans="1:26" ht="13.5" customHeight="1" x14ac:dyDescent="0.3">
      <c r="A851" s="127"/>
      <c r="B851" s="127"/>
      <c r="C851" s="127"/>
      <c r="D851" s="127"/>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row>
    <row r="852" spans="1:26" ht="13.5" customHeight="1" x14ac:dyDescent="0.3">
      <c r="A852" s="127"/>
      <c r="B852" s="127"/>
      <c r="C852" s="127"/>
      <c r="D852" s="127"/>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row>
    <row r="853" spans="1:26" ht="13.5" customHeight="1" x14ac:dyDescent="0.3">
      <c r="A853" s="127"/>
      <c r="B853" s="127"/>
      <c r="C853" s="127"/>
      <c r="D853" s="127"/>
      <c r="E853" s="127"/>
      <c r="F853" s="127"/>
      <c r="G853" s="127"/>
      <c r="H853" s="127"/>
      <c r="I853" s="127"/>
      <c r="J853" s="127"/>
      <c r="K853" s="127"/>
      <c r="L853" s="127"/>
      <c r="M853" s="127"/>
      <c r="N853" s="127"/>
      <c r="O853" s="127"/>
      <c r="P853" s="127"/>
      <c r="Q853" s="127"/>
      <c r="R853" s="127"/>
      <c r="S853" s="127"/>
      <c r="T853" s="127"/>
      <c r="U853" s="127"/>
      <c r="V853" s="127"/>
      <c r="W853" s="127"/>
      <c r="X853" s="127"/>
      <c r="Y853" s="127"/>
      <c r="Z853" s="127"/>
    </row>
    <row r="854" spans="1:26" ht="13.5" customHeight="1" x14ac:dyDescent="0.3">
      <c r="A854" s="127"/>
      <c r="B854" s="127"/>
      <c r="C854" s="127"/>
      <c r="D854" s="127"/>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row>
    <row r="855" spans="1:26" ht="13.5" customHeight="1" x14ac:dyDescent="0.3">
      <c r="A855" s="127"/>
      <c r="B855" s="127"/>
      <c r="C855" s="127"/>
      <c r="D855" s="127"/>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row>
    <row r="856" spans="1:26" ht="13.5" customHeight="1" x14ac:dyDescent="0.3">
      <c r="A856" s="127"/>
      <c r="B856" s="127"/>
      <c r="C856" s="127"/>
      <c r="D856" s="127"/>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row>
    <row r="857" spans="1:26" ht="13.5" customHeight="1" x14ac:dyDescent="0.3">
      <c r="A857" s="127"/>
      <c r="B857" s="127"/>
      <c r="C857" s="127"/>
      <c r="D857" s="127"/>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row>
    <row r="858" spans="1:26" ht="13.5" customHeight="1" x14ac:dyDescent="0.3">
      <c r="A858" s="127"/>
      <c r="B858" s="127"/>
      <c r="C858" s="127"/>
      <c r="D858" s="127"/>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row>
    <row r="859" spans="1:26" ht="13.5" customHeight="1" x14ac:dyDescent="0.3">
      <c r="A859" s="127"/>
      <c r="B859" s="127"/>
      <c r="C859" s="127"/>
      <c r="D859" s="127"/>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row>
    <row r="860" spans="1:26" ht="13.5" customHeight="1" x14ac:dyDescent="0.3">
      <c r="A860" s="127"/>
      <c r="B860" s="127"/>
      <c r="C860" s="127"/>
      <c r="D860" s="127"/>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row>
    <row r="861" spans="1:26" ht="13.5" customHeight="1" x14ac:dyDescent="0.3">
      <c r="A861" s="127"/>
      <c r="B861" s="127"/>
      <c r="C861" s="127"/>
      <c r="D861" s="127"/>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row>
    <row r="862" spans="1:26" ht="13.5" customHeight="1" x14ac:dyDescent="0.3">
      <c r="A862" s="127"/>
      <c r="B862" s="127"/>
      <c r="C862" s="127"/>
      <c r="D862" s="127"/>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row>
    <row r="863" spans="1:26" ht="13.5" customHeight="1" x14ac:dyDescent="0.3">
      <c r="A863" s="127"/>
      <c r="B863" s="127"/>
      <c r="C863" s="127"/>
      <c r="D863" s="127"/>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row>
    <row r="864" spans="1:26" ht="13.5" customHeight="1" x14ac:dyDescent="0.3">
      <c r="A864" s="127"/>
      <c r="B864" s="127"/>
      <c r="C864" s="127"/>
      <c r="D864" s="127"/>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row>
    <row r="865" spans="1:26" ht="13.5" customHeight="1" x14ac:dyDescent="0.3">
      <c r="A865" s="127"/>
      <c r="B865" s="127"/>
      <c r="C865" s="127"/>
      <c r="D865" s="127"/>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row>
    <row r="866" spans="1:26" ht="13.5" customHeight="1" x14ac:dyDescent="0.3">
      <c r="A866" s="127"/>
      <c r="B866" s="127"/>
      <c r="C866" s="127"/>
      <c r="D866" s="127"/>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row>
    <row r="867" spans="1:26" ht="13.5" customHeight="1" x14ac:dyDescent="0.3">
      <c r="A867" s="127"/>
      <c r="B867" s="127"/>
      <c r="C867" s="127"/>
      <c r="D867" s="127"/>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row>
    <row r="868" spans="1:26" ht="13.5" customHeight="1" x14ac:dyDescent="0.3">
      <c r="A868" s="127"/>
      <c r="B868" s="127"/>
      <c r="C868" s="127"/>
      <c r="D868" s="127"/>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row>
    <row r="869" spans="1:26" ht="13.5" customHeight="1" x14ac:dyDescent="0.3">
      <c r="A869" s="127"/>
      <c r="B869" s="127"/>
      <c r="C869" s="127"/>
      <c r="D869" s="127"/>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row>
    <row r="870" spans="1:26" ht="13.5" customHeight="1" x14ac:dyDescent="0.3">
      <c r="A870" s="127"/>
      <c r="B870" s="127"/>
      <c r="C870" s="127"/>
      <c r="D870" s="127"/>
      <c r="E870" s="127"/>
      <c r="F870" s="127"/>
      <c r="G870" s="127"/>
      <c r="H870" s="127"/>
      <c r="I870" s="127"/>
      <c r="J870" s="127"/>
      <c r="K870" s="127"/>
      <c r="L870" s="127"/>
      <c r="M870" s="127"/>
      <c r="N870" s="127"/>
      <c r="O870" s="127"/>
      <c r="P870" s="127"/>
      <c r="Q870" s="127"/>
      <c r="R870" s="127"/>
      <c r="S870" s="127"/>
      <c r="T870" s="127"/>
      <c r="U870" s="127"/>
      <c r="V870" s="127"/>
      <c r="W870" s="127"/>
      <c r="X870" s="127"/>
      <c r="Y870" s="127"/>
      <c r="Z870" s="127"/>
    </row>
    <row r="871" spans="1:26" ht="13.5" customHeight="1" x14ac:dyDescent="0.3">
      <c r="A871" s="127"/>
      <c r="B871" s="127"/>
      <c r="C871" s="127"/>
      <c r="D871" s="127"/>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row>
    <row r="872" spans="1:26" ht="13.5" customHeight="1" x14ac:dyDescent="0.3">
      <c r="A872" s="127"/>
      <c r="B872" s="127"/>
      <c r="C872" s="127"/>
      <c r="D872" s="127"/>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row>
    <row r="873" spans="1:26" ht="13.5" customHeight="1" x14ac:dyDescent="0.3">
      <c r="A873" s="127"/>
      <c r="B873" s="127"/>
      <c r="C873" s="127"/>
      <c r="D873" s="127"/>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row>
    <row r="874" spans="1:26" ht="13.5" customHeight="1" x14ac:dyDescent="0.3">
      <c r="A874" s="127"/>
      <c r="B874" s="127"/>
      <c r="C874" s="127"/>
      <c r="D874" s="127"/>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row>
    <row r="875" spans="1:26" ht="13.5" customHeight="1" x14ac:dyDescent="0.3">
      <c r="A875" s="127"/>
      <c r="B875" s="127"/>
      <c r="C875" s="127"/>
      <c r="D875" s="127"/>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row>
    <row r="876" spans="1:26" ht="13.5" customHeight="1" x14ac:dyDescent="0.3">
      <c r="A876" s="127"/>
      <c r="B876" s="127"/>
      <c r="C876" s="127"/>
      <c r="D876" s="127"/>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row>
    <row r="877" spans="1:26" ht="13.5" customHeight="1" x14ac:dyDescent="0.3">
      <c r="A877" s="127"/>
      <c r="B877" s="127"/>
      <c r="C877" s="127"/>
      <c r="D877" s="127"/>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row>
    <row r="878" spans="1:26" ht="13.5" customHeight="1" x14ac:dyDescent="0.3">
      <c r="A878" s="127"/>
      <c r="B878" s="127"/>
      <c r="C878" s="127"/>
      <c r="D878" s="127"/>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row>
    <row r="879" spans="1:26" ht="13.5" customHeight="1" x14ac:dyDescent="0.3">
      <c r="A879" s="127"/>
      <c r="B879" s="127"/>
      <c r="C879" s="127"/>
      <c r="D879" s="127"/>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row>
    <row r="880" spans="1:26" ht="13.5" customHeight="1" x14ac:dyDescent="0.3">
      <c r="A880" s="127"/>
      <c r="B880" s="127"/>
      <c r="C880" s="127"/>
      <c r="D880" s="127"/>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row>
    <row r="881" spans="1:26" ht="13.5" customHeight="1" x14ac:dyDescent="0.3">
      <c r="A881" s="127"/>
      <c r="B881" s="127"/>
      <c r="C881" s="127"/>
      <c r="D881" s="127"/>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row>
    <row r="882" spans="1:26" ht="13.5" customHeight="1" x14ac:dyDescent="0.3">
      <c r="A882" s="127"/>
      <c r="B882" s="127"/>
      <c r="C882" s="127"/>
      <c r="D882" s="127"/>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row>
    <row r="883" spans="1:26" ht="13.5" customHeight="1" x14ac:dyDescent="0.3">
      <c r="A883" s="127"/>
      <c r="B883" s="127"/>
      <c r="C883" s="127"/>
      <c r="D883" s="127"/>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row>
    <row r="884" spans="1:26" ht="13.5" customHeight="1" x14ac:dyDescent="0.3">
      <c r="A884" s="127"/>
      <c r="B884" s="127"/>
      <c r="C884" s="127"/>
      <c r="D884" s="127"/>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row>
    <row r="885" spans="1:26" ht="13.5" customHeight="1" x14ac:dyDescent="0.3">
      <c r="A885" s="127"/>
      <c r="B885" s="127"/>
      <c r="C885" s="127"/>
      <c r="D885" s="127"/>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row>
    <row r="886" spans="1:26" ht="13.5" customHeight="1" x14ac:dyDescent="0.3">
      <c r="A886" s="127"/>
      <c r="B886" s="127"/>
      <c r="C886" s="127"/>
      <c r="D886" s="127"/>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row>
    <row r="887" spans="1:26" ht="13.5" customHeight="1" x14ac:dyDescent="0.3">
      <c r="A887" s="127"/>
      <c r="B887" s="127"/>
      <c r="C887" s="127"/>
      <c r="D887" s="127"/>
      <c r="E887" s="127"/>
      <c r="F887" s="127"/>
      <c r="G887" s="127"/>
      <c r="H887" s="127"/>
      <c r="I887" s="127"/>
      <c r="J887" s="127"/>
      <c r="K887" s="127"/>
      <c r="L887" s="127"/>
      <c r="M887" s="127"/>
      <c r="N887" s="127"/>
      <c r="O887" s="127"/>
      <c r="P887" s="127"/>
      <c r="Q887" s="127"/>
      <c r="R887" s="127"/>
      <c r="S887" s="127"/>
      <c r="T887" s="127"/>
      <c r="U887" s="127"/>
      <c r="V887" s="127"/>
      <c r="W887" s="127"/>
      <c r="X887" s="127"/>
      <c r="Y887" s="127"/>
      <c r="Z887" s="127"/>
    </row>
    <row r="888" spans="1:26" ht="13.5" customHeight="1" x14ac:dyDescent="0.3">
      <c r="A888" s="127"/>
      <c r="B888" s="127"/>
      <c r="C888" s="127"/>
      <c r="D888" s="127"/>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row>
    <row r="889" spans="1:26" ht="13.5" customHeight="1" x14ac:dyDescent="0.3">
      <c r="A889" s="127"/>
      <c r="B889" s="127"/>
      <c r="C889" s="127"/>
      <c r="D889" s="127"/>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row>
    <row r="890" spans="1:26" ht="13.5" customHeight="1" x14ac:dyDescent="0.3">
      <c r="A890" s="127"/>
      <c r="B890" s="127"/>
      <c r="C890" s="127"/>
      <c r="D890" s="127"/>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row>
    <row r="891" spans="1:26" ht="13.5" customHeight="1" x14ac:dyDescent="0.3">
      <c r="A891" s="127"/>
      <c r="B891" s="127"/>
      <c r="C891" s="127"/>
      <c r="D891" s="127"/>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row>
    <row r="892" spans="1:26" ht="13.5" customHeight="1" x14ac:dyDescent="0.3">
      <c r="A892" s="127"/>
      <c r="B892" s="127"/>
      <c r="C892" s="127"/>
      <c r="D892" s="127"/>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row>
    <row r="893" spans="1:26" ht="13.5" customHeight="1" x14ac:dyDescent="0.3">
      <c r="A893" s="127"/>
      <c r="B893" s="127"/>
      <c r="C893" s="127"/>
      <c r="D893" s="127"/>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row>
    <row r="894" spans="1:26" ht="13.5" customHeight="1" x14ac:dyDescent="0.3">
      <c r="A894" s="127"/>
      <c r="B894" s="127"/>
      <c r="C894" s="127"/>
      <c r="D894" s="127"/>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row>
    <row r="895" spans="1:26" ht="13.5" customHeight="1" x14ac:dyDescent="0.3">
      <c r="A895" s="127"/>
      <c r="B895" s="127"/>
      <c r="C895" s="127"/>
      <c r="D895" s="127"/>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row>
    <row r="896" spans="1:26" ht="13.5" customHeight="1" x14ac:dyDescent="0.3">
      <c r="A896" s="127"/>
      <c r="B896" s="127"/>
      <c r="C896" s="127"/>
      <c r="D896" s="127"/>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row>
    <row r="897" spans="1:26" ht="13.5" customHeight="1" x14ac:dyDescent="0.3">
      <c r="A897" s="127"/>
      <c r="B897" s="127"/>
      <c r="C897" s="127"/>
      <c r="D897" s="127"/>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row>
    <row r="898" spans="1:26" ht="13.5" customHeight="1" x14ac:dyDescent="0.3">
      <c r="A898" s="127"/>
      <c r="B898" s="127"/>
      <c r="C898" s="127"/>
      <c r="D898" s="127"/>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row>
    <row r="899" spans="1:26" ht="13.5" customHeight="1" x14ac:dyDescent="0.3">
      <c r="A899" s="127"/>
      <c r="B899" s="127"/>
      <c r="C899" s="127"/>
      <c r="D899" s="127"/>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row>
    <row r="900" spans="1:26" ht="13.5" customHeight="1" x14ac:dyDescent="0.3">
      <c r="A900" s="127"/>
      <c r="B900" s="127"/>
      <c r="C900" s="127"/>
      <c r="D900" s="127"/>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row>
    <row r="901" spans="1:26" ht="13.5" customHeight="1" x14ac:dyDescent="0.3">
      <c r="A901" s="127"/>
      <c r="B901" s="127"/>
      <c r="C901" s="127"/>
      <c r="D901" s="127"/>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row>
    <row r="902" spans="1:26" ht="13.5" customHeight="1" x14ac:dyDescent="0.3">
      <c r="A902" s="127"/>
      <c r="B902" s="127"/>
      <c r="C902" s="127"/>
      <c r="D902" s="127"/>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row>
    <row r="903" spans="1:26" ht="13.5" customHeight="1" x14ac:dyDescent="0.3">
      <c r="A903" s="127"/>
      <c r="B903" s="127"/>
      <c r="C903" s="127"/>
      <c r="D903" s="127"/>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row>
    <row r="904" spans="1:26" ht="13.5" customHeight="1" x14ac:dyDescent="0.3">
      <c r="A904" s="127"/>
      <c r="B904" s="127"/>
      <c r="C904" s="127"/>
      <c r="D904" s="127"/>
      <c r="E904" s="127"/>
      <c r="F904" s="127"/>
      <c r="G904" s="127"/>
      <c r="H904" s="127"/>
      <c r="I904" s="127"/>
      <c r="J904" s="127"/>
      <c r="K904" s="127"/>
      <c r="L904" s="127"/>
      <c r="M904" s="127"/>
      <c r="N904" s="127"/>
      <c r="O904" s="127"/>
      <c r="P904" s="127"/>
      <c r="Q904" s="127"/>
      <c r="R904" s="127"/>
      <c r="S904" s="127"/>
      <c r="T904" s="127"/>
      <c r="U904" s="127"/>
      <c r="V904" s="127"/>
      <c r="W904" s="127"/>
      <c r="X904" s="127"/>
      <c r="Y904" s="127"/>
      <c r="Z904" s="127"/>
    </row>
    <row r="905" spans="1:26" ht="13.5" customHeight="1" x14ac:dyDescent="0.3">
      <c r="A905" s="127"/>
      <c r="B905" s="127"/>
      <c r="C905" s="127"/>
      <c r="D905" s="127"/>
      <c r="E905" s="127"/>
      <c r="F905" s="127"/>
      <c r="G905" s="127"/>
      <c r="H905" s="127"/>
      <c r="I905" s="127"/>
      <c r="J905" s="127"/>
      <c r="K905" s="127"/>
      <c r="L905" s="127"/>
      <c r="M905" s="127"/>
      <c r="N905" s="127"/>
      <c r="O905" s="127"/>
      <c r="P905" s="127"/>
      <c r="Q905" s="127"/>
      <c r="R905" s="127"/>
      <c r="S905" s="127"/>
      <c r="T905" s="127"/>
      <c r="U905" s="127"/>
      <c r="V905" s="127"/>
      <c r="W905" s="127"/>
      <c r="X905" s="127"/>
      <c r="Y905" s="127"/>
      <c r="Z905" s="127"/>
    </row>
    <row r="906" spans="1:26" ht="13.5" customHeight="1" x14ac:dyDescent="0.3">
      <c r="A906" s="127"/>
      <c r="B906" s="127"/>
      <c r="C906" s="127"/>
      <c r="D906" s="127"/>
      <c r="E906" s="127"/>
      <c r="F906" s="127"/>
      <c r="G906" s="127"/>
      <c r="H906" s="127"/>
      <c r="I906" s="127"/>
      <c r="J906" s="127"/>
      <c r="K906" s="127"/>
      <c r="L906" s="127"/>
      <c r="M906" s="127"/>
      <c r="N906" s="127"/>
      <c r="O906" s="127"/>
      <c r="P906" s="127"/>
      <c r="Q906" s="127"/>
      <c r="R906" s="127"/>
      <c r="S906" s="127"/>
      <c r="T906" s="127"/>
      <c r="U906" s="127"/>
      <c r="V906" s="127"/>
      <c r="W906" s="127"/>
      <c r="X906" s="127"/>
      <c r="Y906" s="127"/>
      <c r="Z906" s="127"/>
    </row>
    <row r="907" spans="1:26" ht="13.5" customHeight="1" x14ac:dyDescent="0.3">
      <c r="A907" s="127"/>
      <c r="B907" s="127"/>
      <c r="C907" s="127"/>
      <c r="D907" s="127"/>
      <c r="E907" s="127"/>
      <c r="F907" s="127"/>
      <c r="G907" s="127"/>
      <c r="H907" s="127"/>
      <c r="I907" s="127"/>
      <c r="J907" s="127"/>
      <c r="K907" s="127"/>
      <c r="L907" s="127"/>
      <c r="M907" s="127"/>
      <c r="N907" s="127"/>
      <c r="O907" s="127"/>
      <c r="P907" s="127"/>
      <c r="Q907" s="127"/>
      <c r="R907" s="127"/>
      <c r="S907" s="127"/>
      <c r="T907" s="127"/>
      <c r="U907" s="127"/>
      <c r="V907" s="127"/>
      <c r="W907" s="127"/>
      <c r="X907" s="127"/>
      <c r="Y907" s="127"/>
      <c r="Z907" s="127"/>
    </row>
    <row r="908" spans="1:26" ht="13.5" customHeight="1" x14ac:dyDescent="0.3">
      <c r="A908" s="127"/>
      <c r="B908" s="127"/>
      <c r="C908" s="127"/>
      <c r="D908" s="127"/>
      <c r="E908" s="127"/>
      <c r="F908" s="127"/>
      <c r="G908" s="127"/>
      <c r="H908" s="127"/>
      <c r="I908" s="127"/>
      <c r="J908" s="127"/>
      <c r="K908" s="127"/>
      <c r="L908" s="127"/>
      <c r="M908" s="127"/>
      <c r="N908" s="127"/>
      <c r="O908" s="127"/>
      <c r="P908" s="127"/>
      <c r="Q908" s="127"/>
      <c r="R908" s="127"/>
      <c r="S908" s="127"/>
      <c r="T908" s="127"/>
      <c r="U908" s="127"/>
      <c r="V908" s="127"/>
      <c r="W908" s="127"/>
      <c r="X908" s="127"/>
      <c r="Y908" s="127"/>
      <c r="Z908" s="127"/>
    </row>
    <row r="909" spans="1:26" ht="13.5" customHeight="1" x14ac:dyDescent="0.3">
      <c r="A909" s="127"/>
      <c r="B909" s="127"/>
      <c r="C909" s="127"/>
      <c r="D909" s="127"/>
      <c r="E909" s="127"/>
      <c r="F909" s="127"/>
      <c r="G909" s="127"/>
      <c r="H909" s="127"/>
      <c r="I909" s="127"/>
      <c r="J909" s="127"/>
      <c r="K909" s="127"/>
      <c r="L909" s="127"/>
      <c r="M909" s="127"/>
      <c r="N909" s="127"/>
      <c r="O909" s="127"/>
      <c r="P909" s="127"/>
      <c r="Q909" s="127"/>
      <c r="R909" s="127"/>
      <c r="S909" s="127"/>
      <c r="T909" s="127"/>
      <c r="U909" s="127"/>
      <c r="V909" s="127"/>
      <c r="W909" s="127"/>
      <c r="X909" s="127"/>
      <c r="Y909" s="127"/>
      <c r="Z909" s="127"/>
    </row>
    <row r="910" spans="1:26" ht="13.5" customHeight="1" x14ac:dyDescent="0.3">
      <c r="A910" s="127"/>
      <c r="B910" s="127"/>
      <c r="C910" s="127"/>
      <c r="D910" s="127"/>
      <c r="E910" s="127"/>
      <c r="F910" s="127"/>
      <c r="G910" s="127"/>
      <c r="H910" s="127"/>
      <c r="I910" s="127"/>
      <c r="J910" s="127"/>
      <c r="K910" s="127"/>
      <c r="L910" s="127"/>
      <c r="M910" s="127"/>
      <c r="N910" s="127"/>
      <c r="O910" s="127"/>
      <c r="P910" s="127"/>
      <c r="Q910" s="127"/>
      <c r="R910" s="127"/>
      <c r="S910" s="127"/>
      <c r="T910" s="127"/>
      <c r="U910" s="127"/>
      <c r="V910" s="127"/>
      <c r="W910" s="127"/>
      <c r="X910" s="127"/>
      <c r="Y910" s="127"/>
      <c r="Z910" s="127"/>
    </row>
    <row r="911" spans="1:26" ht="13.5" customHeight="1" x14ac:dyDescent="0.3">
      <c r="A911" s="127"/>
      <c r="B911" s="127"/>
      <c r="C911" s="127"/>
      <c r="D911" s="127"/>
      <c r="E911" s="127"/>
      <c r="F911" s="127"/>
      <c r="G911" s="127"/>
      <c r="H911" s="127"/>
      <c r="I911" s="127"/>
      <c r="J911" s="127"/>
      <c r="K911" s="127"/>
      <c r="L911" s="127"/>
      <c r="M911" s="127"/>
      <c r="N911" s="127"/>
      <c r="O911" s="127"/>
      <c r="P911" s="127"/>
      <c r="Q911" s="127"/>
      <c r="R911" s="127"/>
      <c r="S911" s="127"/>
      <c r="T911" s="127"/>
      <c r="U911" s="127"/>
      <c r="V911" s="127"/>
      <c r="W911" s="127"/>
      <c r="X911" s="127"/>
      <c r="Y911" s="127"/>
      <c r="Z911" s="127"/>
    </row>
    <row r="912" spans="1:26" ht="13.5" customHeight="1" x14ac:dyDescent="0.3">
      <c r="A912" s="127"/>
      <c r="B912" s="127"/>
      <c r="C912" s="127"/>
      <c r="D912" s="127"/>
      <c r="E912" s="127"/>
      <c r="F912" s="127"/>
      <c r="G912" s="127"/>
      <c r="H912" s="127"/>
      <c r="I912" s="127"/>
      <c r="J912" s="127"/>
      <c r="K912" s="127"/>
      <c r="L912" s="127"/>
      <c r="M912" s="127"/>
      <c r="N912" s="127"/>
      <c r="O912" s="127"/>
      <c r="P912" s="127"/>
      <c r="Q912" s="127"/>
      <c r="R912" s="127"/>
      <c r="S912" s="127"/>
      <c r="T912" s="127"/>
      <c r="U912" s="127"/>
      <c r="V912" s="127"/>
      <c r="W912" s="127"/>
      <c r="X912" s="127"/>
      <c r="Y912" s="127"/>
      <c r="Z912" s="127"/>
    </row>
    <row r="913" spans="1:26" ht="13.5" customHeight="1" x14ac:dyDescent="0.3">
      <c r="A913" s="127"/>
      <c r="B913" s="127"/>
      <c r="C913" s="127"/>
      <c r="D913" s="127"/>
      <c r="E913" s="127"/>
      <c r="F913" s="127"/>
      <c r="G913" s="127"/>
      <c r="H913" s="127"/>
      <c r="I913" s="127"/>
      <c r="J913" s="127"/>
      <c r="K913" s="127"/>
      <c r="L913" s="127"/>
      <c r="M913" s="127"/>
      <c r="N913" s="127"/>
      <c r="O913" s="127"/>
      <c r="P913" s="127"/>
      <c r="Q913" s="127"/>
      <c r="R913" s="127"/>
      <c r="S913" s="127"/>
      <c r="T913" s="127"/>
      <c r="U913" s="127"/>
      <c r="V913" s="127"/>
      <c r="W913" s="127"/>
      <c r="X913" s="127"/>
      <c r="Y913" s="127"/>
      <c r="Z913" s="127"/>
    </row>
    <row r="914" spans="1:26" ht="13.5" customHeight="1" x14ac:dyDescent="0.3">
      <c r="A914" s="127"/>
      <c r="B914" s="127"/>
      <c r="C914" s="127"/>
      <c r="D914" s="127"/>
      <c r="E914" s="127"/>
      <c r="F914" s="127"/>
      <c r="G914" s="127"/>
      <c r="H914" s="127"/>
      <c r="I914" s="127"/>
      <c r="J914" s="127"/>
      <c r="K914" s="127"/>
      <c r="L914" s="127"/>
      <c r="M914" s="127"/>
      <c r="N914" s="127"/>
      <c r="O914" s="127"/>
      <c r="P914" s="127"/>
      <c r="Q914" s="127"/>
      <c r="R914" s="127"/>
      <c r="S914" s="127"/>
      <c r="T914" s="127"/>
      <c r="U914" s="127"/>
      <c r="V914" s="127"/>
      <c r="W914" s="127"/>
      <c r="X914" s="127"/>
      <c r="Y914" s="127"/>
      <c r="Z914" s="127"/>
    </row>
    <row r="915" spans="1:26" ht="13.5" customHeight="1" x14ac:dyDescent="0.3">
      <c r="A915" s="127"/>
      <c r="B915" s="127"/>
      <c r="C915" s="127"/>
      <c r="D915" s="127"/>
      <c r="E915" s="127"/>
      <c r="F915" s="127"/>
      <c r="G915" s="127"/>
      <c r="H915" s="127"/>
      <c r="I915" s="127"/>
      <c r="J915" s="127"/>
      <c r="K915" s="127"/>
      <c r="L915" s="127"/>
      <c r="M915" s="127"/>
      <c r="N915" s="127"/>
      <c r="O915" s="127"/>
      <c r="P915" s="127"/>
      <c r="Q915" s="127"/>
      <c r="R915" s="127"/>
      <c r="S915" s="127"/>
      <c r="T915" s="127"/>
      <c r="U915" s="127"/>
      <c r="V915" s="127"/>
      <c r="W915" s="127"/>
      <c r="X915" s="127"/>
      <c r="Y915" s="127"/>
      <c r="Z915" s="127"/>
    </row>
    <row r="916" spans="1:26" ht="13.5" customHeight="1" x14ac:dyDescent="0.3">
      <c r="A916" s="127"/>
      <c r="B916" s="127"/>
      <c r="C916" s="127"/>
      <c r="D916" s="127"/>
      <c r="E916" s="127"/>
      <c r="F916" s="127"/>
      <c r="G916" s="127"/>
      <c r="H916" s="127"/>
      <c r="I916" s="127"/>
      <c r="J916" s="127"/>
      <c r="K916" s="127"/>
      <c r="L916" s="127"/>
      <c r="M916" s="127"/>
      <c r="N916" s="127"/>
      <c r="O916" s="127"/>
      <c r="P916" s="127"/>
      <c r="Q916" s="127"/>
      <c r="R916" s="127"/>
      <c r="S916" s="127"/>
      <c r="T916" s="127"/>
      <c r="U916" s="127"/>
      <c r="V916" s="127"/>
      <c r="W916" s="127"/>
      <c r="X916" s="127"/>
      <c r="Y916" s="127"/>
      <c r="Z916" s="127"/>
    </row>
    <row r="917" spans="1:26" ht="13.5" customHeight="1" x14ac:dyDescent="0.3">
      <c r="A917" s="127"/>
      <c r="B917" s="127"/>
      <c r="C917" s="127"/>
      <c r="D917" s="127"/>
      <c r="E917" s="127"/>
      <c r="F917" s="127"/>
      <c r="G917" s="127"/>
      <c r="H917" s="127"/>
      <c r="I917" s="127"/>
      <c r="J917" s="127"/>
      <c r="K917" s="127"/>
      <c r="L917" s="127"/>
      <c r="M917" s="127"/>
      <c r="N917" s="127"/>
      <c r="O917" s="127"/>
      <c r="P917" s="127"/>
      <c r="Q917" s="127"/>
      <c r="R917" s="127"/>
      <c r="S917" s="127"/>
      <c r="T917" s="127"/>
      <c r="U917" s="127"/>
      <c r="V917" s="127"/>
      <c r="W917" s="127"/>
      <c r="X917" s="127"/>
      <c r="Y917" s="127"/>
      <c r="Z917" s="127"/>
    </row>
    <row r="918" spans="1:26" ht="13.5" customHeight="1" x14ac:dyDescent="0.3">
      <c r="A918" s="127"/>
      <c r="B918" s="127"/>
      <c r="C918" s="127"/>
      <c r="D918" s="127"/>
      <c r="E918" s="127"/>
      <c r="F918" s="127"/>
      <c r="G918" s="127"/>
      <c r="H918" s="127"/>
      <c r="I918" s="127"/>
      <c r="J918" s="127"/>
      <c r="K918" s="127"/>
      <c r="L918" s="127"/>
      <c r="M918" s="127"/>
      <c r="N918" s="127"/>
      <c r="O918" s="127"/>
      <c r="P918" s="127"/>
      <c r="Q918" s="127"/>
      <c r="R918" s="127"/>
      <c r="S918" s="127"/>
      <c r="T918" s="127"/>
      <c r="U918" s="127"/>
      <c r="V918" s="127"/>
      <c r="W918" s="127"/>
      <c r="X918" s="127"/>
      <c r="Y918" s="127"/>
      <c r="Z918" s="127"/>
    </row>
    <row r="919" spans="1:26" ht="13.5" customHeight="1" x14ac:dyDescent="0.3">
      <c r="A919" s="127"/>
      <c r="B919" s="127"/>
      <c r="C919" s="127"/>
      <c r="D919" s="127"/>
      <c r="E919" s="127"/>
      <c r="F919" s="127"/>
      <c r="G919" s="127"/>
      <c r="H919" s="127"/>
      <c r="I919" s="127"/>
      <c r="J919" s="127"/>
      <c r="K919" s="127"/>
      <c r="L919" s="127"/>
      <c r="M919" s="127"/>
      <c r="N919" s="127"/>
      <c r="O919" s="127"/>
      <c r="P919" s="127"/>
      <c r="Q919" s="127"/>
      <c r="R919" s="127"/>
      <c r="S919" s="127"/>
      <c r="T919" s="127"/>
      <c r="U919" s="127"/>
      <c r="V919" s="127"/>
      <c r="W919" s="127"/>
      <c r="X919" s="127"/>
      <c r="Y919" s="127"/>
      <c r="Z919" s="127"/>
    </row>
    <row r="920" spans="1:26" ht="13.5" customHeight="1" x14ac:dyDescent="0.3">
      <c r="A920" s="127"/>
      <c r="B920" s="127"/>
      <c r="C920" s="127"/>
      <c r="D920" s="127"/>
      <c r="E920" s="127"/>
      <c r="F920" s="127"/>
      <c r="G920" s="127"/>
      <c r="H920" s="127"/>
      <c r="I920" s="127"/>
      <c r="J920" s="127"/>
      <c r="K920" s="127"/>
      <c r="L920" s="127"/>
      <c r="M920" s="127"/>
      <c r="N920" s="127"/>
      <c r="O920" s="127"/>
      <c r="P920" s="127"/>
      <c r="Q920" s="127"/>
      <c r="R920" s="127"/>
      <c r="S920" s="127"/>
      <c r="T920" s="127"/>
      <c r="U920" s="127"/>
      <c r="V920" s="127"/>
      <c r="W920" s="127"/>
      <c r="X920" s="127"/>
      <c r="Y920" s="127"/>
      <c r="Z920" s="127"/>
    </row>
    <row r="921" spans="1:26" ht="13.5" customHeight="1" x14ac:dyDescent="0.3">
      <c r="A921" s="127"/>
      <c r="B921" s="127"/>
      <c r="C921" s="127"/>
      <c r="D921" s="127"/>
      <c r="E921" s="127"/>
      <c r="F921" s="127"/>
      <c r="G921" s="127"/>
      <c r="H921" s="127"/>
      <c r="I921" s="127"/>
      <c r="J921" s="127"/>
      <c r="K921" s="127"/>
      <c r="L921" s="127"/>
      <c r="M921" s="127"/>
      <c r="N921" s="127"/>
      <c r="O921" s="127"/>
      <c r="P921" s="127"/>
      <c r="Q921" s="127"/>
      <c r="R921" s="127"/>
      <c r="S921" s="127"/>
      <c r="T921" s="127"/>
      <c r="U921" s="127"/>
      <c r="V921" s="127"/>
      <c r="W921" s="127"/>
      <c r="X921" s="127"/>
      <c r="Y921" s="127"/>
      <c r="Z921" s="127"/>
    </row>
    <row r="922" spans="1:26" ht="13.5" customHeight="1" x14ac:dyDescent="0.3">
      <c r="A922" s="127"/>
      <c r="B922" s="127"/>
      <c r="C922" s="127"/>
      <c r="D922" s="127"/>
      <c r="E922" s="127"/>
      <c r="F922" s="127"/>
      <c r="G922" s="127"/>
      <c r="H922" s="127"/>
      <c r="I922" s="127"/>
      <c r="J922" s="127"/>
      <c r="K922" s="127"/>
      <c r="L922" s="127"/>
      <c r="M922" s="127"/>
      <c r="N922" s="127"/>
      <c r="O922" s="127"/>
      <c r="P922" s="127"/>
      <c r="Q922" s="127"/>
      <c r="R922" s="127"/>
      <c r="S922" s="127"/>
      <c r="T922" s="127"/>
      <c r="U922" s="127"/>
      <c r="V922" s="127"/>
      <c r="W922" s="127"/>
      <c r="X922" s="127"/>
      <c r="Y922" s="127"/>
      <c r="Z922" s="127"/>
    </row>
    <row r="923" spans="1:26" ht="13.5" customHeight="1" x14ac:dyDescent="0.3">
      <c r="A923" s="127"/>
      <c r="B923" s="127"/>
      <c r="C923" s="127"/>
      <c r="D923" s="127"/>
      <c r="E923" s="127"/>
      <c r="F923" s="127"/>
      <c r="G923" s="127"/>
      <c r="H923" s="127"/>
      <c r="I923" s="127"/>
      <c r="J923" s="127"/>
      <c r="K923" s="127"/>
      <c r="L923" s="127"/>
      <c r="M923" s="127"/>
      <c r="N923" s="127"/>
      <c r="O923" s="127"/>
      <c r="P923" s="127"/>
      <c r="Q923" s="127"/>
      <c r="R923" s="127"/>
      <c r="S923" s="127"/>
      <c r="T923" s="127"/>
      <c r="U923" s="127"/>
      <c r="V923" s="127"/>
      <c r="W923" s="127"/>
      <c r="X923" s="127"/>
      <c r="Y923" s="127"/>
      <c r="Z923" s="127"/>
    </row>
    <row r="924" spans="1:26" ht="13.5" customHeight="1" x14ac:dyDescent="0.3">
      <c r="A924" s="127"/>
      <c r="B924" s="127"/>
      <c r="C924" s="127"/>
      <c r="D924" s="127"/>
      <c r="E924" s="127"/>
      <c r="F924" s="127"/>
      <c r="G924" s="127"/>
      <c r="H924" s="127"/>
      <c r="I924" s="127"/>
      <c r="J924" s="127"/>
      <c r="K924" s="127"/>
      <c r="L924" s="127"/>
      <c r="M924" s="127"/>
      <c r="N924" s="127"/>
      <c r="O924" s="127"/>
      <c r="P924" s="127"/>
      <c r="Q924" s="127"/>
      <c r="R924" s="127"/>
      <c r="S924" s="127"/>
      <c r="T924" s="127"/>
      <c r="U924" s="127"/>
      <c r="V924" s="127"/>
      <c r="W924" s="127"/>
      <c r="X924" s="127"/>
      <c r="Y924" s="127"/>
      <c r="Z924" s="127"/>
    </row>
    <row r="925" spans="1:26" ht="13.5" customHeight="1" x14ac:dyDescent="0.3">
      <c r="A925" s="127"/>
      <c r="B925" s="127"/>
      <c r="C925" s="127"/>
      <c r="D925" s="127"/>
      <c r="E925" s="127"/>
      <c r="F925" s="127"/>
      <c r="G925" s="127"/>
      <c r="H925" s="127"/>
      <c r="I925" s="127"/>
      <c r="J925" s="127"/>
      <c r="K925" s="127"/>
      <c r="L925" s="127"/>
      <c r="M925" s="127"/>
      <c r="N925" s="127"/>
      <c r="O925" s="127"/>
      <c r="P925" s="127"/>
      <c r="Q925" s="127"/>
      <c r="R925" s="127"/>
      <c r="S925" s="127"/>
      <c r="T925" s="127"/>
      <c r="U925" s="127"/>
      <c r="V925" s="127"/>
      <c r="W925" s="127"/>
      <c r="X925" s="127"/>
      <c r="Y925" s="127"/>
      <c r="Z925" s="127"/>
    </row>
    <row r="926" spans="1:26" ht="13.5" customHeight="1" x14ac:dyDescent="0.3">
      <c r="A926" s="127"/>
      <c r="B926" s="127"/>
      <c r="C926" s="127"/>
      <c r="D926" s="127"/>
      <c r="E926" s="127"/>
      <c r="F926" s="127"/>
      <c r="G926" s="127"/>
      <c r="H926" s="127"/>
      <c r="I926" s="127"/>
      <c r="J926" s="127"/>
      <c r="K926" s="127"/>
      <c r="L926" s="127"/>
      <c r="M926" s="127"/>
      <c r="N926" s="127"/>
      <c r="O926" s="127"/>
      <c r="P926" s="127"/>
      <c r="Q926" s="127"/>
      <c r="R926" s="127"/>
      <c r="S926" s="127"/>
      <c r="T926" s="127"/>
      <c r="U926" s="127"/>
      <c r="V926" s="127"/>
      <c r="W926" s="127"/>
      <c r="X926" s="127"/>
      <c r="Y926" s="127"/>
      <c r="Z926" s="127"/>
    </row>
    <row r="927" spans="1:26" ht="13.5" customHeight="1" x14ac:dyDescent="0.3">
      <c r="A927" s="127"/>
      <c r="B927" s="127"/>
      <c r="C927" s="127"/>
      <c r="D927" s="127"/>
      <c r="E927" s="127"/>
      <c r="F927" s="127"/>
      <c r="G927" s="127"/>
      <c r="H927" s="127"/>
      <c r="I927" s="127"/>
      <c r="J927" s="127"/>
      <c r="K927" s="127"/>
      <c r="L927" s="127"/>
      <c r="M927" s="127"/>
      <c r="N927" s="127"/>
      <c r="O927" s="127"/>
      <c r="P927" s="127"/>
      <c r="Q927" s="127"/>
      <c r="R927" s="127"/>
      <c r="S927" s="127"/>
      <c r="T927" s="127"/>
      <c r="U927" s="127"/>
      <c r="V927" s="127"/>
      <c r="W927" s="127"/>
      <c r="X927" s="127"/>
      <c r="Y927" s="127"/>
      <c r="Z927" s="127"/>
    </row>
    <row r="928" spans="1:26" ht="13.5" customHeight="1" x14ac:dyDescent="0.3">
      <c r="A928" s="127"/>
      <c r="B928" s="127"/>
      <c r="C928" s="127"/>
      <c r="D928" s="127"/>
      <c r="E928" s="127"/>
      <c r="F928" s="127"/>
      <c r="G928" s="127"/>
      <c r="H928" s="127"/>
      <c r="I928" s="127"/>
      <c r="J928" s="127"/>
      <c r="K928" s="127"/>
      <c r="L928" s="127"/>
      <c r="M928" s="127"/>
      <c r="N928" s="127"/>
      <c r="O928" s="127"/>
      <c r="P928" s="127"/>
      <c r="Q928" s="127"/>
      <c r="R928" s="127"/>
      <c r="S928" s="127"/>
      <c r="T928" s="127"/>
      <c r="U928" s="127"/>
      <c r="V928" s="127"/>
      <c r="W928" s="127"/>
      <c r="X928" s="127"/>
      <c r="Y928" s="127"/>
      <c r="Z928" s="127"/>
    </row>
    <row r="929" spans="1:26" ht="13.5" customHeight="1" x14ac:dyDescent="0.3">
      <c r="A929" s="127"/>
      <c r="B929" s="127"/>
      <c r="C929" s="127"/>
      <c r="D929" s="127"/>
      <c r="E929" s="127"/>
      <c r="F929" s="127"/>
      <c r="G929" s="127"/>
      <c r="H929" s="127"/>
      <c r="I929" s="127"/>
      <c r="J929" s="127"/>
      <c r="K929" s="127"/>
      <c r="L929" s="127"/>
      <c r="M929" s="127"/>
      <c r="N929" s="127"/>
      <c r="O929" s="127"/>
      <c r="P929" s="127"/>
      <c r="Q929" s="127"/>
      <c r="R929" s="127"/>
      <c r="S929" s="127"/>
      <c r="T929" s="127"/>
      <c r="U929" s="127"/>
      <c r="V929" s="127"/>
      <c r="W929" s="127"/>
      <c r="X929" s="127"/>
      <c r="Y929" s="127"/>
      <c r="Z929" s="127"/>
    </row>
    <row r="930" spans="1:26" ht="13.5" customHeight="1" x14ac:dyDescent="0.3">
      <c r="A930" s="127"/>
      <c r="B930" s="127"/>
      <c r="C930" s="127"/>
      <c r="D930" s="127"/>
      <c r="E930" s="127"/>
      <c r="F930" s="127"/>
      <c r="G930" s="127"/>
      <c r="H930" s="127"/>
      <c r="I930" s="127"/>
      <c r="J930" s="127"/>
      <c r="K930" s="127"/>
      <c r="L930" s="127"/>
      <c r="M930" s="127"/>
      <c r="N930" s="127"/>
      <c r="O930" s="127"/>
      <c r="P930" s="127"/>
      <c r="Q930" s="127"/>
      <c r="R930" s="127"/>
      <c r="S930" s="127"/>
      <c r="T930" s="127"/>
      <c r="U930" s="127"/>
      <c r="V930" s="127"/>
      <c r="W930" s="127"/>
      <c r="X930" s="127"/>
      <c r="Y930" s="127"/>
      <c r="Z930" s="127"/>
    </row>
    <row r="931" spans="1:26" ht="13.5" customHeight="1" x14ac:dyDescent="0.3">
      <c r="A931" s="127"/>
      <c r="B931" s="127"/>
      <c r="C931" s="127"/>
      <c r="D931" s="127"/>
      <c r="E931" s="127"/>
      <c r="F931" s="127"/>
      <c r="G931" s="127"/>
      <c r="H931" s="127"/>
      <c r="I931" s="127"/>
      <c r="J931" s="127"/>
      <c r="K931" s="127"/>
      <c r="L931" s="127"/>
      <c r="M931" s="127"/>
      <c r="N931" s="127"/>
      <c r="O931" s="127"/>
      <c r="P931" s="127"/>
      <c r="Q931" s="127"/>
      <c r="R931" s="127"/>
      <c r="S931" s="127"/>
      <c r="T931" s="127"/>
      <c r="U931" s="127"/>
      <c r="V931" s="127"/>
      <c r="W931" s="127"/>
      <c r="X931" s="127"/>
      <c r="Y931" s="127"/>
      <c r="Z931" s="127"/>
    </row>
    <row r="932" spans="1:26" ht="13.5" customHeight="1" x14ac:dyDescent="0.3">
      <c r="A932" s="127"/>
      <c r="B932" s="127"/>
      <c r="C932" s="127"/>
      <c r="D932" s="127"/>
      <c r="E932" s="127"/>
      <c r="F932" s="127"/>
      <c r="G932" s="127"/>
      <c r="H932" s="127"/>
      <c r="I932" s="127"/>
      <c r="J932" s="127"/>
      <c r="K932" s="127"/>
      <c r="L932" s="127"/>
      <c r="M932" s="127"/>
      <c r="N932" s="127"/>
      <c r="O932" s="127"/>
      <c r="P932" s="127"/>
      <c r="Q932" s="127"/>
      <c r="R932" s="127"/>
      <c r="S932" s="127"/>
      <c r="T932" s="127"/>
      <c r="U932" s="127"/>
      <c r="V932" s="127"/>
      <c r="W932" s="127"/>
      <c r="X932" s="127"/>
      <c r="Y932" s="127"/>
      <c r="Z932" s="127"/>
    </row>
    <row r="933" spans="1:26" ht="13.5" customHeight="1" x14ac:dyDescent="0.3">
      <c r="A933" s="127"/>
      <c r="B933" s="127"/>
      <c r="C933" s="127"/>
      <c r="D933" s="127"/>
      <c r="E933" s="127"/>
      <c r="F933" s="127"/>
      <c r="G933" s="127"/>
      <c r="H933" s="127"/>
      <c r="I933" s="127"/>
      <c r="J933" s="127"/>
      <c r="K933" s="127"/>
      <c r="L933" s="127"/>
      <c r="M933" s="127"/>
      <c r="N933" s="127"/>
      <c r="O933" s="127"/>
      <c r="P933" s="127"/>
      <c r="Q933" s="127"/>
      <c r="R933" s="127"/>
      <c r="S933" s="127"/>
      <c r="T933" s="127"/>
      <c r="U933" s="127"/>
      <c r="V933" s="127"/>
      <c r="W933" s="127"/>
      <c r="X933" s="127"/>
      <c r="Y933" s="127"/>
      <c r="Z933" s="127"/>
    </row>
    <row r="934" spans="1:26" ht="13.5" customHeight="1" x14ac:dyDescent="0.3">
      <c r="A934" s="127"/>
      <c r="B934" s="127"/>
      <c r="C934" s="127"/>
      <c r="D934" s="127"/>
      <c r="E934" s="127"/>
      <c r="F934" s="127"/>
      <c r="G934" s="127"/>
      <c r="H934" s="127"/>
      <c r="I934" s="127"/>
      <c r="J934" s="127"/>
      <c r="K934" s="127"/>
      <c r="L934" s="127"/>
      <c r="M934" s="127"/>
      <c r="N934" s="127"/>
      <c r="O934" s="127"/>
      <c r="P934" s="127"/>
      <c r="Q934" s="127"/>
      <c r="R934" s="127"/>
      <c r="S934" s="127"/>
      <c r="T934" s="127"/>
      <c r="U934" s="127"/>
      <c r="V934" s="127"/>
      <c r="W934" s="127"/>
      <c r="X934" s="127"/>
      <c r="Y934" s="127"/>
      <c r="Z934" s="127"/>
    </row>
    <row r="935" spans="1:26" ht="13.5" customHeight="1" x14ac:dyDescent="0.3">
      <c r="A935" s="127"/>
      <c r="B935" s="127"/>
      <c r="C935" s="127"/>
      <c r="D935" s="127"/>
      <c r="E935" s="127"/>
      <c r="F935" s="127"/>
      <c r="G935" s="127"/>
      <c r="H935" s="127"/>
      <c r="I935" s="127"/>
      <c r="J935" s="127"/>
      <c r="K935" s="127"/>
      <c r="L935" s="127"/>
      <c r="M935" s="127"/>
      <c r="N935" s="127"/>
      <c r="O935" s="127"/>
      <c r="P935" s="127"/>
      <c r="Q935" s="127"/>
      <c r="R935" s="127"/>
      <c r="S935" s="127"/>
      <c r="T935" s="127"/>
      <c r="U935" s="127"/>
      <c r="V935" s="127"/>
      <c r="W935" s="127"/>
      <c r="X935" s="127"/>
      <c r="Y935" s="127"/>
      <c r="Z935" s="127"/>
    </row>
    <row r="936" spans="1:26" ht="13.5" customHeight="1" x14ac:dyDescent="0.3">
      <c r="A936" s="127"/>
      <c r="B936" s="127"/>
      <c r="C936" s="127"/>
      <c r="D936" s="127"/>
      <c r="E936" s="127"/>
      <c r="F936" s="127"/>
      <c r="G936" s="127"/>
      <c r="H936" s="127"/>
      <c r="I936" s="127"/>
      <c r="J936" s="127"/>
      <c r="K936" s="127"/>
      <c r="L936" s="127"/>
      <c r="M936" s="127"/>
      <c r="N936" s="127"/>
      <c r="O936" s="127"/>
      <c r="P936" s="127"/>
      <c r="Q936" s="127"/>
      <c r="R936" s="127"/>
      <c r="S936" s="127"/>
      <c r="T936" s="127"/>
      <c r="U936" s="127"/>
      <c r="V936" s="127"/>
      <c r="W936" s="127"/>
      <c r="X936" s="127"/>
      <c r="Y936" s="127"/>
      <c r="Z936" s="127"/>
    </row>
    <row r="937" spans="1:26" ht="13.5" customHeight="1" x14ac:dyDescent="0.3">
      <c r="A937" s="127"/>
      <c r="B937" s="127"/>
      <c r="C937" s="127"/>
      <c r="D937" s="127"/>
      <c r="E937" s="127"/>
      <c r="F937" s="127"/>
      <c r="G937" s="127"/>
      <c r="H937" s="127"/>
      <c r="I937" s="127"/>
      <c r="J937" s="127"/>
      <c r="K937" s="127"/>
      <c r="L937" s="127"/>
      <c r="M937" s="127"/>
      <c r="N937" s="127"/>
      <c r="O937" s="127"/>
      <c r="P937" s="127"/>
      <c r="Q937" s="127"/>
      <c r="R937" s="127"/>
      <c r="S937" s="127"/>
      <c r="T937" s="127"/>
      <c r="U937" s="127"/>
      <c r="V937" s="127"/>
      <c r="W937" s="127"/>
      <c r="X937" s="127"/>
      <c r="Y937" s="127"/>
      <c r="Z937" s="127"/>
    </row>
    <row r="938" spans="1:26" ht="13.5" customHeight="1" x14ac:dyDescent="0.3">
      <c r="A938" s="127"/>
      <c r="B938" s="127"/>
      <c r="C938" s="127"/>
      <c r="D938" s="127"/>
      <c r="E938" s="127"/>
      <c r="F938" s="127"/>
      <c r="G938" s="127"/>
      <c r="H938" s="127"/>
      <c r="I938" s="127"/>
      <c r="J938" s="127"/>
      <c r="K938" s="127"/>
      <c r="L938" s="127"/>
      <c r="M938" s="127"/>
      <c r="N938" s="127"/>
      <c r="O938" s="127"/>
      <c r="P938" s="127"/>
      <c r="Q938" s="127"/>
      <c r="R938" s="127"/>
      <c r="S938" s="127"/>
      <c r="T938" s="127"/>
      <c r="U938" s="127"/>
      <c r="V938" s="127"/>
      <c r="W938" s="127"/>
      <c r="X938" s="127"/>
      <c r="Y938" s="127"/>
      <c r="Z938" s="127"/>
    </row>
    <row r="939" spans="1:26" ht="13.5" customHeight="1" x14ac:dyDescent="0.3">
      <c r="A939" s="127"/>
      <c r="B939" s="127"/>
      <c r="C939" s="127"/>
      <c r="D939" s="127"/>
      <c r="E939" s="127"/>
      <c r="F939" s="127"/>
      <c r="G939" s="127"/>
      <c r="H939" s="127"/>
      <c r="I939" s="127"/>
      <c r="J939" s="127"/>
      <c r="K939" s="127"/>
      <c r="L939" s="127"/>
      <c r="M939" s="127"/>
      <c r="N939" s="127"/>
      <c r="O939" s="127"/>
      <c r="P939" s="127"/>
      <c r="Q939" s="127"/>
      <c r="R939" s="127"/>
      <c r="S939" s="127"/>
      <c r="T939" s="127"/>
      <c r="U939" s="127"/>
      <c r="V939" s="127"/>
      <c r="W939" s="127"/>
      <c r="X939" s="127"/>
      <c r="Y939" s="127"/>
      <c r="Z939" s="127"/>
    </row>
    <row r="940" spans="1:26" ht="13.5" customHeight="1" x14ac:dyDescent="0.3">
      <c r="A940" s="127"/>
      <c r="B940" s="127"/>
      <c r="C940" s="127"/>
      <c r="D940" s="127"/>
      <c r="E940" s="127"/>
      <c r="F940" s="127"/>
      <c r="G940" s="127"/>
      <c r="H940" s="127"/>
      <c r="I940" s="127"/>
      <c r="J940" s="127"/>
      <c r="K940" s="127"/>
      <c r="L940" s="127"/>
      <c r="M940" s="127"/>
      <c r="N940" s="127"/>
      <c r="O940" s="127"/>
      <c r="P940" s="127"/>
      <c r="Q940" s="127"/>
      <c r="R940" s="127"/>
      <c r="S940" s="127"/>
      <c r="T940" s="127"/>
      <c r="U940" s="127"/>
      <c r="V940" s="127"/>
      <c r="W940" s="127"/>
      <c r="X940" s="127"/>
      <c r="Y940" s="127"/>
      <c r="Z940" s="127"/>
    </row>
    <row r="941" spans="1:26" ht="13.5" customHeight="1" x14ac:dyDescent="0.3">
      <c r="A941" s="127"/>
      <c r="B941" s="127"/>
      <c r="C941" s="127"/>
      <c r="D941" s="127"/>
      <c r="E941" s="127"/>
      <c r="F941" s="127"/>
      <c r="G941" s="127"/>
      <c r="H941" s="127"/>
      <c r="I941" s="127"/>
      <c r="J941" s="127"/>
      <c r="K941" s="127"/>
      <c r="L941" s="127"/>
      <c r="M941" s="127"/>
      <c r="N941" s="127"/>
      <c r="O941" s="127"/>
      <c r="P941" s="127"/>
      <c r="Q941" s="127"/>
      <c r="R941" s="127"/>
      <c r="S941" s="127"/>
      <c r="T941" s="127"/>
      <c r="U941" s="127"/>
      <c r="V941" s="127"/>
      <c r="W941" s="127"/>
      <c r="X941" s="127"/>
      <c r="Y941" s="127"/>
      <c r="Z941" s="127"/>
    </row>
    <row r="942" spans="1:26" ht="13.5" customHeight="1" x14ac:dyDescent="0.3">
      <c r="A942" s="127"/>
      <c r="B942" s="127"/>
      <c r="C942" s="127"/>
      <c r="D942" s="127"/>
      <c r="E942" s="127"/>
      <c r="F942" s="127"/>
      <c r="G942" s="127"/>
      <c r="H942" s="127"/>
      <c r="I942" s="127"/>
      <c r="J942" s="127"/>
      <c r="K942" s="127"/>
      <c r="L942" s="127"/>
      <c r="M942" s="127"/>
      <c r="N942" s="127"/>
      <c r="O942" s="127"/>
      <c r="P942" s="127"/>
      <c r="Q942" s="127"/>
      <c r="R942" s="127"/>
      <c r="S942" s="127"/>
      <c r="T942" s="127"/>
      <c r="U942" s="127"/>
      <c r="V942" s="127"/>
      <c r="W942" s="127"/>
      <c r="X942" s="127"/>
      <c r="Y942" s="127"/>
      <c r="Z942" s="127"/>
    </row>
    <row r="943" spans="1:26" ht="13.5" customHeight="1" x14ac:dyDescent="0.3">
      <c r="A943" s="127"/>
      <c r="B943" s="127"/>
      <c r="C943" s="127"/>
      <c r="D943" s="127"/>
      <c r="E943" s="127"/>
      <c r="F943" s="127"/>
      <c r="G943" s="127"/>
      <c r="H943" s="127"/>
      <c r="I943" s="127"/>
      <c r="J943" s="127"/>
      <c r="K943" s="127"/>
      <c r="L943" s="127"/>
      <c r="M943" s="127"/>
      <c r="N943" s="127"/>
      <c r="O943" s="127"/>
      <c r="P943" s="127"/>
      <c r="Q943" s="127"/>
      <c r="R943" s="127"/>
      <c r="S943" s="127"/>
      <c r="T943" s="127"/>
      <c r="U943" s="127"/>
      <c r="V943" s="127"/>
      <c r="W943" s="127"/>
      <c r="X943" s="127"/>
      <c r="Y943" s="127"/>
      <c r="Z943" s="127"/>
    </row>
    <row r="944" spans="1:26" ht="13.5" customHeight="1" x14ac:dyDescent="0.3">
      <c r="A944" s="127"/>
      <c r="B944" s="127"/>
      <c r="C944" s="127"/>
      <c r="D944" s="127"/>
      <c r="E944" s="127"/>
      <c r="F944" s="127"/>
      <c r="G944" s="127"/>
      <c r="H944" s="127"/>
      <c r="I944" s="127"/>
      <c r="J944" s="127"/>
      <c r="K944" s="127"/>
      <c r="L944" s="127"/>
      <c r="M944" s="127"/>
      <c r="N944" s="127"/>
      <c r="O944" s="127"/>
      <c r="P944" s="127"/>
      <c r="Q944" s="127"/>
      <c r="R944" s="127"/>
      <c r="S944" s="127"/>
      <c r="T944" s="127"/>
      <c r="U944" s="127"/>
      <c r="V944" s="127"/>
      <c r="W944" s="127"/>
      <c r="X944" s="127"/>
      <c r="Y944" s="127"/>
      <c r="Z944" s="127"/>
    </row>
    <row r="945" spans="1:26" ht="13.5" customHeight="1" x14ac:dyDescent="0.3">
      <c r="A945" s="127"/>
      <c r="B945" s="127"/>
      <c r="C945" s="127"/>
      <c r="D945" s="127"/>
      <c r="E945" s="127"/>
      <c r="F945" s="127"/>
      <c r="G945" s="127"/>
      <c r="H945" s="127"/>
      <c r="I945" s="127"/>
      <c r="J945" s="127"/>
      <c r="K945" s="127"/>
      <c r="L945" s="127"/>
      <c r="M945" s="127"/>
      <c r="N945" s="127"/>
      <c r="O945" s="127"/>
      <c r="P945" s="127"/>
      <c r="Q945" s="127"/>
      <c r="R945" s="127"/>
      <c r="S945" s="127"/>
      <c r="T945" s="127"/>
      <c r="U945" s="127"/>
      <c r="V945" s="127"/>
      <c r="W945" s="127"/>
      <c r="X945" s="127"/>
      <c r="Y945" s="127"/>
      <c r="Z945" s="127"/>
    </row>
    <row r="946" spans="1:26" ht="13.5" customHeight="1" x14ac:dyDescent="0.3">
      <c r="A946" s="127"/>
      <c r="B946" s="127"/>
      <c r="C946" s="127"/>
      <c r="D946" s="127"/>
      <c r="E946" s="127"/>
      <c r="F946" s="127"/>
      <c r="G946" s="127"/>
      <c r="H946" s="127"/>
      <c r="I946" s="127"/>
      <c r="J946" s="127"/>
      <c r="K946" s="127"/>
      <c r="L946" s="127"/>
      <c r="M946" s="127"/>
      <c r="N946" s="127"/>
      <c r="O946" s="127"/>
      <c r="P946" s="127"/>
      <c r="Q946" s="127"/>
      <c r="R946" s="127"/>
      <c r="S946" s="127"/>
      <c r="T946" s="127"/>
      <c r="U946" s="127"/>
      <c r="V946" s="127"/>
      <c r="W946" s="127"/>
      <c r="X946" s="127"/>
      <c r="Y946" s="127"/>
      <c r="Z946" s="127"/>
    </row>
    <row r="947" spans="1:26" ht="13.5" customHeight="1" x14ac:dyDescent="0.3">
      <c r="A947" s="127"/>
      <c r="B947" s="127"/>
      <c r="C947" s="127"/>
      <c r="D947" s="127"/>
      <c r="E947" s="127"/>
      <c r="F947" s="127"/>
      <c r="G947" s="127"/>
      <c r="H947" s="127"/>
      <c r="I947" s="127"/>
      <c r="J947" s="127"/>
      <c r="K947" s="127"/>
      <c r="L947" s="127"/>
      <c r="M947" s="127"/>
      <c r="N947" s="127"/>
      <c r="O947" s="127"/>
      <c r="P947" s="127"/>
      <c r="Q947" s="127"/>
      <c r="R947" s="127"/>
      <c r="S947" s="127"/>
      <c r="T947" s="127"/>
      <c r="U947" s="127"/>
      <c r="V947" s="127"/>
      <c r="W947" s="127"/>
      <c r="X947" s="127"/>
      <c r="Y947" s="127"/>
      <c r="Z947" s="127"/>
    </row>
    <row r="948" spans="1:26" ht="13.5" customHeight="1" x14ac:dyDescent="0.3">
      <c r="A948" s="127"/>
      <c r="B948" s="127"/>
      <c r="C948" s="127"/>
      <c r="D948" s="127"/>
      <c r="E948" s="127"/>
      <c r="F948" s="127"/>
      <c r="G948" s="127"/>
      <c r="H948" s="127"/>
      <c r="I948" s="127"/>
      <c r="J948" s="127"/>
      <c r="K948" s="127"/>
      <c r="L948" s="127"/>
      <c r="M948" s="127"/>
      <c r="N948" s="127"/>
      <c r="O948" s="127"/>
      <c r="P948" s="127"/>
      <c r="Q948" s="127"/>
      <c r="R948" s="127"/>
      <c r="S948" s="127"/>
      <c r="T948" s="127"/>
      <c r="U948" s="127"/>
      <c r="V948" s="127"/>
      <c r="W948" s="127"/>
      <c r="X948" s="127"/>
      <c r="Y948" s="127"/>
      <c r="Z948" s="127"/>
    </row>
    <row r="949" spans="1:26" ht="13.5" customHeight="1" x14ac:dyDescent="0.3">
      <c r="A949" s="127"/>
      <c r="B949" s="127"/>
      <c r="C949" s="127"/>
      <c r="D949" s="127"/>
      <c r="E949" s="127"/>
      <c r="F949" s="127"/>
      <c r="G949" s="127"/>
      <c r="H949" s="127"/>
      <c r="I949" s="127"/>
      <c r="J949" s="127"/>
      <c r="K949" s="127"/>
      <c r="L949" s="127"/>
      <c r="M949" s="127"/>
      <c r="N949" s="127"/>
      <c r="O949" s="127"/>
      <c r="P949" s="127"/>
      <c r="Q949" s="127"/>
      <c r="R949" s="127"/>
      <c r="S949" s="127"/>
      <c r="T949" s="127"/>
      <c r="U949" s="127"/>
      <c r="V949" s="127"/>
      <c r="W949" s="127"/>
      <c r="X949" s="127"/>
      <c r="Y949" s="127"/>
      <c r="Z949" s="127"/>
    </row>
    <row r="950" spans="1:26" ht="13.5" customHeight="1" x14ac:dyDescent="0.3">
      <c r="A950" s="127"/>
      <c r="B950" s="127"/>
      <c r="C950" s="127"/>
      <c r="D950" s="127"/>
      <c r="E950" s="127"/>
      <c r="F950" s="127"/>
      <c r="G950" s="127"/>
      <c r="H950" s="127"/>
      <c r="I950" s="127"/>
      <c r="J950" s="127"/>
      <c r="K950" s="127"/>
      <c r="L950" s="127"/>
      <c r="M950" s="127"/>
      <c r="N950" s="127"/>
      <c r="O950" s="127"/>
      <c r="P950" s="127"/>
      <c r="Q950" s="127"/>
      <c r="R950" s="127"/>
      <c r="S950" s="127"/>
      <c r="T950" s="127"/>
      <c r="U950" s="127"/>
      <c r="V950" s="127"/>
      <c r="W950" s="127"/>
      <c r="X950" s="127"/>
      <c r="Y950" s="127"/>
      <c r="Z950" s="127"/>
    </row>
    <row r="951" spans="1:26" ht="13.5" customHeight="1" x14ac:dyDescent="0.3">
      <c r="A951" s="127"/>
      <c r="B951" s="127"/>
      <c r="C951" s="127"/>
      <c r="D951" s="127"/>
      <c r="E951" s="127"/>
      <c r="F951" s="127"/>
      <c r="G951" s="127"/>
      <c r="H951" s="127"/>
      <c r="I951" s="127"/>
      <c r="J951" s="127"/>
      <c r="K951" s="127"/>
      <c r="L951" s="127"/>
      <c r="M951" s="127"/>
      <c r="N951" s="127"/>
      <c r="O951" s="127"/>
      <c r="P951" s="127"/>
      <c r="Q951" s="127"/>
      <c r="R951" s="127"/>
      <c r="S951" s="127"/>
      <c r="T951" s="127"/>
      <c r="U951" s="127"/>
      <c r="V951" s="127"/>
      <c r="W951" s="127"/>
      <c r="X951" s="127"/>
      <c r="Y951" s="127"/>
      <c r="Z951" s="127"/>
    </row>
    <row r="952" spans="1:26" ht="13.5" customHeight="1" x14ac:dyDescent="0.3">
      <c r="A952" s="127"/>
      <c r="B952" s="127"/>
      <c r="C952" s="127"/>
      <c r="D952" s="127"/>
      <c r="E952" s="127"/>
      <c r="F952" s="127"/>
      <c r="G952" s="127"/>
      <c r="H952" s="127"/>
      <c r="I952" s="127"/>
      <c r="J952" s="127"/>
      <c r="K952" s="127"/>
      <c r="L952" s="127"/>
      <c r="M952" s="127"/>
      <c r="N952" s="127"/>
      <c r="O952" s="127"/>
      <c r="P952" s="127"/>
      <c r="Q952" s="127"/>
      <c r="R952" s="127"/>
      <c r="S952" s="127"/>
      <c r="T952" s="127"/>
      <c r="U952" s="127"/>
      <c r="V952" s="127"/>
      <c r="W952" s="127"/>
      <c r="X952" s="127"/>
      <c r="Y952" s="127"/>
      <c r="Z952" s="127"/>
    </row>
    <row r="953" spans="1:26" ht="13.5" customHeight="1" x14ac:dyDescent="0.3">
      <c r="A953" s="127"/>
      <c r="B953" s="127"/>
      <c r="C953" s="127"/>
      <c r="D953" s="127"/>
      <c r="E953" s="127"/>
      <c r="F953" s="127"/>
      <c r="G953" s="127"/>
      <c r="H953" s="127"/>
      <c r="I953" s="127"/>
      <c r="J953" s="127"/>
      <c r="K953" s="127"/>
      <c r="L953" s="127"/>
      <c r="M953" s="127"/>
      <c r="N953" s="127"/>
      <c r="O953" s="127"/>
      <c r="P953" s="127"/>
      <c r="Q953" s="127"/>
      <c r="R953" s="127"/>
      <c r="S953" s="127"/>
      <c r="T953" s="127"/>
      <c r="U953" s="127"/>
      <c r="V953" s="127"/>
      <c r="W953" s="127"/>
      <c r="X953" s="127"/>
      <c r="Y953" s="127"/>
      <c r="Z953" s="127"/>
    </row>
    <row r="954" spans="1:26" ht="13.5" customHeight="1" x14ac:dyDescent="0.3">
      <c r="A954" s="127"/>
      <c r="B954" s="127"/>
      <c r="C954" s="127"/>
      <c r="D954" s="127"/>
      <c r="E954" s="127"/>
      <c r="F954" s="127"/>
      <c r="G954" s="127"/>
      <c r="H954" s="127"/>
      <c r="I954" s="127"/>
      <c r="J954" s="127"/>
      <c r="K954" s="127"/>
      <c r="L954" s="127"/>
      <c r="M954" s="127"/>
      <c r="N954" s="127"/>
      <c r="O954" s="127"/>
      <c r="P954" s="127"/>
      <c r="Q954" s="127"/>
      <c r="R954" s="127"/>
      <c r="S954" s="127"/>
      <c r="T954" s="127"/>
      <c r="U954" s="127"/>
      <c r="V954" s="127"/>
      <c r="W954" s="127"/>
      <c r="X954" s="127"/>
      <c r="Y954" s="127"/>
      <c r="Z954" s="127"/>
    </row>
    <row r="955" spans="1:26" ht="13.5" customHeight="1" x14ac:dyDescent="0.3">
      <c r="A955" s="127"/>
      <c r="B955" s="127"/>
      <c r="C955" s="127"/>
      <c r="D955" s="127"/>
      <c r="E955" s="127"/>
      <c r="F955" s="127"/>
      <c r="G955" s="127"/>
      <c r="H955" s="127"/>
      <c r="I955" s="127"/>
      <c r="J955" s="127"/>
      <c r="K955" s="127"/>
      <c r="L955" s="127"/>
      <c r="M955" s="127"/>
      <c r="N955" s="127"/>
      <c r="O955" s="127"/>
      <c r="P955" s="127"/>
      <c r="Q955" s="127"/>
      <c r="R955" s="127"/>
      <c r="S955" s="127"/>
      <c r="T955" s="127"/>
      <c r="U955" s="127"/>
      <c r="V955" s="127"/>
      <c r="W955" s="127"/>
      <c r="X955" s="127"/>
      <c r="Y955" s="127"/>
      <c r="Z955" s="127"/>
    </row>
    <row r="956" spans="1:26" ht="13.5" customHeight="1" x14ac:dyDescent="0.3">
      <c r="A956" s="127"/>
      <c r="B956" s="127"/>
      <c r="C956" s="127"/>
      <c r="D956" s="127"/>
      <c r="E956" s="127"/>
      <c r="F956" s="127"/>
      <c r="G956" s="127"/>
      <c r="H956" s="127"/>
      <c r="I956" s="127"/>
      <c r="J956" s="127"/>
      <c r="K956" s="127"/>
      <c r="L956" s="127"/>
      <c r="M956" s="127"/>
      <c r="N956" s="127"/>
      <c r="O956" s="127"/>
      <c r="P956" s="127"/>
      <c r="Q956" s="127"/>
      <c r="R956" s="127"/>
      <c r="S956" s="127"/>
      <c r="T956" s="127"/>
      <c r="U956" s="127"/>
      <c r="V956" s="127"/>
      <c r="W956" s="127"/>
      <c r="X956" s="127"/>
      <c r="Y956" s="127"/>
      <c r="Z956" s="127"/>
    </row>
    <row r="957" spans="1:26" ht="13.5" customHeight="1" x14ac:dyDescent="0.3">
      <c r="A957" s="127"/>
      <c r="B957" s="127"/>
      <c r="C957" s="127"/>
      <c r="D957" s="127"/>
      <c r="E957" s="127"/>
      <c r="F957" s="127"/>
      <c r="G957" s="127"/>
      <c r="H957" s="127"/>
      <c r="I957" s="127"/>
      <c r="J957" s="127"/>
      <c r="K957" s="127"/>
      <c r="L957" s="127"/>
      <c r="M957" s="127"/>
      <c r="N957" s="127"/>
      <c r="O957" s="127"/>
      <c r="P957" s="127"/>
      <c r="Q957" s="127"/>
      <c r="R957" s="127"/>
      <c r="S957" s="127"/>
      <c r="T957" s="127"/>
      <c r="U957" s="127"/>
      <c r="V957" s="127"/>
      <c r="W957" s="127"/>
      <c r="X957" s="127"/>
      <c r="Y957" s="127"/>
      <c r="Z957" s="127"/>
    </row>
    <row r="958" spans="1:26" ht="13.5" customHeight="1" x14ac:dyDescent="0.3">
      <c r="A958" s="127"/>
      <c r="B958" s="127"/>
      <c r="C958" s="127"/>
      <c r="D958" s="127"/>
      <c r="E958" s="127"/>
      <c r="F958" s="127"/>
      <c r="G958" s="127"/>
      <c r="H958" s="127"/>
      <c r="I958" s="127"/>
      <c r="J958" s="127"/>
      <c r="K958" s="127"/>
      <c r="L958" s="127"/>
      <c r="M958" s="127"/>
      <c r="N958" s="127"/>
      <c r="O958" s="127"/>
      <c r="P958" s="127"/>
      <c r="Q958" s="127"/>
      <c r="R958" s="127"/>
      <c r="S958" s="127"/>
      <c r="T958" s="127"/>
      <c r="U958" s="127"/>
      <c r="V958" s="127"/>
      <c r="W958" s="127"/>
      <c r="X958" s="127"/>
      <c r="Y958" s="127"/>
      <c r="Z958" s="127"/>
    </row>
    <row r="959" spans="1:26" ht="13.5" customHeight="1" x14ac:dyDescent="0.3">
      <c r="A959" s="127"/>
      <c r="B959" s="127"/>
      <c r="C959" s="127"/>
      <c r="D959" s="127"/>
      <c r="E959" s="127"/>
      <c r="F959" s="127"/>
      <c r="G959" s="127"/>
      <c r="H959" s="127"/>
      <c r="I959" s="127"/>
      <c r="J959" s="127"/>
      <c r="K959" s="127"/>
      <c r="L959" s="127"/>
      <c r="M959" s="127"/>
      <c r="N959" s="127"/>
      <c r="O959" s="127"/>
      <c r="P959" s="127"/>
      <c r="Q959" s="127"/>
      <c r="R959" s="127"/>
      <c r="S959" s="127"/>
      <c r="T959" s="127"/>
      <c r="U959" s="127"/>
      <c r="V959" s="127"/>
      <c r="W959" s="127"/>
      <c r="X959" s="127"/>
      <c r="Y959" s="127"/>
      <c r="Z959" s="127"/>
    </row>
    <row r="960" spans="1:26" ht="13.5" customHeight="1" x14ac:dyDescent="0.3">
      <c r="A960" s="127"/>
      <c r="B960" s="127"/>
      <c r="C960" s="127"/>
      <c r="D960" s="127"/>
      <c r="E960" s="127"/>
      <c r="F960" s="127"/>
      <c r="G960" s="127"/>
      <c r="H960" s="127"/>
      <c r="I960" s="127"/>
      <c r="J960" s="127"/>
      <c r="K960" s="127"/>
      <c r="L960" s="127"/>
      <c r="M960" s="127"/>
      <c r="N960" s="127"/>
      <c r="O960" s="127"/>
      <c r="P960" s="127"/>
      <c r="Q960" s="127"/>
      <c r="R960" s="127"/>
      <c r="S960" s="127"/>
      <c r="T960" s="127"/>
      <c r="U960" s="127"/>
      <c r="V960" s="127"/>
      <c r="W960" s="127"/>
      <c r="X960" s="127"/>
      <c r="Y960" s="127"/>
      <c r="Z960" s="127"/>
    </row>
    <row r="961" spans="1:26" ht="13.5" customHeight="1" x14ac:dyDescent="0.3">
      <c r="A961" s="127"/>
      <c r="B961" s="127"/>
      <c r="C961" s="127"/>
      <c r="D961" s="127"/>
      <c r="E961" s="127"/>
      <c r="F961" s="127"/>
      <c r="G961" s="127"/>
      <c r="H961" s="127"/>
      <c r="I961" s="127"/>
      <c r="J961" s="127"/>
      <c r="K961" s="127"/>
      <c r="L961" s="127"/>
      <c r="M961" s="127"/>
      <c r="N961" s="127"/>
      <c r="O961" s="127"/>
      <c r="P961" s="127"/>
      <c r="Q961" s="127"/>
      <c r="R961" s="127"/>
      <c r="S961" s="127"/>
      <c r="T961" s="127"/>
      <c r="U961" s="127"/>
      <c r="V961" s="127"/>
      <c r="W961" s="127"/>
      <c r="X961" s="127"/>
      <c r="Y961" s="127"/>
      <c r="Z961" s="127"/>
    </row>
    <row r="962" spans="1:26" ht="13.5" customHeight="1" x14ac:dyDescent="0.3">
      <c r="A962" s="127"/>
      <c r="B962" s="127"/>
      <c r="C962" s="127"/>
      <c r="D962" s="127"/>
      <c r="E962" s="127"/>
      <c r="F962" s="127"/>
      <c r="G962" s="127"/>
      <c r="H962" s="127"/>
      <c r="I962" s="127"/>
      <c r="J962" s="127"/>
      <c r="K962" s="127"/>
      <c r="L962" s="127"/>
      <c r="M962" s="127"/>
      <c r="N962" s="127"/>
      <c r="O962" s="127"/>
      <c r="P962" s="127"/>
      <c r="Q962" s="127"/>
      <c r="R962" s="127"/>
      <c r="S962" s="127"/>
      <c r="T962" s="127"/>
      <c r="U962" s="127"/>
      <c r="V962" s="127"/>
      <c r="W962" s="127"/>
      <c r="X962" s="127"/>
      <c r="Y962" s="127"/>
      <c r="Z962" s="127"/>
    </row>
    <row r="963" spans="1:26" ht="13.5" customHeight="1" x14ac:dyDescent="0.3">
      <c r="A963" s="127"/>
      <c r="B963" s="127"/>
      <c r="C963" s="127"/>
      <c r="D963" s="127"/>
      <c r="E963" s="127"/>
      <c r="F963" s="127"/>
      <c r="G963" s="127"/>
      <c r="H963" s="127"/>
      <c r="I963" s="127"/>
      <c r="J963" s="127"/>
      <c r="K963" s="127"/>
      <c r="L963" s="127"/>
      <c r="M963" s="127"/>
      <c r="N963" s="127"/>
      <c r="O963" s="127"/>
      <c r="P963" s="127"/>
      <c r="Q963" s="127"/>
      <c r="R963" s="127"/>
      <c r="S963" s="127"/>
      <c r="T963" s="127"/>
      <c r="U963" s="127"/>
      <c r="V963" s="127"/>
      <c r="W963" s="127"/>
      <c r="X963" s="127"/>
      <c r="Y963" s="127"/>
      <c r="Z963" s="127"/>
    </row>
    <row r="964" spans="1:26" ht="13.5" customHeight="1" x14ac:dyDescent="0.3">
      <c r="A964" s="127"/>
      <c r="B964" s="127"/>
      <c r="C964" s="127"/>
      <c r="D964" s="127"/>
      <c r="E964" s="127"/>
      <c r="F964" s="127"/>
      <c r="G964" s="127"/>
      <c r="H964" s="127"/>
      <c r="I964" s="127"/>
      <c r="J964" s="127"/>
      <c r="K964" s="127"/>
      <c r="L964" s="127"/>
      <c r="M964" s="127"/>
      <c r="N964" s="127"/>
      <c r="O964" s="127"/>
      <c r="P964" s="127"/>
      <c r="Q964" s="127"/>
      <c r="R964" s="127"/>
      <c r="S964" s="127"/>
      <c r="T964" s="127"/>
      <c r="U964" s="127"/>
      <c r="V964" s="127"/>
      <c r="W964" s="127"/>
      <c r="X964" s="127"/>
      <c r="Y964" s="127"/>
      <c r="Z964" s="127"/>
    </row>
    <row r="965" spans="1:26" ht="13.5" customHeight="1" x14ac:dyDescent="0.3">
      <c r="A965" s="127"/>
      <c r="B965" s="127"/>
      <c r="C965" s="127"/>
      <c r="D965" s="127"/>
      <c r="E965" s="127"/>
      <c r="F965" s="127"/>
      <c r="G965" s="127"/>
      <c r="H965" s="127"/>
      <c r="I965" s="127"/>
      <c r="J965" s="127"/>
      <c r="K965" s="127"/>
      <c r="L965" s="127"/>
      <c r="M965" s="127"/>
      <c r="N965" s="127"/>
      <c r="O965" s="127"/>
      <c r="P965" s="127"/>
      <c r="Q965" s="127"/>
      <c r="R965" s="127"/>
      <c r="S965" s="127"/>
      <c r="T965" s="127"/>
      <c r="U965" s="127"/>
      <c r="V965" s="127"/>
      <c r="W965" s="127"/>
      <c r="X965" s="127"/>
      <c r="Y965" s="127"/>
      <c r="Z965" s="127"/>
    </row>
    <row r="966" spans="1:26" ht="13.5" customHeight="1" x14ac:dyDescent="0.3">
      <c r="A966" s="127"/>
      <c r="B966" s="127"/>
      <c r="C966" s="127"/>
      <c r="D966" s="127"/>
      <c r="E966" s="127"/>
      <c r="F966" s="127"/>
      <c r="G966" s="127"/>
      <c r="H966" s="127"/>
      <c r="I966" s="127"/>
      <c r="J966" s="127"/>
      <c r="K966" s="127"/>
      <c r="L966" s="127"/>
      <c r="M966" s="127"/>
      <c r="N966" s="127"/>
      <c r="O966" s="127"/>
      <c r="P966" s="127"/>
      <c r="Q966" s="127"/>
      <c r="R966" s="127"/>
      <c r="S966" s="127"/>
      <c r="T966" s="127"/>
      <c r="U966" s="127"/>
      <c r="V966" s="127"/>
      <c r="W966" s="127"/>
      <c r="X966" s="127"/>
      <c r="Y966" s="127"/>
      <c r="Z966" s="127"/>
    </row>
    <row r="967" spans="1:26" ht="13.5" customHeight="1" x14ac:dyDescent="0.3">
      <c r="A967" s="127"/>
      <c r="B967" s="127"/>
      <c r="C967" s="127"/>
      <c r="D967" s="127"/>
      <c r="E967" s="127"/>
      <c r="F967" s="127"/>
      <c r="G967" s="127"/>
      <c r="H967" s="127"/>
      <c r="I967" s="127"/>
      <c r="J967" s="127"/>
      <c r="K967" s="127"/>
      <c r="L967" s="127"/>
      <c r="M967" s="127"/>
      <c r="N967" s="127"/>
      <c r="O967" s="127"/>
      <c r="P967" s="127"/>
      <c r="Q967" s="127"/>
      <c r="R967" s="127"/>
      <c r="S967" s="127"/>
      <c r="T967" s="127"/>
      <c r="U967" s="127"/>
      <c r="V967" s="127"/>
      <c r="W967" s="127"/>
      <c r="X967" s="127"/>
      <c r="Y967" s="127"/>
      <c r="Z967" s="127"/>
    </row>
    <row r="968" spans="1:26" ht="13.5" customHeight="1" x14ac:dyDescent="0.3">
      <c r="A968" s="127"/>
      <c r="B968" s="127"/>
      <c r="C968" s="127"/>
      <c r="D968" s="127"/>
      <c r="E968" s="127"/>
      <c r="F968" s="127"/>
      <c r="G968" s="127"/>
      <c r="H968" s="127"/>
      <c r="I968" s="127"/>
      <c r="J968" s="127"/>
      <c r="K968" s="127"/>
      <c r="L968" s="127"/>
      <c r="M968" s="127"/>
      <c r="N968" s="127"/>
      <c r="O968" s="127"/>
      <c r="P968" s="127"/>
      <c r="Q968" s="127"/>
      <c r="R968" s="127"/>
      <c r="S968" s="127"/>
      <c r="T968" s="127"/>
      <c r="U968" s="127"/>
      <c r="V968" s="127"/>
      <c r="W968" s="127"/>
      <c r="X968" s="127"/>
      <c r="Y968" s="127"/>
      <c r="Z968" s="127"/>
    </row>
    <row r="969" spans="1:26" ht="13.5" customHeight="1" x14ac:dyDescent="0.3">
      <c r="A969" s="127"/>
      <c r="B969" s="127"/>
      <c r="C969" s="127"/>
      <c r="D969" s="127"/>
      <c r="E969" s="127"/>
      <c r="F969" s="127"/>
      <c r="G969" s="127"/>
      <c r="H969" s="127"/>
      <c r="I969" s="127"/>
      <c r="J969" s="127"/>
      <c r="K969" s="127"/>
      <c r="L969" s="127"/>
      <c r="M969" s="127"/>
      <c r="N969" s="127"/>
      <c r="O969" s="127"/>
      <c r="P969" s="127"/>
      <c r="Q969" s="127"/>
      <c r="R969" s="127"/>
      <c r="S969" s="127"/>
      <c r="T969" s="127"/>
      <c r="U969" s="127"/>
      <c r="V969" s="127"/>
      <c r="W969" s="127"/>
      <c r="X969" s="127"/>
      <c r="Y969" s="127"/>
      <c r="Z969" s="127"/>
    </row>
    <row r="970" spans="1:26" ht="13.5" customHeight="1" x14ac:dyDescent="0.3">
      <c r="A970" s="127"/>
      <c r="B970" s="127"/>
      <c r="C970" s="127"/>
      <c r="D970" s="127"/>
      <c r="E970" s="127"/>
      <c r="F970" s="127"/>
      <c r="G970" s="127"/>
      <c r="H970" s="127"/>
      <c r="I970" s="127"/>
      <c r="J970" s="127"/>
      <c r="K970" s="127"/>
      <c r="L970" s="127"/>
      <c r="M970" s="127"/>
      <c r="N970" s="127"/>
      <c r="O970" s="127"/>
      <c r="P970" s="127"/>
      <c r="Q970" s="127"/>
      <c r="R970" s="127"/>
      <c r="S970" s="127"/>
      <c r="T970" s="127"/>
      <c r="U970" s="127"/>
      <c r="V970" s="127"/>
      <c r="W970" s="127"/>
      <c r="X970" s="127"/>
      <c r="Y970" s="127"/>
      <c r="Z970" s="127"/>
    </row>
    <row r="971" spans="1:26" ht="13.5" customHeight="1" x14ac:dyDescent="0.3">
      <c r="A971" s="127"/>
      <c r="B971" s="127"/>
      <c r="C971" s="127"/>
      <c r="D971" s="127"/>
      <c r="E971" s="127"/>
      <c r="F971" s="127"/>
      <c r="G971" s="127"/>
      <c r="H971" s="127"/>
      <c r="I971" s="127"/>
      <c r="J971" s="127"/>
      <c r="K971" s="127"/>
      <c r="L971" s="127"/>
      <c r="M971" s="127"/>
      <c r="N971" s="127"/>
      <c r="O971" s="127"/>
      <c r="P971" s="127"/>
      <c r="Q971" s="127"/>
      <c r="R971" s="127"/>
      <c r="S971" s="127"/>
      <c r="T971" s="127"/>
      <c r="U971" s="127"/>
      <c r="V971" s="127"/>
      <c r="W971" s="127"/>
      <c r="X971" s="127"/>
      <c r="Y971" s="127"/>
      <c r="Z971" s="127"/>
    </row>
    <row r="972" spans="1:26" ht="13.5" customHeight="1" x14ac:dyDescent="0.3">
      <c r="A972" s="127"/>
      <c r="B972" s="127"/>
      <c r="C972" s="127"/>
      <c r="D972" s="127"/>
      <c r="E972" s="127"/>
      <c r="F972" s="127"/>
      <c r="G972" s="127"/>
      <c r="H972" s="127"/>
      <c r="I972" s="127"/>
      <c r="J972" s="127"/>
      <c r="K972" s="127"/>
      <c r="L972" s="127"/>
      <c r="M972" s="127"/>
      <c r="N972" s="127"/>
      <c r="O972" s="127"/>
      <c r="P972" s="127"/>
      <c r="Q972" s="127"/>
      <c r="R972" s="127"/>
      <c r="S972" s="127"/>
      <c r="T972" s="127"/>
      <c r="U972" s="127"/>
      <c r="V972" s="127"/>
      <c r="W972" s="127"/>
      <c r="X972" s="127"/>
      <c r="Y972" s="127"/>
      <c r="Z972" s="127"/>
    </row>
    <row r="973" spans="1:26" ht="13.5" customHeight="1" x14ac:dyDescent="0.3">
      <c r="A973" s="127"/>
      <c r="B973" s="127"/>
      <c r="C973" s="127"/>
      <c r="D973" s="127"/>
      <c r="E973" s="127"/>
      <c r="F973" s="127"/>
      <c r="G973" s="127"/>
      <c r="H973" s="127"/>
      <c r="I973" s="127"/>
      <c r="J973" s="127"/>
      <c r="K973" s="127"/>
      <c r="L973" s="127"/>
      <c r="M973" s="127"/>
      <c r="N973" s="127"/>
      <c r="O973" s="127"/>
      <c r="P973" s="127"/>
      <c r="Q973" s="127"/>
      <c r="R973" s="127"/>
      <c r="S973" s="127"/>
      <c r="T973" s="127"/>
      <c r="U973" s="127"/>
      <c r="V973" s="127"/>
      <c r="W973" s="127"/>
      <c r="X973" s="127"/>
      <c r="Y973" s="127"/>
      <c r="Z973" s="127"/>
    </row>
    <row r="974" spans="1:26" ht="13.5" customHeight="1" x14ac:dyDescent="0.3">
      <c r="A974" s="127"/>
      <c r="B974" s="127"/>
      <c r="C974" s="127"/>
      <c r="D974" s="127"/>
      <c r="E974" s="127"/>
      <c r="F974" s="127"/>
      <c r="G974" s="127"/>
      <c r="H974" s="127"/>
      <c r="I974" s="127"/>
      <c r="J974" s="127"/>
      <c r="K974" s="127"/>
      <c r="L974" s="127"/>
      <c r="M974" s="127"/>
      <c r="N974" s="127"/>
      <c r="O974" s="127"/>
      <c r="P974" s="127"/>
      <c r="Q974" s="127"/>
      <c r="R974" s="127"/>
      <c r="S974" s="127"/>
      <c r="T974" s="127"/>
      <c r="U974" s="127"/>
      <c r="V974" s="127"/>
      <c r="W974" s="127"/>
      <c r="X974" s="127"/>
      <c r="Y974" s="127"/>
      <c r="Z974" s="127"/>
    </row>
    <row r="975" spans="1:26" ht="13.5" customHeight="1" x14ac:dyDescent="0.3">
      <c r="A975" s="127"/>
      <c r="B975" s="127"/>
      <c r="C975" s="127"/>
      <c r="D975" s="127"/>
      <c r="E975" s="127"/>
      <c r="F975" s="127"/>
      <c r="G975" s="127"/>
      <c r="H975" s="127"/>
      <c r="I975" s="127"/>
      <c r="J975" s="127"/>
      <c r="K975" s="127"/>
      <c r="L975" s="127"/>
      <c r="M975" s="127"/>
      <c r="N975" s="127"/>
      <c r="O975" s="127"/>
      <c r="P975" s="127"/>
      <c r="Q975" s="127"/>
      <c r="R975" s="127"/>
      <c r="S975" s="127"/>
      <c r="T975" s="127"/>
      <c r="U975" s="127"/>
      <c r="V975" s="127"/>
      <c r="W975" s="127"/>
      <c r="X975" s="127"/>
      <c r="Y975" s="127"/>
      <c r="Z975" s="127"/>
    </row>
    <row r="976" spans="1:26" ht="13.5" customHeight="1" x14ac:dyDescent="0.3">
      <c r="A976" s="127"/>
      <c r="B976" s="127"/>
      <c r="C976" s="127"/>
      <c r="D976" s="127"/>
      <c r="E976" s="127"/>
      <c r="F976" s="127"/>
      <c r="G976" s="127"/>
      <c r="H976" s="127"/>
      <c r="I976" s="127"/>
      <c r="J976" s="127"/>
      <c r="K976" s="127"/>
      <c r="L976" s="127"/>
      <c r="M976" s="127"/>
      <c r="N976" s="127"/>
      <c r="O976" s="127"/>
      <c r="P976" s="127"/>
      <c r="Q976" s="127"/>
      <c r="R976" s="127"/>
      <c r="S976" s="127"/>
      <c r="T976" s="127"/>
      <c r="U976" s="127"/>
      <c r="V976" s="127"/>
      <c r="W976" s="127"/>
      <c r="X976" s="127"/>
      <c r="Y976" s="127"/>
      <c r="Z976" s="127"/>
    </row>
    <row r="977" spans="1:26" ht="13.5" customHeight="1" x14ac:dyDescent="0.3">
      <c r="A977" s="127"/>
      <c r="B977" s="127"/>
      <c r="C977" s="127"/>
      <c r="D977" s="127"/>
      <c r="E977" s="127"/>
      <c r="F977" s="127"/>
      <c r="G977" s="127"/>
      <c r="H977" s="127"/>
      <c r="I977" s="127"/>
      <c r="J977" s="127"/>
      <c r="K977" s="127"/>
      <c r="L977" s="127"/>
      <c r="M977" s="127"/>
      <c r="N977" s="127"/>
      <c r="O977" s="127"/>
      <c r="P977" s="127"/>
      <c r="Q977" s="127"/>
      <c r="R977" s="127"/>
      <c r="S977" s="127"/>
      <c r="T977" s="127"/>
      <c r="U977" s="127"/>
      <c r="V977" s="127"/>
      <c r="W977" s="127"/>
      <c r="X977" s="127"/>
      <c r="Y977" s="127"/>
      <c r="Z977" s="127"/>
    </row>
    <row r="978" spans="1:26" ht="13.5" customHeight="1" x14ac:dyDescent="0.3">
      <c r="A978" s="127"/>
      <c r="B978" s="127"/>
      <c r="C978" s="127"/>
      <c r="D978" s="127"/>
      <c r="E978" s="127"/>
      <c r="F978" s="127"/>
      <c r="G978" s="127"/>
      <c r="H978" s="127"/>
      <c r="I978" s="127"/>
      <c r="J978" s="127"/>
      <c r="K978" s="127"/>
      <c r="L978" s="127"/>
      <c r="M978" s="127"/>
      <c r="N978" s="127"/>
      <c r="O978" s="127"/>
      <c r="P978" s="127"/>
      <c r="Q978" s="127"/>
      <c r="R978" s="127"/>
      <c r="S978" s="127"/>
      <c r="T978" s="127"/>
      <c r="U978" s="127"/>
      <c r="V978" s="127"/>
      <c r="W978" s="127"/>
      <c r="X978" s="127"/>
      <c r="Y978" s="127"/>
      <c r="Z978" s="127"/>
    </row>
    <row r="979" spans="1:26" ht="13.5" customHeight="1" x14ac:dyDescent="0.3">
      <c r="A979" s="127"/>
      <c r="B979" s="127"/>
      <c r="C979" s="127"/>
      <c r="D979" s="127"/>
      <c r="E979" s="127"/>
      <c r="F979" s="127"/>
      <c r="G979" s="127"/>
      <c r="H979" s="127"/>
      <c r="I979" s="127"/>
      <c r="J979" s="127"/>
      <c r="K979" s="127"/>
      <c r="L979" s="127"/>
      <c r="M979" s="127"/>
      <c r="N979" s="127"/>
      <c r="O979" s="127"/>
      <c r="P979" s="127"/>
      <c r="Q979" s="127"/>
      <c r="R979" s="127"/>
      <c r="S979" s="127"/>
      <c r="T979" s="127"/>
      <c r="U979" s="127"/>
      <c r="V979" s="127"/>
      <c r="W979" s="127"/>
      <c r="X979" s="127"/>
      <c r="Y979" s="127"/>
      <c r="Z979" s="127"/>
    </row>
    <row r="980" spans="1:26" ht="13.5" customHeight="1" x14ac:dyDescent="0.3">
      <c r="A980" s="127"/>
      <c r="B980" s="127"/>
      <c r="C980" s="127"/>
      <c r="D980" s="127"/>
      <c r="E980" s="127"/>
      <c r="F980" s="127"/>
      <c r="G980" s="127"/>
      <c r="H980" s="127"/>
      <c r="I980" s="127"/>
      <c r="J980" s="127"/>
      <c r="K980" s="127"/>
      <c r="L980" s="127"/>
      <c r="M980" s="127"/>
      <c r="N980" s="127"/>
      <c r="O980" s="127"/>
      <c r="P980" s="127"/>
      <c r="Q980" s="127"/>
      <c r="R980" s="127"/>
      <c r="S980" s="127"/>
      <c r="T980" s="127"/>
      <c r="U980" s="127"/>
      <c r="V980" s="127"/>
      <c r="W980" s="127"/>
      <c r="X980" s="127"/>
      <c r="Y980" s="127"/>
      <c r="Z980" s="127"/>
    </row>
    <row r="981" spans="1:26" ht="13.5" customHeight="1" x14ac:dyDescent="0.3">
      <c r="A981" s="127"/>
      <c r="B981" s="127"/>
      <c r="C981" s="127"/>
      <c r="D981" s="127"/>
      <c r="E981" s="127"/>
      <c r="F981" s="127"/>
      <c r="G981" s="127"/>
      <c r="H981" s="127"/>
      <c r="I981" s="127"/>
      <c r="J981" s="127"/>
      <c r="K981" s="127"/>
      <c r="L981" s="127"/>
      <c r="M981" s="127"/>
      <c r="N981" s="127"/>
      <c r="O981" s="127"/>
      <c r="P981" s="127"/>
      <c r="Q981" s="127"/>
      <c r="R981" s="127"/>
      <c r="S981" s="127"/>
      <c r="T981" s="127"/>
      <c r="U981" s="127"/>
      <c r="V981" s="127"/>
      <c r="W981" s="127"/>
      <c r="X981" s="127"/>
      <c r="Y981" s="127"/>
      <c r="Z981" s="127"/>
    </row>
    <row r="982" spans="1:26" ht="13.5" customHeight="1" x14ac:dyDescent="0.3">
      <c r="A982" s="127"/>
      <c r="B982" s="127"/>
      <c r="C982" s="127"/>
      <c r="D982" s="127"/>
      <c r="E982" s="127"/>
      <c r="F982" s="127"/>
      <c r="G982" s="127"/>
      <c r="H982" s="127"/>
      <c r="I982" s="127"/>
      <c r="J982" s="127"/>
      <c r="K982" s="127"/>
      <c r="L982" s="127"/>
      <c r="M982" s="127"/>
      <c r="N982" s="127"/>
      <c r="O982" s="127"/>
      <c r="P982" s="127"/>
      <c r="Q982" s="127"/>
      <c r="R982" s="127"/>
      <c r="S982" s="127"/>
      <c r="T982" s="127"/>
      <c r="U982" s="127"/>
      <c r="V982" s="127"/>
      <c r="W982" s="127"/>
      <c r="X982" s="127"/>
      <c r="Y982" s="127"/>
      <c r="Z982" s="127"/>
    </row>
    <row r="983" spans="1:26" ht="13.5" customHeight="1" x14ac:dyDescent="0.3">
      <c r="A983" s="127"/>
      <c r="B983" s="127"/>
      <c r="C983" s="127"/>
      <c r="D983" s="127"/>
      <c r="E983" s="127"/>
      <c r="F983" s="127"/>
      <c r="G983" s="127"/>
      <c r="H983" s="127"/>
      <c r="I983" s="127"/>
      <c r="J983" s="127"/>
      <c r="K983" s="127"/>
      <c r="L983" s="127"/>
      <c r="M983" s="127"/>
      <c r="N983" s="127"/>
      <c r="O983" s="127"/>
      <c r="P983" s="127"/>
      <c r="Q983" s="127"/>
      <c r="R983" s="127"/>
      <c r="S983" s="127"/>
      <c r="T983" s="127"/>
      <c r="U983" s="127"/>
      <c r="V983" s="127"/>
      <c r="W983" s="127"/>
      <c r="X983" s="127"/>
      <c r="Y983" s="127"/>
      <c r="Z983" s="127"/>
    </row>
    <row r="984" spans="1:26" ht="13.5" customHeight="1" x14ac:dyDescent="0.3">
      <c r="A984" s="127"/>
      <c r="B984" s="127"/>
      <c r="C984" s="127"/>
      <c r="D984" s="127"/>
      <c r="E984" s="127"/>
      <c r="F984" s="127"/>
      <c r="G984" s="127"/>
      <c r="H984" s="127"/>
      <c r="I984" s="127"/>
      <c r="J984" s="127"/>
      <c r="K984" s="127"/>
      <c r="L984" s="127"/>
      <c r="M984" s="127"/>
      <c r="N984" s="127"/>
      <c r="O984" s="127"/>
      <c r="P984" s="127"/>
      <c r="Q984" s="127"/>
      <c r="R984" s="127"/>
      <c r="S984" s="127"/>
      <c r="T984" s="127"/>
      <c r="U984" s="127"/>
      <c r="V984" s="127"/>
      <c r="W984" s="127"/>
      <c r="X984" s="127"/>
      <c r="Y984" s="127"/>
      <c r="Z984" s="127"/>
    </row>
    <row r="985" spans="1:26" ht="13.5" customHeight="1" x14ac:dyDescent="0.3">
      <c r="A985" s="127"/>
      <c r="B985" s="127"/>
      <c r="C985" s="127"/>
      <c r="D985" s="127"/>
      <c r="E985" s="127"/>
      <c r="F985" s="127"/>
      <c r="G985" s="127"/>
      <c r="H985" s="127"/>
      <c r="I985" s="127"/>
      <c r="J985" s="127"/>
      <c r="K985" s="127"/>
      <c r="L985" s="127"/>
      <c r="M985" s="127"/>
      <c r="N985" s="127"/>
      <c r="O985" s="127"/>
      <c r="P985" s="127"/>
      <c r="Q985" s="127"/>
      <c r="R985" s="127"/>
      <c r="S985" s="127"/>
      <c r="T985" s="127"/>
      <c r="U985" s="127"/>
      <c r="V985" s="127"/>
      <c r="W985" s="127"/>
      <c r="X985" s="127"/>
      <c r="Y985" s="127"/>
      <c r="Z985" s="127"/>
    </row>
    <row r="986" spans="1:26" ht="13.5" customHeight="1" x14ac:dyDescent="0.3">
      <c r="A986" s="127"/>
      <c r="B986" s="127"/>
      <c r="C986" s="127"/>
      <c r="D986" s="127"/>
      <c r="E986" s="127"/>
      <c r="F986" s="127"/>
      <c r="G986" s="127"/>
      <c r="H986" s="127"/>
      <c r="I986" s="127"/>
      <c r="J986" s="127"/>
      <c r="K986" s="127"/>
      <c r="L986" s="127"/>
      <c r="M986" s="127"/>
      <c r="N986" s="127"/>
      <c r="O986" s="127"/>
      <c r="P986" s="127"/>
      <c r="Q986" s="127"/>
      <c r="R986" s="127"/>
      <c r="S986" s="127"/>
      <c r="T986" s="127"/>
      <c r="U986" s="127"/>
      <c r="V986" s="127"/>
      <c r="W986" s="127"/>
      <c r="X986" s="127"/>
      <c r="Y986" s="127"/>
      <c r="Z986" s="127"/>
    </row>
    <row r="987" spans="1:26" ht="13.5" customHeight="1" x14ac:dyDescent="0.3">
      <c r="A987" s="127"/>
      <c r="B987" s="127"/>
      <c r="C987" s="127"/>
      <c r="D987" s="127"/>
      <c r="E987" s="127"/>
      <c r="F987" s="127"/>
      <c r="G987" s="127"/>
      <c r="H987" s="127"/>
      <c r="I987" s="127"/>
      <c r="J987" s="127"/>
      <c r="K987" s="127"/>
      <c r="L987" s="127"/>
      <c r="M987" s="127"/>
      <c r="N987" s="127"/>
      <c r="O987" s="127"/>
      <c r="P987" s="127"/>
      <c r="Q987" s="127"/>
      <c r="R987" s="127"/>
      <c r="S987" s="127"/>
      <c r="T987" s="127"/>
      <c r="U987" s="127"/>
      <c r="V987" s="127"/>
      <c r="W987" s="127"/>
      <c r="X987" s="127"/>
      <c r="Y987" s="127"/>
      <c r="Z987" s="127"/>
    </row>
    <row r="988" spans="1:26" ht="13.5" customHeight="1" x14ac:dyDescent="0.3">
      <c r="A988" s="127"/>
      <c r="B988" s="127"/>
      <c r="C988" s="127"/>
      <c r="D988" s="127"/>
      <c r="E988" s="127"/>
      <c r="F988" s="127"/>
      <c r="G988" s="127"/>
      <c r="H988" s="127"/>
      <c r="I988" s="127"/>
      <c r="J988" s="127"/>
      <c r="K988" s="127"/>
      <c r="L988" s="127"/>
      <c r="M988" s="127"/>
      <c r="N988" s="127"/>
      <c r="O988" s="127"/>
      <c r="P988" s="127"/>
      <c r="Q988" s="127"/>
      <c r="R988" s="127"/>
      <c r="S988" s="127"/>
      <c r="T988" s="127"/>
      <c r="U988" s="127"/>
      <c r="V988" s="127"/>
      <c r="W988" s="127"/>
      <c r="X988" s="127"/>
      <c r="Y988" s="127"/>
      <c r="Z988" s="127"/>
    </row>
    <row r="989" spans="1:26" ht="13.5" customHeight="1" x14ac:dyDescent="0.3">
      <c r="A989" s="127"/>
      <c r="B989" s="127"/>
      <c r="C989" s="127"/>
      <c r="D989" s="127"/>
      <c r="E989" s="127"/>
      <c r="F989" s="127"/>
      <c r="G989" s="127"/>
      <c r="H989" s="127"/>
      <c r="I989" s="127"/>
      <c r="J989" s="127"/>
      <c r="K989" s="127"/>
      <c r="L989" s="127"/>
      <c r="M989" s="127"/>
      <c r="N989" s="127"/>
      <c r="O989" s="127"/>
      <c r="P989" s="127"/>
      <c r="Q989" s="127"/>
      <c r="R989" s="127"/>
      <c r="S989" s="127"/>
      <c r="T989" s="127"/>
      <c r="U989" s="127"/>
      <c r="V989" s="127"/>
      <c r="W989" s="127"/>
      <c r="X989" s="127"/>
      <c r="Y989" s="127"/>
      <c r="Z989" s="127"/>
    </row>
    <row r="990" spans="1:26" ht="13.5" customHeight="1" x14ac:dyDescent="0.3">
      <c r="A990" s="127"/>
      <c r="B990" s="127"/>
      <c r="C990" s="127"/>
      <c r="D990" s="127"/>
      <c r="E990" s="127"/>
      <c r="F990" s="127"/>
      <c r="G990" s="127"/>
      <c r="H990" s="127"/>
      <c r="I990" s="127"/>
      <c r="J990" s="127"/>
      <c r="K990" s="127"/>
      <c r="L990" s="127"/>
      <c r="M990" s="127"/>
      <c r="N990" s="127"/>
      <c r="O990" s="127"/>
      <c r="P990" s="127"/>
      <c r="Q990" s="127"/>
      <c r="R990" s="127"/>
      <c r="S990" s="127"/>
      <c r="T990" s="127"/>
      <c r="U990" s="127"/>
      <c r="V990" s="127"/>
      <c r="W990" s="127"/>
      <c r="X990" s="127"/>
      <c r="Y990" s="127"/>
      <c r="Z990" s="127"/>
    </row>
    <row r="991" spans="1:26" ht="13.5" customHeight="1" x14ac:dyDescent="0.3">
      <c r="A991" s="127"/>
      <c r="B991" s="127"/>
      <c r="C991" s="127"/>
      <c r="D991" s="127"/>
      <c r="E991" s="127"/>
      <c r="F991" s="127"/>
      <c r="G991" s="127"/>
      <c r="H991" s="127"/>
      <c r="I991" s="127"/>
      <c r="J991" s="127"/>
      <c r="K991" s="127"/>
      <c r="L991" s="127"/>
      <c r="M991" s="127"/>
      <c r="N991" s="127"/>
      <c r="O991" s="127"/>
      <c r="P991" s="127"/>
      <c r="Q991" s="127"/>
      <c r="R991" s="127"/>
      <c r="S991" s="127"/>
      <c r="T991" s="127"/>
      <c r="U991" s="127"/>
      <c r="V991" s="127"/>
      <c r="W991" s="127"/>
      <c r="X991" s="127"/>
      <c r="Y991" s="127"/>
      <c r="Z991" s="127"/>
    </row>
    <row r="992" spans="1:26" ht="13.5" customHeight="1" x14ac:dyDescent="0.3">
      <c r="A992" s="127"/>
      <c r="B992" s="127"/>
      <c r="C992" s="127"/>
      <c r="D992" s="127"/>
      <c r="E992" s="127"/>
      <c r="F992" s="127"/>
      <c r="G992" s="127"/>
      <c r="H992" s="127"/>
      <c r="I992" s="127"/>
      <c r="J992" s="127"/>
      <c r="K992" s="127"/>
      <c r="L992" s="127"/>
      <c r="M992" s="127"/>
      <c r="N992" s="127"/>
      <c r="O992" s="127"/>
      <c r="P992" s="127"/>
      <c r="Q992" s="127"/>
      <c r="R992" s="127"/>
      <c r="S992" s="127"/>
      <c r="T992" s="127"/>
      <c r="U992" s="127"/>
      <c r="V992" s="127"/>
      <c r="W992" s="127"/>
      <c r="X992" s="127"/>
      <c r="Y992" s="127"/>
      <c r="Z992" s="127"/>
    </row>
    <row r="993" spans="1:26" ht="13.5" customHeight="1" x14ac:dyDescent="0.3">
      <c r="A993" s="127"/>
      <c r="B993" s="127"/>
      <c r="C993" s="127"/>
      <c r="D993" s="127"/>
      <c r="E993" s="127"/>
      <c r="F993" s="127"/>
      <c r="G993" s="127"/>
      <c r="H993" s="127"/>
      <c r="I993" s="127"/>
      <c r="J993" s="127"/>
      <c r="K993" s="127"/>
      <c r="L993" s="127"/>
      <c r="M993" s="127"/>
      <c r="N993" s="127"/>
      <c r="O993" s="127"/>
      <c r="P993" s="127"/>
      <c r="Q993" s="127"/>
      <c r="R993" s="127"/>
      <c r="S993" s="127"/>
      <c r="T993" s="127"/>
      <c r="U993" s="127"/>
      <c r="V993" s="127"/>
      <c r="W993" s="127"/>
      <c r="X993" s="127"/>
      <c r="Y993" s="127"/>
      <c r="Z993" s="127"/>
    </row>
    <row r="994" spans="1:26" ht="13.5" customHeight="1" x14ac:dyDescent="0.3">
      <c r="A994" s="127"/>
      <c r="B994" s="127"/>
      <c r="C994" s="127"/>
      <c r="D994" s="127"/>
      <c r="E994" s="127"/>
      <c r="F994" s="127"/>
      <c r="G994" s="127"/>
      <c r="H994" s="127"/>
      <c r="I994" s="127"/>
      <c r="J994" s="127"/>
      <c r="K994" s="127"/>
      <c r="L994" s="127"/>
      <c r="M994" s="127"/>
      <c r="N994" s="127"/>
      <c r="O994" s="127"/>
      <c r="P994" s="127"/>
      <c r="Q994" s="127"/>
      <c r="R994" s="127"/>
      <c r="S994" s="127"/>
      <c r="T994" s="127"/>
      <c r="U994" s="127"/>
      <c r="V994" s="127"/>
      <c r="W994" s="127"/>
      <c r="X994" s="127"/>
      <c r="Y994" s="127"/>
      <c r="Z994" s="127"/>
    </row>
    <row r="995" spans="1:26" ht="13.5" customHeight="1" x14ac:dyDescent="0.3">
      <c r="A995" s="127"/>
      <c r="B995" s="127"/>
      <c r="C995" s="127"/>
      <c r="D995" s="127"/>
      <c r="E995" s="127"/>
      <c r="F995" s="127"/>
      <c r="G995" s="127"/>
      <c r="H995" s="127"/>
      <c r="I995" s="127"/>
      <c r="J995" s="127"/>
      <c r="K995" s="127"/>
      <c r="L995" s="127"/>
      <c r="M995" s="127"/>
      <c r="N995" s="127"/>
      <c r="O995" s="127"/>
      <c r="P995" s="127"/>
      <c r="Q995" s="127"/>
      <c r="R995" s="127"/>
      <c r="S995" s="127"/>
      <c r="T995" s="127"/>
      <c r="U995" s="127"/>
      <c r="V995" s="127"/>
      <c r="W995" s="127"/>
      <c r="X995" s="127"/>
      <c r="Y995" s="127"/>
      <c r="Z995" s="127"/>
    </row>
    <row r="996" spans="1:26" ht="13.5" customHeight="1" x14ac:dyDescent="0.3">
      <c r="A996" s="127"/>
      <c r="B996" s="127"/>
      <c r="C996" s="127"/>
      <c r="D996" s="127"/>
      <c r="E996" s="127"/>
      <c r="F996" s="127"/>
      <c r="G996" s="127"/>
      <c r="H996" s="127"/>
      <c r="I996" s="127"/>
      <c r="J996" s="127"/>
      <c r="K996" s="127"/>
      <c r="L996" s="127"/>
      <c r="M996" s="127"/>
      <c r="N996" s="127"/>
      <c r="O996" s="127"/>
      <c r="P996" s="127"/>
      <c r="Q996" s="127"/>
      <c r="R996" s="127"/>
      <c r="S996" s="127"/>
      <c r="T996" s="127"/>
      <c r="U996" s="127"/>
      <c r="V996" s="127"/>
      <c r="W996" s="127"/>
      <c r="X996" s="127"/>
      <c r="Y996" s="127"/>
      <c r="Z996" s="127"/>
    </row>
    <row r="997" spans="1:26" ht="13.5" customHeight="1" x14ac:dyDescent="0.3">
      <c r="A997" s="127"/>
      <c r="B997" s="127"/>
      <c r="C997" s="127"/>
      <c r="D997" s="127"/>
      <c r="E997" s="127"/>
      <c r="F997" s="127"/>
      <c r="G997" s="127"/>
      <c r="H997" s="127"/>
      <c r="I997" s="127"/>
      <c r="J997" s="127"/>
      <c r="K997" s="127"/>
      <c r="L997" s="127"/>
      <c r="M997" s="127"/>
      <c r="N997" s="127"/>
      <c r="O997" s="127"/>
      <c r="P997" s="127"/>
      <c r="Q997" s="127"/>
      <c r="R997" s="127"/>
      <c r="S997" s="127"/>
      <c r="T997" s="127"/>
      <c r="U997" s="127"/>
      <c r="V997" s="127"/>
      <c r="W997" s="127"/>
      <c r="X997" s="127"/>
      <c r="Y997" s="127"/>
      <c r="Z997" s="127"/>
    </row>
    <row r="998" spans="1:26" ht="13.5" customHeight="1" x14ac:dyDescent="0.3">
      <c r="A998" s="127"/>
      <c r="B998" s="127"/>
      <c r="C998" s="127"/>
      <c r="D998" s="127"/>
      <c r="E998" s="127"/>
      <c r="F998" s="127"/>
      <c r="G998" s="127"/>
      <c r="H998" s="127"/>
      <c r="I998" s="127"/>
      <c r="J998" s="127"/>
      <c r="K998" s="127"/>
      <c r="L998" s="127"/>
      <c r="M998" s="127"/>
      <c r="N998" s="127"/>
      <c r="O998" s="127"/>
      <c r="P998" s="127"/>
      <c r="Q998" s="127"/>
      <c r="R998" s="127"/>
      <c r="S998" s="127"/>
      <c r="T998" s="127"/>
      <c r="U998" s="127"/>
      <c r="V998" s="127"/>
      <c r="W998" s="127"/>
      <c r="X998" s="127"/>
      <c r="Y998" s="127"/>
      <c r="Z998" s="127"/>
    </row>
    <row r="999" spans="1:26" ht="13.5" customHeight="1" x14ac:dyDescent="0.3">
      <c r="A999" s="127"/>
      <c r="B999" s="127"/>
      <c r="C999" s="127"/>
      <c r="D999" s="127"/>
      <c r="E999" s="127"/>
      <c r="F999" s="127"/>
      <c r="G999" s="127"/>
      <c r="H999" s="127"/>
      <c r="I999" s="127"/>
      <c r="J999" s="127"/>
      <c r="K999" s="127"/>
      <c r="L999" s="127"/>
      <c r="M999" s="127"/>
      <c r="N999" s="127"/>
      <c r="O999" s="127"/>
      <c r="P999" s="127"/>
      <c r="Q999" s="127"/>
      <c r="R999" s="127"/>
      <c r="S999" s="127"/>
      <c r="T999" s="127"/>
      <c r="U999" s="127"/>
      <c r="V999" s="127"/>
      <c r="W999" s="127"/>
      <c r="X999" s="127"/>
      <c r="Y999" s="127"/>
      <c r="Z999" s="127"/>
    </row>
    <row r="1000" spans="1:26" ht="13.5" customHeight="1" x14ac:dyDescent="0.3">
      <c r="A1000" s="127"/>
      <c r="B1000" s="127"/>
      <c r="C1000" s="127"/>
      <c r="D1000" s="127"/>
      <c r="E1000" s="127"/>
      <c r="F1000" s="127"/>
      <c r="G1000" s="127"/>
      <c r="H1000" s="127"/>
      <c r="I1000" s="127"/>
      <c r="J1000" s="127"/>
      <c r="K1000" s="127"/>
      <c r="L1000" s="127"/>
      <c r="M1000" s="127"/>
      <c r="N1000" s="127"/>
      <c r="O1000" s="127"/>
      <c r="P1000" s="127"/>
      <c r="Q1000" s="127"/>
      <c r="R1000" s="127"/>
      <c r="S1000" s="127"/>
      <c r="T1000" s="127"/>
      <c r="U1000" s="127"/>
      <c r="V1000" s="127"/>
      <c r="W1000" s="127"/>
      <c r="X1000" s="127"/>
      <c r="Y1000" s="127"/>
      <c r="Z1000" s="127"/>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x14ac:dyDescent="0.3"/>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x14ac:dyDescent="0.3">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12.75" customHeight="1" x14ac:dyDescent="0.3">
      <c r="A2" s="142"/>
      <c r="B2" s="39"/>
      <c r="C2" s="19"/>
      <c r="D2" s="19"/>
      <c r="E2" s="19"/>
      <c r="F2" s="19"/>
      <c r="G2" s="19"/>
      <c r="H2" s="19"/>
      <c r="I2" s="19"/>
      <c r="J2" s="142"/>
      <c r="K2" s="142"/>
      <c r="L2" s="142"/>
      <c r="M2" s="142"/>
      <c r="N2" s="142"/>
      <c r="O2" s="142"/>
      <c r="P2" s="142"/>
      <c r="Q2" s="142"/>
      <c r="R2" s="142"/>
      <c r="S2" s="142"/>
      <c r="T2" s="142"/>
      <c r="U2" s="142"/>
      <c r="V2" s="142"/>
      <c r="W2" s="142"/>
      <c r="X2" s="142"/>
      <c r="Y2" s="142"/>
      <c r="Z2" s="142"/>
    </row>
    <row r="3" spans="1:26" ht="12.75" customHeight="1" x14ac:dyDescent="0.3">
      <c r="A3" s="142"/>
      <c r="B3" s="19"/>
      <c r="C3" s="19"/>
      <c r="D3" s="19"/>
      <c r="E3" s="229" t="s">
        <v>166</v>
      </c>
      <c r="F3" s="169"/>
      <c r="G3" s="169"/>
      <c r="H3" s="169"/>
      <c r="I3" s="169"/>
      <c r="J3" s="142"/>
      <c r="K3" s="142"/>
      <c r="L3" s="142"/>
      <c r="M3" s="142"/>
      <c r="N3" s="142"/>
      <c r="O3" s="142"/>
      <c r="P3" s="142"/>
      <c r="Q3" s="142"/>
      <c r="R3" s="142"/>
      <c r="S3" s="142"/>
      <c r="T3" s="142"/>
      <c r="U3" s="142"/>
      <c r="V3" s="142"/>
      <c r="W3" s="142"/>
      <c r="X3" s="142"/>
      <c r="Y3" s="142"/>
      <c r="Z3" s="142"/>
    </row>
    <row r="4" spans="1:26" ht="6.75" customHeight="1" x14ac:dyDescent="0.3">
      <c r="A4" s="142"/>
      <c r="B4" s="19"/>
      <c r="C4" s="19"/>
      <c r="D4" s="19"/>
      <c r="E4" s="19"/>
      <c r="F4" s="19"/>
      <c r="G4" s="19"/>
      <c r="H4" s="19"/>
      <c r="I4" s="19"/>
      <c r="J4" s="142"/>
      <c r="K4" s="142"/>
      <c r="L4" s="142"/>
      <c r="M4" s="142"/>
      <c r="N4" s="142"/>
      <c r="O4" s="142"/>
      <c r="P4" s="142"/>
      <c r="Q4" s="142"/>
      <c r="R4" s="142"/>
      <c r="S4" s="142"/>
      <c r="T4" s="142"/>
      <c r="U4" s="142"/>
      <c r="V4" s="142"/>
      <c r="W4" s="142"/>
      <c r="X4" s="142"/>
      <c r="Y4" s="142"/>
      <c r="Z4" s="142"/>
    </row>
    <row r="5" spans="1:26" ht="12.75" customHeight="1" x14ac:dyDescent="0.3">
      <c r="A5" s="142"/>
      <c r="B5" s="19"/>
      <c r="C5" s="19"/>
      <c r="D5" s="19"/>
      <c r="E5" s="19"/>
      <c r="F5" s="19"/>
      <c r="G5" s="19"/>
      <c r="H5" s="19"/>
      <c r="I5" s="19"/>
      <c r="J5" s="142"/>
      <c r="K5" s="142"/>
      <c r="L5" s="142"/>
      <c r="M5" s="142"/>
      <c r="N5" s="142"/>
      <c r="O5" s="142"/>
      <c r="P5" s="142"/>
      <c r="Q5" s="142"/>
      <c r="R5" s="142"/>
      <c r="S5" s="142"/>
      <c r="T5" s="142"/>
      <c r="U5" s="142"/>
      <c r="V5" s="142"/>
      <c r="W5" s="142"/>
      <c r="X5" s="142"/>
      <c r="Y5" s="142"/>
      <c r="Z5" s="142"/>
    </row>
    <row r="6" spans="1:26" ht="12.75" customHeight="1" x14ac:dyDescent="0.3">
      <c r="A6" s="142"/>
      <c r="B6" s="143" t="s">
        <v>8</v>
      </c>
      <c r="C6" s="19"/>
      <c r="D6" s="19"/>
      <c r="E6" s="19"/>
      <c r="F6" s="19"/>
      <c r="G6" s="19" t="str">
        <f>CARÁTULA!$C$15</f>
        <v>Instituto Tecnico Humanistico Jauzel Arrieta</v>
      </c>
      <c r="H6" s="143" t="s">
        <v>19</v>
      </c>
      <c r="I6" s="40">
        <f>CARÁTULA!$C$25</f>
        <v>0</v>
      </c>
      <c r="J6" s="142"/>
      <c r="K6" s="142"/>
      <c r="L6" s="142"/>
      <c r="M6" s="142"/>
      <c r="N6" s="142"/>
      <c r="O6" s="142"/>
      <c r="P6" s="142"/>
      <c r="Q6" s="142"/>
      <c r="R6" s="142"/>
      <c r="S6" s="142"/>
      <c r="T6" s="142"/>
      <c r="U6" s="142"/>
      <c r="V6" s="142"/>
      <c r="W6" s="142"/>
      <c r="X6" s="142"/>
      <c r="Y6" s="142"/>
      <c r="Z6" s="142"/>
    </row>
    <row r="7" spans="1:26" ht="12.75" customHeight="1" x14ac:dyDescent="0.3">
      <c r="A7" s="142"/>
      <c r="B7" s="143" t="s">
        <v>14</v>
      </c>
      <c r="C7" s="19"/>
      <c r="D7" s="19"/>
      <c r="E7" s="19"/>
      <c r="F7" s="19"/>
      <c r="G7" s="40" t="str">
        <f>CARÁTULA!$C$21</f>
        <v>Secundaria</v>
      </c>
      <c r="H7" s="143" t="s">
        <v>53</v>
      </c>
      <c r="I7" s="19">
        <f>CARÁTULA!$C$19</f>
        <v>0</v>
      </c>
      <c r="J7" s="142"/>
      <c r="K7" s="142"/>
      <c r="L7" s="142"/>
      <c r="M7" s="142"/>
      <c r="N7" s="142"/>
      <c r="O7" s="142"/>
      <c r="P7" s="142"/>
      <c r="Q7" s="142"/>
      <c r="R7" s="142"/>
      <c r="S7" s="142"/>
      <c r="T7" s="142"/>
      <c r="U7" s="142"/>
      <c r="V7" s="142"/>
      <c r="W7" s="142"/>
      <c r="X7" s="142"/>
      <c r="Y7" s="142"/>
      <c r="Z7" s="142"/>
    </row>
    <row r="8" spans="1:26" ht="12.75" customHeight="1" x14ac:dyDescent="0.3">
      <c r="A8" s="142"/>
      <c r="B8" s="143" t="s">
        <v>22</v>
      </c>
      <c r="C8" s="19"/>
      <c r="D8" s="19"/>
      <c r="E8" s="19"/>
      <c r="F8" s="19"/>
      <c r="G8" s="40" t="str">
        <f>CARÁTULA!$C$23</f>
        <v>4to de Secundaria</v>
      </c>
      <c r="H8" s="143" t="s">
        <v>23</v>
      </c>
      <c r="I8" s="133">
        <f ca="1">TODAY()</f>
        <v>44419</v>
      </c>
      <c r="J8" s="142"/>
      <c r="K8" s="142"/>
      <c r="L8" s="142"/>
      <c r="M8" s="142"/>
      <c r="N8" s="142"/>
      <c r="O8" s="142"/>
      <c r="P8" s="142"/>
      <c r="Q8" s="142"/>
      <c r="R8" s="142"/>
      <c r="S8" s="142"/>
      <c r="T8" s="142"/>
      <c r="U8" s="142"/>
      <c r="V8" s="142"/>
      <c r="W8" s="142"/>
      <c r="X8" s="142"/>
      <c r="Y8" s="142"/>
      <c r="Z8" s="142"/>
    </row>
    <row r="9" spans="1:26" ht="6.75" customHeight="1" x14ac:dyDescent="0.3">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row>
    <row r="10" spans="1:26" ht="12.75" hidden="1" customHeight="1" x14ac:dyDescent="0.3">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row>
    <row r="11" spans="1:26" ht="12.75" hidden="1" customHeight="1" x14ac:dyDescent="0.3">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2.75" hidden="1" customHeight="1" x14ac:dyDescent="0.3">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2.75" hidden="1" customHeight="1" x14ac:dyDescent="0.3">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12.75" hidden="1" customHeight="1" x14ac:dyDescent="0.3">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6.75" customHeight="1" x14ac:dyDescent="0.3">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2.75" customHeight="1" x14ac:dyDescent="0.3">
      <c r="A16" s="142"/>
      <c r="B16" s="142"/>
      <c r="C16" s="142"/>
      <c r="D16" s="142"/>
      <c r="E16" s="230" t="s">
        <v>167</v>
      </c>
      <c r="F16" s="231"/>
      <c r="G16" s="145" t="s">
        <v>24</v>
      </c>
      <c r="H16" s="146" t="s">
        <v>168</v>
      </c>
      <c r="I16" s="147"/>
      <c r="J16" s="142"/>
      <c r="K16" s="142"/>
      <c r="L16" s="142"/>
      <c r="M16" s="142"/>
      <c r="N16" s="142"/>
      <c r="O16" s="142"/>
      <c r="P16" s="142"/>
      <c r="Q16" s="142"/>
      <c r="R16" s="142"/>
      <c r="S16" s="142"/>
      <c r="T16" s="142"/>
      <c r="U16" s="142"/>
      <c r="V16" s="142"/>
      <c r="W16" s="142"/>
      <c r="X16" s="142"/>
      <c r="Y16" s="142"/>
      <c r="Z16" s="142"/>
    </row>
    <row r="17" spans="1:26" ht="12.75" customHeight="1" x14ac:dyDescent="0.3">
      <c r="A17" s="142"/>
      <c r="B17" s="142"/>
      <c r="C17" s="142"/>
      <c r="D17" s="142"/>
      <c r="E17" s="232"/>
      <c r="F17" s="192"/>
      <c r="G17" s="148" t="str">
        <f>'C. FILIACION'!B8</f>
        <v>BENITEZ BALLESTEROS KAREN ARIANA</v>
      </c>
      <c r="H17" s="149">
        <f>'CENTRAL 2'!F9</f>
        <v>90</v>
      </c>
      <c r="I17" s="142"/>
      <c r="J17" s="142"/>
      <c r="K17" s="142"/>
      <c r="L17" s="142"/>
      <c r="M17" s="142"/>
      <c r="N17" s="142"/>
      <c r="O17" s="142"/>
      <c r="P17" s="142"/>
      <c r="Q17" s="142"/>
      <c r="R17" s="142"/>
      <c r="S17" s="142"/>
      <c r="T17" s="142"/>
      <c r="U17" s="142"/>
      <c r="V17" s="142"/>
      <c r="W17" s="142"/>
      <c r="X17" s="142"/>
      <c r="Y17" s="142"/>
      <c r="Z17" s="142"/>
    </row>
    <row r="18" spans="1:26" ht="12.75" customHeight="1" x14ac:dyDescent="0.3">
      <c r="A18" s="142"/>
      <c r="B18" s="142"/>
      <c r="C18" s="142"/>
      <c r="D18" s="142"/>
      <c r="E18" s="232"/>
      <c r="F18" s="192"/>
      <c r="G18" s="148" t="str">
        <f>'C. FILIACION'!B9</f>
        <v>CALIZAYA MERCADO AXEL GABRIEL</v>
      </c>
      <c r="H18" s="149">
        <f>'CENTRAL 2'!F10</f>
        <v>61.666666666666664</v>
      </c>
      <c r="I18" s="142"/>
      <c r="J18" s="142"/>
      <c r="K18" s="142"/>
      <c r="L18" s="142"/>
      <c r="M18" s="142"/>
      <c r="N18" s="142"/>
      <c r="O18" s="142"/>
      <c r="P18" s="142"/>
      <c r="Q18" s="142"/>
      <c r="R18" s="142"/>
      <c r="S18" s="142"/>
      <c r="T18" s="142"/>
      <c r="U18" s="142"/>
      <c r="V18" s="142"/>
      <c r="W18" s="142"/>
      <c r="X18" s="142"/>
      <c r="Y18" s="142"/>
      <c r="Z18" s="142"/>
    </row>
    <row r="19" spans="1:26" ht="12.75" customHeight="1" x14ac:dyDescent="0.3">
      <c r="A19" s="142"/>
      <c r="B19" s="142"/>
      <c r="C19" s="142"/>
      <c r="D19" s="142"/>
      <c r="E19" s="232"/>
      <c r="F19" s="192"/>
      <c r="G19" s="148" t="str">
        <f>'C. FILIACION'!B10</f>
        <v>CANO GUZMAN FABRIZIO RODRIGO</v>
      </c>
      <c r="H19" s="149">
        <f>'CENTRAL 2'!F11</f>
        <v>63.666666666666664</v>
      </c>
      <c r="I19" s="142"/>
      <c r="J19" s="142"/>
      <c r="K19" s="142"/>
      <c r="L19" s="142"/>
      <c r="M19" s="142"/>
      <c r="N19" s="142"/>
      <c r="O19" s="142"/>
      <c r="P19" s="142"/>
      <c r="Q19" s="142"/>
      <c r="R19" s="142"/>
      <c r="S19" s="142"/>
      <c r="T19" s="142"/>
      <c r="U19" s="142"/>
      <c r="V19" s="142"/>
      <c r="W19" s="142"/>
      <c r="X19" s="142"/>
      <c r="Y19" s="142"/>
      <c r="Z19" s="142"/>
    </row>
    <row r="20" spans="1:26" ht="12.75" customHeight="1" x14ac:dyDescent="0.3">
      <c r="A20" s="142"/>
      <c r="B20" s="142"/>
      <c r="C20" s="142"/>
      <c r="D20" s="142"/>
      <c r="E20" s="232"/>
      <c r="F20" s="192"/>
      <c r="G20" s="148" t="str">
        <f>'C. FILIACION'!B11</f>
        <v>CHOQUE LAURA CARLOS EDUARDO</v>
      </c>
      <c r="H20" s="149">
        <f>'CENTRAL 2'!F12</f>
        <v>73.333333333333329</v>
      </c>
      <c r="I20" s="142"/>
      <c r="J20" s="142"/>
      <c r="K20" s="142"/>
      <c r="L20" s="142"/>
      <c r="M20" s="142"/>
      <c r="N20" s="142"/>
      <c r="O20" s="142"/>
      <c r="P20" s="142"/>
      <c r="Q20" s="142"/>
      <c r="R20" s="142"/>
      <c r="S20" s="142"/>
      <c r="T20" s="142"/>
      <c r="U20" s="142"/>
      <c r="V20" s="142"/>
      <c r="W20" s="142"/>
      <c r="X20" s="142"/>
      <c r="Y20" s="142"/>
      <c r="Z20" s="142"/>
    </row>
    <row r="21" spans="1:26" ht="12.75" customHeight="1" x14ac:dyDescent="0.3">
      <c r="A21" s="142"/>
      <c r="B21" s="142"/>
      <c r="C21" s="142"/>
      <c r="D21" s="142"/>
      <c r="E21" s="232"/>
      <c r="F21" s="192"/>
      <c r="G21" s="148" t="str">
        <f>'C. FILIACION'!B12</f>
        <v>CONDORI GALARZA DENSEL ALEXSIS</v>
      </c>
      <c r="H21" s="149">
        <f>'CENTRAL 2'!F13</f>
        <v>96.666666666666671</v>
      </c>
      <c r="I21" s="142"/>
      <c r="J21" s="142"/>
      <c r="K21" s="142"/>
      <c r="L21" s="142"/>
      <c r="M21" s="142"/>
      <c r="N21" s="142"/>
      <c r="O21" s="142"/>
      <c r="P21" s="142"/>
      <c r="Q21" s="142"/>
      <c r="R21" s="142"/>
      <c r="S21" s="142"/>
      <c r="T21" s="142"/>
      <c r="U21" s="142"/>
      <c r="V21" s="142"/>
      <c r="W21" s="142"/>
      <c r="X21" s="142"/>
      <c r="Y21" s="142"/>
      <c r="Z21" s="142"/>
    </row>
    <row r="22" spans="1:26" ht="12.75" customHeight="1" x14ac:dyDescent="0.3">
      <c r="A22" s="142"/>
      <c r="B22" s="142"/>
      <c r="C22" s="142"/>
      <c r="D22" s="142"/>
      <c r="E22" s="232"/>
      <c r="F22" s="192"/>
      <c r="G22" s="148" t="str">
        <f>'C. FILIACION'!B13</f>
        <v>DAZA RAMIREZ KALEP MATEO</v>
      </c>
      <c r="H22" s="149">
        <f>'CENTRAL 2'!F14</f>
        <v>66.666666666666671</v>
      </c>
      <c r="I22" s="142"/>
      <c r="J22" s="142"/>
      <c r="K22" s="142"/>
      <c r="L22" s="142"/>
      <c r="M22" s="142"/>
      <c r="N22" s="142"/>
      <c r="O22" s="142"/>
      <c r="P22" s="142"/>
      <c r="Q22" s="142"/>
      <c r="R22" s="142"/>
      <c r="S22" s="142"/>
      <c r="T22" s="142"/>
      <c r="U22" s="142"/>
      <c r="V22" s="142"/>
      <c r="W22" s="142"/>
      <c r="X22" s="142"/>
      <c r="Y22" s="142"/>
      <c r="Z22" s="142"/>
    </row>
    <row r="23" spans="1:26" ht="12.75" customHeight="1" x14ac:dyDescent="0.3">
      <c r="A23" s="142"/>
      <c r="B23" s="142"/>
      <c r="C23" s="142"/>
      <c r="D23" s="142"/>
      <c r="E23" s="232"/>
      <c r="F23" s="192"/>
      <c r="G23" s="148" t="str">
        <f>'C. FILIACION'!B14</f>
        <v>ESTRADA FUNES NAZARETH</v>
      </c>
      <c r="H23" s="149">
        <f>'CENTRAL 2'!F15</f>
        <v>90</v>
      </c>
      <c r="I23" s="142"/>
      <c r="J23" s="142"/>
      <c r="K23" s="142"/>
      <c r="L23" s="142"/>
      <c r="M23" s="142"/>
      <c r="N23" s="142"/>
      <c r="O23" s="142"/>
      <c r="P23" s="142"/>
      <c r="Q23" s="142"/>
      <c r="R23" s="142"/>
      <c r="S23" s="142"/>
      <c r="T23" s="142"/>
      <c r="U23" s="142"/>
      <c r="V23" s="142"/>
      <c r="W23" s="142"/>
      <c r="X23" s="142"/>
      <c r="Y23" s="142"/>
      <c r="Z23" s="142"/>
    </row>
    <row r="24" spans="1:26" ht="12.75" customHeight="1" x14ac:dyDescent="0.3">
      <c r="A24" s="142"/>
      <c r="B24" s="142"/>
      <c r="C24" s="142"/>
      <c r="D24" s="142"/>
      <c r="E24" s="232"/>
      <c r="F24" s="192"/>
      <c r="G24" s="148" t="str">
        <f>'C. FILIACION'!B15</f>
        <v>FLORES VILLEGAS CARLOS IVAN</v>
      </c>
      <c r="H24" s="149">
        <f>'CENTRAL 2'!F16</f>
        <v>73.333333333333329</v>
      </c>
      <c r="I24" s="142"/>
      <c r="J24" s="142"/>
      <c r="K24" s="142"/>
      <c r="L24" s="142"/>
      <c r="M24" s="142"/>
      <c r="N24" s="142"/>
      <c r="O24" s="142"/>
      <c r="P24" s="142"/>
      <c r="Q24" s="142"/>
      <c r="R24" s="142"/>
      <c r="S24" s="142"/>
      <c r="T24" s="142"/>
      <c r="U24" s="142"/>
      <c r="V24" s="142"/>
      <c r="W24" s="142"/>
      <c r="X24" s="142"/>
      <c r="Y24" s="142"/>
      <c r="Z24" s="142"/>
    </row>
    <row r="25" spans="1:26" ht="12.75" customHeight="1" x14ac:dyDescent="0.3">
      <c r="A25" s="142"/>
      <c r="B25" s="142"/>
      <c r="C25" s="142"/>
      <c r="D25" s="142"/>
      <c r="E25" s="232"/>
      <c r="F25" s="192"/>
      <c r="G25" s="148" t="str">
        <f>'C. FILIACION'!B16</f>
        <v>FRANCISCO RUIZ LUCERO</v>
      </c>
      <c r="H25" s="149">
        <f>'CENTRAL 2'!F17</f>
        <v>94</v>
      </c>
      <c r="I25" s="142"/>
      <c r="J25" s="142"/>
      <c r="K25" s="142"/>
      <c r="L25" s="142"/>
      <c r="M25" s="142"/>
      <c r="N25" s="142"/>
      <c r="O25" s="142"/>
      <c r="P25" s="142"/>
      <c r="Q25" s="142"/>
      <c r="R25" s="142"/>
      <c r="S25" s="142"/>
      <c r="T25" s="142"/>
      <c r="U25" s="142"/>
      <c r="V25" s="142"/>
      <c r="W25" s="142"/>
      <c r="X25" s="142"/>
      <c r="Y25" s="142"/>
      <c r="Z25" s="142"/>
    </row>
    <row r="26" spans="1:26" ht="12.75" customHeight="1" x14ac:dyDescent="0.3">
      <c r="A26" s="142"/>
      <c r="B26" s="142"/>
      <c r="C26" s="142"/>
      <c r="D26" s="142"/>
      <c r="E26" s="232"/>
      <c r="F26" s="192"/>
      <c r="G26" s="148" t="str">
        <f>'C. FILIACION'!B17</f>
        <v>IBARRA VINO ELOY INTI</v>
      </c>
      <c r="H26" s="149">
        <f>'CENTRAL 2'!F18</f>
        <v>91</v>
      </c>
      <c r="I26" s="142"/>
      <c r="J26" s="142"/>
      <c r="K26" s="142"/>
      <c r="L26" s="142"/>
      <c r="M26" s="142"/>
      <c r="N26" s="142"/>
      <c r="O26" s="142"/>
      <c r="P26" s="142"/>
      <c r="Q26" s="142"/>
      <c r="R26" s="142"/>
      <c r="S26" s="142"/>
      <c r="T26" s="142"/>
      <c r="U26" s="142"/>
      <c r="V26" s="142"/>
      <c r="W26" s="142"/>
      <c r="X26" s="142"/>
      <c r="Y26" s="142"/>
      <c r="Z26" s="142"/>
    </row>
    <row r="27" spans="1:26" ht="12.75" customHeight="1" x14ac:dyDescent="0.3">
      <c r="A27" s="142"/>
      <c r="B27" s="142"/>
      <c r="C27" s="142"/>
      <c r="D27" s="142"/>
      <c r="E27" s="232"/>
      <c r="F27" s="192"/>
      <c r="G27" s="148" t="str">
        <f>'C. FILIACION'!B18</f>
        <v>LOPEZ BLANCO SOFIA FELEN</v>
      </c>
      <c r="H27" s="149">
        <f>'CENTRAL 2'!F19</f>
        <v>83</v>
      </c>
      <c r="I27" s="142"/>
      <c r="J27" s="142"/>
      <c r="K27" s="142"/>
      <c r="L27" s="142"/>
      <c r="M27" s="142"/>
      <c r="N27" s="142"/>
      <c r="O27" s="142"/>
      <c r="P27" s="142"/>
      <c r="Q27" s="142"/>
      <c r="R27" s="142"/>
      <c r="S27" s="142"/>
      <c r="T27" s="142"/>
      <c r="U27" s="142"/>
      <c r="V27" s="142"/>
      <c r="W27" s="142"/>
      <c r="X27" s="142"/>
      <c r="Y27" s="142"/>
      <c r="Z27" s="142"/>
    </row>
    <row r="28" spans="1:26" ht="12.75" customHeight="1" x14ac:dyDescent="0.3">
      <c r="A28" s="142"/>
      <c r="B28" s="142"/>
      <c r="C28" s="142"/>
      <c r="D28" s="142"/>
      <c r="E28" s="232"/>
      <c r="F28" s="192"/>
      <c r="G28" s="148" t="str">
        <f>'C. FILIACION'!B19</f>
        <v>LOPEZ PACO RODRIGO ADRIAN</v>
      </c>
      <c r="H28" s="149">
        <f>'CENTRAL 2'!F20</f>
        <v>63.666666666666664</v>
      </c>
      <c r="I28" s="142"/>
      <c r="J28" s="142"/>
      <c r="K28" s="142"/>
      <c r="L28" s="142"/>
      <c r="M28" s="142"/>
      <c r="N28" s="142"/>
      <c r="O28" s="142"/>
      <c r="P28" s="142"/>
      <c r="Q28" s="142"/>
      <c r="R28" s="142"/>
      <c r="S28" s="142"/>
      <c r="T28" s="142"/>
      <c r="U28" s="142"/>
      <c r="V28" s="142"/>
      <c r="W28" s="142"/>
      <c r="X28" s="142"/>
      <c r="Y28" s="142"/>
      <c r="Z28" s="142"/>
    </row>
    <row r="29" spans="1:26" ht="12.75" customHeight="1" x14ac:dyDescent="0.3">
      <c r="A29" s="142"/>
      <c r="B29" s="142"/>
      <c r="C29" s="142"/>
      <c r="D29" s="142"/>
      <c r="E29" s="232"/>
      <c r="F29" s="192"/>
      <c r="G29" s="148" t="str">
        <f>'C. FILIACION'!B20</f>
        <v>LOPEZ VERA MILENCA</v>
      </c>
      <c r="H29" s="149">
        <f>'CENTRAL 2'!F21</f>
        <v>94.333333333333329</v>
      </c>
      <c r="I29" s="142"/>
      <c r="J29" s="142"/>
      <c r="K29" s="142"/>
      <c r="L29" s="142"/>
      <c r="M29" s="142"/>
      <c r="N29" s="142"/>
      <c r="O29" s="142"/>
      <c r="P29" s="142"/>
      <c r="Q29" s="142"/>
      <c r="R29" s="142"/>
      <c r="S29" s="142"/>
      <c r="T29" s="142"/>
      <c r="U29" s="142"/>
      <c r="V29" s="142"/>
      <c r="W29" s="142"/>
      <c r="X29" s="142"/>
      <c r="Y29" s="142"/>
      <c r="Z29" s="142"/>
    </row>
    <row r="30" spans="1:26" ht="12.75" customHeight="1" x14ac:dyDescent="0.3">
      <c r="A30" s="142"/>
      <c r="B30" s="142"/>
      <c r="C30" s="142"/>
      <c r="D30" s="142"/>
      <c r="E30" s="232"/>
      <c r="F30" s="192"/>
      <c r="G30" s="148" t="str">
        <f>'C. FILIACION'!B21</f>
        <v>MEDINA CHOQUE JOSE ROBERTO</v>
      </c>
      <c r="H30" s="149">
        <f>'CENTRAL 2'!F22</f>
        <v>81</v>
      </c>
      <c r="I30" s="142"/>
      <c r="J30" s="142"/>
      <c r="K30" s="142"/>
      <c r="L30" s="142"/>
      <c r="M30" s="142"/>
      <c r="N30" s="142"/>
      <c r="O30" s="142"/>
      <c r="P30" s="142"/>
      <c r="Q30" s="142"/>
      <c r="R30" s="142"/>
      <c r="S30" s="142"/>
      <c r="T30" s="142"/>
      <c r="U30" s="142"/>
      <c r="V30" s="142"/>
      <c r="W30" s="142"/>
      <c r="X30" s="142"/>
      <c r="Y30" s="142"/>
      <c r="Z30" s="142"/>
    </row>
    <row r="31" spans="1:26" ht="12.75" customHeight="1" x14ac:dyDescent="0.3">
      <c r="A31" s="142"/>
      <c r="B31" s="142"/>
      <c r="C31" s="142"/>
      <c r="D31" s="142"/>
      <c r="E31" s="232"/>
      <c r="F31" s="192"/>
      <c r="G31" s="148" t="str">
        <f>'C. FILIACION'!B22</f>
        <v>MIRABAL AYANOME JOSE ALFREDO</v>
      </c>
      <c r="H31" s="149">
        <f>'CENTRAL 2'!F23</f>
        <v>66.666666666666671</v>
      </c>
      <c r="I31" s="142"/>
      <c r="J31" s="142"/>
      <c r="K31" s="142"/>
      <c r="L31" s="142"/>
      <c r="M31" s="142"/>
      <c r="N31" s="142"/>
      <c r="O31" s="142"/>
      <c r="P31" s="142"/>
      <c r="Q31" s="142"/>
      <c r="R31" s="142"/>
      <c r="S31" s="142"/>
      <c r="T31" s="142"/>
      <c r="U31" s="142"/>
      <c r="V31" s="142"/>
      <c r="W31" s="142"/>
      <c r="X31" s="142"/>
      <c r="Y31" s="142"/>
      <c r="Z31" s="142"/>
    </row>
    <row r="32" spans="1:26" ht="12.75" customHeight="1" x14ac:dyDescent="0.3">
      <c r="A32" s="142"/>
      <c r="B32" s="142"/>
      <c r="C32" s="142"/>
      <c r="D32" s="142"/>
      <c r="E32" s="232"/>
      <c r="F32" s="192"/>
      <c r="G32" s="148" t="str">
        <f>'C. FILIACION'!B23</f>
        <v>NINA RUEDA ESTEFANY DANIELA</v>
      </c>
      <c r="H32" s="149">
        <f>'CENTRAL 2'!F24</f>
        <v>81.666666666666671</v>
      </c>
      <c r="I32" s="142"/>
      <c r="J32" s="142"/>
      <c r="K32" s="142"/>
      <c r="L32" s="142"/>
      <c r="M32" s="142"/>
      <c r="N32" s="142"/>
      <c r="O32" s="142"/>
      <c r="P32" s="142"/>
      <c r="Q32" s="142"/>
      <c r="R32" s="142"/>
      <c r="S32" s="142"/>
      <c r="T32" s="142"/>
      <c r="U32" s="142"/>
      <c r="V32" s="142"/>
      <c r="W32" s="142"/>
      <c r="X32" s="142"/>
      <c r="Y32" s="142"/>
      <c r="Z32" s="142"/>
    </row>
    <row r="33" spans="1:26" ht="12.75" customHeight="1" x14ac:dyDescent="0.3">
      <c r="A33" s="142"/>
      <c r="B33" s="142"/>
      <c r="C33" s="142"/>
      <c r="D33" s="142"/>
      <c r="E33" s="232"/>
      <c r="F33" s="192"/>
      <c r="G33" s="148" t="str">
        <f>'C. FILIACION'!B24</f>
        <v>PORTILLO QUISPE JORGE LUIS</v>
      </c>
      <c r="H33" s="149">
        <f>'CENTRAL 2'!F25</f>
        <v>79.333333333333329</v>
      </c>
      <c r="I33" s="142"/>
      <c r="J33" s="142"/>
      <c r="K33" s="142"/>
      <c r="L33" s="142"/>
      <c r="M33" s="142"/>
      <c r="N33" s="142"/>
      <c r="O33" s="142"/>
      <c r="P33" s="142"/>
      <c r="Q33" s="142"/>
      <c r="R33" s="142"/>
      <c r="S33" s="142"/>
      <c r="T33" s="142"/>
      <c r="U33" s="142"/>
      <c r="V33" s="142"/>
      <c r="W33" s="142"/>
      <c r="X33" s="142"/>
      <c r="Y33" s="142"/>
      <c r="Z33" s="142"/>
    </row>
    <row r="34" spans="1:26" ht="12.75" customHeight="1" x14ac:dyDescent="0.3">
      <c r="A34" s="142"/>
      <c r="B34" s="142"/>
      <c r="C34" s="142"/>
      <c r="D34" s="142"/>
      <c r="E34" s="232"/>
      <c r="F34" s="192"/>
      <c r="G34" s="148" t="str">
        <f>'C. FILIACION'!B25</f>
        <v>TORREZ PACO CARLA MILENKA</v>
      </c>
      <c r="H34" s="149">
        <f>'CENTRAL 2'!F26</f>
        <v>78.333333333333329</v>
      </c>
      <c r="I34" s="142"/>
      <c r="J34" s="142"/>
      <c r="K34" s="142"/>
      <c r="L34" s="142"/>
      <c r="M34" s="142"/>
      <c r="N34" s="142"/>
      <c r="O34" s="142"/>
      <c r="P34" s="142"/>
      <c r="Q34" s="142"/>
      <c r="R34" s="142"/>
      <c r="S34" s="142"/>
      <c r="T34" s="142"/>
      <c r="U34" s="142"/>
      <c r="V34" s="142"/>
      <c r="W34" s="142"/>
      <c r="X34" s="142"/>
      <c r="Y34" s="142"/>
      <c r="Z34" s="142"/>
    </row>
    <row r="35" spans="1:26" ht="12.75" customHeight="1" x14ac:dyDescent="0.3">
      <c r="A35" s="142"/>
      <c r="B35" s="142"/>
      <c r="C35" s="142"/>
      <c r="D35" s="142"/>
      <c r="E35" s="233"/>
      <c r="F35" s="192"/>
      <c r="G35" s="148">
        <f>'C. FILIACION'!B26</f>
        <v>0</v>
      </c>
      <c r="H35" s="149">
        <f>'CENTRAL 2'!F27</f>
        <v>76.666666666666671</v>
      </c>
      <c r="I35" s="142"/>
      <c r="J35" s="142"/>
      <c r="K35" s="142"/>
      <c r="L35" s="142"/>
      <c r="M35" s="142"/>
      <c r="N35" s="142"/>
      <c r="O35" s="142"/>
      <c r="P35" s="142"/>
      <c r="Q35" s="142"/>
      <c r="R35" s="142"/>
      <c r="S35" s="142"/>
      <c r="T35" s="142"/>
      <c r="U35" s="142"/>
      <c r="V35" s="142"/>
      <c r="W35" s="142"/>
      <c r="X35" s="142"/>
      <c r="Y35" s="142"/>
      <c r="Z35" s="142"/>
    </row>
    <row r="36" spans="1:26" ht="12.75" customHeight="1" x14ac:dyDescent="0.3">
      <c r="A36" s="142"/>
      <c r="B36" s="142"/>
      <c r="C36" s="142"/>
      <c r="D36" s="142"/>
      <c r="E36" s="232"/>
      <c r="F36" s="192"/>
      <c r="G36" s="148">
        <f>'C. FILIACION'!B27</f>
        <v>0</v>
      </c>
      <c r="H36" s="149">
        <f>'CENTRAL 2'!F28</f>
        <v>76.666666666666671</v>
      </c>
      <c r="I36" s="142"/>
      <c r="J36" s="142"/>
      <c r="K36" s="142"/>
      <c r="L36" s="142"/>
      <c r="M36" s="142"/>
      <c r="N36" s="142"/>
      <c r="O36" s="142"/>
      <c r="P36" s="142"/>
      <c r="Q36" s="142"/>
      <c r="R36" s="142"/>
      <c r="S36" s="142"/>
      <c r="T36" s="142"/>
      <c r="U36" s="142"/>
      <c r="V36" s="142"/>
      <c r="W36" s="142"/>
      <c r="X36" s="142"/>
      <c r="Y36" s="142"/>
      <c r="Z36" s="142"/>
    </row>
    <row r="37" spans="1:26" ht="12.75" customHeight="1" x14ac:dyDescent="0.3">
      <c r="A37" s="142"/>
      <c r="B37" s="142"/>
      <c r="C37" s="142"/>
      <c r="D37" s="142"/>
      <c r="E37" s="232"/>
      <c r="F37" s="192"/>
      <c r="G37" s="148">
        <f>'C. FILIACION'!B28</f>
        <v>0</v>
      </c>
      <c r="H37" s="149">
        <f>'CENTRAL 2'!F29</f>
        <v>76.666666666666671</v>
      </c>
      <c r="I37" s="142"/>
      <c r="J37" s="142"/>
      <c r="K37" s="142"/>
      <c r="L37" s="142"/>
      <c r="M37" s="142"/>
      <c r="N37" s="142"/>
      <c r="O37" s="142"/>
      <c r="P37" s="142"/>
      <c r="Q37" s="142"/>
      <c r="R37" s="142"/>
      <c r="S37" s="142"/>
      <c r="T37" s="142"/>
      <c r="U37" s="142"/>
      <c r="V37" s="142"/>
      <c r="W37" s="142"/>
      <c r="X37" s="142"/>
      <c r="Y37" s="142"/>
      <c r="Z37" s="142"/>
    </row>
    <row r="38" spans="1:26" ht="12.75" customHeight="1" x14ac:dyDescent="0.3">
      <c r="A38" s="142"/>
      <c r="B38" s="142"/>
      <c r="C38" s="142"/>
      <c r="D38" s="142"/>
      <c r="E38" s="232"/>
      <c r="F38" s="192"/>
      <c r="G38" s="148">
        <f>'C. FILIACION'!B29</f>
        <v>0</v>
      </c>
      <c r="H38" s="149">
        <f>'CENTRAL 2'!F30</f>
        <v>76.666666666666671</v>
      </c>
      <c r="I38" s="142"/>
      <c r="J38" s="142"/>
      <c r="K38" s="142"/>
      <c r="L38" s="142"/>
      <c r="M38" s="142"/>
      <c r="N38" s="142"/>
      <c r="O38" s="142"/>
      <c r="P38" s="142"/>
      <c r="Q38" s="142"/>
      <c r="R38" s="142"/>
      <c r="S38" s="142"/>
      <c r="T38" s="142"/>
      <c r="U38" s="142"/>
      <c r="V38" s="142"/>
      <c r="W38" s="142"/>
      <c r="X38" s="142"/>
      <c r="Y38" s="142"/>
      <c r="Z38" s="142"/>
    </row>
    <row r="39" spans="1:26" ht="12.75" customHeight="1" x14ac:dyDescent="0.3">
      <c r="A39" s="142"/>
      <c r="B39" s="142"/>
      <c r="C39" s="142"/>
      <c r="D39" s="142"/>
      <c r="E39" s="232"/>
      <c r="F39" s="192"/>
      <c r="G39" s="148">
        <f>'C. FILIACION'!B30</f>
        <v>0</v>
      </c>
      <c r="H39" s="149">
        <f>'CENTRAL 2'!F31</f>
        <v>76.666666666666671</v>
      </c>
      <c r="I39" s="142"/>
      <c r="J39" s="142"/>
      <c r="K39" s="142"/>
      <c r="L39" s="142"/>
      <c r="M39" s="142"/>
      <c r="N39" s="142"/>
      <c r="O39" s="142"/>
      <c r="P39" s="142"/>
      <c r="Q39" s="142"/>
      <c r="R39" s="142"/>
      <c r="S39" s="142"/>
      <c r="T39" s="142"/>
      <c r="U39" s="142"/>
      <c r="V39" s="142"/>
      <c r="W39" s="142"/>
      <c r="X39" s="142"/>
      <c r="Y39" s="142"/>
      <c r="Z39" s="142"/>
    </row>
    <row r="40" spans="1:26" ht="12.75" customHeight="1" x14ac:dyDescent="0.3">
      <c r="A40" s="142"/>
      <c r="B40" s="142"/>
      <c r="C40" s="142"/>
      <c r="D40" s="142"/>
      <c r="E40" s="232"/>
      <c r="F40" s="192"/>
      <c r="G40" s="148">
        <f>'C. FILIACION'!B31</f>
        <v>0</v>
      </c>
      <c r="H40" s="149">
        <f>'CENTRAL 2'!F32</f>
        <v>76.666666666666671</v>
      </c>
      <c r="I40" s="142"/>
      <c r="J40" s="142"/>
      <c r="K40" s="142"/>
      <c r="L40" s="142"/>
      <c r="M40" s="142"/>
      <c r="N40" s="142"/>
      <c r="O40" s="142"/>
      <c r="P40" s="142"/>
      <c r="Q40" s="142"/>
      <c r="R40" s="142"/>
      <c r="S40" s="142"/>
      <c r="T40" s="142"/>
      <c r="U40" s="142"/>
      <c r="V40" s="142"/>
      <c r="W40" s="142"/>
      <c r="X40" s="142"/>
      <c r="Y40" s="142"/>
      <c r="Z40" s="142"/>
    </row>
    <row r="41" spans="1:26" ht="12.75" customHeight="1" x14ac:dyDescent="0.3">
      <c r="A41" s="142"/>
      <c r="B41" s="142"/>
      <c r="C41" s="142"/>
      <c r="D41" s="142"/>
      <c r="E41" s="232"/>
      <c r="F41" s="192"/>
      <c r="G41" s="148">
        <f>'C. FILIACION'!B32</f>
        <v>0</v>
      </c>
      <c r="H41" s="149">
        <f>'CENTRAL 2'!F33</f>
        <v>76.666666666666671</v>
      </c>
      <c r="I41" s="142"/>
      <c r="J41" s="142"/>
      <c r="K41" s="142"/>
      <c r="L41" s="142"/>
      <c r="M41" s="142"/>
      <c r="N41" s="142"/>
      <c r="O41" s="142"/>
      <c r="P41" s="142"/>
      <c r="Q41" s="142"/>
      <c r="R41" s="142"/>
      <c r="S41" s="142"/>
      <c r="T41" s="142"/>
      <c r="U41" s="142"/>
      <c r="V41" s="142"/>
      <c r="W41" s="142"/>
      <c r="X41" s="142"/>
      <c r="Y41" s="142"/>
      <c r="Z41" s="142"/>
    </row>
    <row r="42" spans="1:26" ht="12.75" customHeight="1" x14ac:dyDescent="0.3">
      <c r="A42" s="142"/>
      <c r="B42" s="142"/>
      <c r="C42" s="142"/>
      <c r="D42" s="142"/>
      <c r="E42" s="232"/>
      <c r="F42" s="192"/>
      <c r="G42" s="148">
        <f>'C. FILIACION'!B33</f>
        <v>0</v>
      </c>
      <c r="H42" s="149">
        <f>'CENTRAL 2'!F34</f>
        <v>76.666666666666671</v>
      </c>
      <c r="I42" s="142"/>
      <c r="J42" s="142"/>
      <c r="K42" s="142"/>
      <c r="L42" s="142"/>
      <c r="M42" s="142"/>
      <c r="N42" s="142"/>
      <c r="O42" s="142"/>
      <c r="P42" s="142"/>
      <c r="Q42" s="142"/>
      <c r="R42" s="142"/>
      <c r="S42" s="142"/>
      <c r="T42" s="142"/>
      <c r="U42" s="142"/>
      <c r="V42" s="142"/>
      <c r="W42" s="142"/>
      <c r="X42" s="142"/>
      <c r="Y42" s="142"/>
      <c r="Z42" s="142"/>
    </row>
    <row r="43" spans="1:26" ht="12.75" customHeight="1" x14ac:dyDescent="0.3">
      <c r="A43" s="142"/>
      <c r="B43" s="142"/>
      <c r="C43" s="142"/>
      <c r="D43" s="142"/>
      <c r="E43" s="232"/>
      <c r="F43" s="192"/>
      <c r="G43" s="148">
        <f>'C. FILIACION'!B34</f>
        <v>0</v>
      </c>
      <c r="H43" s="149">
        <f>'CENTRAL 2'!F35</f>
        <v>76.666666666666671</v>
      </c>
      <c r="I43" s="142"/>
      <c r="J43" s="142"/>
      <c r="K43" s="142"/>
      <c r="L43" s="142"/>
      <c r="M43" s="142"/>
      <c r="N43" s="142"/>
      <c r="O43" s="142"/>
      <c r="P43" s="142"/>
      <c r="Q43" s="142"/>
      <c r="R43" s="142"/>
      <c r="S43" s="142"/>
      <c r="T43" s="142"/>
      <c r="U43" s="142"/>
      <c r="V43" s="142"/>
      <c r="W43" s="142"/>
      <c r="X43" s="142"/>
      <c r="Y43" s="142"/>
      <c r="Z43" s="142"/>
    </row>
    <row r="44" spans="1:26" ht="12.75" customHeight="1" x14ac:dyDescent="0.3">
      <c r="A44" s="142"/>
      <c r="B44" s="142"/>
      <c r="C44" s="142"/>
      <c r="D44" s="142"/>
      <c r="E44" s="232"/>
      <c r="F44" s="192"/>
      <c r="G44" s="148">
        <f>'C. FILIACION'!B35</f>
        <v>0</v>
      </c>
      <c r="H44" s="149">
        <f>'CENTRAL 2'!F36</f>
        <v>76.666666666666671</v>
      </c>
      <c r="I44" s="142"/>
      <c r="J44" s="142"/>
      <c r="K44" s="142"/>
      <c r="L44" s="142"/>
      <c r="M44" s="142"/>
      <c r="N44" s="142"/>
      <c r="O44" s="142"/>
      <c r="P44" s="142"/>
      <c r="Q44" s="142"/>
      <c r="R44" s="142"/>
      <c r="S44" s="142"/>
      <c r="T44" s="142"/>
      <c r="U44" s="142"/>
      <c r="V44" s="142"/>
      <c r="W44" s="142"/>
      <c r="X44" s="142"/>
      <c r="Y44" s="142"/>
      <c r="Z44" s="142"/>
    </row>
    <row r="45" spans="1:26" ht="12.75" customHeight="1" x14ac:dyDescent="0.3">
      <c r="A45" s="142"/>
      <c r="B45" s="142"/>
      <c r="C45" s="142"/>
      <c r="D45" s="142"/>
      <c r="E45" s="232"/>
      <c r="F45" s="192"/>
      <c r="G45" s="148">
        <f>'C. FILIACION'!B36</f>
        <v>0</v>
      </c>
      <c r="H45" s="149">
        <f>'CENTRAL 2'!F37</f>
        <v>88.333333333333329</v>
      </c>
      <c r="I45" s="142"/>
      <c r="J45" s="142"/>
      <c r="K45" s="142"/>
      <c r="L45" s="142"/>
      <c r="M45" s="142"/>
      <c r="N45" s="142"/>
      <c r="O45" s="142"/>
      <c r="P45" s="142"/>
      <c r="Q45" s="142"/>
      <c r="R45" s="142"/>
      <c r="S45" s="142"/>
      <c r="T45" s="142"/>
      <c r="U45" s="142"/>
      <c r="V45" s="142"/>
      <c r="W45" s="142"/>
      <c r="X45" s="142"/>
      <c r="Y45" s="142"/>
      <c r="Z45" s="142"/>
    </row>
    <row r="46" spans="1:26" ht="12.75" customHeight="1" x14ac:dyDescent="0.3">
      <c r="A46" s="142"/>
      <c r="B46" s="142"/>
      <c r="C46" s="142"/>
      <c r="D46" s="142"/>
      <c r="E46" s="232"/>
      <c r="F46" s="192"/>
      <c r="G46" s="148">
        <f>'C. FILIACION'!B37</f>
        <v>0</v>
      </c>
      <c r="H46" s="149">
        <f>'CENTRAL 2'!F38</f>
        <v>100</v>
      </c>
      <c r="I46" s="142"/>
      <c r="J46" s="142"/>
      <c r="K46" s="142"/>
      <c r="L46" s="142"/>
      <c r="M46" s="142"/>
      <c r="N46" s="142"/>
      <c r="O46" s="142"/>
      <c r="P46" s="142"/>
      <c r="Q46" s="142"/>
      <c r="R46" s="142"/>
      <c r="S46" s="142"/>
      <c r="T46" s="142"/>
      <c r="U46" s="142"/>
      <c r="V46" s="142"/>
      <c r="W46" s="142"/>
      <c r="X46" s="142"/>
      <c r="Y46" s="142"/>
      <c r="Z46" s="142"/>
    </row>
    <row r="47" spans="1:26" ht="12.75" customHeight="1" x14ac:dyDescent="0.3">
      <c r="A47" s="142"/>
      <c r="B47" s="142"/>
      <c r="C47" s="142"/>
      <c r="D47" s="142"/>
      <c r="E47" s="232"/>
      <c r="F47" s="192"/>
      <c r="G47" s="148">
        <f>'C. FILIACION'!B38</f>
        <v>0</v>
      </c>
      <c r="H47" s="149">
        <f>'CENTRAL 2'!F39</f>
        <v>100</v>
      </c>
      <c r="I47" s="142"/>
      <c r="J47" s="142"/>
      <c r="K47" s="142"/>
      <c r="L47" s="142"/>
      <c r="M47" s="142"/>
      <c r="N47" s="142"/>
      <c r="O47" s="142"/>
      <c r="P47" s="142"/>
      <c r="Q47" s="142"/>
      <c r="R47" s="142"/>
      <c r="S47" s="142"/>
      <c r="T47" s="142"/>
      <c r="U47" s="142"/>
      <c r="V47" s="142"/>
      <c r="W47" s="142"/>
      <c r="X47" s="142"/>
      <c r="Y47" s="142"/>
      <c r="Z47" s="142"/>
    </row>
    <row r="48" spans="1:26" ht="12.75" customHeight="1" x14ac:dyDescent="0.3">
      <c r="A48" s="142"/>
      <c r="B48" s="142"/>
      <c r="C48" s="142"/>
      <c r="D48" s="142"/>
      <c r="E48" s="232"/>
      <c r="F48" s="192"/>
      <c r="G48" s="148">
        <f>'C. FILIACION'!B39</f>
        <v>0</v>
      </c>
      <c r="H48" s="149">
        <f>'CENTRAL 2'!F40</f>
        <v>100</v>
      </c>
      <c r="I48" s="142"/>
      <c r="J48" s="142"/>
      <c r="K48" s="142"/>
      <c r="L48" s="142"/>
      <c r="M48" s="142"/>
      <c r="N48" s="142"/>
      <c r="O48" s="142"/>
      <c r="P48" s="142"/>
      <c r="Q48" s="142"/>
      <c r="R48" s="142"/>
      <c r="S48" s="142"/>
      <c r="T48" s="142"/>
      <c r="U48" s="142"/>
      <c r="V48" s="142"/>
      <c r="W48" s="142"/>
      <c r="X48" s="142"/>
      <c r="Y48" s="142"/>
      <c r="Z48" s="142"/>
    </row>
    <row r="49" spans="1:26" ht="12.75" customHeight="1" x14ac:dyDescent="0.3">
      <c r="A49" s="142"/>
      <c r="B49" s="142"/>
      <c r="C49" s="142"/>
      <c r="D49" s="142"/>
      <c r="E49" s="232"/>
      <c r="F49" s="192"/>
      <c r="G49" s="148">
        <f>'C. FILIACION'!B40</f>
        <v>0</v>
      </c>
      <c r="H49" s="149">
        <f>'CENTRAL 2'!F41</f>
        <v>100</v>
      </c>
      <c r="I49" s="142"/>
      <c r="J49" s="142"/>
      <c r="K49" s="142"/>
      <c r="L49" s="142"/>
      <c r="M49" s="142"/>
      <c r="N49" s="142"/>
      <c r="O49" s="142"/>
      <c r="P49" s="142"/>
      <c r="Q49" s="142"/>
      <c r="R49" s="142"/>
      <c r="S49" s="142"/>
      <c r="T49" s="142"/>
      <c r="U49" s="142"/>
      <c r="V49" s="142"/>
      <c r="W49" s="142"/>
      <c r="X49" s="142"/>
      <c r="Y49" s="142"/>
      <c r="Z49" s="142"/>
    </row>
    <row r="50" spans="1:26" ht="12.75" customHeight="1" x14ac:dyDescent="0.3">
      <c r="A50" s="142"/>
      <c r="B50" s="142"/>
      <c r="C50" s="142"/>
      <c r="D50" s="142"/>
      <c r="E50" s="232"/>
      <c r="F50" s="192"/>
      <c r="G50" s="148">
        <f>'C. FILIACION'!B41</f>
        <v>0</v>
      </c>
      <c r="H50" s="149">
        <f>'CENTRAL 2'!F42</f>
        <v>100</v>
      </c>
      <c r="I50" s="142"/>
      <c r="J50" s="142"/>
      <c r="K50" s="142"/>
      <c r="L50" s="142"/>
      <c r="M50" s="142"/>
      <c r="N50" s="142"/>
      <c r="O50" s="142"/>
      <c r="P50" s="142"/>
      <c r="Q50" s="142"/>
      <c r="R50" s="142"/>
      <c r="S50" s="142"/>
      <c r="T50" s="142"/>
      <c r="U50" s="142"/>
      <c r="V50" s="142"/>
      <c r="W50" s="142"/>
      <c r="X50" s="142"/>
      <c r="Y50" s="142"/>
      <c r="Z50" s="142"/>
    </row>
    <row r="51" spans="1:26" ht="12.75" customHeight="1" x14ac:dyDescent="0.3">
      <c r="A51" s="142"/>
      <c r="B51" s="142"/>
      <c r="C51" s="142"/>
      <c r="D51" s="142"/>
      <c r="E51" s="232"/>
      <c r="F51" s="192"/>
      <c r="G51" s="148">
        <f>'C. FILIACION'!B42</f>
        <v>0</v>
      </c>
      <c r="H51" s="149">
        <f>'CENTRAL 2'!F43</f>
        <v>100</v>
      </c>
      <c r="I51" s="142"/>
      <c r="J51" s="142"/>
      <c r="K51" s="142"/>
      <c r="L51" s="142"/>
      <c r="M51" s="142"/>
      <c r="N51" s="142"/>
      <c r="O51" s="142"/>
      <c r="P51" s="142"/>
      <c r="Q51" s="142"/>
      <c r="R51" s="142"/>
      <c r="S51" s="142"/>
      <c r="T51" s="142"/>
      <c r="U51" s="142"/>
      <c r="V51" s="142"/>
      <c r="W51" s="142"/>
      <c r="X51" s="142"/>
      <c r="Y51" s="142"/>
      <c r="Z51" s="142"/>
    </row>
    <row r="52" spans="1:26" ht="12.75" customHeight="1" x14ac:dyDescent="0.3">
      <c r="A52" s="142"/>
      <c r="B52" s="142"/>
      <c r="C52" s="142"/>
      <c r="D52" s="142"/>
      <c r="E52" s="232"/>
      <c r="F52" s="192"/>
      <c r="G52" s="148">
        <f>'C. FILIACION'!B43</f>
        <v>0</v>
      </c>
      <c r="H52" s="149">
        <f>'CENTRAL 2'!F44</f>
        <v>100</v>
      </c>
      <c r="I52" s="142"/>
      <c r="J52" s="142"/>
      <c r="K52" s="142"/>
      <c r="L52" s="142"/>
      <c r="M52" s="142"/>
      <c r="N52" s="142"/>
      <c r="O52" s="142"/>
      <c r="P52" s="142"/>
      <c r="Q52" s="142"/>
      <c r="R52" s="142"/>
      <c r="S52" s="142"/>
      <c r="T52" s="142"/>
      <c r="U52" s="142"/>
      <c r="V52" s="142"/>
      <c r="W52" s="142"/>
      <c r="X52" s="142"/>
      <c r="Y52" s="142"/>
      <c r="Z52" s="142"/>
    </row>
    <row r="53" spans="1:26" ht="12.75" customHeight="1" x14ac:dyDescent="0.3">
      <c r="A53" s="142"/>
      <c r="B53" s="142"/>
      <c r="C53" s="142"/>
      <c r="D53" s="142"/>
      <c r="E53" s="232"/>
      <c r="F53" s="192"/>
      <c r="G53" s="150"/>
      <c r="H53" s="151">
        <f>'CENTRAL 2'!F45</f>
        <v>0</v>
      </c>
      <c r="I53" s="142"/>
      <c r="J53" s="142"/>
      <c r="K53" s="142"/>
      <c r="L53" s="142"/>
      <c r="M53" s="142"/>
      <c r="N53" s="142"/>
      <c r="O53" s="142"/>
      <c r="P53" s="142"/>
      <c r="Q53" s="142"/>
      <c r="R53" s="142"/>
      <c r="S53" s="142"/>
      <c r="T53" s="142"/>
      <c r="U53" s="142"/>
      <c r="V53" s="142"/>
      <c r="W53" s="142"/>
      <c r="X53" s="142"/>
      <c r="Y53" s="142"/>
      <c r="Z53" s="142"/>
    </row>
    <row r="54" spans="1:26" ht="12.75" customHeight="1" x14ac:dyDescent="0.3">
      <c r="A54" s="142"/>
      <c r="B54" s="142"/>
      <c r="C54" s="142"/>
      <c r="D54" s="142"/>
      <c r="E54" s="232"/>
      <c r="F54" s="192"/>
      <c r="G54" s="150"/>
      <c r="H54" s="151">
        <f>'CENTRAL 2'!F46</f>
        <v>0</v>
      </c>
      <c r="I54" s="142"/>
      <c r="J54" s="142"/>
      <c r="K54" s="142"/>
      <c r="L54" s="142"/>
      <c r="M54" s="142"/>
      <c r="N54" s="142"/>
      <c r="O54" s="142"/>
      <c r="P54" s="142"/>
      <c r="Q54" s="142"/>
      <c r="R54" s="142"/>
      <c r="S54" s="142"/>
      <c r="T54" s="142"/>
      <c r="U54" s="142"/>
      <c r="V54" s="142"/>
      <c r="W54" s="142"/>
      <c r="X54" s="142"/>
      <c r="Y54" s="142"/>
      <c r="Z54" s="142"/>
    </row>
    <row r="55" spans="1:26" ht="12.75" customHeight="1" x14ac:dyDescent="0.3">
      <c r="A55" s="142"/>
      <c r="B55" s="142"/>
      <c r="C55" s="142"/>
      <c r="D55" s="142"/>
      <c r="E55" s="232"/>
      <c r="F55" s="192"/>
      <c r="G55" s="150"/>
      <c r="H55" s="151">
        <f>'CENTRAL 2'!F47</f>
        <v>0</v>
      </c>
      <c r="I55" s="142"/>
      <c r="J55" s="142"/>
      <c r="K55" s="142"/>
      <c r="L55" s="142"/>
      <c r="M55" s="142"/>
      <c r="N55" s="142"/>
      <c r="O55" s="142"/>
      <c r="P55" s="142"/>
      <c r="Q55" s="142"/>
      <c r="R55" s="142"/>
      <c r="S55" s="142"/>
      <c r="T55" s="142"/>
      <c r="U55" s="142"/>
      <c r="V55" s="142"/>
      <c r="W55" s="142"/>
      <c r="X55" s="142"/>
      <c r="Y55" s="142"/>
      <c r="Z55" s="142"/>
    </row>
    <row r="56" spans="1:26" ht="12.75" customHeight="1" x14ac:dyDescent="0.3">
      <c r="A56" s="142"/>
      <c r="B56" s="142"/>
      <c r="C56" s="142"/>
      <c r="D56" s="142"/>
      <c r="E56" s="232"/>
      <c r="F56" s="192"/>
      <c r="G56" s="150"/>
      <c r="H56" s="151">
        <f>'CENTRAL 2'!F48</f>
        <v>0</v>
      </c>
      <c r="I56" s="142"/>
      <c r="J56" s="142"/>
      <c r="K56" s="142"/>
      <c r="L56" s="142"/>
      <c r="M56" s="142"/>
      <c r="N56" s="142"/>
      <c r="O56" s="142"/>
      <c r="P56" s="142"/>
      <c r="Q56" s="142"/>
      <c r="R56" s="142"/>
      <c r="S56" s="142"/>
      <c r="T56" s="142"/>
      <c r="U56" s="142"/>
      <c r="V56" s="142"/>
      <c r="W56" s="142"/>
      <c r="X56" s="142"/>
      <c r="Y56" s="142"/>
      <c r="Z56" s="142"/>
    </row>
    <row r="57" spans="1:26" ht="12.75" customHeight="1" x14ac:dyDescent="0.3">
      <c r="A57" s="142"/>
      <c r="B57" s="142"/>
      <c r="C57" s="142"/>
      <c r="D57" s="142"/>
      <c r="E57" s="232"/>
      <c r="F57" s="192"/>
      <c r="G57" s="150"/>
      <c r="H57" s="151">
        <f>'CENTRAL 2'!F49</f>
        <v>0</v>
      </c>
      <c r="I57" s="142"/>
      <c r="J57" s="142"/>
      <c r="K57" s="142"/>
      <c r="L57" s="142"/>
      <c r="M57" s="142"/>
      <c r="N57" s="142"/>
      <c r="O57" s="142"/>
      <c r="P57" s="142"/>
      <c r="Q57" s="142"/>
      <c r="R57" s="142"/>
      <c r="S57" s="142"/>
      <c r="T57" s="142"/>
      <c r="U57" s="142"/>
      <c r="V57" s="142"/>
      <c r="W57" s="142"/>
      <c r="X57" s="142"/>
      <c r="Y57" s="142"/>
      <c r="Z57" s="142"/>
    </row>
    <row r="58" spans="1:26" ht="12.75" customHeight="1" x14ac:dyDescent="0.3">
      <c r="A58" s="142"/>
      <c r="B58" s="142"/>
      <c r="C58" s="142"/>
      <c r="D58" s="142"/>
      <c r="E58" s="232"/>
      <c r="F58" s="192"/>
      <c r="G58" s="150"/>
      <c r="H58" s="151">
        <f>'CENTRAL 2'!F50</f>
        <v>0</v>
      </c>
      <c r="I58" s="142"/>
      <c r="J58" s="142"/>
      <c r="K58" s="142"/>
      <c r="L58" s="142"/>
      <c r="M58" s="142"/>
      <c r="N58" s="142"/>
      <c r="O58" s="142"/>
      <c r="P58" s="142"/>
      <c r="Q58" s="142"/>
      <c r="R58" s="142"/>
      <c r="S58" s="142"/>
      <c r="T58" s="142"/>
      <c r="U58" s="142"/>
      <c r="V58" s="142"/>
      <c r="W58" s="142"/>
      <c r="X58" s="142"/>
      <c r="Y58" s="142"/>
      <c r="Z58" s="142"/>
    </row>
    <row r="59" spans="1:26" ht="12.75" customHeight="1" x14ac:dyDescent="0.3">
      <c r="A59" s="142"/>
      <c r="B59" s="142"/>
      <c r="C59" s="142"/>
      <c r="D59" s="142"/>
      <c r="E59" s="232"/>
      <c r="F59" s="192"/>
      <c r="G59" s="150"/>
      <c r="H59" s="151">
        <f>'CENTRAL 2'!F51</f>
        <v>0</v>
      </c>
      <c r="I59" s="142"/>
      <c r="J59" s="142"/>
      <c r="K59" s="142"/>
      <c r="L59" s="142"/>
      <c r="M59" s="142"/>
      <c r="N59" s="142"/>
      <c r="O59" s="142"/>
      <c r="P59" s="142"/>
      <c r="Q59" s="142"/>
      <c r="R59" s="142"/>
      <c r="S59" s="142"/>
      <c r="T59" s="142"/>
      <c r="U59" s="142"/>
      <c r="V59" s="142"/>
      <c r="W59" s="142"/>
      <c r="X59" s="142"/>
      <c r="Y59" s="142"/>
      <c r="Z59" s="142"/>
    </row>
    <row r="60" spans="1:26" ht="12.75" customHeight="1" x14ac:dyDescent="0.3">
      <c r="A60" s="142"/>
      <c r="B60" s="142"/>
      <c r="C60" s="142"/>
      <c r="D60" s="142"/>
      <c r="E60" s="234"/>
      <c r="F60" s="235"/>
      <c r="G60" s="152"/>
      <c r="H60" s="153">
        <f>'CENTRAL 2'!F52</f>
        <v>0</v>
      </c>
      <c r="I60" s="142"/>
      <c r="J60" s="142"/>
      <c r="K60" s="142"/>
      <c r="L60" s="142"/>
      <c r="M60" s="142"/>
      <c r="N60" s="142"/>
      <c r="O60" s="142"/>
      <c r="P60" s="142"/>
      <c r="Q60" s="142"/>
      <c r="R60" s="142"/>
      <c r="S60" s="142"/>
      <c r="T60" s="142"/>
      <c r="U60" s="142"/>
      <c r="V60" s="142"/>
      <c r="W60" s="142"/>
      <c r="X60" s="142"/>
      <c r="Y60" s="142"/>
      <c r="Z60" s="142"/>
    </row>
    <row r="61" spans="1:26" ht="12.75" customHeight="1" x14ac:dyDescent="0.3">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2.75" customHeight="1" x14ac:dyDescent="0.3">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2.75" customHeight="1" x14ac:dyDescent="0.3">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2.75" customHeight="1" x14ac:dyDescent="0.3">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2.75" customHeight="1" x14ac:dyDescent="0.3">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2.75" customHeight="1" x14ac:dyDescent="0.3">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2.75" customHeight="1" x14ac:dyDescent="0.3">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2.75" customHeight="1" x14ac:dyDescent="0.3">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2.75" customHeight="1" x14ac:dyDescent="0.3">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2.75" customHeight="1" x14ac:dyDescent="0.3">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2.75" customHeight="1" x14ac:dyDescent="0.3">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2.75" customHeight="1" x14ac:dyDescent="0.3">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2.75" customHeight="1" x14ac:dyDescent="0.3">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2.75" customHeight="1" x14ac:dyDescent="0.3">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2.75" customHeight="1" x14ac:dyDescent="0.3">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2.75" customHeight="1" x14ac:dyDescent="0.3">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2.75" customHeight="1" x14ac:dyDescent="0.3">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2.75" customHeight="1" x14ac:dyDescent="0.3">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2.75" customHeight="1" x14ac:dyDescent="0.3">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2.75" customHeight="1" x14ac:dyDescent="0.3">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2.75" customHeight="1" x14ac:dyDescent="0.3">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2.75" customHeight="1" x14ac:dyDescent="0.3">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2.75" customHeight="1" x14ac:dyDescent="0.3">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2.75" customHeight="1" x14ac:dyDescent="0.3">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2.75" customHeight="1" x14ac:dyDescent="0.3">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2.75" customHeight="1" x14ac:dyDescent="0.3">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2.75" customHeight="1" x14ac:dyDescent="0.3">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2.75" customHeight="1" x14ac:dyDescent="0.3">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2.75" customHeight="1" x14ac:dyDescent="0.3">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2.75" customHeight="1" x14ac:dyDescent="0.3">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2.75" customHeight="1" x14ac:dyDescent="0.3">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2.75" customHeight="1" x14ac:dyDescent="0.3">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2.75" customHeight="1" x14ac:dyDescent="0.3">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2.75" customHeight="1" x14ac:dyDescent="0.3">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2.75" customHeight="1" x14ac:dyDescent="0.3">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2.75" customHeight="1" x14ac:dyDescent="0.3">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2.75" customHeight="1" x14ac:dyDescent="0.3">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2.75" customHeight="1" x14ac:dyDescent="0.3">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2.75" customHeight="1" x14ac:dyDescent="0.3">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2.75" customHeight="1" x14ac:dyDescent="0.3">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2.75" customHeight="1" x14ac:dyDescent="0.3">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2.75" customHeight="1" x14ac:dyDescent="0.3">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2.75" customHeight="1" x14ac:dyDescent="0.3">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2.75" customHeight="1" x14ac:dyDescent="0.3">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2.75" customHeight="1" x14ac:dyDescent="0.3">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2.75" customHeight="1" x14ac:dyDescent="0.3">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2.75" customHeight="1" x14ac:dyDescent="0.3">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2.75" customHeight="1" x14ac:dyDescent="0.3">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2.75" customHeight="1" x14ac:dyDescent="0.3">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2.75" customHeight="1" x14ac:dyDescent="0.3">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2.75" customHeight="1" x14ac:dyDescent="0.3">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2.75" customHeight="1" x14ac:dyDescent="0.3">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2.75" customHeight="1" x14ac:dyDescent="0.3">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2.75" customHeight="1" x14ac:dyDescent="0.3">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2.75" customHeight="1" x14ac:dyDescent="0.3">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2.75" customHeight="1" x14ac:dyDescent="0.3">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2.75" customHeight="1" x14ac:dyDescent="0.3">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2.75" customHeight="1" x14ac:dyDescent="0.3">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2.75" customHeight="1" x14ac:dyDescent="0.3">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2.75" customHeight="1" x14ac:dyDescent="0.3">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2.75" customHeight="1" x14ac:dyDescent="0.3">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2.75" customHeight="1" x14ac:dyDescent="0.3">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2.75" customHeight="1" x14ac:dyDescent="0.3">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2.75" customHeight="1" x14ac:dyDescent="0.3">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2.75" customHeight="1" x14ac:dyDescent="0.3">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2.75" customHeight="1" x14ac:dyDescent="0.3">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2.75" customHeight="1" x14ac:dyDescent="0.3">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2.75" customHeight="1" x14ac:dyDescent="0.3">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2.75" customHeight="1" x14ac:dyDescent="0.3">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2.75" customHeight="1" x14ac:dyDescent="0.3">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2.75" customHeight="1" x14ac:dyDescent="0.3">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2.75" customHeight="1" x14ac:dyDescent="0.3">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2.75" customHeight="1" x14ac:dyDescent="0.3">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2.75" customHeight="1" x14ac:dyDescent="0.3">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2.75" customHeight="1" x14ac:dyDescent="0.3">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2.75" customHeight="1" x14ac:dyDescent="0.3">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2.75" customHeight="1" x14ac:dyDescent="0.3">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2.75" customHeight="1" x14ac:dyDescent="0.3">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2.75" customHeight="1" x14ac:dyDescent="0.3">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2.75" customHeight="1" x14ac:dyDescent="0.3">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2.75" customHeight="1" x14ac:dyDescent="0.3">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2.75" customHeight="1" x14ac:dyDescent="0.3">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2.75" customHeight="1" x14ac:dyDescent="0.3">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2.75" customHeight="1" x14ac:dyDescent="0.3">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2.75" customHeight="1" x14ac:dyDescent="0.3">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2.75" customHeight="1" x14ac:dyDescent="0.3">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2.75" customHeight="1" x14ac:dyDescent="0.3">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2.75" customHeight="1" x14ac:dyDescent="0.3">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2.75" customHeight="1" x14ac:dyDescent="0.3">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2.75" customHeight="1" x14ac:dyDescent="0.3">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2.75" customHeight="1" x14ac:dyDescent="0.3">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2.75" customHeight="1" x14ac:dyDescent="0.3">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2.75" customHeight="1" x14ac:dyDescent="0.3">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2.75" customHeight="1" x14ac:dyDescent="0.3">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2.75" customHeight="1" x14ac:dyDescent="0.3">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2.75" customHeight="1" x14ac:dyDescent="0.3">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2.75" customHeight="1" x14ac:dyDescent="0.3">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2.75" customHeight="1" x14ac:dyDescent="0.3">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2.75" customHeight="1" x14ac:dyDescent="0.3">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2.75" customHeight="1" x14ac:dyDescent="0.3">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2.75" customHeight="1" x14ac:dyDescent="0.3">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2.75" customHeight="1" x14ac:dyDescent="0.3">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2.75" customHeight="1" x14ac:dyDescent="0.3">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2.75" customHeight="1" x14ac:dyDescent="0.3">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2.75" customHeight="1" x14ac:dyDescent="0.3">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2.75" customHeight="1" x14ac:dyDescent="0.3">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2.75" customHeight="1" x14ac:dyDescent="0.3">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2.75" customHeight="1" x14ac:dyDescent="0.3">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2.75" customHeight="1" x14ac:dyDescent="0.3">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2.75" customHeight="1" x14ac:dyDescent="0.3">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2.75" customHeight="1" x14ac:dyDescent="0.3">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2.75" customHeight="1" x14ac:dyDescent="0.3">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2.75" customHeight="1" x14ac:dyDescent="0.3">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2.75" customHeight="1" x14ac:dyDescent="0.3">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2.75" customHeight="1" x14ac:dyDescent="0.3">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2.75" customHeight="1" x14ac:dyDescent="0.3">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2.75" customHeight="1" x14ac:dyDescent="0.3">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2.75" customHeight="1" x14ac:dyDescent="0.3">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2.75" customHeight="1" x14ac:dyDescent="0.3">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2.75" customHeight="1" x14ac:dyDescent="0.3">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2.75" customHeight="1" x14ac:dyDescent="0.3">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2.75" customHeight="1" x14ac:dyDescent="0.3">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2.75" customHeight="1" x14ac:dyDescent="0.3">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2.75" customHeight="1" x14ac:dyDescent="0.3">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2.75" customHeight="1" x14ac:dyDescent="0.3">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2.75" customHeight="1" x14ac:dyDescent="0.3">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2.75" customHeight="1" x14ac:dyDescent="0.3">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2.75" customHeight="1" x14ac:dyDescent="0.3">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2.75" customHeight="1" x14ac:dyDescent="0.3">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2.75" customHeight="1" x14ac:dyDescent="0.3">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2.75" customHeight="1" x14ac:dyDescent="0.3">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2.75" customHeight="1" x14ac:dyDescent="0.3">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2.75" customHeight="1" x14ac:dyDescent="0.3">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2.75" customHeight="1" x14ac:dyDescent="0.3">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2.75" customHeight="1" x14ac:dyDescent="0.3">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2.75" customHeight="1" x14ac:dyDescent="0.3">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2.75" customHeight="1" x14ac:dyDescent="0.3">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2.75" customHeight="1" x14ac:dyDescent="0.3">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2.75" customHeight="1" x14ac:dyDescent="0.3">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2.75" customHeight="1" x14ac:dyDescent="0.3">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2.75" customHeight="1" x14ac:dyDescent="0.3">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2.75" customHeight="1" x14ac:dyDescent="0.3">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2.75" customHeight="1" x14ac:dyDescent="0.3">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2.75" customHeight="1" x14ac:dyDescent="0.3">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2.75" customHeight="1" x14ac:dyDescent="0.3">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2.75" customHeight="1" x14ac:dyDescent="0.3">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2.75" customHeight="1" x14ac:dyDescent="0.3">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2.75" customHeight="1" x14ac:dyDescent="0.3">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2.75" customHeight="1" x14ac:dyDescent="0.3">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2.75" customHeight="1" x14ac:dyDescent="0.3">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2.75" customHeight="1" x14ac:dyDescent="0.3">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2.75" customHeight="1" x14ac:dyDescent="0.3">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2.75" customHeight="1" x14ac:dyDescent="0.3">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2.75" customHeight="1" x14ac:dyDescent="0.3">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2.75" customHeight="1" x14ac:dyDescent="0.3">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2.75" customHeight="1" x14ac:dyDescent="0.3">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2.75" customHeight="1" x14ac:dyDescent="0.3">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2.75" customHeight="1" x14ac:dyDescent="0.3">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2.75" customHeight="1" x14ac:dyDescent="0.3">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2.75" customHeight="1" x14ac:dyDescent="0.3">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2.75" customHeight="1" x14ac:dyDescent="0.3">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2.75" customHeight="1" x14ac:dyDescent="0.3">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2.75" customHeight="1" x14ac:dyDescent="0.3">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2.75" customHeight="1" x14ac:dyDescent="0.3">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2.75" customHeight="1" x14ac:dyDescent="0.3">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2.75" customHeight="1" x14ac:dyDescent="0.3">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2.75" customHeight="1" x14ac:dyDescent="0.3">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2.75" customHeight="1" x14ac:dyDescent="0.3">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2.75" customHeight="1" x14ac:dyDescent="0.3">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2.75" customHeight="1" x14ac:dyDescent="0.3">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2.75" customHeight="1" x14ac:dyDescent="0.3">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2.75" customHeight="1" x14ac:dyDescent="0.3">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2.75" customHeight="1" x14ac:dyDescent="0.3">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2.75" customHeight="1" x14ac:dyDescent="0.3">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2.75" customHeight="1" x14ac:dyDescent="0.3">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2.75" customHeight="1" x14ac:dyDescent="0.3">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2.75" customHeight="1" x14ac:dyDescent="0.3">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2.75" customHeight="1" x14ac:dyDescent="0.3">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2.75" customHeight="1" x14ac:dyDescent="0.3">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2.75" customHeight="1" x14ac:dyDescent="0.3">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2.75" customHeight="1" x14ac:dyDescent="0.3">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2.75" customHeight="1" x14ac:dyDescent="0.3">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2.75" customHeight="1" x14ac:dyDescent="0.3">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2.75" customHeight="1" x14ac:dyDescent="0.3">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2.75" customHeight="1" x14ac:dyDescent="0.3">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2.75" customHeight="1" x14ac:dyDescent="0.3">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2.75" customHeight="1" x14ac:dyDescent="0.3">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2.75" customHeight="1" x14ac:dyDescent="0.3">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2.75" customHeight="1" x14ac:dyDescent="0.3">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2.75" customHeight="1" x14ac:dyDescent="0.3">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2.75" customHeight="1" x14ac:dyDescent="0.3">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2.75" customHeight="1" x14ac:dyDescent="0.3">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2.75" customHeight="1" x14ac:dyDescent="0.3">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2.75" customHeight="1" x14ac:dyDescent="0.3">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2.75" customHeight="1" x14ac:dyDescent="0.3">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2.75" customHeight="1" x14ac:dyDescent="0.3">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2.75" customHeight="1" x14ac:dyDescent="0.3">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2.75" customHeight="1" x14ac:dyDescent="0.3">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2.75" customHeight="1" x14ac:dyDescent="0.3">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2.75" customHeight="1" x14ac:dyDescent="0.3">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2.75" customHeight="1" x14ac:dyDescent="0.3">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2.75" customHeight="1" x14ac:dyDescent="0.3">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2.75" customHeight="1" x14ac:dyDescent="0.3">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2.75" customHeight="1" x14ac:dyDescent="0.3">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2.75" customHeight="1" x14ac:dyDescent="0.3">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2.75" customHeight="1" x14ac:dyDescent="0.3">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2.75" customHeight="1" x14ac:dyDescent="0.3">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2.75" customHeight="1" x14ac:dyDescent="0.3">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2.75" customHeight="1" x14ac:dyDescent="0.3">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2.75" customHeight="1" x14ac:dyDescent="0.3">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2.75" customHeight="1" x14ac:dyDescent="0.3">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2.75" customHeight="1" x14ac:dyDescent="0.3">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2.75" customHeight="1" x14ac:dyDescent="0.3">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2.75" customHeight="1" x14ac:dyDescent="0.3">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2.75" customHeight="1" x14ac:dyDescent="0.3">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2.75" customHeight="1" x14ac:dyDescent="0.3">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2.75" customHeight="1" x14ac:dyDescent="0.3">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2.75" customHeight="1" x14ac:dyDescent="0.3">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2.75" customHeight="1" x14ac:dyDescent="0.3">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2.75" customHeight="1" x14ac:dyDescent="0.3">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2.75" customHeight="1" x14ac:dyDescent="0.3">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2.75" customHeight="1" x14ac:dyDescent="0.3">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2.75" customHeight="1" x14ac:dyDescent="0.3">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2.75" customHeight="1" x14ac:dyDescent="0.3">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2.75" customHeight="1" x14ac:dyDescent="0.3">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2.75" customHeight="1" x14ac:dyDescent="0.3">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2.75" customHeight="1" x14ac:dyDescent="0.3">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2.75" customHeight="1" x14ac:dyDescent="0.3">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2.75" customHeight="1" x14ac:dyDescent="0.3">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2.75" customHeight="1" x14ac:dyDescent="0.3">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2.75" customHeight="1" x14ac:dyDescent="0.3">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2.75" customHeight="1" x14ac:dyDescent="0.3">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2.75" customHeight="1" x14ac:dyDescent="0.3">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2.75" customHeight="1" x14ac:dyDescent="0.3">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2.75" customHeight="1" x14ac:dyDescent="0.3">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2.75" customHeight="1" x14ac:dyDescent="0.3">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2.75" customHeight="1" x14ac:dyDescent="0.3">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2.75" customHeight="1" x14ac:dyDescent="0.3">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2.75" customHeight="1" x14ac:dyDescent="0.3">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2.75" customHeight="1" x14ac:dyDescent="0.3">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2.75" customHeight="1" x14ac:dyDescent="0.3">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2.75" customHeight="1" x14ac:dyDescent="0.3">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2.75" customHeight="1" x14ac:dyDescent="0.3">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2.75" customHeight="1" x14ac:dyDescent="0.3">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2.75" customHeight="1" x14ac:dyDescent="0.3">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2.75" customHeight="1" x14ac:dyDescent="0.3">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2.75" customHeight="1" x14ac:dyDescent="0.3">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2.75" customHeight="1" x14ac:dyDescent="0.3">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2.75" customHeight="1" x14ac:dyDescent="0.3">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2.75" customHeight="1" x14ac:dyDescent="0.3">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2.75" customHeight="1" x14ac:dyDescent="0.3">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2.75" customHeight="1" x14ac:dyDescent="0.3">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2.75" customHeight="1" x14ac:dyDescent="0.3">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2.75" customHeight="1" x14ac:dyDescent="0.3">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2.75" customHeight="1" x14ac:dyDescent="0.3">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2.75" customHeight="1" x14ac:dyDescent="0.3">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2.75" customHeight="1" x14ac:dyDescent="0.3">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2.75" customHeight="1" x14ac:dyDescent="0.3">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2.75" customHeight="1" x14ac:dyDescent="0.3">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2.75" customHeight="1" x14ac:dyDescent="0.3">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2.75" customHeight="1" x14ac:dyDescent="0.3">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2.75" customHeight="1" x14ac:dyDescent="0.3">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2.75" customHeight="1" x14ac:dyDescent="0.3">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2.75" customHeight="1" x14ac:dyDescent="0.3">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2.75" customHeight="1" x14ac:dyDescent="0.3">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2.75" customHeight="1" x14ac:dyDescent="0.3">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2.75" customHeight="1" x14ac:dyDescent="0.3">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2.75" customHeight="1" x14ac:dyDescent="0.3">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2.75" customHeight="1" x14ac:dyDescent="0.3">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2.75" customHeight="1" x14ac:dyDescent="0.3">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2.75" customHeight="1" x14ac:dyDescent="0.3">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2.75" customHeight="1" x14ac:dyDescent="0.3">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2.75" customHeight="1" x14ac:dyDescent="0.3">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2.75" customHeight="1" x14ac:dyDescent="0.3">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2.75" customHeight="1" x14ac:dyDescent="0.3">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2.75" customHeight="1" x14ac:dyDescent="0.3">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2.75" customHeight="1" x14ac:dyDescent="0.3">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2.75" customHeight="1" x14ac:dyDescent="0.3">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2.75" customHeight="1" x14ac:dyDescent="0.3">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2.75" customHeight="1" x14ac:dyDescent="0.3">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2.75" customHeight="1" x14ac:dyDescent="0.3">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2.75" customHeight="1" x14ac:dyDescent="0.3">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2.75" customHeight="1" x14ac:dyDescent="0.3">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2.75" customHeight="1" x14ac:dyDescent="0.3">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2.75" customHeight="1" x14ac:dyDescent="0.3">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2.75" customHeight="1" x14ac:dyDescent="0.3">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2.75" customHeight="1" x14ac:dyDescent="0.3">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2.75" customHeight="1" x14ac:dyDescent="0.3">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2.75" customHeight="1" x14ac:dyDescent="0.3">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2.75" customHeight="1" x14ac:dyDescent="0.3">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2.75" customHeight="1" x14ac:dyDescent="0.3">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2.75" customHeight="1" x14ac:dyDescent="0.3">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2.75" customHeight="1" x14ac:dyDescent="0.3">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2.75" customHeight="1" x14ac:dyDescent="0.3">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2.75" customHeight="1" x14ac:dyDescent="0.3">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2.75" customHeight="1" x14ac:dyDescent="0.3">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2.75" customHeight="1" x14ac:dyDescent="0.3">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2.75" customHeight="1" x14ac:dyDescent="0.3">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2.75" customHeight="1" x14ac:dyDescent="0.3">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2.75" customHeight="1" x14ac:dyDescent="0.3">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2.75" customHeight="1" x14ac:dyDescent="0.3">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2.75" customHeight="1" x14ac:dyDescent="0.3">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2.75" customHeight="1" x14ac:dyDescent="0.3">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2.75" customHeight="1" x14ac:dyDescent="0.3">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2.75" customHeight="1" x14ac:dyDescent="0.3">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2.75" customHeight="1" x14ac:dyDescent="0.3">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2.75" customHeight="1" x14ac:dyDescent="0.3">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2.75" customHeight="1" x14ac:dyDescent="0.3">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2.75" customHeight="1" x14ac:dyDescent="0.3">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2.75" customHeight="1" x14ac:dyDescent="0.3">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2.75" customHeight="1" x14ac:dyDescent="0.3">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2.75" customHeight="1" x14ac:dyDescent="0.3">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2.75" customHeight="1" x14ac:dyDescent="0.3">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2.75" customHeight="1" x14ac:dyDescent="0.3">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2.75" customHeight="1" x14ac:dyDescent="0.3">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2.75" customHeight="1" x14ac:dyDescent="0.3">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2.75" customHeight="1" x14ac:dyDescent="0.3">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2.75" customHeight="1" x14ac:dyDescent="0.3">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2.75" customHeight="1" x14ac:dyDescent="0.3">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2.75" customHeight="1" x14ac:dyDescent="0.3">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2.75" customHeight="1" x14ac:dyDescent="0.3">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2.75" customHeight="1" x14ac:dyDescent="0.3">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2.75" customHeight="1" x14ac:dyDescent="0.3">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2.75" customHeight="1" x14ac:dyDescent="0.3">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2.75" customHeight="1" x14ac:dyDescent="0.3">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2.75" customHeight="1" x14ac:dyDescent="0.3">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2.75" customHeight="1" x14ac:dyDescent="0.3">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2.75" customHeight="1" x14ac:dyDescent="0.3">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2.75" customHeight="1" x14ac:dyDescent="0.3">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2.75" customHeight="1" x14ac:dyDescent="0.3">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2.75" customHeight="1" x14ac:dyDescent="0.3">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2.75" customHeight="1" x14ac:dyDescent="0.3">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2.75" customHeight="1" x14ac:dyDescent="0.3">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2.75" customHeight="1" x14ac:dyDescent="0.3">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2.75" customHeight="1" x14ac:dyDescent="0.3">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2.75" customHeight="1" x14ac:dyDescent="0.3">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2.75" customHeight="1" x14ac:dyDescent="0.3">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2.75" customHeight="1" x14ac:dyDescent="0.3">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2.75" customHeight="1" x14ac:dyDescent="0.3">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2.75" customHeight="1" x14ac:dyDescent="0.3">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2.75" customHeight="1" x14ac:dyDescent="0.3">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2.75" customHeight="1" x14ac:dyDescent="0.3">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2.75" customHeight="1" x14ac:dyDescent="0.3">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2.75" customHeight="1" x14ac:dyDescent="0.3">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2.75" customHeight="1" x14ac:dyDescent="0.3">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2.75" customHeight="1" x14ac:dyDescent="0.3">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2.75" customHeight="1" x14ac:dyDescent="0.3">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2.75" customHeight="1" x14ac:dyDescent="0.3">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2.75" customHeight="1" x14ac:dyDescent="0.3">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2.75" customHeight="1" x14ac:dyDescent="0.3">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2.75" customHeight="1" x14ac:dyDescent="0.3">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2.75" customHeight="1" x14ac:dyDescent="0.3">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2.75" customHeight="1" x14ac:dyDescent="0.3">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2.75" customHeight="1" x14ac:dyDescent="0.3">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2.75" customHeight="1" x14ac:dyDescent="0.3">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2.75" customHeight="1" x14ac:dyDescent="0.3">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2.75" customHeight="1" x14ac:dyDescent="0.3">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2.75" customHeight="1" x14ac:dyDescent="0.3">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2.75" customHeight="1" x14ac:dyDescent="0.3">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2.75" customHeight="1" x14ac:dyDescent="0.3">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2.75" customHeight="1" x14ac:dyDescent="0.3">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2.75" customHeight="1" x14ac:dyDescent="0.3">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2.75" customHeight="1" x14ac:dyDescent="0.3">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2.75" customHeight="1" x14ac:dyDescent="0.3">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2.75" customHeight="1" x14ac:dyDescent="0.3">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2.75" customHeight="1" x14ac:dyDescent="0.3">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2.75" customHeight="1" x14ac:dyDescent="0.3">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2.75" customHeight="1" x14ac:dyDescent="0.3">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2.75" customHeight="1" x14ac:dyDescent="0.3">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2.75" customHeight="1" x14ac:dyDescent="0.3">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2.75" customHeight="1" x14ac:dyDescent="0.3">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2.75" customHeight="1" x14ac:dyDescent="0.3">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2.75" customHeight="1" x14ac:dyDescent="0.3">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2.75" customHeight="1" x14ac:dyDescent="0.3">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2.75" customHeight="1" x14ac:dyDescent="0.3">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2.75" customHeight="1" x14ac:dyDescent="0.3">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2.75" customHeight="1" x14ac:dyDescent="0.3">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2.75" customHeight="1" x14ac:dyDescent="0.3">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2.75" customHeight="1" x14ac:dyDescent="0.3">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2.75" customHeight="1" x14ac:dyDescent="0.3">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2.75" customHeight="1" x14ac:dyDescent="0.3">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2.75" customHeight="1" x14ac:dyDescent="0.3">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2.75" customHeight="1" x14ac:dyDescent="0.3">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2.75" customHeight="1" x14ac:dyDescent="0.3">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2.75" customHeight="1" x14ac:dyDescent="0.3">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2.75" customHeight="1" x14ac:dyDescent="0.3">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2.75" customHeight="1" x14ac:dyDescent="0.3">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2.75" customHeight="1" x14ac:dyDescent="0.3">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2.75" customHeight="1" x14ac:dyDescent="0.3">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2.75" customHeight="1" x14ac:dyDescent="0.3">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2.75" customHeight="1" x14ac:dyDescent="0.3">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2.75" customHeight="1" x14ac:dyDescent="0.3">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2.75" customHeight="1" x14ac:dyDescent="0.3">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2.75" customHeight="1" x14ac:dyDescent="0.3">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2.75" customHeight="1" x14ac:dyDescent="0.3">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2.75" customHeight="1" x14ac:dyDescent="0.3">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2.75" customHeight="1" x14ac:dyDescent="0.3">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2.75" customHeight="1" x14ac:dyDescent="0.3">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2.75" customHeight="1" x14ac:dyDescent="0.3">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2.75" customHeight="1" x14ac:dyDescent="0.3">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2.75" customHeight="1" x14ac:dyDescent="0.3">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2.75" customHeight="1" x14ac:dyDescent="0.3">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2.75" customHeight="1" x14ac:dyDescent="0.3">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2.75" customHeight="1" x14ac:dyDescent="0.3">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2.75" customHeight="1" x14ac:dyDescent="0.3">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2.75" customHeight="1" x14ac:dyDescent="0.3">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2.75" customHeight="1" x14ac:dyDescent="0.3">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2.75" customHeight="1" x14ac:dyDescent="0.3">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2.75" customHeight="1" x14ac:dyDescent="0.3">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2.75" customHeight="1" x14ac:dyDescent="0.3">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2.75" customHeight="1" x14ac:dyDescent="0.3">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2.75" customHeight="1" x14ac:dyDescent="0.3">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2.75" customHeight="1" x14ac:dyDescent="0.3">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2.75" customHeight="1" x14ac:dyDescent="0.3">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2.75" customHeight="1" x14ac:dyDescent="0.3">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2.75" customHeight="1" x14ac:dyDescent="0.3">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2.75" customHeight="1" x14ac:dyDescent="0.3">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2.75" customHeight="1" x14ac:dyDescent="0.3">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2.75" customHeight="1" x14ac:dyDescent="0.3">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2.75" customHeight="1" x14ac:dyDescent="0.3">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2.75" customHeight="1" x14ac:dyDescent="0.3">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2.75" customHeight="1" x14ac:dyDescent="0.3">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2.75" customHeight="1" x14ac:dyDescent="0.3">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2.75" customHeight="1" x14ac:dyDescent="0.3">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2.75" customHeight="1" x14ac:dyDescent="0.3">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2.75" customHeight="1" x14ac:dyDescent="0.3">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2.75" customHeight="1" x14ac:dyDescent="0.3">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2.75" customHeight="1" x14ac:dyDescent="0.3">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2.75" customHeight="1" x14ac:dyDescent="0.3">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2.75" customHeight="1" x14ac:dyDescent="0.3">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2.75" customHeight="1" x14ac:dyDescent="0.3">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2.75" customHeight="1" x14ac:dyDescent="0.3">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2.75" customHeight="1" x14ac:dyDescent="0.3">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2.75" customHeight="1" x14ac:dyDescent="0.3">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2.75" customHeight="1" x14ac:dyDescent="0.3">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2.75" customHeight="1" x14ac:dyDescent="0.3">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2.75" customHeight="1" x14ac:dyDescent="0.3">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2.75" customHeight="1" x14ac:dyDescent="0.3">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2.75" customHeight="1" x14ac:dyDescent="0.3">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2.75" customHeight="1" x14ac:dyDescent="0.3">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2.75" customHeight="1" x14ac:dyDescent="0.3">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2.75" customHeight="1" x14ac:dyDescent="0.3">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2.75" customHeight="1" x14ac:dyDescent="0.3">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2.75" customHeight="1" x14ac:dyDescent="0.3">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2.75" customHeight="1" x14ac:dyDescent="0.3">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2.75" customHeight="1" x14ac:dyDescent="0.3">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2.75" customHeight="1" x14ac:dyDescent="0.3">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2.75" customHeight="1" x14ac:dyDescent="0.3">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2.75" customHeight="1" x14ac:dyDescent="0.3">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2.75" customHeight="1" x14ac:dyDescent="0.3">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2.75" customHeight="1" x14ac:dyDescent="0.3">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2.75" customHeight="1" x14ac:dyDescent="0.3">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2.75" customHeight="1" x14ac:dyDescent="0.3">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2.75" customHeight="1" x14ac:dyDescent="0.3">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2.75" customHeight="1" x14ac:dyDescent="0.3">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2.75" customHeight="1" x14ac:dyDescent="0.3">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2.75" customHeight="1" x14ac:dyDescent="0.3">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2.75" customHeight="1" x14ac:dyDescent="0.3">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2.75" customHeight="1" x14ac:dyDescent="0.3">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2.75" customHeight="1" x14ac:dyDescent="0.3">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2.75" customHeight="1" x14ac:dyDescent="0.3">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2.75" customHeight="1" x14ac:dyDescent="0.3">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2.75" customHeight="1" x14ac:dyDescent="0.3">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2.75" customHeight="1" x14ac:dyDescent="0.3">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2.75" customHeight="1" x14ac:dyDescent="0.3">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2.75" customHeight="1" x14ac:dyDescent="0.3">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2.75" customHeight="1" x14ac:dyDescent="0.3">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2.75" customHeight="1" x14ac:dyDescent="0.3">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2.75" customHeight="1" x14ac:dyDescent="0.3">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2.75" customHeight="1" x14ac:dyDescent="0.3">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2.75" customHeight="1" x14ac:dyDescent="0.3">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2.75" customHeight="1" x14ac:dyDescent="0.3">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2.75" customHeight="1" x14ac:dyDescent="0.3">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2.75" customHeight="1" x14ac:dyDescent="0.3">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2.75" customHeight="1" x14ac:dyDescent="0.3">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2.75" customHeight="1" x14ac:dyDescent="0.3">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2.75" customHeight="1" x14ac:dyDescent="0.3">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2.75" customHeight="1" x14ac:dyDescent="0.3">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2.75" customHeight="1" x14ac:dyDescent="0.3">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2.75" customHeight="1" x14ac:dyDescent="0.3">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2.75" customHeight="1" x14ac:dyDescent="0.3">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2.75" customHeight="1" x14ac:dyDescent="0.3">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2.75" customHeight="1" x14ac:dyDescent="0.3">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2.75" customHeight="1" x14ac:dyDescent="0.3">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2.75" customHeight="1" x14ac:dyDescent="0.3">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2.75" customHeight="1" x14ac:dyDescent="0.3">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2.75" customHeight="1" x14ac:dyDescent="0.3">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2.75" customHeight="1" x14ac:dyDescent="0.3">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2.75" customHeight="1" x14ac:dyDescent="0.3">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2.75" customHeight="1" x14ac:dyDescent="0.3">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2.75" customHeight="1" x14ac:dyDescent="0.3">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2.75" customHeight="1" x14ac:dyDescent="0.3">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2.75" customHeight="1" x14ac:dyDescent="0.3">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2.75" customHeight="1" x14ac:dyDescent="0.3">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2.75" customHeight="1" x14ac:dyDescent="0.3">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2.75" customHeight="1" x14ac:dyDescent="0.3">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2.75" customHeight="1" x14ac:dyDescent="0.3">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2.75" customHeight="1" x14ac:dyDescent="0.3">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2.75" customHeight="1" x14ac:dyDescent="0.3">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2.75" customHeight="1" x14ac:dyDescent="0.3">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2.75" customHeight="1" x14ac:dyDescent="0.3">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2.75" customHeight="1" x14ac:dyDescent="0.3">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2.75" customHeight="1" x14ac:dyDescent="0.3">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2.75" customHeight="1" x14ac:dyDescent="0.3">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2.75" customHeight="1" x14ac:dyDescent="0.3">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2.75" customHeight="1" x14ac:dyDescent="0.3">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2.75" customHeight="1" x14ac:dyDescent="0.3">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2.75" customHeight="1" x14ac:dyDescent="0.3">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2.75" customHeight="1" x14ac:dyDescent="0.3">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2.75" customHeight="1" x14ac:dyDescent="0.3">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2.75" customHeight="1" x14ac:dyDescent="0.3">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2.75" customHeight="1" x14ac:dyDescent="0.3">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2.75" customHeight="1" x14ac:dyDescent="0.3">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2.75" customHeight="1" x14ac:dyDescent="0.3">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2.75" customHeight="1" x14ac:dyDescent="0.3">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2.75" customHeight="1" x14ac:dyDescent="0.3">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2.75" customHeight="1" x14ac:dyDescent="0.3">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2.75" customHeight="1" x14ac:dyDescent="0.3">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2.75" customHeight="1" x14ac:dyDescent="0.3">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2.75" customHeight="1" x14ac:dyDescent="0.3">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2.75" customHeight="1" x14ac:dyDescent="0.3">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2.75" customHeight="1" x14ac:dyDescent="0.3">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2.75" customHeight="1" x14ac:dyDescent="0.3">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2.75" customHeight="1" x14ac:dyDescent="0.3">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2.75" customHeight="1" x14ac:dyDescent="0.3">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2.75" customHeight="1" x14ac:dyDescent="0.3">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2.75" customHeight="1" x14ac:dyDescent="0.3">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2.75" customHeight="1" x14ac:dyDescent="0.3">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2.75" customHeight="1" x14ac:dyDescent="0.3">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2.75" customHeight="1" x14ac:dyDescent="0.3">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2.75" customHeight="1" x14ac:dyDescent="0.3">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2.75" customHeight="1" x14ac:dyDescent="0.3">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2.75" customHeight="1" x14ac:dyDescent="0.3">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2.75" customHeight="1" x14ac:dyDescent="0.3">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2.75" customHeight="1" x14ac:dyDescent="0.3">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2.75" customHeight="1" x14ac:dyDescent="0.3">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2.75" customHeight="1" x14ac:dyDescent="0.3">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2.75" customHeight="1" x14ac:dyDescent="0.3">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2.75" customHeight="1" x14ac:dyDescent="0.3">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2.75" customHeight="1" x14ac:dyDescent="0.3">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2.75" customHeight="1" x14ac:dyDescent="0.3">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2.75" customHeight="1" x14ac:dyDescent="0.3">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2.75" customHeight="1" x14ac:dyDescent="0.3">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2.75" customHeight="1" x14ac:dyDescent="0.3">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2.75" customHeight="1" x14ac:dyDescent="0.3">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2.75" customHeight="1" x14ac:dyDescent="0.3">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2.75" customHeight="1" x14ac:dyDescent="0.3">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2.75" customHeight="1" x14ac:dyDescent="0.3">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2.75" customHeight="1" x14ac:dyDescent="0.3">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2.75" customHeight="1" x14ac:dyDescent="0.3">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2.75" customHeight="1" x14ac:dyDescent="0.3">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2.75" customHeight="1" x14ac:dyDescent="0.3">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2.75" customHeight="1" x14ac:dyDescent="0.3">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2.75" customHeight="1" x14ac:dyDescent="0.3">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2.75" customHeight="1" x14ac:dyDescent="0.3">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2.75" customHeight="1" x14ac:dyDescent="0.3">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2.75" customHeight="1" x14ac:dyDescent="0.3">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2.75" customHeight="1" x14ac:dyDescent="0.3">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2.75" customHeight="1" x14ac:dyDescent="0.3">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2.75" customHeight="1" x14ac:dyDescent="0.3">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2.75" customHeight="1" x14ac:dyDescent="0.3">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2.75" customHeight="1" x14ac:dyDescent="0.3">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2.75" customHeight="1" x14ac:dyDescent="0.3">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2.75" customHeight="1" x14ac:dyDescent="0.3">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2.75" customHeight="1" x14ac:dyDescent="0.3">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2.75" customHeight="1" x14ac:dyDescent="0.3">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2.75" customHeight="1" x14ac:dyDescent="0.3">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2.75" customHeight="1" x14ac:dyDescent="0.3">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2.75" customHeight="1" x14ac:dyDescent="0.3">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2.75" customHeight="1" x14ac:dyDescent="0.3">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2.75" customHeight="1" x14ac:dyDescent="0.3">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2.75" customHeight="1" x14ac:dyDescent="0.3">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2.75" customHeight="1" x14ac:dyDescent="0.3">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2.75" customHeight="1" x14ac:dyDescent="0.3">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2.75" customHeight="1" x14ac:dyDescent="0.3">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2.75" customHeight="1" x14ac:dyDescent="0.3">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2.75" customHeight="1" x14ac:dyDescent="0.3">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2.75" customHeight="1" x14ac:dyDescent="0.3">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2.75" customHeight="1" x14ac:dyDescent="0.3">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2.75" customHeight="1" x14ac:dyDescent="0.3">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2.75" customHeight="1" x14ac:dyDescent="0.3">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2.75" customHeight="1" x14ac:dyDescent="0.3">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2.75" customHeight="1" x14ac:dyDescent="0.3">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2.75" customHeight="1" x14ac:dyDescent="0.3">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2.75" customHeight="1" x14ac:dyDescent="0.3">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2.75" customHeight="1" x14ac:dyDescent="0.3">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2.75" customHeight="1" x14ac:dyDescent="0.3">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2.75" customHeight="1" x14ac:dyDescent="0.3">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2.75" customHeight="1" x14ac:dyDescent="0.3">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2.75" customHeight="1" x14ac:dyDescent="0.3">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2.75" customHeight="1" x14ac:dyDescent="0.3">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2.75" customHeight="1" x14ac:dyDescent="0.3">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2.75" customHeight="1" x14ac:dyDescent="0.3">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2.75" customHeight="1" x14ac:dyDescent="0.3">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2.75" customHeight="1" x14ac:dyDescent="0.3">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2.75" customHeight="1" x14ac:dyDescent="0.3">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2.75" customHeight="1" x14ac:dyDescent="0.3">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2.75" customHeight="1" x14ac:dyDescent="0.3">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2.75" customHeight="1" x14ac:dyDescent="0.3">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2.75" customHeight="1" x14ac:dyDescent="0.3">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2.75" customHeight="1" x14ac:dyDescent="0.3">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2.75" customHeight="1" x14ac:dyDescent="0.3">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2.75" customHeight="1" x14ac:dyDescent="0.3">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2.75" customHeight="1" x14ac:dyDescent="0.3">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2.75" customHeight="1" x14ac:dyDescent="0.3">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2.75" customHeight="1" x14ac:dyDescent="0.3">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2.75" customHeight="1" x14ac:dyDescent="0.3">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2.75" customHeight="1" x14ac:dyDescent="0.3">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2.75" customHeight="1" x14ac:dyDescent="0.3">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2.75" customHeight="1" x14ac:dyDescent="0.3">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2.75" customHeight="1" x14ac:dyDescent="0.3">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2.75" customHeight="1" x14ac:dyDescent="0.3">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2.75" customHeight="1" x14ac:dyDescent="0.3">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2.75" customHeight="1" x14ac:dyDescent="0.3">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2.75" customHeight="1" x14ac:dyDescent="0.3">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2.75" customHeight="1" x14ac:dyDescent="0.3">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2.75" customHeight="1" x14ac:dyDescent="0.3">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2.75" customHeight="1" x14ac:dyDescent="0.3">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2.75" customHeight="1" x14ac:dyDescent="0.3">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2.75" customHeight="1" x14ac:dyDescent="0.3">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2.75" customHeight="1" x14ac:dyDescent="0.3">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2.75" customHeight="1" x14ac:dyDescent="0.3">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2.75" customHeight="1" x14ac:dyDescent="0.3">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2.75" customHeight="1" x14ac:dyDescent="0.3">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2.75" customHeight="1" x14ac:dyDescent="0.3">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2.75" customHeight="1" x14ac:dyDescent="0.3">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2.75" customHeight="1" x14ac:dyDescent="0.3">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2.75" customHeight="1" x14ac:dyDescent="0.3">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2.75" customHeight="1" x14ac:dyDescent="0.3">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2.75" customHeight="1" x14ac:dyDescent="0.3">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2.75" customHeight="1" x14ac:dyDescent="0.3">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2.75" customHeight="1" x14ac:dyDescent="0.3">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2.75" customHeight="1" x14ac:dyDescent="0.3">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2.75" customHeight="1" x14ac:dyDescent="0.3">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2.75" customHeight="1" x14ac:dyDescent="0.3">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2.75" customHeight="1" x14ac:dyDescent="0.3">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2.75" customHeight="1" x14ac:dyDescent="0.3">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2.75" customHeight="1" x14ac:dyDescent="0.3">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2.75" customHeight="1" x14ac:dyDescent="0.3">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2.75" customHeight="1" x14ac:dyDescent="0.3">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2.75" customHeight="1" x14ac:dyDescent="0.3">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2.75" customHeight="1" x14ac:dyDescent="0.3">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2.75" customHeight="1" x14ac:dyDescent="0.3">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2.75" customHeight="1" x14ac:dyDescent="0.3">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2.75" customHeight="1" x14ac:dyDescent="0.3">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2.75" customHeight="1" x14ac:dyDescent="0.3">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2.75" customHeight="1" x14ac:dyDescent="0.3">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2.75" customHeight="1" x14ac:dyDescent="0.3">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2.75" customHeight="1" x14ac:dyDescent="0.3">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2.75" customHeight="1" x14ac:dyDescent="0.3">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2.75" customHeight="1" x14ac:dyDescent="0.3">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2.75" customHeight="1" x14ac:dyDescent="0.3">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2.75" customHeight="1" x14ac:dyDescent="0.3">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2.75" customHeight="1" x14ac:dyDescent="0.3">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2.75" customHeight="1" x14ac:dyDescent="0.3">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2.75" customHeight="1" x14ac:dyDescent="0.3">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2.75" customHeight="1" x14ac:dyDescent="0.3">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2.75" customHeight="1" x14ac:dyDescent="0.3">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2.75" customHeight="1" x14ac:dyDescent="0.3">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2.75" customHeight="1" x14ac:dyDescent="0.3">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2.75" customHeight="1" x14ac:dyDescent="0.3">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2.75" customHeight="1" x14ac:dyDescent="0.3">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2.75" customHeight="1" x14ac:dyDescent="0.3">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2.75" customHeight="1" x14ac:dyDescent="0.3">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2.75" customHeight="1" x14ac:dyDescent="0.3">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2.75" customHeight="1" x14ac:dyDescent="0.3">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2.75" customHeight="1" x14ac:dyDescent="0.3">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2.75" customHeight="1" x14ac:dyDescent="0.3">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2.75" customHeight="1" x14ac:dyDescent="0.3">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2.75" customHeight="1" x14ac:dyDescent="0.3">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2.75" customHeight="1" x14ac:dyDescent="0.3">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2.75" customHeight="1" x14ac:dyDescent="0.3">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2.75" customHeight="1" x14ac:dyDescent="0.3">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2.75" customHeight="1" x14ac:dyDescent="0.3">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2.75" customHeight="1" x14ac:dyDescent="0.3">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2.75" customHeight="1" x14ac:dyDescent="0.3">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2.75" customHeight="1" x14ac:dyDescent="0.3">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2.75" customHeight="1" x14ac:dyDescent="0.3">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2.75" customHeight="1" x14ac:dyDescent="0.3">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2.75" customHeight="1" x14ac:dyDescent="0.3">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2.75" customHeight="1" x14ac:dyDescent="0.3">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2.75" customHeight="1" x14ac:dyDescent="0.3">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2.75" customHeight="1" x14ac:dyDescent="0.3">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2.75" customHeight="1" x14ac:dyDescent="0.3">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2.75" customHeight="1" x14ac:dyDescent="0.3">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2.75" customHeight="1" x14ac:dyDescent="0.3">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2.75" customHeight="1" x14ac:dyDescent="0.3">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2.75" customHeight="1" x14ac:dyDescent="0.3">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2.75" customHeight="1" x14ac:dyDescent="0.3">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2.75" customHeight="1" x14ac:dyDescent="0.3">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2.75" customHeight="1" x14ac:dyDescent="0.3">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2.75" customHeight="1" x14ac:dyDescent="0.3">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2.75" customHeight="1" x14ac:dyDescent="0.3">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2.75" customHeight="1" x14ac:dyDescent="0.3">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2.75" customHeight="1" x14ac:dyDescent="0.3">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2.75" customHeight="1" x14ac:dyDescent="0.3">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2.75" customHeight="1" x14ac:dyDescent="0.3">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2.75" customHeight="1" x14ac:dyDescent="0.3">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2.75" customHeight="1" x14ac:dyDescent="0.3">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2.75" customHeight="1" x14ac:dyDescent="0.3">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2.75" customHeight="1" x14ac:dyDescent="0.3">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2.75" customHeight="1" x14ac:dyDescent="0.3">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2.75" customHeight="1" x14ac:dyDescent="0.3">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2.75" customHeight="1" x14ac:dyDescent="0.3">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2.75" customHeight="1" x14ac:dyDescent="0.3">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2.75" customHeight="1" x14ac:dyDescent="0.3">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2.75" customHeight="1" x14ac:dyDescent="0.3">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2.75" customHeight="1" x14ac:dyDescent="0.3">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2.75" customHeight="1" x14ac:dyDescent="0.3">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2.75" customHeight="1" x14ac:dyDescent="0.3">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2.75" customHeight="1" x14ac:dyDescent="0.3">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2.75" customHeight="1" x14ac:dyDescent="0.3">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2.75" customHeight="1" x14ac:dyDescent="0.3">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2.75" customHeight="1" x14ac:dyDescent="0.3">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2.75" customHeight="1" x14ac:dyDescent="0.3">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2.75" customHeight="1" x14ac:dyDescent="0.3">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2.75" customHeight="1" x14ac:dyDescent="0.3">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2.75" customHeight="1" x14ac:dyDescent="0.3">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2.75" customHeight="1" x14ac:dyDescent="0.3">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2.75" customHeight="1" x14ac:dyDescent="0.3">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2.75" customHeight="1" x14ac:dyDescent="0.3">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2.75" customHeight="1" x14ac:dyDescent="0.3">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2.75" customHeight="1" x14ac:dyDescent="0.3">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2.75" customHeight="1" x14ac:dyDescent="0.3">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2.75" customHeight="1" x14ac:dyDescent="0.3">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2.75" customHeight="1" x14ac:dyDescent="0.3">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2.75" customHeight="1" x14ac:dyDescent="0.3">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2.75" customHeight="1" x14ac:dyDescent="0.3">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2.75" customHeight="1" x14ac:dyDescent="0.3">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2.75" customHeight="1" x14ac:dyDescent="0.3">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2.75" customHeight="1" x14ac:dyDescent="0.3">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2.75" customHeight="1" x14ac:dyDescent="0.3">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2.75" customHeight="1" x14ac:dyDescent="0.3">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2.75" customHeight="1" x14ac:dyDescent="0.3">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2.75" customHeight="1" x14ac:dyDescent="0.3">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2.75" customHeight="1" x14ac:dyDescent="0.3">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2.75" customHeight="1" x14ac:dyDescent="0.3">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2.75" customHeight="1" x14ac:dyDescent="0.3">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2.75" customHeight="1" x14ac:dyDescent="0.3">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2.75" customHeight="1" x14ac:dyDescent="0.3">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2.75" customHeight="1" x14ac:dyDescent="0.3">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2.75" customHeight="1" x14ac:dyDescent="0.3">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2.75" customHeight="1" x14ac:dyDescent="0.3">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2.75" customHeight="1" x14ac:dyDescent="0.3">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2.75" customHeight="1" x14ac:dyDescent="0.3">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2.75" customHeight="1" x14ac:dyDescent="0.3">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2.75" customHeight="1" x14ac:dyDescent="0.3">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2.75" customHeight="1" x14ac:dyDescent="0.3">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2.75" customHeight="1" x14ac:dyDescent="0.3">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2.75" customHeight="1" x14ac:dyDescent="0.3">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2.75" customHeight="1" x14ac:dyDescent="0.3">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2.75" customHeight="1" x14ac:dyDescent="0.3">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2.75" customHeight="1" x14ac:dyDescent="0.3">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2.75" customHeight="1" x14ac:dyDescent="0.3">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2.75" customHeight="1" x14ac:dyDescent="0.3">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2.75" customHeight="1" x14ac:dyDescent="0.3">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2.75" customHeight="1" x14ac:dyDescent="0.3">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2.75" customHeight="1" x14ac:dyDescent="0.3">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2.75" customHeight="1" x14ac:dyDescent="0.3">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2.75" customHeight="1" x14ac:dyDescent="0.3">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2.75" customHeight="1" x14ac:dyDescent="0.3">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2.75" customHeight="1" x14ac:dyDescent="0.3">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2.75" customHeight="1" x14ac:dyDescent="0.3">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2.75" customHeight="1" x14ac:dyDescent="0.3">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2.75" customHeight="1" x14ac:dyDescent="0.3">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2.75" customHeight="1" x14ac:dyDescent="0.3">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2.75" customHeight="1" x14ac:dyDescent="0.3">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2.75" customHeight="1" x14ac:dyDescent="0.3">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2.75" customHeight="1" x14ac:dyDescent="0.3">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2.75" customHeight="1" x14ac:dyDescent="0.3">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2.75" customHeight="1" x14ac:dyDescent="0.3">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2.75" customHeight="1" x14ac:dyDescent="0.3">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2.75" customHeight="1" x14ac:dyDescent="0.3">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2.75" customHeight="1" x14ac:dyDescent="0.3">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2.75" customHeight="1" x14ac:dyDescent="0.3">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2.75" customHeight="1" x14ac:dyDescent="0.3">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2.75" customHeight="1" x14ac:dyDescent="0.3">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2.75" customHeight="1" x14ac:dyDescent="0.3">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2.75" customHeight="1" x14ac:dyDescent="0.3">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2.75" customHeight="1" x14ac:dyDescent="0.3">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2.75" customHeight="1" x14ac:dyDescent="0.3">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2.75" customHeight="1" x14ac:dyDescent="0.3">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2.75" customHeight="1" x14ac:dyDescent="0.3">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2.75" customHeight="1" x14ac:dyDescent="0.3">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2.75" customHeight="1" x14ac:dyDescent="0.3">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2.75" customHeight="1" x14ac:dyDescent="0.3">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2.75" customHeight="1" x14ac:dyDescent="0.3">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2.75" customHeight="1" x14ac:dyDescent="0.3">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2.75" customHeight="1" x14ac:dyDescent="0.3">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2.75" customHeight="1" x14ac:dyDescent="0.3">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2.75" customHeight="1" x14ac:dyDescent="0.3">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2.75" customHeight="1" x14ac:dyDescent="0.3">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2.75" customHeight="1" x14ac:dyDescent="0.3">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2.75" customHeight="1" x14ac:dyDescent="0.3">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2.75" customHeight="1" x14ac:dyDescent="0.3">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2.75" customHeight="1" x14ac:dyDescent="0.3">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2.75" customHeight="1" x14ac:dyDescent="0.3">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2.75" customHeight="1" x14ac:dyDescent="0.3">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2.75" customHeight="1" x14ac:dyDescent="0.3">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2.75" customHeight="1" x14ac:dyDescent="0.3">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2.75" customHeight="1" x14ac:dyDescent="0.3">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2.75" customHeight="1" x14ac:dyDescent="0.3">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2.75" customHeight="1" x14ac:dyDescent="0.3">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2.75" customHeight="1" x14ac:dyDescent="0.3">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2.75" customHeight="1" x14ac:dyDescent="0.3">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2.75" customHeight="1" x14ac:dyDescent="0.3">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2.75" customHeight="1" x14ac:dyDescent="0.3">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2.75" customHeight="1" x14ac:dyDescent="0.3">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2.75" customHeight="1" x14ac:dyDescent="0.3">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2.75" customHeight="1" x14ac:dyDescent="0.3">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2.75" customHeight="1" x14ac:dyDescent="0.3">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2.75" customHeight="1" x14ac:dyDescent="0.3">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2.75" customHeight="1" x14ac:dyDescent="0.3">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2.75" customHeight="1" x14ac:dyDescent="0.3">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2.75" customHeight="1" x14ac:dyDescent="0.3">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2.75" customHeight="1" x14ac:dyDescent="0.3">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2.75" customHeight="1" x14ac:dyDescent="0.3">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2.75" customHeight="1" x14ac:dyDescent="0.3">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2.75" customHeight="1" x14ac:dyDescent="0.3">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2.75" customHeight="1" x14ac:dyDescent="0.3">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2.75" customHeight="1" x14ac:dyDescent="0.3">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2.75" customHeight="1" x14ac:dyDescent="0.3">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2.75" customHeight="1" x14ac:dyDescent="0.3">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2.75" customHeight="1" x14ac:dyDescent="0.3">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2.75" customHeight="1" x14ac:dyDescent="0.3">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2.75" customHeight="1" x14ac:dyDescent="0.3">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2.75" customHeight="1" x14ac:dyDescent="0.3">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2.75" customHeight="1" x14ac:dyDescent="0.3">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2.75" customHeight="1" x14ac:dyDescent="0.3">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2.75" customHeight="1" x14ac:dyDescent="0.3">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2.75" customHeight="1" x14ac:dyDescent="0.3">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2.75" customHeight="1" x14ac:dyDescent="0.3">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2.75" customHeight="1" x14ac:dyDescent="0.3">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2.75" customHeight="1" x14ac:dyDescent="0.3">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2.75" customHeight="1" x14ac:dyDescent="0.3">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2.75" customHeight="1" x14ac:dyDescent="0.3">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2.75" customHeight="1" x14ac:dyDescent="0.3">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2.75" customHeight="1" x14ac:dyDescent="0.3">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2.75" customHeight="1" x14ac:dyDescent="0.3">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2.75" customHeight="1" x14ac:dyDescent="0.3">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2.75" customHeight="1" x14ac:dyDescent="0.3">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2.75" customHeight="1" x14ac:dyDescent="0.3">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2.75" customHeight="1" x14ac:dyDescent="0.3">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2.75" customHeight="1" x14ac:dyDescent="0.3">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2.75" customHeight="1" x14ac:dyDescent="0.3">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2.75" customHeight="1" x14ac:dyDescent="0.3">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2.75" customHeight="1" x14ac:dyDescent="0.3">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2.75" customHeight="1" x14ac:dyDescent="0.3">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2.75" customHeight="1" x14ac:dyDescent="0.3">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2.75" customHeight="1" x14ac:dyDescent="0.3">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2.75" customHeight="1" x14ac:dyDescent="0.3">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2.75" customHeight="1" x14ac:dyDescent="0.3">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2.75" customHeight="1" x14ac:dyDescent="0.3">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2.75" customHeight="1" x14ac:dyDescent="0.3">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2.75" customHeight="1" x14ac:dyDescent="0.3">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2.75" customHeight="1" x14ac:dyDescent="0.3">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2.75" customHeight="1" x14ac:dyDescent="0.3">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2.75" customHeight="1" x14ac:dyDescent="0.3">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2.75" customHeight="1" x14ac:dyDescent="0.3">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2.75" customHeight="1" x14ac:dyDescent="0.3">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2.75" customHeight="1" x14ac:dyDescent="0.3">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2.75" customHeight="1" x14ac:dyDescent="0.3">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2.75" customHeight="1" x14ac:dyDescent="0.3">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2.75" customHeight="1" x14ac:dyDescent="0.3">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2.75" customHeight="1" x14ac:dyDescent="0.3">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2.75" customHeight="1" x14ac:dyDescent="0.3">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2.75" customHeight="1" x14ac:dyDescent="0.3">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2.75" customHeight="1" x14ac:dyDescent="0.3">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2.75" customHeight="1" x14ac:dyDescent="0.3">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2.75" customHeight="1" x14ac:dyDescent="0.3">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2.75" customHeight="1" x14ac:dyDescent="0.3">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2.75" customHeight="1" x14ac:dyDescent="0.3">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2.75" customHeight="1" x14ac:dyDescent="0.3">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2.75" customHeight="1" x14ac:dyDescent="0.3">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2.75" customHeight="1" x14ac:dyDescent="0.3">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2.75" customHeight="1" x14ac:dyDescent="0.3">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2.75" customHeight="1" x14ac:dyDescent="0.3">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2.75" customHeight="1" x14ac:dyDescent="0.3">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2.75" customHeight="1" x14ac:dyDescent="0.3">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2.75" customHeight="1" x14ac:dyDescent="0.3">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2.75" customHeight="1" x14ac:dyDescent="0.3">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2.75" customHeight="1" x14ac:dyDescent="0.3">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2.75" customHeight="1" x14ac:dyDescent="0.3">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2.75" customHeight="1" x14ac:dyDescent="0.3">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2.75" customHeight="1" x14ac:dyDescent="0.3">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2.75" customHeight="1" x14ac:dyDescent="0.3">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2.75" customHeight="1" x14ac:dyDescent="0.3">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2.75" customHeight="1" x14ac:dyDescent="0.3">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2.75" customHeight="1" x14ac:dyDescent="0.3">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2.75" customHeight="1" x14ac:dyDescent="0.3">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2.75" customHeight="1" x14ac:dyDescent="0.3">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2.75" customHeight="1" x14ac:dyDescent="0.3">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2.75" customHeight="1" x14ac:dyDescent="0.3">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2.75" customHeight="1" x14ac:dyDescent="0.3">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2.75" customHeight="1" x14ac:dyDescent="0.3">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2.75" customHeight="1" x14ac:dyDescent="0.3">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2.75" customHeight="1" x14ac:dyDescent="0.3">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2.75" customHeight="1" x14ac:dyDescent="0.3">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2.75" customHeight="1" x14ac:dyDescent="0.3">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2.75" customHeight="1" x14ac:dyDescent="0.3">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2.75" customHeight="1" x14ac:dyDescent="0.3">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2.75" customHeight="1" x14ac:dyDescent="0.3">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2.75" customHeight="1" x14ac:dyDescent="0.3">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2.75" customHeight="1" x14ac:dyDescent="0.3">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2.75" customHeight="1" x14ac:dyDescent="0.3">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2.75" customHeight="1" x14ac:dyDescent="0.3">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2.75" customHeight="1" x14ac:dyDescent="0.3">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2.75" customHeight="1" x14ac:dyDescent="0.3">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2.75" customHeight="1" x14ac:dyDescent="0.3">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2.75" customHeight="1" x14ac:dyDescent="0.3">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2.75" customHeight="1" x14ac:dyDescent="0.3">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2.75" customHeight="1" x14ac:dyDescent="0.3">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2.75" customHeight="1" x14ac:dyDescent="0.3">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2.75" customHeight="1" x14ac:dyDescent="0.3">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2.75" customHeight="1" x14ac:dyDescent="0.3">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2.75" customHeight="1" x14ac:dyDescent="0.3">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2.75" customHeight="1" x14ac:dyDescent="0.3">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2.75" customHeight="1" x14ac:dyDescent="0.3">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2.75" customHeight="1" x14ac:dyDescent="0.3">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2.75" customHeight="1" x14ac:dyDescent="0.3">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2.75" customHeight="1" x14ac:dyDescent="0.3">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2.75" customHeight="1" x14ac:dyDescent="0.3">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2.75" customHeight="1" x14ac:dyDescent="0.3">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2.75" customHeight="1" x14ac:dyDescent="0.3">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2.75" customHeight="1" x14ac:dyDescent="0.3">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2.75" customHeight="1" x14ac:dyDescent="0.3">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2.75" customHeight="1" x14ac:dyDescent="0.3">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2.75" customHeight="1" x14ac:dyDescent="0.3">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2.75" customHeight="1" x14ac:dyDescent="0.3">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2.75" customHeight="1" x14ac:dyDescent="0.3">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2.75" customHeight="1" x14ac:dyDescent="0.3">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2.75" customHeight="1" x14ac:dyDescent="0.3">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2.75" customHeight="1" x14ac:dyDescent="0.3">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2.75" customHeight="1" x14ac:dyDescent="0.3">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2.75" customHeight="1" x14ac:dyDescent="0.3">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2.75" customHeight="1" x14ac:dyDescent="0.3">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2.75" customHeight="1" x14ac:dyDescent="0.3">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2.75" customHeight="1" x14ac:dyDescent="0.3">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2.75" customHeight="1" x14ac:dyDescent="0.3">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2.75" customHeight="1" x14ac:dyDescent="0.3">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Rendimiento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dcterms:created xsi:type="dcterms:W3CDTF">2020-01-23T13:58:13Z</dcterms:created>
  <dcterms:modified xsi:type="dcterms:W3CDTF">2021-08-11T18:04:58Z</dcterms:modified>
</cp:coreProperties>
</file>