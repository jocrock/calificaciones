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A9EA70E9-359A-4166-9908-37EEB96CFA05}" xr6:coauthVersionLast="47" xr6:coauthVersionMax="47" xr10:uidLastSave="{00000000-0000-0000-0000-000000000000}"/>
  <bookViews>
    <workbookView xWindow="-135" yWindow="-135" windowWidth="29070" windowHeight="17670" firstSheet="1" activeTab="4" xr2:uid="{00000000-000D-0000-FFFF-FFFF00000000}"/>
  </bookViews>
  <sheets>
    <sheet name="CARÁTULA" sheetId="1" r:id="rId1"/>
    <sheet name="C. FILIACION" sheetId="2" r:id="rId2"/>
    <sheet name="ASIS 1 TRIM" sheetId="3" r:id="rId3"/>
    <sheet name="ASIS 2 TRIM" sheetId="4" r:id="rId4"/>
    <sheet name="Informe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2yWEg/ojTLgu1VwR0YOb1HvT3Vg=="/>
    </ext>
  </extLst>
</workbook>
</file>

<file path=xl/calcChain.xml><?xml version="1.0" encoding="utf-8"?>
<calcChain xmlns="http://schemas.openxmlformats.org/spreadsheetml/2006/main">
  <c r="R4" i="17" l="1"/>
  <c r="A16" i="17"/>
  <c r="A15" i="17"/>
  <c r="H10" i="17"/>
  <c r="I10" i="17"/>
  <c r="J10" i="17"/>
  <c r="K10" i="17"/>
  <c r="L10" i="17"/>
  <c r="M10" i="17"/>
  <c r="N10" i="17"/>
  <c r="O10" i="17"/>
  <c r="P10" i="17"/>
  <c r="G10" i="17"/>
  <c r="BC8" i="4"/>
  <c r="BC9" i="4"/>
  <c r="BC10" i="4"/>
  <c r="BC11" i="4"/>
  <c r="BC12" i="4"/>
  <c r="BC13" i="4"/>
  <c r="BC14" i="4"/>
  <c r="BC15" i="4"/>
  <c r="BC16" i="4"/>
  <c r="BC17" i="4"/>
  <c r="BC18" i="4"/>
  <c r="BC19" i="4"/>
  <c r="BC20" i="4"/>
  <c r="BC21" i="4"/>
  <c r="BC22" i="4"/>
  <c r="BC23" i="4"/>
  <c r="BC24" i="4"/>
  <c r="BC25" i="4"/>
  <c r="BB8" i="4"/>
  <c r="BB9" i="4"/>
  <c r="BB10" i="4"/>
  <c r="BB11" i="4"/>
  <c r="BB12" i="4"/>
  <c r="BB13" i="4"/>
  <c r="BB14" i="4"/>
  <c r="BB15" i="4"/>
  <c r="BB16" i="4"/>
  <c r="BB17" i="4"/>
  <c r="BB18" i="4"/>
  <c r="BB19" i="4"/>
  <c r="BB20" i="4"/>
  <c r="BB21" i="4"/>
  <c r="BB22" i="4"/>
  <c r="BB23" i="4"/>
  <c r="BB24" i="4"/>
  <c r="BB25" i="4"/>
  <c r="AZ8" i="4"/>
  <c r="AZ9" i="4"/>
  <c r="AZ10" i="4"/>
  <c r="AZ11" i="4"/>
  <c r="AZ12" i="4"/>
  <c r="AZ13" i="4"/>
  <c r="AZ14" i="4"/>
  <c r="AZ15" i="4"/>
  <c r="AZ16" i="4"/>
  <c r="AZ17" i="4"/>
  <c r="AZ18" i="4"/>
  <c r="AZ19" i="4"/>
  <c r="AZ20" i="4"/>
  <c r="AZ21" i="4"/>
  <c r="AZ22" i="4"/>
  <c r="AZ23" i="4"/>
  <c r="AZ24" i="4"/>
  <c r="AZ25" i="4"/>
  <c r="BA8" i="4"/>
  <c r="BA9" i="4"/>
  <c r="BA10" i="4"/>
  <c r="BA11" i="4"/>
  <c r="BA12" i="4"/>
  <c r="BA13" i="4"/>
  <c r="BA14" i="4"/>
  <c r="BA15" i="4"/>
  <c r="BA16" i="4"/>
  <c r="BA17" i="4"/>
  <c r="BA18" i="4"/>
  <c r="BA19" i="4"/>
  <c r="BA20" i="4"/>
  <c r="BA21" i="4"/>
  <c r="BA22" i="4"/>
  <c r="BA23" i="4"/>
  <c r="BA24" i="4"/>
  <c r="BA25" i="4"/>
  <c r="BD19" i="4" l="1"/>
  <c r="BD11" i="4"/>
  <c r="BD21" i="4"/>
  <c r="BD18" i="4"/>
  <c r="BD10" i="4"/>
  <c r="BD25" i="4"/>
  <c r="BD17" i="4"/>
  <c r="BD24" i="4"/>
  <c r="BD16" i="4"/>
  <c r="BD8" i="4"/>
  <c r="BD23" i="4"/>
  <c r="BD15" i="4"/>
  <c r="BD22" i="4"/>
  <c r="BD14" i="4"/>
  <c r="BD13" i="4"/>
  <c r="BD20" i="4"/>
  <c r="BD12" i="4"/>
  <c r="BD9" i="4"/>
  <c r="A23" i="17"/>
  <c r="A22" i="17"/>
  <c r="A21" i="17"/>
  <c r="AD25" i="17"/>
  <c r="U10" i="17"/>
  <c r="T10" i="17"/>
  <c r="S10" i="17"/>
  <c r="R10" i="17"/>
  <c r="Q10" i="17"/>
  <c r="F4" i="17"/>
  <c r="B18"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H46" i="15"/>
  <c r="H45" i="15"/>
  <c r="H44" i="15"/>
  <c r="H47" i="15" s="1"/>
  <c r="G40" i="15"/>
  <c r="F40" i="15"/>
  <c r="E40" i="15"/>
  <c r="H39" i="15"/>
  <c r="H38" i="15"/>
  <c r="H37" i="15"/>
  <c r="H40" i="15" s="1"/>
  <c r="G33" i="15"/>
  <c r="H32" i="15" s="1"/>
  <c r="F33" i="15"/>
  <c r="E33" i="15"/>
  <c r="H30" i="15"/>
  <c r="G26" i="15"/>
  <c r="H24" i="15" s="1"/>
  <c r="F26" i="15"/>
  <c r="E26" i="15"/>
  <c r="G19" i="15"/>
  <c r="H16" i="15" s="1"/>
  <c r="F19" i="15"/>
  <c r="E19"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F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D27" i="9"/>
  <c r="C27" i="9"/>
  <c r="B27" i="9"/>
  <c r="R26" i="9"/>
  <c r="O26" i="9"/>
  <c r="L26" i="9"/>
  <c r="I26" i="9"/>
  <c r="F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I17" i="9"/>
  <c r="C17" i="9"/>
  <c r="B17" i="9"/>
  <c r="R16" i="9"/>
  <c r="Q16" i="9"/>
  <c r="O16" i="9"/>
  <c r="L16" i="9"/>
  <c r="I16" i="9"/>
  <c r="C16" i="9"/>
  <c r="B16" i="9"/>
  <c r="R15" i="9"/>
  <c r="O15" i="9"/>
  <c r="L15" i="9"/>
  <c r="I15" i="9"/>
  <c r="C15" i="9"/>
  <c r="B15" i="9"/>
  <c r="S14" i="9"/>
  <c r="R14" i="9"/>
  <c r="O14" i="9"/>
  <c r="L14" i="9"/>
  <c r="I14" i="9"/>
  <c r="C14" i="9"/>
  <c r="B14" i="9"/>
  <c r="R13" i="9"/>
  <c r="P13" i="9"/>
  <c r="O13" i="9"/>
  <c r="L13" i="9"/>
  <c r="I13" i="9"/>
  <c r="C13" i="9"/>
  <c r="B13" i="9"/>
  <c r="R12" i="9"/>
  <c r="O12" i="9"/>
  <c r="M12" i="9"/>
  <c r="L12" i="9"/>
  <c r="I12" i="9"/>
  <c r="C12" i="9"/>
  <c r="B12" i="9"/>
  <c r="R11" i="9"/>
  <c r="O11" i="9"/>
  <c r="L11" i="9"/>
  <c r="I11" i="9"/>
  <c r="C11" i="9"/>
  <c r="B11" i="9"/>
  <c r="R10" i="9"/>
  <c r="O10" i="9"/>
  <c r="L10" i="9"/>
  <c r="I10" i="9"/>
  <c r="G10" i="9"/>
  <c r="C10" i="9"/>
  <c r="B10" i="9"/>
  <c r="T9" i="9"/>
  <c r="R9" i="9"/>
  <c r="O9" i="9"/>
  <c r="L9" i="9"/>
  <c r="I9" i="9"/>
  <c r="D9" i="9"/>
  <c r="C9" i="9"/>
  <c r="B9" i="9"/>
  <c r="U5" i="9"/>
  <c r="C5" i="9"/>
  <c r="U4" i="9"/>
  <c r="C4" i="9"/>
  <c r="U3" i="9"/>
  <c r="C3" i="9"/>
  <c r="AE44" i="8"/>
  <c r="S44" i="9" s="1"/>
  <c r="AB44" i="8"/>
  <c r="Q44" i="9" s="1"/>
  <c r="O44" i="8"/>
  <c r="P44" i="9" s="1"/>
  <c r="B44" i="8"/>
  <c r="AE43" i="8"/>
  <c r="S43" i="9" s="1"/>
  <c r="AB43" i="8"/>
  <c r="Q43" i="9" s="1"/>
  <c r="O43" i="8"/>
  <c r="P43" i="9" s="1"/>
  <c r="B43" i="8"/>
  <c r="AG42" i="8"/>
  <c r="AE42" i="8"/>
  <c r="S42" i="9" s="1"/>
  <c r="AB42" i="8"/>
  <c r="Q42" i="9" s="1"/>
  <c r="O42" i="8"/>
  <c r="P42" i="9" s="1"/>
  <c r="B42" i="8"/>
  <c r="AE41" i="8"/>
  <c r="S41" i="9" s="1"/>
  <c r="AB41" i="8"/>
  <c r="Q41" i="9" s="1"/>
  <c r="O41" i="8"/>
  <c r="P41" i="9" s="1"/>
  <c r="B41" i="8"/>
  <c r="AE40" i="8"/>
  <c r="S40" i="9" s="1"/>
  <c r="AB40" i="8"/>
  <c r="Q40" i="9" s="1"/>
  <c r="O40" i="8"/>
  <c r="P40" i="9" s="1"/>
  <c r="B40" i="8"/>
  <c r="AE39" i="8"/>
  <c r="S39" i="9" s="1"/>
  <c r="AB39" i="8"/>
  <c r="O39" i="8"/>
  <c r="P39" i="9" s="1"/>
  <c r="B39" i="8"/>
  <c r="AE38" i="8"/>
  <c r="S38" i="9" s="1"/>
  <c r="AB38" i="8"/>
  <c r="Q38" i="9" s="1"/>
  <c r="O38" i="8"/>
  <c r="B38" i="8"/>
  <c r="AE37" i="8"/>
  <c r="S37" i="9" s="1"/>
  <c r="AB37" i="8"/>
  <c r="Q37" i="9" s="1"/>
  <c r="O37" i="8"/>
  <c r="P37" i="9" s="1"/>
  <c r="B37" i="8"/>
  <c r="AE36" i="8"/>
  <c r="S36" i="9" s="1"/>
  <c r="AB36" i="8"/>
  <c r="Q36" i="9" s="1"/>
  <c r="O36" i="8"/>
  <c r="P36" i="9" s="1"/>
  <c r="B36" i="8"/>
  <c r="AE35" i="8"/>
  <c r="S35" i="9" s="1"/>
  <c r="AB35" i="8"/>
  <c r="Q35" i="9" s="1"/>
  <c r="O35" i="8"/>
  <c r="P35" i="9" s="1"/>
  <c r="B35" i="8"/>
  <c r="AG34"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O31" i="8"/>
  <c r="P31" i="9" s="1"/>
  <c r="B31" i="8"/>
  <c r="AE30" i="8"/>
  <c r="S30" i="9" s="1"/>
  <c r="AB30" i="8"/>
  <c r="Q30" i="9" s="1"/>
  <c r="O30" i="8"/>
  <c r="B30" i="8"/>
  <c r="AE29" i="8"/>
  <c r="S29" i="9" s="1"/>
  <c r="AB29" i="8"/>
  <c r="Q29" i="9" s="1"/>
  <c r="O29" i="8"/>
  <c r="P29" i="9" s="1"/>
  <c r="B29" i="8"/>
  <c r="AE28" i="8"/>
  <c r="S28" i="9" s="1"/>
  <c r="AB28" i="8"/>
  <c r="Q28" i="9" s="1"/>
  <c r="O28" i="8"/>
  <c r="AG28" i="8" s="1"/>
  <c r="B28" i="8"/>
  <c r="AE27" i="8"/>
  <c r="S27" i="9" s="1"/>
  <c r="AB27" i="8"/>
  <c r="Q27" i="9" s="1"/>
  <c r="O27" i="8"/>
  <c r="P27" i="9" s="1"/>
  <c r="B27" i="8"/>
  <c r="AG26" i="8"/>
  <c r="AE26" i="8"/>
  <c r="S26" i="9" s="1"/>
  <c r="AB26" i="8"/>
  <c r="Q26" i="9" s="1"/>
  <c r="O26" i="8"/>
  <c r="P26" i="9" s="1"/>
  <c r="B26" i="8"/>
  <c r="AE25" i="8"/>
  <c r="S25" i="9" s="1"/>
  <c r="AB25" i="8"/>
  <c r="Q25" i="9" s="1"/>
  <c r="O25" i="8"/>
  <c r="P25" i="9" s="1"/>
  <c r="B25" i="8"/>
  <c r="AE24" i="8"/>
  <c r="S24" i="9" s="1"/>
  <c r="AB24" i="8"/>
  <c r="Q24" i="9" s="1"/>
  <c r="O24" i="8"/>
  <c r="P24" i="9" s="1"/>
  <c r="B24" i="8"/>
  <c r="AE23" i="8"/>
  <c r="S23" i="9" s="1"/>
  <c r="AB23" i="8"/>
  <c r="O23" i="8"/>
  <c r="P23" i="9" s="1"/>
  <c r="B23" i="8"/>
  <c r="AE22" i="8"/>
  <c r="AB22" i="8"/>
  <c r="Q22" i="9" s="1"/>
  <c r="O22" i="8"/>
  <c r="B22" i="8"/>
  <c r="AE21" i="8"/>
  <c r="S21" i="9" s="1"/>
  <c r="AB21" i="8"/>
  <c r="Q21" i="9" s="1"/>
  <c r="O21" i="8"/>
  <c r="P21" i="9" s="1"/>
  <c r="B21" i="8"/>
  <c r="AE20" i="8"/>
  <c r="S20" i="9" s="1"/>
  <c r="AB20" i="8"/>
  <c r="Q20" i="9" s="1"/>
  <c r="O20" i="8"/>
  <c r="AG20" i="8" s="1"/>
  <c r="B20" i="8"/>
  <c r="AE19" i="8"/>
  <c r="S19" i="9" s="1"/>
  <c r="AB19" i="8"/>
  <c r="Q19" i="9" s="1"/>
  <c r="O19" i="8"/>
  <c r="AG19" i="8" s="1"/>
  <c r="T19" i="9" s="1"/>
  <c r="B19" i="8"/>
  <c r="AG18" i="8"/>
  <c r="AE18" i="8"/>
  <c r="S18" i="9" s="1"/>
  <c r="AB18" i="8"/>
  <c r="Q18" i="9" s="1"/>
  <c r="O18" i="8"/>
  <c r="P18" i="9" s="1"/>
  <c r="B18" i="8"/>
  <c r="AE17" i="8"/>
  <c r="S17" i="9" s="1"/>
  <c r="AB17" i="8"/>
  <c r="Q17" i="9" s="1"/>
  <c r="O17" i="8"/>
  <c r="P17" i="9" s="1"/>
  <c r="B17" i="8"/>
  <c r="AE16" i="8"/>
  <c r="S16" i="9" s="1"/>
  <c r="AB16" i="8"/>
  <c r="O16" i="8"/>
  <c r="P16" i="9" s="1"/>
  <c r="B16" i="8"/>
  <c r="AE15" i="8"/>
  <c r="S15" i="9" s="1"/>
  <c r="AB15" i="8"/>
  <c r="O15" i="8"/>
  <c r="P15" i="9" s="1"/>
  <c r="B15" i="8"/>
  <c r="AE14" i="8"/>
  <c r="AB14" i="8"/>
  <c r="Q14" i="9" s="1"/>
  <c r="O14" i="8"/>
  <c r="B14" i="8"/>
  <c r="AE13" i="8"/>
  <c r="AG13" i="8" s="1"/>
  <c r="AB13" i="8"/>
  <c r="Q13" i="9" s="1"/>
  <c r="O13" i="8"/>
  <c r="B13" i="8"/>
  <c r="AG12" i="8"/>
  <c r="E12" i="10" s="1"/>
  <c r="AE12" i="8"/>
  <c r="S12" i="9" s="1"/>
  <c r="AB12" i="8"/>
  <c r="Q12" i="9" s="1"/>
  <c r="O12" i="8"/>
  <c r="P12" i="9" s="1"/>
  <c r="B12" i="8"/>
  <c r="AG11" i="8"/>
  <c r="E11" i="10" s="1"/>
  <c r="AE11" i="8"/>
  <c r="S11" i="9" s="1"/>
  <c r="AB11" i="8"/>
  <c r="Q11" i="9" s="1"/>
  <c r="O11" i="8"/>
  <c r="P11" i="9" s="1"/>
  <c r="B11" i="8"/>
  <c r="AG10" i="8"/>
  <c r="E10" i="10" s="1"/>
  <c r="AE10" i="8"/>
  <c r="S10" i="9" s="1"/>
  <c r="AB10" i="8"/>
  <c r="Q10" i="9" s="1"/>
  <c r="O10" i="8"/>
  <c r="P10" i="9" s="1"/>
  <c r="B10" i="8"/>
  <c r="AG9" i="8"/>
  <c r="E9" i="10" s="1"/>
  <c r="AE9" i="8"/>
  <c r="S9" i="9" s="1"/>
  <c r="AB9" i="8"/>
  <c r="Q9" i="9" s="1"/>
  <c r="O9" i="8"/>
  <c r="P9" i="9" s="1"/>
  <c r="B9" i="8"/>
  <c r="AI5" i="8"/>
  <c r="S5" i="8"/>
  <c r="C5" i="8"/>
  <c r="AI4" i="8"/>
  <c r="S4" i="8"/>
  <c r="C4" i="8"/>
  <c r="AI3" i="8"/>
  <c r="S3" i="8"/>
  <c r="C3" i="8"/>
  <c r="AE44" i="7"/>
  <c r="M44" i="9" s="1"/>
  <c r="AB44" i="7"/>
  <c r="K44" i="9" s="1"/>
  <c r="O44" i="7"/>
  <c r="B44" i="7"/>
  <c r="AG43" i="7"/>
  <c r="AH43" i="7" s="1"/>
  <c r="AE43" i="7"/>
  <c r="M43" i="9" s="1"/>
  <c r="AB43" i="7"/>
  <c r="K43" i="9" s="1"/>
  <c r="O43" i="7"/>
  <c r="J43" i="9" s="1"/>
  <c r="B43" i="7"/>
  <c r="AE42" i="7"/>
  <c r="M42" i="9" s="1"/>
  <c r="AB42" i="7"/>
  <c r="K42" i="9" s="1"/>
  <c r="O42" i="7"/>
  <c r="J42" i="9" s="1"/>
  <c r="B42" i="7"/>
  <c r="AG41" i="7"/>
  <c r="AE41" i="7"/>
  <c r="M41" i="9" s="1"/>
  <c r="AB41" i="7"/>
  <c r="K41" i="9" s="1"/>
  <c r="O41" i="7"/>
  <c r="J41" i="9" s="1"/>
  <c r="B41" i="7"/>
  <c r="AG40" i="7"/>
  <c r="AE40" i="7"/>
  <c r="M40" i="9" s="1"/>
  <c r="AB40" i="7"/>
  <c r="K40" i="9" s="1"/>
  <c r="O40" i="7"/>
  <c r="J40" i="9" s="1"/>
  <c r="B40" i="7"/>
  <c r="AE39" i="7"/>
  <c r="M39" i="9" s="1"/>
  <c r="AB39" i="7"/>
  <c r="K39" i="9" s="1"/>
  <c r="O39" i="7"/>
  <c r="J39" i="9" s="1"/>
  <c r="B39" i="7"/>
  <c r="AE38" i="7"/>
  <c r="M38" i="9" s="1"/>
  <c r="AB38" i="7"/>
  <c r="O38" i="7"/>
  <c r="J38" i="9" s="1"/>
  <c r="B38" i="7"/>
  <c r="AE37" i="7"/>
  <c r="M37" i="9" s="1"/>
  <c r="AB37" i="7"/>
  <c r="K37" i="9" s="1"/>
  <c r="O37" i="7"/>
  <c r="B37" i="7"/>
  <c r="AE36" i="7"/>
  <c r="M36" i="9" s="1"/>
  <c r="AB36" i="7"/>
  <c r="K36" i="9" s="1"/>
  <c r="O36" i="7"/>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B31" i="7"/>
  <c r="AE30" i="7"/>
  <c r="M30" i="9" s="1"/>
  <c r="AB30" i="7"/>
  <c r="O30" i="7"/>
  <c r="J30" i="9" s="1"/>
  <c r="B30" i="7"/>
  <c r="AE29" i="7"/>
  <c r="M29" i="9" s="1"/>
  <c r="AB29" i="7"/>
  <c r="K29" i="9" s="1"/>
  <c r="O29" i="7"/>
  <c r="B29" i="7"/>
  <c r="AE28" i="7"/>
  <c r="M28" i="9" s="1"/>
  <c r="AB28" i="7"/>
  <c r="K28" i="9" s="1"/>
  <c r="O28" i="7"/>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B23" i="7"/>
  <c r="AE22" i="7"/>
  <c r="M22" i="9" s="1"/>
  <c r="AB22" i="7"/>
  <c r="O22" i="7"/>
  <c r="J22" i="9" s="1"/>
  <c r="B22" i="7"/>
  <c r="AE21" i="7"/>
  <c r="M21" i="9" s="1"/>
  <c r="AB21" i="7"/>
  <c r="K21" i="9" s="1"/>
  <c r="O21" i="7"/>
  <c r="B21" i="7"/>
  <c r="AE20" i="7"/>
  <c r="M20" i="9" s="1"/>
  <c r="AB20" i="7"/>
  <c r="K20" i="9" s="1"/>
  <c r="O20" i="7"/>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B15" i="7"/>
  <c r="AE14" i="7"/>
  <c r="M14" i="9" s="1"/>
  <c r="AB14" i="7"/>
  <c r="AG14" i="7" s="1"/>
  <c r="O14" i="7"/>
  <c r="J14" i="9" s="1"/>
  <c r="B14" i="7"/>
  <c r="AE13" i="7"/>
  <c r="M13" i="9" s="1"/>
  <c r="AB13" i="7"/>
  <c r="K13" i="9" s="1"/>
  <c r="O13" i="7"/>
  <c r="B13" i="7"/>
  <c r="AE12" i="7"/>
  <c r="AB12" i="7"/>
  <c r="K12" i="9" s="1"/>
  <c r="O12" i="7"/>
  <c r="B12" i="7"/>
  <c r="AE11" i="7"/>
  <c r="M11" i="9" s="1"/>
  <c r="AB11" i="7"/>
  <c r="K11" i="9" s="1"/>
  <c r="O11" i="7"/>
  <c r="B11" i="7"/>
  <c r="AE10" i="7"/>
  <c r="M10" i="9" s="1"/>
  <c r="AB10" i="7"/>
  <c r="K10" i="9" s="1"/>
  <c r="O10" i="7"/>
  <c r="J10" i="9" s="1"/>
  <c r="B10" i="7"/>
  <c r="AE9" i="7"/>
  <c r="M9" i="9" s="1"/>
  <c r="AB9" i="7"/>
  <c r="K9" i="9" s="1"/>
  <c r="O9" i="7"/>
  <c r="J9" i="9" s="1"/>
  <c r="B9" i="7"/>
  <c r="AI5" i="7"/>
  <c r="AN4" i="7" s="1"/>
  <c r="S5" i="7"/>
  <c r="C5" i="7"/>
  <c r="AI4" i="7"/>
  <c r="S4" i="7"/>
  <c r="C4" i="7"/>
  <c r="AI3" i="7"/>
  <c r="S3" i="7"/>
  <c r="C3" i="7"/>
  <c r="AE44" i="6"/>
  <c r="AB44" i="6"/>
  <c r="E44" i="9" s="1"/>
  <c r="O44" i="6"/>
  <c r="B44" i="6"/>
  <c r="AG43" i="6"/>
  <c r="AE43" i="6"/>
  <c r="G43" i="9" s="1"/>
  <c r="AB43" i="6"/>
  <c r="E43" i="9" s="1"/>
  <c r="O43" i="6"/>
  <c r="D43" i="9" s="1"/>
  <c r="B43" i="6"/>
  <c r="AE42" i="6"/>
  <c r="AB42" i="6"/>
  <c r="E42" i="9" s="1"/>
  <c r="O42" i="6"/>
  <c r="B42" i="6"/>
  <c r="AE41" i="6"/>
  <c r="AB41" i="6"/>
  <c r="E41" i="9" s="1"/>
  <c r="O41" i="6"/>
  <c r="D41" i="9" s="1"/>
  <c r="B41" i="6"/>
  <c r="AE40" i="6"/>
  <c r="AB40" i="6"/>
  <c r="E40" i="9" s="1"/>
  <c r="O40" i="6"/>
  <c r="D40" i="9" s="1"/>
  <c r="B40" i="6"/>
  <c r="AE39" i="6"/>
  <c r="AB39" i="6"/>
  <c r="E39" i="9" s="1"/>
  <c r="O39" i="6"/>
  <c r="D39" i="9" s="1"/>
  <c r="B39" i="6"/>
  <c r="AG38" i="6"/>
  <c r="AE38" i="6"/>
  <c r="AB38" i="6"/>
  <c r="E38" i="9" s="1"/>
  <c r="O38" i="6"/>
  <c r="D38" i="9" s="1"/>
  <c r="B38" i="6"/>
  <c r="AE37" i="6"/>
  <c r="AB37" i="6"/>
  <c r="E37" i="9" s="1"/>
  <c r="O37" i="6"/>
  <c r="B37" i="6"/>
  <c r="AE36" i="6"/>
  <c r="AB36" i="6"/>
  <c r="E36" i="9" s="1"/>
  <c r="O36" i="6"/>
  <c r="D36" i="9" s="1"/>
  <c r="B36" i="6"/>
  <c r="AE35" i="6"/>
  <c r="G35" i="9" s="1"/>
  <c r="AB35" i="6"/>
  <c r="E35" i="9" s="1"/>
  <c r="O35" i="6"/>
  <c r="D35" i="9" s="1"/>
  <c r="B35" i="6"/>
  <c r="AE34" i="6"/>
  <c r="AB34" i="6"/>
  <c r="E34" i="9" s="1"/>
  <c r="O34" i="6"/>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H28" i="6"/>
  <c r="AG28" i="6"/>
  <c r="AF28" i="6" s="1"/>
  <c r="AE28" i="6"/>
  <c r="AB28" i="6"/>
  <c r="E28" i="9" s="1"/>
  <c r="O28" i="6"/>
  <c r="D28" i="9" s="1"/>
  <c r="B28" i="6"/>
  <c r="AG27" i="6"/>
  <c r="AH27" i="6" s="1"/>
  <c r="AE27" i="6"/>
  <c r="AB27" i="6"/>
  <c r="E27" i="9" s="1"/>
  <c r="O27" i="6"/>
  <c r="B27" i="6"/>
  <c r="AG26" i="6"/>
  <c r="AF26"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AB21" i="6"/>
  <c r="E21" i="9" s="1"/>
  <c r="O21" i="6"/>
  <c r="D21" i="9" s="1"/>
  <c r="B21" i="6"/>
  <c r="AH20" i="6"/>
  <c r="AG20" i="6"/>
  <c r="AF20" i="6" s="1"/>
  <c r="AE20" i="6"/>
  <c r="F20" i="9" s="1"/>
  <c r="AB20" i="6"/>
  <c r="E20" i="9" s="1"/>
  <c r="O20" i="6"/>
  <c r="D20" i="9" s="1"/>
  <c r="B20" i="6"/>
  <c r="AG19" i="6"/>
  <c r="AH19" i="6" s="1"/>
  <c r="AE19" i="6"/>
  <c r="AB19" i="6"/>
  <c r="E19" i="9" s="1"/>
  <c r="O19" i="6"/>
  <c r="D19" i="9" s="1"/>
  <c r="B19" i="6"/>
  <c r="AG18" i="6"/>
  <c r="AF18" i="6"/>
  <c r="AE18" i="6"/>
  <c r="F18" i="9" s="1"/>
  <c r="AB18" i="6"/>
  <c r="E18" i="9" s="1"/>
  <c r="O18" i="6"/>
  <c r="D18" i="9" s="1"/>
  <c r="B18" i="6"/>
  <c r="AE17" i="6"/>
  <c r="AB17" i="6"/>
  <c r="E17" i="9" s="1"/>
  <c r="O17" i="6"/>
  <c r="D17" i="9" s="1"/>
  <c r="B17" i="6"/>
  <c r="AE16" i="6"/>
  <c r="AB16" i="6"/>
  <c r="E16" i="9" s="1"/>
  <c r="O16" i="6"/>
  <c r="D16" i="9" s="1"/>
  <c r="B16" i="6"/>
  <c r="AE15" i="6"/>
  <c r="G15" i="9" s="1"/>
  <c r="AB15" i="6"/>
  <c r="E15" i="9" s="1"/>
  <c r="O15" i="6"/>
  <c r="D15" i="9" s="1"/>
  <c r="B15" i="6"/>
  <c r="AE14" i="6"/>
  <c r="AB14" i="6"/>
  <c r="E14" i="9" s="1"/>
  <c r="O14" i="6"/>
  <c r="D14" i="9" s="1"/>
  <c r="B14" i="6"/>
  <c r="AE13" i="6"/>
  <c r="AB13" i="6"/>
  <c r="E13" i="9" s="1"/>
  <c r="O13" i="6"/>
  <c r="D13" i="9" s="1"/>
  <c r="B13" i="6"/>
  <c r="AE12" i="6"/>
  <c r="AB12" i="6"/>
  <c r="E12" i="9" s="1"/>
  <c r="O12" i="6"/>
  <c r="D12" i="9" s="1"/>
  <c r="B12" i="6"/>
  <c r="AE11" i="6"/>
  <c r="AB11" i="6"/>
  <c r="E11" i="9" s="1"/>
  <c r="O11" i="6"/>
  <c r="D11" i="9" s="1"/>
  <c r="B11" i="6"/>
  <c r="AE10" i="6"/>
  <c r="F10" i="9" s="1"/>
  <c r="AB10" i="6"/>
  <c r="E10" i="9" s="1"/>
  <c r="O10" i="6"/>
  <c r="D10" i="9" s="1"/>
  <c r="B10" i="6"/>
  <c r="AE9" i="6"/>
  <c r="AB9" i="6"/>
  <c r="E9" i="9" s="1"/>
  <c r="O9" i="6"/>
  <c r="AG9" i="6"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D43" i="4"/>
  <c r="BC43" i="4"/>
  <c r="BB43" i="4"/>
  <c r="BA43" i="4"/>
  <c r="AZ43" i="4"/>
  <c r="B43" i="4"/>
  <c r="BD42" i="4"/>
  <c r="BC42" i="4"/>
  <c r="BB42" i="4"/>
  <c r="BA42" i="4"/>
  <c r="AZ42" i="4"/>
  <c r="B42" i="4"/>
  <c r="BD41" i="4"/>
  <c r="BC41" i="4"/>
  <c r="BB41" i="4"/>
  <c r="BA41" i="4"/>
  <c r="AZ41" i="4"/>
  <c r="B41" i="4"/>
  <c r="BD40" i="4"/>
  <c r="BC40" i="4"/>
  <c r="BB40" i="4"/>
  <c r="BA40" i="4"/>
  <c r="AZ40" i="4"/>
  <c r="B40" i="4"/>
  <c r="BD39" i="4"/>
  <c r="BC39" i="4"/>
  <c r="BB39" i="4"/>
  <c r="BA39" i="4"/>
  <c r="AZ39" i="4"/>
  <c r="B39" i="4"/>
  <c r="BD38" i="4"/>
  <c r="BC38" i="4"/>
  <c r="BB38" i="4"/>
  <c r="BA38" i="4"/>
  <c r="AZ38" i="4"/>
  <c r="B38" i="4"/>
  <c r="BD37" i="4"/>
  <c r="BC37" i="4"/>
  <c r="BB37" i="4"/>
  <c r="BA37" i="4"/>
  <c r="AZ37" i="4"/>
  <c r="B37" i="4"/>
  <c r="BD36" i="4"/>
  <c r="BC36" i="4"/>
  <c r="BB36" i="4"/>
  <c r="BA36" i="4"/>
  <c r="AZ36" i="4"/>
  <c r="B36" i="4"/>
  <c r="BD35" i="4"/>
  <c r="BC35" i="4"/>
  <c r="BB35" i="4"/>
  <c r="BA35" i="4"/>
  <c r="AZ35" i="4"/>
  <c r="B35" i="4"/>
  <c r="BD34" i="4"/>
  <c r="BC34" i="4"/>
  <c r="BB34" i="4"/>
  <c r="BA34" i="4"/>
  <c r="AZ34" i="4"/>
  <c r="B34" i="4"/>
  <c r="BD33" i="4"/>
  <c r="BC33" i="4"/>
  <c r="BB33" i="4"/>
  <c r="BA33" i="4"/>
  <c r="AZ33" i="4"/>
  <c r="B33" i="4"/>
  <c r="BD32" i="4"/>
  <c r="BC32" i="4"/>
  <c r="BB32" i="4"/>
  <c r="BA32" i="4"/>
  <c r="AZ32" i="4"/>
  <c r="B32" i="4"/>
  <c r="BD31" i="4"/>
  <c r="BC31" i="4"/>
  <c r="BB31" i="4"/>
  <c r="BA31" i="4"/>
  <c r="AZ31" i="4"/>
  <c r="B31" i="4"/>
  <c r="BD30" i="4"/>
  <c r="BC30" i="4"/>
  <c r="BB30" i="4"/>
  <c r="BA30" i="4"/>
  <c r="AZ30" i="4"/>
  <c r="B30" i="4"/>
  <c r="BD29" i="4"/>
  <c r="BC29" i="4"/>
  <c r="BB29" i="4"/>
  <c r="BA29" i="4"/>
  <c r="AZ29" i="4"/>
  <c r="B29" i="4"/>
  <c r="BD28" i="4"/>
  <c r="BC28" i="4"/>
  <c r="BB28" i="4"/>
  <c r="BA28" i="4"/>
  <c r="AZ28" i="4"/>
  <c r="B28" i="4"/>
  <c r="BD27" i="4"/>
  <c r="BC27" i="4"/>
  <c r="BB27" i="4"/>
  <c r="BA27" i="4"/>
  <c r="AZ27" i="4"/>
  <c r="B27" i="4"/>
  <c r="BD26" i="4"/>
  <c r="BC26" i="4"/>
  <c r="BB26" i="4"/>
  <c r="BA26" i="4"/>
  <c r="AZ26" i="4"/>
  <c r="B26" i="4"/>
  <c r="B25" i="4"/>
  <c r="B24" i="4"/>
  <c r="B23" i="4"/>
  <c r="B22" i="4"/>
  <c r="B21" i="4"/>
  <c r="B20" i="4"/>
  <c r="B19" i="4"/>
  <c r="B17" i="4"/>
  <c r="B16" i="4"/>
  <c r="B15" i="4"/>
  <c r="B14" i="4"/>
  <c r="B13" i="4"/>
  <c r="B12" i="4"/>
  <c r="B11" i="4"/>
  <c r="B10" i="4"/>
  <c r="B9" i="4"/>
  <c r="B8" i="4"/>
  <c r="AS5" i="4"/>
  <c r="W5" i="4"/>
  <c r="C5" i="4"/>
  <c r="AS4" i="4"/>
  <c r="W4" i="4"/>
  <c r="C4" i="4"/>
  <c r="AS3" i="4"/>
  <c r="W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S11" i="17" l="1"/>
  <c r="M11" i="17"/>
  <c r="L11" i="17"/>
  <c r="Q11" i="17"/>
  <c r="R11" i="17"/>
  <c r="K11" i="17"/>
  <c r="J11" i="17"/>
  <c r="U11" i="17"/>
  <c r="G11" i="17"/>
  <c r="N11" i="17"/>
  <c r="P11" i="17"/>
  <c r="H11" i="17"/>
  <c r="O11" i="17"/>
  <c r="T11" i="17"/>
  <c r="I23" i="17"/>
  <c r="AC23" i="17" s="1"/>
  <c r="I22" i="17"/>
  <c r="AC22" i="17" s="1"/>
  <c r="I21" i="17"/>
  <c r="I16" i="17"/>
  <c r="AC16" i="17" s="1"/>
  <c r="I15" i="17"/>
  <c r="AG26" i="7"/>
  <c r="D26" i="10" s="1"/>
  <c r="AG27" i="7"/>
  <c r="AH27" i="7" s="1"/>
  <c r="AG33" i="7"/>
  <c r="AH33" i="7" s="1"/>
  <c r="AG18" i="7"/>
  <c r="AH18" i="7" s="1"/>
  <c r="K14" i="9"/>
  <c r="AG11" i="7"/>
  <c r="AF11" i="7" s="1"/>
  <c r="AG35" i="7"/>
  <c r="AH35" i="7" s="1"/>
  <c r="AG32" i="7"/>
  <c r="AF32" i="7" s="1"/>
  <c r="AG24" i="7"/>
  <c r="AF24" i="7" s="1"/>
  <c r="AG19" i="7"/>
  <c r="D19" i="10" s="1"/>
  <c r="J11" i="9"/>
  <c r="AG10" i="7"/>
  <c r="N10" i="9" s="1"/>
  <c r="AG25" i="7"/>
  <c r="AH25" i="7" s="1"/>
  <c r="AG16" i="7"/>
  <c r="AF16" i="7" s="1"/>
  <c r="BA4" i="3"/>
  <c r="AZ4" i="4"/>
  <c r="BA4" i="5"/>
  <c r="C9" i="10"/>
  <c r="H9" i="9"/>
  <c r="AH9" i="6"/>
  <c r="AF9" i="6"/>
  <c r="G25" i="9"/>
  <c r="F25" i="9"/>
  <c r="G33" i="9"/>
  <c r="F33" i="9"/>
  <c r="F37" i="9"/>
  <c r="G37" i="9"/>
  <c r="C38" i="10"/>
  <c r="H38" i="9"/>
  <c r="AH38" i="6"/>
  <c r="H43" i="9"/>
  <c r="C43" i="10"/>
  <c r="AH43" i="6"/>
  <c r="AG29" i="7"/>
  <c r="J29" i="9"/>
  <c r="J31" i="9"/>
  <c r="AG31" i="7"/>
  <c r="N40" i="9"/>
  <c r="D40" i="10"/>
  <c r="AH40" i="7"/>
  <c r="T26" i="9"/>
  <c r="E26" i="10"/>
  <c r="AF26" i="8"/>
  <c r="AH26" i="8"/>
  <c r="G16" i="9"/>
  <c r="F16" i="9"/>
  <c r="C18" i="10"/>
  <c r="H18" i="9"/>
  <c r="F24" i="9"/>
  <c r="G24" i="9"/>
  <c r="C26" i="10"/>
  <c r="H26" i="9"/>
  <c r="AG33" i="6"/>
  <c r="J12" i="9"/>
  <c r="AG12" i="7"/>
  <c r="N32" i="9"/>
  <c r="D32" i="10"/>
  <c r="AH32" i="7"/>
  <c r="P14" i="9"/>
  <c r="AG14" i="8"/>
  <c r="AG23" i="8"/>
  <c r="Q23" i="9"/>
  <c r="AG17" i="6"/>
  <c r="AH18" i="6"/>
  <c r="AG25" i="6"/>
  <c r="AH26" i="6"/>
  <c r="F31" i="9"/>
  <c r="G31" i="9"/>
  <c r="G36" i="9"/>
  <c r="F36" i="9"/>
  <c r="G41" i="9"/>
  <c r="F41" i="9"/>
  <c r="D44" i="9"/>
  <c r="AG44" i="6"/>
  <c r="J20" i="9"/>
  <c r="AG20" i="7"/>
  <c r="J44" i="9"/>
  <c r="AG44" i="7"/>
  <c r="AN4" i="8"/>
  <c r="AH19" i="8"/>
  <c r="P38" i="9"/>
  <c r="AG38" i="8"/>
  <c r="H27" i="9"/>
  <c r="C27" i="10"/>
  <c r="G42" i="9"/>
  <c r="F42" i="9"/>
  <c r="G14" i="9"/>
  <c r="F14" i="9"/>
  <c r="AG16" i="6"/>
  <c r="G22" i="9"/>
  <c r="F22" i="9"/>
  <c r="AG24" i="6"/>
  <c r="F30" i="9"/>
  <c r="G30" i="9"/>
  <c r="AG32" i="6"/>
  <c r="AG36" i="6"/>
  <c r="AG41" i="6"/>
  <c r="AG9" i="7"/>
  <c r="D14" i="10"/>
  <c r="N14" i="9"/>
  <c r="AH14" i="7"/>
  <c r="AF14" i="7"/>
  <c r="J28" i="9"/>
  <c r="AG28" i="7"/>
  <c r="J36" i="9"/>
  <c r="AG36" i="7"/>
  <c r="T34" i="9"/>
  <c r="E34" i="10"/>
  <c r="AF34" i="8"/>
  <c r="AH34" i="8"/>
  <c r="G9" i="9"/>
  <c r="F9" i="9"/>
  <c r="G11" i="9"/>
  <c r="F11" i="9"/>
  <c r="G12" i="9"/>
  <c r="F12" i="9"/>
  <c r="G13" i="9"/>
  <c r="F13" i="9"/>
  <c r="AG15" i="6"/>
  <c r="G21" i="9"/>
  <c r="F21" i="9"/>
  <c r="AG23" i="6"/>
  <c r="F29" i="9"/>
  <c r="G29" i="9"/>
  <c r="AG31" i="6"/>
  <c r="D34" i="9"/>
  <c r="AG34" i="6"/>
  <c r="G39" i="9"/>
  <c r="F39" i="9"/>
  <c r="G44" i="9"/>
  <c r="F44" i="9"/>
  <c r="AG17" i="7"/>
  <c r="AG22" i="7"/>
  <c r="K22" i="9"/>
  <c r="K38" i="9"/>
  <c r="AG38" i="7"/>
  <c r="E20" i="10"/>
  <c r="AH20" i="8"/>
  <c r="AF20" i="8"/>
  <c r="T20" i="9"/>
  <c r="P22" i="9"/>
  <c r="AG22" i="8"/>
  <c r="Q31" i="9"/>
  <c r="AG31" i="8"/>
  <c r="F23" i="9"/>
  <c r="AG14" i="6"/>
  <c r="AG22" i="6"/>
  <c r="G28" i="9"/>
  <c r="F28" i="9"/>
  <c r="AG30" i="6"/>
  <c r="AG40" i="6"/>
  <c r="K30" i="9"/>
  <c r="AG30" i="7"/>
  <c r="N41" i="9"/>
  <c r="D41" i="10"/>
  <c r="AF41" i="7"/>
  <c r="T18" i="9"/>
  <c r="E18" i="10"/>
  <c r="AF18" i="8"/>
  <c r="AH18" i="8"/>
  <c r="G20" i="9"/>
  <c r="C19" i="10"/>
  <c r="H19" i="9"/>
  <c r="AG10" i="6"/>
  <c r="AG11" i="6"/>
  <c r="AG12" i="6"/>
  <c r="AG13" i="6"/>
  <c r="G19" i="9"/>
  <c r="F19" i="9"/>
  <c r="AG21" i="6"/>
  <c r="G27" i="9"/>
  <c r="F27" i="9"/>
  <c r="AG29" i="6"/>
  <c r="G34" i="9"/>
  <c r="F34" i="9"/>
  <c r="AG35" i="6"/>
  <c r="D37" i="9"/>
  <c r="AG37" i="6"/>
  <c r="F38" i="9"/>
  <c r="G38" i="9"/>
  <c r="AG39" i="6"/>
  <c r="D42" i="9"/>
  <c r="AG42" i="6"/>
  <c r="AG13" i="7"/>
  <c r="J13" i="9"/>
  <c r="J15" i="9"/>
  <c r="AG15" i="7"/>
  <c r="D33" i="10"/>
  <c r="AH41" i="7"/>
  <c r="Q15" i="9"/>
  <c r="AG15" i="8"/>
  <c r="T42" i="9"/>
  <c r="E42" i="10"/>
  <c r="AF42" i="8"/>
  <c r="AH42" i="8"/>
  <c r="G17" i="9"/>
  <c r="F17" i="9"/>
  <c r="AF19" i="6"/>
  <c r="C20" i="10"/>
  <c r="H20" i="9"/>
  <c r="AF27" i="6"/>
  <c r="C28" i="10"/>
  <c r="H28" i="9"/>
  <c r="AF38" i="6"/>
  <c r="AF43" i="6"/>
  <c r="J21" i="9"/>
  <c r="AG21" i="7"/>
  <c r="J23" i="9"/>
  <c r="AG23" i="7"/>
  <c r="J37" i="9"/>
  <c r="AG37" i="7"/>
  <c r="AF40" i="7"/>
  <c r="E13" i="10"/>
  <c r="AH13" i="8"/>
  <c r="T13" i="9"/>
  <c r="AF13" i="8"/>
  <c r="E19" i="10"/>
  <c r="AF19" i="8"/>
  <c r="E28" i="10"/>
  <c r="T28" i="9"/>
  <c r="AH28" i="8"/>
  <c r="AF28" i="8"/>
  <c r="P30" i="9"/>
  <c r="AG30" i="8"/>
  <c r="Q39" i="9"/>
  <c r="AG39" i="8"/>
  <c r="F15" i="9"/>
  <c r="G18" i="9"/>
  <c r="AG39" i="7"/>
  <c r="AG17" i="8"/>
  <c r="AG25" i="8"/>
  <c r="AG33" i="8"/>
  <c r="AG41" i="8"/>
  <c r="F35" i="9"/>
  <c r="D43" i="10"/>
  <c r="AG16" i="8"/>
  <c r="AG24" i="8"/>
  <c r="AG32" i="8"/>
  <c r="AG40" i="8"/>
  <c r="T11" i="9"/>
  <c r="P28" i="9"/>
  <c r="S13" i="9"/>
  <c r="J18" i="9"/>
  <c r="N43" i="9"/>
  <c r="G32" i="9"/>
  <c r="F32" i="9"/>
  <c r="G40" i="9"/>
  <c r="F40" i="9"/>
  <c r="AF43" i="7"/>
  <c r="AF9" i="8"/>
  <c r="AF10" i="8"/>
  <c r="AF11" i="8"/>
  <c r="AF12" i="8"/>
  <c r="P19" i="9"/>
  <c r="J26" i="9"/>
  <c r="AG21" i="8"/>
  <c r="AG29" i="8"/>
  <c r="AG37" i="8"/>
  <c r="T10" i="9"/>
  <c r="H11" i="15"/>
  <c r="H10" i="15"/>
  <c r="H9" i="15"/>
  <c r="H12" i="15" s="1"/>
  <c r="AG34" i="7"/>
  <c r="AG42" i="7"/>
  <c r="AH9" i="8"/>
  <c r="AH10" i="8"/>
  <c r="AH11" i="8"/>
  <c r="AH12" i="8"/>
  <c r="AG36" i="8"/>
  <c r="AG44" i="8"/>
  <c r="AG27" i="8"/>
  <c r="AG35" i="8"/>
  <c r="AG43" i="8"/>
  <c r="T12" i="9"/>
  <c r="H17" i="15"/>
  <c r="H19" i="15" s="1"/>
  <c r="H25" i="15"/>
  <c r="H18" i="15"/>
  <c r="H23" i="15"/>
  <c r="H26" i="15" s="1"/>
  <c r="H31" i="15"/>
  <c r="H33" i="15" s="1"/>
  <c r="AC15" i="17" l="1"/>
  <c r="AC17" i="17" s="1"/>
  <c r="I17" i="17"/>
  <c r="AC21" i="17"/>
  <c r="AC25" i="17" s="1"/>
  <c r="I25" i="17"/>
  <c r="AH26" i="7"/>
  <c r="N26" i="9"/>
  <c r="U26" i="9" s="1"/>
  <c r="AF26" i="7"/>
  <c r="N25" i="9"/>
  <c r="D16" i="10"/>
  <c r="AH11" i="7"/>
  <c r="D10" i="10"/>
  <c r="N27" i="9"/>
  <c r="U27" i="9" s="1"/>
  <c r="N35" i="9"/>
  <c r="N33" i="9"/>
  <c r="D27" i="10"/>
  <c r="AF27" i="7"/>
  <c r="AF35" i="7"/>
  <c r="D35" i="10"/>
  <c r="AF33" i="7"/>
  <c r="D11" i="10"/>
  <c r="N18" i="9"/>
  <c r="D18" i="10"/>
  <c r="N11" i="9"/>
  <c r="AH16" i="7"/>
  <c r="N16" i="9"/>
  <c r="AF18" i="7"/>
  <c r="AH19" i="7"/>
  <c r="AF25" i="7"/>
  <c r="AF10" i="7"/>
  <c r="AH24" i="7"/>
  <c r="D25" i="10"/>
  <c r="AH10" i="7"/>
  <c r="D24" i="10"/>
  <c r="N24" i="9"/>
  <c r="N19" i="9"/>
  <c r="U19" i="9" s="1"/>
  <c r="AF19" i="7"/>
  <c r="D34" i="10"/>
  <c r="N34" i="9"/>
  <c r="AF34" i="7"/>
  <c r="AH34" i="7"/>
  <c r="N39" i="9"/>
  <c r="D39" i="10"/>
  <c r="AH39" i="7"/>
  <c r="AF39" i="7"/>
  <c r="E21" i="10"/>
  <c r="T21" i="9"/>
  <c r="AH21" i="8"/>
  <c r="AF21" i="8"/>
  <c r="C39" i="10"/>
  <c r="H39" i="9"/>
  <c r="AH39" i="6"/>
  <c r="AF39" i="6"/>
  <c r="N37" i="9"/>
  <c r="D37" i="10"/>
  <c r="AH37" i="7"/>
  <c r="AF37" i="7"/>
  <c r="C10" i="10"/>
  <c r="H10" i="9"/>
  <c r="U10" i="9" s="1"/>
  <c r="AH10" i="6"/>
  <c r="AF10" i="6"/>
  <c r="C40" i="10"/>
  <c r="H40" i="9"/>
  <c r="AH40" i="6"/>
  <c r="AF40" i="6"/>
  <c r="C32" i="10"/>
  <c r="H32" i="9"/>
  <c r="AH32" i="6"/>
  <c r="AF32" i="6"/>
  <c r="U18" i="9"/>
  <c r="E29" i="10"/>
  <c r="T29" i="9"/>
  <c r="AH29" i="8"/>
  <c r="AF29" i="8"/>
  <c r="C12" i="10"/>
  <c r="H12" i="9"/>
  <c r="AH12" i="6"/>
  <c r="AF12" i="6"/>
  <c r="C41" i="10"/>
  <c r="AF41" i="6"/>
  <c r="AH41" i="6"/>
  <c r="H41" i="9"/>
  <c r="U41" i="9" s="1"/>
  <c r="T39" i="9"/>
  <c r="E39" i="10"/>
  <c r="AH39" i="8"/>
  <c r="AF39" i="8"/>
  <c r="C30" i="10"/>
  <c r="H30" i="9"/>
  <c r="AH30" i="6"/>
  <c r="AF30" i="6"/>
  <c r="E22" i="10"/>
  <c r="AH22" i="8"/>
  <c r="AF22" i="8"/>
  <c r="T22" i="9"/>
  <c r="D44" i="10"/>
  <c r="N44" i="9"/>
  <c r="AH44" i="7"/>
  <c r="AF44" i="7"/>
  <c r="C17" i="10"/>
  <c r="H17" i="9"/>
  <c r="AH17" i="6"/>
  <c r="AF17" i="6"/>
  <c r="E27" i="10"/>
  <c r="AF27" i="8"/>
  <c r="T27" i="9"/>
  <c r="AH27" i="8"/>
  <c r="E24" i="10"/>
  <c r="T24" i="9"/>
  <c r="AH24" i="8"/>
  <c r="AF24" i="8"/>
  <c r="C16" i="10"/>
  <c r="H16" i="9"/>
  <c r="AH16" i="6"/>
  <c r="AF16" i="6"/>
  <c r="H29" i="9"/>
  <c r="C29" i="10"/>
  <c r="AH29" i="6"/>
  <c r="AF29" i="6"/>
  <c r="C31" i="10"/>
  <c r="H31" i="9"/>
  <c r="AH31" i="6"/>
  <c r="AF31" i="6"/>
  <c r="D15" i="10"/>
  <c r="AH15" i="7"/>
  <c r="N15" i="9"/>
  <c r="AF15" i="7"/>
  <c r="E41" i="10"/>
  <c r="T41" i="9"/>
  <c r="AH41" i="8"/>
  <c r="AF41" i="8"/>
  <c r="E15" i="10"/>
  <c r="T15" i="9"/>
  <c r="AH15" i="8"/>
  <c r="AF15" i="8"/>
  <c r="H37" i="9"/>
  <c r="C37" i="10"/>
  <c r="AH37" i="6"/>
  <c r="AF37" i="6"/>
  <c r="C21" i="10"/>
  <c r="H21" i="9"/>
  <c r="AH21" i="6"/>
  <c r="AF21" i="6"/>
  <c r="C23" i="10"/>
  <c r="H23" i="9"/>
  <c r="AH23" i="6"/>
  <c r="AF23" i="6"/>
  <c r="C11" i="10"/>
  <c r="H11" i="9"/>
  <c r="AH11" i="6"/>
  <c r="AF11" i="6"/>
  <c r="H36" i="9"/>
  <c r="C36" i="10"/>
  <c r="AF36" i="6"/>
  <c r="AH36" i="6"/>
  <c r="E33" i="10"/>
  <c r="T33" i="9"/>
  <c r="AH33" i="8"/>
  <c r="AF33" i="8"/>
  <c r="E30" i="10"/>
  <c r="AH30" i="8"/>
  <c r="AF30" i="8"/>
  <c r="T30" i="9"/>
  <c r="N23" i="9"/>
  <c r="D23" i="10"/>
  <c r="AH23" i="7"/>
  <c r="AF23" i="7"/>
  <c r="D30" i="10"/>
  <c r="N30" i="9"/>
  <c r="AH30" i="7"/>
  <c r="AF30" i="7"/>
  <c r="D22" i="10"/>
  <c r="N22" i="9"/>
  <c r="AH22" i="7"/>
  <c r="AF22" i="7"/>
  <c r="C24" i="10"/>
  <c r="H24" i="9"/>
  <c r="AH24" i="6"/>
  <c r="AF24" i="6"/>
  <c r="D20" i="10"/>
  <c r="N20" i="9"/>
  <c r="U20" i="9" s="1"/>
  <c r="AF20" i="7"/>
  <c r="AH20" i="7"/>
  <c r="C33" i="10"/>
  <c r="AF33" i="6"/>
  <c r="H33" i="9"/>
  <c r="U33" i="9" s="1"/>
  <c r="AH33" i="6"/>
  <c r="N31" i="9"/>
  <c r="D31" i="10"/>
  <c r="AH31" i="7"/>
  <c r="AF31" i="7"/>
  <c r="D28" i="10"/>
  <c r="AF28" i="7"/>
  <c r="AH28" i="7"/>
  <c r="N28" i="9"/>
  <c r="U28" i="9" s="1"/>
  <c r="H44" i="9"/>
  <c r="C44" i="10"/>
  <c r="AF44" i="6"/>
  <c r="AH44" i="6"/>
  <c r="N29" i="9"/>
  <c r="D29" i="10"/>
  <c r="AH29" i="7"/>
  <c r="AF29" i="7"/>
  <c r="E44" i="10"/>
  <c r="T44" i="9"/>
  <c r="AH44" i="8"/>
  <c r="AF44" i="8"/>
  <c r="E16" i="10"/>
  <c r="T16" i="9"/>
  <c r="AH16" i="8"/>
  <c r="AF16" i="8"/>
  <c r="T31" i="9"/>
  <c r="E31" i="10"/>
  <c r="AH31" i="8"/>
  <c r="AF31" i="8"/>
  <c r="C25" i="10"/>
  <c r="H25" i="9"/>
  <c r="AH25" i="6"/>
  <c r="AF25" i="6"/>
  <c r="E43" i="10"/>
  <c r="T43" i="9"/>
  <c r="U43" i="9" s="1"/>
  <c r="AF43" i="8"/>
  <c r="AH43" i="8"/>
  <c r="E40" i="10"/>
  <c r="T40" i="9"/>
  <c r="AH40" i="8"/>
  <c r="AF40" i="8"/>
  <c r="D13" i="10"/>
  <c r="N13" i="9"/>
  <c r="AH13" i="7"/>
  <c r="AF13" i="7"/>
  <c r="H35" i="9"/>
  <c r="C35" i="10"/>
  <c r="AH35" i="6"/>
  <c r="AF35" i="6"/>
  <c r="C22" i="10"/>
  <c r="H22" i="9"/>
  <c r="U22" i="9" s="1"/>
  <c r="AH22" i="6"/>
  <c r="AF22" i="6"/>
  <c r="D17" i="10"/>
  <c r="AF17" i="7"/>
  <c r="N17" i="9"/>
  <c r="AH17" i="7"/>
  <c r="D36" i="10"/>
  <c r="N36" i="9"/>
  <c r="AH36" i="7"/>
  <c r="AF36" i="7"/>
  <c r="E23" i="10"/>
  <c r="T23" i="9"/>
  <c r="AH23" i="8"/>
  <c r="AF23" i="8"/>
  <c r="D38" i="10"/>
  <c r="N38" i="9"/>
  <c r="U38" i="9" s="1"/>
  <c r="AH38" i="7"/>
  <c r="AF38" i="7"/>
  <c r="E36" i="10"/>
  <c r="T36" i="9"/>
  <c r="AH36" i="8"/>
  <c r="AF36" i="8"/>
  <c r="E25" i="10"/>
  <c r="T25" i="9"/>
  <c r="AH25" i="8"/>
  <c r="AF25" i="8"/>
  <c r="E35" i="10"/>
  <c r="T35" i="9"/>
  <c r="AF35" i="8"/>
  <c r="AH35" i="8"/>
  <c r="D42" i="10"/>
  <c r="N42" i="9"/>
  <c r="AF42" i="7"/>
  <c r="AH42" i="7"/>
  <c r="E37" i="10"/>
  <c r="T37" i="9"/>
  <c r="AH37" i="8"/>
  <c r="AF37" i="8"/>
  <c r="E32" i="10"/>
  <c r="T32" i="9"/>
  <c r="AH32" i="8"/>
  <c r="AF32" i="8"/>
  <c r="E17" i="10"/>
  <c r="AH17" i="8"/>
  <c r="T17" i="9"/>
  <c r="AF17" i="8"/>
  <c r="D21" i="10"/>
  <c r="AH21" i="7"/>
  <c r="AF21" i="7"/>
  <c r="N21" i="9"/>
  <c r="C42" i="10"/>
  <c r="H42" i="9"/>
  <c r="AH42" i="6"/>
  <c r="AF42" i="6"/>
  <c r="C13" i="10"/>
  <c r="H13" i="9"/>
  <c r="AH13" i="6"/>
  <c r="AF13" i="6"/>
  <c r="AO12" i="6" s="1"/>
  <c r="H10" i="11" s="1"/>
  <c r="C14" i="10"/>
  <c r="I9" i="10" s="1"/>
  <c r="E11" i="14" s="1"/>
  <c r="H14" i="9"/>
  <c r="AH14" i="6"/>
  <c r="AF14" i="6"/>
  <c r="C34" i="10"/>
  <c r="H34" i="9"/>
  <c r="U34" i="9" s="1"/>
  <c r="AF34" i="6"/>
  <c r="AH34" i="6"/>
  <c r="C15" i="10"/>
  <c r="H15" i="9"/>
  <c r="AH15" i="6"/>
  <c r="AF15" i="6"/>
  <c r="D9" i="10"/>
  <c r="AH9" i="7"/>
  <c r="N9" i="9"/>
  <c r="U9" i="9" s="1"/>
  <c r="AF9" i="7"/>
  <c r="T38" i="9"/>
  <c r="E38" i="10"/>
  <c r="AH38" i="8"/>
  <c r="AF38" i="8"/>
  <c r="E14" i="10"/>
  <c r="K9" i="10" s="1"/>
  <c r="E36" i="14" s="1"/>
  <c r="AH14" i="8"/>
  <c r="AF14" i="8"/>
  <c r="AO12" i="8" s="1"/>
  <c r="H10" i="13" s="1"/>
  <c r="T14" i="9"/>
  <c r="D12" i="10"/>
  <c r="AH12" i="7"/>
  <c r="AF12" i="7"/>
  <c r="N12" i="9"/>
  <c r="AC26" i="17" l="1"/>
  <c r="A26" i="17" s="1"/>
  <c r="U24" i="9"/>
  <c r="F24" i="10" s="1"/>
  <c r="U11" i="9"/>
  <c r="F11" i="10" s="1"/>
  <c r="U35" i="9"/>
  <c r="U37" i="9"/>
  <c r="F37" i="10" s="1"/>
  <c r="U31" i="9"/>
  <c r="F31" i="10" s="1"/>
  <c r="U36" i="9"/>
  <c r="F36" i="10" s="1"/>
  <c r="U13" i="9"/>
  <c r="F13" i="10" s="1"/>
  <c r="U15" i="9"/>
  <c r="F15" i="10" s="1"/>
  <c r="F19" i="10"/>
  <c r="H27" i="16" s="1"/>
  <c r="V19" i="9"/>
  <c r="V38" i="9"/>
  <c r="F38" i="10"/>
  <c r="V28" i="9"/>
  <c r="F28" i="10"/>
  <c r="E38" i="14"/>
  <c r="F43" i="10"/>
  <c r="V43" i="9"/>
  <c r="F20" i="10"/>
  <c r="V20" i="9"/>
  <c r="F9" i="10"/>
  <c r="V9" i="9"/>
  <c r="F26" i="10"/>
  <c r="V26" i="9"/>
  <c r="U29" i="9"/>
  <c r="U17" i="9"/>
  <c r="U40" i="9"/>
  <c r="U39" i="9"/>
  <c r="F22" i="10"/>
  <c r="V22" i="9"/>
  <c r="U14" i="9"/>
  <c r="U42" i="9"/>
  <c r="U44" i="9"/>
  <c r="U23" i="9"/>
  <c r="F18" i="10"/>
  <c r="V18" i="9"/>
  <c r="AO10" i="6"/>
  <c r="H8" i="11" s="1"/>
  <c r="V37" i="9"/>
  <c r="U12" i="9"/>
  <c r="AO10" i="8"/>
  <c r="H8" i="13" s="1"/>
  <c r="F33" i="10"/>
  <c r="V33" i="9"/>
  <c r="AO11" i="6"/>
  <c r="H9" i="11" s="1"/>
  <c r="U16" i="9"/>
  <c r="K13" i="10"/>
  <c r="E37" i="14" s="1"/>
  <c r="AO9" i="8"/>
  <c r="H7" i="13" s="1"/>
  <c r="U25" i="9"/>
  <c r="AO9" i="6"/>
  <c r="H7" i="11" s="1"/>
  <c r="U30" i="9"/>
  <c r="F41" i="10"/>
  <c r="V41" i="9"/>
  <c r="U32" i="9"/>
  <c r="F10" i="10"/>
  <c r="V10" i="9"/>
  <c r="AO11" i="8"/>
  <c r="H9" i="13" s="1"/>
  <c r="F34" i="10"/>
  <c r="V34" i="9"/>
  <c r="F27" i="10"/>
  <c r="V27" i="9"/>
  <c r="F35" i="10"/>
  <c r="V35" i="9"/>
  <c r="V36" i="9"/>
  <c r="U21" i="9"/>
  <c r="AO11" i="7"/>
  <c r="H9" i="12" s="1"/>
  <c r="AO12" i="7"/>
  <c r="H10" i="12" s="1"/>
  <c r="AO9" i="7"/>
  <c r="H7" i="12" s="1"/>
  <c r="AO10" i="7"/>
  <c r="H8" i="12" s="1"/>
  <c r="I13" i="10"/>
  <c r="E12" i="14" s="1"/>
  <c r="J13" i="10"/>
  <c r="E25" i="14" s="1"/>
  <c r="J9" i="10"/>
  <c r="E24" i="14" s="1"/>
  <c r="V24" i="9" l="1"/>
  <c r="V15" i="9"/>
  <c r="G19" i="10"/>
  <c r="V11" i="9"/>
  <c r="V31" i="9"/>
  <c r="V13" i="9"/>
  <c r="H11" i="13"/>
  <c r="I10" i="13" s="1"/>
  <c r="V44" i="9"/>
  <c r="F44" i="10"/>
  <c r="E26" i="14"/>
  <c r="G36" i="14" s="1"/>
  <c r="H44" i="16"/>
  <c r="G36" i="10"/>
  <c r="V30" i="9"/>
  <c r="F30" i="10"/>
  <c r="F12" i="10"/>
  <c r="V12" i="9"/>
  <c r="F42" i="10"/>
  <c r="V42" i="9"/>
  <c r="F17" i="10"/>
  <c r="V17" i="9"/>
  <c r="V40" i="9"/>
  <c r="F40" i="10"/>
  <c r="G9" i="10"/>
  <c r="H17" i="16"/>
  <c r="H36" i="16"/>
  <c r="G28" i="10"/>
  <c r="H42" i="16"/>
  <c r="G34" i="10"/>
  <c r="V16" i="9"/>
  <c r="F16" i="10"/>
  <c r="G37" i="10"/>
  <c r="H45" i="16"/>
  <c r="F14" i="10"/>
  <c r="V14" i="9"/>
  <c r="V29" i="9"/>
  <c r="F29" i="10"/>
  <c r="H28" i="16"/>
  <c r="G20" i="10"/>
  <c r="H46" i="16"/>
  <c r="G38" i="10"/>
  <c r="F25" i="10"/>
  <c r="V25" i="9"/>
  <c r="G33" i="10"/>
  <c r="H41" i="16"/>
  <c r="F39" i="10"/>
  <c r="V39" i="9"/>
  <c r="F21" i="10"/>
  <c r="V21" i="9"/>
  <c r="H21" i="16"/>
  <c r="G13" i="10"/>
  <c r="G41" i="10"/>
  <c r="H49" i="16"/>
  <c r="I9" i="13"/>
  <c r="H11" i="11"/>
  <c r="I10" i="11" s="1"/>
  <c r="G31" i="10"/>
  <c r="H39" i="16"/>
  <c r="G15" i="10"/>
  <c r="H23" i="16"/>
  <c r="H19" i="16"/>
  <c r="G11" i="10"/>
  <c r="G43" i="10"/>
  <c r="H51" i="16"/>
  <c r="F23" i="10"/>
  <c r="V23" i="9"/>
  <c r="H11" i="12"/>
  <c r="I7" i="12" s="1"/>
  <c r="G10" i="10"/>
  <c r="H18" i="16"/>
  <c r="I9" i="11"/>
  <c r="G35" i="10"/>
  <c r="H43" i="16"/>
  <c r="H32" i="16"/>
  <c r="G24" i="10"/>
  <c r="G27" i="10"/>
  <c r="H35" i="16"/>
  <c r="V32" i="9"/>
  <c r="F32" i="10"/>
  <c r="H26" i="16"/>
  <c r="G18" i="10"/>
  <c r="H30" i="16"/>
  <c r="G22" i="10"/>
  <c r="H34" i="16"/>
  <c r="G26" i="10"/>
  <c r="E13" i="14"/>
  <c r="G11" i="14" s="1"/>
  <c r="G37" i="14" l="1"/>
  <c r="G38" i="14" s="1"/>
  <c r="I8" i="12"/>
  <c r="G25" i="14"/>
  <c r="G24" i="14"/>
  <c r="H22" i="16"/>
  <c r="G14" i="10"/>
  <c r="I7" i="11"/>
  <c r="G17" i="10"/>
  <c r="H25" i="16"/>
  <c r="I10" i="12"/>
  <c r="I9" i="12"/>
  <c r="G21" i="10"/>
  <c r="H29" i="16"/>
  <c r="H50" i="16"/>
  <c r="G42" i="10"/>
  <c r="G25" i="10"/>
  <c r="H33" i="16"/>
  <c r="H24" i="16"/>
  <c r="G16" i="10"/>
  <c r="G12" i="14"/>
  <c r="G39" i="10"/>
  <c r="H47" i="16"/>
  <c r="H48" i="16"/>
  <c r="G40" i="10"/>
  <c r="H20" i="16"/>
  <c r="G12" i="10"/>
  <c r="H52" i="16"/>
  <c r="G44" i="10"/>
  <c r="I8" i="11"/>
  <c r="G29" i="10"/>
  <c r="H37" i="16"/>
  <c r="H40" i="16"/>
  <c r="G32" i="10"/>
  <c r="G23" i="10"/>
  <c r="H31" i="16"/>
  <c r="I8" i="13"/>
  <c r="H38" i="16"/>
  <c r="G30" i="10"/>
  <c r="I7" i="13"/>
  <c r="I11" i="13" s="1"/>
  <c r="G13" i="14"/>
  <c r="G26" i="14" l="1"/>
  <c r="I11" i="12"/>
  <c r="I11" i="11"/>
</calcChain>
</file>

<file path=xl/sharedStrings.xml><?xml version="1.0" encoding="utf-8"?>
<sst xmlns="http://schemas.openxmlformats.org/spreadsheetml/2006/main" count="782" uniqueCount="245">
  <si>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</si>
  <si>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</si>
  <si>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</si>
  <si>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</si>
  <si>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</si>
  <si>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</si>
  <si>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</si>
  <si>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</si>
  <si>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</si>
  <si>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</si>
  <si>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</si>
  <si>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</si>
  <si>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</si>
  <si>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</si>
  <si>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</si>
  <si>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</si>
  <si>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</si>
  <si>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</si>
  <si>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4to de Secundaria</t>
  </si>
  <si>
    <t>ÁREA</t>
  </si>
  <si>
    <t>GESTIÓN</t>
  </si>
  <si>
    <t>REGISTRO DE FILIACIÓN</t>
  </si>
  <si>
    <t>GRADO</t>
  </si>
  <si>
    <t>FECHA</t>
  </si>
  <si>
    <t>APELLIDOS Y NOMBRES</t>
  </si>
  <si>
    <t>NACIMIENTO</t>
  </si>
  <si>
    <t>EDAD</t>
  </si>
  <si>
    <t>LUGAR NACIMIENTO</t>
  </si>
  <si>
    <t>C.I.</t>
  </si>
  <si>
    <t>BARRIO/CALLE</t>
  </si>
  <si>
    <t>PADRE/MADRE</t>
  </si>
  <si>
    <t>TELF./ CELULAR</t>
  </si>
  <si>
    <t>BENITEZ BALLESTEROS KAREN ARIANA</t>
  </si>
  <si>
    <t>CALIZAYA MERCADO AXEL GABRIEL</t>
  </si>
  <si>
    <t>CANO GUZMAN FABRIZIO RODRIGO</t>
  </si>
  <si>
    <t>CHOQUE LAURA CARLOS EDUARDO</t>
  </si>
  <si>
    <t>CONDORI GALARZA DENSEL ALEXSIS</t>
  </si>
  <si>
    <t>DAZA RAMIREZ KALEP MATEO</t>
  </si>
  <si>
    <t>ESTRADA FUNES NAZARETH</t>
  </si>
  <si>
    <t>FLORES VILLEGAS CARLOS IVAN</t>
  </si>
  <si>
    <t>FRANCISCO RUIZ LUCERO</t>
  </si>
  <si>
    <t>IBARRA VINO ELOY INTI</t>
  </si>
  <si>
    <t>LOPEZ PACO RODRIGO ADRIAN</t>
  </si>
  <si>
    <t>LOPEZ VERA MILENCA</t>
  </si>
  <si>
    <t>MEDINA CHOQUE JOSE ROBERTO</t>
  </si>
  <si>
    <t>MIRABAL AYANOME JOSE ALFREDO</t>
  </si>
  <si>
    <t>NINA RUEDA ESTEFANY DANIELA</t>
  </si>
  <si>
    <t>PORTILLO QUISPE JORGE LUIS</t>
  </si>
  <si>
    <t>TORREZ PACO CARLA MILENKA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</si>
  <si>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</si>
  <si>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</si>
  <si>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</si>
  <si>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</si>
  <si>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</si>
  <si>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</si>
  <si>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</si>
  <si>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</si>
  <si>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</si>
  <si>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</si>
  <si>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</si>
  <si>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</si>
  <si>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</si>
  <si>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</si>
  <si>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</si>
  <si>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</si>
  <si>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</si>
  <si>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</si>
  <si>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</si>
  <si>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</si>
  <si>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</si>
  <si>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</si>
  <si>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</si>
  <si>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</si>
  <si>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</si>
  <si>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</si>
  <si>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</si>
  <si>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</si>
  <si>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</si>
  <si>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</si>
  <si>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</si>
  <si>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</si>
  <si>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</si>
  <si>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</si>
  <si>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</si>
  <si>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</si>
  <si>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</si>
  <si>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</si>
  <si>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</si>
  <si>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</si>
  <si>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</si>
  <si>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</si>
  <si>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17/2/2021 (preguntas generales)</t>
  </si>
  <si>
    <t>24/02/2021 (preguntas de practica 1)</t>
  </si>
  <si>
    <t>04/03/2021 (preguntas de practica 2)</t>
  </si>
  <si>
    <t>24/02/2021 (practica 1)</t>
  </si>
  <si>
    <t>04/03/2021 (practica 1)</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</si>
  <si>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</si>
  <si>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</si>
  <si>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</si>
  <si>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</si>
  <si>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</si>
  <si>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</si>
  <si>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</si>
  <si>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</si>
  <si>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</si>
  <si>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</si>
  <si>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</si>
  <si>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</si>
  <si>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</si>
  <si>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</si>
  <si>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</si>
  <si>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</si>
  <si>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</si>
  <si>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</si>
  <si>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</si>
  <si>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</si>
  <si>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</si>
  <si>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</si>
  <si>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</si>
  <si>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</si>
  <si>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</si>
  <si>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</si>
  <si>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</si>
  <si>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</si>
  <si>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</si>
  <si>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</si>
  <si>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</si>
  <si>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</si>
  <si>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</si>
  <si>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</si>
  <si>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</si>
  <si>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</si>
  <si>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</si>
  <si>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</si>
  <si>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</si>
  <si>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</si>
  <si>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</si>
  <si>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</si>
  <si>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</si>
  <si>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</si>
  <si>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</si>
  <si>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</si>
  <si>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</si>
  <si>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</si>
  <si>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</si>
  <si>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</si>
  <si>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</si>
  <si>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</si>
  <si>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</si>
  <si>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</si>
  <si>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</si>
  <si>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</si>
  <si>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</si>
  <si>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</si>
  <si>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</si>
  <si>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</si>
  <si>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</si>
  <si>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</si>
  <si>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</si>
  <si>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</si>
  <si>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</si>
  <si>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</si>
  <si>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</si>
  <si>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</si>
  <si>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</si>
  <si>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</si>
  <si>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</si>
  <si>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</si>
  <si>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</si>
  <si>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26/05/2021 (Estructuras Condicionales)</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</si>
  <si>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</si>
  <si>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</si>
  <si>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</si>
  <si>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</si>
  <si>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</si>
  <si>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</si>
  <si>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</si>
  <si>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</si>
  <si>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</si>
  <si>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</si>
  <si>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</si>
  <si>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</si>
  <si>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</si>
  <si>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ljq4bir</t>
  </si>
  <si>
    <t>13/5/2020</t>
  </si>
  <si>
    <t>20/5/2020</t>
  </si>
  <si>
    <t>27/5/2021</t>
  </si>
  <si>
    <t>1/7/2021</t>
  </si>
  <si>
    <t>https://classroom.google.com/c/MzQxMjM1NTE0Nzk0/a/MzQxMjU5NTY3NTQ2/details</t>
  </si>
  <si>
    <t>https://classroom.google.com/c/MzQxMjM1NTE0Nzk0/a/MzY5OTg5NjI1Nzgz/details</t>
  </si>
  <si>
    <t>15/07/2021(Precedencia de Operadores)</t>
  </si>
  <si>
    <t>8/7/2021</t>
  </si>
  <si>
    <t>15/7/2021</t>
  </si>
  <si>
    <t>22/7/2021</t>
  </si>
  <si>
    <t>29/7/2021</t>
  </si>
  <si>
    <t>5/8/2021</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</si>
  <si>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</si>
  <si>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</si>
  <si>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</si>
  <si>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</si>
  <si>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</si>
  <si>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</si>
  <si>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</si>
  <si>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</si>
  <si>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</si>
  <si>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</si>
  <si>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</si>
  <si>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</si>
  <si>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</si>
  <si>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</si>
  <si>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</si>
  <si>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</si>
  <si>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</si>
  <si>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</si>
  <si>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</si>
  <si>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</si>
  <si>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</si>
  <si>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</si>
  <si>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</si>
  <si>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</si>
  <si>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</si>
  <si>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</si>
  <si>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</si>
  <si>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</si>
  <si>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</si>
  <si>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</si>
  <si>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</si>
  <si>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</si>
  <si>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</si>
  <si>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</si>
  <si>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</si>
  <si>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</si>
  <si>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</si>
  <si>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</si>
  <si>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</si>
  <si>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22/07/2021(Sentencias Condicionales)</t>
  </si>
  <si>
    <t>01/07/2021(Repaso)</t>
  </si>
  <si>
    <t>https://classroom.google.com/c/MzA4MjQ1NDg2MzMy/a/MzY3NTM1NjIwMTc2/details</t>
  </si>
  <si>
    <t>12/8/2021</t>
  </si>
  <si>
    <t>5/8/2021 (Primer Examen 2do Trimestre</t>
  </si>
  <si>
    <t>https://classroom.google.com/c/MzQxMjM1NTE0Nzk0/a/MzcwOTM4NTAzMDkx/details</t>
  </si>
  <si>
    <t>LOPEZ BLANCO SOFIA BELEN</t>
  </si>
  <si>
    <t>12/08/2021 (Practica de clase while)</t>
  </si>
  <si>
    <t>Transferencia fecha 7 de julio</t>
  </si>
  <si>
    <t>transferencia 5 de julio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</si>
</sst>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9"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ont>
    <font>
      <u/>
      <sz val="16"/>
      <color theme="10"/>
      <name val="Arial"/>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ont>
    <font>
      <sz val="10"/>
      <color rgb="FF000000"/>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b/>
      <sz val="9"/>
      <color theme="0"/>
      <name val="Calibri"/>
      <family val="2"/>
    </font>
    <font>
      <u/>
      <sz val="11"/>
      <color theme="10"/>
      <name val="Arial"/>
      <family val="2"/>
    </font>
    <font>
      <sz val="8"/>
      <color theme="1"/>
      <name val="Arial"/>
      <family val="2"/>
    </font>
    <font>
      <sz val="8"/>
      <color rgb="FF000000"/>
      <name val="Arial"/>
      <family val="2"/>
    </font>
    <font>
      <sz val="10"/>
      <color theme="1"/>
      <name val="Arial"/>
      <family val="2"/>
    </font>
  </fonts>
  <fills count="22">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FF00"/>
        <bgColor rgb="FFD6DCE4"/>
      </patternFill>
    </fill>
    <fill>
      <patternFill patternType="solid">
        <fgColor rgb="FFFFFF00"/>
        <bgColor rgb="FFFBE4D5"/>
      </patternFill>
    </fill>
    <fill>
      <patternFill patternType="solid">
        <fgColor rgb="FF92D050"/>
        <bgColor indexed="64"/>
      </patternFill>
    </fill>
    <fill>
      <patternFill patternType="solid">
        <fgColor rgb="FF92D050"/>
        <bgColor rgb="FFD6DCE4"/>
      </patternFill>
    </fill>
    <fill>
      <patternFill patternType="solid">
        <fgColor rgb="FF92D050"/>
        <bgColor rgb="FFFBE4D5"/>
      </patternFill>
    </fill>
    <fill>
      <patternFill patternType="solid">
        <fgColor theme="0"/>
        <bgColor indexed="64"/>
      </patternFill>
    </fill>
    <fill>
      <patternFill patternType="solid">
        <fgColor theme="0"/>
        <bgColor rgb="FFD6DCE4"/>
      </patternFill>
    </fill>
    <fill>
      <patternFill patternType="solid">
        <fgColor theme="0"/>
        <bgColor rgb="FFFBE4D5"/>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16">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9" fillId="0" borderId="39" xfId="0" applyFont="1" applyBorder="1" applyAlignment="1">
      <alignment horizontal="center" vertical="center"/>
    </xf>
    <xf numFmtId="0" fontId="0" fillId="0" borderId="15" xfId="0" applyBorder="1"/>
    <xf numFmtId="14" fontId="45" fillId="0" borderId="57" xfId="0" applyNumberFormat="1" applyFont="1" applyBorder="1" applyAlignment="1">
      <alignment horizontal="center" textRotation="90"/>
    </xf>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0" fontId="48" fillId="0" borderId="19" xfId="0" applyFont="1" applyBorder="1" applyAlignment="1">
      <alignment horizontal="left" vertical="center"/>
    </xf>
    <xf numFmtId="166" fontId="48" fillId="0" borderId="19" xfId="1" applyNumberFormat="1" applyFont="1" applyFill="1" applyBorder="1" applyAlignment="1">
      <alignment horizontal="left" vertical="center"/>
    </xf>
    <xf numFmtId="166" fontId="0" fillId="0" borderId="15" xfId="0" applyNumberFormat="1" applyBorder="1"/>
    <xf numFmtId="14" fontId="54" fillId="10" borderId="19" xfId="0" applyNumberFormat="1" applyFont="1" applyFill="1" applyBorder="1" applyAlignment="1">
      <alignment horizontal="center" vertical="center" textRotation="90"/>
    </xf>
    <xf numFmtId="14" fontId="54" fillId="10" borderId="62" xfId="0" applyNumberFormat="1" applyFont="1" applyFill="1" applyBorder="1" applyAlignment="1">
      <alignment horizontal="center" vertical="center" textRotation="90"/>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3" xfId="0" applyFont="1" applyBorder="1" applyAlignment="1">
      <alignment horizontal="center" vertical="center"/>
    </xf>
    <xf numFmtId="0" fontId="9" fillId="0" borderId="27" xfId="0" applyFont="1" applyBorder="1" applyAlignment="1">
      <alignment horizontal="center" vertical="center"/>
    </xf>
    <xf numFmtId="0" fontId="56" fillId="0" borderId="57" xfId="0" applyFont="1" applyBorder="1" applyAlignment="1">
      <alignment horizontal="center" vertical="center" textRotation="90"/>
    </xf>
    <xf numFmtId="14" fontId="9" fillId="0" borderId="39" xfId="0" applyNumberFormat="1" applyFont="1" applyBorder="1" applyAlignment="1">
      <alignment horizontal="center" vertical="center" textRotation="90"/>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10" fillId="9" borderId="19" xfId="0" applyFont="1" applyFill="1" applyBorder="1" applyAlignment="1">
      <alignment horizontal="left" vertical="center"/>
    </xf>
    <xf numFmtId="0" fontId="10" fillId="9" borderId="19"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58" fillId="0" borderId="0" xfId="0" applyFont="1" applyAlignment="1"/>
    <xf numFmtId="0" fontId="19" fillId="0" borderId="0" xfId="0" applyFont="1" applyAlignment="1"/>
    <xf numFmtId="0" fontId="9" fillId="9" borderId="19" xfId="0" applyFont="1" applyFill="1" applyBorder="1" applyAlignment="1">
      <alignment horizontal="center" vertical="center"/>
    </xf>
    <xf numFmtId="0" fontId="9" fillId="11" borderId="19" xfId="0" applyFont="1" applyFill="1" applyBorder="1" applyAlignment="1">
      <alignment horizontal="left" vertical="center"/>
    </xf>
    <xf numFmtId="0" fontId="9" fillId="11" borderId="19" xfId="0" applyFont="1" applyFill="1" applyBorder="1" applyAlignment="1">
      <alignment horizontal="center" vertical="center"/>
    </xf>
    <xf numFmtId="0" fontId="9" fillId="11" borderId="39" xfId="0" applyFont="1" applyFill="1" applyBorder="1" applyAlignment="1">
      <alignment horizontal="center" vertical="center"/>
    </xf>
    <xf numFmtId="0" fontId="9" fillId="11" borderId="26" xfId="0" applyFont="1" applyFill="1" applyBorder="1" applyAlignment="1">
      <alignment horizontal="center" vertical="center"/>
    </xf>
    <xf numFmtId="0" fontId="10" fillId="16" borderId="19" xfId="0" applyFont="1" applyFill="1" applyBorder="1" applyAlignment="1">
      <alignment horizontal="left" vertical="center"/>
    </xf>
    <xf numFmtId="0" fontId="10" fillId="16" borderId="19" xfId="0" applyFont="1" applyFill="1" applyBorder="1" applyAlignment="1">
      <alignment horizontal="center" vertical="center"/>
    </xf>
    <xf numFmtId="0" fontId="25" fillId="17" borderId="19" xfId="0" applyFont="1" applyFill="1" applyBorder="1" applyAlignment="1">
      <alignment horizontal="center" vertical="center"/>
    </xf>
    <xf numFmtId="0" fontId="26" fillId="18" borderId="19" xfId="0" applyFont="1" applyFill="1" applyBorder="1" applyAlignment="1">
      <alignment horizontal="center" vertical="center"/>
    </xf>
    <xf numFmtId="0" fontId="10" fillId="19" borderId="19" xfId="0" applyFont="1" applyFill="1" applyBorder="1" applyAlignment="1">
      <alignment horizontal="left" vertical="center"/>
    </xf>
    <xf numFmtId="0" fontId="10" fillId="19" borderId="19" xfId="0" applyFont="1" applyFill="1" applyBorder="1" applyAlignment="1">
      <alignment horizontal="center" vertical="center"/>
    </xf>
    <xf numFmtId="0" fontId="25" fillId="20" borderId="19" xfId="0" applyFont="1" applyFill="1" applyBorder="1" applyAlignment="1">
      <alignment horizontal="center" vertical="center"/>
    </xf>
    <xf numFmtId="0" fontId="26" fillId="21" borderId="19" xfId="0" applyFont="1" applyFill="1" applyBorder="1" applyAlignment="1">
      <alignment horizontal="center" vertical="center"/>
    </xf>
    <xf numFmtId="0" fontId="40" fillId="0" borderId="57" xfId="0" applyFont="1" applyBorder="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2" fillId="0" borderId="57" xfId="0" applyFont="1" applyBorder="1" applyAlignment="1">
      <alignment horizontal="right" vertical="center"/>
    </xf>
    <xf numFmtId="0" fontId="48" fillId="0" borderId="57" xfId="0" applyFont="1" applyBorder="1" applyAlignment="1">
      <alignment horizontal="right" vertical="center"/>
    </xf>
    <xf numFmtId="0" fontId="52" fillId="0" borderId="61" xfId="0" applyFont="1" applyBorder="1" applyAlignment="1">
      <alignment horizontal="left" vertical="center" wrapText="1"/>
    </xf>
    <xf numFmtId="0" fontId="52" fillId="0" borderId="15" xfId="0" applyFont="1" applyBorder="1" applyAlignment="1">
      <alignment horizontal="left" vertical="center" wrapText="1"/>
    </xf>
    <xf numFmtId="0" fontId="42" fillId="0" borderId="57" xfId="0" applyFont="1" applyBorder="1" applyAlignment="1">
      <alignment horizontal="center" vertical="center"/>
    </xf>
    <xf numFmtId="0" fontId="43" fillId="0" borderId="57" xfId="0" applyFont="1" applyBorder="1" applyAlignment="1">
      <alignment horizontal="center" vertical="center"/>
    </xf>
    <xf numFmtId="0" fontId="49" fillId="0" borderId="57" xfId="0" applyFont="1" applyBorder="1" applyAlignment="1">
      <alignment horizontal="center"/>
    </xf>
    <xf numFmtId="0" fontId="55" fillId="0" borderId="57" xfId="2" applyFont="1" applyFill="1" applyBorder="1" applyAlignment="1">
      <alignment horizontal="left"/>
    </xf>
    <xf numFmtId="0" fontId="47" fillId="0" borderId="57" xfId="0" applyFont="1" applyBorder="1" applyAlignment="1">
      <alignment horizontal="left"/>
    </xf>
    <xf numFmtId="1" fontId="53" fillId="0" borderId="57" xfId="0" applyNumberFormat="1" applyFont="1" applyBorder="1" applyAlignment="1">
      <alignment horizontal="center"/>
    </xf>
    <xf numFmtId="0" fontId="44" fillId="0" borderId="57" xfId="0" applyFont="1" applyBorder="1" applyAlignment="1">
      <alignment horizontal="center" vertical="center"/>
    </xf>
    <xf numFmtId="0" fontId="51" fillId="0" borderId="57" xfId="2" applyFont="1" applyFill="1" applyBorder="1" applyAlignment="1">
      <alignment horizontal="left"/>
    </xf>
    <xf numFmtId="0" fontId="40" fillId="0" borderId="57" xfId="0" applyFont="1" applyBorder="1" applyAlignment="1">
      <alignment horizontal="left"/>
    </xf>
    <xf numFmtId="0" fontId="41" fillId="0" borderId="57" xfId="0" applyFont="1" applyBorder="1" applyAlignment="1">
      <alignment horizontal="left"/>
    </xf>
    <xf numFmtId="0" fontId="44" fillId="0" borderId="15" xfId="0" applyFont="1" applyBorder="1" applyAlignment="1">
      <alignment horizontal="center"/>
    </xf>
    <xf numFmtId="0" fontId="0" fillId="0" borderId="15" xfId="0" applyBorder="1" applyAlignment="1">
      <alignment horizontal="center"/>
    </xf>
    <xf numFmtId="0" fontId="41" fillId="0" borderId="58" xfId="0" applyFont="1" applyBorder="1" applyAlignment="1">
      <alignment horizontal="center"/>
    </xf>
    <xf numFmtId="0" fontId="41" fillId="0" borderId="59" xfId="0" applyFont="1" applyBorder="1" applyAlignment="1">
      <alignment horizontal="center"/>
    </xf>
    <xf numFmtId="0" fontId="41" fillId="0" borderId="60" xfId="0" applyFont="1" applyBorder="1" applyAlignment="1">
      <alignment horizontal="center"/>
    </xf>
    <xf numFmtId="0" fontId="47" fillId="0" borderId="57"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9" borderId="39" xfId="0" applyFont="1" applyFill="1" applyBorder="1" applyAlignment="1">
      <alignment horizontal="center" vertical="center"/>
    </xf>
    <xf numFmtId="0" fontId="3" fillId="19" borderId="40" xfId="0" applyFont="1" applyFill="1" applyBorder="1"/>
    <xf numFmtId="0" fontId="3" fillId="19" borderId="41" xfId="0" applyFont="1" applyFill="1" applyBorder="1"/>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7" fillId="16" borderId="39" xfId="0" applyFont="1" applyFill="1" applyBorder="1" applyAlignment="1">
      <alignment horizontal="center" vertical="center"/>
    </xf>
    <xf numFmtId="0" fontId="3" fillId="16" borderId="40" xfId="0" applyFont="1" applyFill="1" applyBorder="1"/>
    <xf numFmtId="0" fontId="3" fillId="16"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0" fontId="50" fillId="0" borderId="57" xfId="0" applyFont="1" applyBorder="1" applyAlignment="1">
      <alignment horizontal="right" vertical="center"/>
    </xf>
    <xf numFmtId="0" fontId="49" fillId="0" borderId="57" xfId="0" applyFont="1" applyBorder="1" applyAlignment="1">
      <alignment horizontal="right"/>
    </xf>
    <xf numFmtId="14" fontId="57" fillId="0" borderId="57" xfId="0" applyNumberFormat="1" applyFont="1" applyBorder="1" applyAlignment="1">
      <alignment horizontal="right"/>
    </xf>
    <xf numFmtId="0" fontId="57" fillId="0" borderId="57" xfId="0" applyFont="1" applyBorder="1" applyAlignment="1">
      <alignment horizontal="right"/>
    </xf>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551-4DFF-9D02-3CDD82128CA2}"/>
              </c:ext>
            </c:extLst>
          </c:dPt>
          <c:dPt>
            <c:idx val="1"/>
            <c:bubble3D val="0"/>
            <c:spPr>
              <a:solidFill>
                <a:schemeClr val="accent2"/>
              </a:solidFill>
            </c:spPr>
            <c:extLst>
              <c:ext xmlns:c16="http://schemas.microsoft.com/office/drawing/2014/chart" uri="{C3380CC4-5D6E-409C-BE32-E72D297353CC}">
                <c16:uniqueId val="{00000003-B551-4DFF-9D02-3CDD82128CA2}"/>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551-4DFF-9D02-3CDD82128CA2}"/>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59C1-44EE-BFA8-9320DDC86CF9}"/>
              </c:ext>
            </c:extLst>
          </c:dPt>
          <c:dPt>
            <c:idx val="1"/>
            <c:bubble3D val="0"/>
            <c:spPr>
              <a:solidFill>
                <a:schemeClr val="accent2"/>
              </a:solidFill>
            </c:spPr>
            <c:extLst>
              <c:ext xmlns:c16="http://schemas.microsoft.com/office/drawing/2014/chart" uri="{C3380CC4-5D6E-409C-BE32-E72D297353CC}">
                <c16:uniqueId val="{00000003-59C1-44EE-BFA8-9320DDC86CF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0.3888888888888889</c:v>
                </c:pt>
                <c:pt idx="1">
                  <c:v>0.61111111111111116</c:v>
                </c:pt>
              </c:numCache>
            </c:numRef>
          </c:val>
          <c:extLst>
            <c:ext xmlns:c16="http://schemas.microsoft.com/office/drawing/2014/chart" uri="{C3380CC4-5D6E-409C-BE32-E72D297353CC}">
              <c16:uniqueId val="{00000004-59C1-44EE-BFA8-9320DDC86CF9}"/>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0710-4310-98A7-48FE669ED4B4}"/>
              </c:ext>
            </c:extLst>
          </c:dPt>
          <c:dPt>
            <c:idx val="1"/>
            <c:bubble3D val="0"/>
            <c:spPr>
              <a:solidFill>
                <a:schemeClr val="accent2"/>
              </a:solidFill>
            </c:spPr>
            <c:extLst>
              <c:ext xmlns:c16="http://schemas.microsoft.com/office/drawing/2014/chart" uri="{C3380CC4-5D6E-409C-BE32-E72D297353CC}">
                <c16:uniqueId val="{00000003-0710-4310-98A7-48FE669ED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0710-4310-98A7-48FE669ED4B4}"/>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16</xdr:col>
      <xdr:colOff>114692</xdr:colOff>
      <xdr:row>29</xdr:row>
      <xdr:rowOff>109341</xdr:rowOff>
    </xdr:from>
    <xdr:to>
      <xdr:col>20</xdr:col>
      <xdr:colOff>204835</xdr:colOff>
      <xdr:row>31</xdr:row>
      <xdr:rowOff>121822</xdr:rowOff>
    </xdr:to>
    <xdr:sp macro="" textlink="">
      <xdr:nvSpPr>
        <xdr:cNvPr id="2" name="Cuadro de texto 2">
          <a:extLst>
            <a:ext uri="{FF2B5EF4-FFF2-40B4-BE49-F238E27FC236}">
              <a16:creationId xmlns:a16="http://schemas.microsoft.com/office/drawing/2014/main" id="{F0D0D4A1-21B5-4771-ACB5-8146BC0103AA}"/>
            </a:ext>
          </a:extLst>
        </xdr:cNvPr>
        <xdr:cNvSpPr txBox="1">
          <a:spLocks noChangeArrowheads="1"/>
        </xdr:cNvSpPr>
      </xdr:nvSpPr>
      <xdr:spPr bwMode="auto">
        <a:xfrm>
          <a:off x="4290034" y="6414108"/>
          <a:ext cx="1133979" cy="409139"/>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133350</xdr:colOff>
      <xdr:row>0</xdr:row>
      <xdr:rowOff>0</xdr:rowOff>
    </xdr:from>
    <xdr:to>
      <xdr:col>5</xdr:col>
      <xdr:colOff>114300</xdr:colOff>
      <xdr:row>2</xdr:row>
      <xdr:rowOff>114565</xdr:rowOff>
    </xdr:to>
    <xdr:pic>
      <xdr:nvPicPr>
        <xdr:cNvPr id="3" name="Imagen 2">
          <a:extLst>
            <a:ext uri="{FF2B5EF4-FFF2-40B4-BE49-F238E27FC236}">
              <a16:creationId xmlns:a16="http://schemas.microsoft.com/office/drawing/2014/main" id="{EBC9BC6A-1F93-4424-AC6E-04511F76FB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7700" y="0"/>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1142073065" name="Chart 1">
          <a:extLst>
            <a:ext uri="{FF2B5EF4-FFF2-40B4-BE49-F238E27FC236}">
              <a16:creationId xmlns:a16="http://schemas.microsoft.com/office/drawing/2014/main" id="{00000000-0008-0000-0D00-0000E9A612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254723479" name="Chart 2">
          <a:extLst>
            <a:ext uri="{FF2B5EF4-FFF2-40B4-BE49-F238E27FC236}">
              <a16:creationId xmlns:a16="http://schemas.microsoft.com/office/drawing/2014/main" id="{00000000-0008-0000-0D00-000097C52E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35058101" name="Chart 3">
          <a:extLst>
            <a:ext uri="{FF2B5EF4-FFF2-40B4-BE49-F238E27FC236}">
              <a16:creationId xmlns:a16="http://schemas.microsoft.com/office/drawing/2014/main" id="{00000000-0008-0000-0D00-0000B5207F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BD13BF-5428-49C4-9F88-7A581E60386B}" name="Tabla1" displayName="Tabla1" ref="A7:BD25" totalsRowShown="0" headerRowDxfId="58" dataDxfId="57" tableBorderDxfId="56">
  <autoFilter ref="A7:BD25" xr:uid="{BFBD13BF-5428-49C4-9F88-7A581E60386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autoFilter>
  <tableColumns count="56">
    <tableColumn id="1" xr3:uid="{4EF0C490-0D58-409E-83BB-A2D429811565}" name="Nº" dataDxfId="55"/>
    <tableColumn id="2" xr3:uid="{92F0B5F8-5A0B-49CE-A326-6E7E5656584E}" name="NÓMINA DE ESTUDIANTES" dataDxfId="54">
      <calculatedColumnFormula>'C. FILIACION'!B8</calculatedColumnFormula>
    </tableColumn>
    <tableColumn id="3" xr3:uid="{A34594E9-EA4D-48E9-8EBC-62312B436077}" name="13/5/2020" dataDxfId="53"/>
    <tableColumn id="4" xr3:uid="{AB198B48-0DD0-426E-9079-B4E86C70000C}" name="20/5/2020" dataDxfId="52"/>
    <tableColumn id="5" xr3:uid="{280F3224-7C5A-46B7-8371-43DE4D908214}" name="27/5/2021" dataDxfId="51"/>
    <tableColumn id="6" xr3:uid="{4D718F4E-8CF7-4A55-A680-8F2DF562AD50}" name="1/7/2021" dataDxfId="50"/>
    <tableColumn id="7" xr3:uid="{BB814205-32E2-4AC0-9FA8-B80FBE550E01}" name="8/7/2021" dataDxfId="49"/>
    <tableColumn id="8" xr3:uid="{0A2C6F13-BD5D-4042-A929-7B7ED5693AD9}" name="15/7/2021" dataDxfId="48"/>
    <tableColumn id="9" xr3:uid="{D97A646A-1DAF-48C6-A674-42C9FDAB3017}" name="22/7/2021" dataDxfId="47"/>
    <tableColumn id="10" xr3:uid="{314256B2-DCAE-45BE-B598-6AB00DFD4100}" name="29/7/2021" dataDxfId="46"/>
    <tableColumn id="11" xr3:uid="{ED62A6C3-4183-423A-9555-F0AA96FF2E4E}" name="5/8/2021" dataDxfId="45"/>
    <tableColumn id="13" xr3:uid="{989D3AF7-30B9-44D1-AD5D-6E495E1E303C}" name="12/8/2021" dataDxfId="44"/>
    <tableColumn id="14" xr3:uid="{8705838E-CBBA-4561-B75B-C2FB5C4B2E5E}" name="Columna3" dataDxfId="43"/>
    <tableColumn id="15" xr3:uid="{8A155E42-AF4F-4562-806B-A4EAAC2BF4E9}" name="Columna4" dataDxfId="42"/>
    <tableColumn id="16" xr3:uid="{9CB4700B-2739-4888-A28A-43C49FC9AC65}" name="Columna5" dataDxfId="41"/>
    <tableColumn id="17" xr3:uid="{1662D02B-A482-4064-885D-ED842EFBE8E7}" name="Columna6" dataDxfId="40"/>
    <tableColumn id="18" xr3:uid="{F4B8078A-26F6-4174-86F6-A18FA162578E}" name="Columna7" dataDxfId="39"/>
    <tableColumn id="19" xr3:uid="{D16A39F5-D0F8-404E-989B-66BAA018F48D}" name="Columna8" dataDxfId="38"/>
    <tableColumn id="20" xr3:uid="{1A53FF1A-0D5F-4D29-891C-648A3F53AF8F}" name="Columna9" dataDxfId="37"/>
    <tableColumn id="21" xr3:uid="{2D6A630D-EEAD-4CD6-B867-93C76784AB09}" name="Columna10" dataDxfId="36"/>
    <tableColumn id="22" xr3:uid="{B286DB10-31F2-4213-A2C7-221EC0DDDA94}" name="Columna11" dataDxfId="35"/>
    <tableColumn id="23" xr3:uid="{4C0758F3-D3F2-4BA5-971B-3E11C0F680D1}" name="Columna12" dataDxfId="34"/>
    <tableColumn id="24" xr3:uid="{96042310-0B0F-4F86-9895-6DB3C66D3131}" name="Columna13" dataDxfId="33"/>
    <tableColumn id="25" xr3:uid="{3C69B5DE-6C7A-4D66-8353-628DE26059DF}" name="Columna14" dataDxfId="32"/>
    <tableColumn id="26" xr3:uid="{892ED307-8815-49D2-834F-4CFB7AD04991}" name="Columna15" dataDxfId="31"/>
    <tableColumn id="27" xr3:uid="{DEE9D3DB-C0E3-479B-81E3-5CF8FEC374C7}" name="Columna16" dataDxfId="30"/>
    <tableColumn id="28" xr3:uid="{0D822070-DDF1-46EB-9523-022C95E33104}" name="Columna17" dataDxfId="29"/>
    <tableColumn id="29" xr3:uid="{50DE27C2-8CF5-4D02-BF9D-F945DE718DD0}" name="Columna18" dataDxfId="28"/>
    <tableColumn id="30" xr3:uid="{36D6D560-88B7-4795-9239-41E71A75D2D4}" name="Columna19" dataDxfId="27"/>
    <tableColumn id="31" xr3:uid="{71AEF00B-29EA-482C-94E6-0897BB832620}" name="Columna20" dataDxfId="26"/>
    <tableColumn id="32" xr3:uid="{99F57753-7C64-4AF4-8DC9-FBCDFCB3DC59}" name="Columna21" dataDxfId="25"/>
    <tableColumn id="33" xr3:uid="{67EBA0B5-3B6D-4F14-B904-FB1983E57B5B}" name="Columna22" dataDxfId="24"/>
    <tableColumn id="34" xr3:uid="{5FF1A08D-9C5B-4D7D-B0DC-005EB0CC340E}" name="Columna23" dataDxfId="23"/>
    <tableColumn id="35" xr3:uid="{BA034351-CD8D-45B7-B3D4-F64137ED02F6}" name="Columna24" dataDxfId="22"/>
    <tableColumn id="36" xr3:uid="{A242BC5E-B7B6-4022-867D-29A4EBA410BA}" name="Columna25" dataDxfId="21"/>
    <tableColumn id="37" xr3:uid="{1275C959-FE74-4797-847F-BD3D6B8173B1}" name="Columna26" dataDxfId="20"/>
    <tableColumn id="38" xr3:uid="{75E68B13-A568-4890-92B6-C4AF3E510BD7}" name="Columna27" dataDxfId="19"/>
    <tableColumn id="39" xr3:uid="{42726190-0659-4D83-8D8A-D544DE9AAAFB}" name="Columna28" dataDxfId="18"/>
    <tableColumn id="40" xr3:uid="{0D2DE7CD-6287-460D-B74B-D7194BAEAF5F}" name="Columna29" dataDxfId="17"/>
    <tableColumn id="41" xr3:uid="{8BBFECC7-724B-4583-A153-D14A8BEE8B21}" name="Columna30" dataDxfId="16"/>
    <tableColumn id="42" xr3:uid="{B3A691C4-BAFD-4C3B-A3BA-FD52C05EB47F}" name="Columna31" dataDxfId="15"/>
    <tableColumn id="43" xr3:uid="{8FD63099-CCD2-4AC8-923D-4B7F8F68727B}" name="Columna32" dataDxfId="14"/>
    <tableColumn id="44" xr3:uid="{3EAEBF1C-C6DF-432B-8B6E-E928FB0A8BFC}" name="Columna33" dataDxfId="13"/>
    <tableColumn id="45" xr3:uid="{AE3DBBEC-8BC3-4022-8FDB-86829F4BA070}" name="Columna34" dataDxfId="12"/>
    <tableColumn id="46" xr3:uid="{78FFFFDB-C44D-4A3C-816B-87F5899A74BC}" name="Columna35" dataDxfId="11"/>
    <tableColumn id="47" xr3:uid="{7239500E-9826-49C1-8249-9EC571E10535}" name="Columna36" dataDxfId="10"/>
    <tableColumn id="48" xr3:uid="{EF275CE9-6051-41A0-9702-610D8E6315CF}" name="Columna37" dataDxfId="9"/>
    <tableColumn id="49" xr3:uid="{C469378C-2709-4FD8-91B9-125A23C71F9D}" name="Columna38" dataDxfId="8"/>
    <tableColumn id="50" xr3:uid="{E3952710-BB1C-488C-9C25-CC415E4DD5F7}" name="Columna39" dataDxfId="7"/>
    <tableColumn id="51" xr3:uid="{E58BFC4D-BEA3-4B90-AB3C-8A0A5C65DEAB}" name="Columna40" dataDxfId="6"/>
    <tableColumn id="52" xr3:uid="{0948CD53-8913-4284-8F6C-7A3A0CFBD46F}" name="Columna41" dataDxfId="5"/>
    <tableColumn id="53" xr3:uid="{5DBBF7A6-D29C-461B-8A23-E201B58A5552}" name="Asist. (A)" dataDxfId="4">
      <calculatedColumnFormula>IF(COUNTIF(C8:AY8,"A")=0,"0",COUNTIF(C8:AY8,"A"))</calculatedColumnFormula>
    </tableColumn>
    <tableColumn id="54" xr3:uid="{A74877BB-88FB-4858-AD26-A388BB683F9F}" name="Faltas (F)" dataDxfId="3">
      <calculatedColumnFormula>IF(COUNTIF(C8:AY8,"F")=0,"0",COUNTIF(C8:AY8,"F"))</calculatedColumnFormula>
    </tableColumn>
    <tableColumn id="55" xr3:uid="{F9D0110F-D9EA-4C88-8265-6292BA946441}" name="Retrasos (R)" dataDxfId="2">
      <calculatedColumnFormula>IF(COUNTIF(C8:AY8,"R")=0,"0",COUNTIF(C8:AY8,"R"))</calculatedColumnFormula>
    </tableColumn>
    <tableColumn id="56" xr3:uid="{C46BE3A4-43C8-4041-9360-DB9163636E14}" name="Licencias (L)" dataDxfId="1">
      <calculatedColumnFormula>IF(COUNTIF(C8:AY8,"L")=0,"0",COUNTIF(C8:AY8,"L"))</calculatedColumnFormula>
    </tableColumn>
    <tableColumn id="57" xr3:uid="{6E995E89-5DD9-474F-B3A9-A30D53C326CB}" name="DÍAS TRABAJADOS" dataDxfId="0">
      <calculatedColumnFormula>SUM(AZ8:BC8)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A4MjQ1NDg2MzMy/a/MzY3NTM1NjIwMTc2/details" TargetMode="External"/><Relationship Id="rId2" Type="http://schemas.openxmlformats.org/officeDocument/2006/relationships/hyperlink" Target="https://classroom.google.com/c/MzQxMjM1NTE0Nzk0/a/MzY5OTg5NjI1Nzgz/details" TargetMode="External"/><Relationship Id="rId1" Type="http://schemas.openxmlformats.org/officeDocument/2006/relationships/hyperlink" Target="https://classroom.google.com/c/MzQxMjM1NTE0Nzk0/a/MzQxMjU5NTY3NTQ2/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QxMjM1NTE0Nzk0/a/MzcwOTM4NTAzMDkx/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65625" defaultRowHeight="15" customHeight="1" x14ac:dyDescent="0.35"/>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03" t="s">
        <v>0</v>
      </c>
      <c r="D8" s="204"/>
      <c r="E8" s="205"/>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06" t="s">
        <v>1</v>
      </c>
      <c r="I9" s="207"/>
      <c r="J9" s="208"/>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09"/>
      <c r="I10" s="210"/>
      <c r="J10" s="211"/>
      <c r="K10" s="7"/>
      <c r="L10" s="1"/>
      <c r="M10" s="1"/>
      <c r="N10" s="1"/>
      <c r="O10" s="1"/>
      <c r="P10" s="1"/>
      <c r="Q10" s="1"/>
      <c r="R10" s="1"/>
      <c r="S10" s="1"/>
      <c r="T10" s="1"/>
      <c r="U10" s="1"/>
      <c r="V10" s="1"/>
      <c r="W10" s="1"/>
      <c r="X10" s="1"/>
      <c r="Y10" s="1"/>
      <c r="Z10" s="1"/>
    </row>
    <row r="11" spans="1:26" ht="15" customHeight="1" x14ac:dyDescent="0.35">
      <c r="A11" s="1"/>
      <c r="B11" s="8" t="s">
        <v>2</v>
      </c>
      <c r="C11" s="200" t="s">
        <v>3</v>
      </c>
      <c r="D11" s="201"/>
      <c r="E11" s="202"/>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12" t="s">
        <v>4</v>
      </c>
      <c r="I12" s="213"/>
      <c r="J12" s="213"/>
      <c r="K12" s="7"/>
      <c r="L12" s="1"/>
      <c r="M12" s="1"/>
      <c r="N12" s="1"/>
      <c r="O12" s="1"/>
      <c r="P12" s="1"/>
      <c r="Q12" s="1"/>
      <c r="R12" s="1"/>
      <c r="S12" s="1"/>
      <c r="T12" s="1"/>
      <c r="U12" s="1"/>
      <c r="V12" s="1"/>
      <c r="W12" s="1"/>
      <c r="X12" s="1"/>
      <c r="Y12" s="1"/>
      <c r="Z12" s="1"/>
    </row>
    <row r="13" spans="1:26" ht="20.399999999999999" x14ac:dyDescent="0.35">
      <c r="A13" s="1"/>
      <c r="B13" s="8" t="s">
        <v>5</v>
      </c>
      <c r="C13" s="200"/>
      <c r="D13" s="201"/>
      <c r="E13" s="202"/>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00" t="s">
        <v>9</v>
      </c>
      <c r="D15" s="201"/>
      <c r="E15" s="202"/>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14" t="s">
        <v>10</v>
      </c>
      <c r="I16" s="213"/>
      <c r="J16" s="213"/>
      <c r="K16" s="7"/>
      <c r="L16" s="1"/>
      <c r="M16" s="1"/>
      <c r="N16" s="1"/>
      <c r="O16" s="1"/>
      <c r="P16" s="1"/>
      <c r="Q16" s="1"/>
      <c r="R16" s="1"/>
      <c r="S16" s="1"/>
      <c r="T16" s="1"/>
      <c r="U16" s="1"/>
      <c r="V16" s="1"/>
      <c r="W16" s="1"/>
      <c r="X16" s="1"/>
      <c r="Y16" s="1"/>
      <c r="Z16" s="1"/>
    </row>
    <row r="17" spans="1:26" ht="20.399999999999999" x14ac:dyDescent="0.35">
      <c r="A17" s="1"/>
      <c r="B17" s="8" t="s">
        <v>11</v>
      </c>
      <c r="C17" s="200" t="s">
        <v>12</v>
      </c>
      <c r="D17" s="201"/>
      <c r="E17" s="202"/>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00"/>
      <c r="D19" s="201"/>
      <c r="E19" s="202"/>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00" t="s">
        <v>15</v>
      </c>
      <c r="D21" s="201"/>
      <c r="E21" s="202"/>
      <c r="F21" s="9"/>
      <c r="G21" s="6"/>
      <c r="H21" s="214" t="s">
        <v>16</v>
      </c>
      <c r="I21" s="213"/>
      <c r="J21" s="213"/>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00" t="s">
        <v>18</v>
      </c>
      <c r="D23" s="201"/>
      <c r="E23" s="202"/>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00"/>
      <c r="D25" s="201"/>
      <c r="E25" s="202"/>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00">
        <v>2021</v>
      </c>
      <c r="D27" s="201"/>
      <c r="E27" s="202"/>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265625" defaultRowHeight="15" customHeight="1" x14ac:dyDescent="0.35"/>
  <cols>
    <col min="1" max="1" width="2" customWidth="1"/>
    <col min="2" max="2" width="23.7304687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17" t="s">
        <v>21</v>
      </c>
      <c r="C2" s="213"/>
      <c r="D2" s="213"/>
      <c r="E2" s="213"/>
      <c r="F2" s="213"/>
      <c r="G2" s="213"/>
      <c r="H2" s="213"/>
      <c r="I2" s="213"/>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15" t="str">
        <f>CARÁTULA!$C$15</f>
        <v>Instituto Tecnico Humanistico Jauzel Arrieta</v>
      </c>
      <c r="D4" s="213"/>
      <c r="E4" s="213"/>
      <c r="F4" s="22" t="s">
        <v>19</v>
      </c>
      <c r="G4" s="215">
        <f>CARÁTULA!$C$25</f>
        <v>0</v>
      </c>
      <c r="H4" s="213"/>
      <c r="I4" s="213"/>
      <c r="J4" s="19"/>
      <c r="K4" s="19"/>
      <c r="L4" s="19"/>
      <c r="M4" s="19"/>
      <c r="N4" s="19"/>
      <c r="O4" s="19"/>
      <c r="P4" s="19"/>
      <c r="Q4" s="19"/>
      <c r="R4" s="19"/>
      <c r="S4" s="19"/>
      <c r="T4" s="19"/>
      <c r="U4" s="19"/>
      <c r="V4" s="19"/>
      <c r="W4" s="19"/>
      <c r="X4" s="19"/>
      <c r="Y4" s="19"/>
      <c r="Z4" s="19"/>
    </row>
    <row r="5" spans="1:26" ht="12" customHeight="1" x14ac:dyDescent="0.35">
      <c r="A5" s="20"/>
      <c r="B5" s="21" t="s">
        <v>14</v>
      </c>
      <c r="C5" s="215" t="str">
        <f>CARÁTULA!$C$21</f>
        <v>Secundaria</v>
      </c>
      <c r="D5" s="213"/>
      <c r="E5" s="213"/>
      <c r="F5" s="22" t="s">
        <v>13</v>
      </c>
      <c r="G5" s="215">
        <f>CARÁTULA!$C$19</f>
        <v>0</v>
      </c>
      <c r="H5" s="213"/>
      <c r="I5" s="213"/>
      <c r="J5" s="19"/>
      <c r="K5" s="19"/>
      <c r="L5" s="19"/>
      <c r="M5" s="19"/>
      <c r="N5" s="19"/>
      <c r="O5" s="19"/>
      <c r="P5" s="19"/>
      <c r="Q5" s="19"/>
      <c r="R5" s="19"/>
      <c r="S5" s="19"/>
      <c r="T5" s="19"/>
      <c r="U5" s="19"/>
      <c r="V5" s="19"/>
      <c r="W5" s="19"/>
      <c r="X5" s="19"/>
      <c r="Y5" s="19"/>
      <c r="Z5" s="19"/>
    </row>
    <row r="6" spans="1:26" ht="12" customHeight="1" x14ac:dyDescent="0.35">
      <c r="A6" s="20"/>
      <c r="B6" s="21" t="s">
        <v>22</v>
      </c>
      <c r="C6" s="215" t="str">
        <f>CARÁTULA!$C$23</f>
        <v>4to de Secundaria</v>
      </c>
      <c r="D6" s="213"/>
      <c r="E6" s="213"/>
      <c r="F6" s="22" t="s">
        <v>23</v>
      </c>
      <c r="G6" s="216">
        <f ca="1">TODAY()</f>
        <v>44421</v>
      </c>
      <c r="H6" s="213"/>
      <c r="I6" s="213"/>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44421</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44421</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44421</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44421</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44421</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44421</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44421</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44421</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44421</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44421</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241</v>
      </c>
      <c r="C18" s="35"/>
      <c r="D18" s="30">
        <f t="shared" ca="1" si="0"/>
        <v>44421</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42</v>
      </c>
      <c r="C19" s="35"/>
      <c r="D19" s="30">
        <f t="shared" ca="1" si="0"/>
        <v>44421</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43</v>
      </c>
      <c r="C20" s="35"/>
      <c r="D20" s="30">
        <f t="shared" ca="1" si="0"/>
        <v>44421</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44</v>
      </c>
      <c r="C21" s="35"/>
      <c r="D21" s="30">
        <f t="shared" ca="1" si="0"/>
        <v>44421</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45</v>
      </c>
      <c r="C22" s="35"/>
      <c r="D22" s="30">
        <f t="shared" ca="1" si="0"/>
        <v>44421</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46</v>
      </c>
      <c r="C23" s="35"/>
      <c r="D23" s="30">
        <f t="shared" ca="1" si="0"/>
        <v>44421</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47</v>
      </c>
      <c r="C24" s="35"/>
      <c r="D24" s="30">
        <f t="shared" ca="1" si="0"/>
        <v>44421</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28" t="s">
        <v>48</v>
      </c>
      <c r="C25" s="35"/>
      <c r="D25" s="30">
        <f t="shared" ca="1" si="0"/>
        <v>44421</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36"/>
      <c r="C26" s="35"/>
      <c r="D26" s="30">
        <f t="shared" ca="1" si="0"/>
        <v>44421</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44421</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44421</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44421</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44421</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44421</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44421</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44421</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44421</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44421</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44421</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44421</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44421</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44421</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44421</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44421</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44421</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44421</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21" x14ac:dyDescent="0.35">
      <c r="B2" s="217" t="s">
        <v>49</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3"/>
      <c r="AS2" s="213"/>
      <c r="AT2" s="213"/>
      <c r="AU2" s="213"/>
      <c r="AV2" s="213"/>
      <c r="AW2" s="213"/>
      <c r="AX2" s="213"/>
      <c r="AY2" s="213"/>
      <c r="AZ2" s="213"/>
      <c r="BA2" s="213"/>
      <c r="BB2" s="213"/>
      <c r="BC2" s="213"/>
      <c r="BD2" s="213"/>
      <c r="BE2" s="213"/>
      <c r="BF2" s="213"/>
      <c r="BG2" s="213"/>
      <c r="BH2" s="213"/>
      <c r="BI2" s="213"/>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50</v>
      </c>
      <c r="AL3" s="40"/>
      <c r="AM3" s="40"/>
      <c r="AN3" s="40"/>
      <c r="AO3" s="40"/>
      <c r="AP3" s="40"/>
      <c r="AQ3" s="40"/>
      <c r="AR3" s="40"/>
      <c r="AS3" s="40"/>
      <c r="AT3" s="218">
        <f>CARÁTULA!$H$14</f>
        <v>44228</v>
      </c>
      <c r="AU3" s="213"/>
      <c r="AV3" s="213"/>
      <c r="AW3" s="213"/>
      <c r="AX3" s="213"/>
      <c r="AY3" s="213"/>
      <c r="AZ3" s="213"/>
      <c r="BA3" s="219" t="s">
        <v>51</v>
      </c>
      <c r="BB3" s="220"/>
      <c r="BC3" s="220"/>
      <c r="BD3" s="220"/>
      <c r="BE3" s="221"/>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8">
        <f>CARÁTULA!$J$14</f>
        <v>44323</v>
      </c>
      <c r="AU4" s="213"/>
      <c r="AV4" s="213"/>
      <c r="AW4" s="213"/>
      <c r="AX4" s="213"/>
      <c r="AY4" s="213"/>
      <c r="AZ4" s="213"/>
      <c r="BA4" s="222">
        <f ca="1">AT4-AT5</f>
        <v>-98</v>
      </c>
      <c r="BB4" s="223"/>
      <c r="BC4" s="223"/>
      <c r="BD4" s="223"/>
      <c r="BE4" s="224"/>
    </row>
    <row r="5" spans="1:61" ht="12.75" customHeight="1" x14ac:dyDescent="0.35">
      <c r="B5" s="38" t="s">
        <v>22</v>
      </c>
      <c r="C5" s="42" t="str">
        <f>CARÁTULA!$C$23</f>
        <v>4to de Secundaria</v>
      </c>
      <c r="D5" s="40"/>
      <c r="E5" s="40"/>
      <c r="F5" s="40"/>
      <c r="G5" s="40"/>
      <c r="H5" s="40"/>
      <c r="I5" s="40"/>
      <c r="J5" s="40"/>
      <c r="K5" s="40"/>
      <c r="L5" s="40"/>
      <c r="M5" s="40"/>
      <c r="N5" s="40"/>
      <c r="O5" s="38"/>
      <c r="P5" s="38"/>
      <c r="Q5" s="38"/>
      <c r="R5" s="38"/>
      <c r="S5" s="43" t="s">
        <v>23</v>
      </c>
      <c r="T5" s="44"/>
      <c r="U5" s="44"/>
      <c r="V5" s="44"/>
      <c r="W5" s="44"/>
      <c r="X5" s="228">
        <f ca="1">TODAY()</f>
        <v>44421</v>
      </c>
      <c r="Y5" s="213"/>
      <c r="Z5" s="213"/>
      <c r="AA5" s="213"/>
      <c r="AB5" s="213"/>
      <c r="AC5" s="213"/>
      <c r="AD5" s="40"/>
      <c r="AE5" s="40"/>
      <c r="AF5" s="40"/>
      <c r="AG5" s="40"/>
      <c r="AH5" s="40"/>
      <c r="AI5" s="40"/>
      <c r="AJ5" s="40"/>
      <c r="AK5" s="45" t="s">
        <v>54</v>
      </c>
      <c r="AL5" s="46"/>
      <c r="AM5" s="46"/>
      <c r="AN5" s="46"/>
      <c r="AO5" s="46"/>
      <c r="AP5" s="46"/>
      <c r="AQ5" s="46"/>
      <c r="AR5" s="40"/>
      <c r="AS5" s="40"/>
      <c r="AT5" s="229">
        <f ca="1">TODAY()</f>
        <v>44421</v>
      </c>
      <c r="AU5" s="213"/>
      <c r="AV5" s="213"/>
      <c r="AW5" s="213"/>
      <c r="AX5" s="213"/>
      <c r="AY5" s="213"/>
      <c r="AZ5" s="213"/>
      <c r="BA5" s="225"/>
      <c r="BB5" s="226"/>
      <c r="BC5" s="226"/>
      <c r="BD5" s="226"/>
      <c r="BE5" s="227"/>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55</v>
      </c>
      <c r="B7" s="49" t="s">
        <v>56</v>
      </c>
      <c r="C7" s="50"/>
      <c r="D7" s="51">
        <v>44244</v>
      </c>
      <c r="E7" s="52">
        <v>44251</v>
      </c>
      <c r="F7" s="52">
        <v>44259</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57</v>
      </c>
      <c r="BB7" s="56" t="s">
        <v>58</v>
      </c>
      <c r="BC7" s="56" t="s">
        <v>59</v>
      </c>
      <c r="BD7" s="56" t="s">
        <v>60</v>
      </c>
      <c r="BE7" s="57" t="s">
        <v>61</v>
      </c>
    </row>
    <row r="8" spans="1:61" ht="12" customHeight="1" x14ac:dyDescent="0.35">
      <c r="A8" s="58">
        <v>1</v>
      </c>
      <c r="B8" s="59" t="str">
        <f>'C. FILIACION'!B8</f>
        <v>BENITEZ BALLESTEROS KAREN ARIANA</v>
      </c>
      <c r="C8" s="48"/>
      <c r="D8" s="60" t="s">
        <v>62</v>
      </c>
      <c r="E8" s="60" t="s">
        <v>62</v>
      </c>
      <c r="F8" s="60" t="s">
        <v>62</v>
      </c>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3</v>
      </c>
      <c r="BB8" s="48" t="str">
        <f t="shared" ref="BB8:BB43" si="1">IF(COUNTIF(C8:AZ8,"F")=0,"",COUNTIF(C8:AZ8,"F"))</f>
        <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5">
      <c r="A9" s="58">
        <v>2</v>
      </c>
      <c r="B9" s="59" t="str">
        <f>'C. FILIACION'!B9</f>
        <v>CALIZAYA MERCADO AXEL GABRIEL</v>
      </c>
      <c r="C9" s="48"/>
      <c r="D9" s="60" t="s">
        <v>63</v>
      </c>
      <c r="E9" s="60" t="s">
        <v>63</v>
      </c>
      <c r="F9" s="60" t="s">
        <v>62</v>
      </c>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v>
      </c>
      <c r="BB9" s="48">
        <f t="shared" si="1"/>
        <v>2</v>
      </c>
      <c r="BC9" s="48" t="str">
        <f t="shared" si="2"/>
        <v/>
      </c>
      <c r="BD9" s="48" t="str">
        <f t="shared" si="3"/>
        <v/>
      </c>
      <c r="BE9" s="63" t="str">
        <f t="shared" si="4"/>
        <v/>
      </c>
    </row>
    <row r="10" spans="1:61" ht="12" customHeight="1" x14ac:dyDescent="0.35">
      <c r="A10" s="58">
        <v>3</v>
      </c>
      <c r="B10" s="59" t="str">
        <f>'C. FILIACION'!B10</f>
        <v>CANO GUZMAN FABRIZIO RODRIGO</v>
      </c>
      <c r="C10" s="48"/>
      <c r="D10" s="60" t="s">
        <v>63</v>
      </c>
      <c r="E10" s="60" t="s">
        <v>63</v>
      </c>
      <c r="F10" s="60" t="s">
        <v>62</v>
      </c>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1</v>
      </c>
      <c r="BB10" s="48">
        <f t="shared" si="1"/>
        <v>2</v>
      </c>
      <c r="BC10" s="48" t="str">
        <f t="shared" si="2"/>
        <v/>
      </c>
      <c r="BD10" s="48" t="str">
        <f t="shared" si="3"/>
        <v/>
      </c>
      <c r="BE10" s="63" t="str">
        <f t="shared" si="4"/>
        <v/>
      </c>
    </row>
    <row r="11" spans="1:61" ht="12" customHeight="1" x14ac:dyDescent="0.35">
      <c r="A11" s="58">
        <v>4</v>
      </c>
      <c r="B11" s="59" t="str">
        <f>'C. FILIACION'!B11</f>
        <v>CHOQUE LAURA CARLOS EDUARDO</v>
      </c>
      <c r="C11" s="48"/>
      <c r="D11" s="60" t="s">
        <v>62</v>
      </c>
      <c r="E11" s="60" t="s">
        <v>62</v>
      </c>
      <c r="F11" s="60" t="s">
        <v>62</v>
      </c>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t="str">
        <f t="shared" si="3"/>
        <v/>
      </c>
      <c r="BE11" s="63" t="str">
        <f t="shared" si="4"/>
        <v/>
      </c>
    </row>
    <row r="12" spans="1:61" ht="12" customHeight="1" x14ac:dyDescent="0.35">
      <c r="A12" s="58">
        <v>5</v>
      </c>
      <c r="B12" s="59" t="str">
        <f>'C. FILIACION'!B12</f>
        <v>CONDORI GALARZA DENSEL ALEXSIS</v>
      </c>
      <c r="C12" s="48"/>
      <c r="D12" s="60" t="s">
        <v>62</v>
      </c>
      <c r="E12" s="60" t="s">
        <v>62</v>
      </c>
      <c r="F12" s="60" t="s">
        <v>62</v>
      </c>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t="str">
        <f t="shared" si="3"/>
        <v/>
      </c>
      <c r="BE12" s="63" t="str">
        <f t="shared" si="4"/>
        <v/>
      </c>
    </row>
    <row r="13" spans="1:61" ht="12" customHeight="1" x14ac:dyDescent="0.35">
      <c r="A13" s="58">
        <v>6</v>
      </c>
      <c r="B13" s="59" t="str">
        <f>'C. FILIACION'!B13</f>
        <v>DAZA RAMIREZ KALEP MATEO</v>
      </c>
      <c r="C13" s="48"/>
      <c r="D13" s="60" t="s">
        <v>62</v>
      </c>
      <c r="E13" s="60" t="s">
        <v>62</v>
      </c>
      <c r="F13" s="60" t="s">
        <v>62</v>
      </c>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t="str">
        <f t="shared" si="3"/>
        <v/>
      </c>
      <c r="BE13" s="63" t="str">
        <f t="shared" si="4"/>
        <v/>
      </c>
    </row>
    <row r="14" spans="1:61" ht="12" customHeight="1" x14ac:dyDescent="0.35">
      <c r="A14" s="58">
        <v>7</v>
      </c>
      <c r="B14" s="59" t="str">
        <f>'C. FILIACION'!B14</f>
        <v>ESTRADA FUNES NAZARETH</v>
      </c>
      <c r="C14" s="48"/>
      <c r="D14" s="60" t="s">
        <v>62</v>
      </c>
      <c r="E14" s="60" t="s">
        <v>62</v>
      </c>
      <c r="F14" s="60" t="s">
        <v>62</v>
      </c>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t="str">
        <f t="shared" si="3"/>
        <v/>
      </c>
      <c r="BE14" s="63" t="str">
        <f t="shared" si="4"/>
        <v/>
      </c>
    </row>
    <row r="15" spans="1:61" ht="12" customHeight="1" x14ac:dyDescent="0.35">
      <c r="A15" s="58">
        <v>8</v>
      </c>
      <c r="B15" s="59" t="str">
        <f>'C. FILIACION'!B15</f>
        <v>FLORES VILLEGAS CARLOS IVAN</v>
      </c>
      <c r="C15" s="48"/>
      <c r="D15" s="60" t="s">
        <v>62</v>
      </c>
      <c r="E15" s="60" t="s">
        <v>62</v>
      </c>
      <c r="F15" s="60" t="s">
        <v>62</v>
      </c>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t="str">
        <f t="shared" si="3"/>
        <v/>
      </c>
      <c r="BE15" s="63" t="str">
        <f t="shared" si="4"/>
        <v/>
      </c>
    </row>
    <row r="16" spans="1:61" ht="12" customHeight="1" x14ac:dyDescent="0.35">
      <c r="A16" s="58">
        <v>9</v>
      </c>
      <c r="B16" s="59" t="str">
        <f>'C. FILIACION'!B16</f>
        <v>FRANCISCO RUIZ LUCERO</v>
      </c>
      <c r="C16" s="48"/>
      <c r="D16" s="60" t="s">
        <v>62</v>
      </c>
      <c r="E16" s="60" t="s">
        <v>62</v>
      </c>
      <c r="F16" s="60" t="s">
        <v>62</v>
      </c>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3</v>
      </c>
      <c r="BB16" s="48" t="str">
        <f t="shared" si="1"/>
        <v/>
      </c>
      <c r="BC16" s="48" t="str">
        <f t="shared" si="2"/>
        <v/>
      </c>
      <c r="BD16" s="48" t="str">
        <f t="shared" si="3"/>
        <v/>
      </c>
      <c r="BE16" s="63" t="str">
        <f t="shared" si="4"/>
        <v/>
      </c>
    </row>
    <row r="17" spans="1:57" ht="12" customHeight="1" x14ac:dyDescent="0.35">
      <c r="A17" s="58">
        <v>10</v>
      </c>
      <c r="B17" s="59" t="str">
        <f>'C. FILIACION'!B17</f>
        <v>IBARRA VINO ELOY INTI</v>
      </c>
      <c r="C17" s="48"/>
      <c r="D17" s="60" t="s">
        <v>62</v>
      </c>
      <c r="E17" s="60" t="s">
        <v>62</v>
      </c>
      <c r="F17" s="60" t="s">
        <v>62</v>
      </c>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t="str">
        <f t="shared" si="3"/>
        <v/>
      </c>
      <c r="BE17" s="63" t="str">
        <f t="shared" si="4"/>
        <v/>
      </c>
    </row>
    <row r="18" spans="1:57" ht="12" customHeight="1" x14ac:dyDescent="0.35">
      <c r="A18" s="58">
        <v>11</v>
      </c>
      <c r="B18" s="59" t="str">
        <f>'C. FILIACION'!B18</f>
        <v>LOPEZ BLANCO SOFIA BELEN</v>
      </c>
      <c r="C18" s="48"/>
      <c r="D18" s="60" t="s">
        <v>62</v>
      </c>
      <c r="E18" s="60" t="s">
        <v>62</v>
      </c>
      <c r="F18" s="60" t="s">
        <v>62</v>
      </c>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t="str">
        <f t="shared" si="3"/>
        <v/>
      </c>
      <c r="BE18" s="63" t="str">
        <f t="shared" si="4"/>
        <v/>
      </c>
    </row>
    <row r="19" spans="1:57" ht="12" customHeight="1" x14ac:dyDescent="0.35">
      <c r="A19" s="58">
        <v>12</v>
      </c>
      <c r="B19" s="59" t="str">
        <f>'C. FILIACION'!B19</f>
        <v>LOPEZ PACO RODRIGO ADRIAN</v>
      </c>
      <c r="C19" s="48"/>
      <c r="D19" s="60" t="s">
        <v>62</v>
      </c>
      <c r="E19" s="60" t="s">
        <v>62</v>
      </c>
      <c r="F19" s="60" t="s">
        <v>62</v>
      </c>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t="str">
        <f t="shared" si="3"/>
        <v/>
      </c>
      <c r="BE19" s="63" t="str">
        <f t="shared" si="4"/>
        <v/>
      </c>
    </row>
    <row r="20" spans="1:57" ht="12" customHeight="1" x14ac:dyDescent="0.35">
      <c r="A20" s="58">
        <v>13</v>
      </c>
      <c r="B20" s="59" t="str">
        <f>'C. FILIACION'!B20</f>
        <v>LOPEZ VERA MILENCA</v>
      </c>
      <c r="C20" s="48"/>
      <c r="D20" s="60" t="s">
        <v>62</v>
      </c>
      <c r="E20" s="60" t="s">
        <v>62</v>
      </c>
      <c r="F20" s="60" t="s">
        <v>62</v>
      </c>
      <c r="G20" s="48"/>
      <c r="H20" s="48"/>
      <c r="I20" s="60"/>
      <c r="J20" s="64"/>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t="str">
        <f t="shared" si="3"/>
        <v/>
      </c>
      <c r="BE20" s="63" t="str">
        <f t="shared" si="4"/>
        <v/>
      </c>
    </row>
    <row r="21" spans="1:57" ht="12" customHeight="1" x14ac:dyDescent="0.35">
      <c r="A21" s="58">
        <v>14</v>
      </c>
      <c r="B21" s="59" t="str">
        <f>'C. FILIACION'!B21</f>
        <v>MEDINA CHOQUE JOSE ROBERTO</v>
      </c>
      <c r="C21" s="48"/>
      <c r="D21" s="60" t="s">
        <v>62</v>
      </c>
      <c r="E21" s="60" t="s">
        <v>62</v>
      </c>
      <c r="F21" s="60" t="s">
        <v>62</v>
      </c>
      <c r="G21" s="48"/>
      <c r="H21" s="48"/>
      <c r="I21" s="60"/>
      <c r="J21" s="60"/>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3</v>
      </c>
      <c r="BB21" s="48" t="str">
        <f t="shared" si="1"/>
        <v/>
      </c>
      <c r="BC21" s="48" t="str">
        <f t="shared" si="2"/>
        <v/>
      </c>
      <c r="BD21" s="48" t="str">
        <f t="shared" si="3"/>
        <v/>
      </c>
      <c r="BE21" s="63" t="str">
        <f t="shared" si="4"/>
        <v/>
      </c>
    </row>
    <row r="22" spans="1:57" ht="12" customHeight="1" x14ac:dyDescent="0.35">
      <c r="A22" s="58">
        <v>15</v>
      </c>
      <c r="B22" s="59" t="str">
        <f>'C. FILIACION'!B22</f>
        <v>MIRABAL AYANOME JOSE ALFREDO</v>
      </c>
      <c r="C22" s="48"/>
      <c r="D22" s="60" t="s">
        <v>62</v>
      </c>
      <c r="E22" s="60" t="s">
        <v>63</v>
      </c>
      <c r="F22" s="60" t="s">
        <v>62</v>
      </c>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2</v>
      </c>
      <c r="BB22" s="48">
        <f t="shared" si="1"/>
        <v>1</v>
      </c>
      <c r="BC22" s="48" t="str">
        <f t="shared" si="2"/>
        <v/>
      </c>
      <c r="BD22" s="48" t="str">
        <f t="shared" si="3"/>
        <v/>
      </c>
      <c r="BE22" s="63" t="str">
        <f t="shared" si="4"/>
        <v/>
      </c>
    </row>
    <row r="23" spans="1:57" ht="12" customHeight="1" x14ac:dyDescent="0.35">
      <c r="A23" s="58">
        <v>16</v>
      </c>
      <c r="B23" s="59" t="str">
        <f>'C. FILIACION'!B23</f>
        <v>NINA RUEDA ESTEFANY DANIELA</v>
      </c>
      <c r="C23" s="48"/>
      <c r="D23" s="60" t="s">
        <v>62</v>
      </c>
      <c r="E23" s="60" t="s">
        <v>62</v>
      </c>
      <c r="F23" s="60" t="s">
        <v>62</v>
      </c>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t="str">
        <f t="shared" si="3"/>
        <v/>
      </c>
      <c r="BE23" s="63" t="str">
        <f t="shared" si="4"/>
        <v/>
      </c>
    </row>
    <row r="24" spans="1:57" ht="12" customHeight="1" x14ac:dyDescent="0.35">
      <c r="A24" s="58">
        <v>17</v>
      </c>
      <c r="B24" s="59" t="str">
        <f>'C. FILIACION'!B24</f>
        <v>PORTILLO QUISPE JORGE LUIS</v>
      </c>
      <c r="C24" s="48"/>
      <c r="D24" s="60" t="s">
        <v>62</v>
      </c>
      <c r="E24" s="60" t="s">
        <v>62</v>
      </c>
      <c r="F24" s="60" t="s">
        <v>62</v>
      </c>
      <c r="G24" s="48"/>
      <c r="H24" s="48"/>
      <c r="I24" s="60"/>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3</v>
      </c>
      <c r="BB24" s="48" t="str">
        <f t="shared" si="1"/>
        <v/>
      </c>
      <c r="BC24" s="48" t="str">
        <f t="shared" si="2"/>
        <v/>
      </c>
      <c r="BD24" s="48" t="str">
        <f t="shared" si="3"/>
        <v/>
      </c>
      <c r="BE24" s="63" t="str">
        <f t="shared" si="4"/>
        <v/>
      </c>
    </row>
    <row r="25" spans="1:57" ht="12" customHeight="1" x14ac:dyDescent="0.35">
      <c r="A25" s="58">
        <v>18</v>
      </c>
      <c r="B25" s="59" t="str">
        <f>'C. FILIACION'!B25</f>
        <v>TORREZ PACO CARLA MILENKA</v>
      </c>
      <c r="C25" s="48"/>
      <c r="D25" s="60" t="s">
        <v>62</v>
      </c>
      <c r="E25" s="60" t="s">
        <v>62</v>
      </c>
      <c r="F25" s="60" t="s">
        <v>62</v>
      </c>
      <c r="G25" s="48"/>
      <c r="H25" s="48"/>
      <c r="I25" s="60"/>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3</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H1000"/>
  <sheetViews>
    <sheetView topLeftCell="A7" workbookViewId="0">
      <selection activeCell="H23" sqref="H23"/>
    </sheetView>
  </sheetViews>
  <sheetFormatPr baseColWidth="10" defaultColWidth="9.265625" defaultRowHeight="15" customHeight="1" x14ac:dyDescent="0.35"/>
  <cols>
    <col min="1" max="1" width="2.06640625" customWidth="1"/>
    <col min="2" max="2" width="17.59765625" customWidth="1"/>
    <col min="3" max="56" width="2.06640625" customWidth="1"/>
    <col min="57" max="60" width="1.6640625" customWidth="1"/>
  </cols>
  <sheetData>
    <row r="1" spans="1:60" ht="4.5" customHeight="1" x14ac:dyDescent="0.35"/>
    <row r="2" spans="1:60" ht="12.75" customHeight="1" x14ac:dyDescent="0.35">
      <c r="B2" s="217" t="s">
        <v>64</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3"/>
      <c r="AS2" s="213"/>
      <c r="AT2" s="213"/>
      <c r="AU2" s="213"/>
      <c r="AV2" s="213"/>
      <c r="AW2" s="213"/>
      <c r="AX2" s="213"/>
      <c r="AY2" s="213"/>
      <c r="AZ2" s="213"/>
      <c r="BA2" s="213"/>
      <c r="BB2" s="213"/>
      <c r="BC2" s="213"/>
      <c r="BD2" s="213"/>
      <c r="BE2" s="213"/>
      <c r="BF2" s="213"/>
      <c r="BG2" s="213"/>
      <c r="BH2" s="213"/>
    </row>
    <row r="3" spans="1:60"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c r="V3" s="42"/>
      <c r="W3" s="42">
        <f>CARÁTULA!$C$25</f>
        <v>0</v>
      </c>
      <c r="X3" s="42"/>
      <c r="Y3" s="42"/>
      <c r="Z3" s="42"/>
      <c r="AA3" s="42"/>
      <c r="AB3" s="42"/>
      <c r="AC3" s="42"/>
      <c r="AD3" s="42"/>
      <c r="AE3" s="42"/>
      <c r="AF3" s="42"/>
      <c r="AG3" s="42"/>
      <c r="AH3" s="40"/>
      <c r="AI3" s="40"/>
      <c r="AJ3" s="42" t="s">
        <v>50</v>
      </c>
      <c r="AK3" s="40"/>
      <c r="AL3" s="40"/>
      <c r="AM3" s="40"/>
      <c r="AN3" s="40"/>
      <c r="AO3" s="40"/>
      <c r="AP3" s="40"/>
      <c r="AQ3" s="40"/>
      <c r="AR3" s="40"/>
      <c r="AS3" s="218">
        <f>CARÁTULA!$H$19</f>
        <v>44326</v>
      </c>
      <c r="AT3" s="213"/>
      <c r="AU3" s="213"/>
      <c r="AV3" s="213"/>
      <c r="AW3" s="213"/>
      <c r="AX3" s="213"/>
      <c r="AY3" s="213"/>
      <c r="AZ3" s="219" t="s">
        <v>51</v>
      </c>
      <c r="BA3" s="220"/>
      <c r="BB3" s="220"/>
      <c r="BC3" s="220"/>
      <c r="BD3" s="221"/>
    </row>
    <row r="4" spans="1:60"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40"/>
      <c r="V4" s="40"/>
      <c r="W4" s="39">
        <f>CARÁTULA!$C$19</f>
        <v>0</v>
      </c>
      <c r="X4" s="40"/>
      <c r="Y4" s="40"/>
      <c r="Z4" s="40"/>
      <c r="AA4" s="40"/>
      <c r="AB4" s="40"/>
      <c r="AC4" s="40"/>
      <c r="AD4" s="40"/>
      <c r="AE4" s="40"/>
      <c r="AF4" s="40"/>
      <c r="AG4" s="40"/>
      <c r="AH4" s="40"/>
      <c r="AI4" s="40"/>
      <c r="AJ4" s="42" t="s">
        <v>53</v>
      </c>
      <c r="AK4" s="40"/>
      <c r="AL4" s="40"/>
      <c r="AM4" s="40"/>
      <c r="AN4" s="40"/>
      <c r="AO4" s="40"/>
      <c r="AP4" s="40"/>
      <c r="AQ4" s="40"/>
      <c r="AR4" s="40"/>
      <c r="AS4" s="218">
        <f>CARÁTULA!$J$19</f>
        <v>44439</v>
      </c>
      <c r="AT4" s="213"/>
      <c r="AU4" s="213"/>
      <c r="AV4" s="213"/>
      <c r="AW4" s="213"/>
      <c r="AX4" s="213"/>
      <c r="AY4" s="213"/>
      <c r="AZ4" s="230">
        <f ca="1">AS4-AS5</f>
        <v>18</v>
      </c>
      <c r="BA4" s="223"/>
      <c r="BB4" s="223"/>
      <c r="BC4" s="223"/>
      <c r="BD4" s="224"/>
    </row>
    <row r="5" spans="1:60" ht="12.75" customHeight="1" x14ac:dyDescent="0.35">
      <c r="B5" s="38" t="s">
        <v>22</v>
      </c>
      <c r="C5" s="42" t="str">
        <f>CARÁTULA!$C$23</f>
        <v>4to de Secundaria</v>
      </c>
      <c r="D5" s="40"/>
      <c r="E5" s="40"/>
      <c r="F5" s="40"/>
      <c r="G5" s="40"/>
      <c r="H5" s="40"/>
      <c r="I5" s="40"/>
      <c r="J5" s="40"/>
      <c r="K5" s="40"/>
      <c r="L5" s="40"/>
      <c r="M5" s="40"/>
      <c r="N5" s="38"/>
      <c r="O5" s="38"/>
      <c r="P5" s="38"/>
      <c r="Q5" s="38"/>
      <c r="R5" s="43" t="s">
        <v>23</v>
      </c>
      <c r="S5" s="44"/>
      <c r="T5" s="44"/>
      <c r="U5" s="44"/>
      <c r="V5" s="44"/>
      <c r="W5" s="231">
        <f ca="1">TODAY()</f>
        <v>44421</v>
      </c>
      <c r="X5" s="213"/>
      <c r="Y5" s="213"/>
      <c r="Z5" s="213"/>
      <c r="AA5" s="213"/>
      <c r="AB5" s="213"/>
      <c r="AC5" s="40"/>
      <c r="AD5" s="40"/>
      <c r="AE5" s="40"/>
      <c r="AF5" s="40"/>
      <c r="AG5" s="40"/>
      <c r="AH5" s="40"/>
      <c r="AI5" s="40"/>
      <c r="AJ5" s="45" t="s">
        <v>54</v>
      </c>
      <c r="AK5" s="46"/>
      <c r="AL5" s="46"/>
      <c r="AM5" s="46"/>
      <c r="AN5" s="46"/>
      <c r="AO5" s="46"/>
      <c r="AP5" s="46"/>
      <c r="AQ5" s="40"/>
      <c r="AR5" s="40"/>
      <c r="AS5" s="229">
        <f ca="1">TODAY()</f>
        <v>44421</v>
      </c>
      <c r="AT5" s="213"/>
      <c r="AU5" s="213"/>
      <c r="AV5" s="213"/>
      <c r="AW5" s="213"/>
      <c r="AX5" s="213"/>
      <c r="AY5" s="213"/>
      <c r="AZ5" s="225"/>
      <c r="BA5" s="226"/>
      <c r="BB5" s="226"/>
      <c r="BC5" s="226"/>
      <c r="BD5" s="227"/>
    </row>
    <row r="6" spans="1:60"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68"/>
      <c r="BA6" s="40"/>
      <c r="BB6" s="40"/>
      <c r="BC6" s="40"/>
    </row>
    <row r="7" spans="1:60" ht="67.5" customHeight="1" x14ac:dyDescent="0.35">
      <c r="A7" s="165" t="s">
        <v>55</v>
      </c>
      <c r="B7" s="49" t="s">
        <v>56</v>
      </c>
      <c r="C7" s="163" t="s">
        <v>184</v>
      </c>
      <c r="D7" s="164" t="s">
        <v>185</v>
      </c>
      <c r="E7" s="163" t="s">
        <v>186</v>
      </c>
      <c r="F7" s="163" t="s">
        <v>187</v>
      </c>
      <c r="G7" s="50" t="s">
        <v>191</v>
      </c>
      <c r="H7" s="50" t="s">
        <v>192</v>
      </c>
      <c r="I7" s="50" t="s">
        <v>193</v>
      </c>
      <c r="J7" s="50" t="s">
        <v>194</v>
      </c>
      <c r="K7" s="50" t="s">
        <v>195</v>
      </c>
      <c r="L7" s="175" t="s">
        <v>238</v>
      </c>
      <c r="M7" s="174" t="s">
        <v>196</v>
      </c>
      <c r="N7" s="174" t="s">
        <v>197</v>
      </c>
      <c r="O7" s="174" t="s">
        <v>198</v>
      </c>
      <c r="P7" s="174" t="s">
        <v>199</v>
      </c>
      <c r="Q7" s="95" t="s">
        <v>200</v>
      </c>
      <c r="R7" s="53" t="s">
        <v>201</v>
      </c>
      <c r="S7" s="53" t="s">
        <v>202</v>
      </c>
      <c r="T7" s="53" t="s">
        <v>203</v>
      </c>
      <c r="U7" s="53" t="s">
        <v>204</v>
      </c>
      <c r="V7" s="53" t="s">
        <v>205</v>
      </c>
      <c r="W7" s="53" t="s">
        <v>206</v>
      </c>
      <c r="X7" s="53" t="s">
        <v>207</v>
      </c>
      <c r="Y7" s="53" t="s">
        <v>208</v>
      </c>
      <c r="Z7" s="53" t="s">
        <v>209</v>
      </c>
      <c r="AA7" s="53" t="s">
        <v>210</v>
      </c>
      <c r="AB7" s="53" t="s">
        <v>211</v>
      </c>
      <c r="AC7" s="53" t="s">
        <v>212</v>
      </c>
      <c r="AD7" s="53" t="s">
        <v>213</v>
      </c>
      <c r="AE7" s="53" t="s">
        <v>214</v>
      </c>
      <c r="AF7" s="53" t="s">
        <v>215</v>
      </c>
      <c r="AG7" s="53" t="s">
        <v>216</v>
      </c>
      <c r="AH7" s="53" t="s">
        <v>217</v>
      </c>
      <c r="AI7" s="53" t="s">
        <v>218</v>
      </c>
      <c r="AJ7" s="53" t="s">
        <v>219</v>
      </c>
      <c r="AK7" s="53" t="s">
        <v>220</v>
      </c>
      <c r="AL7" s="53" t="s">
        <v>221</v>
      </c>
      <c r="AM7" s="53" t="s">
        <v>222</v>
      </c>
      <c r="AN7" s="53" t="s">
        <v>223</v>
      </c>
      <c r="AO7" s="53" t="s">
        <v>224</v>
      </c>
      <c r="AP7" s="53" t="s">
        <v>225</v>
      </c>
      <c r="AQ7" s="53" t="s">
        <v>226</v>
      </c>
      <c r="AR7" s="53" t="s">
        <v>227</v>
      </c>
      <c r="AS7" s="53" t="s">
        <v>228</v>
      </c>
      <c r="AT7" s="53" t="s">
        <v>229</v>
      </c>
      <c r="AU7" s="53" t="s">
        <v>230</v>
      </c>
      <c r="AV7" s="53" t="s">
        <v>231</v>
      </c>
      <c r="AW7" s="53" t="s">
        <v>232</v>
      </c>
      <c r="AX7" s="53" t="s">
        <v>233</v>
      </c>
      <c r="AY7" s="54" t="s">
        <v>234</v>
      </c>
      <c r="AZ7" s="55" t="s">
        <v>65</v>
      </c>
      <c r="BA7" s="56" t="s">
        <v>66</v>
      </c>
      <c r="BB7" s="56" t="s">
        <v>67</v>
      </c>
      <c r="BC7" s="56" t="s">
        <v>68</v>
      </c>
      <c r="BD7" s="167" t="s">
        <v>61</v>
      </c>
    </row>
    <row r="8" spans="1:60" ht="12" customHeight="1" x14ac:dyDescent="0.35">
      <c r="A8" s="166">
        <v>1</v>
      </c>
      <c r="B8" s="59" t="str">
        <f>'C. FILIACION'!B8</f>
        <v>BENITEZ BALLESTEROS KAREN ARIANA</v>
      </c>
      <c r="C8" s="48" t="s">
        <v>62</v>
      </c>
      <c r="D8" s="48" t="s">
        <v>62</v>
      </c>
      <c r="E8" s="48"/>
      <c r="F8" s="64" t="s">
        <v>62</v>
      </c>
      <c r="G8" s="48" t="s">
        <v>62</v>
      </c>
      <c r="H8" s="48" t="s">
        <v>63</v>
      </c>
      <c r="I8" s="48" t="s">
        <v>168</v>
      </c>
      <c r="J8" s="48" t="s">
        <v>62</v>
      </c>
      <c r="K8" s="48" t="s">
        <v>62</v>
      </c>
      <c r="L8" s="48" t="s">
        <v>62</v>
      </c>
      <c r="M8" s="173"/>
      <c r="N8" s="173"/>
      <c r="O8" s="173"/>
      <c r="P8" s="173"/>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61"/>
      <c r="AZ8" s="62">
        <f t="shared" ref="AZ8:AZ25" si="0">IF(COUNTIF(C8:AY8,"A")=0,"0",COUNTIF(C8:AY8,"A"))</f>
        <v>7</v>
      </c>
      <c r="BA8" s="48">
        <f t="shared" ref="BA8:BA25" si="1">IF(COUNTIF(C8:AY8,"F")=0,"0",COUNTIF(C8:AY8,"F"))</f>
        <v>1</v>
      </c>
      <c r="BB8" s="48">
        <f t="shared" ref="BB8:BB25" si="2">IF(COUNTIF(C8:AY8,"R")=0,"0",COUNTIF(C8:AY8,"R"))</f>
        <v>1</v>
      </c>
      <c r="BC8" s="48" t="str">
        <f t="shared" ref="BC8:BC25" si="3">IF(COUNTIF(C8:AY8,"L")=0,"0",COUNTIF(C8:AY8,"L"))</f>
        <v>0</v>
      </c>
      <c r="BD8" s="155">
        <f t="shared" ref="BD8:BD25" si="4">SUM(AZ8:BC8)</f>
        <v>9</v>
      </c>
    </row>
    <row r="9" spans="1:60" ht="12" customHeight="1" x14ac:dyDescent="0.35">
      <c r="A9" s="166">
        <v>2</v>
      </c>
      <c r="B9" s="59" t="str">
        <f>'C. FILIACION'!B9</f>
        <v>CALIZAYA MERCADO AXEL GABRIEL</v>
      </c>
      <c r="C9" s="48" t="s">
        <v>62</v>
      </c>
      <c r="D9" s="48" t="s">
        <v>62</v>
      </c>
      <c r="E9" s="48"/>
      <c r="F9" s="64" t="s">
        <v>62</v>
      </c>
      <c r="G9" s="48" t="s">
        <v>62</v>
      </c>
      <c r="H9" s="48" t="s">
        <v>62</v>
      </c>
      <c r="I9" s="48" t="s">
        <v>168</v>
      </c>
      <c r="J9" s="48" t="s">
        <v>168</v>
      </c>
      <c r="K9" s="48" t="s">
        <v>62</v>
      </c>
      <c r="L9" s="48" t="s">
        <v>62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61"/>
      <c r="AZ9" s="62">
        <f t="shared" si="0"/>
        <v>7</v>
      </c>
      <c r="BA9" s="48" t="str">
        <f t="shared" si="1"/>
        <v>0</v>
      </c>
      <c r="BB9" s="48">
        <f t="shared" si="2"/>
        <v>2</v>
      </c>
      <c r="BC9" s="48" t="str">
        <f t="shared" si="3"/>
        <v>0</v>
      </c>
      <c r="BD9" s="155">
        <f t="shared" si="4"/>
        <v>9</v>
      </c>
    </row>
    <row r="10" spans="1:60" ht="12" customHeight="1" x14ac:dyDescent="0.35">
      <c r="A10" s="166">
        <v>3</v>
      </c>
      <c r="B10" s="59" t="str">
        <f>'C. FILIACION'!B10</f>
        <v>CANO GUZMAN FABRIZIO RODRIGO</v>
      </c>
      <c r="C10" s="48" t="s">
        <v>62</v>
      </c>
      <c r="D10" s="48" t="s">
        <v>62</v>
      </c>
      <c r="E10" s="48"/>
      <c r="F10" s="64" t="s">
        <v>62</v>
      </c>
      <c r="G10" s="48" t="s">
        <v>62</v>
      </c>
      <c r="H10" s="48" t="s">
        <v>62</v>
      </c>
      <c r="I10" s="48" t="s">
        <v>62</v>
      </c>
      <c r="J10" s="48" t="s">
        <v>168</v>
      </c>
      <c r="K10" s="48" t="s">
        <v>62</v>
      </c>
      <c r="L10" s="48" t="s">
        <v>62</v>
      </c>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61"/>
      <c r="AZ10" s="62">
        <f t="shared" si="0"/>
        <v>8</v>
      </c>
      <c r="BA10" s="48" t="str">
        <f t="shared" si="1"/>
        <v>0</v>
      </c>
      <c r="BB10" s="48">
        <f t="shared" si="2"/>
        <v>1</v>
      </c>
      <c r="BC10" s="48" t="str">
        <f t="shared" si="3"/>
        <v>0</v>
      </c>
      <c r="BD10" s="155">
        <f t="shared" si="4"/>
        <v>9</v>
      </c>
    </row>
    <row r="11" spans="1:60" ht="12" customHeight="1" x14ac:dyDescent="0.35">
      <c r="A11" s="166">
        <v>4</v>
      </c>
      <c r="B11" s="154" t="str">
        <f>'C. FILIACION'!B11</f>
        <v>CHOQUE LAURA CARLOS EDUARDO</v>
      </c>
      <c r="C11" s="186" t="s">
        <v>63</v>
      </c>
      <c r="D11" s="186" t="s">
        <v>63</v>
      </c>
      <c r="E11" s="186"/>
      <c r="F11" s="186" t="s">
        <v>63</v>
      </c>
      <c r="G11" s="186" t="s">
        <v>63</v>
      </c>
      <c r="H11" s="186" t="s">
        <v>63</v>
      </c>
      <c r="I11" s="186" t="s">
        <v>63</v>
      </c>
      <c r="J11" s="186" t="s">
        <v>63</v>
      </c>
      <c r="K11" s="186" t="s">
        <v>63</v>
      </c>
      <c r="L11" s="186" t="s">
        <v>63</v>
      </c>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61"/>
      <c r="AZ11" s="62" t="str">
        <f t="shared" si="0"/>
        <v>0</v>
      </c>
      <c r="BA11" s="48">
        <f t="shared" si="1"/>
        <v>9</v>
      </c>
      <c r="BB11" s="48" t="str">
        <f t="shared" si="2"/>
        <v>0</v>
      </c>
      <c r="BC11" s="48" t="str">
        <f t="shared" si="3"/>
        <v>0</v>
      </c>
      <c r="BD11" s="155">
        <f t="shared" si="4"/>
        <v>9</v>
      </c>
    </row>
    <row r="12" spans="1:60" ht="12" customHeight="1" x14ac:dyDescent="0.35">
      <c r="A12" s="166">
        <v>5</v>
      </c>
      <c r="B12" s="59" t="str">
        <f>'C. FILIACION'!B12</f>
        <v>CONDORI GALARZA DENSEL ALEXSIS</v>
      </c>
      <c r="C12" s="48" t="s">
        <v>62</v>
      </c>
      <c r="D12" s="48" t="s">
        <v>62</v>
      </c>
      <c r="E12" s="48"/>
      <c r="F12" s="64" t="s">
        <v>62</v>
      </c>
      <c r="G12" s="48" t="s">
        <v>62</v>
      </c>
      <c r="H12" s="48" t="s">
        <v>62</v>
      </c>
      <c r="I12" s="48" t="s">
        <v>62</v>
      </c>
      <c r="J12" s="48" t="s">
        <v>62</v>
      </c>
      <c r="K12" s="48" t="s">
        <v>62</v>
      </c>
      <c r="L12" s="48" t="s">
        <v>62</v>
      </c>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61"/>
      <c r="AZ12" s="62">
        <f t="shared" si="0"/>
        <v>9</v>
      </c>
      <c r="BA12" s="48" t="str">
        <f t="shared" si="1"/>
        <v>0</v>
      </c>
      <c r="BB12" s="48" t="str">
        <f t="shared" si="2"/>
        <v>0</v>
      </c>
      <c r="BC12" s="48" t="str">
        <f t="shared" si="3"/>
        <v>0</v>
      </c>
      <c r="BD12" s="155">
        <f t="shared" si="4"/>
        <v>9</v>
      </c>
    </row>
    <row r="13" spans="1:60" ht="12" customHeight="1" x14ac:dyDescent="0.35">
      <c r="A13" s="166">
        <v>6</v>
      </c>
      <c r="B13" s="187" t="str">
        <f>'C. FILIACION'!B13</f>
        <v>DAZA RAMIREZ KALEP MATEO</v>
      </c>
      <c r="C13" s="188" t="s">
        <v>63</v>
      </c>
      <c r="D13" s="188" t="s">
        <v>63</v>
      </c>
      <c r="E13" s="188"/>
      <c r="F13" s="188" t="s">
        <v>63</v>
      </c>
      <c r="G13" s="188" t="s">
        <v>63</v>
      </c>
      <c r="H13" s="188" t="s">
        <v>63</v>
      </c>
      <c r="I13" s="188" t="s">
        <v>63</v>
      </c>
      <c r="J13" s="188" t="s">
        <v>63</v>
      </c>
      <c r="K13" s="188" t="s">
        <v>63</v>
      </c>
      <c r="L13" s="188" t="s">
        <v>63</v>
      </c>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9"/>
      <c r="AZ13" s="190" t="str">
        <f t="shared" si="0"/>
        <v>0</v>
      </c>
      <c r="BA13" s="188">
        <f t="shared" si="1"/>
        <v>9</v>
      </c>
      <c r="BB13" s="188" t="str">
        <f t="shared" si="2"/>
        <v>0</v>
      </c>
      <c r="BC13" s="188" t="str">
        <f t="shared" si="3"/>
        <v>0</v>
      </c>
      <c r="BD13" s="155">
        <f t="shared" si="4"/>
        <v>9</v>
      </c>
    </row>
    <row r="14" spans="1:60" ht="12" customHeight="1" x14ac:dyDescent="0.35">
      <c r="A14" s="166">
        <v>7</v>
      </c>
      <c r="B14" s="59" t="str">
        <f>'C. FILIACION'!B14</f>
        <v>ESTRADA FUNES NAZARETH</v>
      </c>
      <c r="C14" s="48" t="s">
        <v>62</v>
      </c>
      <c r="D14" s="48" t="s">
        <v>62</v>
      </c>
      <c r="E14" s="48"/>
      <c r="F14" s="64" t="s">
        <v>62</v>
      </c>
      <c r="G14" s="48" t="s">
        <v>62</v>
      </c>
      <c r="H14" s="48" t="s">
        <v>62</v>
      </c>
      <c r="I14" s="48" t="s">
        <v>62</v>
      </c>
      <c r="J14" s="48" t="s">
        <v>62</v>
      </c>
      <c r="K14" s="48" t="s">
        <v>62</v>
      </c>
      <c r="L14" s="48" t="s">
        <v>62</v>
      </c>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61"/>
      <c r="AZ14" s="62">
        <f t="shared" si="0"/>
        <v>9</v>
      </c>
      <c r="BA14" s="48" t="str">
        <f t="shared" si="1"/>
        <v>0</v>
      </c>
      <c r="BB14" s="48" t="str">
        <f t="shared" si="2"/>
        <v>0</v>
      </c>
      <c r="BC14" s="48" t="str">
        <f t="shared" si="3"/>
        <v>0</v>
      </c>
      <c r="BD14" s="155">
        <f t="shared" si="4"/>
        <v>9</v>
      </c>
    </row>
    <row r="15" spans="1:60" ht="12" customHeight="1" x14ac:dyDescent="0.35">
      <c r="A15" s="166">
        <v>8</v>
      </c>
      <c r="B15" s="59" t="str">
        <f>'C. FILIACION'!B15</f>
        <v>FLORES VILLEGAS CARLOS IVAN</v>
      </c>
      <c r="C15" s="48" t="s">
        <v>62</v>
      </c>
      <c r="D15" s="48" t="s">
        <v>62</v>
      </c>
      <c r="E15" s="48"/>
      <c r="F15" s="64" t="s">
        <v>62</v>
      </c>
      <c r="G15" s="48" t="s">
        <v>62</v>
      </c>
      <c r="H15" s="48" t="s">
        <v>62</v>
      </c>
      <c r="I15" s="48" t="s">
        <v>168</v>
      </c>
      <c r="J15" s="48" t="s">
        <v>62</v>
      </c>
      <c r="K15" s="48" t="s">
        <v>63</v>
      </c>
      <c r="L15" s="48" t="s">
        <v>62</v>
      </c>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61"/>
      <c r="AZ15" s="62">
        <f t="shared" si="0"/>
        <v>7</v>
      </c>
      <c r="BA15" s="48">
        <f t="shared" si="1"/>
        <v>1</v>
      </c>
      <c r="BB15" s="48">
        <f t="shared" si="2"/>
        <v>1</v>
      </c>
      <c r="BC15" s="48" t="str">
        <f t="shared" si="3"/>
        <v>0</v>
      </c>
      <c r="BD15" s="155">
        <f t="shared" si="4"/>
        <v>9</v>
      </c>
    </row>
    <row r="16" spans="1:60" ht="12" customHeight="1" x14ac:dyDescent="0.35">
      <c r="A16" s="166">
        <v>9</v>
      </c>
      <c r="B16" s="59" t="str">
        <f>'C. FILIACION'!B16</f>
        <v>FRANCISCO RUIZ LUCERO</v>
      </c>
      <c r="C16" s="48" t="s">
        <v>62</v>
      </c>
      <c r="D16" s="48" t="s">
        <v>62</v>
      </c>
      <c r="E16" s="48"/>
      <c r="F16" s="64" t="s">
        <v>62</v>
      </c>
      <c r="G16" s="48" t="s">
        <v>62</v>
      </c>
      <c r="H16" s="48" t="s">
        <v>62</v>
      </c>
      <c r="I16" s="48" t="s">
        <v>62</v>
      </c>
      <c r="J16" s="48" t="s">
        <v>62</v>
      </c>
      <c r="K16" s="48" t="s">
        <v>62</v>
      </c>
      <c r="L16" s="48" t="s">
        <v>62</v>
      </c>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61"/>
      <c r="AZ16" s="62">
        <f t="shared" si="0"/>
        <v>9</v>
      </c>
      <c r="BA16" s="48" t="str">
        <f t="shared" si="1"/>
        <v>0</v>
      </c>
      <c r="BB16" s="48" t="str">
        <f t="shared" si="2"/>
        <v>0</v>
      </c>
      <c r="BC16" s="48" t="str">
        <f t="shared" si="3"/>
        <v>0</v>
      </c>
      <c r="BD16" s="155">
        <f t="shared" si="4"/>
        <v>9</v>
      </c>
    </row>
    <row r="17" spans="1:56" ht="12" customHeight="1" x14ac:dyDescent="0.35">
      <c r="A17" s="166">
        <v>10</v>
      </c>
      <c r="B17" s="59" t="str">
        <f>'C. FILIACION'!B17</f>
        <v>IBARRA VINO ELOY INTI</v>
      </c>
      <c r="C17" s="48" t="s">
        <v>62</v>
      </c>
      <c r="D17" s="48" t="s">
        <v>62</v>
      </c>
      <c r="E17" s="48"/>
      <c r="F17" s="64" t="s">
        <v>62</v>
      </c>
      <c r="G17" s="48" t="s">
        <v>62</v>
      </c>
      <c r="H17" s="48" t="s">
        <v>62</v>
      </c>
      <c r="I17" s="48" t="s">
        <v>62</v>
      </c>
      <c r="J17" s="48" t="s">
        <v>62</v>
      </c>
      <c r="K17" s="48" t="s">
        <v>62</v>
      </c>
      <c r="L17" s="48" t="s">
        <v>62</v>
      </c>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61"/>
      <c r="AZ17" s="62">
        <f t="shared" si="0"/>
        <v>9</v>
      </c>
      <c r="BA17" s="48" t="str">
        <f t="shared" si="1"/>
        <v>0</v>
      </c>
      <c r="BB17" s="48" t="str">
        <f t="shared" si="2"/>
        <v>0</v>
      </c>
      <c r="BC17" s="48" t="str">
        <f t="shared" si="3"/>
        <v>0</v>
      </c>
      <c r="BD17" s="155">
        <f t="shared" si="4"/>
        <v>9</v>
      </c>
    </row>
    <row r="18" spans="1:56" ht="12" customHeight="1" x14ac:dyDescent="0.35">
      <c r="A18" s="166">
        <v>11</v>
      </c>
      <c r="B18" s="154" t="str">
        <f>'C. FILIACION'!B18</f>
        <v>LOPEZ BLANCO SOFIA BELEN</v>
      </c>
      <c r="C18" s="186" t="s">
        <v>62</v>
      </c>
      <c r="D18" s="186" t="s">
        <v>62</v>
      </c>
      <c r="E18" s="186"/>
      <c r="F18" s="186" t="s">
        <v>62</v>
      </c>
      <c r="G18" s="186" t="s">
        <v>62</v>
      </c>
      <c r="H18" s="186" t="s">
        <v>63</v>
      </c>
      <c r="I18" s="186" t="s">
        <v>63</v>
      </c>
      <c r="J18" s="186" t="s">
        <v>63</v>
      </c>
      <c r="K18" s="186" t="s">
        <v>63</v>
      </c>
      <c r="L18" s="186" t="s">
        <v>63</v>
      </c>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61"/>
      <c r="AZ18" s="62">
        <f t="shared" si="0"/>
        <v>4</v>
      </c>
      <c r="BA18" s="48">
        <f t="shared" si="1"/>
        <v>5</v>
      </c>
      <c r="BB18" s="48" t="str">
        <f t="shared" si="2"/>
        <v>0</v>
      </c>
      <c r="BC18" s="48" t="str">
        <f t="shared" si="3"/>
        <v>0</v>
      </c>
      <c r="BD18" s="155">
        <f t="shared" si="4"/>
        <v>9</v>
      </c>
    </row>
    <row r="19" spans="1:56" ht="12" customHeight="1" x14ac:dyDescent="0.35">
      <c r="A19" s="166">
        <v>12</v>
      </c>
      <c r="B19" s="59" t="str">
        <f>'C. FILIACION'!B19</f>
        <v>LOPEZ PACO RODRIGO ADRIAN</v>
      </c>
      <c r="C19" s="48" t="s">
        <v>62</v>
      </c>
      <c r="D19" s="48" t="s">
        <v>62</v>
      </c>
      <c r="E19" s="48"/>
      <c r="F19" s="64" t="s">
        <v>62</v>
      </c>
      <c r="G19" s="48" t="s">
        <v>62</v>
      </c>
      <c r="H19" s="48" t="s">
        <v>62</v>
      </c>
      <c r="I19" s="48" t="s">
        <v>62</v>
      </c>
      <c r="J19" s="48" t="s">
        <v>62</v>
      </c>
      <c r="K19" s="48" t="s">
        <v>62</v>
      </c>
      <c r="L19" s="48" t="s">
        <v>62</v>
      </c>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61"/>
      <c r="AZ19" s="62">
        <f t="shared" si="0"/>
        <v>9</v>
      </c>
      <c r="BA19" s="48" t="str">
        <f t="shared" si="1"/>
        <v>0</v>
      </c>
      <c r="BB19" s="48" t="str">
        <f t="shared" si="2"/>
        <v>0</v>
      </c>
      <c r="BC19" s="48" t="str">
        <f t="shared" si="3"/>
        <v>0</v>
      </c>
      <c r="BD19" s="155">
        <f t="shared" si="4"/>
        <v>9</v>
      </c>
    </row>
    <row r="20" spans="1:56" ht="12" customHeight="1" x14ac:dyDescent="0.35">
      <c r="A20" s="166">
        <v>13</v>
      </c>
      <c r="B20" s="59" t="str">
        <f>'C. FILIACION'!B20</f>
        <v>LOPEZ VERA MILENCA</v>
      </c>
      <c r="C20" s="48" t="s">
        <v>62</v>
      </c>
      <c r="D20" s="48" t="s">
        <v>62</v>
      </c>
      <c r="E20" s="48"/>
      <c r="F20" s="64" t="s">
        <v>62</v>
      </c>
      <c r="G20" s="48" t="s">
        <v>62</v>
      </c>
      <c r="H20" s="48" t="s">
        <v>62</v>
      </c>
      <c r="I20" s="48" t="s">
        <v>62</v>
      </c>
      <c r="J20" s="48" t="s">
        <v>62</v>
      </c>
      <c r="K20" s="48" t="s">
        <v>62</v>
      </c>
      <c r="L20" s="48" t="s">
        <v>62</v>
      </c>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61"/>
      <c r="AZ20" s="62">
        <f t="shared" si="0"/>
        <v>9</v>
      </c>
      <c r="BA20" s="48" t="str">
        <f t="shared" si="1"/>
        <v>0</v>
      </c>
      <c r="BB20" s="48" t="str">
        <f t="shared" si="2"/>
        <v>0</v>
      </c>
      <c r="BC20" s="48" t="str">
        <f t="shared" si="3"/>
        <v>0</v>
      </c>
      <c r="BD20" s="155">
        <f t="shared" si="4"/>
        <v>9</v>
      </c>
    </row>
    <row r="21" spans="1:56" ht="12" customHeight="1" x14ac:dyDescent="0.35">
      <c r="A21" s="166">
        <v>14</v>
      </c>
      <c r="B21" s="154" t="str">
        <f>'C. FILIACION'!B21</f>
        <v>MEDINA CHOQUE JOSE ROBERTO</v>
      </c>
      <c r="C21" s="186" t="s">
        <v>63</v>
      </c>
      <c r="D21" s="186" t="s">
        <v>63</v>
      </c>
      <c r="E21" s="186"/>
      <c r="F21" s="186" t="s">
        <v>62</v>
      </c>
      <c r="G21" s="186" t="s">
        <v>63</v>
      </c>
      <c r="H21" s="186" t="s">
        <v>63</v>
      </c>
      <c r="I21" s="186" t="s">
        <v>63</v>
      </c>
      <c r="J21" s="186" t="s">
        <v>63</v>
      </c>
      <c r="K21" s="186" t="s">
        <v>63</v>
      </c>
      <c r="L21" s="186" t="s">
        <v>63</v>
      </c>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61"/>
      <c r="AZ21" s="62">
        <f t="shared" si="0"/>
        <v>1</v>
      </c>
      <c r="BA21" s="48">
        <f t="shared" si="1"/>
        <v>8</v>
      </c>
      <c r="BB21" s="48" t="str">
        <f t="shared" si="2"/>
        <v>0</v>
      </c>
      <c r="BC21" s="48" t="str">
        <f t="shared" si="3"/>
        <v>0</v>
      </c>
      <c r="BD21" s="155">
        <f t="shared" si="4"/>
        <v>9</v>
      </c>
    </row>
    <row r="22" spans="1:56" ht="12" customHeight="1" x14ac:dyDescent="0.35">
      <c r="A22" s="166">
        <v>15</v>
      </c>
      <c r="B22" s="59" t="str">
        <f>'C. FILIACION'!B22</f>
        <v>MIRABAL AYANOME JOSE ALFREDO</v>
      </c>
      <c r="C22" s="48" t="s">
        <v>62</v>
      </c>
      <c r="D22" s="48" t="s">
        <v>62</v>
      </c>
      <c r="E22" s="48"/>
      <c r="F22" s="64" t="s">
        <v>62</v>
      </c>
      <c r="G22" s="48" t="s">
        <v>62</v>
      </c>
      <c r="H22" s="48" t="s">
        <v>62</v>
      </c>
      <c r="I22" s="48" t="s">
        <v>62</v>
      </c>
      <c r="J22" s="48" t="s">
        <v>62</v>
      </c>
      <c r="K22" s="48" t="s">
        <v>62</v>
      </c>
      <c r="L22" s="48" t="s">
        <v>62</v>
      </c>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61"/>
      <c r="AZ22" s="62">
        <f t="shared" si="0"/>
        <v>9</v>
      </c>
      <c r="BA22" s="48" t="str">
        <f t="shared" si="1"/>
        <v>0</v>
      </c>
      <c r="BB22" s="48" t="str">
        <f t="shared" si="2"/>
        <v>0</v>
      </c>
      <c r="BC22" s="48" t="str">
        <f t="shared" si="3"/>
        <v>0</v>
      </c>
      <c r="BD22" s="155">
        <f t="shared" si="4"/>
        <v>9</v>
      </c>
    </row>
    <row r="23" spans="1:56" ht="12" customHeight="1" x14ac:dyDescent="0.35">
      <c r="A23" s="166">
        <v>16</v>
      </c>
      <c r="B23" s="59" t="str">
        <f>'C. FILIACION'!B23</f>
        <v>NINA RUEDA ESTEFANY DANIELA</v>
      </c>
      <c r="C23" s="48" t="s">
        <v>62</v>
      </c>
      <c r="D23" s="48" t="s">
        <v>62</v>
      </c>
      <c r="E23" s="48"/>
      <c r="F23" s="64" t="s">
        <v>62</v>
      </c>
      <c r="G23" s="48" t="s">
        <v>62</v>
      </c>
      <c r="H23" s="48" t="s">
        <v>62</v>
      </c>
      <c r="I23" s="48" t="s">
        <v>168</v>
      </c>
      <c r="J23" s="48" t="s">
        <v>62</v>
      </c>
      <c r="K23" s="48" t="s">
        <v>63</v>
      </c>
      <c r="L23" s="48" t="s">
        <v>62</v>
      </c>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61"/>
      <c r="AZ23" s="62">
        <f t="shared" si="0"/>
        <v>7</v>
      </c>
      <c r="BA23" s="48">
        <f t="shared" si="1"/>
        <v>1</v>
      </c>
      <c r="BB23" s="48">
        <f t="shared" si="2"/>
        <v>1</v>
      </c>
      <c r="BC23" s="48" t="str">
        <f t="shared" si="3"/>
        <v>0</v>
      </c>
      <c r="BD23" s="155">
        <f t="shared" si="4"/>
        <v>9</v>
      </c>
    </row>
    <row r="24" spans="1:56" ht="12" customHeight="1" x14ac:dyDescent="0.35">
      <c r="A24" s="166">
        <v>17</v>
      </c>
      <c r="B24" s="59" t="str">
        <f>'C. FILIACION'!B24</f>
        <v>PORTILLO QUISPE JORGE LUIS</v>
      </c>
      <c r="C24" s="48" t="s">
        <v>62</v>
      </c>
      <c r="D24" s="48" t="s">
        <v>62</v>
      </c>
      <c r="E24" s="48"/>
      <c r="F24" s="64" t="s">
        <v>62</v>
      </c>
      <c r="G24" s="48" t="s">
        <v>62</v>
      </c>
      <c r="H24" s="48" t="s">
        <v>62</v>
      </c>
      <c r="I24" s="48" t="s">
        <v>62</v>
      </c>
      <c r="J24" s="48" t="s">
        <v>62</v>
      </c>
      <c r="K24" s="48" t="s">
        <v>62</v>
      </c>
      <c r="L24" s="48" t="s">
        <v>62</v>
      </c>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61"/>
      <c r="AZ24" s="62">
        <f t="shared" si="0"/>
        <v>9</v>
      </c>
      <c r="BA24" s="48" t="str">
        <f t="shared" si="1"/>
        <v>0</v>
      </c>
      <c r="BB24" s="48" t="str">
        <f t="shared" si="2"/>
        <v>0</v>
      </c>
      <c r="BC24" s="48" t="str">
        <f t="shared" si="3"/>
        <v>0</v>
      </c>
      <c r="BD24" s="155">
        <f t="shared" si="4"/>
        <v>9</v>
      </c>
    </row>
    <row r="25" spans="1:56" ht="12" customHeight="1" x14ac:dyDescent="0.35">
      <c r="A25" s="168">
        <v>18</v>
      </c>
      <c r="B25" s="169" t="str">
        <f>'C. FILIACION'!B25</f>
        <v>TORREZ PACO CARLA MILENKA</v>
      </c>
      <c r="C25" s="170" t="s">
        <v>62</v>
      </c>
      <c r="D25" s="170" t="s">
        <v>62</v>
      </c>
      <c r="E25" s="170"/>
      <c r="F25" s="170" t="s">
        <v>62</v>
      </c>
      <c r="G25" s="170" t="s">
        <v>62</v>
      </c>
      <c r="H25" s="170" t="s">
        <v>62</v>
      </c>
      <c r="I25" s="170" t="s">
        <v>62</v>
      </c>
      <c r="J25" s="170" t="s">
        <v>62</v>
      </c>
      <c r="K25" s="170" t="s">
        <v>63</v>
      </c>
      <c r="L25" s="170" t="s">
        <v>62</v>
      </c>
      <c r="M25" s="170"/>
      <c r="N25" s="170"/>
      <c r="O25" s="170"/>
      <c r="P25" s="170"/>
      <c r="Q25" s="170"/>
      <c r="R25" s="170"/>
      <c r="S25" s="170"/>
      <c r="T25" s="170"/>
      <c r="U25" s="170"/>
      <c r="V25" s="170"/>
      <c r="W25" s="170"/>
      <c r="X25" s="170"/>
      <c r="Y25" s="170"/>
      <c r="Z25" s="170"/>
      <c r="AA25" s="170"/>
      <c r="AB25" s="170"/>
      <c r="AC25" s="170"/>
      <c r="AD25" s="170"/>
      <c r="AE25" s="170"/>
      <c r="AF25" s="170"/>
      <c r="AG25" s="170"/>
      <c r="AH25" s="170"/>
      <c r="AI25" s="170"/>
      <c r="AJ25" s="170"/>
      <c r="AK25" s="170"/>
      <c r="AL25" s="170"/>
      <c r="AM25" s="170"/>
      <c r="AN25" s="170"/>
      <c r="AO25" s="170"/>
      <c r="AP25" s="170"/>
      <c r="AQ25" s="170"/>
      <c r="AR25" s="170"/>
      <c r="AS25" s="170"/>
      <c r="AT25" s="170"/>
      <c r="AU25" s="170"/>
      <c r="AV25" s="170"/>
      <c r="AW25" s="170"/>
      <c r="AX25" s="170"/>
      <c r="AY25" s="171"/>
      <c r="AZ25" s="172">
        <f t="shared" si="0"/>
        <v>8</v>
      </c>
      <c r="BA25" s="170">
        <f t="shared" si="1"/>
        <v>1</v>
      </c>
      <c r="BB25" s="170" t="str">
        <f t="shared" si="2"/>
        <v>0</v>
      </c>
      <c r="BC25" s="170" t="str">
        <f t="shared" si="3"/>
        <v>0</v>
      </c>
      <c r="BD25" s="171">
        <f t="shared" si="4"/>
        <v>9</v>
      </c>
    </row>
    <row r="26" spans="1:56"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61"/>
      <c r="AZ26" s="62" t="str">
        <f t="shared" ref="AZ26:AZ43" si="5">IF(COUNTIF(C26:AY26,"A")=0,"",COUNTIF(C26:AY26,"A"))</f>
        <v/>
      </c>
      <c r="BA26" s="48" t="str">
        <f t="shared" ref="BA26:BA43" si="6">IF(COUNTIF(C26:AY26,"F")=0,"",COUNTIF(C26:AY26,"F"))</f>
        <v/>
      </c>
      <c r="BB26" s="48" t="str">
        <f t="shared" ref="BB26:BB43" si="7">IF(COUNTIF(C26:AY26,"R")=0,"",COUNTIF(C26:AY26,"R"))</f>
        <v/>
      </c>
      <c r="BC26" s="48" t="str">
        <f t="shared" ref="BC26:BC43" si="8">IF(COUNTIF(C26:AY26,"L")=0,"",COUNTIF(C26:AY26,"L"))</f>
        <v/>
      </c>
      <c r="BD26" s="63" t="str">
        <f t="shared" ref="BD26:BD43" si="9">IF(COUNTIF(C26:AY26,"L")=0,"",COUNTIF(C26:AY26,"L"))</f>
        <v/>
      </c>
    </row>
    <row r="27" spans="1:56"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61"/>
      <c r="AZ27" s="62" t="str">
        <f t="shared" si="5"/>
        <v/>
      </c>
      <c r="BA27" s="48" t="str">
        <f t="shared" si="6"/>
        <v/>
      </c>
      <c r="BB27" s="48" t="str">
        <f t="shared" si="7"/>
        <v/>
      </c>
      <c r="BC27" s="48" t="str">
        <f t="shared" si="8"/>
        <v/>
      </c>
      <c r="BD27" s="63" t="str">
        <f t="shared" si="9"/>
        <v/>
      </c>
    </row>
    <row r="28" spans="1:56"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61"/>
      <c r="AZ28" s="62" t="str">
        <f t="shared" si="5"/>
        <v/>
      </c>
      <c r="BA28" s="48" t="str">
        <f t="shared" si="6"/>
        <v/>
      </c>
      <c r="BB28" s="48" t="str">
        <f t="shared" si="7"/>
        <v/>
      </c>
      <c r="BC28" s="48" t="str">
        <f t="shared" si="8"/>
        <v/>
      </c>
      <c r="BD28" s="63" t="str">
        <f t="shared" si="9"/>
        <v/>
      </c>
    </row>
    <row r="29" spans="1:56"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61"/>
      <c r="AZ29" s="62" t="str">
        <f t="shared" si="5"/>
        <v/>
      </c>
      <c r="BA29" s="48" t="str">
        <f t="shared" si="6"/>
        <v/>
      </c>
      <c r="BB29" s="48" t="str">
        <f t="shared" si="7"/>
        <v/>
      </c>
      <c r="BC29" s="48" t="str">
        <f t="shared" si="8"/>
        <v/>
      </c>
      <c r="BD29" s="63" t="str">
        <f t="shared" si="9"/>
        <v/>
      </c>
    </row>
    <row r="30" spans="1:56"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61"/>
      <c r="AZ30" s="62" t="str">
        <f t="shared" si="5"/>
        <v/>
      </c>
      <c r="BA30" s="48" t="str">
        <f t="shared" si="6"/>
        <v/>
      </c>
      <c r="BB30" s="48" t="str">
        <f t="shared" si="7"/>
        <v/>
      </c>
      <c r="BC30" s="48" t="str">
        <f t="shared" si="8"/>
        <v/>
      </c>
      <c r="BD30" s="63" t="str">
        <f t="shared" si="9"/>
        <v/>
      </c>
    </row>
    <row r="31" spans="1:56"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61"/>
      <c r="AZ31" s="62" t="str">
        <f t="shared" si="5"/>
        <v/>
      </c>
      <c r="BA31" s="48" t="str">
        <f t="shared" si="6"/>
        <v/>
      </c>
      <c r="BB31" s="48" t="str">
        <f t="shared" si="7"/>
        <v/>
      </c>
      <c r="BC31" s="48" t="str">
        <f t="shared" si="8"/>
        <v/>
      </c>
      <c r="BD31" s="63" t="str">
        <f t="shared" si="9"/>
        <v/>
      </c>
    </row>
    <row r="32" spans="1:56"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61"/>
      <c r="AZ32" s="62" t="str">
        <f t="shared" si="5"/>
        <v/>
      </c>
      <c r="BA32" s="48" t="str">
        <f t="shared" si="6"/>
        <v/>
      </c>
      <c r="BB32" s="48" t="str">
        <f t="shared" si="7"/>
        <v/>
      </c>
      <c r="BC32" s="48" t="str">
        <f t="shared" si="8"/>
        <v/>
      </c>
      <c r="BD32" s="63" t="str">
        <f t="shared" si="9"/>
        <v/>
      </c>
    </row>
    <row r="33" spans="1:56"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61"/>
      <c r="AZ33" s="62" t="str">
        <f t="shared" si="5"/>
        <v/>
      </c>
      <c r="BA33" s="48" t="str">
        <f t="shared" si="6"/>
        <v/>
      </c>
      <c r="BB33" s="48" t="str">
        <f t="shared" si="7"/>
        <v/>
      </c>
      <c r="BC33" s="48" t="str">
        <f t="shared" si="8"/>
        <v/>
      </c>
      <c r="BD33" s="63" t="str">
        <f t="shared" si="9"/>
        <v/>
      </c>
    </row>
    <row r="34" spans="1:56"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61"/>
      <c r="AZ34" s="62" t="str">
        <f t="shared" si="5"/>
        <v/>
      </c>
      <c r="BA34" s="48" t="str">
        <f t="shared" si="6"/>
        <v/>
      </c>
      <c r="BB34" s="48" t="str">
        <f t="shared" si="7"/>
        <v/>
      </c>
      <c r="BC34" s="48" t="str">
        <f t="shared" si="8"/>
        <v/>
      </c>
      <c r="BD34" s="63" t="str">
        <f t="shared" si="9"/>
        <v/>
      </c>
    </row>
    <row r="35" spans="1:56"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61"/>
      <c r="AZ35" s="62" t="str">
        <f t="shared" si="5"/>
        <v/>
      </c>
      <c r="BA35" s="48" t="str">
        <f t="shared" si="6"/>
        <v/>
      </c>
      <c r="BB35" s="48" t="str">
        <f t="shared" si="7"/>
        <v/>
      </c>
      <c r="BC35" s="48" t="str">
        <f t="shared" si="8"/>
        <v/>
      </c>
      <c r="BD35" s="63" t="str">
        <f t="shared" si="9"/>
        <v/>
      </c>
    </row>
    <row r="36" spans="1:56"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61"/>
      <c r="AZ36" s="62" t="str">
        <f t="shared" si="5"/>
        <v/>
      </c>
      <c r="BA36" s="48" t="str">
        <f t="shared" si="6"/>
        <v/>
      </c>
      <c r="BB36" s="48" t="str">
        <f t="shared" si="7"/>
        <v/>
      </c>
      <c r="BC36" s="48" t="str">
        <f t="shared" si="8"/>
        <v/>
      </c>
      <c r="BD36" s="63" t="str">
        <f t="shared" si="9"/>
        <v/>
      </c>
    </row>
    <row r="37" spans="1:56"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61"/>
      <c r="AZ37" s="62" t="str">
        <f t="shared" si="5"/>
        <v/>
      </c>
      <c r="BA37" s="48" t="str">
        <f t="shared" si="6"/>
        <v/>
      </c>
      <c r="BB37" s="48" t="str">
        <f t="shared" si="7"/>
        <v/>
      </c>
      <c r="BC37" s="48" t="str">
        <f t="shared" si="8"/>
        <v/>
      </c>
      <c r="BD37" s="63" t="str">
        <f t="shared" si="9"/>
        <v/>
      </c>
    </row>
    <row r="38" spans="1:56"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61"/>
      <c r="AZ38" s="62" t="str">
        <f t="shared" si="5"/>
        <v/>
      </c>
      <c r="BA38" s="48" t="str">
        <f t="shared" si="6"/>
        <v/>
      </c>
      <c r="BB38" s="48" t="str">
        <f t="shared" si="7"/>
        <v/>
      </c>
      <c r="BC38" s="48" t="str">
        <f t="shared" si="8"/>
        <v/>
      </c>
      <c r="BD38" s="63" t="str">
        <f t="shared" si="9"/>
        <v/>
      </c>
    </row>
    <row r="39" spans="1:56"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61"/>
      <c r="AZ39" s="62" t="str">
        <f t="shared" si="5"/>
        <v/>
      </c>
      <c r="BA39" s="48" t="str">
        <f t="shared" si="6"/>
        <v/>
      </c>
      <c r="BB39" s="48" t="str">
        <f t="shared" si="7"/>
        <v/>
      </c>
      <c r="BC39" s="48" t="str">
        <f t="shared" si="8"/>
        <v/>
      </c>
      <c r="BD39" s="63" t="str">
        <f t="shared" si="9"/>
        <v/>
      </c>
    </row>
    <row r="40" spans="1:56"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61"/>
      <c r="AZ40" s="62" t="str">
        <f t="shared" si="5"/>
        <v/>
      </c>
      <c r="BA40" s="48" t="str">
        <f t="shared" si="6"/>
        <v/>
      </c>
      <c r="BB40" s="48" t="str">
        <f t="shared" si="7"/>
        <v/>
      </c>
      <c r="BC40" s="48" t="str">
        <f t="shared" si="8"/>
        <v/>
      </c>
      <c r="BD40" s="63" t="str">
        <f t="shared" si="9"/>
        <v/>
      </c>
    </row>
    <row r="41" spans="1:56"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61"/>
      <c r="AZ41" s="62" t="str">
        <f t="shared" si="5"/>
        <v/>
      </c>
      <c r="BA41" s="48" t="str">
        <f t="shared" si="6"/>
        <v/>
      </c>
      <c r="BB41" s="48" t="str">
        <f t="shared" si="7"/>
        <v/>
      </c>
      <c r="BC41" s="48" t="str">
        <f t="shared" si="8"/>
        <v/>
      </c>
      <c r="BD41" s="63" t="str">
        <f t="shared" si="9"/>
        <v/>
      </c>
    </row>
    <row r="42" spans="1:56"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61"/>
      <c r="AZ42" s="62" t="str">
        <f t="shared" si="5"/>
        <v/>
      </c>
      <c r="BA42" s="48" t="str">
        <f t="shared" si="6"/>
        <v/>
      </c>
      <c r="BB42" s="48" t="str">
        <f t="shared" si="7"/>
        <v/>
      </c>
      <c r="BC42" s="48" t="str">
        <f t="shared" si="8"/>
        <v/>
      </c>
      <c r="BD42" s="63" t="str">
        <f t="shared" si="9"/>
        <v/>
      </c>
    </row>
    <row r="43" spans="1:56"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6"/>
      <c r="AZ43" s="62" t="str">
        <f t="shared" si="5"/>
        <v/>
      </c>
      <c r="BA43" s="48" t="str">
        <f t="shared" si="6"/>
        <v/>
      </c>
      <c r="BB43" s="48" t="str">
        <f t="shared" si="7"/>
        <v/>
      </c>
      <c r="BC43" s="48" t="str">
        <f t="shared" si="8"/>
        <v/>
      </c>
      <c r="BD43" s="63" t="str">
        <f t="shared" si="9"/>
        <v/>
      </c>
    </row>
    <row r="44" spans="1:56" ht="12.75" customHeight="1" x14ac:dyDescent="0.35"/>
    <row r="45" spans="1:56" ht="12.75" customHeight="1" x14ac:dyDescent="0.35"/>
    <row r="46" spans="1:56" ht="12.75" customHeight="1" x14ac:dyDescent="0.35"/>
    <row r="47" spans="1:56" ht="12.75" customHeight="1" x14ac:dyDescent="0.35"/>
    <row r="48" spans="1:56"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H2"/>
    <mergeCell ref="AS3:AY3"/>
    <mergeCell ref="AZ3:BD3"/>
    <mergeCell ref="AS4:AY4"/>
    <mergeCell ref="AZ4:BD5"/>
    <mergeCell ref="W5:AB5"/>
    <mergeCell ref="AS5:AY5"/>
  </mergeCells>
  <pageMargins left="0" right="0" top="0" bottom="0"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CD632-49CA-41D3-BC56-4AD124598AF4}">
  <sheetPr>
    <tabColor rgb="FFC00000"/>
    <pageSetUpPr fitToPage="1"/>
  </sheetPr>
  <dimension ref="A1:AE31"/>
  <sheetViews>
    <sheetView tabSelected="1" zoomScale="73" zoomScaleNormal="73" workbookViewId="0">
      <selection activeCell="AB32" sqref="A1:AB32"/>
    </sheetView>
  </sheetViews>
  <sheetFormatPr baseColWidth="10" defaultRowHeight="20.399999999999999" x14ac:dyDescent="0.35"/>
  <cols>
    <col min="1" max="25" width="2.265625" customWidth="1"/>
    <col min="26" max="26" width="4.46484375" customWidth="1"/>
    <col min="27" max="27" width="10.59765625" customWidth="1"/>
    <col min="28" max="28" width="15.3984375" customWidth="1"/>
    <col min="29" max="31" width="2.265625" customWidth="1"/>
  </cols>
  <sheetData>
    <row r="1" spans="1:31" ht="15.9" customHeight="1" x14ac:dyDescent="0.35">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row>
    <row r="2" spans="1:31" ht="21.75" customHeight="1" x14ac:dyDescent="0.35">
      <c r="A2" s="247" t="s">
        <v>170</v>
      </c>
      <c r="B2" s="247"/>
      <c r="C2" s="247"/>
      <c r="D2" s="247"/>
      <c r="E2" s="247"/>
      <c r="F2" s="247"/>
      <c r="G2" s="247"/>
      <c r="H2" s="247"/>
      <c r="I2" s="247"/>
      <c r="J2" s="247"/>
      <c r="K2" s="247"/>
      <c r="L2" s="247"/>
      <c r="M2" s="247"/>
      <c r="N2" s="247"/>
      <c r="O2" s="247"/>
      <c r="P2" s="247"/>
      <c r="Q2" s="247"/>
      <c r="R2" s="247"/>
      <c r="S2" s="247"/>
      <c r="T2" s="247"/>
      <c r="U2" s="247"/>
      <c r="V2" s="247"/>
      <c r="W2" s="247"/>
      <c r="X2" s="247"/>
      <c r="Y2" s="247"/>
      <c r="Z2" s="247"/>
      <c r="AA2" s="247"/>
      <c r="AB2" s="247"/>
      <c r="AC2" s="156"/>
      <c r="AD2" s="156"/>
      <c r="AE2" s="156"/>
    </row>
    <row r="3" spans="1:31" ht="10.5" customHeight="1" x14ac:dyDescent="0.35">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row>
    <row r="4" spans="1:31" ht="15.9" customHeight="1" x14ac:dyDescent="0.35">
      <c r="A4" s="244" t="s">
        <v>171</v>
      </c>
      <c r="B4" s="244"/>
      <c r="C4" s="244"/>
      <c r="D4" s="244"/>
      <c r="E4" s="244"/>
      <c r="F4" s="251" t="str">
        <f>[1]CARÁTULA!C25</f>
        <v>Tecnica Tecnologica (Programacion)</v>
      </c>
      <c r="G4" s="251"/>
      <c r="H4" s="251"/>
      <c r="I4" s="251"/>
      <c r="J4" s="251"/>
      <c r="K4" s="251"/>
      <c r="L4" s="251"/>
      <c r="M4" s="251"/>
      <c r="N4" s="251"/>
      <c r="O4" s="251"/>
      <c r="P4" s="199" t="s">
        <v>172</v>
      </c>
      <c r="Q4" s="199"/>
      <c r="R4" s="248" t="str">
        <f>CARÁTULA!C23</f>
        <v>4to de Secundaria</v>
      </c>
      <c r="S4" s="249"/>
      <c r="T4" s="249"/>
      <c r="U4" s="249"/>
      <c r="V4" s="249"/>
      <c r="W4" s="249"/>
      <c r="X4" s="249"/>
      <c r="Y4" s="249"/>
      <c r="Z4" s="250"/>
      <c r="AA4" s="236" t="s">
        <v>173</v>
      </c>
      <c r="AB4" s="237" t="s">
        <v>183</v>
      </c>
      <c r="AC4" s="156"/>
      <c r="AD4" s="156"/>
      <c r="AE4" s="156"/>
    </row>
    <row r="5" spans="1:31" ht="15.9" customHeight="1" x14ac:dyDescent="0.35">
      <c r="A5" s="244" t="s">
        <v>174</v>
      </c>
      <c r="B5" s="244"/>
      <c r="C5" s="244"/>
      <c r="D5" s="244"/>
      <c r="E5" s="244"/>
      <c r="F5" s="245" t="s">
        <v>45</v>
      </c>
      <c r="G5" s="245"/>
      <c r="H5" s="245"/>
      <c r="I5" s="245"/>
      <c r="J5" s="245"/>
      <c r="K5" s="245"/>
      <c r="L5" s="245"/>
      <c r="M5" s="245"/>
      <c r="N5" s="245"/>
      <c r="O5" s="245"/>
      <c r="P5" s="245"/>
      <c r="Q5" s="245"/>
      <c r="R5" s="245"/>
      <c r="S5" s="245"/>
      <c r="T5" s="245"/>
      <c r="U5" s="245"/>
      <c r="V5" s="245"/>
      <c r="W5" s="245"/>
      <c r="X5" s="245"/>
      <c r="Y5" s="245"/>
      <c r="Z5" s="245"/>
      <c r="AA5" s="236"/>
      <c r="AB5" s="237"/>
      <c r="AC5" s="156"/>
      <c r="AD5" s="156"/>
      <c r="AE5" s="156"/>
    </row>
    <row r="6" spans="1:31" ht="15.9" customHeight="1" x14ac:dyDescent="0.35">
      <c r="A6" s="244" t="s">
        <v>175</v>
      </c>
      <c r="B6" s="244"/>
      <c r="C6" s="244"/>
      <c r="D6" s="244"/>
      <c r="E6" s="244"/>
      <c r="F6" s="245" t="s">
        <v>176</v>
      </c>
      <c r="G6" s="245"/>
      <c r="H6" s="245"/>
      <c r="I6" s="245"/>
      <c r="J6" s="245"/>
      <c r="K6" s="245"/>
      <c r="L6" s="245"/>
      <c r="M6" s="245"/>
      <c r="N6" s="245"/>
      <c r="O6" s="245"/>
      <c r="P6" s="245"/>
      <c r="Q6" s="245"/>
      <c r="R6" s="245"/>
      <c r="S6" s="245"/>
      <c r="T6" s="245"/>
      <c r="U6" s="245"/>
      <c r="V6" s="245"/>
      <c r="W6" s="245"/>
      <c r="X6" s="245"/>
      <c r="Y6" s="245"/>
      <c r="Z6" s="245"/>
      <c r="AA6" s="245"/>
      <c r="AB6" s="245"/>
      <c r="AC6" s="156"/>
      <c r="AD6" s="156"/>
      <c r="AE6" s="156"/>
    </row>
    <row r="7" spans="1:31" ht="10.5" customHeight="1" x14ac:dyDescent="0.35">
      <c r="A7" s="156"/>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row>
    <row r="8" spans="1:31" ht="15.9" customHeight="1" x14ac:dyDescent="0.35">
      <c r="A8" s="246" t="s">
        <v>177</v>
      </c>
      <c r="B8" s="246"/>
      <c r="C8" s="246"/>
      <c r="D8" s="246"/>
      <c r="E8" s="246"/>
      <c r="F8" s="246"/>
      <c r="G8" s="246"/>
      <c r="H8" s="246"/>
      <c r="I8" s="246"/>
      <c r="J8" s="246"/>
      <c r="K8" s="246"/>
      <c r="L8" s="246"/>
      <c r="M8" s="246"/>
      <c r="N8" s="246"/>
      <c r="O8" s="246"/>
      <c r="P8" s="246"/>
      <c r="Q8" s="246"/>
      <c r="R8" s="246"/>
      <c r="S8" s="246"/>
      <c r="T8" s="246"/>
      <c r="U8" s="246"/>
      <c r="V8" s="246"/>
      <c r="W8" s="246"/>
      <c r="X8" s="246"/>
      <c r="Y8" s="246"/>
      <c r="Z8" s="246"/>
      <c r="AA8" s="246"/>
      <c r="AB8" s="246"/>
      <c r="AC8" s="156"/>
      <c r="AD8" s="156"/>
      <c r="AE8" s="156"/>
    </row>
    <row r="9" spans="1:31" ht="6" customHeight="1" x14ac:dyDescent="0.35">
      <c r="A9" s="156"/>
      <c r="B9" s="156"/>
      <c r="C9" s="156"/>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row>
    <row r="10" spans="1:31" ht="81.75" customHeight="1" x14ac:dyDescent="0.35">
      <c r="A10" s="156"/>
      <c r="B10" s="156"/>
      <c r="C10" s="156"/>
      <c r="D10" s="156"/>
      <c r="E10" s="156"/>
      <c r="F10" s="156"/>
      <c r="G10" s="157" t="str">
        <f>Tabla1[[#Headers],[13/5/2020]]</f>
        <v>13/5/2020</v>
      </c>
      <c r="H10" s="157" t="str">
        <f>Tabla1[[#Headers],[20/5/2020]]</f>
        <v>20/5/2020</v>
      </c>
      <c r="I10" s="157" t="str">
        <f>Tabla1[[#Headers],[27/5/2021]]</f>
        <v>27/5/2021</v>
      </c>
      <c r="J10" s="157" t="str">
        <f>Tabla1[[#Headers],[1/7/2021]]</f>
        <v>1/7/2021</v>
      </c>
      <c r="K10" s="157" t="str">
        <f>Tabla1[[#Headers],[8/7/2021]]</f>
        <v>8/7/2021</v>
      </c>
      <c r="L10" s="157" t="str">
        <f>Tabla1[[#Headers],[15/7/2021]]</f>
        <v>15/7/2021</v>
      </c>
      <c r="M10" s="157" t="str">
        <f>Tabla1[[#Headers],[22/7/2021]]</f>
        <v>22/7/2021</v>
      </c>
      <c r="N10" s="157" t="str">
        <f>Tabla1[[#Headers],[29/7/2021]]</f>
        <v>29/7/2021</v>
      </c>
      <c r="O10" s="157" t="str">
        <f>Tabla1[[#Headers],[5/8/2021]]</f>
        <v>5/8/2021</v>
      </c>
      <c r="P10" s="157" t="str">
        <f>Tabla1[[#Headers],[12/8/2021]]</f>
        <v>12/8/2021</v>
      </c>
      <c r="Q10" s="157" t="str">
        <f>'[1]ASIS 2 TRIM'!BA7</f>
        <v>Asist. (A)</v>
      </c>
      <c r="R10" s="157" t="str">
        <f>'[1]ASIS 2 TRIM'!BB7</f>
        <v>Faltas (F)</v>
      </c>
      <c r="S10" s="157" t="str">
        <f>'[1]ASIS 2 TRIM'!BC7</f>
        <v>Retrasos (R)</v>
      </c>
      <c r="T10" s="157" t="str">
        <f>'[1]ASIS 2 TRIM'!BD7</f>
        <v>Licencias (L)</v>
      </c>
      <c r="U10" s="158" t="str">
        <f>'[1]ASIS 2 TRIM'!BE7</f>
        <v>DÍAS TRABAJADOS</v>
      </c>
      <c r="V10" s="156"/>
      <c r="W10" s="156"/>
      <c r="X10" s="156"/>
      <c r="Y10" s="156"/>
      <c r="Z10" s="156"/>
      <c r="AA10" s="156"/>
      <c r="AB10" s="156"/>
      <c r="AC10" s="156"/>
      <c r="AD10" s="156"/>
      <c r="AE10" s="156"/>
    </row>
    <row r="11" spans="1:31" ht="15.9" customHeight="1" x14ac:dyDescent="0.35">
      <c r="A11" s="156"/>
      <c r="B11" s="156"/>
      <c r="C11" s="156"/>
      <c r="D11" s="156"/>
      <c r="E11" s="156"/>
      <c r="F11" s="156"/>
      <c r="G11" s="159" t="str">
        <f>VLOOKUP($F$5,Tabla1[[NÓMINA DE ESTUDIANTES]:[DÍAS TRABAJADOS]],2,FALSE)</f>
        <v>a</v>
      </c>
      <c r="H11" s="159" t="str">
        <f>VLOOKUP($F$5,Tabla1[[NÓMINA DE ESTUDIANTES]:[DÍAS TRABAJADOS]],3,FALSE)</f>
        <v>a</v>
      </c>
      <c r="I11" s="159"/>
      <c r="J11" s="159" t="str">
        <f>VLOOKUP($F$5,Tabla1[[NÓMINA DE ESTUDIANTES]:[DÍAS TRABAJADOS]],5,FALSE)</f>
        <v>a</v>
      </c>
      <c r="K11" s="159" t="str">
        <f>VLOOKUP($F$5,Tabla1[[NÓMINA DE ESTUDIANTES]:[DÍAS TRABAJADOS]],6,FALSE)</f>
        <v>a</v>
      </c>
      <c r="L11" s="159" t="str">
        <f>VLOOKUP($F$5,Tabla1[[NÓMINA DE ESTUDIANTES]:[DÍAS TRABAJADOS]],7,FALSE)</f>
        <v>a</v>
      </c>
      <c r="M11" s="159" t="str">
        <f>VLOOKUP($F$5,Tabla1[[NÓMINA DE ESTUDIANTES]:[DÍAS TRABAJADOS]],8,FALSE)</f>
        <v>a</v>
      </c>
      <c r="N11" s="159" t="str">
        <f>VLOOKUP($F$5,Tabla1[[NÓMINA DE ESTUDIANTES]:[DÍAS TRABAJADOS]],9,FALSE)</f>
        <v>a</v>
      </c>
      <c r="O11" s="159" t="str">
        <f>VLOOKUP($F$5,Tabla1[[NÓMINA DE ESTUDIANTES]:[DÍAS TRABAJADOS]],10,FALSE)</f>
        <v>a</v>
      </c>
      <c r="P11" s="159" t="str">
        <f>VLOOKUP($F$5,Tabla1[[NÓMINA DE ESTUDIANTES]:[DÍAS TRABAJADOS]],10,FALSE)</f>
        <v>a</v>
      </c>
      <c r="Q11" s="159">
        <f>VLOOKUP($F$5,Tabla1[[NÓMINA DE ESTUDIANTES]:[DÍAS TRABAJADOS]],51,FALSE)</f>
        <v>9</v>
      </c>
      <c r="R11" s="159" t="str">
        <f>VLOOKUP($F$5,Tabla1[[NÓMINA DE ESTUDIANTES]:[DÍAS TRABAJADOS]],52,FALSE)</f>
        <v>0</v>
      </c>
      <c r="S11" s="159" t="str">
        <f>VLOOKUP($F$5,Tabla1[[NÓMINA DE ESTUDIANTES]:[DÍAS TRABAJADOS]],53,FALSE)</f>
        <v>0</v>
      </c>
      <c r="T11" s="159" t="str">
        <f>VLOOKUP($F$5,Tabla1[[NÓMINA DE ESTUDIANTES]:[DÍAS TRABAJADOS]],54,FALSE)</f>
        <v>0</v>
      </c>
      <c r="U11" s="159">
        <f>VLOOKUP($F$5,Tabla1[[NÓMINA DE ESTUDIANTES]:[DÍAS TRABAJADOS]],55,FALSE)</f>
        <v>9</v>
      </c>
      <c r="V11" s="156"/>
      <c r="W11" s="156"/>
      <c r="X11" s="156"/>
      <c r="Y11" s="156"/>
      <c r="Z11" s="156"/>
      <c r="AA11" s="156"/>
      <c r="AB11" s="156"/>
      <c r="AC11" s="156"/>
      <c r="AD11" s="156"/>
      <c r="AE11" s="156"/>
    </row>
    <row r="12" spans="1:31" ht="9" customHeight="1" x14ac:dyDescent="0.35">
      <c r="A12" s="156"/>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row>
    <row r="13" spans="1:31" ht="15.9" customHeight="1" x14ac:dyDescent="0.35">
      <c r="A13" s="242" t="s">
        <v>178</v>
      </c>
      <c r="B13" s="242"/>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156"/>
      <c r="AD13" s="156"/>
      <c r="AE13" s="156"/>
    </row>
    <row r="14" spans="1:31" ht="15.9" customHeight="1" x14ac:dyDescent="0.35">
      <c r="A14" s="242" t="s">
        <v>179</v>
      </c>
      <c r="B14" s="242"/>
      <c r="C14" s="242"/>
      <c r="D14" s="242"/>
      <c r="E14" s="242"/>
      <c r="F14" s="242"/>
      <c r="G14" s="242"/>
      <c r="H14" s="242"/>
      <c r="I14" s="242" t="s">
        <v>180</v>
      </c>
      <c r="J14" s="242"/>
      <c r="K14" s="242" t="s">
        <v>181</v>
      </c>
      <c r="L14" s="242"/>
      <c r="M14" s="242"/>
      <c r="N14" s="242"/>
      <c r="O14" s="242"/>
      <c r="P14" s="242"/>
      <c r="Q14" s="242"/>
      <c r="R14" s="242"/>
      <c r="S14" s="242"/>
      <c r="T14" s="242"/>
      <c r="U14" s="242"/>
      <c r="V14" s="242"/>
      <c r="W14" s="242"/>
      <c r="X14" s="242"/>
      <c r="Y14" s="242"/>
      <c r="Z14" s="242"/>
      <c r="AA14" s="242"/>
      <c r="AB14" s="242"/>
      <c r="AC14" s="156"/>
      <c r="AD14" s="160"/>
      <c r="AE14" s="156"/>
    </row>
    <row r="15" spans="1:31" ht="15.9" customHeight="1" x14ac:dyDescent="0.35">
      <c r="A15" s="313" t="str">
        <f>'VAL 2 TRIM'!D$8</f>
        <v>01/07/2021(Repaso)</v>
      </c>
      <c r="B15" s="313"/>
      <c r="C15" s="313"/>
      <c r="D15" s="313"/>
      <c r="E15" s="313"/>
      <c r="F15" s="313"/>
      <c r="G15" s="313"/>
      <c r="H15" s="313"/>
      <c r="I15" s="238">
        <f>VLOOKUP($F$5,'VAL 2 TRIM'!$B$9:$AM$26,3,FALSE)</f>
        <v>0</v>
      </c>
      <c r="J15" s="238"/>
      <c r="K15" s="239" t="s">
        <v>237</v>
      </c>
      <c r="L15" s="240"/>
      <c r="M15" s="240"/>
      <c r="N15" s="240"/>
      <c r="O15" s="240"/>
      <c r="P15" s="240"/>
      <c r="Q15" s="240"/>
      <c r="R15" s="240"/>
      <c r="S15" s="240"/>
      <c r="T15" s="240"/>
      <c r="U15" s="240"/>
      <c r="V15" s="240"/>
      <c r="W15" s="240"/>
      <c r="X15" s="240"/>
      <c r="Y15" s="240"/>
      <c r="Z15" s="240"/>
      <c r="AA15" s="240"/>
      <c r="AB15" s="240"/>
      <c r="AC15" s="156">
        <f>IF(I15=0,1,0)</f>
        <v>1</v>
      </c>
      <c r="AD15" s="161">
        <v>1</v>
      </c>
      <c r="AE15" s="156"/>
    </row>
    <row r="16" spans="1:31" ht="15.9" customHeight="1" x14ac:dyDescent="0.35">
      <c r="A16" s="314" t="str">
        <f>'VAL 2 TRIM'!E$8</f>
        <v>5/8/2021 (Primer Examen 2do Trimestre</v>
      </c>
      <c r="B16" s="315"/>
      <c r="C16" s="315"/>
      <c r="D16" s="315"/>
      <c r="E16" s="315"/>
      <c r="F16" s="315"/>
      <c r="G16" s="315"/>
      <c r="H16" s="315"/>
      <c r="I16" s="238">
        <f>VLOOKUP($F$5,'VAL 2 TRIM'!$B$9:$AM$26,4,FALSE)</f>
        <v>0</v>
      </c>
      <c r="J16" s="238"/>
      <c r="K16" s="243"/>
      <c r="L16" s="240"/>
      <c r="M16" s="240"/>
      <c r="N16" s="240"/>
      <c r="O16" s="240"/>
      <c r="P16" s="240"/>
      <c r="Q16" s="240"/>
      <c r="R16" s="240"/>
      <c r="S16" s="240"/>
      <c r="T16" s="240"/>
      <c r="U16" s="240"/>
      <c r="V16" s="240"/>
      <c r="W16" s="240"/>
      <c r="X16" s="240"/>
      <c r="Y16" s="240"/>
      <c r="Z16" s="240"/>
      <c r="AA16" s="240"/>
      <c r="AB16" s="240"/>
      <c r="AC16" s="156">
        <f>IF(I16=0,1,0)</f>
        <v>1</v>
      </c>
      <c r="AD16" s="161">
        <v>1</v>
      </c>
      <c r="AE16" s="156"/>
    </row>
    <row r="17" spans="1:31" ht="15.9" customHeight="1" x14ac:dyDescent="0.35">
      <c r="A17" s="232" t="s">
        <v>83</v>
      </c>
      <c r="B17" s="233"/>
      <c r="C17" s="233"/>
      <c r="D17" s="233"/>
      <c r="E17" s="233"/>
      <c r="F17" s="233"/>
      <c r="G17" s="233"/>
      <c r="H17" s="233"/>
      <c r="I17" s="241">
        <f>SUM(I15:J16)/2</f>
        <v>0</v>
      </c>
      <c r="J17" s="241"/>
      <c r="K17" s="238"/>
      <c r="L17" s="238"/>
      <c r="M17" s="238"/>
      <c r="N17" s="238"/>
      <c r="O17" s="238"/>
      <c r="P17" s="238"/>
      <c r="Q17" s="238"/>
      <c r="R17" s="238"/>
      <c r="S17" s="238"/>
      <c r="T17" s="238"/>
      <c r="U17" s="238"/>
      <c r="V17" s="238"/>
      <c r="W17" s="238"/>
      <c r="X17" s="238"/>
      <c r="Y17" s="238"/>
      <c r="Z17" s="238"/>
      <c r="AA17" s="238"/>
      <c r="AB17" s="238"/>
      <c r="AC17" s="156">
        <f>SUM(AC15:AC16)</f>
        <v>2</v>
      </c>
      <c r="AD17" s="156"/>
      <c r="AE17" s="156"/>
    </row>
    <row r="18" spans="1:31" ht="15.9" customHeight="1" x14ac:dyDescent="0.35">
      <c r="A18" s="156"/>
      <c r="B18" s="156"/>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row>
    <row r="19" spans="1:31" ht="15.9" customHeight="1" x14ac:dyDescent="0.35">
      <c r="A19" s="242" t="s">
        <v>182</v>
      </c>
      <c r="B19" s="242"/>
      <c r="C19" s="242"/>
      <c r="D19" s="242"/>
      <c r="E19" s="242"/>
      <c r="F19" s="242"/>
      <c r="G19" s="242"/>
      <c r="H19" s="242"/>
      <c r="I19" s="242"/>
      <c r="J19" s="242"/>
      <c r="K19" s="242"/>
      <c r="L19" s="242"/>
      <c r="M19" s="242"/>
      <c r="N19" s="242"/>
      <c r="O19" s="242"/>
      <c r="P19" s="242"/>
      <c r="Q19" s="242"/>
      <c r="R19" s="242"/>
      <c r="S19" s="242"/>
      <c r="T19" s="242"/>
      <c r="U19" s="242"/>
      <c r="V19" s="242"/>
      <c r="W19" s="242"/>
      <c r="X19" s="242"/>
      <c r="Y19" s="242"/>
      <c r="Z19" s="242"/>
      <c r="AA19" s="242"/>
      <c r="AB19" s="242"/>
      <c r="AC19" s="156"/>
      <c r="AD19" s="156"/>
      <c r="AE19" s="156"/>
    </row>
    <row r="20" spans="1:31" ht="15.9" customHeight="1" x14ac:dyDescent="0.35">
      <c r="A20" s="242" t="s">
        <v>179</v>
      </c>
      <c r="B20" s="242"/>
      <c r="C20" s="242"/>
      <c r="D20" s="242"/>
      <c r="E20" s="242"/>
      <c r="F20" s="242"/>
      <c r="G20" s="242"/>
      <c r="H20" s="242"/>
      <c r="I20" s="242" t="s">
        <v>180</v>
      </c>
      <c r="J20" s="242"/>
      <c r="K20" s="242" t="s">
        <v>181</v>
      </c>
      <c r="L20" s="242"/>
      <c r="M20" s="242"/>
      <c r="N20" s="242"/>
      <c r="O20" s="242"/>
      <c r="P20" s="242"/>
      <c r="Q20" s="242"/>
      <c r="R20" s="242"/>
      <c r="S20" s="242"/>
      <c r="T20" s="242"/>
      <c r="U20" s="242"/>
      <c r="V20" s="242"/>
      <c r="W20" s="242"/>
      <c r="X20" s="242"/>
      <c r="Y20" s="242"/>
      <c r="Z20" s="242"/>
      <c r="AA20" s="242"/>
      <c r="AB20" s="242"/>
      <c r="AC20" s="156"/>
      <c r="AD20" s="156"/>
      <c r="AE20" s="156"/>
    </row>
    <row r="21" spans="1:31" ht="15.9" customHeight="1" x14ac:dyDescent="0.35">
      <c r="A21" s="312" t="str">
        <f>'VAL 2 TRIM'!P$8</f>
        <v>26/05/2021 (Estructuras Condicionales)</v>
      </c>
      <c r="B21" s="312"/>
      <c r="C21" s="312"/>
      <c r="D21" s="312"/>
      <c r="E21" s="312"/>
      <c r="F21" s="312"/>
      <c r="G21" s="312"/>
      <c r="H21" s="312"/>
      <c r="I21" s="238">
        <f>VLOOKUP($F$5,'VAL 2 TRIM'!$B$9:$AM$26,15,FALSE)</f>
        <v>0</v>
      </c>
      <c r="J21" s="238"/>
      <c r="K21" s="239" t="s">
        <v>188</v>
      </c>
      <c r="L21" s="240"/>
      <c r="M21" s="240"/>
      <c r="N21" s="240"/>
      <c r="O21" s="240"/>
      <c r="P21" s="240"/>
      <c r="Q21" s="240"/>
      <c r="R21" s="240"/>
      <c r="S21" s="240"/>
      <c r="T21" s="240"/>
      <c r="U21" s="240"/>
      <c r="V21" s="240"/>
      <c r="W21" s="240"/>
      <c r="X21" s="240"/>
      <c r="Y21" s="240"/>
      <c r="Z21" s="240"/>
      <c r="AA21" s="240"/>
      <c r="AB21" s="240"/>
      <c r="AC21" s="156">
        <f>IF(I21=0,1,0)</f>
        <v>1</v>
      </c>
      <c r="AD21" s="156">
        <v>1</v>
      </c>
      <c r="AE21" s="156"/>
    </row>
    <row r="22" spans="1:31" ht="15.9" customHeight="1" x14ac:dyDescent="0.35">
      <c r="A22" s="312" t="str">
        <f>'VAL 2 TRIM'!Q$8</f>
        <v>15/07/2021(Precedencia de Operadores)</v>
      </c>
      <c r="B22" s="312"/>
      <c r="C22" s="312"/>
      <c r="D22" s="312"/>
      <c r="E22" s="312"/>
      <c r="F22" s="312"/>
      <c r="G22" s="312"/>
      <c r="H22" s="312"/>
      <c r="I22" s="238">
        <f>VLOOKUP($F$5,'VAL 2 TRIM'!$B$9:$AM$26,16,FALSE)</f>
        <v>0</v>
      </c>
      <c r="J22" s="238"/>
      <c r="K22" s="239" t="s">
        <v>189</v>
      </c>
      <c r="L22" s="240"/>
      <c r="M22" s="240"/>
      <c r="N22" s="240"/>
      <c r="O22" s="240"/>
      <c r="P22" s="240"/>
      <c r="Q22" s="240"/>
      <c r="R22" s="240"/>
      <c r="S22" s="240"/>
      <c r="T22" s="240"/>
      <c r="U22" s="240"/>
      <c r="V22" s="240"/>
      <c r="W22" s="240"/>
      <c r="X22" s="240"/>
      <c r="Y22" s="240"/>
      <c r="Z22" s="240"/>
      <c r="AA22" s="240"/>
      <c r="AB22" s="240"/>
      <c r="AC22" s="156">
        <f>IF(I22=0,1,0)</f>
        <v>1</v>
      </c>
      <c r="AD22" s="156">
        <v>1</v>
      </c>
      <c r="AE22" s="156"/>
    </row>
    <row r="23" spans="1:31" ht="15.9" customHeight="1" x14ac:dyDescent="0.35">
      <c r="A23" s="312" t="str">
        <f>'VAL 2 TRIM'!R$8</f>
        <v>22/07/2021(Sentencias Condicionales)</v>
      </c>
      <c r="B23" s="312"/>
      <c r="C23" s="312"/>
      <c r="D23" s="312"/>
      <c r="E23" s="312"/>
      <c r="F23" s="312"/>
      <c r="G23" s="312"/>
      <c r="H23" s="312"/>
      <c r="I23" s="238">
        <f>VLOOKUP($F$5,'VAL 2 TRIM'!$B$9:$AM$26,17,FALSE)</f>
        <v>0</v>
      </c>
      <c r="J23" s="238"/>
      <c r="K23" s="239" t="s">
        <v>240</v>
      </c>
      <c r="L23" s="240"/>
      <c r="M23" s="240"/>
      <c r="N23" s="240"/>
      <c r="O23" s="240"/>
      <c r="P23" s="240"/>
      <c r="Q23" s="240"/>
      <c r="R23" s="240"/>
      <c r="S23" s="240"/>
      <c r="T23" s="240"/>
      <c r="U23" s="240"/>
      <c r="V23" s="240"/>
      <c r="W23" s="240"/>
      <c r="X23" s="240"/>
      <c r="Y23" s="240"/>
      <c r="Z23" s="240"/>
      <c r="AA23" s="240"/>
      <c r="AB23" s="240"/>
      <c r="AC23" s="156">
        <f>IF(I23=0,1,0)</f>
        <v>1</v>
      </c>
      <c r="AD23" s="156">
        <v>1</v>
      </c>
      <c r="AE23" s="156"/>
    </row>
    <row r="24" spans="1:31" ht="15.9" customHeight="1" x14ac:dyDescent="0.35">
      <c r="A24" s="312"/>
      <c r="B24" s="312"/>
      <c r="C24" s="312"/>
      <c r="D24" s="312"/>
      <c r="E24" s="312"/>
      <c r="F24" s="312"/>
      <c r="G24" s="312"/>
      <c r="H24" s="312"/>
      <c r="I24" s="238"/>
      <c r="J24" s="238"/>
      <c r="K24" s="243"/>
      <c r="L24" s="243"/>
      <c r="M24" s="243"/>
      <c r="N24" s="243"/>
      <c r="O24" s="243"/>
      <c r="P24" s="243"/>
      <c r="Q24" s="243"/>
      <c r="R24" s="243"/>
      <c r="S24" s="243"/>
      <c r="T24" s="243"/>
      <c r="U24" s="243"/>
      <c r="V24" s="243"/>
      <c r="W24" s="243"/>
      <c r="X24" s="243"/>
      <c r="Y24" s="243"/>
      <c r="Z24" s="243"/>
      <c r="AA24" s="243"/>
      <c r="AB24" s="243"/>
      <c r="AC24" s="156"/>
      <c r="AD24" s="156"/>
      <c r="AE24" s="156"/>
    </row>
    <row r="25" spans="1:31" ht="15.9" customHeight="1" x14ac:dyDescent="0.35">
      <c r="A25" s="232" t="s">
        <v>83</v>
      </c>
      <c r="B25" s="233"/>
      <c r="C25" s="233"/>
      <c r="D25" s="233"/>
      <c r="E25" s="233"/>
      <c r="F25" s="233"/>
      <c r="G25" s="233"/>
      <c r="H25" s="233"/>
      <c r="I25" s="241">
        <f>SUM(I21:J24)/4</f>
        <v>0</v>
      </c>
      <c r="J25" s="241"/>
      <c r="K25" s="251"/>
      <c r="L25" s="251"/>
      <c r="M25" s="251"/>
      <c r="N25" s="251"/>
      <c r="O25" s="251"/>
      <c r="P25" s="251"/>
      <c r="Q25" s="251"/>
      <c r="R25" s="251"/>
      <c r="S25" s="251"/>
      <c r="T25" s="251"/>
      <c r="U25" s="251"/>
      <c r="V25" s="251"/>
      <c r="W25" s="251"/>
      <c r="X25" s="251"/>
      <c r="Y25" s="251"/>
      <c r="Z25" s="251"/>
      <c r="AA25" s="251"/>
      <c r="AB25" s="251"/>
      <c r="AC25" s="156">
        <f>SUM(AC21:AC23)</f>
        <v>3</v>
      </c>
      <c r="AD25" s="162">
        <f>SUM(AD15:AD23)</f>
        <v>5</v>
      </c>
      <c r="AE25" s="156"/>
    </row>
    <row r="26" spans="1:31" ht="15.9" customHeight="1" x14ac:dyDescent="0.35">
      <c r="A26" s="234" t="str">
        <f>IF(AC26&gt;0,CONCATENATE("Observaciones:El estudiante  ",F5,"  durante el segundo trimestre tuvo ",Q11," Asistencias, ",R11," Faltas, ",S11," Retrasos, ",T11," Licencias,  Total de Dias Trabajados ",U11,", en relacion a las practicas",IF(AC26&gt;0,CONCATENATE(" No presentó ",AC26," Practicas"),"Presentó todo")," de las ",AD25,"  tareas (El estudiante puede presentar practicas por una ponderacion de 20 puntos)"),"Observaciones: Ninguna")</f>
        <v>Observaciones:El estudiante  MIRABAL AYANOME JOSE ALFREDO  durante el segundo trimestre tuvo 9 Asistencias, 0 Faltas, 0 Retrasos, 0 Licencias,  Total de Dias Trabajados 9, en relacion a las practicas No presentó 5 Practicas de las 5  tareas (El estudiante puede presentar practicas por una ponderacion de 20 puntos)</v>
      </c>
      <c r="B26" s="234"/>
      <c r="C26" s="234"/>
      <c r="D26" s="234"/>
      <c r="E26" s="234"/>
      <c r="F26" s="234"/>
      <c r="G26" s="234"/>
      <c r="H26" s="234"/>
      <c r="I26" s="234"/>
      <c r="J26" s="234"/>
      <c r="K26" s="234"/>
      <c r="L26" s="234"/>
      <c r="M26" s="234"/>
      <c r="N26" s="234"/>
      <c r="O26" s="234"/>
      <c r="P26" s="234"/>
      <c r="Q26" s="234"/>
      <c r="R26" s="234"/>
      <c r="S26" s="234"/>
      <c r="T26" s="234"/>
      <c r="U26" s="234"/>
      <c r="V26" s="234"/>
      <c r="W26" s="234"/>
      <c r="X26" s="234"/>
      <c r="Y26" s="234"/>
      <c r="Z26" s="234"/>
      <c r="AA26" s="234"/>
      <c r="AB26" s="234"/>
      <c r="AC26" s="156">
        <f>AC17+AC25</f>
        <v>5</v>
      </c>
      <c r="AD26" s="156"/>
      <c r="AE26" s="156"/>
    </row>
    <row r="27" spans="1:31" ht="22.2" customHeight="1" x14ac:dyDescent="0.35">
      <c r="A27" s="235"/>
      <c r="B27" s="235"/>
      <c r="C27" s="235"/>
      <c r="D27" s="235"/>
      <c r="E27" s="235"/>
      <c r="F27" s="235"/>
      <c r="G27" s="235"/>
      <c r="H27" s="235"/>
      <c r="I27" s="235"/>
      <c r="J27" s="235"/>
      <c r="K27" s="235"/>
      <c r="L27" s="235"/>
      <c r="M27" s="235"/>
      <c r="N27" s="235"/>
      <c r="O27" s="235"/>
      <c r="P27" s="235"/>
      <c r="Q27" s="235"/>
      <c r="R27" s="235"/>
      <c r="S27" s="235"/>
      <c r="T27" s="235"/>
      <c r="U27" s="235"/>
      <c r="V27" s="235"/>
      <c r="W27" s="235"/>
      <c r="X27" s="235"/>
      <c r="Y27" s="235"/>
      <c r="Z27" s="235"/>
      <c r="AA27" s="235"/>
      <c r="AB27" s="235"/>
      <c r="AC27" s="156"/>
      <c r="AD27" s="156"/>
      <c r="AE27" s="156"/>
    </row>
    <row r="28" spans="1:31" ht="15.9" customHeight="1" x14ac:dyDescent="0.35">
      <c r="A28" s="156"/>
      <c r="B28" s="156"/>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6"/>
      <c r="AC28" s="156"/>
      <c r="AD28" s="156"/>
      <c r="AE28" s="156"/>
    </row>
    <row r="29" spans="1:31" ht="15.9" customHeight="1" x14ac:dyDescent="0.35">
      <c r="A29" s="156"/>
      <c r="B29" s="156"/>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row>
    <row r="30" spans="1:31" ht="15.9" customHeight="1" x14ac:dyDescent="0.35">
      <c r="A30" s="156"/>
      <c r="B30" s="156"/>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row>
    <row r="31" spans="1:31" ht="15.9" customHeight="1" x14ac:dyDescent="0.35">
      <c r="A31" s="156"/>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row>
  </sheetData>
  <mergeCells count="44">
    <mergeCell ref="A5:E5"/>
    <mergeCell ref="F5:Z5"/>
    <mergeCell ref="A2:AB2"/>
    <mergeCell ref="A4:E4"/>
    <mergeCell ref="R4:Z4"/>
    <mergeCell ref="F4:O4"/>
    <mergeCell ref="A6:E6"/>
    <mergeCell ref="F6:AB6"/>
    <mergeCell ref="A8:AB8"/>
    <mergeCell ref="A13:AB13"/>
    <mergeCell ref="A14:H14"/>
    <mergeCell ref="I14:J14"/>
    <mergeCell ref="K14:AB14"/>
    <mergeCell ref="A15:H15"/>
    <mergeCell ref="I15:J15"/>
    <mergeCell ref="K15:AB15"/>
    <mergeCell ref="A16:H16"/>
    <mergeCell ref="I16:J16"/>
    <mergeCell ref="K16:AB16"/>
    <mergeCell ref="I22:J22"/>
    <mergeCell ref="K22:AB22"/>
    <mergeCell ref="A17:H17"/>
    <mergeCell ref="I17:J17"/>
    <mergeCell ref="K17:AB17"/>
    <mergeCell ref="A19:AB19"/>
    <mergeCell ref="A20:H20"/>
    <mergeCell ref="I20:J20"/>
    <mergeCell ref="K20:AB20"/>
    <mergeCell ref="A25:H25"/>
    <mergeCell ref="I25:J25"/>
    <mergeCell ref="K25:AB25"/>
    <mergeCell ref="A26:AB27"/>
    <mergeCell ref="AA4:AA5"/>
    <mergeCell ref="AB4:AB5"/>
    <mergeCell ref="A23:H23"/>
    <mergeCell ref="I23:J23"/>
    <mergeCell ref="K23:AB23"/>
    <mergeCell ref="A24:H24"/>
    <mergeCell ref="I24:J24"/>
    <mergeCell ref="K24:AB24"/>
    <mergeCell ref="A21:H21"/>
    <mergeCell ref="I21:J21"/>
    <mergeCell ref="K21:AB21"/>
    <mergeCell ref="A22:H22"/>
  </mergeCells>
  <hyperlinks>
    <hyperlink ref="K21" r:id="rId1" xr:uid="{42B5672E-F003-413A-929E-8A576D6431BF}"/>
    <hyperlink ref="K22" r:id="rId2" xr:uid="{F715A6EA-EFE0-4F5B-B5CB-FFA7A83B4A2D}"/>
    <hyperlink ref="K15" r:id="rId3" xr:uid="{081257DE-EBE2-4101-A347-F95F1B18D8B6}"/>
    <hyperlink ref="K23" r:id="rId4" xr:uid="{C4A94DDA-22BA-4035-AED7-20D48F3F6D8F}"/>
  </hyperlinks>
  <pageMargins left="1.4173228346456694" right="0.23622047244094491" top="0.74803149606299213" bottom="0.74803149606299213" header="0.31496062992125984" footer="0.31496062992125984"/>
  <pageSetup paperSize="122" scale="87" orientation="landscape"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988F5D6-15EB-455D-AE45-6E137E164754}">
          <x14:formula1>
            <xm:f>'ASIS 2 TRIM'!$B$8:$B$25</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12.75" customHeight="1" x14ac:dyDescent="0.35">
      <c r="B2" s="217" t="s">
        <v>73</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3"/>
      <c r="AS2" s="213"/>
      <c r="AT2" s="213"/>
      <c r="AU2" s="213"/>
      <c r="AV2" s="213"/>
      <c r="AW2" s="213"/>
      <c r="AX2" s="213"/>
      <c r="AY2" s="213"/>
      <c r="AZ2" s="213"/>
      <c r="BA2" s="213"/>
      <c r="BB2" s="213"/>
      <c r="BC2" s="213"/>
      <c r="BD2" s="213"/>
      <c r="BE2" s="213"/>
      <c r="BF2" s="213"/>
      <c r="BG2" s="213"/>
      <c r="BH2" s="213"/>
      <c r="BI2" s="213"/>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50</v>
      </c>
      <c r="AL3" s="40"/>
      <c r="AM3" s="40"/>
      <c r="AN3" s="40"/>
      <c r="AO3" s="40"/>
      <c r="AP3" s="40"/>
      <c r="AQ3" s="40"/>
      <c r="AR3" s="40"/>
      <c r="AS3" s="40"/>
      <c r="AT3" s="218">
        <f>CARÁTULA!$H$24</f>
        <v>44440</v>
      </c>
      <c r="AU3" s="213"/>
      <c r="AV3" s="213"/>
      <c r="AW3" s="213"/>
      <c r="AX3" s="213"/>
      <c r="AY3" s="213"/>
      <c r="AZ3" s="213"/>
      <c r="BA3" s="252"/>
      <c r="BB3" s="213"/>
      <c r="BC3" s="213"/>
      <c r="BD3" s="213"/>
      <c r="BE3" s="213"/>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8">
        <f>CARÁTULA!$J$24</f>
        <v>44531</v>
      </c>
      <c r="AU4" s="213"/>
      <c r="AV4" s="213"/>
      <c r="AW4" s="213"/>
      <c r="AX4" s="213"/>
      <c r="AY4" s="213"/>
      <c r="AZ4" s="213"/>
      <c r="BA4" s="253">
        <f ca="1">AT4-AT5</f>
        <v>110</v>
      </c>
      <c r="BB4" s="223"/>
      <c r="BC4" s="223"/>
      <c r="BD4" s="223"/>
      <c r="BE4" s="224"/>
    </row>
    <row r="5" spans="1:61" ht="12.75" customHeight="1" x14ac:dyDescent="0.35">
      <c r="B5" s="38" t="s">
        <v>22</v>
      </c>
      <c r="C5" s="39" t="str">
        <f>CARÁTULA!$C$23</f>
        <v>4to de Secundaria</v>
      </c>
      <c r="D5" s="40"/>
      <c r="E5" s="40"/>
      <c r="F5" s="40"/>
      <c r="G5" s="40"/>
      <c r="H5" s="40"/>
      <c r="I5" s="40"/>
      <c r="J5" s="40"/>
      <c r="K5" s="40"/>
      <c r="L5" s="40"/>
      <c r="M5" s="40"/>
      <c r="N5" s="40"/>
      <c r="O5" s="38"/>
      <c r="P5" s="38"/>
      <c r="Q5" s="38"/>
      <c r="R5" s="38"/>
      <c r="S5" s="43" t="s">
        <v>23</v>
      </c>
      <c r="T5" s="44"/>
      <c r="U5" s="44"/>
      <c r="V5" s="44"/>
      <c r="W5" s="44"/>
      <c r="X5" s="231">
        <f ca="1">TODAY()</f>
        <v>44421</v>
      </c>
      <c r="Y5" s="213"/>
      <c r="Z5" s="213"/>
      <c r="AA5" s="213"/>
      <c r="AB5" s="213"/>
      <c r="AC5" s="213"/>
      <c r="AD5" s="40"/>
      <c r="AE5" s="40"/>
      <c r="AF5" s="40"/>
      <c r="AG5" s="40"/>
      <c r="AH5" s="40"/>
      <c r="AI5" s="40"/>
      <c r="AJ5" s="40"/>
      <c r="AK5" s="45" t="s">
        <v>54</v>
      </c>
      <c r="AL5" s="46"/>
      <c r="AM5" s="46"/>
      <c r="AN5" s="46"/>
      <c r="AO5" s="46"/>
      <c r="AP5" s="46"/>
      <c r="AQ5" s="46"/>
      <c r="AR5" s="40"/>
      <c r="AS5" s="40"/>
      <c r="AT5" s="229">
        <f ca="1">TODAY()</f>
        <v>44421</v>
      </c>
      <c r="AU5" s="213"/>
      <c r="AV5" s="213"/>
      <c r="AW5" s="213"/>
      <c r="AX5" s="213"/>
      <c r="AY5" s="213"/>
      <c r="AZ5" s="213"/>
      <c r="BA5" s="225"/>
      <c r="BB5" s="226"/>
      <c r="BC5" s="226"/>
      <c r="BD5" s="226"/>
      <c r="BE5" s="227"/>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5">
      <c r="A7" s="48" t="s">
        <v>55</v>
      </c>
      <c r="B7" s="49" t="s">
        <v>56</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74</v>
      </c>
      <c r="BB7" s="56" t="s">
        <v>75</v>
      </c>
      <c r="BC7" s="56" t="s">
        <v>76</v>
      </c>
      <c r="BD7" s="56" t="s">
        <v>77</v>
      </c>
      <c r="BE7" s="57" t="s">
        <v>61</v>
      </c>
    </row>
    <row r="8" spans="1:61" ht="12" customHeight="1" x14ac:dyDescent="0.35">
      <c r="A8" s="58">
        <v>1</v>
      </c>
      <c r="B8" s="59" t="str">
        <f>'C. FILIACION'!B8</f>
        <v>BENITEZ BALLESTEROS KAREN ARIANA</v>
      </c>
      <c r="C8" s="48" t="s">
        <v>69</v>
      </c>
      <c r="D8" s="48" t="s">
        <v>70</v>
      </c>
      <c r="E8" s="48" t="s">
        <v>71</v>
      </c>
      <c r="F8" s="48" t="s">
        <v>72</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72</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5">
      <c r="A9" s="58">
        <v>2</v>
      </c>
      <c r="B9" s="59" t="str">
        <f>'C. FILIACION'!B9</f>
        <v>CALIZAYA MERCADO AXEL GABRIEL</v>
      </c>
      <c r="C9" s="48"/>
      <c r="D9" s="48"/>
      <c r="E9" s="48"/>
      <c r="F9" s="48"/>
      <c r="G9" s="48"/>
      <c r="H9" s="48"/>
      <c r="I9" s="48"/>
      <c r="J9" s="48"/>
      <c r="K9" s="48"/>
      <c r="L9" s="48" t="s">
        <v>72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5">
      <c r="A10" s="58">
        <v>3</v>
      </c>
      <c r="B10" s="59" t="str">
        <f>'C. FILIACION'!B10</f>
        <v>CANO GUZMAN FABRIZIO RODRIGO</v>
      </c>
      <c r="C10" s="48"/>
      <c r="D10" s="48" t="s">
        <v>70</v>
      </c>
      <c r="E10" s="48" t="s">
        <v>70</v>
      </c>
      <c r="F10" s="48" t="s">
        <v>70</v>
      </c>
      <c r="G10" s="48" t="s">
        <v>70</v>
      </c>
      <c r="H10" s="48" t="s">
        <v>70</v>
      </c>
      <c r="I10" s="48" t="s">
        <v>70</v>
      </c>
      <c r="J10" s="48" t="s">
        <v>70</v>
      </c>
      <c r="K10" s="48" t="s">
        <v>70</v>
      </c>
      <c r="L10" s="48" t="s">
        <v>70</v>
      </c>
      <c r="M10" s="48" t="s">
        <v>70</v>
      </c>
      <c r="N10" s="48" t="s">
        <v>70</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5">
      <c r="A11" s="58">
        <v>4</v>
      </c>
      <c r="B11" s="59" t="str">
        <f>'C. FILIACION'!B11</f>
        <v>CHOQUE LAURA CARLOS EDUARDO</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5">
      <c r="A12" s="58">
        <v>5</v>
      </c>
      <c r="B12" s="59" t="str">
        <f>'C. FILIACION'!B12</f>
        <v>CONDORI GALARZA DENSEL ALEXSIS</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5">
      <c r="A13" s="58">
        <v>6</v>
      </c>
      <c r="B13" s="59" t="str">
        <f>'C. FILIACION'!B13</f>
        <v>DAZA RAMIREZ KALEP MATEO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5">
      <c r="A14" s="58">
        <v>7</v>
      </c>
      <c r="B14" s="59" t="str">
        <f>'C. FILIACION'!B14</f>
        <v>ESTRADA FUNES NAZARETH</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5">
      <c r="A15" s="58">
        <v>8</v>
      </c>
      <c r="B15" s="59" t="str">
        <f>'C. FILIACION'!B15</f>
        <v>FLORES VILLEGAS CARLOS IVAN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5">
      <c r="A16" s="58">
        <v>9</v>
      </c>
      <c r="B16" s="59" t="str">
        <f>'C. FILIACION'!B16</f>
        <v>FRANCISCO RUIZ LUCERO</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5">
      <c r="A17" s="58">
        <v>10</v>
      </c>
      <c r="B17" s="59" t="str">
        <f>'C. FILIACION'!B17</f>
        <v>IBARRA VINO ELOY INTI</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5">
      <c r="A18" s="58">
        <v>11</v>
      </c>
      <c r="B18" s="59" t="str">
        <f>'C. FILIACION'!B18</f>
        <v>LOPEZ BLANCO SOFIA BELEN</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5">
      <c r="A19" s="58">
        <v>12</v>
      </c>
      <c r="B19" s="59" t="str">
        <f>'C. FILIACION'!B19</f>
        <v>LOPEZ PACO RODRIGO ADRIAN</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5">
      <c r="A20" s="58">
        <v>13</v>
      </c>
      <c r="B20" s="59" t="str">
        <f>'C. FILIACION'!B20</f>
        <v>LOPEZ VERA MILENCA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5">
      <c r="A21" s="58">
        <v>14</v>
      </c>
      <c r="B21" s="59" t="str">
        <f>'C. FILIACION'!B21</f>
        <v>MEDINA CHOQUE JOSE ROBERTO</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5">
      <c r="A22" s="58">
        <v>15</v>
      </c>
      <c r="B22" s="59" t="str">
        <f>'C. FILIACION'!B22</f>
        <v>MIRABAL AYANOME JOSE ALFREDO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5">
      <c r="A23" s="58">
        <v>16</v>
      </c>
      <c r="B23" s="59" t="str">
        <f>'C. FILIACION'!B23</f>
        <v>NINA RUEDA ESTEFANY DANIELA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5">
      <c r="A24" s="58">
        <v>17</v>
      </c>
      <c r="B24" s="59" t="str">
        <f>'C. FILIACION'!B24</f>
        <v>PORTILLO QUISPE JORGE LUIS</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5">
      <c r="A25" s="58">
        <v>18</v>
      </c>
      <c r="B25" s="59" t="str">
        <f>'C. FILIACION'!B25</f>
        <v>TORREZ PACO CARLA MILENKA</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273" t="s">
        <v>78</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5"/>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71" t="s">
        <v>50</v>
      </c>
      <c r="AD3" s="255"/>
      <c r="AE3" s="255"/>
      <c r="AF3" s="255"/>
      <c r="AG3" s="255"/>
      <c r="AH3" s="256"/>
      <c r="AI3" s="231">
        <f>CARÁTULA!$H$14</f>
        <v>44228</v>
      </c>
      <c r="AJ3" s="213"/>
      <c r="AK3" s="213"/>
      <c r="AL3" s="213"/>
      <c r="AM3" s="213"/>
      <c r="AN3" s="274" t="s">
        <v>51</v>
      </c>
      <c r="AO3" s="204"/>
      <c r="AP3" s="204"/>
      <c r="AQ3" s="204"/>
      <c r="AR3" s="205"/>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71" t="s">
        <v>53</v>
      </c>
      <c r="AD4" s="255"/>
      <c r="AE4" s="255"/>
      <c r="AF4" s="255"/>
      <c r="AG4" s="255"/>
      <c r="AH4" s="256"/>
      <c r="AI4" s="231">
        <f>CARÁTULA!$J$14</f>
        <v>44323</v>
      </c>
      <c r="AJ4" s="213"/>
      <c r="AK4" s="213"/>
      <c r="AL4" s="213"/>
      <c r="AM4" s="213"/>
      <c r="AN4" s="253">
        <f ca="1">AI4-AI5</f>
        <v>-98</v>
      </c>
      <c r="AO4" s="223"/>
      <c r="AP4" s="223"/>
      <c r="AQ4" s="223"/>
      <c r="AR4" s="224"/>
    </row>
    <row r="5" spans="1:48" ht="12.75" customHeight="1" x14ac:dyDescent="0.4">
      <c r="A5" s="70"/>
      <c r="B5" s="73" t="s">
        <v>22</v>
      </c>
      <c r="C5" s="74" t="str">
        <f>CARÁTULA!$C$23</f>
        <v>4to de Secundaria</v>
      </c>
      <c r="D5" s="75"/>
      <c r="E5" s="75"/>
      <c r="F5" s="75"/>
      <c r="G5" s="73"/>
      <c r="H5" s="73"/>
      <c r="I5" s="73"/>
      <c r="J5" s="73"/>
      <c r="K5" s="73"/>
      <c r="L5" s="73"/>
      <c r="M5" s="73"/>
      <c r="N5" s="73"/>
      <c r="O5" s="76" t="s">
        <v>23</v>
      </c>
      <c r="P5" s="78"/>
      <c r="Q5" s="78"/>
      <c r="R5" s="78"/>
      <c r="S5" s="267">
        <f ca="1">TODAY()</f>
        <v>44421</v>
      </c>
      <c r="T5" s="204"/>
      <c r="U5" s="204"/>
      <c r="V5" s="204"/>
      <c r="W5" s="204"/>
      <c r="X5" s="204"/>
      <c r="Y5" s="204"/>
      <c r="Z5" s="204"/>
      <c r="AA5" s="205"/>
      <c r="AB5" s="75"/>
      <c r="AC5" s="272" t="s">
        <v>54</v>
      </c>
      <c r="AD5" s="255"/>
      <c r="AE5" s="255"/>
      <c r="AF5" s="255"/>
      <c r="AG5" s="255"/>
      <c r="AH5" s="256"/>
      <c r="AI5" s="275">
        <f ca="1">TODAY()</f>
        <v>44421</v>
      </c>
      <c r="AJ5" s="213"/>
      <c r="AK5" s="213"/>
      <c r="AL5" s="213"/>
      <c r="AM5" s="213"/>
      <c r="AN5" s="225"/>
      <c r="AO5" s="226"/>
      <c r="AP5" s="226"/>
      <c r="AQ5" s="226"/>
      <c r="AR5" s="227"/>
    </row>
    <row r="6" spans="1:48" ht="12.75" customHeight="1" x14ac:dyDescent="0.4">
      <c r="A6" s="70"/>
      <c r="B6" s="73"/>
      <c r="C6" s="219" t="s">
        <v>79</v>
      </c>
      <c r="D6" s="220"/>
      <c r="E6" s="220"/>
      <c r="F6" s="220"/>
      <c r="G6" s="220"/>
      <c r="H6" s="220"/>
      <c r="I6" s="220"/>
      <c r="J6" s="220"/>
      <c r="K6" s="220"/>
      <c r="L6" s="220"/>
      <c r="M6" s="220"/>
      <c r="N6" s="220"/>
      <c r="O6" s="220"/>
      <c r="P6" s="220"/>
      <c r="Q6" s="220"/>
      <c r="R6" s="220"/>
      <c r="S6" s="220"/>
      <c r="T6" s="220"/>
      <c r="U6" s="220"/>
      <c r="V6" s="220"/>
      <c r="W6" s="220"/>
      <c r="X6" s="220"/>
      <c r="Y6" s="220"/>
      <c r="Z6" s="220"/>
      <c r="AA6" s="221"/>
      <c r="AB6" s="268" t="s">
        <v>80</v>
      </c>
      <c r="AC6" s="255"/>
      <c r="AD6" s="255"/>
      <c r="AE6" s="256"/>
      <c r="AF6" s="79"/>
      <c r="AG6" s="80"/>
      <c r="AH6" s="80"/>
      <c r="AI6" s="81"/>
      <c r="AJ6" s="82"/>
      <c r="AK6" s="82"/>
      <c r="AL6" s="82"/>
      <c r="AM6" s="82"/>
      <c r="AN6" s="83"/>
      <c r="AO6" s="83"/>
      <c r="AP6" s="83"/>
      <c r="AQ6" s="83"/>
      <c r="AR6" s="83"/>
    </row>
    <row r="7" spans="1:48" ht="12" customHeight="1" x14ac:dyDescent="0.4">
      <c r="A7" s="70"/>
      <c r="B7" s="84"/>
      <c r="C7" s="269" t="s">
        <v>81</v>
      </c>
      <c r="D7" s="270" t="s">
        <v>82</v>
      </c>
      <c r="E7" s="255"/>
      <c r="F7" s="255"/>
      <c r="G7" s="255"/>
      <c r="H7" s="255"/>
      <c r="I7" s="255"/>
      <c r="J7" s="255"/>
      <c r="K7" s="255"/>
      <c r="L7" s="255"/>
      <c r="M7" s="255"/>
      <c r="N7" s="255"/>
      <c r="O7" s="266" t="s">
        <v>83</v>
      </c>
      <c r="P7" s="270" t="s">
        <v>84</v>
      </c>
      <c r="Q7" s="255"/>
      <c r="R7" s="255"/>
      <c r="S7" s="255"/>
      <c r="T7" s="255"/>
      <c r="U7" s="255"/>
      <c r="V7" s="255"/>
      <c r="W7" s="255"/>
      <c r="X7" s="255"/>
      <c r="Y7" s="255"/>
      <c r="Z7" s="255"/>
      <c r="AA7" s="265" t="s">
        <v>85</v>
      </c>
      <c r="AB7" s="266" t="s">
        <v>83</v>
      </c>
      <c r="AC7" s="265" t="s">
        <v>86</v>
      </c>
      <c r="AD7" s="265" t="s">
        <v>87</v>
      </c>
      <c r="AE7" s="266" t="s">
        <v>83</v>
      </c>
      <c r="AF7" s="258" t="s">
        <v>88</v>
      </c>
      <c r="AG7" s="260" t="s">
        <v>89</v>
      </c>
      <c r="AH7" s="261" t="s">
        <v>90</v>
      </c>
      <c r="AI7" s="220"/>
      <c r="AJ7" s="220"/>
      <c r="AK7" s="220"/>
      <c r="AL7" s="220"/>
      <c r="AM7" s="221"/>
      <c r="AN7" s="85"/>
      <c r="AO7" s="75"/>
      <c r="AP7" s="75"/>
      <c r="AQ7" s="75"/>
      <c r="AR7" s="70"/>
    </row>
    <row r="8" spans="1:48" ht="147" x14ac:dyDescent="0.35">
      <c r="A8" s="48" t="s">
        <v>55</v>
      </c>
      <c r="B8" s="49" t="s">
        <v>56</v>
      </c>
      <c r="C8" s="259"/>
      <c r="D8" s="86" t="s">
        <v>91</v>
      </c>
      <c r="E8" s="86" t="s">
        <v>92</v>
      </c>
      <c r="F8" s="86" t="s">
        <v>93</v>
      </c>
      <c r="G8" s="53"/>
      <c r="H8" s="53"/>
      <c r="I8" s="53"/>
      <c r="J8" s="51"/>
      <c r="K8" s="52"/>
      <c r="L8" s="52"/>
      <c r="M8" s="53"/>
      <c r="N8" s="54"/>
      <c r="O8" s="259"/>
      <c r="P8" s="86" t="s">
        <v>94</v>
      </c>
      <c r="Q8" s="86" t="s">
        <v>95</v>
      </c>
      <c r="R8" s="52"/>
      <c r="S8" s="53"/>
      <c r="T8" s="53"/>
      <c r="U8" s="53"/>
      <c r="V8" s="53"/>
      <c r="W8" s="53"/>
      <c r="X8" s="53"/>
      <c r="Y8" s="53"/>
      <c r="Z8" s="53"/>
      <c r="AA8" s="259"/>
      <c r="AB8" s="259"/>
      <c r="AC8" s="259"/>
      <c r="AD8" s="259"/>
      <c r="AE8" s="259"/>
      <c r="AF8" s="259"/>
      <c r="AG8" s="259"/>
      <c r="AH8" s="262"/>
      <c r="AI8" s="263"/>
      <c r="AJ8" s="263"/>
      <c r="AK8" s="263"/>
      <c r="AL8" s="263"/>
      <c r="AM8" s="264"/>
      <c r="AN8" s="87"/>
      <c r="AO8" s="87"/>
      <c r="AP8" s="87"/>
      <c r="AQ8" s="87"/>
      <c r="AR8" s="88"/>
    </row>
    <row r="9" spans="1:48" ht="12" customHeight="1" x14ac:dyDescent="0.35">
      <c r="A9" s="58">
        <v>1</v>
      </c>
      <c r="B9" s="89" t="str">
        <f>'C. FILIACION'!B8</f>
        <v>BENITEZ BALLESTEROS KAREN ARIANA</v>
      </c>
      <c r="C9" s="31">
        <v>10</v>
      </c>
      <c r="D9" s="60">
        <v>30</v>
      </c>
      <c r="E9" s="90">
        <v>30</v>
      </c>
      <c r="F9" s="90">
        <v>30</v>
      </c>
      <c r="G9" s="31"/>
      <c r="H9" s="31"/>
      <c r="I9" s="31"/>
      <c r="J9" s="31"/>
      <c r="K9" s="31"/>
      <c r="L9" s="31"/>
      <c r="M9" s="31"/>
      <c r="N9" s="31"/>
      <c r="O9" s="91">
        <f t="shared" ref="O9:O44" si="0">IFERROR(ROUND(AVERAGE(D9:N9),0),"")</f>
        <v>30</v>
      </c>
      <c r="P9" s="90">
        <v>30</v>
      </c>
      <c r="Q9" s="90">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90</v>
      </c>
      <c r="AH9" s="254" t="str">
        <f t="shared" ref="AH9:AH44" si="5">IF(AG9="","",(IF(AND(AG9&gt;=1,AG9&lt;=50.499),"REPROBADO",IF(AND(AG9&gt;=50.5,AG9&lt;=100),"APROBADO"))))</f>
        <v>APROBADO</v>
      </c>
      <c r="AI9" s="255"/>
      <c r="AJ9" s="255"/>
      <c r="AK9" s="255"/>
      <c r="AL9" s="255"/>
      <c r="AM9" s="256"/>
      <c r="AN9" s="93" t="s">
        <v>96</v>
      </c>
      <c r="AO9" s="257">
        <f>COUNTIF(AF9:AF44,"ED")</f>
        <v>0</v>
      </c>
      <c r="AP9" s="256"/>
      <c r="AQ9" s="94"/>
      <c r="AR9" s="94"/>
    </row>
    <row r="10" spans="1:48" ht="12" customHeight="1" x14ac:dyDescent="0.35">
      <c r="A10" s="58">
        <v>2</v>
      </c>
      <c r="B10" s="89" t="str">
        <f>'C. FILIACION'!B9</f>
        <v>CALIZAYA MERCADO AXEL GABRIEL</v>
      </c>
      <c r="C10" s="31">
        <v>10</v>
      </c>
      <c r="D10" s="60">
        <v>30</v>
      </c>
      <c r="E10" s="90">
        <v>0</v>
      </c>
      <c r="F10" s="90">
        <v>0</v>
      </c>
      <c r="G10" s="31"/>
      <c r="H10" s="31"/>
      <c r="I10" s="31"/>
      <c r="J10" s="31"/>
      <c r="K10" s="31"/>
      <c r="L10" s="31"/>
      <c r="M10" s="31"/>
      <c r="N10" s="31"/>
      <c r="O10" s="91">
        <f t="shared" si="0"/>
        <v>10</v>
      </c>
      <c r="P10" s="90">
        <v>30</v>
      </c>
      <c r="Q10" s="90">
        <v>0</v>
      </c>
      <c r="R10" s="31"/>
      <c r="S10" s="31"/>
      <c r="T10" s="31"/>
      <c r="U10" s="31"/>
      <c r="V10" s="31"/>
      <c r="W10" s="31"/>
      <c r="X10" s="31"/>
      <c r="Y10" s="31"/>
      <c r="Z10" s="31"/>
      <c r="AA10" s="31">
        <v>10</v>
      </c>
      <c r="AB10" s="91">
        <f t="shared" si="1"/>
        <v>15</v>
      </c>
      <c r="AC10" s="31">
        <v>5</v>
      </c>
      <c r="AD10" s="31">
        <v>5</v>
      </c>
      <c r="AE10" s="91">
        <f t="shared" si="2"/>
        <v>10</v>
      </c>
      <c r="AF10" s="92" t="str">
        <f t="shared" si="3"/>
        <v>DA</v>
      </c>
      <c r="AG10" s="91">
        <f t="shared" si="4"/>
        <v>55</v>
      </c>
      <c r="AH10" s="254" t="str">
        <f t="shared" si="5"/>
        <v>APROBADO</v>
      </c>
      <c r="AI10" s="255"/>
      <c r="AJ10" s="255"/>
      <c r="AK10" s="255"/>
      <c r="AL10" s="255"/>
      <c r="AM10" s="256"/>
      <c r="AN10" s="48" t="s">
        <v>97</v>
      </c>
      <c r="AO10" s="257">
        <f>COUNTIF(AF9:AF44,"DA")</f>
        <v>3</v>
      </c>
      <c r="AP10" s="256"/>
      <c r="AQ10" s="94"/>
      <c r="AR10" s="94"/>
    </row>
    <row r="11" spans="1:48" ht="12" customHeight="1" x14ac:dyDescent="0.35">
      <c r="A11" s="58">
        <v>3</v>
      </c>
      <c r="B11" s="89" t="str">
        <f>'C. FILIACION'!B10</f>
        <v>CANO GUZMAN FABRIZIO RODRIGO</v>
      </c>
      <c r="C11" s="31">
        <v>10</v>
      </c>
      <c r="D11" s="60">
        <v>30</v>
      </c>
      <c r="E11" s="90">
        <v>5</v>
      </c>
      <c r="F11" s="90">
        <v>5</v>
      </c>
      <c r="G11" s="31"/>
      <c r="H11" s="31"/>
      <c r="I11" s="31"/>
      <c r="J11" s="31"/>
      <c r="K11" s="31"/>
      <c r="L11" s="31"/>
      <c r="M11" s="31"/>
      <c r="N11" s="31"/>
      <c r="O11" s="91">
        <f t="shared" si="0"/>
        <v>13</v>
      </c>
      <c r="P11" s="90">
        <v>30</v>
      </c>
      <c r="Q11" s="90">
        <v>5</v>
      </c>
      <c r="R11" s="31"/>
      <c r="S11" s="31"/>
      <c r="T11" s="31"/>
      <c r="U11" s="31"/>
      <c r="V11" s="31"/>
      <c r="W11" s="31"/>
      <c r="X11" s="31"/>
      <c r="Y11" s="31"/>
      <c r="Z11" s="31"/>
      <c r="AA11" s="31">
        <v>10</v>
      </c>
      <c r="AB11" s="91">
        <f t="shared" si="1"/>
        <v>18</v>
      </c>
      <c r="AC11" s="31">
        <v>5</v>
      </c>
      <c r="AD11" s="31">
        <v>5</v>
      </c>
      <c r="AE11" s="91">
        <f t="shared" si="2"/>
        <v>10</v>
      </c>
      <c r="AF11" s="92" t="str">
        <f t="shared" si="3"/>
        <v>DA</v>
      </c>
      <c r="AG11" s="91">
        <f t="shared" si="4"/>
        <v>61</v>
      </c>
      <c r="AH11" s="254" t="str">
        <f t="shared" si="5"/>
        <v>APROBADO</v>
      </c>
      <c r="AI11" s="255"/>
      <c r="AJ11" s="255"/>
      <c r="AK11" s="255"/>
      <c r="AL11" s="255"/>
      <c r="AM11" s="256"/>
      <c r="AN11" s="48" t="s">
        <v>98</v>
      </c>
      <c r="AO11" s="257">
        <f>COUNTIF(AF9:AF44,"DO")</f>
        <v>2</v>
      </c>
      <c r="AP11" s="256"/>
      <c r="AQ11" s="94"/>
      <c r="AR11" s="94"/>
    </row>
    <row r="12" spans="1:48" ht="12" customHeight="1" x14ac:dyDescent="0.35">
      <c r="A12" s="58">
        <v>4</v>
      </c>
      <c r="B12" s="89" t="str">
        <f>'C. FILIACION'!B11</f>
        <v>CHOQUE LAURA CARLOS EDUARDO</v>
      </c>
      <c r="C12" s="31">
        <v>10</v>
      </c>
      <c r="D12" s="60">
        <v>30</v>
      </c>
      <c r="E12" s="90">
        <v>30</v>
      </c>
      <c r="F12" s="90">
        <v>30</v>
      </c>
      <c r="G12" s="31"/>
      <c r="H12" s="31"/>
      <c r="I12" s="31"/>
      <c r="J12" s="31"/>
      <c r="K12" s="31"/>
      <c r="L12" s="31"/>
      <c r="M12" s="31"/>
      <c r="N12" s="31"/>
      <c r="O12" s="91">
        <f t="shared" si="0"/>
        <v>30</v>
      </c>
      <c r="P12" s="90">
        <v>30</v>
      </c>
      <c r="Q12" s="90">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90</v>
      </c>
      <c r="AH12" s="254" t="str">
        <f t="shared" si="5"/>
        <v>APROBADO</v>
      </c>
      <c r="AI12" s="255"/>
      <c r="AJ12" s="255"/>
      <c r="AK12" s="255"/>
      <c r="AL12" s="255"/>
      <c r="AM12" s="256"/>
      <c r="AN12" s="48" t="s">
        <v>99</v>
      </c>
      <c r="AO12" s="257">
        <f>COUNTIF(AF9:AF44,"DP")</f>
        <v>31</v>
      </c>
      <c r="AP12" s="256"/>
      <c r="AQ12" s="94"/>
      <c r="AR12" s="94"/>
    </row>
    <row r="13" spans="1:48" ht="12" customHeight="1" x14ac:dyDescent="0.35">
      <c r="A13" s="58">
        <v>5</v>
      </c>
      <c r="B13" s="89" t="str">
        <f>'C. FILIACION'!B12</f>
        <v>CONDORI GALARZA DENSEL ALEXSIS</v>
      </c>
      <c r="C13" s="31">
        <v>10</v>
      </c>
      <c r="D13" s="60">
        <v>30</v>
      </c>
      <c r="E13" s="90">
        <v>30</v>
      </c>
      <c r="F13" s="90">
        <v>30</v>
      </c>
      <c r="G13" s="31"/>
      <c r="H13" s="31"/>
      <c r="I13" s="31"/>
      <c r="J13" s="31"/>
      <c r="K13" s="31"/>
      <c r="L13" s="31"/>
      <c r="M13" s="31"/>
      <c r="N13" s="31"/>
      <c r="O13" s="91">
        <f t="shared" si="0"/>
        <v>30</v>
      </c>
      <c r="P13" s="90">
        <v>30</v>
      </c>
      <c r="Q13" s="90">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90</v>
      </c>
      <c r="AH13" s="254" t="str">
        <f t="shared" si="5"/>
        <v>APROBADO</v>
      </c>
      <c r="AI13" s="255"/>
      <c r="AJ13" s="255"/>
      <c r="AK13" s="255"/>
      <c r="AL13" s="255"/>
      <c r="AM13" s="256"/>
      <c r="AN13" s="94"/>
      <c r="AO13" s="94"/>
      <c r="AP13" s="94"/>
      <c r="AQ13" s="94"/>
      <c r="AR13" s="94"/>
    </row>
    <row r="14" spans="1:48" ht="12" customHeight="1" x14ac:dyDescent="0.35">
      <c r="A14" s="58">
        <v>6</v>
      </c>
      <c r="B14" s="89" t="str">
        <f>'C. FILIACION'!B13</f>
        <v>DAZA RAMIREZ KALEP MATEO</v>
      </c>
      <c r="C14" s="31">
        <v>10</v>
      </c>
      <c r="D14" s="60">
        <v>30</v>
      </c>
      <c r="E14" s="90">
        <v>30</v>
      </c>
      <c r="F14" s="90">
        <v>5</v>
      </c>
      <c r="G14" s="31"/>
      <c r="H14" s="31"/>
      <c r="I14" s="31"/>
      <c r="J14" s="31"/>
      <c r="K14" s="31"/>
      <c r="L14" s="31"/>
      <c r="M14" s="31"/>
      <c r="N14" s="31"/>
      <c r="O14" s="91">
        <f t="shared" si="0"/>
        <v>22</v>
      </c>
      <c r="P14" s="90">
        <v>30</v>
      </c>
      <c r="Q14" s="90">
        <v>5</v>
      </c>
      <c r="R14" s="31"/>
      <c r="S14" s="31"/>
      <c r="T14" s="31"/>
      <c r="U14" s="31"/>
      <c r="V14" s="31"/>
      <c r="W14" s="31"/>
      <c r="X14" s="31"/>
      <c r="Y14" s="31"/>
      <c r="Z14" s="31"/>
      <c r="AA14" s="31">
        <v>10</v>
      </c>
      <c r="AB14" s="91">
        <f t="shared" si="1"/>
        <v>18</v>
      </c>
      <c r="AC14" s="31">
        <v>5</v>
      </c>
      <c r="AD14" s="31">
        <v>5</v>
      </c>
      <c r="AE14" s="91">
        <f t="shared" si="2"/>
        <v>10</v>
      </c>
      <c r="AF14" s="92" t="str">
        <f t="shared" si="3"/>
        <v>DO</v>
      </c>
      <c r="AG14" s="91">
        <f t="shared" si="4"/>
        <v>70</v>
      </c>
      <c r="AH14" s="254" t="str">
        <f t="shared" si="5"/>
        <v>APROBADO</v>
      </c>
      <c r="AI14" s="255"/>
      <c r="AJ14" s="255"/>
      <c r="AK14" s="255"/>
      <c r="AL14" s="255"/>
      <c r="AM14" s="256"/>
      <c r="AN14" s="94"/>
      <c r="AO14" s="94"/>
      <c r="AP14" s="94"/>
      <c r="AQ14" s="94"/>
      <c r="AR14" s="94"/>
    </row>
    <row r="15" spans="1:48" ht="12" customHeight="1" x14ac:dyDescent="0.35">
      <c r="A15" s="58">
        <v>7</v>
      </c>
      <c r="B15" s="89" t="str">
        <f>'C. FILIACION'!B14</f>
        <v>ESTRADA FUNES NAZARETH</v>
      </c>
      <c r="C15" s="31">
        <v>10</v>
      </c>
      <c r="D15" s="60">
        <v>30</v>
      </c>
      <c r="E15" s="90">
        <v>30</v>
      </c>
      <c r="F15" s="90">
        <v>30</v>
      </c>
      <c r="G15" s="31"/>
      <c r="H15" s="31"/>
      <c r="I15" s="31"/>
      <c r="J15" s="31"/>
      <c r="K15" s="31"/>
      <c r="L15" s="31"/>
      <c r="M15" s="31"/>
      <c r="N15" s="31"/>
      <c r="O15" s="91">
        <f t="shared" si="0"/>
        <v>30</v>
      </c>
      <c r="P15" s="90">
        <v>30</v>
      </c>
      <c r="Q15" s="90">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90</v>
      </c>
      <c r="AH15" s="254" t="str">
        <f t="shared" si="5"/>
        <v>APROBADO</v>
      </c>
      <c r="AI15" s="255"/>
      <c r="AJ15" s="255"/>
      <c r="AK15" s="255"/>
      <c r="AL15" s="255"/>
      <c r="AM15" s="256"/>
      <c r="AN15" s="94"/>
      <c r="AO15" s="94"/>
      <c r="AP15" s="94"/>
      <c r="AQ15" s="94"/>
      <c r="AR15" s="94"/>
    </row>
    <row r="16" spans="1:48" ht="12" customHeight="1" x14ac:dyDescent="0.35">
      <c r="A16" s="58">
        <v>8</v>
      </c>
      <c r="B16" s="89" t="str">
        <f>'C. FILIACION'!B15</f>
        <v>FLORES VILLEGAS CARLOS IVAN</v>
      </c>
      <c r="C16" s="31">
        <v>10</v>
      </c>
      <c r="D16" s="60">
        <v>30</v>
      </c>
      <c r="E16" s="90">
        <v>30</v>
      </c>
      <c r="F16" s="90">
        <v>30</v>
      </c>
      <c r="G16" s="31"/>
      <c r="H16" s="31"/>
      <c r="I16" s="31"/>
      <c r="J16" s="31"/>
      <c r="K16" s="31"/>
      <c r="L16" s="31"/>
      <c r="M16" s="31"/>
      <c r="N16" s="31"/>
      <c r="O16" s="91">
        <f t="shared" si="0"/>
        <v>30</v>
      </c>
      <c r="P16" s="90">
        <v>30</v>
      </c>
      <c r="Q16" s="90">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90</v>
      </c>
      <c r="AH16" s="254" t="str">
        <f t="shared" si="5"/>
        <v>APROBADO</v>
      </c>
      <c r="AI16" s="255"/>
      <c r="AJ16" s="255"/>
      <c r="AK16" s="255"/>
      <c r="AL16" s="255"/>
      <c r="AM16" s="256"/>
      <c r="AN16" s="94"/>
      <c r="AO16" s="94"/>
      <c r="AP16" s="94"/>
      <c r="AQ16" s="94"/>
      <c r="AR16" s="94"/>
    </row>
    <row r="17" spans="1:44" ht="12" customHeight="1" x14ac:dyDescent="0.35">
      <c r="A17" s="58">
        <v>9</v>
      </c>
      <c r="B17" s="89" t="str">
        <f>'C. FILIACION'!B16</f>
        <v>FRANCISCO RUIZ LUCERO</v>
      </c>
      <c r="C17" s="31">
        <v>10</v>
      </c>
      <c r="D17" s="60">
        <v>30</v>
      </c>
      <c r="E17" s="90">
        <v>30</v>
      </c>
      <c r="F17" s="90">
        <v>30</v>
      </c>
      <c r="G17" s="31"/>
      <c r="H17" s="31"/>
      <c r="I17" s="31"/>
      <c r="J17" s="31"/>
      <c r="K17" s="31"/>
      <c r="L17" s="31"/>
      <c r="M17" s="31"/>
      <c r="N17" s="31"/>
      <c r="O17" s="91">
        <f t="shared" si="0"/>
        <v>30</v>
      </c>
      <c r="P17" s="90">
        <v>30</v>
      </c>
      <c r="Q17" s="90">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90</v>
      </c>
      <c r="AH17" s="254" t="str">
        <f t="shared" si="5"/>
        <v>APROBADO</v>
      </c>
      <c r="AI17" s="255"/>
      <c r="AJ17" s="255"/>
      <c r="AK17" s="255"/>
      <c r="AL17" s="255"/>
      <c r="AM17" s="256"/>
      <c r="AN17" s="94"/>
      <c r="AO17" s="94"/>
      <c r="AP17" s="94"/>
      <c r="AQ17" s="94"/>
      <c r="AR17" s="94"/>
    </row>
    <row r="18" spans="1:44" ht="12" customHeight="1" x14ac:dyDescent="0.35">
      <c r="A18" s="58">
        <v>10</v>
      </c>
      <c r="B18" s="89" t="str">
        <f>'C. FILIACION'!B17</f>
        <v>IBARRA VINO ELOY INTI</v>
      </c>
      <c r="C18" s="31">
        <v>10</v>
      </c>
      <c r="D18" s="60">
        <v>30</v>
      </c>
      <c r="E18" s="90">
        <v>30</v>
      </c>
      <c r="F18" s="90">
        <v>30</v>
      </c>
      <c r="G18" s="31"/>
      <c r="H18" s="31"/>
      <c r="I18" s="31"/>
      <c r="J18" s="31"/>
      <c r="K18" s="31"/>
      <c r="L18" s="31"/>
      <c r="M18" s="31"/>
      <c r="N18" s="31"/>
      <c r="O18" s="91">
        <f t="shared" si="0"/>
        <v>30</v>
      </c>
      <c r="P18" s="90">
        <v>30</v>
      </c>
      <c r="Q18" s="90">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90</v>
      </c>
      <c r="AH18" s="254" t="str">
        <f t="shared" si="5"/>
        <v>APROBADO</v>
      </c>
      <c r="AI18" s="255"/>
      <c r="AJ18" s="255"/>
      <c r="AK18" s="255"/>
      <c r="AL18" s="255"/>
      <c r="AM18" s="256"/>
      <c r="AN18" s="94"/>
      <c r="AO18" s="94"/>
      <c r="AP18" s="94"/>
      <c r="AQ18" s="94"/>
      <c r="AR18" s="94"/>
    </row>
    <row r="19" spans="1:44" ht="12" customHeight="1" x14ac:dyDescent="0.35">
      <c r="A19" s="58">
        <v>11</v>
      </c>
      <c r="B19" s="89" t="str">
        <f>'C. FILIACION'!B18</f>
        <v>LOPEZ BLANCO SOFIA BELEN</v>
      </c>
      <c r="C19" s="31">
        <v>10</v>
      </c>
      <c r="D19" s="60">
        <v>30</v>
      </c>
      <c r="E19" s="90">
        <v>30</v>
      </c>
      <c r="F19" s="90">
        <v>30</v>
      </c>
      <c r="G19" s="31"/>
      <c r="H19" s="31"/>
      <c r="I19" s="31"/>
      <c r="J19" s="31"/>
      <c r="K19" s="31"/>
      <c r="L19" s="31"/>
      <c r="M19" s="31"/>
      <c r="N19" s="31"/>
      <c r="O19" s="91">
        <f t="shared" si="0"/>
        <v>30</v>
      </c>
      <c r="P19" s="90">
        <v>30</v>
      </c>
      <c r="Q19" s="90">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90</v>
      </c>
      <c r="AH19" s="254" t="str">
        <f t="shared" si="5"/>
        <v>APROBADO</v>
      </c>
      <c r="AI19" s="255"/>
      <c r="AJ19" s="255"/>
      <c r="AK19" s="255"/>
      <c r="AL19" s="255"/>
      <c r="AM19" s="256"/>
      <c r="AN19" s="94"/>
      <c r="AO19" s="94"/>
      <c r="AP19" s="94"/>
      <c r="AQ19" s="94"/>
      <c r="AR19" s="94"/>
    </row>
    <row r="20" spans="1:44" ht="12" customHeight="1" x14ac:dyDescent="0.35">
      <c r="A20" s="58">
        <v>12</v>
      </c>
      <c r="B20" s="89" t="str">
        <f>'C. FILIACION'!B19</f>
        <v>LOPEZ PACO RODRIGO ADRIAN</v>
      </c>
      <c r="C20" s="31">
        <v>10</v>
      </c>
      <c r="D20" s="60">
        <v>30</v>
      </c>
      <c r="E20" s="90">
        <v>5</v>
      </c>
      <c r="F20" s="90">
        <v>5</v>
      </c>
      <c r="G20" s="31"/>
      <c r="H20" s="31"/>
      <c r="I20" s="31"/>
      <c r="J20" s="31"/>
      <c r="K20" s="31"/>
      <c r="L20" s="31"/>
      <c r="M20" s="31"/>
      <c r="N20" s="31"/>
      <c r="O20" s="91">
        <f t="shared" si="0"/>
        <v>13</v>
      </c>
      <c r="P20" s="90">
        <v>30</v>
      </c>
      <c r="Q20" s="90">
        <v>5</v>
      </c>
      <c r="R20" s="31"/>
      <c r="S20" s="31"/>
      <c r="T20" s="31"/>
      <c r="U20" s="31"/>
      <c r="V20" s="31"/>
      <c r="W20" s="31"/>
      <c r="X20" s="31"/>
      <c r="Y20" s="31"/>
      <c r="Z20" s="31"/>
      <c r="AA20" s="31">
        <v>10</v>
      </c>
      <c r="AB20" s="91">
        <f t="shared" si="1"/>
        <v>18</v>
      </c>
      <c r="AC20" s="31">
        <v>5</v>
      </c>
      <c r="AD20" s="31">
        <v>5</v>
      </c>
      <c r="AE20" s="91">
        <f t="shared" si="2"/>
        <v>10</v>
      </c>
      <c r="AF20" s="92" t="str">
        <f t="shared" si="3"/>
        <v>DA</v>
      </c>
      <c r="AG20" s="91">
        <f t="shared" si="4"/>
        <v>61</v>
      </c>
      <c r="AH20" s="254" t="str">
        <f t="shared" si="5"/>
        <v>APROBADO</v>
      </c>
      <c r="AI20" s="255"/>
      <c r="AJ20" s="255"/>
      <c r="AK20" s="255"/>
      <c r="AL20" s="255"/>
      <c r="AM20" s="256"/>
      <c r="AN20" s="94"/>
      <c r="AO20" s="94"/>
      <c r="AP20" s="94"/>
      <c r="AQ20" s="94"/>
      <c r="AR20" s="94"/>
    </row>
    <row r="21" spans="1:44" ht="12" customHeight="1" x14ac:dyDescent="0.35">
      <c r="A21" s="58">
        <v>13</v>
      </c>
      <c r="B21" s="89" t="str">
        <f>'C. FILIACION'!B20</f>
        <v>LOPEZ VERA MILENCA</v>
      </c>
      <c r="C21" s="31">
        <v>10</v>
      </c>
      <c r="D21" s="60">
        <v>30</v>
      </c>
      <c r="E21" s="90">
        <v>30</v>
      </c>
      <c r="F21" s="90">
        <v>30</v>
      </c>
      <c r="G21" s="31"/>
      <c r="H21" s="31"/>
      <c r="I21" s="31"/>
      <c r="J21" s="31"/>
      <c r="K21" s="31"/>
      <c r="L21" s="31"/>
      <c r="M21" s="31"/>
      <c r="N21" s="31"/>
      <c r="O21" s="91">
        <f t="shared" si="0"/>
        <v>30</v>
      </c>
      <c r="P21" s="90">
        <v>30</v>
      </c>
      <c r="Q21" s="90">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90</v>
      </c>
      <c r="AH21" s="254" t="str">
        <f t="shared" si="5"/>
        <v>APROBADO</v>
      </c>
      <c r="AI21" s="255"/>
      <c r="AJ21" s="255"/>
      <c r="AK21" s="255"/>
      <c r="AL21" s="255"/>
      <c r="AM21" s="256"/>
      <c r="AN21" s="94"/>
      <c r="AO21" s="94"/>
      <c r="AP21" s="94"/>
      <c r="AQ21" s="94"/>
      <c r="AR21" s="94"/>
    </row>
    <row r="22" spans="1:44" ht="12" customHeight="1" x14ac:dyDescent="0.35">
      <c r="A22" s="58">
        <v>14</v>
      </c>
      <c r="B22" s="89" t="str">
        <f>'C. FILIACION'!B21</f>
        <v>MEDINA CHOQUE JOSE ROBERTO</v>
      </c>
      <c r="C22" s="31">
        <v>10</v>
      </c>
      <c r="D22" s="60">
        <v>30</v>
      </c>
      <c r="E22" s="90">
        <v>30</v>
      </c>
      <c r="F22" s="90">
        <v>30</v>
      </c>
      <c r="G22" s="31"/>
      <c r="H22" s="31"/>
      <c r="I22" s="31"/>
      <c r="J22" s="31"/>
      <c r="K22" s="31"/>
      <c r="L22" s="31"/>
      <c r="M22" s="31"/>
      <c r="N22" s="31"/>
      <c r="O22" s="91">
        <f t="shared" si="0"/>
        <v>30</v>
      </c>
      <c r="P22" s="90">
        <v>30</v>
      </c>
      <c r="Q22" s="90">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90</v>
      </c>
      <c r="AH22" s="254" t="str">
        <f t="shared" si="5"/>
        <v>APROBADO</v>
      </c>
      <c r="AI22" s="255"/>
      <c r="AJ22" s="255"/>
      <c r="AK22" s="255"/>
      <c r="AL22" s="255"/>
      <c r="AM22" s="256"/>
      <c r="AN22" s="94"/>
      <c r="AO22" s="94"/>
      <c r="AP22" s="94"/>
      <c r="AQ22" s="94"/>
      <c r="AR22" s="94"/>
    </row>
    <row r="23" spans="1:44" ht="12" customHeight="1" x14ac:dyDescent="0.35">
      <c r="A23" s="58">
        <v>15</v>
      </c>
      <c r="B23" s="89" t="str">
        <f>'C. FILIACION'!B22</f>
        <v>MIRABAL AYANOME JOSE ALFREDO</v>
      </c>
      <c r="C23" s="31">
        <v>10</v>
      </c>
      <c r="D23" s="60">
        <v>30</v>
      </c>
      <c r="E23" s="90">
        <v>30</v>
      </c>
      <c r="F23" s="90">
        <v>5</v>
      </c>
      <c r="G23" s="31"/>
      <c r="H23" s="31"/>
      <c r="I23" s="31"/>
      <c r="J23" s="31"/>
      <c r="K23" s="31"/>
      <c r="L23" s="31"/>
      <c r="M23" s="31"/>
      <c r="N23" s="31"/>
      <c r="O23" s="91">
        <f t="shared" si="0"/>
        <v>22</v>
      </c>
      <c r="P23" s="90">
        <v>30</v>
      </c>
      <c r="Q23" s="90">
        <v>5</v>
      </c>
      <c r="R23" s="31"/>
      <c r="S23" s="31"/>
      <c r="T23" s="31"/>
      <c r="U23" s="31"/>
      <c r="V23" s="31"/>
      <c r="W23" s="31"/>
      <c r="X23" s="31"/>
      <c r="Y23" s="31"/>
      <c r="Z23" s="31"/>
      <c r="AA23" s="31">
        <v>10</v>
      </c>
      <c r="AB23" s="91">
        <f t="shared" si="1"/>
        <v>18</v>
      </c>
      <c r="AC23" s="31">
        <v>5</v>
      </c>
      <c r="AD23" s="31">
        <v>5</v>
      </c>
      <c r="AE23" s="91">
        <f t="shared" si="2"/>
        <v>10</v>
      </c>
      <c r="AF23" s="92" t="str">
        <f t="shared" si="3"/>
        <v>DO</v>
      </c>
      <c r="AG23" s="91">
        <f t="shared" si="4"/>
        <v>70</v>
      </c>
      <c r="AH23" s="254" t="str">
        <f t="shared" si="5"/>
        <v>APROBADO</v>
      </c>
      <c r="AI23" s="255"/>
      <c r="AJ23" s="255"/>
      <c r="AK23" s="255"/>
      <c r="AL23" s="255"/>
      <c r="AM23" s="256"/>
      <c r="AN23" s="94"/>
      <c r="AO23" s="94"/>
      <c r="AP23" s="94"/>
      <c r="AQ23" s="94"/>
      <c r="AR23" s="94"/>
    </row>
    <row r="24" spans="1:44" ht="12" customHeight="1" x14ac:dyDescent="0.35">
      <c r="A24" s="58">
        <v>16</v>
      </c>
      <c r="B24" s="89" t="str">
        <f>'C. FILIACION'!B23</f>
        <v>NINA RUEDA ESTEFANY DANIELA</v>
      </c>
      <c r="C24" s="31">
        <v>10</v>
      </c>
      <c r="D24" s="60">
        <v>30</v>
      </c>
      <c r="E24" s="90">
        <v>30</v>
      </c>
      <c r="F24" s="90">
        <v>30</v>
      </c>
      <c r="G24" s="31"/>
      <c r="H24" s="31"/>
      <c r="I24" s="31"/>
      <c r="J24" s="31"/>
      <c r="K24" s="31"/>
      <c r="L24" s="31"/>
      <c r="M24" s="31"/>
      <c r="N24" s="31"/>
      <c r="O24" s="91">
        <f t="shared" si="0"/>
        <v>30</v>
      </c>
      <c r="P24" s="90">
        <v>30</v>
      </c>
      <c r="Q24" s="90">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90</v>
      </c>
      <c r="AH24" s="254" t="str">
        <f t="shared" si="5"/>
        <v>APROBADO</v>
      </c>
      <c r="AI24" s="255"/>
      <c r="AJ24" s="255"/>
      <c r="AK24" s="255"/>
      <c r="AL24" s="255"/>
      <c r="AM24" s="256"/>
      <c r="AN24" s="94"/>
      <c r="AO24" s="94"/>
      <c r="AP24" s="94"/>
      <c r="AQ24" s="94"/>
      <c r="AR24" s="94"/>
    </row>
    <row r="25" spans="1:44" ht="12" customHeight="1" x14ac:dyDescent="0.35">
      <c r="A25" s="58">
        <v>17</v>
      </c>
      <c r="B25" s="89" t="str">
        <f>'C. FILIACION'!B24</f>
        <v>PORTILLO QUISPE JORGE LUIS</v>
      </c>
      <c r="C25" s="31">
        <v>10</v>
      </c>
      <c r="D25" s="60">
        <v>30</v>
      </c>
      <c r="E25" s="90">
        <v>30</v>
      </c>
      <c r="F25" s="90">
        <v>30</v>
      </c>
      <c r="G25" s="31"/>
      <c r="H25" s="31"/>
      <c r="I25" s="31"/>
      <c r="J25" s="31"/>
      <c r="K25" s="31"/>
      <c r="L25" s="31"/>
      <c r="M25" s="31"/>
      <c r="N25" s="31"/>
      <c r="O25" s="91">
        <f t="shared" si="0"/>
        <v>30</v>
      </c>
      <c r="P25" s="90">
        <v>30</v>
      </c>
      <c r="Q25" s="90">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90</v>
      </c>
      <c r="AH25" s="254" t="str">
        <f t="shared" si="5"/>
        <v>APROBADO</v>
      </c>
      <c r="AI25" s="255"/>
      <c r="AJ25" s="255"/>
      <c r="AK25" s="255"/>
      <c r="AL25" s="255"/>
      <c r="AM25" s="256"/>
      <c r="AN25" s="94"/>
      <c r="AO25" s="94"/>
      <c r="AP25" s="94"/>
      <c r="AQ25" s="94"/>
      <c r="AR25" s="94"/>
    </row>
    <row r="26" spans="1:44" ht="12" customHeight="1" x14ac:dyDescent="0.35">
      <c r="A26" s="58">
        <v>18</v>
      </c>
      <c r="B26" s="89" t="str">
        <f>'C. FILIACION'!B25</f>
        <v>TORREZ PACO CARLA MILENKA</v>
      </c>
      <c r="C26" s="31">
        <v>10</v>
      </c>
      <c r="D26" s="60">
        <v>30</v>
      </c>
      <c r="E26" s="90">
        <v>30</v>
      </c>
      <c r="F26" s="90">
        <v>30</v>
      </c>
      <c r="G26" s="31"/>
      <c r="H26" s="31"/>
      <c r="I26" s="31"/>
      <c r="J26" s="31"/>
      <c r="K26" s="31"/>
      <c r="L26" s="31"/>
      <c r="M26" s="31"/>
      <c r="N26" s="31"/>
      <c r="O26" s="91">
        <f t="shared" si="0"/>
        <v>30</v>
      </c>
      <c r="P26" s="90">
        <v>30</v>
      </c>
      <c r="Q26" s="90">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90</v>
      </c>
      <c r="AH26" s="254" t="str">
        <f t="shared" si="5"/>
        <v>APROBADO</v>
      </c>
      <c r="AI26" s="255"/>
      <c r="AJ26" s="255"/>
      <c r="AK26" s="255"/>
      <c r="AL26" s="255"/>
      <c r="AM26" s="256"/>
      <c r="AN26" s="94"/>
      <c r="AO26" s="94"/>
      <c r="AP26" s="94"/>
      <c r="AQ26" s="94"/>
      <c r="AR26" s="94"/>
    </row>
    <row r="27" spans="1:44" ht="12" customHeight="1" x14ac:dyDescent="0.35">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54" t="str">
        <f t="shared" si="5"/>
        <v>APROBADO</v>
      </c>
      <c r="AI27" s="255"/>
      <c r="AJ27" s="255"/>
      <c r="AK27" s="255"/>
      <c r="AL27" s="255"/>
      <c r="AM27" s="256"/>
      <c r="AN27" s="94"/>
      <c r="AO27" s="94"/>
      <c r="AP27" s="94"/>
      <c r="AQ27" s="94"/>
      <c r="AR27" s="94"/>
    </row>
    <row r="28" spans="1:44" ht="12" customHeight="1" x14ac:dyDescent="0.35">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54" t="str">
        <f t="shared" si="5"/>
        <v>APROBADO</v>
      </c>
      <c r="AI28" s="255"/>
      <c r="AJ28" s="255"/>
      <c r="AK28" s="255"/>
      <c r="AL28" s="255"/>
      <c r="AM28" s="256"/>
      <c r="AN28" s="94"/>
      <c r="AO28" s="94"/>
      <c r="AP28" s="94"/>
      <c r="AQ28" s="94"/>
      <c r="AR28" s="94"/>
    </row>
    <row r="29" spans="1:44" ht="12" customHeight="1" x14ac:dyDescent="0.35">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54" t="str">
        <f t="shared" si="5"/>
        <v>APROBADO</v>
      </c>
      <c r="AI29" s="255"/>
      <c r="AJ29" s="255"/>
      <c r="AK29" s="255"/>
      <c r="AL29" s="255"/>
      <c r="AM29" s="256"/>
      <c r="AN29" s="94"/>
      <c r="AO29" s="94"/>
      <c r="AP29" s="94"/>
      <c r="AQ29" s="94"/>
      <c r="AR29" s="94"/>
    </row>
    <row r="30" spans="1:44" ht="12" customHeight="1" x14ac:dyDescent="0.35">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54" t="str">
        <f t="shared" si="5"/>
        <v>APROBADO</v>
      </c>
      <c r="AI30" s="255"/>
      <c r="AJ30" s="255"/>
      <c r="AK30" s="255"/>
      <c r="AL30" s="255"/>
      <c r="AM30" s="256"/>
      <c r="AN30" s="94"/>
      <c r="AO30" s="94"/>
      <c r="AP30" s="94"/>
      <c r="AQ30" s="94"/>
      <c r="AR30" s="94"/>
    </row>
    <row r="31" spans="1:44" ht="12" customHeight="1" x14ac:dyDescent="0.35">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54" t="str">
        <f t="shared" si="5"/>
        <v>APROBADO</v>
      </c>
      <c r="AI31" s="255"/>
      <c r="AJ31" s="255"/>
      <c r="AK31" s="255"/>
      <c r="AL31" s="255"/>
      <c r="AM31" s="256"/>
      <c r="AN31" s="94"/>
      <c r="AO31" s="94"/>
      <c r="AP31" s="94"/>
      <c r="AQ31" s="94"/>
      <c r="AR31" s="94"/>
    </row>
    <row r="32" spans="1:44" ht="12" customHeight="1" x14ac:dyDescent="0.35">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54" t="str">
        <f t="shared" si="5"/>
        <v>APROBADO</v>
      </c>
      <c r="AI32" s="255"/>
      <c r="AJ32" s="255"/>
      <c r="AK32" s="255"/>
      <c r="AL32" s="255"/>
      <c r="AM32" s="256"/>
      <c r="AN32" s="94"/>
      <c r="AO32" s="94"/>
      <c r="AP32" s="94"/>
      <c r="AQ32" s="94"/>
      <c r="AR32" s="94"/>
    </row>
    <row r="33" spans="1:44" ht="12" customHeight="1" x14ac:dyDescent="0.35">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54" t="str">
        <f t="shared" si="5"/>
        <v>APROBADO</v>
      </c>
      <c r="AI33" s="255"/>
      <c r="AJ33" s="255"/>
      <c r="AK33" s="255"/>
      <c r="AL33" s="255"/>
      <c r="AM33" s="256"/>
      <c r="AN33" s="94"/>
      <c r="AO33" s="94"/>
      <c r="AP33" s="94"/>
      <c r="AQ33" s="94"/>
      <c r="AR33" s="94"/>
    </row>
    <row r="34" spans="1:44" ht="12" customHeight="1" x14ac:dyDescent="0.35">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54" t="str">
        <f t="shared" si="5"/>
        <v>APROBADO</v>
      </c>
      <c r="AI34" s="255"/>
      <c r="AJ34" s="255"/>
      <c r="AK34" s="255"/>
      <c r="AL34" s="255"/>
      <c r="AM34" s="256"/>
      <c r="AN34" s="94"/>
      <c r="AO34" s="94"/>
      <c r="AP34" s="94"/>
      <c r="AQ34" s="94"/>
      <c r="AR34" s="94"/>
    </row>
    <row r="35" spans="1:44" ht="12" customHeight="1" x14ac:dyDescent="0.35">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54" t="str">
        <f t="shared" si="5"/>
        <v>APROBADO</v>
      </c>
      <c r="AI35" s="255"/>
      <c r="AJ35" s="255"/>
      <c r="AK35" s="255"/>
      <c r="AL35" s="255"/>
      <c r="AM35" s="256"/>
      <c r="AN35" s="94"/>
      <c r="AO35" s="94"/>
      <c r="AP35" s="94"/>
      <c r="AQ35" s="94"/>
      <c r="AR35" s="94"/>
    </row>
    <row r="36" spans="1:44" ht="12" customHeight="1" x14ac:dyDescent="0.35">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54" t="str">
        <f t="shared" si="5"/>
        <v>APROBADO</v>
      </c>
      <c r="AI36" s="255"/>
      <c r="AJ36" s="255"/>
      <c r="AK36" s="255"/>
      <c r="AL36" s="255"/>
      <c r="AM36" s="256"/>
      <c r="AN36" s="94"/>
      <c r="AO36" s="94"/>
      <c r="AP36" s="94"/>
      <c r="AQ36" s="94"/>
      <c r="AR36" s="94"/>
    </row>
    <row r="37" spans="1:44" ht="12" customHeight="1" x14ac:dyDescent="0.35">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54" t="str">
        <f t="shared" si="5"/>
        <v>APROBADO</v>
      </c>
      <c r="AI37" s="255"/>
      <c r="AJ37" s="255"/>
      <c r="AK37" s="255"/>
      <c r="AL37" s="255"/>
      <c r="AM37" s="256"/>
      <c r="AN37" s="94"/>
      <c r="AO37" s="94"/>
      <c r="AP37" s="94"/>
      <c r="AQ37" s="94"/>
      <c r="AR37" s="94"/>
    </row>
    <row r="38" spans="1:44" ht="12" customHeight="1" x14ac:dyDescent="0.3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54" t="str">
        <f t="shared" si="5"/>
        <v>APROBADO</v>
      </c>
      <c r="AI38" s="255"/>
      <c r="AJ38" s="255"/>
      <c r="AK38" s="255"/>
      <c r="AL38" s="255"/>
      <c r="AM38" s="256"/>
      <c r="AN38" s="94"/>
      <c r="AO38" s="94"/>
      <c r="AP38" s="94"/>
      <c r="AQ38" s="94"/>
      <c r="AR38" s="94"/>
    </row>
    <row r="39" spans="1:44" ht="12" customHeight="1" x14ac:dyDescent="0.3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54" t="str">
        <f t="shared" si="5"/>
        <v>APROBADO</v>
      </c>
      <c r="AI39" s="255"/>
      <c r="AJ39" s="255"/>
      <c r="AK39" s="255"/>
      <c r="AL39" s="255"/>
      <c r="AM39" s="256"/>
      <c r="AN39" s="94"/>
      <c r="AO39" s="94"/>
      <c r="AP39" s="94"/>
      <c r="AQ39" s="94"/>
      <c r="AR39" s="94"/>
    </row>
    <row r="40" spans="1:44" ht="12" customHeight="1" x14ac:dyDescent="0.3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54" t="str">
        <f t="shared" si="5"/>
        <v>APROBADO</v>
      </c>
      <c r="AI40" s="255"/>
      <c r="AJ40" s="255"/>
      <c r="AK40" s="255"/>
      <c r="AL40" s="255"/>
      <c r="AM40" s="256"/>
      <c r="AN40" s="94"/>
      <c r="AO40" s="94"/>
      <c r="AP40" s="94"/>
      <c r="AQ40" s="94"/>
      <c r="AR40" s="94"/>
    </row>
    <row r="41" spans="1:44" ht="12" customHeight="1" x14ac:dyDescent="0.3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54" t="str">
        <f t="shared" si="5"/>
        <v>APROBADO</v>
      </c>
      <c r="AI41" s="255"/>
      <c r="AJ41" s="255"/>
      <c r="AK41" s="255"/>
      <c r="AL41" s="255"/>
      <c r="AM41" s="256"/>
      <c r="AN41" s="94"/>
      <c r="AO41" s="94"/>
      <c r="AP41" s="94"/>
      <c r="AQ41" s="94"/>
      <c r="AR41" s="94"/>
    </row>
    <row r="42" spans="1:44" ht="12" customHeight="1" x14ac:dyDescent="0.3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54" t="str">
        <f t="shared" si="5"/>
        <v>APROBADO</v>
      </c>
      <c r="AI42" s="255"/>
      <c r="AJ42" s="255"/>
      <c r="AK42" s="255"/>
      <c r="AL42" s="255"/>
      <c r="AM42" s="256"/>
      <c r="AN42" s="94"/>
      <c r="AO42" s="94"/>
      <c r="AP42" s="94"/>
      <c r="AQ42" s="94"/>
      <c r="AR42" s="94"/>
    </row>
    <row r="43" spans="1:44" ht="12" customHeight="1" x14ac:dyDescent="0.3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54" t="str">
        <f t="shared" si="5"/>
        <v>APROBADO</v>
      </c>
      <c r="AI43" s="255"/>
      <c r="AJ43" s="255"/>
      <c r="AK43" s="255"/>
      <c r="AL43" s="255"/>
      <c r="AM43" s="256"/>
      <c r="AN43" s="94"/>
      <c r="AO43" s="94"/>
      <c r="AP43" s="94"/>
      <c r="AQ43" s="94"/>
      <c r="AR43" s="94"/>
    </row>
    <row r="44" spans="1:44" ht="12" customHeight="1" x14ac:dyDescent="0.3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54" t="str">
        <f t="shared" si="5"/>
        <v>APROBADO</v>
      </c>
      <c r="AI44" s="255"/>
      <c r="AJ44" s="255"/>
      <c r="AK44" s="255"/>
      <c r="AL44" s="255"/>
      <c r="AM44" s="256"/>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E9:N26 D27: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B10" sqref="B10:AM10"/>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273" t="s">
        <v>100</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5"/>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71" t="s">
        <v>50</v>
      </c>
      <c r="AD3" s="255"/>
      <c r="AE3" s="255"/>
      <c r="AF3" s="255"/>
      <c r="AG3" s="255"/>
      <c r="AH3" s="256"/>
      <c r="AI3" s="231">
        <f>CARÁTULA!$H$19</f>
        <v>44326</v>
      </c>
      <c r="AJ3" s="213"/>
      <c r="AK3" s="213"/>
      <c r="AL3" s="213"/>
      <c r="AM3" s="213"/>
      <c r="AN3" s="274" t="s">
        <v>51</v>
      </c>
      <c r="AO3" s="204"/>
      <c r="AP3" s="204"/>
      <c r="AQ3" s="204"/>
      <c r="AR3" s="205"/>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71" t="s">
        <v>53</v>
      </c>
      <c r="AD4" s="255"/>
      <c r="AE4" s="255"/>
      <c r="AF4" s="255"/>
      <c r="AG4" s="255"/>
      <c r="AH4" s="256"/>
      <c r="AI4" s="231">
        <f>CARÁTULA!$J$19</f>
        <v>44439</v>
      </c>
      <c r="AJ4" s="213"/>
      <c r="AK4" s="213"/>
      <c r="AL4" s="213"/>
      <c r="AM4" s="213"/>
      <c r="AN4" s="253">
        <f ca="1">AI4-AI5</f>
        <v>18</v>
      </c>
      <c r="AO4" s="223"/>
      <c r="AP4" s="223"/>
      <c r="AQ4" s="223"/>
      <c r="AR4" s="224"/>
    </row>
    <row r="5" spans="1:48" ht="12.75" customHeight="1" x14ac:dyDescent="0.4">
      <c r="A5" s="70"/>
      <c r="B5" s="73" t="s">
        <v>22</v>
      </c>
      <c r="C5" s="74" t="str">
        <f>CARÁTULA!$C$23</f>
        <v>4to de Secundaria</v>
      </c>
      <c r="D5" s="75"/>
      <c r="E5" s="75"/>
      <c r="F5" s="75"/>
      <c r="G5" s="73"/>
      <c r="H5" s="73"/>
      <c r="I5" s="73"/>
      <c r="J5" s="73"/>
      <c r="K5" s="73"/>
      <c r="L5" s="73"/>
      <c r="M5" s="73"/>
      <c r="N5" s="73"/>
      <c r="O5" s="73" t="s">
        <v>23</v>
      </c>
      <c r="P5" s="78"/>
      <c r="Q5" s="78"/>
      <c r="R5" s="78"/>
      <c r="S5" s="267">
        <f ca="1">TODAY()</f>
        <v>44421</v>
      </c>
      <c r="T5" s="204"/>
      <c r="U5" s="204"/>
      <c r="V5" s="204"/>
      <c r="W5" s="204"/>
      <c r="X5" s="204"/>
      <c r="Y5" s="204"/>
      <c r="Z5" s="204"/>
      <c r="AA5" s="205"/>
      <c r="AB5" s="75"/>
      <c r="AC5" s="272" t="s">
        <v>54</v>
      </c>
      <c r="AD5" s="255"/>
      <c r="AE5" s="255"/>
      <c r="AF5" s="255"/>
      <c r="AG5" s="255"/>
      <c r="AH5" s="256"/>
      <c r="AI5" s="275">
        <f ca="1">TODAY()</f>
        <v>44421</v>
      </c>
      <c r="AJ5" s="213"/>
      <c r="AK5" s="213"/>
      <c r="AL5" s="213"/>
      <c r="AM5" s="213"/>
      <c r="AN5" s="225"/>
      <c r="AO5" s="226"/>
      <c r="AP5" s="226"/>
      <c r="AQ5" s="226"/>
      <c r="AR5" s="227"/>
    </row>
    <row r="6" spans="1:48" ht="12.75" customHeight="1" x14ac:dyDescent="0.4">
      <c r="A6" s="70"/>
      <c r="B6" s="73"/>
      <c r="C6" s="219" t="s">
        <v>79</v>
      </c>
      <c r="D6" s="220"/>
      <c r="E6" s="220"/>
      <c r="F6" s="220"/>
      <c r="G6" s="220"/>
      <c r="H6" s="220"/>
      <c r="I6" s="220"/>
      <c r="J6" s="220"/>
      <c r="K6" s="220"/>
      <c r="L6" s="220"/>
      <c r="M6" s="220"/>
      <c r="N6" s="220"/>
      <c r="O6" s="220"/>
      <c r="P6" s="220"/>
      <c r="Q6" s="220"/>
      <c r="R6" s="220"/>
      <c r="S6" s="220"/>
      <c r="T6" s="220"/>
      <c r="U6" s="220"/>
      <c r="V6" s="220"/>
      <c r="W6" s="220"/>
      <c r="X6" s="220"/>
      <c r="Y6" s="220"/>
      <c r="Z6" s="220"/>
      <c r="AA6" s="221"/>
      <c r="AB6" s="268" t="s">
        <v>80</v>
      </c>
      <c r="AC6" s="255"/>
      <c r="AD6" s="255"/>
      <c r="AE6" s="256"/>
      <c r="AF6" s="79"/>
      <c r="AG6" s="80"/>
      <c r="AH6" s="80"/>
      <c r="AI6" s="81"/>
      <c r="AJ6" s="82"/>
      <c r="AK6" s="82"/>
      <c r="AL6" s="82"/>
      <c r="AM6" s="82"/>
      <c r="AN6" s="83"/>
      <c r="AO6" s="83"/>
      <c r="AP6" s="83"/>
      <c r="AQ6" s="83"/>
      <c r="AR6" s="83"/>
    </row>
    <row r="7" spans="1:48" ht="12" customHeight="1" x14ac:dyDescent="0.4">
      <c r="A7" s="70"/>
      <c r="B7" s="84"/>
      <c r="C7" s="269" t="s">
        <v>81</v>
      </c>
      <c r="D7" s="270" t="s">
        <v>82</v>
      </c>
      <c r="E7" s="255"/>
      <c r="F7" s="255"/>
      <c r="G7" s="255"/>
      <c r="H7" s="255"/>
      <c r="I7" s="255"/>
      <c r="J7" s="255"/>
      <c r="K7" s="255"/>
      <c r="L7" s="255"/>
      <c r="M7" s="255"/>
      <c r="N7" s="255"/>
      <c r="O7" s="266" t="s">
        <v>83</v>
      </c>
      <c r="P7" s="270" t="s">
        <v>84</v>
      </c>
      <c r="Q7" s="255"/>
      <c r="R7" s="255"/>
      <c r="S7" s="255"/>
      <c r="T7" s="255"/>
      <c r="U7" s="255"/>
      <c r="V7" s="255"/>
      <c r="W7" s="255"/>
      <c r="X7" s="255"/>
      <c r="Y7" s="255"/>
      <c r="Z7" s="255"/>
      <c r="AA7" s="265" t="s">
        <v>85</v>
      </c>
      <c r="AB7" s="266" t="s">
        <v>83</v>
      </c>
      <c r="AC7" s="265" t="s">
        <v>86</v>
      </c>
      <c r="AD7" s="265" t="s">
        <v>87</v>
      </c>
      <c r="AE7" s="266" t="s">
        <v>83</v>
      </c>
      <c r="AF7" s="258" t="s">
        <v>88</v>
      </c>
      <c r="AG7" s="260" t="s">
        <v>89</v>
      </c>
      <c r="AH7" s="261" t="s">
        <v>90</v>
      </c>
      <c r="AI7" s="220"/>
      <c r="AJ7" s="220"/>
      <c r="AK7" s="220"/>
      <c r="AL7" s="220"/>
      <c r="AM7" s="221"/>
      <c r="AN7" s="85"/>
      <c r="AO7" s="75"/>
      <c r="AP7" s="75"/>
      <c r="AQ7" s="75"/>
      <c r="AR7" s="70"/>
    </row>
    <row r="8" spans="1:48" ht="67.5" customHeight="1" x14ac:dyDescent="0.35">
      <c r="A8" s="48" t="s">
        <v>55</v>
      </c>
      <c r="B8" s="49" t="s">
        <v>56</v>
      </c>
      <c r="C8" s="259"/>
      <c r="D8" s="53" t="s">
        <v>236</v>
      </c>
      <c r="E8" s="50" t="s">
        <v>239</v>
      </c>
      <c r="F8" s="53"/>
      <c r="G8" s="53"/>
      <c r="H8" s="53"/>
      <c r="I8" s="53"/>
      <c r="J8" s="53"/>
      <c r="K8" s="53"/>
      <c r="L8" s="53"/>
      <c r="M8" s="53"/>
      <c r="N8" s="54"/>
      <c r="O8" s="259"/>
      <c r="P8" s="95" t="s">
        <v>169</v>
      </c>
      <c r="Q8" s="53" t="s">
        <v>190</v>
      </c>
      <c r="R8" s="53" t="s">
        <v>235</v>
      </c>
      <c r="S8" s="53" t="s">
        <v>242</v>
      </c>
      <c r="T8" s="53"/>
      <c r="U8" s="53"/>
      <c r="V8" s="53"/>
      <c r="W8" s="53"/>
      <c r="X8" s="53"/>
      <c r="Y8" s="53"/>
      <c r="Z8" s="53"/>
      <c r="AA8" s="259"/>
      <c r="AB8" s="259"/>
      <c r="AC8" s="259"/>
      <c r="AD8" s="259"/>
      <c r="AE8" s="259"/>
      <c r="AF8" s="259"/>
      <c r="AG8" s="259"/>
      <c r="AH8" s="262"/>
      <c r="AI8" s="263"/>
      <c r="AJ8" s="263"/>
      <c r="AK8" s="263"/>
      <c r="AL8" s="263"/>
      <c r="AM8" s="264"/>
      <c r="AN8" s="87"/>
      <c r="AO8" s="87"/>
      <c r="AP8" s="87"/>
      <c r="AQ8" s="87"/>
      <c r="AR8" s="88"/>
    </row>
    <row r="9" spans="1:48" ht="12" customHeight="1" x14ac:dyDescent="0.35">
      <c r="A9" s="58">
        <v>1</v>
      </c>
      <c r="B9" s="89" t="str">
        <f>'C. FILIACION'!B8</f>
        <v>BENITEZ BALLESTEROS KAREN ARIANA</v>
      </c>
      <c r="C9" s="31">
        <v>10</v>
      </c>
      <c r="D9" s="31">
        <v>23</v>
      </c>
      <c r="E9" s="31">
        <v>0</v>
      </c>
      <c r="F9" s="31"/>
      <c r="G9" s="31"/>
      <c r="H9" s="31"/>
      <c r="I9" s="31"/>
      <c r="J9" s="31"/>
      <c r="K9" s="31"/>
      <c r="L9" s="31"/>
      <c r="M9" s="31"/>
      <c r="N9" s="31"/>
      <c r="O9" s="91">
        <f t="shared" ref="O9:O44" si="0">IFERROR(ROUND(AVERAGE(D9:N9),0),"")</f>
        <v>12</v>
      </c>
      <c r="P9" s="31">
        <v>18</v>
      </c>
      <c r="Q9" s="31">
        <v>35</v>
      </c>
      <c r="R9" s="31">
        <v>0</v>
      </c>
      <c r="S9" s="31"/>
      <c r="T9" s="31"/>
      <c r="U9" s="31"/>
      <c r="V9" s="31"/>
      <c r="W9" s="31"/>
      <c r="X9" s="31"/>
      <c r="Y9" s="31"/>
      <c r="Z9" s="31"/>
      <c r="AA9" s="31">
        <v>10</v>
      </c>
      <c r="AB9" s="91">
        <f t="shared" ref="AB9:AB44" si="1">IFERROR(ROUND(AVERAGE(P9:Z9),0),"")</f>
        <v>18</v>
      </c>
      <c r="AC9" s="31">
        <v>5</v>
      </c>
      <c r="AD9" s="31">
        <v>5</v>
      </c>
      <c r="AE9" s="91">
        <f t="shared" ref="AE9:AE44" si="2">IFERROR((SUM(AC9,AD9)),"")</f>
        <v>10</v>
      </c>
      <c r="AF9" s="92" t="str">
        <f t="shared" ref="AF9:AF44" si="3">IF(AG9&lt;51,"ED",IF(AG9&lt;67,"DA",IF(AG9&lt;85,"DO","DP")))</f>
        <v>DA</v>
      </c>
      <c r="AG9" s="91">
        <f t="shared" ref="AG9:AG44" si="4">IFERROR((SUM(C9,O9,AA9,AB9,AE9)),"")</f>
        <v>60</v>
      </c>
      <c r="AH9" s="254" t="str">
        <f t="shared" ref="AH9:AH44" si="5">IF(AG9="","",(IF(AND(AG9&gt;=1,AG9&lt;=50.499),"REPROBADO",IF(AND(AG9&gt;=50.5,AG9&lt;=100),"APROBADO"))))</f>
        <v>APROBADO</v>
      </c>
      <c r="AI9" s="255"/>
      <c r="AJ9" s="255"/>
      <c r="AK9" s="255"/>
      <c r="AL9" s="255"/>
      <c r="AM9" s="256"/>
      <c r="AN9" s="93" t="s">
        <v>96</v>
      </c>
      <c r="AO9" s="257">
        <f>COUNTIF(AF9:AF44,"ED")</f>
        <v>22</v>
      </c>
      <c r="AP9" s="256"/>
      <c r="AQ9" s="94"/>
      <c r="AR9" s="94"/>
    </row>
    <row r="10" spans="1:48" ht="12" customHeight="1" x14ac:dyDescent="0.35">
      <c r="A10" s="58">
        <v>2</v>
      </c>
      <c r="B10" s="191" t="str">
        <f>'C. FILIACION'!B9</f>
        <v>CALIZAYA MERCADO AXEL GABRIEL</v>
      </c>
      <c r="C10" s="192">
        <v>10</v>
      </c>
      <c r="D10" s="192">
        <v>0</v>
      </c>
      <c r="E10" s="192">
        <v>10</v>
      </c>
      <c r="F10" s="192"/>
      <c r="G10" s="192"/>
      <c r="H10" s="192"/>
      <c r="I10" s="192"/>
      <c r="J10" s="192"/>
      <c r="K10" s="192"/>
      <c r="L10" s="192"/>
      <c r="M10" s="192"/>
      <c r="N10" s="192"/>
      <c r="O10" s="193">
        <f t="shared" si="0"/>
        <v>5</v>
      </c>
      <c r="P10" s="192">
        <v>0</v>
      </c>
      <c r="Q10" s="192">
        <v>0</v>
      </c>
      <c r="R10" s="192">
        <v>0</v>
      </c>
      <c r="S10" s="192"/>
      <c r="T10" s="192"/>
      <c r="U10" s="192"/>
      <c r="V10" s="192"/>
      <c r="W10" s="192"/>
      <c r="X10" s="192"/>
      <c r="Y10" s="192"/>
      <c r="Z10" s="192"/>
      <c r="AA10" s="192">
        <v>10</v>
      </c>
      <c r="AB10" s="193">
        <f t="shared" si="1"/>
        <v>0</v>
      </c>
      <c r="AC10" s="192">
        <v>5</v>
      </c>
      <c r="AD10" s="192">
        <v>5</v>
      </c>
      <c r="AE10" s="193">
        <f t="shared" si="2"/>
        <v>10</v>
      </c>
      <c r="AF10" s="194" t="str">
        <f t="shared" si="3"/>
        <v>ED</v>
      </c>
      <c r="AG10" s="193">
        <f t="shared" si="4"/>
        <v>35</v>
      </c>
      <c r="AH10" s="285" t="str">
        <f t="shared" si="5"/>
        <v>REPROBADO</v>
      </c>
      <c r="AI10" s="286"/>
      <c r="AJ10" s="286"/>
      <c r="AK10" s="286"/>
      <c r="AL10" s="286"/>
      <c r="AM10" s="287"/>
      <c r="AN10" s="48" t="s">
        <v>97</v>
      </c>
      <c r="AO10" s="257">
        <f>COUNTIF(AF9:AF44,"DA")</f>
        <v>2</v>
      </c>
      <c r="AP10" s="256"/>
      <c r="AQ10" s="94"/>
      <c r="AR10" s="94"/>
    </row>
    <row r="11" spans="1:48" ht="12" customHeight="1" x14ac:dyDescent="0.35">
      <c r="A11" s="58">
        <v>3</v>
      </c>
      <c r="B11" s="195" t="str">
        <f>'C. FILIACION'!B10</f>
        <v>CANO GUZMAN FABRIZIO RODRIGO</v>
      </c>
      <c r="C11" s="196">
        <v>10</v>
      </c>
      <c r="D11" s="196">
        <v>0</v>
      </c>
      <c r="E11" s="196">
        <v>0</v>
      </c>
      <c r="F11" s="196"/>
      <c r="G11" s="196"/>
      <c r="H11" s="196"/>
      <c r="I11" s="196"/>
      <c r="J11" s="196"/>
      <c r="K11" s="196"/>
      <c r="L11" s="196"/>
      <c r="M11" s="196"/>
      <c r="N11" s="196"/>
      <c r="O11" s="197">
        <f t="shared" si="0"/>
        <v>0</v>
      </c>
      <c r="P11" s="196">
        <v>0</v>
      </c>
      <c r="Q11" s="196">
        <v>0</v>
      </c>
      <c r="R11" s="196">
        <v>0</v>
      </c>
      <c r="S11" s="196"/>
      <c r="T11" s="196"/>
      <c r="U11" s="196"/>
      <c r="V11" s="196"/>
      <c r="W11" s="196"/>
      <c r="X11" s="196"/>
      <c r="Y11" s="196"/>
      <c r="Z11" s="196"/>
      <c r="AA11" s="196">
        <v>10</v>
      </c>
      <c r="AB11" s="197">
        <f t="shared" si="1"/>
        <v>0</v>
      </c>
      <c r="AC11" s="196">
        <v>5</v>
      </c>
      <c r="AD11" s="196">
        <v>5</v>
      </c>
      <c r="AE11" s="197">
        <f t="shared" si="2"/>
        <v>10</v>
      </c>
      <c r="AF11" s="198" t="str">
        <f t="shared" si="3"/>
        <v>ED</v>
      </c>
      <c r="AG11" s="197">
        <f t="shared" si="4"/>
        <v>30</v>
      </c>
      <c r="AH11" s="279" t="str">
        <f t="shared" si="5"/>
        <v>REPROBADO</v>
      </c>
      <c r="AI11" s="280"/>
      <c r="AJ11" s="280"/>
      <c r="AK11" s="280"/>
      <c r="AL11" s="280"/>
      <c r="AM11" s="281"/>
      <c r="AN11" s="48" t="s">
        <v>98</v>
      </c>
      <c r="AO11" s="257">
        <f>COUNTIF(AF9:AF44,"DO")</f>
        <v>1</v>
      </c>
      <c r="AP11" s="256"/>
      <c r="AQ11" s="94"/>
      <c r="AR11" s="94"/>
    </row>
    <row r="12" spans="1:48" ht="12" customHeight="1" x14ac:dyDescent="0.35">
      <c r="A12" s="58">
        <v>4</v>
      </c>
      <c r="B12" s="180" t="str">
        <f>'C. FILIACION'!B11</f>
        <v>CHOQUE LAURA CARLOS EDUARDO</v>
      </c>
      <c r="C12" s="181">
        <v>10</v>
      </c>
      <c r="D12" s="181">
        <v>0</v>
      </c>
      <c r="E12" s="181">
        <v>0</v>
      </c>
      <c r="F12" s="181"/>
      <c r="G12" s="181"/>
      <c r="H12" s="181"/>
      <c r="I12" s="181"/>
      <c r="J12" s="181"/>
      <c r="K12" s="181"/>
      <c r="L12" s="181"/>
      <c r="M12" s="181"/>
      <c r="N12" s="181"/>
      <c r="O12" s="182">
        <f t="shared" si="0"/>
        <v>0</v>
      </c>
      <c r="P12" s="181">
        <v>0</v>
      </c>
      <c r="Q12" s="181">
        <v>0</v>
      </c>
      <c r="R12" s="181">
        <v>0</v>
      </c>
      <c r="S12" s="181"/>
      <c r="T12" s="181"/>
      <c r="U12" s="181"/>
      <c r="V12" s="181"/>
      <c r="W12" s="181"/>
      <c r="X12" s="181"/>
      <c r="Y12" s="181"/>
      <c r="Z12" s="181"/>
      <c r="AA12" s="181">
        <v>10</v>
      </c>
      <c r="AB12" s="182">
        <f t="shared" si="1"/>
        <v>0</v>
      </c>
      <c r="AC12" s="181">
        <v>5</v>
      </c>
      <c r="AD12" s="181">
        <v>5</v>
      </c>
      <c r="AE12" s="182">
        <f t="shared" si="2"/>
        <v>10</v>
      </c>
      <c r="AF12" s="183" t="str">
        <f t="shared" si="3"/>
        <v>ED</v>
      </c>
      <c r="AG12" s="182">
        <f t="shared" si="4"/>
        <v>30</v>
      </c>
      <c r="AH12" s="276" t="str">
        <f t="shared" si="5"/>
        <v>REPROBADO</v>
      </c>
      <c r="AI12" s="277"/>
      <c r="AJ12" s="277"/>
      <c r="AK12" s="277"/>
      <c r="AL12" s="277"/>
      <c r="AM12" s="278"/>
      <c r="AN12" s="48" t="s">
        <v>99</v>
      </c>
      <c r="AO12" s="257">
        <f>COUNTIF(AF9:AF44,"DP")</f>
        <v>11</v>
      </c>
      <c r="AP12" s="256"/>
      <c r="AQ12" s="94"/>
      <c r="AR12" s="94"/>
      <c r="AS12" s="184" t="s">
        <v>244</v>
      </c>
    </row>
    <row r="13" spans="1:48" ht="12" customHeight="1" x14ac:dyDescent="0.35">
      <c r="A13" s="58">
        <v>5</v>
      </c>
      <c r="B13" s="89" t="str">
        <f>'C. FILIACION'!B12</f>
        <v>CONDORI GALARZA DENSEL ALEXSIS</v>
      </c>
      <c r="C13" s="31">
        <v>10</v>
      </c>
      <c r="D13" s="31">
        <v>35</v>
      </c>
      <c r="E13" s="31">
        <v>30</v>
      </c>
      <c r="F13" s="31"/>
      <c r="G13" s="31"/>
      <c r="H13" s="31"/>
      <c r="I13" s="31"/>
      <c r="J13" s="31"/>
      <c r="K13" s="31"/>
      <c r="L13" s="31"/>
      <c r="M13" s="31"/>
      <c r="N13" s="31"/>
      <c r="O13" s="91">
        <f t="shared" si="0"/>
        <v>33</v>
      </c>
      <c r="P13" s="31">
        <v>35</v>
      </c>
      <c r="Q13" s="31">
        <v>35</v>
      </c>
      <c r="R13" s="31">
        <v>0</v>
      </c>
      <c r="S13" s="31"/>
      <c r="T13" s="31"/>
      <c r="U13" s="31"/>
      <c r="V13" s="31"/>
      <c r="W13" s="31"/>
      <c r="X13" s="31"/>
      <c r="Y13" s="31"/>
      <c r="Z13" s="31"/>
      <c r="AA13" s="31">
        <v>10</v>
      </c>
      <c r="AB13" s="91">
        <f t="shared" si="1"/>
        <v>23</v>
      </c>
      <c r="AC13" s="31">
        <v>5</v>
      </c>
      <c r="AD13" s="31">
        <v>5</v>
      </c>
      <c r="AE13" s="91">
        <f t="shared" si="2"/>
        <v>10</v>
      </c>
      <c r="AF13" s="92" t="str">
        <f t="shared" si="3"/>
        <v>DP</v>
      </c>
      <c r="AG13" s="91">
        <f t="shared" si="4"/>
        <v>86</v>
      </c>
      <c r="AH13" s="254" t="str">
        <f t="shared" si="5"/>
        <v>APROBADO</v>
      </c>
      <c r="AI13" s="255"/>
      <c r="AJ13" s="255"/>
      <c r="AK13" s="255"/>
      <c r="AL13" s="255"/>
      <c r="AM13" s="256"/>
      <c r="AN13" s="94"/>
      <c r="AO13" s="94"/>
      <c r="AP13" s="94"/>
      <c r="AQ13" s="94"/>
      <c r="AR13" s="94"/>
    </row>
    <row r="14" spans="1:48" ht="12" customHeight="1" x14ac:dyDescent="0.35">
      <c r="A14" s="58">
        <v>6</v>
      </c>
      <c r="B14" s="180" t="str">
        <f>'C. FILIACION'!B13</f>
        <v>DAZA RAMIREZ KALEP MATEO</v>
      </c>
      <c r="C14" s="181">
        <v>10</v>
      </c>
      <c r="D14" s="181">
        <v>0</v>
      </c>
      <c r="E14" s="181">
        <v>0</v>
      </c>
      <c r="F14" s="181"/>
      <c r="G14" s="181"/>
      <c r="H14" s="181"/>
      <c r="I14" s="181"/>
      <c r="J14" s="181"/>
      <c r="K14" s="181"/>
      <c r="L14" s="181"/>
      <c r="M14" s="181"/>
      <c r="N14" s="181"/>
      <c r="O14" s="182">
        <f t="shared" si="0"/>
        <v>0</v>
      </c>
      <c r="P14" s="181">
        <v>0</v>
      </c>
      <c r="Q14" s="181">
        <v>0</v>
      </c>
      <c r="R14" s="181">
        <v>0</v>
      </c>
      <c r="S14" s="181"/>
      <c r="T14" s="181"/>
      <c r="U14" s="181"/>
      <c r="V14" s="181"/>
      <c r="W14" s="181"/>
      <c r="X14" s="181"/>
      <c r="Y14" s="181"/>
      <c r="Z14" s="181"/>
      <c r="AA14" s="181">
        <v>10</v>
      </c>
      <c r="AB14" s="182">
        <f t="shared" si="1"/>
        <v>0</v>
      </c>
      <c r="AC14" s="181">
        <v>5</v>
      </c>
      <c r="AD14" s="181">
        <v>5</v>
      </c>
      <c r="AE14" s="182">
        <f t="shared" si="2"/>
        <v>10</v>
      </c>
      <c r="AF14" s="183" t="str">
        <f t="shared" si="3"/>
        <v>ED</v>
      </c>
      <c r="AG14" s="182">
        <f t="shared" si="4"/>
        <v>30</v>
      </c>
      <c r="AH14" s="276" t="str">
        <f t="shared" si="5"/>
        <v>REPROBADO</v>
      </c>
      <c r="AI14" s="277"/>
      <c r="AJ14" s="277"/>
      <c r="AK14" s="277"/>
      <c r="AL14" s="277"/>
      <c r="AM14" s="278"/>
      <c r="AN14" s="94"/>
      <c r="AO14" s="94"/>
      <c r="AP14" s="94"/>
      <c r="AQ14" s="94"/>
      <c r="AR14" s="94"/>
      <c r="AS14" s="185" t="s">
        <v>243</v>
      </c>
    </row>
    <row r="15" spans="1:48" ht="12" customHeight="1" x14ac:dyDescent="0.35">
      <c r="A15" s="58">
        <v>7</v>
      </c>
      <c r="B15" s="89" t="str">
        <f>'C. FILIACION'!B14</f>
        <v>ESTRADA FUNES NAZARETH</v>
      </c>
      <c r="C15" s="31">
        <v>10</v>
      </c>
      <c r="D15" s="31">
        <v>23</v>
      </c>
      <c r="E15" s="31">
        <v>25</v>
      </c>
      <c r="F15" s="31"/>
      <c r="G15" s="31"/>
      <c r="H15" s="31"/>
      <c r="I15" s="31"/>
      <c r="J15" s="31"/>
      <c r="K15" s="31"/>
      <c r="L15" s="31"/>
      <c r="M15" s="31"/>
      <c r="N15" s="31"/>
      <c r="O15" s="91">
        <f t="shared" si="0"/>
        <v>24</v>
      </c>
      <c r="P15" s="31">
        <v>18</v>
      </c>
      <c r="Q15" s="31">
        <v>35</v>
      </c>
      <c r="R15" s="31">
        <v>0</v>
      </c>
      <c r="S15" s="31"/>
      <c r="T15" s="31"/>
      <c r="U15" s="31"/>
      <c r="V15" s="31"/>
      <c r="W15" s="31"/>
      <c r="X15" s="31"/>
      <c r="Y15" s="31"/>
      <c r="Z15" s="31"/>
      <c r="AA15" s="31">
        <v>10</v>
      </c>
      <c r="AB15" s="91">
        <f t="shared" si="1"/>
        <v>18</v>
      </c>
      <c r="AC15" s="31">
        <v>5</v>
      </c>
      <c r="AD15" s="31">
        <v>5</v>
      </c>
      <c r="AE15" s="91">
        <f t="shared" si="2"/>
        <v>10</v>
      </c>
      <c r="AF15" s="92" t="str">
        <f t="shared" si="3"/>
        <v>DO</v>
      </c>
      <c r="AG15" s="91">
        <f t="shared" si="4"/>
        <v>72</v>
      </c>
      <c r="AH15" s="254" t="str">
        <f t="shared" si="5"/>
        <v>APROBADO</v>
      </c>
      <c r="AI15" s="255"/>
      <c r="AJ15" s="255"/>
      <c r="AK15" s="255"/>
      <c r="AL15" s="255"/>
      <c r="AM15" s="256"/>
      <c r="AN15" s="94"/>
      <c r="AO15" s="94"/>
      <c r="AP15" s="94"/>
      <c r="AQ15" s="94"/>
      <c r="AR15" s="94"/>
    </row>
    <row r="16" spans="1:48" ht="12" customHeight="1" x14ac:dyDescent="0.35">
      <c r="A16" s="58">
        <v>8</v>
      </c>
      <c r="B16" s="191" t="str">
        <f>'C. FILIACION'!B15</f>
        <v>FLORES VILLEGAS CARLOS IVAN</v>
      </c>
      <c r="C16" s="192">
        <v>10</v>
      </c>
      <c r="D16" s="192">
        <v>0</v>
      </c>
      <c r="E16" s="192">
        <v>0</v>
      </c>
      <c r="F16" s="192"/>
      <c r="G16" s="192"/>
      <c r="H16" s="192"/>
      <c r="I16" s="192"/>
      <c r="J16" s="192"/>
      <c r="K16" s="192"/>
      <c r="L16" s="192"/>
      <c r="M16" s="192"/>
      <c r="N16" s="192"/>
      <c r="O16" s="193">
        <f t="shared" si="0"/>
        <v>0</v>
      </c>
      <c r="P16" s="192">
        <v>0</v>
      </c>
      <c r="Q16" s="192">
        <v>0</v>
      </c>
      <c r="R16" s="192">
        <v>0</v>
      </c>
      <c r="S16" s="192"/>
      <c r="T16" s="192"/>
      <c r="U16" s="192"/>
      <c r="V16" s="192"/>
      <c r="W16" s="192"/>
      <c r="X16" s="192"/>
      <c r="Y16" s="192"/>
      <c r="Z16" s="192"/>
      <c r="AA16" s="192">
        <v>10</v>
      </c>
      <c r="AB16" s="193">
        <f t="shared" si="1"/>
        <v>0</v>
      </c>
      <c r="AC16" s="192">
        <v>5</v>
      </c>
      <c r="AD16" s="192">
        <v>5</v>
      </c>
      <c r="AE16" s="193">
        <f t="shared" si="2"/>
        <v>10</v>
      </c>
      <c r="AF16" s="194" t="str">
        <f t="shared" si="3"/>
        <v>ED</v>
      </c>
      <c r="AG16" s="193">
        <f t="shared" si="4"/>
        <v>30</v>
      </c>
      <c r="AH16" s="285" t="str">
        <f t="shared" si="5"/>
        <v>REPROBADO</v>
      </c>
      <c r="AI16" s="286"/>
      <c r="AJ16" s="286"/>
      <c r="AK16" s="286"/>
      <c r="AL16" s="286"/>
      <c r="AM16" s="287"/>
      <c r="AN16" s="94"/>
      <c r="AO16" s="94"/>
      <c r="AP16" s="94"/>
      <c r="AQ16" s="94"/>
      <c r="AR16" s="94"/>
    </row>
    <row r="17" spans="1:44" ht="12" customHeight="1" x14ac:dyDescent="0.35">
      <c r="A17" s="58">
        <v>9</v>
      </c>
      <c r="B17" s="89" t="str">
        <f>'C. FILIACION'!B16</f>
        <v>FRANCISCO RUIZ LUCERO</v>
      </c>
      <c r="C17" s="31">
        <v>10</v>
      </c>
      <c r="D17" s="31">
        <v>27</v>
      </c>
      <c r="E17" s="31">
        <v>35</v>
      </c>
      <c r="F17" s="31"/>
      <c r="G17" s="31"/>
      <c r="H17" s="31"/>
      <c r="I17" s="31"/>
      <c r="J17" s="31"/>
      <c r="K17" s="31"/>
      <c r="L17" s="31"/>
      <c r="M17" s="31"/>
      <c r="N17" s="31"/>
      <c r="O17" s="91">
        <f t="shared" si="0"/>
        <v>31</v>
      </c>
      <c r="P17" s="31">
        <v>35</v>
      </c>
      <c r="Q17" s="31">
        <v>35</v>
      </c>
      <c r="R17" s="31">
        <v>35</v>
      </c>
      <c r="S17" s="31">
        <v>35</v>
      </c>
      <c r="T17" s="31"/>
      <c r="U17" s="31"/>
      <c r="V17" s="31"/>
      <c r="W17" s="31"/>
      <c r="X17" s="31"/>
      <c r="Y17" s="31"/>
      <c r="Z17" s="31"/>
      <c r="AA17" s="31">
        <v>10</v>
      </c>
      <c r="AB17" s="91">
        <f t="shared" si="1"/>
        <v>35</v>
      </c>
      <c r="AC17" s="31">
        <v>5</v>
      </c>
      <c r="AD17" s="31">
        <v>5</v>
      </c>
      <c r="AE17" s="91">
        <f t="shared" si="2"/>
        <v>10</v>
      </c>
      <c r="AF17" s="92" t="str">
        <f t="shared" si="3"/>
        <v>DP</v>
      </c>
      <c r="AG17" s="91">
        <f t="shared" si="4"/>
        <v>96</v>
      </c>
      <c r="AH17" s="254" t="str">
        <f t="shared" si="5"/>
        <v>APROBADO</v>
      </c>
      <c r="AI17" s="255"/>
      <c r="AJ17" s="255"/>
      <c r="AK17" s="255"/>
      <c r="AL17" s="255"/>
      <c r="AM17" s="256"/>
      <c r="AN17" s="94"/>
      <c r="AO17" s="94"/>
      <c r="AP17" s="94"/>
      <c r="AQ17" s="94"/>
      <c r="AR17" s="94"/>
    </row>
    <row r="18" spans="1:44" ht="12" customHeight="1" x14ac:dyDescent="0.35">
      <c r="A18" s="58">
        <v>10</v>
      </c>
      <c r="B18" s="89" t="str">
        <f>'C. FILIACION'!B17</f>
        <v>IBARRA VINO ELOY INTI</v>
      </c>
      <c r="C18" s="31">
        <v>10</v>
      </c>
      <c r="D18" s="31">
        <v>30</v>
      </c>
      <c r="E18" s="31">
        <v>35</v>
      </c>
      <c r="F18" s="31"/>
      <c r="G18" s="31"/>
      <c r="H18" s="31"/>
      <c r="I18" s="31"/>
      <c r="J18" s="31"/>
      <c r="K18" s="31"/>
      <c r="L18" s="31"/>
      <c r="M18" s="31"/>
      <c r="N18" s="31"/>
      <c r="O18" s="91">
        <f t="shared" si="0"/>
        <v>33</v>
      </c>
      <c r="P18" s="31">
        <v>30</v>
      </c>
      <c r="Q18" s="31">
        <v>20</v>
      </c>
      <c r="R18" s="31">
        <v>20</v>
      </c>
      <c r="S18" s="31">
        <v>35</v>
      </c>
      <c r="T18" s="31"/>
      <c r="U18" s="31"/>
      <c r="V18" s="31"/>
      <c r="W18" s="31"/>
      <c r="X18" s="31"/>
      <c r="Y18" s="31"/>
      <c r="Z18" s="31"/>
      <c r="AA18" s="31">
        <v>10</v>
      </c>
      <c r="AB18" s="91">
        <f t="shared" si="1"/>
        <v>26</v>
      </c>
      <c r="AC18" s="31">
        <v>5</v>
      </c>
      <c r="AD18" s="31">
        <v>5</v>
      </c>
      <c r="AE18" s="91">
        <f t="shared" si="2"/>
        <v>10</v>
      </c>
      <c r="AF18" s="92" t="str">
        <f t="shared" si="3"/>
        <v>DP</v>
      </c>
      <c r="AG18" s="91">
        <f t="shared" si="4"/>
        <v>89</v>
      </c>
      <c r="AH18" s="254" t="str">
        <f t="shared" si="5"/>
        <v>APROBADO</v>
      </c>
      <c r="AI18" s="255"/>
      <c r="AJ18" s="255"/>
      <c r="AK18" s="255"/>
      <c r="AL18" s="255"/>
      <c r="AM18" s="256"/>
      <c r="AN18" s="94"/>
      <c r="AO18" s="94"/>
      <c r="AP18" s="94"/>
      <c r="AQ18" s="94"/>
      <c r="AR18" s="94"/>
    </row>
    <row r="19" spans="1:44" ht="12" customHeight="1" x14ac:dyDescent="0.35">
      <c r="A19" s="58">
        <v>11</v>
      </c>
      <c r="B19" s="176" t="str">
        <f>'C. FILIACION'!B18</f>
        <v>LOPEZ BLANCO SOFIA BELEN</v>
      </c>
      <c r="C19" s="177">
        <v>10</v>
      </c>
      <c r="D19" s="177">
        <v>29</v>
      </c>
      <c r="E19" s="177">
        <v>0</v>
      </c>
      <c r="F19" s="177"/>
      <c r="G19" s="177"/>
      <c r="H19" s="177"/>
      <c r="I19" s="177"/>
      <c r="J19" s="177"/>
      <c r="K19" s="177"/>
      <c r="L19" s="177"/>
      <c r="M19" s="177"/>
      <c r="N19" s="177"/>
      <c r="O19" s="178">
        <f t="shared" si="0"/>
        <v>15</v>
      </c>
      <c r="P19" s="177">
        <v>0</v>
      </c>
      <c r="Q19" s="177">
        <v>0</v>
      </c>
      <c r="R19" s="177">
        <v>0</v>
      </c>
      <c r="S19" s="177"/>
      <c r="T19" s="177"/>
      <c r="U19" s="177"/>
      <c r="V19" s="177"/>
      <c r="W19" s="177"/>
      <c r="X19" s="177"/>
      <c r="Y19" s="177"/>
      <c r="Z19" s="177"/>
      <c r="AA19" s="177">
        <v>10</v>
      </c>
      <c r="AB19" s="178">
        <f t="shared" si="1"/>
        <v>0</v>
      </c>
      <c r="AC19" s="177">
        <v>5</v>
      </c>
      <c r="AD19" s="177">
        <v>5</v>
      </c>
      <c r="AE19" s="178">
        <f t="shared" si="2"/>
        <v>10</v>
      </c>
      <c r="AF19" s="179" t="str">
        <f t="shared" si="3"/>
        <v>ED</v>
      </c>
      <c r="AG19" s="178">
        <f t="shared" si="4"/>
        <v>45</v>
      </c>
      <c r="AH19" s="282" t="str">
        <f t="shared" si="5"/>
        <v>REPROBADO</v>
      </c>
      <c r="AI19" s="283"/>
      <c r="AJ19" s="283"/>
      <c r="AK19" s="283"/>
      <c r="AL19" s="283"/>
      <c r="AM19" s="284"/>
      <c r="AN19" s="94"/>
      <c r="AO19" s="94"/>
      <c r="AP19" s="94"/>
      <c r="AQ19" s="94"/>
      <c r="AR19" s="94"/>
    </row>
    <row r="20" spans="1:44" ht="12" customHeight="1" x14ac:dyDescent="0.35">
      <c r="A20" s="58">
        <v>12</v>
      </c>
      <c r="B20" s="191" t="str">
        <f>'C. FILIACION'!B19</f>
        <v>LOPEZ PACO RODRIGO ADRIAN</v>
      </c>
      <c r="C20" s="192">
        <v>10</v>
      </c>
      <c r="D20" s="192">
        <v>0</v>
      </c>
      <c r="E20" s="192">
        <v>18</v>
      </c>
      <c r="F20" s="192"/>
      <c r="G20" s="192"/>
      <c r="H20" s="192"/>
      <c r="I20" s="192"/>
      <c r="J20" s="192"/>
      <c r="K20" s="192"/>
      <c r="L20" s="192"/>
      <c r="M20" s="192"/>
      <c r="N20" s="192"/>
      <c r="O20" s="193">
        <f t="shared" si="0"/>
        <v>9</v>
      </c>
      <c r="P20" s="192">
        <v>0</v>
      </c>
      <c r="Q20" s="192">
        <v>0</v>
      </c>
      <c r="R20" s="192">
        <v>0</v>
      </c>
      <c r="S20" s="192"/>
      <c r="T20" s="192"/>
      <c r="U20" s="192"/>
      <c r="V20" s="192"/>
      <c r="W20" s="192"/>
      <c r="X20" s="192"/>
      <c r="Y20" s="192"/>
      <c r="Z20" s="192"/>
      <c r="AA20" s="192">
        <v>10</v>
      </c>
      <c r="AB20" s="193">
        <f t="shared" si="1"/>
        <v>0</v>
      </c>
      <c r="AC20" s="192">
        <v>5</v>
      </c>
      <c r="AD20" s="192">
        <v>5</v>
      </c>
      <c r="AE20" s="193">
        <f t="shared" si="2"/>
        <v>10</v>
      </c>
      <c r="AF20" s="194" t="str">
        <f t="shared" si="3"/>
        <v>ED</v>
      </c>
      <c r="AG20" s="193">
        <f t="shared" si="4"/>
        <v>39</v>
      </c>
      <c r="AH20" s="285" t="str">
        <f t="shared" si="5"/>
        <v>REPROBADO</v>
      </c>
      <c r="AI20" s="286"/>
      <c r="AJ20" s="286"/>
      <c r="AK20" s="286"/>
      <c r="AL20" s="286"/>
      <c r="AM20" s="287"/>
      <c r="AN20" s="94"/>
      <c r="AO20" s="94"/>
      <c r="AP20" s="94"/>
      <c r="AQ20" s="94"/>
      <c r="AR20" s="94"/>
    </row>
    <row r="21" spans="1:44" ht="12" customHeight="1" x14ac:dyDescent="0.35">
      <c r="A21" s="58">
        <v>13</v>
      </c>
      <c r="B21" s="89" t="str">
        <f>'C. FILIACION'!B20</f>
        <v>LOPEZ VERA MILENCA</v>
      </c>
      <c r="C21" s="31">
        <v>10</v>
      </c>
      <c r="D21" s="31">
        <v>28</v>
      </c>
      <c r="E21" s="31">
        <v>35</v>
      </c>
      <c r="F21" s="31"/>
      <c r="G21" s="31"/>
      <c r="H21" s="31"/>
      <c r="I21" s="31"/>
      <c r="J21" s="31"/>
      <c r="K21" s="31"/>
      <c r="L21" s="31"/>
      <c r="M21" s="31"/>
      <c r="N21" s="31"/>
      <c r="O21" s="91">
        <f t="shared" si="0"/>
        <v>32</v>
      </c>
      <c r="P21" s="31">
        <v>35</v>
      </c>
      <c r="Q21" s="31">
        <v>35</v>
      </c>
      <c r="R21" s="31">
        <v>35</v>
      </c>
      <c r="S21" s="31"/>
      <c r="T21" s="31"/>
      <c r="U21" s="31"/>
      <c r="V21" s="31"/>
      <c r="W21" s="31"/>
      <c r="X21" s="31"/>
      <c r="Y21" s="31"/>
      <c r="Z21" s="31"/>
      <c r="AA21" s="31">
        <v>10</v>
      </c>
      <c r="AB21" s="91">
        <f t="shared" si="1"/>
        <v>35</v>
      </c>
      <c r="AC21" s="31">
        <v>5</v>
      </c>
      <c r="AD21" s="31">
        <v>5</v>
      </c>
      <c r="AE21" s="91">
        <f t="shared" si="2"/>
        <v>10</v>
      </c>
      <c r="AF21" s="92" t="str">
        <f t="shared" si="3"/>
        <v>DP</v>
      </c>
      <c r="AG21" s="91">
        <f t="shared" si="4"/>
        <v>97</v>
      </c>
      <c r="AH21" s="254" t="str">
        <f t="shared" si="5"/>
        <v>APROBADO</v>
      </c>
      <c r="AI21" s="255"/>
      <c r="AJ21" s="255"/>
      <c r="AK21" s="255"/>
      <c r="AL21" s="255"/>
      <c r="AM21" s="256"/>
      <c r="AN21" s="94"/>
      <c r="AO21" s="94"/>
      <c r="AP21" s="94"/>
      <c r="AQ21" s="94"/>
      <c r="AR21" s="94"/>
    </row>
    <row r="22" spans="1:44" ht="12" customHeight="1" x14ac:dyDescent="0.35">
      <c r="A22" s="58">
        <v>14</v>
      </c>
      <c r="B22" s="176" t="str">
        <f>'C. FILIACION'!B21</f>
        <v>MEDINA CHOQUE JOSE ROBERTO</v>
      </c>
      <c r="C22" s="177">
        <v>10</v>
      </c>
      <c r="D22" s="177">
        <v>23</v>
      </c>
      <c r="E22" s="177">
        <v>0</v>
      </c>
      <c r="F22" s="177"/>
      <c r="G22" s="177"/>
      <c r="H22" s="177"/>
      <c r="I22" s="177"/>
      <c r="J22" s="177"/>
      <c r="K22" s="177"/>
      <c r="L22" s="177"/>
      <c r="M22" s="177"/>
      <c r="N22" s="177"/>
      <c r="O22" s="178">
        <f t="shared" si="0"/>
        <v>12</v>
      </c>
      <c r="P22" s="177">
        <v>0</v>
      </c>
      <c r="Q22" s="177">
        <v>0</v>
      </c>
      <c r="R22" s="177">
        <v>0</v>
      </c>
      <c r="S22" s="177"/>
      <c r="T22" s="177"/>
      <c r="U22" s="177"/>
      <c r="V22" s="177"/>
      <c r="W22" s="177"/>
      <c r="X22" s="177"/>
      <c r="Y22" s="177"/>
      <c r="Z22" s="177"/>
      <c r="AA22" s="177">
        <v>10</v>
      </c>
      <c r="AB22" s="178">
        <f t="shared" si="1"/>
        <v>0</v>
      </c>
      <c r="AC22" s="177">
        <v>5</v>
      </c>
      <c r="AD22" s="177">
        <v>5</v>
      </c>
      <c r="AE22" s="178">
        <f t="shared" si="2"/>
        <v>10</v>
      </c>
      <c r="AF22" s="179" t="str">
        <f t="shared" si="3"/>
        <v>ED</v>
      </c>
      <c r="AG22" s="178">
        <f t="shared" si="4"/>
        <v>42</v>
      </c>
      <c r="AH22" s="282" t="str">
        <f t="shared" si="5"/>
        <v>REPROBADO</v>
      </c>
      <c r="AI22" s="283"/>
      <c r="AJ22" s="283"/>
      <c r="AK22" s="283"/>
      <c r="AL22" s="283"/>
      <c r="AM22" s="284"/>
      <c r="AN22" s="94"/>
      <c r="AO22" s="94"/>
      <c r="AP22" s="94"/>
      <c r="AQ22" s="94"/>
      <c r="AR22" s="94"/>
    </row>
    <row r="23" spans="1:44" ht="12" customHeight="1" x14ac:dyDescent="0.35">
      <c r="A23" s="58">
        <v>15</v>
      </c>
      <c r="B23" s="191" t="str">
        <f>'C. FILIACION'!B22</f>
        <v>MIRABAL AYANOME JOSE ALFREDO</v>
      </c>
      <c r="C23" s="192">
        <v>10</v>
      </c>
      <c r="D23" s="192">
        <v>0</v>
      </c>
      <c r="E23" s="192">
        <v>0</v>
      </c>
      <c r="F23" s="192"/>
      <c r="G23" s="192"/>
      <c r="H23" s="192"/>
      <c r="I23" s="192"/>
      <c r="J23" s="192"/>
      <c r="K23" s="192"/>
      <c r="L23" s="192"/>
      <c r="M23" s="192"/>
      <c r="N23" s="192"/>
      <c r="O23" s="193">
        <f t="shared" si="0"/>
        <v>0</v>
      </c>
      <c r="P23" s="192">
        <v>0</v>
      </c>
      <c r="Q23" s="192">
        <v>0</v>
      </c>
      <c r="R23" s="192">
        <v>0</v>
      </c>
      <c r="S23" s="192"/>
      <c r="T23" s="192"/>
      <c r="U23" s="192"/>
      <c r="V23" s="192"/>
      <c r="W23" s="192"/>
      <c r="X23" s="192"/>
      <c r="Y23" s="192"/>
      <c r="Z23" s="192"/>
      <c r="AA23" s="192">
        <v>10</v>
      </c>
      <c r="AB23" s="193">
        <f t="shared" si="1"/>
        <v>0</v>
      </c>
      <c r="AC23" s="192">
        <v>5</v>
      </c>
      <c r="AD23" s="192">
        <v>5</v>
      </c>
      <c r="AE23" s="193">
        <f t="shared" si="2"/>
        <v>10</v>
      </c>
      <c r="AF23" s="194" t="str">
        <f t="shared" si="3"/>
        <v>ED</v>
      </c>
      <c r="AG23" s="193">
        <f t="shared" si="4"/>
        <v>30</v>
      </c>
      <c r="AH23" s="285" t="str">
        <f t="shared" si="5"/>
        <v>REPROBADO</v>
      </c>
      <c r="AI23" s="286"/>
      <c r="AJ23" s="286"/>
      <c r="AK23" s="286"/>
      <c r="AL23" s="286"/>
      <c r="AM23" s="287"/>
      <c r="AN23" s="94"/>
      <c r="AO23" s="94"/>
      <c r="AP23" s="94"/>
      <c r="AQ23" s="94"/>
      <c r="AR23" s="94"/>
    </row>
    <row r="24" spans="1:44" ht="12" customHeight="1" x14ac:dyDescent="0.35">
      <c r="A24" s="58">
        <v>16</v>
      </c>
      <c r="B24" s="89" t="str">
        <f>'C. FILIACION'!B23</f>
        <v>NINA RUEDA ESTEFANY DANIELA</v>
      </c>
      <c r="C24" s="31">
        <v>10</v>
      </c>
      <c r="D24" s="31">
        <v>25</v>
      </c>
      <c r="E24" s="31">
        <v>0</v>
      </c>
      <c r="F24" s="31"/>
      <c r="G24" s="31"/>
      <c r="H24" s="31"/>
      <c r="I24" s="31"/>
      <c r="J24" s="31"/>
      <c r="K24" s="31"/>
      <c r="L24" s="31"/>
      <c r="M24" s="31"/>
      <c r="N24" s="31"/>
      <c r="O24" s="91">
        <f t="shared" si="0"/>
        <v>13</v>
      </c>
      <c r="P24" s="31">
        <v>17</v>
      </c>
      <c r="Q24" s="31">
        <v>0</v>
      </c>
      <c r="R24" s="31">
        <v>0</v>
      </c>
      <c r="S24" s="31"/>
      <c r="T24" s="31"/>
      <c r="U24" s="31"/>
      <c r="V24" s="31"/>
      <c r="W24" s="31"/>
      <c r="X24" s="31"/>
      <c r="Y24" s="31"/>
      <c r="Z24" s="31"/>
      <c r="AA24" s="31">
        <v>10</v>
      </c>
      <c r="AB24" s="91">
        <f t="shared" si="1"/>
        <v>6</v>
      </c>
      <c r="AC24" s="31">
        <v>5</v>
      </c>
      <c r="AD24" s="31">
        <v>5</v>
      </c>
      <c r="AE24" s="91">
        <f t="shared" si="2"/>
        <v>10</v>
      </c>
      <c r="AF24" s="92" t="str">
        <f t="shared" si="3"/>
        <v>ED</v>
      </c>
      <c r="AG24" s="91">
        <f t="shared" si="4"/>
        <v>49</v>
      </c>
      <c r="AH24" s="254" t="str">
        <f t="shared" si="5"/>
        <v>REPROBADO</v>
      </c>
      <c r="AI24" s="255"/>
      <c r="AJ24" s="255"/>
      <c r="AK24" s="255"/>
      <c r="AL24" s="255"/>
      <c r="AM24" s="256"/>
      <c r="AN24" s="94"/>
      <c r="AO24" s="94"/>
      <c r="AP24" s="94"/>
      <c r="AQ24" s="94"/>
      <c r="AR24" s="94"/>
    </row>
    <row r="25" spans="1:44" ht="12" customHeight="1" x14ac:dyDescent="0.35">
      <c r="A25" s="58">
        <v>17</v>
      </c>
      <c r="B25" s="89" t="str">
        <f>'C. FILIACION'!B24</f>
        <v>PORTILLO QUISPE JORGE LUIS</v>
      </c>
      <c r="C25" s="31">
        <v>10</v>
      </c>
      <c r="D25" s="31">
        <v>18</v>
      </c>
      <c r="E25" s="31">
        <v>0</v>
      </c>
      <c r="F25" s="31"/>
      <c r="G25" s="31"/>
      <c r="H25" s="31"/>
      <c r="I25" s="31"/>
      <c r="J25" s="31"/>
      <c r="K25" s="31"/>
      <c r="L25" s="31"/>
      <c r="M25" s="31"/>
      <c r="N25" s="31"/>
      <c r="O25" s="91">
        <f t="shared" si="0"/>
        <v>9</v>
      </c>
      <c r="P25" s="31">
        <v>20</v>
      </c>
      <c r="Q25" s="31">
        <v>0</v>
      </c>
      <c r="R25" s="31">
        <v>0</v>
      </c>
      <c r="S25" s="31"/>
      <c r="T25" s="31"/>
      <c r="U25" s="31"/>
      <c r="V25" s="31"/>
      <c r="W25" s="31"/>
      <c r="X25" s="31"/>
      <c r="Y25" s="31"/>
      <c r="Z25" s="31"/>
      <c r="AA25" s="31">
        <v>10</v>
      </c>
      <c r="AB25" s="91">
        <f t="shared" si="1"/>
        <v>7</v>
      </c>
      <c r="AC25" s="31">
        <v>5</v>
      </c>
      <c r="AD25" s="31">
        <v>5</v>
      </c>
      <c r="AE25" s="91">
        <f t="shared" si="2"/>
        <v>10</v>
      </c>
      <c r="AF25" s="92" t="str">
        <f t="shared" si="3"/>
        <v>ED</v>
      </c>
      <c r="AG25" s="91">
        <f t="shared" si="4"/>
        <v>46</v>
      </c>
      <c r="AH25" s="254" t="str">
        <f t="shared" si="5"/>
        <v>REPROBADO</v>
      </c>
      <c r="AI25" s="255"/>
      <c r="AJ25" s="255"/>
      <c r="AK25" s="255"/>
      <c r="AL25" s="255"/>
      <c r="AM25" s="256"/>
      <c r="AN25" s="94"/>
      <c r="AO25" s="94"/>
      <c r="AP25" s="94"/>
      <c r="AQ25" s="94"/>
      <c r="AR25" s="94"/>
    </row>
    <row r="26" spans="1:44" ht="12" customHeight="1" x14ac:dyDescent="0.35">
      <c r="A26" s="58">
        <v>18</v>
      </c>
      <c r="B26" s="89" t="str">
        <f>'C. FILIACION'!B25</f>
        <v>TORREZ PACO CARLA MILENKA</v>
      </c>
      <c r="C26" s="31">
        <v>10</v>
      </c>
      <c r="D26" s="31">
        <v>15</v>
      </c>
      <c r="E26" s="31">
        <v>0</v>
      </c>
      <c r="F26" s="31"/>
      <c r="G26" s="31"/>
      <c r="H26" s="31"/>
      <c r="I26" s="31"/>
      <c r="J26" s="31"/>
      <c r="K26" s="31"/>
      <c r="L26" s="31"/>
      <c r="M26" s="31"/>
      <c r="N26" s="31"/>
      <c r="O26" s="91">
        <f t="shared" si="0"/>
        <v>8</v>
      </c>
      <c r="P26" s="31">
        <v>0</v>
      </c>
      <c r="Q26" s="31">
        <v>0</v>
      </c>
      <c r="R26" s="31">
        <v>0</v>
      </c>
      <c r="S26" s="31"/>
      <c r="T26" s="31"/>
      <c r="U26" s="31"/>
      <c r="V26" s="31"/>
      <c r="W26" s="31"/>
      <c r="X26" s="31"/>
      <c r="Y26" s="31"/>
      <c r="Z26" s="31"/>
      <c r="AA26" s="31">
        <v>10</v>
      </c>
      <c r="AB26" s="91">
        <f t="shared" si="1"/>
        <v>0</v>
      </c>
      <c r="AC26" s="31">
        <v>5</v>
      </c>
      <c r="AD26" s="31">
        <v>5</v>
      </c>
      <c r="AE26" s="91">
        <f t="shared" si="2"/>
        <v>10</v>
      </c>
      <c r="AF26" s="92" t="str">
        <f t="shared" si="3"/>
        <v>ED</v>
      </c>
      <c r="AG26" s="91">
        <f t="shared" si="4"/>
        <v>38</v>
      </c>
      <c r="AH26" s="254" t="str">
        <f t="shared" si="5"/>
        <v>REPROBADO</v>
      </c>
      <c r="AI26" s="255"/>
      <c r="AJ26" s="255"/>
      <c r="AK26" s="255"/>
      <c r="AL26" s="255"/>
      <c r="AM26" s="256"/>
      <c r="AN26" s="94"/>
      <c r="AO26" s="94"/>
      <c r="AP26" s="94"/>
      <c r="AQ26" s="94"/>
      <c r="AR26" s="94"/>
    </row>
    <row r="27" spans="1:44" ht="12" customHeight="1" x14ac:dyDescent="0.35">
      <c r="A27" s="58">
        <v>19</v>
      </c>
      <c r="B27" s="89">
        <f>'C. FILIACION'!B26</f>
        <v>0</v>
      </c>
      <c r="C27" s="31">
        <v>10</v>
      </c>
      <c r="D27" s="31"/>
      <c r="E27" s="31"/>
      <c r="F27" s="31"/>
      <c r="G27" s="31"/>
      <c r="H27" s="31"/>
      <c r="I27" s="31"/>
      <c r="J27" s="31"/>
      <c r="K27" s="31"/>
      <c r="L27" s="31"/>
      <c r="M27" s="31"/>
      <c r="N27" s="31"/>
      <c r="O27" s="91" t="str">
        <f t="shared" si="0"/>
        <v/>
      </c>
      <c r="P27" s="31"/>
      <c r="Q27" s="31"/>
      <c r="R27" s="31"/>
      <c r="S27" s="31"/>
      <c r="T27" s="31"/>
      <c r="U27" s="31"/>
      <c r="V27" s="31"/>
      <c r="W27" s="31"/>
      <c r="X27" s="31"/>
      <c r="Y27" s="31"/>
      <c r="Z27" s="31"/>
      <c r="AA27" s="31">
        <v>10</v>
      </c>
      <c r="AB27" s="91" t="str">
        <f t="shared" si="1"/>
        <v/>
      </c>
      <c r="AC27" s="31">
        <v>5</v>
      </c>
      <c r="AD27" s="31">
        <v>5</v>
      </c>
      <c r="AE27" s="91">
        <f t="shared" si="2"/>
        <v>10</v>
      </c>
      <c r="AF27" s="92" t="str">
        <f t="shared" si="3"/>
        <v>ED</v>
      </c>
      <c r="AG27" s="91">
        <f t="shared" si="4"/>
        <v>30</v>
      </c>
      <c r="AH27" s="254" t="str">
        <f t="shared" si="5"/>
        <v>REPROBADO</v>
      </c>
      <c r="AI27" s="255"/>
      <c r="AJ27" s="255"/>
      <c r="AK27" s="255"/>
      <c r="AL27" s="255"/>
      <c r="AM27" s="256"/>
      <c r="AN27" s="94"/>
      <c r="AO27" s="94"/>
      <c r="AP27" s="94"/>
      <c r="AQ27" s="94"/>
      <c r="AR27" s="94"/>
    </row>
    <row r="28" spans="1:44" ht="12" customHeight="1" x14ac:dyDescent="0.35">
      <c r="A28" s="58">
        <v>20</v>
      </c>
      <c r="B28" s="89">
        <f>'C. FILIACION'!B27</f>
        <v>0</v>
      </c>
      <c r="C28" s="31">
        <v>10</v>
      </c>
      <c r="D28" s="31"/>
      <c r="E28" s="31"/>
      <c r="F28" s="31"/>
      <c r="G28" s="31"/>
      <c r="H28" s="31"/>
      <c r="I28" s="31"/>
      <c r="J28" s="31"/>
      <c r="K28" s="31"/>
      <c r="L28" s="31"/>
      <c r="M28" s="31"/>
      <c r="N28" s="31"/>
      <c r="O28" s="91" t="str">
        <f t="shared" si="0"/>
        <v/>
      </c>
      <c r="P28" s="31"/>
      <c r="Q28" s="31"/>
      <c r="R28" s="31"/>
      <c r="S28" s="31"/>
      <c r="T28" s="31"/>
      <c r="U28" s="31"/>
      <c r="V28" s="31"/>
      <c r="W28" s="31"/>
      <c r="X28" s="31"/>
      <c r="Y28" s="31"/>
      <c r="Z28" s="31"/>
      <c r="AA28" s="31">
        <v>10</v>
      </c>
      <c r="AB28" s="91" t="str">
        <f t="shared" si="1"/>
        <v/>
      </c>
      <c r="AC28" s="31">
        <v>5</v>
      </c>
      <c r="AD28" s="31">
        <v>5</v>
      </c>
      <c r="AE28" s="91">
        <f t="shared" si="2"/>
        <v>10</v>
      </c>
      <c r="AF28" s="92" t="str">
        <f t="shared" si="3"/>
        <v>ED</v>
      </c>
      <c r="AG28" s="91">
        <f t="shared" si="4"/>
        <v>30</v>
      </c>
      <c r="AH28" s="254" t="str">
        <f t="shared" si="5"/>
        <v>REPROBADO</v>
      </c>
      <c r="AI28" s="255"/>
      <c r="AJ28" s="255"/>
      <c r="AK28" s="255"/>
      <c r="AL28" s="255"/>
      <c r="AM28" s="256"/>
      <c r="AN28" s="94"/>
      <c r="AO28" s="94"/>
      <c r="AP28" s="94"/>
      <c r="AQ28" s="94"/>
      <c r="AR28" s="94"/>
    </row>
    <row r="29" spans="1:44" ht="12" customHeight="1" x14ac:dyDescent="0.35">
      <c r="A29" s="58">
        <v>21</v>
      </c>
      <c r="B29" s="89">
        <f>'C. FILIACION'!B28</f>
        <v>0</v>
      </c>
      <c r="C29" s="31">
        <v>10</v>
      </c>
      <c r="D29" s="31"/>
      <c r="E29" s="31"/>
      <c r="F29" s="31"/>
      <c r="G29" s="31"/>
      <c r="H29" s="31"/>
      <c r="I29" s="31"/>
      <c r="J29" s="31"/>
      <c r="K29" s="31"/>
      <c r="L29" s="31"/>
      <c r="M29" s="31"/>
      <c r="N29" s="31"/>
      <c r="O29" s="91" t="str">
        <f t="shared" si="0"/>
        <v/>
      </c>
      <c r="P29" s="31"/>
      <c r="Q29" s="31"/>
      <c r="R29" s="31"/>
      <c r="S29" s="31"/>
      <c r="T29" s="31"/>
      <c r="U29" s="31"/>
      <c r="V29" s="31"/>
      <c r="W29" s="31"/>
      <c r="X29" s="31"/>
      <c r="Y29" s="31"/>
      <c r="Z29" s="31"/>
      <c r="AA29" s="31">
        <v>10</v>
      </c>
      <c r="AB29" s="91" t="str">
        <f t="shared" si="1"/>
        <v/>
      </c>
      <c r="AC29" s="31">
        <v>5</v>
      </c>
      <c r="AD29" s="31">
        <v>5</v>
      </c>
      <c r="AE29" s="91">
        <f t="shared" si="2"/>
        <v>10</v>
      </c>
      <c r="AF29" s="92" t="str">
        <f t="shared" si="3"/>
        <v>ED</v>
      </c>
      <c r="AG29" s="91">
        <f t="shared" si="4"/>
        <v>30</v>
      </c>
      <c r="AH29" s="254" t="str">
        <f t="shared" si="5"/>
        <v>REPROBADO</v>
      </c>
      <c r="AI29" s="255"/>
      <c r="AJ29" s="255"/>
      <c r="AK29" s="255"/>
      <c r="AL29" s="255"/>
      <c r="AM29" s="256"/>
      <c r="AN29" s="94"/>
      <c r="AO29" s="94"/>
      <c r="AP29" s="94"/>
      <c r="AQ29" s="94"/>
      <c r="AR29" s="94"/>
    </row>
    <row r="30" spans="1:44" ht="12" customHeight="1" x14ac:dyDescent="0.35">
      <c r="A30" s="58">
        <v>22</v>
      </c>
      <c r="B30" s="89">
        <f>'C. FILIACION'!B29</f>
        <v>0</v>
      </c>
      <c r="C30" s="31">
        <v>10</v>
      </c>
      <c r="D30" s="31"/>
      <c r="E30" s="31"/>
      <c r="F30" s="31"/>
      <c r="G30" s="31"/>
      <c r="H30" s="31"/>
      <c r="I30" s="31"/>
      <c r="J30" s="31"/>
      <c r="K30" s="31"/>
      <c r="L30" s="31"/>
      <c r="M30" s="31"/>
      <c r="N30" s="31"/>
      <c r="O30" s="91" t="str">
        <f t="shared" si="0"/>
        <v/>
      </c>
      <c r="P30" s="31"/>
      <c r="Q30" s="31"/>
      <c r="R30" s="31"/>
      <c r="S30" s="31"/>
      <c r="T30" s="31"/>
      <c r="U30" s="31"/>
      <c r="V30" s="31"/>
      <c r="W30" s="31"/>
      <c r="X30" s="31"/>
      <c r="Y30" s="31"/>
      <c r="Z30" s="31"/>
      <c r="AA30" s="31">
        <v>10</v>
      </c>
      <c r="AB30" s="91" t="str">
        <f t="shared" si="1"/>
        <v/>
      </c>
      <c r="AC30" s="31">
        <v>5</v>
      </c>
      <c r="AD30" s="31">
        <v>5</v>
      </c>
      <c r="AE30" s="91">
        <f t="shared" si="2"/>
        <v>10</v>
      </c>
      <c r="AF30" s="92" t="str">
        <f t="shared" si="3"/>
        <v>ED</v>
      </c>
      <c r="AG30" s="91">
        <f t="shared" si="4"/>
        <v>30</v>
      </c>
      <c r="AH30" s="254" t="str">
        <f t="shared" si="5"/>
        <v>REPROBADO</v>
      </c>
      <c r="AI30" s="255"/>
      <c r="AJ30" s="255"/>
      <c r="AK30" s="255"/>
      <c r="AL30" s="255"/>
      <c r="AM30" s="256"/>
      <c r="AN30" s="94"/>
      <c r="AO30" s="94"/>
      <c r="AP30" s="94"/>
      <c r="AQ30" s="94"/>
      <c r="AR30" s="94"/>
    </row>
    <row r="31" spans="1:44" ht="12" customHeight="1" x14ac:dyDescent="0.35">
      <c r="A31" s="58">
        <v>23</v>
      </c>
      <c r="B31" s="89">
        <f>'C. FILIACION'!B30</f>
        <v>0</v>
      </c>
      <c r="C31" s="31">
        <v>10</v>
      </c>
      <c r="D31" s="31"/>
      <c r="E31" s="31"/>
      <c r="F31" s="31"/>
      <c r="G31" s="31"/>
      <c r="H31" s="31"/>
      <c r="I31" s="31"/>
      <c r="J31" s="31"/>
      <c r="K31" s="31"/>
      <c r="L31" s="31"/>
      <c r="M31" s="31"/>
      <c r="N31" s="31"/>
      <c r="O31" s="91" t="str">
        <f t="shared" si="0"/>
        <v/>
      </c>
      <c r="P31" s="31"/>
      <c r="Q31" s="31"/>
      <c r="R31" s="31"/>
      <c r="S31" s="31"/>
      <c r="T31" s="31"/>
      <c r="U31" s="31"/>
      <c r="V31" s="31"/>
      <c r="W31" s="31"/>
      <c r="X31" s="31"/>
      <c r="Y31" s="31"/>
      <c r="Z31" s="31"/>
      <c r="AA31" s="31">
        <v>10</v>
      </c>
      <c r="AB31" s="91" t="str">
        <f t="shared" si="1"/>
        <v/>
      </c>
      <c r="AC31" s="31">
        <v>5</v>
      </c>
      <c r="AD31" s="31">
        <v>5</v>
      </c>
      <c r="AE31" s="91">
        <f t="shared" si="2"/>
        <v>10</v>
      </c>
      <c r="AF31" s="92" t="str">
        <f t="shared" si="3"/>
        <v>ED</v>
      </c>
      <c r="AG31" s="91">
        <f t="shared" si="4"/>
        <v>30</v>
      </c>
      <c r="AH31" s="254" t="str">
        <f t="shared" si="5"/>
        <v>REPROBADO</v>
      </c>
      <c r="AI31" s="255"/>
      <c r="AJ31" s="255"/>
      <c r="AK31" s="255"/>
      <c r="AL31" s="255"/>
      <c r="AM31" s="256"/>
      <c r="AN31" s="94"/>
      <c r="AO31" s="94"/>
      <c r="AP31" s="94"/>
      <c r="AQ31" s="94"/>
      <c r="AR31" s="94"/>
    </row>
    <row r="32" spans="1:44" ht="12" customHeight="1" x14ac:dyDescent="0.35">
      <c r="A32" s="58">
        <v>24</v>
      </c>
      <c r="B32" s="89">
        <f>'C. FILIACION'!B31</f>
        <v>0</v>
      </c>
      <c r="C32" s="31">
        <v>10</v>
      </c>
      <c r="D32" s="31"/>
      <c r="E32" s="31"/>
      <c r="F32" s="31"/>
      <c r="G32" s="31"/>
      <c r="H32" s="31"/>
      <c r="I32" s="31"/>
      <c r="J32" s="31"/>
      <c r="K32" s="31"/>
      <c r="L32" s="31"/>
      <c r="M32" s="31"/>
      <c r="N32" s="31"/>
      <c r="O32" s="91" t="str">
        <f t="shared" si="0"/>
        <v/>
      </c>
      <c r="P32" s="31"/>
      <c r="Q32" s="31"/>
      <c r="R32" s="31"/>
      <c r="S32" s="31"/>
      <c r="T32" s="31"/>
      <c r="U32" s="31"/>
      <c r="V32" s="31"/>
      <c r="W32" s="31"/>
      <c r="X32" s="31"/>
      <c r="Y32" s="31"/>
      <c r="Z32" s="31"/>
      <c r="AA32" s="31">
        <v>10</v>
      </c>
      <c r="AB32" s="91" t="str">
        <f t="shared" si="1"/>
        <v/>
      </c>
      <c r="AC32" s="31">
        <v>5</v>
      </c>
      <c r="AD32" s="31">
        <v>5</v>
      </c>
      <c r="AE32" s="91">
        <f t="shared" si="2"/>
        <v>10</v>
      </c>
      <c r="AF32" s="92" t="str">
        <f t="shared" si="3"/>
        <v>ED</v>
      </c>
      <c r="AG32" s="91">
        <f t="shared" si="4"/>
        <v>30</v>
      </c>
      <c r="AH32" s="254" t="str">
        <f t="shared" si="5"/>
        <v>REPROBADO</v>
      </c>
      <c r="AI32" s="255"/>
      <c r="AJ32" s="255"/>
      <c r="AK32" s="255"/>
      <c r="AL32" s="255"/>
      <c r="AM32" s="256"/>
      <c r="AN32" s="94"/>
      <c r="AO32" s="94"/>
      <c r="AP32" s="94"/>
      <c r="AQ32" s="94"/>
      <c r="AR32" s="94"/>
    </row>
    <row r="33" spans="1:44" ht="12" customHeight="1" x14ac:dyDescent="0.35">
      <c r="A33" s="58">
        <v>25</v>
      </c>
      <c r="B33" s="89">
        <f>'C. FILIACION'!B32</f>
        <v>0</v>
      </c>
      <c r="C33" s="31">
        <v>10</v>
      </c>
      <c r="D33" s="31"/>
      <c r="E33" s="31"/>
      <c r="F33" s="31"/>
      <c r="G33" s="31"/>
      <c r="H33" s="31"/>
      <c r="I33" s="31"/>
      <c r="J33" s="31"/>
      <c r="K33" s="31"/>
      <c r="L33" s="31"/>
      <c r="M33" s="31"/>
      <c r="N33" s="31"/>
      <c r="O33" s="91" t="str">
        <f t="shared" si="0"/>
        <v/>
      </c>
      <c r="P33" s="31"/>
      <c r="Q33" s="31"/>
      <c r="R33" s="31"/>
      <c r="S33" s="31"/>
      <c r="T33" s="31"/>
      <c r="U33" s="31"/>
      <c r="V33" s="31"/>
      <c r="W33" s="31"/>
      <c r="X33" s="31"/>
      <c r="Y33" s="31"/>
      <c r="Z33" s="31"/>
      <c r="AA33" s="31">
        <v>10</v>
      </c>
      <c r="AB33" s="91" t="str">
        <f t="shared" si="1"/>
        <v/>
      </c>
      <c r="AC33" s="31">
        <v>5</v>
      </c>
      <c r="AD33" s="31">
        <v>5</v>
      </c>
      <c r="AE33" s="91">
        <f t="shared" si="2"/>
        <v>10</v>
      </c>
      <c r="AF33" s="92" t="str">
        <f t="shared" si="3"/>
        <v>ED</v>
      </c>
      <c r="AG33" s="91">
        <f t="shared" si="4"/>
        <v>30</v>
      </c>
      <c r="AH33" s="254" t="str">
        <f t="shared" si="5"/>
        <v>REPROBADO</v>
      </c>
      <c r="AI33" s="255"/>
      <c r="AJ33" s="255"/>
      <c r="AK33" s="255"/>
      <c r="AL33" s="255"/>
      <c r="AM33" s="256"/>
      <c r="AN33" s="94"/>
      <c r="AO33" s="94"/>
      <c r="AP33" s="94"/>
      <c r="AQ33" s="94"/>
      <c r="AR33" s="94"/>
    </row>
    <row r="34" spans="1:44" ht="12" customHeight="1" x14ac:dyDescent="0.35">
      <c r="A34" s="58">
        <v>26</v>
      </c>
      <c r="B34" s="89">
        <f>'C. FILIACION'!B33</f>
        <v>0</v>
      </c>
      <c r="C34" s="31">
        <v>10</v>
      </c>
      <c r="D34" s="31"/>
      <c r="E34" s="31"/>
      <c r="F34" s="31"/>
      <c r="G34" s="31"/>
      <c r="H34" s="31"/>
      <c r="I34" s="31"/>
      <c r="J34" s="31"/>
      <c r="K34" s="31"/>
      <c r="L34" s="31"/>
      <c r="M34" s="31"/>
      <c r="N34" s="31"/>
      <c r="O34" s="91" t="str">
        <f t="shared" si="0"/>
        <v/>
      </c>
      <c r="P34" s="31"/>
      <c r="Q34" s="31"/>
      <c r="R34" s="31"/>
      <c r="S34" s="31"/>
      <c r="T34" s="31"/>
      <c r="U34" s="31"/>
      <c r="V34" s="31"/>
      <c r="W34" s="31"/>
      <c r="X34" s="31"/>
      <c r="Y34" s="31"/>
      <c r="Z34" s="31"/>
      <c r="AA34" s="31">
        <v>10</v>
      </c>
      <c r="AB34" s="91" t="str">
        <f t="shared" si="1"/>
        <v/>
      </c>
      <c r="AC34" s="31">
        <v>5</v>
      </c>
      <c r="AD34" s="31">
        <v>5</v>
      </c>
      <c r="AE34" s="91">
        <f t="shared" si="2"/>
        <v>10</v>
      </c>
      <c r="AF34" s="92" t="str">
        <f t="shared" si="3"/>
        <v>ED</v>
      </c>
      <c r="AG34" s="91">
        <f t="shared" si="4"/>
        <v>30</v>
      </c>
      <c r="AH34" s="254" t="str">
        <f t="shared" si="5"/>
        <v>REPROBADO</v>
      </c>
      <c r="AI34" s="255"/>
      <c r="AJ34" s="255"/>
      <c r="AK34" s="255"/>
      <c r="AL34" s="255"/>
      <c r="AM34" s="256"/>
      <c r="AN34" s="94"/>
      <c r="AO34" s="94"/>
      <c r="AP34" s="94"/>
      <c r="AQ34" s="94"/>
      <c r="AR34" s="94"/>
    </row>
    <row r="35" spans="1:44" ht="12" customHeight="1" x14ac:dyDescent="0.35">
      <c r="A35" s="58">
        <v>27</v>
      </c>
      <c r="B35" s="89">
        <f>'C. FILIACION'!B34</f>
        <v>0</v>
      </c>
      <c r="C35" s="31">
        <v>10</v>
      </c>
      <c r="D35" s="31"/>
      <c r="E35" s="31"/>
      <c r="F35" s="31"/>
      <c r="G35" s="31"/>
      <c r="H35" s="31"/>
      <c r="I35" s="31"/>
      <c r="J35" s="31"/>
      <c r="K35" s="31"/>
      <c r="L35" s="31"/>
      <c r="M35" s="31"/>
      <c r="N35" s="31"/>
      <c r="O35" s="91" t="str">
        <f t="shared" si="0"/>
        <v/>
      </c>
      <c r="P35" s="31"/>
      <c r="Q35" s="31"/>
      <c r="R35" s="31"/>
      <c r="S35" s="31"/>
      <c r="T35" s="31"/>
      <c r="U35" s="31"/>
      <c r="V35" s="31"/>
      <c r="W35" s="31"/>
      <c r="X35" s="31"/>
      <c r="Y35" s="31"/>
      <c r="Z35" s="31"/>
      <c r="AA35" s="31">
        <v>10</v>
      </c>
      <c r="AB35" s="91" t="str">
        <f t="shared" si="1"/>
        <v/>
      </c>
      <c r="AC35" s="31">
        <v>5</v>
      </c>
      <c r="AD35" s="31">
        <v>5</v>
      </c>
      <c r="AE35" s="91">
        <f t="shared" si="2"/>
        <v>10</v>
      </c>
      <c r="AF35" s="92" t="str">
        <f t="shared" si="3"/>
        <v>ED</v>
      </c>
      <c r="AG35" s="91">
        <f t="shared" si="4"/>
        <v>30</v>
      </c>
      <c r="AH35" s="254" t="str">
        <f t="shared" si="5"/>
        <v>REPROBADO</v>
      </c>
      <c r="AI35" s="255"/>
      <c r="AJ35" s="255"/>
      <c r="AK35" s="255"/>
      <c r="AL35" s="255"/>
      <c r="AM35" s="256"/>
      <c r="AN35" s="94"/>
      <c r="AO35" s="94"/>
      <c r="AP35" s="94"/>
      <c r="AQ35" s="94"/>
      <c r="AR35" s="94"/>
    </row>
    <row r="36" spans="1:44" ht="12" customHeight="1" x14ac:dyDescent="0.35">
      <c r="A36" s="58">
        <v>28</v>
      </c>
      <c r="B36" s="89">
        <f>'C. FILIACION'!B35</f>
        <v>0</v>
      </c>
      <c r="C36" s="31">
        <v>10</v>
      </c>
      <c r="D36" s="31"/>
      <c r="E36" s="31"/>
      <c r="F36" s="31"/>
      <c r="G36" s="31"/>
      <c r="H36" s="31"/>
      <c r="I36" s="31"/>
      <c r="J36" s="31"/>
      <c r="K36" s="31"/>
      <c r="L36" s="31"/>
      <c r="M36" s="31"/>
      <c r="N36" s="31"/>
      <c r="O36" s="91" t="str">
        <f t="shared" si="0"/>
        <v/>
      </c>
      <c r="P36" s="31"/>
      <c r="Q36" s="31"/>
      <c r="R36" s="31"/>
      <c r="S36" s="31"/>
      <c r="T36" s="31"/>
      <c r="U36" s="31"/>
      <c r="V36" s="31"/>
      <c r="W36" s="31"/>
      <c r="X36" s="31"/>
      <c r="Y36" s="31"/>
      <c r="Z36" s="31"/>
      <c r="AA36" s="31">
        <v>10</v>
      </c>
      <c r="AB36" s="91" t="str">
        <f t="shared" si="1"/>
        <v/>
      </c>
      <c r="AC36" s="31">
        <v>5</v>
      </c>
      <c r="AD36" s="31">
        <v>5</v>
      </c>
      <c r="AE36" s="91">
        <f t="shared" si="2"/>
        <v>10</v>
      </c>
      <c r="AF36" s="92" t="str">
        <f t="shared" si="3"/>
        <v>ED</v>
      </c>
      <c r="AG36" s="91">
        <f t="shared" si="4"/>
        <v>30</v>
      </c>
      <c r="AH36" s="254" t="str">
        <f t="shared" si="5"/>
        <v>REPROBADO</v>
      </c>
      <c r="AI36" s="255"/>
      <c r="AJ36" s="255"/>
      <c r="AK36" s="255"/>
      <c r="AL36" s="255"/>
      <c r="AM36" s="256"/>
      <c r="AN36" s="94"/>
      <c r="AO36" s="94"/>
      <c r="AP36" s="94"/>
      <c r="AQ36" s="94"/>
      <c r="AR36" s="94"/>
    </row>
    <row r="37" spans="1:44" ht="12" customHeight="1" x14ac:dyDescent="0.35">
      <c r="A37" s="58">
        <v>29</v>
      </c>
      <c r="B37" s="89">
        <f>'C. FILIACION'!B36</f>
        <v>0</v>
      </c>
      <c r="C37" s="31">
        <v>10</v>
      </c>
      <c r="D37" s="31"/>
      <c r="E37" s="31"/>
      <c r="F37" s="31"/>
      <c r="G37" s="31"/>
      <c r="H37" s="31"/>
      <c r="I37" s="31"/>
      <c r="J37" s="31"/>
      <c r="K37" s="31"/>
      <c r="L37" s="31"/>
      <c r="M37" s="31"/>
      <c r="N37" s="31"/>
      <c r="O37" s="91" t="str">
        <f t="shared" si="0"/>
        <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DA</v>
      </c>
      <c r="AG37" s="91">
        <f t="shared" si="4"/>
        <v>65</v>
      </c>
      <c r="AH37" s="254" t="str">
        <f t="shared" si="5"/>
        <v>APROBADO</v>
      </c>
      <c r="AI37" s="255"/>
      <c r="AJ37" s="255"/>
      <c r="AK37" s="255"/>
      <c r="AL37" s="255"/>
      <c r="AM37" s="256"/>
      <c r="AN37" s="94"/>
      <c r="AO37" s="94"/>
      <c r="AP37" s="94"/>
      <c r="AQ37" s="94"/>
      <c r="AR37" s="94"/>
    </row>
    <row r="38" spans="1:44" ht="12" customHeight="1" x14ac:dyDescent="0.3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54" t="str">
        <f t="shared" si="5"/>
        <v>APROBADO</v>
      </c>
      <c r="AI38" s="255"/>
      <c r="AJ38" s="255"/>
      <c r="AK38" s="255"/>
      <c r="AL38" s="255"/>
      <c r="AM38" s="256"/>
      <c r="AN38" s="94"/>
      <c r="AO38" s="94"/>
      <c r="AP38" s="94"/>
      <c r="AQ38" s="94"/>
      <c r="AR38" s="94"/>
    </row>
    <row r="39" spans="1:44" ht="12" customHeight="1" x14ac:dyDescent="0.3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54" t="str">
        <f t="shared" si="5"/>
        <v>APROBADO</v>
      </c>
      <c r="AI39" s="255"/>
      <c r="AJ39" s="255"/>
      <c r="AK39" s="255"/>
      <c r="AL39" s="255"/>
      <c r="AM39" s="256"/>
      <c r="AN39" s="94"/>
      <c r="AO39" s="94"/>
      <c r="AP39" s="94"/>
      <c r="AQ39" s="94"/>
      <c r="AR39" s="94"/>
    </row>
    <row r="40" spans="1:44" ht="12" customHeight="1" x14ac:dyDescent="0.3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54" t="str">
        <f t="shared" si="5"/>
        <v>APROBADO</v>
      </c>
      <c r="AI40" s="255"/>
      <c r="AJ40" s="255"/>
      <c r="AK40" s="255"/>
      <c r="AL40" s="255"/>
      <c r="AM40" s="256"/>
      <c r="AN40" s="94"/>
      <c r="AO40" s="94"/>
      <c r="AP40" s="94"/>
      <c r="AQ40" s="94"/>
      <c r="AR40" s="94"/>
    </row>
    <row r="41" spans="1:44" ht="12" customHeight="1" x14ac:dyDescent="0.3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54" t="str">
        <f t="shared" si="5"/>
        <v>APROBADO</v>
      </c>
      <c r="AI41" s="255"/>
      <c r="AJ41" s="255"/>
      <c r="AK41" s="255"/>
      <c r="AL41" s="255"/>
      <c r="AM41" s="256"/>
      <c r="AN41" s="94"/>
      <c r="AO41" s="94"/>
      <c r="AP41" s="94"/>
      <c r="AQ41" s="94"/>
      <c r="AR41" s="94"/>
    </row>
    <row r="42" spans="1:44" ht="12" customHeight="1" x14ac:dyDescent="0.3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54" t="str">
        <f t="shared" si="5"/>
        <v>APROBADO</v>
      </c>
      <c r="AI42" s="255"/>
      <c r="AJ42" s="255"/>
      <c r="AK42" s="255"/>
      <c r="AL42" s="255"/>
      <c r="AM42" s="256"/>
      <c r="AN42" s="94"/>
      <c r="AO42" s="94"/>
      <c r="AP42" s="94"/>
      <c r="AQ42" s="94"/>
      <c r="AR42" s="94"/>
    </row>
    <row r="43" spans="1:44" ht="12" customHeight="1" x14ac:dyDescent="0.3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54" t="str">
        <f t="shared" si="5"/>
        <v>APROBADO</v>
      </c>
      <c r="AI43" s="255"/>
      <c r="AJ43" s="255"/>
      <c r="AK43" s="255"/>
      <c r="AL43" s="255"/>
      <c r="AM43" s="256"/>
      <c r="AN43" s="94"/>
      <c r="AO43" s="94"/>
      <c r="AP43" s="94"/>
      <c r="AQ43" s="94"/>
      <c r="AR43" s="94"/>
    </row>
    <row r="44" spans="1:44" ht="12" customHeight="1" x14ac:dyDescent="0.3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54" t="str">
        <f t="shared" si="5"/>
        <v>APROBADO</v>
      </c>
      <c r="AI44" s="255"/>
      <c r="AJ44" s="255"/>
      <c r="AK44" s="255"/>
      <c r="AL44" s="255"/>
      <c r="AM44" s="256"/>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273" t="s">
        <v>101</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5"/>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71" t="s">
        <v>50</v>
      </c>
      <c r="AD3" s="255"/>
      <c r="AE3" s="255"/>
      <c r="AF3" s="255"/>
      <c r="AG3" s="255"/>
      <c r="AH3" s="256"/>
      <c r="AI3" s="231">
        <f>CARÁTULA!$H$24</f>
        <v>44440</v>
      </c>
      <c r="AJ3" s="213"/>
      <c r="AK3" s="213"/>
      <c r="AL3" s="213"/>
      <c r="AM3" s="213"/>
      <c r="AN3" s="274" t="s">
        <v>51</v>
      </c>
      <c r="AO3" s="204"/>
      <c r="AP3" s="204"/>
      <c r="AQ3" s="204"/>
      <c r="AR3" s="205"/>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71" t="s">
        <v>53</v>
      </c>
      <c r="AD4" s="255"/>
      <c r="AE4" s="255"/>
      <c r="AF4" s="255"/>
      <c r="AG4" s="255"/>
      <c r="AH4" s="256"/>
      <c r="AI4" s="231">
        <f>CARÁTULA!$J$24</f>
        <v>44531</v>
      </c>
      <c r="AJ4" s="213"/>
      <c r="AK4" s="213"/>
      <c r="AL4" s="213"/>
      <c r="AM4" s="213"/>
      <c r="AN4" s="253">
        <f ca="1">AI4-AI5</f>
        <v>110</v>
      </c>
      <c r="AO4" s="223"/>
      <c r="AP4" s="223"/>
      <c r="AQ4" s="223"/>
      <c r="AR4" s="224"/>
    </row>
    <row r="5" spans="1:48" ht="12.75" customHeight="1" x14ac:dyDescent="0.4">
      <c r="A5" s="70"/>
      <c r="B5" s="73" t="s">
        <v>22</v>
      </c>
      <c r="C5" s="74" t="str">
        <f>CARÁTULA!$C$23</f>
        <v>4to de Secundaria</v>
      </c>
      <c r="D5" s="75"/>
      <c r="E5" s="75"/>
      <c r="F5" s="75"/>
      <c r="G5" s="73"/>
      <c r="H5" s="73"/>
      <c r="I5" s="73"/>
      <c r="J5" s="73"/>
      <c r="K5" s="73"/>
      <c r="L5" s="73"/>
      <c r="M5" s="73"/>
      <c r="N5" s="73"/>
      <c r="O5" s="76" t="s">
        <v>23</v>
      </c>
      <c r="P5" s="78"/>
      <c r="Q5" s="78"/>
      <c r="R5" s="78"/>
      <c r="S5" s="267">
        <f ca="1">TODAY()</f>
        <v>44421</v>
      </c>
      <c r="T5" s="204"/>
      <c r="U5" s="204"/>
      <c r="V5" s="204"/>
      <c r="W5" s="204"/>
      <c r="X5" s="204"/>
      <c r="Y5" s="204"/>
      <c r="Z5" s="204"/>
      <c r="AA5" s="205"/>
      <c r="AB5" s="75"/>
      <c r="AC5" s="272" t="s">
        <v>54</v>
      </c>
      <c r="AD5" s="255"/>
      <c r="AE5" s="255"/>
      <c r="AF5" s="255"/>
      <c r="AG5" s="255"/>
      <c r="AH5" s="256"/>
      <c r="AI5" s="275">
        <f ca="1">TODAY()</f>
        <v>44421</v>
      </c>
      <c r="AJ5" s="213"/>
      <c r="AK5" s="213"/>
      <c r="AL5" s="213"/>
      <c r="AM5" s="213"/>
      <c r="AN5" s="225"/>
      <c r="AO5" s="226"/>
      <c r="AP5" s="226"/>
      <c r="AQ5" s="226"/>
      <c r="AR5" s="227"/>
    </row>
    <row r="6" spans="1:48" ht="12.75" customHeight="1" x14ac:dyDescent="0.4">
      <c r="A6" s="70"/>
      <c r="B6" s="73"/>
      <c r="C6" s="219" t="s">
        <v>79</v>
      </c>
      <c r="D6" s="220"/>
      <c r="E6" s="220"/>
      <c r="F6" s="220"/>
      <c r="G6" s="220"/>
      <c r="H6" s="220"/>
      <c r="I6" s="220"/>
      <c r="J6" s="220"/>
      <c r="K6" s="220"/>
      <c r="L6" s="220"/>
      <c r="M6" s="220"/>
      <c r="N6" s="220"/>
      <c r="O6" s="220"/>
      <c r="P6" s="220"/>
      <c r="Q6" s="220"/>
      <c r="R6" s="220"/>
      <c r="S6" s="220"/>
      <c r="T6" s="220"/>
      <c r="U6" s="220"/>
      <c r="V6" s="220"/>
      <c r="W6" s="220"/>
      <c r="X6" s="220"/>
      <c r="Y6" s="220"/>
      <c r="Z6" s="220"/>
      <c r="AA6" s="221"/>
      <c r="AB6" s="268" t="s">
        <v>80</v>
      </c>
      <c r="AC6" s="255"/>
      <c r="AD6" s="255"/>
      <c r="AE6" s="256"/>
      <c r="AF6" s="79"/>
      <c r="AG6" s="80"/>
      <c r="AH6" s="80"/>
      <c r="AI6" s="81"/>
      <c r="AJ6" s="82"/>
      <c r="AK6" s="82"/>
      <c r="AL6" s="82"/>
      <c r="AM6" s="82"/>
      <c r="AN6" s="83"/>
      <c r="AO6" s="83"/>
      <c r="AP6" s="83"/>
      <c r="AQ6" s="83"/>
      <c r="AR6" s="83"/>
    </row>
    <row r="7" spans="1:48" ht="12" customHeight="1" x14ac:dyDescent="0.4">
      <c r="A7" s="70"/>
      <c r="B7" s="84"/>
      <c r="C7" s="269" t="s">
        <v>81</v>
      </c>
      <c r="D7" s="270" t="s">
        <v>82</v>
      </c>
      <c r="E7" s="255"/>
      <c r="F7" s="255"/>
      <c r="G7" s="255"/>
      <c r="H7" s="255"/>
      <c r="I7" s="255"/>
      <c r="J7" s="255"/>
      <c r="K7" s="255"/>
      <c r="L7" s="255"/>
      <c r="M7" s="255"/>
      <c r="N7" s="255"/>
      <c r="O7" s="266" t="s">
        <v>83</v>
      </c>
      <c r="P7" s="270" t="s">
        <v>84</v>
      </c>
      <c r="Q7" s="255"/>
      <c r="R7" s="255"/>
      <c r="S7" s="255"/>
      <c r="T7" s="255"/>
      <c r="U7" s="255"/>
      <c r="V7" s="255"/>
      <c r="W7" s="255"/>
      <c r="X7" s="255"/>
      <c r="Y7" s="255"/>
      <c r="Z7" s="255"/>
      <c r="AA7" s="265" t="s">
        <v>85</v>
      </c>
      <c r="AB7" s="266" t="s">
        <v>83</v>
      </c>
      <c r="AC7" s="265" t="s">
        <v>86</v>
      </c>
      <c r="AD7" s="265" t="s">
        <v>87</v>
      </c>
      <c r="AE7" s="266" t="s">
        <v>83</v>
      </c>
      <c r="AF7" s="258" t="s">
        <v>88</v>
      </c>
      <c r="AG7" s="260" t="s">
        <v>89</v>
      </c>
      <c r="AH7" s="261" t="s">
        <v>90</v>
      </c>
      <c r="AI7" s="220"/>
      <c r="AJ7" s="220"/>
      <c r="AK7" s="220"/>
      <c r="AL7" s="220"/>
      <c r="AM7" s="221"/>
      <c r="AN7" s="85"/>
      <c r="AO7" s="75"/>
      <c r="AP7" s="75"/>
      <c r="AQ7" s="75"/>
      <c r="AR7" s="70"/>
    </row>
    <row r="8" spans="1:48" ht="67.5" customHeight="1" x14ac:dyDescent="0.35">
      <c r="A8" s="48" t="s">
        <v>55</v>
      </c>
      <c r="B8" s="49" t="s">
        <v>56</v>
      </c>
      <c r="C8" s="259"/>
      <c r="D8" s="53"/>
      <c r="E8" s="53"/>
      <c r="F8" s="53"/>
      <c r="G8" s="53"/>
      <c r="H8" s="53"/>
      <c r="I8" s="53"/>
      <c r="J8" s="53"/>
      <c r="K8" s="53"/>
      <c r="L8" s="53"/>
      <c r="M8" s="53"/>
      <c r="N8" s="54"/>
      <c r="O8" s="259"/>
      <c r="P8" s="95"/>
      <c r="Q8" s="53"/>
      <c r="R8" s="53"/>
      <c r="S8" s="53"/>
      <c r="T8" s="53"/>
      <c r="U8" s="53"/>
      <c r="V8" s="53"/>
      <c r="W8" s="53"/>
      <c r="X8" s="53"/>
      <c r="Y8" s="53"/>
      <c r="Z8" s="53"/>
      <c r="AA8" s="259"/>
      <c r="AB8" s="259"/>
      <c r="AC8" s="259"/>
      <c r="AD8" s="259"/>
      <c r="AE8" s="259"/>
      <c r="AF8" s="259"/>
      <c r="AG8" s="259"/>
      <c r="AH8" s="262"/>
      <c r="AI8" s="263"/>
      <c r="AJ8" s="263"/>
      <c r="AK8" s="263"/>
      <c r="AL8" s="263"/>
      <c r="AM8" s="264"/>
      <c r="AN8" s="87"/>
      <c r="AO8" s="87"/>
      <c r="AP8" s="87"/>
      <c r="AQ8" s="87"/>
      <c r="AR8" s="88"/>
    </row>
    <row r="9" spans="1:48" ht="12" customHeight="1" x14ac:dyDescent="0.35">
      <c r="A9" s="58">
        <v>1</v>
      </c>
      <c r="B9" s="89" t="str">
        <f>'C. FILIACION'!B8</f>
        <v>BENITEZ BALLESTEROS KAREN ARIANA</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254" t="str">
        <f t="shared" ref="AH9:AH44" si="5">IF(AG9="","",(IF(AND(AG9&gt;=1,AG9&lt;=50.499),"REPROBADO",IF(AND(AG9&gt;=50.5,AG9&lt;=100),"APROBADO"))))</f>
        <v>APROBADO</v>
      </c>
      <c r="AI9" s="255"/>
      <c r="AJ9" s="255"/>
      <c r="AK9" s="255"/>
      <c r="AL9" s="255"/>
      <c r="AM9" s="256"/>
      <c r="AN9" s="93" t="s">
        <v>96</v>
      </c>
      <c r="AO9" s="257">
        <f>COUNTIF(AF9:AF44,"ED")</f>
        <v>0</v>
      </c>
      <c r="AP9" s="256"/>
      <c r="AQ9" s="94"/>
      <c r="AR9" s="94"/>
    </row>
    <row r="10" spans="1:48" ht="12" customHeight="1" x14ac:dyDescent="0.35">
      <c r="A10" s="58">
        <v>2</v>
      </c>
      <c r="B10" s="89" t="str">
        <f>'C. FILIACION'!B9</f>
        <v>CALIZAYA MERCADO AXEL GABRIEL</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254" t="str">
        <f t="shared" si="5"/>
        <v>APROBADO</v>
      </c>
      <c r="AI10" s="255"/>
      <c r="AJ10" s="255"/>
      <c r="AK10" s="255"/>
      <c r="AL10" s="255"/>
      <c r="AM10" s="256"/>
      <c r="AN10" s="48" t="s">
        <v>97</v>
      </c>
      <c r="AO10" s="257">
        <f>COUNTIF(AF9:AF44,"DA")</f>
        <v>0</v>
      </c>
      <c r="AP10" s="256"/>
      <c r="AQ10" s="94"/>
      <c r="AR10" s="94"/>
    </row>
    <row r="11" spans="1:48" ht="12" customHeight="1" x14ac:dyDescent="0.35">
      <c r="A11" s="58">
        <v>3</v>
      </c>
      <c r="B11" s="89" t="str">
        <f>'C. FILIACION'!B10</f>
        <v>CANO GUZMAN FABRIZIO RODRIGO</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254" t="str">
        <f t="shared" si="5"/>
        <v>APROBADO</v>
      </c>
      <c r="AI11" s="255"/>
      <c r="AJ11" s="255"/>
      <c r="AK11" s="255"/>
      <c r="AL11" s="255"/>
      <c r="AM11" s="256"/>
      <c r="AN11" s="48" t="s">
        <v>98</v>
      </c>
      <c r="AO11" s="257">
        <f>COUNTIF(AF9:AF44,"DO")</f>
        <v>0</v>
      </c>
      <c r="AP11" s="256"/>
      <c r="AQ11" s="94"/>
      <c r="AR11" s="94"/>
    </row>
    <row r="12" spans="1:48" ht="12" customHeight="1" x14ac:dyDescent="0.35">
      <c r="A12" s="58">
        <v>4</v>
      </c>
      <c r="B12" s="89" t="str">
        <f>'C. FILIACION'!B11</f>
        <v>CHOQUE LAURA CARLOS EDUARDO</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254" t="str">
        <f t="shared" si="5"/>
        <v>APROBADO</v>
      </c>
      <c r="AI12" s="255"/>
      <c r="AJ12" s="255"/>
      <c r="AK12" s="255"/>
      <c r="AL12" s="255"/>
      <c r="AM12" s="256"/>
      <c r="AN12" s="48" t="s">
        <v>99</v>
      </c>
      <c r="AO12" s="257">
        <f>COUNTIF(AF9:AF44,"DP")</f>
        <v>36</v>
      </c>
      <c r="AP12" s="256"/>
      <c r="AQ12" s="94"/>
      <c r="AR12" s="94"/>
    </row>
    <row r="13" spans="1:48" ht="12" customHeight="1" x14ac:dyDescent="0.35">
      <c r="A13" s="58">
        <v>5</v>
      </c>
      <c r="B13" s="89" t="str">
        <f>'C. FILIACION'!B12</f>
        <v>CONDORI GALARZA DENSEL ALEXSIS</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254" t="str">
        <f t="shared" si="5"/>
        <v>APROBADO</v>
      </c>
      <c r="AI13" s="255"/>
      <c r="AJ13" s="255"/>
      <c r="AK13" s="255"/>
      <c r="AL13" s="255"/>
      <c r="AM13" s="256"/>
      <c r="AN13" s="94"/>
      <c r="AO13" s="94"/>
      <c r="AP13" s="94"/>
      <c r="AQ13" s="94"/>
      <c r="AR13" s="94"/>
    </row>
    <row r="14" spans="1:48" ht="12" customHeight="1" x14ac:dyDescent="0.35">
      <c r="A14" s="58">
        <v>6</v>
      </c>
      <c r="B14" s="89" t="str">
        <f>'C. FILIACION'!B13</f>
        <v>DAZA RAMIREZ KALEP MATEO</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254" t="str">
        <f t="shared" si="5"/>
        <v>APROBADO</v>
      </c>
      <c r="AI14" s="255"/>
      <c r="AJ14" s="255"/>
      <c r="AK14" s="255"/>
      <c r="AL14" s="255"/>
      <c r="AM14" s="256"/>
      <c r="AN14" s="94"/>
      <c r="AO14" s="94"/>
      <c r="AP14" s="94"/>
      <c r="AQ14" s="94"/>
      <c r="AR14" s="94"/>
    </row>
    <row r="15" spans="1:48" ht="12" customHeight="1" x14ac:dyDescent="0.35">
      <c r="A15" s="58">
        <v>7</v>
      </c>
      <c r="B15" s="89" t="str">
        <f>'C. FILIACION'!B14</f>
        <v>ESTRADA FUNES NAZARETH</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254" t="str">
        <f t="shared" si="5"/>
        <v>APROBADO</v>
      </c>
      <c r="AI15" s="255"/>
      <c r="AJ15" s="255"/>
      <c r="AK15" s="255"/>
      <c r="AL15" s="255"/>
      <c r="AM15" s="256"/>
      <c r="AN15" s="94"/>
      <c r="AO15" s="94"/>
      <c r="AP15" s="94"/>
      <c r="AQ15" s="94"/>
      <c r="AR15" s="94"/>
    </row>
    <row r="16" spans="1:48" ht="12" customHeight="1" x14ac:dyDescent="0.35">
      <c r="A16" s="58">
        <v>8</v>
      </c>
      <c r="B16" s="89" t="str">
        <f>'C. FILIACION'!B15</f>
        <v>FLORES VILLEGAS CARLOS IVAN</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254" t="str">
        <f t="shared" si="5"/>
        <v>APROBADO</v>
      </c>
      <c r="AI16" s="255"/>
      <c r="AJ16" s="255"/>
      <c r="AK16" s="255"/>
      <c r="AL16" s="255"/>
      <c r="AM16" s="256"/>
      <c r="AN16" s="94"/>
      <c r="AO16" s="94"/>
      <c r="AP16" s="94"/>
      <c r="AQ16" s="94"/>
      <c r="AR16" s="94"/>
    </row>
    <row r="17" spans="1:44" ht="12" customHeight="1" x14ac:dyDescent="0.35">
      <c r="A17" s="58">
        <v>9</v>
      </c>
      <c r="B17" s="89" t="str">
        <f>'C. FILIACION'!B16</f>
        <v>FRANCISCO RUIZ LUCERO</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254" t="str">
        <f t="shared" si="5"/>
        <v>APROBADO</v>
      </c>
      <c r="AI17" s="255"/>
      <c r="AJ17" s="255"/>
      <c r="AK17" s="255"/>
      <c r="AL17" s="255"/>
      <c r="AM17" s="256"/>
      <c r="AN17" s="94"/>
      <c r="AO17" s="94"/>
      <c r="AP17" s="94"/>
      <c r="AQ17" s="94"/>
      <c r="AR17" s="94"/>
    </row>
    <row r="18" spans="1:44" ht="12" customHeight="1" x14ac:dyDescent="0.35">
      <c r="A18" s="58">
        <v>10</v>
      </c>
      <c r="B18" s="89" t="str">
        <f>'C. FILIACION'!B17</f>
        <v>IBARRA VINO ELOY INTI</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254" t="str">
        <f t="shared" si="5"/>
        <v>APROBADO</v>
      </c>
      <c r="AI18" s="255"/>
      <c r="AJ18" s="255"/>
      <c r="AK18" s="255"/>
      <c r="AL18" s="255"/>
      <c r="AM18" s="256"/>
      <c r="AN18" s="94"/>
      <c r="AO18" s="94"/>
      <c r="AP18" s="94"/>
      <c r="AQ18" s="94"/>
      <c r="AR18" s="94"/>
    </row>
    <row r="19" spans="1:44" ht="12" customHeight="1" x14ac:dyDescent="0.35">
      <c r="A19" s="58">
        <v>11</v>
      </c>
      <c r="B19" s="89" t="str">
        <f>'C. FILIACION'!B18</f>
        <v>LOPEZ BLANCO SOFIA BELEN</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254" t="str">
        <f t="shared" si="5"/>
        <v>APROBADO</v>
      </c>
      <c r="AI19" s="255"/>
      <c r="AJ19" s="255"/>
      <c r="AK19" s="255"/>
      <c r="AL19" s="255"/>
      <c r="AM19" s="256"/>
      <c r="AN19" s="94"/>
      <c r="AO19" s="94"/>
      <c r="AP19" s="94"/>
      <c r="AQ19" s="94"/>
      <c r="AR19" s="94"/>
    </row>
    <row r="20" spans="1:44" ht="12" customHeight="1" x14ac:dyDescent="0.35">
      <c r="A20" s="58">
        <v>12</v>
      </c>
      <c r="B20" s="89" t="str">
        <f>'C. FILIACION'!B19</f>
        <v>LOPEZ PACO RODRIGO ADRIAN</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254" t="str">
        <f t="shared" si="5"/>
        <v>APROBADO</v>
      </c>
      <c r="AI20" s="255"/>
      <c r="AJ20" s="255"/>
      <c r="AK20" s="255"/>
      <c r="AL20" s="255"/>
      <c r="AM20" s="256"/>
      <c r="AN20" s="94"/>
      <c r="AO20" s="94"/>
      <c r="AP20" s="94"/>
      <c r="AQ20" s="94"/>
      <c r="AR20" s="94"/>
    </row>
    <row r="21" spans="1:44" ht="12" customHeight="1" x14ac:dyDescent="0.35">
      <c r="A21" s="58">
        <v>13</v>
      </c>
      <c r="B21" s="89" t="str">
        <f>'C. FILIACION'!B20</f>
        <v>LOPEZ VERA MILENCA</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254" t="str">
        <f t="shared" si="5"/>
        <v>APROBADO</v>
      </c>
      <c r="AI21" s="255"/>
      <c r="AJ21" s="255"/>
      <c r="AK21" s="255"/>
      <c r="AL21" s="255"/>
      <c r="AM21" s="256"/>
      <c r="AN21" s="94"/>
      <c r="AO21" s="94"/>
      <c r="AP21" s="94"/>
      <c r="AQ21" s="94"/>
      <c r="AR21" s="94"/>
    </row>
    <row r="22" spans="1:44" ht="12" customHeight="1" x14ac:dyDescent="0.35">
      <c r="A22" s="58">
        <v>14</v>
      </c>
      <c r="B22" s="89" t="str">
        <f>'C. FILIACION'!B21</f>
        <v>MEDINA CHOQUE JOSE ROBERTO</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254" t="str">
        <f t="shared" si="5"/>
        <v>APROBADO</v>
      </c>
      <c r="AI22" s="255"/>
      <c r="AJ22" s="255"/>
      <c r="AK22" s="255"/>
      <c r="AL22" s="255"/>
      <c r="AM22" s="256"/>
      <c r="AN22" s="94"/>
      <c r="AO22" s="94"/>
      <c r="AP22" s="94"/>
      <c r="AQ22" s="94"/>
      <c r="AR22" s="94"/>
    </row>
    <row r="23" spans="1:44" ht="12" customHeight="1" x14ac:dyDescent="0.35">
      <c r="A23" s="58">
        <v>15</v>
      </c>
      <c r="B23" s="89" t="str">
        <f>'C. FILIACION'!B22</f>
        <v>MIRABAL AYANOME JOSE ALFREDO</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254" t="str">
        <f t="shared" si="5"/>
        <v>APROBADO</v>
      </c>
      <c r="AI23" s="255"/>
      <c r="AJ23" s="255"/>
      <c r="AK23" s="255"/>
      <c r="AL23" s="255"/>
      <c r="AM23" s="256"/>
      <c r="AN23" s="94"/>
      <c r="AO23" s="94"/>
      <c r="AP23" s="94"/>
      <c r="AQ23" s="94"/>
      <c r="AR23" s="94"/>
    </row>
    <row r="24" spans="1:44" ht="12" customHeight="1" x14ac:dyDescent="0.35">
      <c r="A24" s="58">
        <v>16</v>
      </c>
      <c r="B24" s="89" t="str">
        <f>'C. FILIACION'!B23</f>
        <v>NINA RUEDA ESTEFANY DANIELA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254" t="str">
        <f t="shared" si="5"/>
        <v>APROBADO</v>
      </c>
      <c r="AI24" s="255"/>
      <c r="AJ24" s="255"/>
      <c r="AK24" s="255"/>
      <c r="AL24" s="255"/>
      <c r="AM24" s="256"/>
      <c r="AN24" s="94"/>
      <c r="AO24" s="94"/>
      <c r="AP24" s="94"/>
      <c r="AQ24" s="94"/>
      <c r="AR24" s="94"/>
    </row>
    <row r="25" spans="1:44" ht="12" customHeight="1" x14ac:dyDescent="0.35">
      <c r="A25" s="58">
        <v>17</v>
      </c>
      <c r="B25" s="89" t="str">
        <f>'C. FILIACION'!B24</f>
        <v>PORTILLO QUISPE JORGE LUIS</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254" t="str">
        <f t="shared" si="5"/>
        <v>APROBADO</v>
      </c>
      <c r="AI25" s="255"/>
      <c r="AJ25" s="255"/>
      <c r="AK25" s="255"/>
      <c r="AL25" s="255"/>
      <c r="AM25" s="256"/>
      <c r="AN25" s="94"/>
      <c r="AO25" s="94"/>
      <c r="AP25" s="94"/>
      <c r="AQ25" s="94"/>
      <c r="AR25" s="94"/>
    </row>
    <row r="26" spans="1:44" ht="12" customHeight="1" x14ac:dyDescent="0.35">
      <c r="A26" s="58">
        <v>18</v>
      </c>
      <c r="B26" s="89" t="str">
        <f>'C. FILIACION'!B25</f>
        <v>TORREZ PACO CARLA MILENKA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254" t="str">
        <f t="shared" si="5"/>
        <v>APROBADO</v>
      </c>
      <c r="AI26" s="255"/>
      <c r="AJ26" s="255"/>
      <c r="AK26" s="255"/>
      <c r="AL26" s="255"/>
      <c r="AM26" s="256"/>
      <c r="AN26" s="94"/>
      <c r="AO26" s="94"/>
      <c r="AP26" s="94"/>
      <c r="AQ26" s="94"/>
      <c r="AR26" s="94"/>
    </row>
    <row r="27" spans="1:44" ht="12" customHeight="1" x14ac:dyDescent="0.35">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54" t="str">
        <f t="shared" si="5"/>
        <v>APROBADO</v>
      </c>
      <c r="AI27" s="255"/>
      <c r="AJ27" s="255"/>
      <c r="AK27" s="255"/>
      <c r="AL27" s="255"/>
      <c r="AM27" s="256"/>
      <c r="AN27" s="94"/>
      <c r="AO27" s="94"/>
      <c r="AP27" s="94"/>
      <c r="AQ27" s="94"/>
      <c r="AR27" s="94"/>
    </row>
    <row r="28" spans="1:44" ht="12" customHeight="1" x14ac:dyDescent="0.35">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54" t="str">
        <f t="shared" si="5"/>
        <v>APROBADO</v>
      </c>
      <c r="AI28" s="255"/>
      <c r="AJ28" s="255"/>
      <c r="AK28" s="255"/>
      <c r="AL28" s="255"/>
      <c r="AM28" s="256"/>
      <c r="AN28" s="94"/>
      <c r="AO28" s="94"/>
      <c r="AP28" s="94"/>
      <c r="AQ28" s="94"/>
      <c r="AR28" s="94"/>
    </row>
    <row r="29" spans="1:44" ht="12" customHeight="1" x14ac:dyDescent="0.35">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54" t="str">
        <f t="shared" si="5"/>
        <v>APROBADO</v>
      </c>
      <c r="AI29" s="255"/>
      <c r="AJ29" s="255"/>
      <c r="AK29" s="255"/>
      <c r="AL29" s="255"/>
      <c r="AM29" s="256"/>
      <c r="AN29" s="94"/>
      <c r="AO29" s="94"/>
      <c r="AP29" s="94"/>
      <c r="AQ29" s="94"/>
      <c r="AR29" s="94"/>
    </row>
    <row r="30" spans="1:44" ht="12" customHeight="1" x14ac:dyDescent="0.35">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54" t="str">
        <f t="shared" si="5"/>
        <v>APROBADO</v>
      </c>
      <c r="AI30" s="255"/>
      <c r="AJ30" s="255"/>
      <c r="AK30" s="255"/>
      <c r="AL30" s="255"/>
      <c r="AM30" s="256"/>
      <c r="AN30" s="94"/>
      <c r="AO30" s="94"/>
      <c r="AP30" s="94"/>
      <c r="AQ30" s="94"/>
      <c r="AR30" s="94"/>
    </row>
    <row r="31" spans="1:44" ht="12" customHeight="1" x14ac:dyDescent="0.35">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54" t="str">
        <f t="shared" si="5"/>
        <v>APROBADO</v>
      </c>
      <c r="AI31" s="255"/>
      <c r="AJ31" s="255"/>
      <c r="AK31" s="255"/>
      <c r="AL31" s="255"/>
      <c r="AM31" s="256"/>
      <c r="AN31" s="94"/>
      <c r="AO31" s="94"/>
      <c r="AP31" s="94"/>
      <c r="AQ31" s="94"/>
      <c r="AR31" s="94"/>
    </row>
    <row r="32" spans="1:44" ht="12" customHeight="1" x14ac:dyDescent="0.35">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54" t="str">
        <f t="shared" si="5"/>
        <v>APROBADO</v>
      </c>
      <c r="AI32" s="255"/>
      <c r="AJ32" s="255"/>
      <c r="AK32" s="255"/>
      <c r="AL32" s="255"/>
      <c r="AM32" s="256"/>
      <c r="AN32" s="94"/>
      <c r="AO32" s="94"/>
      <c r="AP32" s="94"/>
      <c r="AQ32" s="94"/>
      <c r="AR32" s="94"/>
    </row>
    <row r="33" spans="1:44" ht="12" customHeight="1" x14ac:dyDescent="0.35">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54" t="str">
        <f t="shared" si="5"/>
        <v>APROBADO</v>
      </c>
      <c r="AI33" s="255"/>
      <c r="AJ33" s="255"/>
      <c r="AK33" s="255"/>
      <c r="AL33" s="255"/>
      <c r="AM33" s="256"/>
      <c r="AN33" s="94"/>
      <c r="AO33" s="94"/>
      <c r="AP33" s="94"/>
      <c r="AQ33" s="94"/>
      <c r="AR33" s="94"/>
    </row>
    <row r="34" spans="1:44" ht="12" customHeight="1" x14ac:dyDescent="0.35">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54" t="str">
        <f t="shared" si="5"/>
        <v>APROBADO</v>
      </c>
      <c r="AI34" s="255"/>
      <c r="AJ34" s="255"/>
      <c r="AK34" s="255"/>
      <c r="AL34" s="255"/>
      <c r="AM34" s="256"/>
      <c r="AN34" s="94"/>
      <c r="AO34" s="94"/>
      <c r="AP34" s="94"/>
      <c r="AQ34" s="94"/>
      <c r="AR34" s="94"/>
    </row>
    <row r="35" spans="1:44" ht="12" customHeight="1" x14ac:dyDescent="0.35">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54" t="str">
        <f t="shared" si="5"/>
        <v>APROBADO</v>
      </c>
      <c r="AI35" s="255"/>
      <c r="AJ35" s="255"/>
      <c r="AK35" s="255"/>
      <c r="AL35" s="255"/>
      <c r="AM35" s="256"/>
      <c r="AN35" s="94"/>
      <c r="AO35" s="94"/>
      <c r="AP35" s="94"/>
      <c r="AQ35" s="94"/>
      <c r="AR35" s="94"/>
    </row>
    <row r="36" spans="1:44" ht="12" customHeight="1" x14ac:dyDescent="0.35">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54" t="str">
        <f t="shared" si="5"/>
        <v>APROBADO</v>
      </c>
      <c r="AI36" s="255"/>
      <c r="AJ36" s="255"/>
      <c r="AK36" s="255"/>
      <c r="AL36" s="255"/>
      <c r="AM36" s="256"/>
      <c r="AN36" s="94"/>
      <c r="AO36" s="94"/>
      <c r="AP36" s="94"/>
      <c r="AQ36" s="94"/>
      <c r="AR36" s="94"/>
    </row>
    <row r="37" spans="1:44" ht="12" customHeight="1" x14ac:dyDescent="0.35">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54" t="str">
        <f t="shared" si="5"/>
        <v>APROBADO</v>
      </c>
      <c r="AI37" s="255"/>
      <c r="AJ37" s="255"/>
      <c r="AK37" s="255"/>
      <c r="AL37" s="255"/>
      <c r="AM37" s="256"/>
      <c r="AN37" s="94"/>
      <c r="AO37" s="94"/>
      <c r="AP37" s="94"/>
      <c r="AQ37" s="94"/>
      <c r="AR37" s="94"/>
    </row>
    <row r="38" spans="1:44" ht="12" customHeight="1" x14ac:dyDescent="0.3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54" t="str">
        <f t="shared" si="5"/>
        <v>APROBADO</v>
      </c>
      <c r="AI38" s="255"/>
      <c r="AJ38" s="255"/>
      <c r="AK38" s="255"/>
      <c r="AL38" s="255"/>
      <c r="AM38" s="256"/>
      <c r="AN38" s="94"/>
      <c r="AO38" s="94"/>
      <c r="AP38" s="94"/>
      <c r="AQ38" s="94"/>
      <c r="AR38" s="94"/>
    </row>
    <row r="39" spans="1:44" ht="12" customHeight="1" x14ac:dyDescent="0.3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54" t="str">
        <f t="shared" si="5"/>
        <v>APROBADO</v>
      </c>
      <c r="AI39" s="255"/>
      <c r="AJ39" s="255"/>
      <c r="AK39" s="255"/>
      <c r="AL39" s="255"/>
      <c r="AM39" s="256"/>
      <c r="AN39" s="94"/>
      <c r="AO39" s="94"/>
      <c r="AP39" s="94"/>
      <c r="AQ39" s="94"/>
      <c r="AR39" s="94"/>
    </row>
    <row r="40" spans="1:44" ht="12" customHeight="1" x14ac:dyDescent="0.3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54" t="str">
        <f t="shared" si="5"/>
        <v>APROBADO</v>
      </c>
      <c r="AI40" s="255"/>
      <c r="AJ40" s="255"/>
      <c r="AK40" s="255"/>
      <c r="AL40" s="255"/>
      <c r="AM40" s="256"/>
      <c r="AN40" s="94"/>
      <c r="AO40" s="94"/>
      <c r="AP40" s="94"/>
      <c r="AQ40" s="94"/>
      <c r="AR40" s="94"/>
    </row>
    <row r="41" spans="1:44" ht="12" customHeight="1" x14ac:dyDescent="0.3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54" t="str">
        <f t="shared" si="5"/>
        <v>APROBADO</v>
      </c>
      <c r="AI41" s="255"/>
      <c r="AJ41" s="255"/>
      <c r="AK41" s="255"/>
      <c r="AL41" s="255"/>
      <c r="AM41" s="256"/>
      <c r="AN41" s="94"/>
      <c r="AO41" s="94"/>
      <c r="AP41" s="94"/>
      <c r="AQ41" s="94"/>
      <c r="AR41" s="94"/>
    </row>
    <row r="42" spans="1:44" ht="12" customHeight="1" x14ac:dyDescent="0.3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54" t="str">
        <f t="shared" si="5"/>
        <v>APROBADO</v>
      </c>
      <c r="AI42" s="255"/>
      <c r="AJ42" s="255"/>
      <c r="AK42" s="255"/>
      <c r="AL42" s="255"/>
      <c r="AM42" s="256"/>
      <c r="AN42" s="94"/>
      <c r="AO42" s="94"/>
      <c r="AP42" s="94"/>
      <c r="AQ42" s="94"/>
      <c r="AR42" s="94"/>
    </row>
    <row r="43" spans="1:44" ht="12" customHeight="1" x14ac:dyDescent="0.3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54" t="str">
        <f t="shared" si="5"/>
        <v>APROBADO</v>
      </c>
      <c r="AI43" s="255"/>
      <c r="AJ43" s="255"/>
      <c r="AK43" s="255"/>
      <c r="AL43" s="255"/>
      <c r="AM43" s="256"/>
      <c r="AN43" s="94"/>
      <c r="AO43" s="94"/>
      <c r="AP43" s="94"/>
      <c r="AQ43" s="94"/>
      <c r="AR43" s="94"/>
    </row>
    <row r="44" spans="1:44" ht="12" customHeight="1" x14ac:dyDescent="0.3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54" t="str">
        <f t="shared" si="5"/>
        <v>APROBADO</v>
      </c>
      <c r="AI44" s="255"/>
      <c r="AJ44" s="255"/>
      <c r="AK44" s="255"/>
      <c r="AL44" s="255"/>
      <c r="AM44" s="256"/>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65625" defaultRowHeight="15" customHeight="1" x14ac:dyDescent="0.35"/>
  <cols>
    <col min="1" max="1" width="1.6640625" customWidth="1"/>
    <col min="2" max="2" width="20.6640625" customWidth="1"/>
    <col min="3" max="7" width="2.265625" customWidth="1"/>
    <col min="8" max="8" width="3.265625" customWidth="1"/>
    <col min="9" max="13" width="2.265625" customWidth="1"/>
    <col min="14" max="14" width="3.265625" customWidth="1"/>
    <col min="15" max="19" width="2.265625" customWidth="1"/>
    <col min="20" max="21" width="3.265625" customWidth="1"/>
    <col min="22" max="22" width="9" customWidth="1"/>
    <col min="23" max="24" width="2.265625" customWidth="1"/>
    <col min="25" max="28" width="1.6640625" customWidth="1"/>
  </cols>
  <sheetData>
    <row r="1" spans="1:28" ht="4.5" customHeight="1" x14ac:dyDescent="0.35"/>
    <row r="2" spans="1:28" ht="12.75" customHeight="1" x14ac:dyDescent="0.35">
      <c r="B2" s="217" t="s">
        <v>102</v>
      </c>
      <c r="C2" s="213"/>
      <c r="D2" s="213"/>
      <c r="E2" s="213"/>
      <c r="F2" s="213"/>
      <c r="G2" s="213"/>
      <c r="H2" s="213"/>
      <c r="I2" s="213"/>
      <c r="J2" s="213"/>
      <c r="K2" s="213"/>
      <c r="L2" s="213"/>
      <c r="M2" s="213"/>
      <c r="N2" s="213"/>
      <c r="O2" s="213"/>
      <c r="P2" s="213"/>
      <c r="Q2" s="213"/>
      <c r="R2" s="213"/>
      <c r="S2" s="213"/>
      <c r="T2" s="213"/>
      <c r="U2" s="213"/>
      <c r="V2" s="213"/>
      <c r="W2" s="213"/>
      <c r="X2" s="213"/>
      <c r="Y2" s="72"/>
      <c r="Z2" s="72"/>
      <c r="AA2" s="72"/>
      <c r="AB2" s="72"/>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5">
      <c r="B5" s="38" t="s">
        <v>22</v>
      </c>
      <c r="C5" s="96" t="str">
        <f>CARÁTULA!$C$23</f>
        <v>4to de Secundaria</v>
      </c>
      <c r="D5" s="40"/>
      <c r="E5" s="40"/>
      <c r="F5" s="40"/>
      <c r="G5" s="40"/>
      <c r="H5" s="40"/>
      <c r="I5" s="40"/>
      <c r="J5" s="40"/>
      <c r="K5" s="40"/>
      <c r="L5" s="40"/>
      <c r="M5" s="40"/>
      <c r="N5" s="38"/>
      <c r="O5" s="38"/>
      <c r="P5" s="38"/>
      <c r="Q5" s="38"/>
      <c r="R5" s="43" t="s">
        <v>23</v>
      </c>
      <c r="S5" s="44"/>
      <c r="T5" s="44"/>
      <c r="U5" s="231">
        <f ca="1">TODAY()</f>
        <v>44421</v>
      </c>
      <c r="V5" s="213"/>
      <c r="W5" s="213"/>
      <c r="X5" s="213"/>
    </row>
    <row r="6" spans="1:28" ht="12.75" customHeight="1" x14ac:dyDescent="0.35">
      <c r="B6" s="38"/>
      <c r="C6" s="288" t="s">
        <v>4</v>
      </c>
      <c r="D6" s="255"/>
      <c r="E6" s="255"/>
      <c r="F6" s="255"/>
      <c r="G6" s="255"/>
      <c r="H6" s="256"/>
      <c r="I6" s="288" t="s">
        <v>10</v>
      </c>
      <c r="J6" s="255"/>
      <c r="K6" s="255"/>
      <c r="L6" s="255"/>
      <c r="M6" s="255"/>
      <c r="N6" s="256"/>
      <c r="O6" s="288" t="s">
        <v>16</v>
      </c>
      <c r="P6" s="255"/>
      <c r="Q6" s="255"/>
      <c r="R6" s="255"/>
      <c r="S6" s="255"/>
      <c r="T6" s="256"/>
      <c r="U6" s="293" t="s">
        <v>103</v>
      </c>
      <c r="V6" s="289" t="s">
        <v>104</v>
      </c>
      <c r="W6" s="67"/>
      <c r="X6" s="67"/>
    </row>
    <row r="7" spans="1:28" ht="12" customHeight="1" x14ac:dyDescent="0.35">
      <c r="B7" s="47"/>
      <c r="C7" s="291"/>
      <c r="D7" s="255"/>
      <c r="E7" s="255"/>
      <c r="F7" s="255"/>
      <c r="G7" s="256"/>
      <c r="H7" s="292" t="s">
        <v>105</v>
      </c>
      <c r="I7" s="291"/>
      <c r="J7" s="255"/>
      <c r="K7" s="255"/>
      <c r="L7" s="255"/>
      <c r="M7" s="256"/>
      <c r="N7" s="292" t="s">
        <v>105</v>
      </c>
      <c r="O7" s="291"/>
      <c r="P7" s="255"/>
      <c r="Q7" s="255"/>
      <c r="R7" s="255"/>
      <c r="S7" s="256"/>
      <c r="T7" s="269" t="s">
        <v>105</v>
      </c>
      <c r="U7" s="290"/>
      <c r="V7" s="290"/>
      <c r="W7" s="40"/>
      <c r="X7" s="40"/>
    </row>
    <row r="8" spans="1:28" ht="67.5" customHeight="1" x14ac:dyDescent="0.35">
      <c r="A8" s="48" t="s">
        <v>55</v>
      </c>
      <c r="B8" s="49" t="s">
        <v>56</v>
      </c>
      <c r="C8" s="97" t="s">
        <v>81</v>
      </c>
      <c r="D8" s="98" t="s">
        <v>82</v>
      </c>
      <c r="E8" s="98" t="s">
        <v>84</v>
      </c>
      <c r="F8" s="98" t="s">
        <v>85</v>
      </c>
      <c r="G8" s="98" t="s">
        <v>106</v>
      </c>
      <c r="H8" s="259"/>
      <c r="I8" s="97" t="s">
        <v>81</v>
      </c>
      <c r="J8" s="98" t="s">
        <v>82</v>
      </c>
      <c r="K8" s="98" t="s">
        <v>84</v>
      </c>
      <c r="L8" s="98" t="s">
        <v>85</v>
      </c>
      <c r="M8" s="98" t="s">
        <v>106</v>
      </c>
      <c r="N8" s="259"/>
      <c r="O8" s="97" t="s">
        <v>81</v>
      </c>
      <c r="P8" s="98" t="s">
        <v>82</v>
      </c>
      <c r="Q8" s="98" t="s">
        <v>84</v>
      </c>
      <c r="R8" s="98" t="s">
        <v>85</v>
      </c>
      <c r="S8" s="98" t="s">
        <v>106</v>
      </c>
      <c r="T8" s="259"/>
      <c r="U8" s="259"/>
      <c r="V8" s="259"/>
      <c r="W8" s="99"/>
      <c r="X8" s="99"/>
    </row>
    <row r="9" spans="1:28" ht="12" customHeight="1" x14ac:dyDescent="0.35">
      <c r="A9" s="58">
        <v>1</v>
      </c>
      <c r="B9" s="59" t="str">
        <f>'C. FILIACION'!B8</f>
        <v>BENITEZ BALLESTEROS KAREN ARIANA</v>
      </c>
      <c r="C9" s="31">
        <f>'VAL 1 TRIM '!C9</f>
        <v>10</v>
      </c>
      <c r="D9" s="31">
        <f>'VAL 1 TRIM '!O9</f>
        <v>30</v>
      </c>
      <c r="E9" s="31">
        <f>'VAL 1 TRIM '!AB9</f>
        <v>30</v>
      </c>
      <c r="F9" s="31">
        <f>'VAL 1 TRIM '!AE9</f>
        <v>10</v>
      </c>
      <c r="G9" s="31">
        <f>'VAL 1 TRIM '!AE9</f>
        <v>10</v>
      </c>
      <c r="H9" s="100">
        <f>'VAL 1 TRIM '!AG9</f>
        <v>90</v>
      </c>
      <c r="I9" s="31">
        <f>'VAL 2 TRIM'!C9</f>
        <v>10</v>
      </c>
      <c r="J9" s="31">
        <f>'VAL 2 TRIM'!O9</f>
        <v>12</v>
      </c>
      <c r="K9" s="31">
        <f>'VAL 2 TRIM'!AB9</f>
        <v>18</v>
      </c>
      <c r="L9" s="31">
        <f>'VAL 2 TRIM'!AA9</f>
        <v>10</v>
      </c>
      <c r="M9" s="31">
        <f>'VAL 2 TRIM'!AE9</f>
        <v>10</v>
      </c>
      <c r="N9" s="100">
        <f>'VAL 2 TRIM'!AG9</f>
        <v>60</v>
      </c>
      <c r="O9" s="31">
        <f>'VAL 3 TRIM'!C9</f>
        <v>10</v>
      </c>
      <c r="P9" s="31">
        <f>'VAL 3 TRIM'!O9</f>
        <v>35</v>
      </c>
      <c r="Q9" s="31">
        <f>'VAL 3 TRIM'!AB9</f>
        <v>35</v>
      </c>
      <c r="R9" s="31">
        <f>'VAL 3 TRIM'!AA9</f>
        <v>10</v>
      </c>
      <c r="S9" s="31">
        <f>'VAL 3 TRIM'!AE9</f>
        <v>10</v>
      </c>
      <c r="T9" s="100">
        <f>'VAL 3 TRIM'!AG9</f>
        <v>100</v>
      </c>
      <c r="U9" s="101">
        <f t="shared" ref="U9:U44" si="0">AVERAGE(H9,N9,T9)</f>
        <v>83.333333333333329</v>
      </c>
      <c r="V9" s="102" t="str">
        <f t="shared" ref="V9:V44" si="1">IF(U9="","",(IF(AND(U9&gt;=1,U9&lt;=50.499),"REPROBADO",IF(AND(U9&gt;=50.5,U9&lt;=100),"APROBADO"))))</f>
        <v>APROBADO</v>
      </c>
      <c r="W9" s="103"/>
      <c r="X9" s="103"/>
    </row>
    <row r="10" spans="1:28" ht="12" customHeight="1" x14ac:dyDescent="0.35">
      <c r="A10" s="58">
        <v>2</v>
      </c>
      <c r="B10" s="59" t="str">
        <f>'C. FILIACION'!B9</f>
        <v>CALIZAYA MERCADO AXEL GABRIEL</v>
      </c>
      <c r="C10" s="48">
        <f>'VAL 1 TRIM '!C10</f>
        <v>10</v>
      </c>
      <c r="D10" s="48">
        <f>'VAL 1 TRIM '!O10</f>
        <v>10</v>
      </c>
      <c r="E10" s="48">
        <f>'VAL 1 TRIM '!AB10</f>
        <v>15</v>
      </c>
      <c r="F10" s="48">
        <f>'VAL 1 TRIM '!AE10</f>
        <v>10</v>
      </c>
      <c r="G10" s="48">
        <f>'VAL 1 TRIM '!AE10</f>
        <v>10</v>
      </c>
      <c r="H10" s="100">
        <f>'VAL 1 TRIM '!AG10</f>
        <v>55</v>
      </c>
      <c r="I10" s="31">
        <f>'VAL 2 TRIM'!C10</f>
        <v>10</v>
      </c>
      <c r="J10" s="31">
        <f>'VAL 2 TRIM'!O10</f>
        <v>5</v>
      </c>
      <c r="K10" s="31">
        <f>'VAL 2 TRIM'!AB10</f>
        <v>0</v>
      </c>
      <c r="L10" s="31">
        <f>'VAL 2 TRIM'!AA10</f>
        <v>10</v>
      </c>
      <c r="M10" s="31">
        <f>'VAL 2 TRIM'!AE10</f>
        <v>10</v>
      </c>
      <c r="N10" s="100">
        <f>'VAL 2 TRIM'!AG10</f>
        <v>35</v>
      </c>
      <c r="O10" s="31">
        <f>'VAL 3 TRIM'!C10</f>
        <v>10</v>
      </c>
      <c r="P10" s="31">
        <f>'VAL 3 TRIM'!O10</f>
        <v>35</v>
      </c>
      <c r="Q10" s="31">
        <f>'VAL 3 TRIM'!AB10</f>
        <v>35</v>
      </c>
      <c r="R10" s="31">
        <f>'VAL 3 TRIM'!AA10</f>
        <v>10</v>
      </c>
      <c r="S10" s="48">
        <f>'VAL 3 TRIM'!AE10</f>
        <v>10</v>
      </c>
      <c r="T10" s="100">
        <f>'VAL 3 TRIM'!AG10</f>
        <v>100</v>
      </c>
      <c r="U10" s="101">
        <f t="shared" si="0"/>
        <v>63.333333333333336</v>
      </c>
      <c r="V10" s="102" t="str">
        <f t="shared" si="1"/>
        <v>APROBADO</v>
      </c>
      <c r="W10" s="103"/>
      <c r="X10" s="103"/>
    </row>
    <row r="11" spans="1:28" ht="12" customHeight="1" x14ac:dyDescent="0.35">
      <c r="A11" s="58">
        <v>3</v>
      </c>
      <c r="B11" s="59" t="str">
        <f>'C. FILIACION'!B10</f>
        <v>CANO GUZMAN FABRIZIO RODRIGO</v>
      </c>
      <c r="C11" s="48">
        <f>'VAL 1 TRIM '!C11</f>
        <v>10</v>
      </c>
      <c r="D11" s="48">
        <f>'VAL 1 TRIM '!O11</f>
        <v>13</v>
      </c>
      <c r="E11" s="48">
        <f>'VAL 1 TRIM '!AB11</f>
        <v>18</v>
      </c>
      <c r="F11" s="48">
        <f>'VAL 1 TRIM '!AE11</f>
        <v>10</v>
      </c>
      <c r="G11" s="48">
        <f>'VAL 1 TRIM '!AE11</f>
        <v>10</v>
      </c>
      <c r="H11" s="100">
        <f>'VAL 1 TRIM '!AG11</f>
        <v>61</v>
      </c>
      <c r="I11" s="31">
        <f>'VAL 2 TRIM'!C11</f>
        <v>10</v>
      </c>
      <c r="J11" s="31">
        <f>'VAL 2 TRIM'!O11</f>
        <v>0</v>
      </c>
      <c r="K11" s="31">
        <f>'VAL 2 TRIM'!AB11</f>
        <v>0</v>
      </c>
      <c r="L11" s="31">
        <f>'VAL 2 TRIM'!AA11</f>
        <v>10</v>
      </c>
      <c r="M11" s="31">
        <f>'VAL 2 TRIM'!AE11</f>
        <v>10</v>
      </c>
      <c r="N11" s="100">
        <f>'VAL 2 TRIM'!AG11</f>
        <v>30</v>
      </c>
      <c r="O11" s="31">
        <f>'VAL 3 TRIM'!C11</f>
        <v>10</v>
      </c>
      <c r="P11" s="31">
        <f>'VAL 3 TRIM'!O11</f>
        <v>35</v>
      </c>
      <c r="Q11" s="31">
        <f>'VAL 3 TRIM'!AB11</f>
        <v>35</v>
      </c>
      <c r="R11" s="31">
        <f>'VAL 3 TRIM'!AA11</f>
        <v>10</v>
      </c>
      <c r="S11" s="48">
        <f>'VAL 3 TRIM'!AE11</f>
        <v>10</v>
      </c>
      <c r="T11" s="100">
        <f>'VAL 3 TRIM'!AG11</f>
        <v>100</v>
      </c>
      <c r="U11" s="101">
        <f t="shared" si="0"/>
        <v>63.666666666666664</v>
      </c>
      <c r="V11" s="102" t="str">
        <f t="shared" si="1"/>
        <v>APROBADO</v>
      </c>
      <c r="W11" s="103"/>
      <c r="X11" s="103"/>
    </row>
    <row r="12" spans="1:28" ht="12" customHeight="1" x14ac:dyDescent="0.35">
      <c r="A12" s="58">
        <v>4</v>
      </c>
      <c r="B12" s="59" t="str">
        <f>'C. FILIACION'!B11</f>
        <v>CHOQUE LAURA CARLOS EDUARDO</v>
      </c>
      <c r="C12" s="48">
        <f>'VAL 1 TRIM '!C12</f>
        <v>10</v>
      </c>
      <c r="D12" s="48">
        <f>'VAL 1 TRIM '!O12</f>
        <v>30</v>
      </c>
      <c r="E12" s="48">
        <f>'VAL 1 TRIM '!AB12</f>
        <v>30</v>
      </c>
      <c r="F12" s="48">
        <f>'VAL 1 TRIM '!AE12</f>
        <v>10</v>
      </c>
      <c r="G12" s="48">
        <f>'VAL 1 TRIM '!AE12</f>
        <v>10</v>
      </c>
      <c r="H12" s="100">
        <f>'VAL 1 TRIM '!AG12</f>
        <v>90</v>
      </c>
      <c r="I12" s="31">
        <f>'VAL 2 TRIM'!C12</f>
        <v>10</v>
      </c>
      <c r="J12" s="31">
        <f>'VAL 2 TRIM'!O12</f>
        <v>0</v>
      </c>
      <c r="K12" s="31">
        <f>'VAL 2 TRIM'!AB12</f>
        <v>0</v>
      </c>
      <c r="L12" s="31">
        <f>'VAL 2 TRIM'!AA12</f>
        <v>10</v>
      </c>
      <c r="M12" s="31">
        <f>'VAL 2 TRIM'!AE12</f>
        <v>10</v>
      </c>
      <c r="N12" s="100">
        <f>'VAL 2 TRIM'!AG12</f>
        <v>30</v>
      </c>
      <c r="O12" s="31">
        <f>'VAL 3 TRIM'!C12</f>
        <v>10</v>
      </c>
      <c r="P12" s="31">
        <f>'VAL 3 TRIM'!O12</f>
        <v>35</v>
      </c>
      <c r="Q12" s="31">
        <f>'VAL 3 TRIM'!AB12</f>
        <v>35</v>
      </c>
      <c r="R12" s="31">
        <f>'VAL 3 TRIM'!AA12</f>
        <v>10</v>
      </c>
      <c r="S12" s="48">
        <f>'VAL 3 TRIM'!AE12</f>
        <v>10</v>
      </c>
      <c r="T12" s="100">
        <f>'VAL 3 TRIM'!AG12</f>
        <v>100</v>
      </c>
      <c r="U12" s="101">
        <f t="shared" si="0"/>
        <v>73.333333333333329</v>
      </c>
      <c r="V12" s="102" t="str">
        <f t="shared" si="1"/>
        <v>APROBADO</v>
      </c>
      <c r="W12" s="103"/>
      <c r="X12" s="103"/>
    </row>
    <row r="13" spans="1:28" ht="12" customHeight="1" x14ac:dyDescent="0.35">
      <c r="A13" s="58">
        <v>5</v>
      </c>
      <c r="B13" s="59" t="str">
        <f>'C. FILIACION'!B12</f>
        <v>CONDORI GALARZA DENSEL ALEXSIS</v>
      </c>
      <c r="C13" s="48">
        <f>'VAL 1 TRIM '!C13</f>
        <v>10</v>
      </c>
      <c r="D13" s="48">
        <f>'VAL 1 TRIM '!O13</f>
        <v>30</v>
      </c>
      <c r="E13" s="48">
        <f>'VAL 1 TRIM '!AB13</f>
        <v>30</v>
      </c>
      <c r="F13" s="48">
        <f>'VAL 1 TRIM '!AE13</f>
        <v>10</v>
      </c>
      <c r="G13" s="48">
        <f>'VAL 1 TRIM '!AE13</f>
        <v>10</v>
      </c>
      <c r="H13" s="100">
        <f>'VAL 1 TRIM '!AG13</f>
        <v>90</v>
      </c>
      <c r="I13" s="31">
        <f>'VAL 2 TRIM'!C13</f>
        <v>10</v>
      </c>
      <c r="J13" s="31">
        <f>'VAL 2 TRIM'!O13</f>
        <v>33</v>
      </c>
      <c r="K13" s="31">
        <f>'VAL 2 TRIM'!AB13</f>
        <v>23</v>
      </c>
      <c r="L13" s="31">
        <f>'VAL 2 TRIM'!AA13</f>
        <v>10</v>
      </c>
      <c r="M13" s="31">
        <f>'VAL 2 TRIM'!AE13</f>
        <v>10</v>
      </c>
      <c r="N13" s="100">
        <f>'VAL 2 TRIM'!AG13</f>
        <v>86</v>
      </c>
      <c r="O13" s="31">
        <f>'VAL 3 TRIM'!C13</f>
        <v>10</v>
      </c>
      <c r="P13" s="31">
        <f>'VAL 3 TRIM'!O13</f>
        <v>35</v>
      </c>
      <c r="Q13" s="31">
        <f>'VAL 3 TRIM'!AB13</f>
        <v>35</v>
      </c>
      <c r="R13" s="31">
        <f>'VAL 3 TRIM'!AA13</f>
        <v>10</v>
      </c>
      <c r="S13" s="48">
        <f>'VAL 3 TRIM'!AE13</f>
        <v>10</v>
      </c>
      <c r="T13" s="100">
        <f>'VAL 3 TRIM'!AG13</f>
        <v>100</v>
      </c>
      <c r="U13" s="101">
        <f t="shared" si="0"/>
        <v>92</v>
      </c>
      <c r="V13" s="102" t="str">
        <f t="shared" si="1"/>
        <v>APROBADO</v>
      </c>
      <c r="W13" s="103"/>
      <c r="X13" s="103"/>
    </row>
    <row r="14" spans="1:28" ht="12" customHeight="1" x14ac:dyDescent="0.35">
      <c r="A14" s="58">
        <v>6</v>
      </c>
      <c r="B14" s="59" t="str">
        <f>'C. FILIACION'!B13</f>
        <v>DAZA RAMIREZ KALEP MATEO</v>
      </c>
      <c r="C14" s="48">
        <f>'VAL 1 TRIM '!C14</f>
        <v>10</v>
      </c>
      <c r="D14" s="48">
        <f>'VAL 1 TRIM '!O14</f>
        <v>22</v>
      </c>
      <c r="E14" s="48">
        <f>'VAL 1 TRIM '!AB14</f>
        <v>18</v>
      </c>
      <c r="F14" s="48">
        <f>'VAL 1 TRIM '!AE14</f>
        <v>10</v>
      </c>
      <c r="G14" s="48">
        <f>'VAL 1 TRIM '!AE14</f>
        <v>10</v>
      </c>
      <c r="H14" s="100">
        <f>'VAL 1 TRIM '!AG14</f>
        <v>70</v>
      </c>
      <c r="I14" s="31">
        <f>'VAL 2 TRIM'!C14</f>
        <v>10</v>
      </c>
      <c r="J14" s="31">
        <f>'VAL 2 TRIM'!O14</f>
        <v>0</v>
      </c>
      <c r="K14" s="31">
        <f>'VAL 2 TRIM'!AB14</f>
        <v>0</v>
      </c>
      <c r="L14" s="31">
        <f>'VAL 2 TRIM'!AA14</f>
        <v>10</v>
      </c>
      <c r="M14" s="31">
        <f>'VAL 2 TRIM'!AE14</f>
        <v>10</v>
      </c>
      <c r="N14" s="100">
        <f>'VAL 2 TRIM'!AG14</f>
        <v>30</v>
      </c>
      <c r="O14" s="31">
        <f>'VAL 3 TRIM'!C14</f>
        <v>10</v>
      </c>
      <c r="P14" s="31">
        <f>'VAL 3 TRIM'!O14</f>
        <v>35</v>
      </c>
      <c r="Q14" s="31">
        <f>'VAL 3 TRIM'!AB14</f>
        <v>35</v>
      </c>
      <c r="R14" s="31">
        <f>'VAL 3 TRIM'!AA14</f>
        <v>10</v>
      </c>
      <c r="S14" s="48">
        <f>'VAL 3 TRIM'!AE14</f>
        <v>10</v>
      </c>
      <c r="T14" s="100">
        <f>'VAL 3 TRIM'!AG14</f>
        <v>100</v>
      </c>
      <c r="U14" s="101">
        <f t="shared" si="0"/>
        <v>66.666666666666671</v>
      </c>
      <c r="V14" s="102" t="str">
        <f t="shared" si="1"/>
        <v>APROBADO</v>
      </c>
      <c r="W14" s="103"/>
      <c r="X14" s="103"/>
    </row>
    <row r="15" spans="1:28" ht="12" customHeight="1" x14ac:dyDescent="0.35">
      <c r="A15" s="58">
        <v>7</v>
      </c>
      <c r="B15" s="59" t="str">
        <f>'C. FILIACION'!B14</f>
        <v>ESTRADA FUNES NAZARETH</v>
      </c>
      <c r="C15" s="48">
        <f>'VAL 1 TRIM '!C15</f>
        <v>10</v>
      </c>
      <c r="D15" s="48">
        <f>'VAL 1 TRIM '!O15</f>
        <v>30</v>
      </c>
      <c r="E15" s="48">
        <f>'VAL 1 TRIM '!AB15</f>
        <v>30</v>
      </c>
      <c r="F15" s="48">
        <f>'VAL 1 TRIM '!AE15</f>
        <v>10</v>
      </c>
      <c r="G15" s="48">
        <f>'VAL 1 TRIM '!AE15</f>
        <v>10</v>
      </c>
      <c r="H15" s="100">
        <f>'VAL 1 TRIM '!AG15</f>
        <v>90</v>
      </c>
      <c r="I15" s="31">
        <f>'VAL 2 TRIM'!C15</f>
        <v>10</v>
      </c>
      <c r="J15" s="31">
        <f>'VAL 2 TRIM'!O15</f>
        <v>24</v>
      </c>
      <c r="K15" s="31">
        <f>'VAL 2 TRIM'!AB15</f>
        <v>18</v>
      </c>
      <c r="L15" s="31">
        <f>'VAL 2 TRIM'!AA15</f>
        <v>10</v>
      </c>
      <c r="M15" s="31">
        <f>'VAL 2 TRIM'!AE15</f>
        <v>10</v>
      </c>
      <c r="N15" s="100">
        <f>'VAL 2 TRIM'!AG15</f>
        <v>72</v>
      </c>
      <c r="O15" s="31">
        <f>'VAL 3 TRIM'!C15</f>
        <v>10</v>
      </c>
      <c r="P15" s="31">
        <f>'VAL 3 TRIM'!O15</f>
        <v>35</v>
      </c>
      <c r="Q15" s="31">
        <f>'VAL 3 TRIM'!AB15</f>
        <v>35</v>
      </c>
      <c r="R15" s="31">
        <f>'VAL 3 TRIM'!AA15</f>
        <v>10</v>
      </c>
      <c r="S15" s="48">
        <f>'VAL 3 TRIM'!AE15</f>
        <v>10</v>
      </c>
      <c r="T15" s="100">
        <f>'VAL 3 TRIM'!AG15</f>
        <v>100</v>
      </c>
      <c r="U15" s="101">
        <f t="shared" si="0"/>
        <v>87.333333333333329</v>
      </c>
      <c r="V15" s="102" t="str">
        <f t="shared" si="1"/>
        <v>APROBADO</v>
      </c>
      <c r="W15" s="103"/>
      <c r="X15" s="103"/>
    </row>
    <row r="16" spans="1:28" ht="12" customHeight="1" x14ac:dyDescent="0.35">
      <c r="A16" s="58">
        <v>8</v>
      </c>
      <c r="B16" s="59" t="str">
        <f>'C. FILIACION'!B15</f>
        <v>FLORES VILLEGAS CARLOS IVAN</v>
      </c>
      <c r="C16" s="48">
        <f>'VAL 1 TRIM '!C16</f>
        <v>10</v>
      </c>
      <c r="D16" s="48">
        <f>'VAL 1 TRIM '!O16</f>
        <v>30</v>
      </c>
      <c r="E16" s="48">
        <f>'VAL 1 TRIM '!AB16</f>
        <v>30</v>
      </c>
      <c r="F16" s="48">
        <f>'VAL 1 TRIM '!AE16</f>
        <v>10</v>
      </c>
      <c r="G16" s="48">
        <f>'VAL 1 TRIM '!AE16</f>
        <v>10</v>
      </c>
      <c r="H16" s="100">
        <f>'VAL 1 TRIM '!AG16</f>
        <v>90</v>
      </c>
      <c r="I16" s="31">
        <f>'VAL 2 TRIM'!C16</f>
        <v>10</v>
      </c>
      <c r="J16" s="31">
        <f>'VAL 2 TRIM'!O16</f>
        <v>0</v>
      </c>
      <c r="K16" s="31">
        <f>'VAL 2 TRIM'!AB16</f>
        <v>0</v>
      </c>
      <c r="L16" s="31">
        <f>'VAL 2 TRIM'!AA16</f>
        <v>10</v>
      </c>
      <c r="M16" s="31">
        <f>'VAL 2 TRIM'!AE16</f>
        <v>10</v>
      </c>
      <c r="N16" s="100">
        <f>'VAL 2 TRIM'!AG16</f>
        <v>30</v>
      </c>
      <c r="O16" s="31">
        <f>'VAL 3 TRIM'!C16</f>
        <v>10</v>
      </c>
      <c r="P16" s="31">
        <f>'VAL 3 TRIM'!O16</f>
        <v>35</v>
      </c>
      <c r="Q16" s="31">
        <f>'VAL 3 TRIM'!AB16</f>
        <v>35</v>
      </c>
      <c r="R16" s="31">
        <f>'VAL 3 TRIM'!AA16</f>
        <v>10</v>
      </c>
      <c r="S16" s="48">
        <f>'VAL 3 TRIM'!AE16</f>
        <v>10</v>
      </c>
      <c r="T16" s="100">
        <f>'VAL 3 TRIM'!AG16</f>
        <v>100</v>
      </c>
      <c r="U16" s="101">
        <f t="shared" si="0"/>
        <v>73.333333333333329</v>
      </c>
      <c r="V16" s="102" t="str">
        <f t="shared" si="1"/>
        <v>APROBADO</v>
      </c>
      <c r="W16" s="103"/>
      <c r="X16" s="103"/>
    </row>
    <row r="17" spans="1:24" ht="12" customHeight="1" x14ac:dyDescent="0.35">
      <c r="A17" s="58">
        <v>9</v>
      </c>
      <c r="B17" s="59" t="str">
        <f>'C. FILIACION'!B16</f>
        <v>FRANCISCO RUIZ LUCERO</v>
      </c>
      <c r="C17" s="48">
        <f>'VAL 1 TRIM '!C17</f>
        <v>10</v>
      </c>
      <c r="D17" s="48">
        <f>'VAL 1 TRIM '!O17</f>
        <v>30</v>
      </c>
      <c r="E17" s="48">
        <f>'VAL 1 TRIM '!AB17</f>
        <v>30</v>
      </c>
      <c r="F17" s="48">
        <f>'VAL 1 TRIM '!AE17</f>
        <v>10</v>
      </c>
      <c r="G17" s="48">
        <f>'VAL 1 TRIM '!AE17</f>
        <v>10</v>
      </c>
      <c r="H17" s="100">
        <f>'VAL 1 TRIM '!AG17</f>
        <v>90</v>
      </c>
      <c r="I17" s="31">
        <f>'VAL 2 TRIM'!C17</f>
        <v>10</v>
      </c>
      <c r="J17" s="31">
        <f>'VAL 2 TRIM'!O17</f>
        <v>31</v>
      </c>
      <c r="K17" s="31">
        <f>'VAL 2 TRIM'!AB17</f>
        <v>35</v>
      </c>
      <c r="L17" s="31">
        <f>'VAL 2 TRIM'!AA17</f>
        <v>10</v>
      </c>
      <c r="M17" s="31">
        <f>'VAL 2 TRIM'!AE17</f>
        <v>10</v>
      </c>
      <c r="N17" s="100">
        <f>'VAL 2 TRIM'!AG17</f>
        <v>96</v>
      </c>
      <c r="O17" s="31">
        <f>'VAL 3 TRIM'!C17</f>
        <v>10</v>
      </c>
      <c r="P17" s="31">
        <f>'VAL 3 TRIM'!O17</f>
        <v>35</v>
      </c>
      <c r="Q17" s="31">
        <f>'VAL 3 TRIM'!AB17</f>
        <v>35</v>
      </c>
      <c r="R17" s="31">
        <f>'VAL 3 TRIM'!AA17</f>
        <v>10</v>
      </c>
      <c r="S17" s="48">
        <f>'VAL 3 TRIM'!AE17</f>
        <v>10</v>
      </c>
      <c r="T17" s="100">
        <f>'VAL 3 TRIM'!AG17</f>
        <v>100</v>
      </c>
      <c r="U17" s="101">
        <f t="shared" si="0"/>
        <v>95.333333333333329</v>
      </c>
      <c r="V17" s="102" t="str">
        <f t="shared" si="1"/>
        <v>APROBADO</v>
      </c>
      <c r="W17" s="103"/>
      <c r="X17" s="103"/>
    </row>
    <row r="18" spans="1:24" ht="12" customHeight="1" x14ac:dyDescent="0.35">
      <c r="A18" s="58">
        <v>10</v>
      </c>
      <c r="B18" s="59" t="str">
        <f>'C. FILIACION'!B17</f>
        <v>IBARRA VINO ELOY INTI</v>
      </c>
      <c r="C18" s="48">
        <f>'VAL 1 TRIM '!C18</f>
        <v>10</v>
      </c>
      <c r="D18" s="48">
        <f>'VAL 1 TRIM '!O18</f>
        <v>30</v>
      </c>
      <c r="E18" s="48">
        <f>'VAL 1 TRIM '!AB18</f>
        <v>30</v>
      </c>
      <c r="F18" s="48">
        <f>'VAL 1 TRIM '!AE18</f>
        <v>10</v>
      </c>
      <c r="G18" s="48">
        <f>'VAL 1 TRIM '!AE18</f>
        <v>10</v>
      </c>
      <c r="H18" s="100">
        <f>'VAL 1 TRIM '!AG18</f>
        <v>90</v>
      </c>
      <c r="I18" s="31">
        <f>'VAL 2 TRIM'!C18</f>
        <v>10</v>
      </c>
      <c r="J18" s="31">
        <f>'VAL 2 TRIM'!O18</f>
        <v>33</v>
      </c>
      <c r="K18" s="31">
        <f>'VAL 2 TRIM'!AB18</f>
        <v>26</v>
      </c>
      <c r="L18" s="31">
        <f>'VAL 2 TRIM'!AA18</f>
        <v>10</v>
      </c>
      <c r="M18" s="31">
        <f>'VAL 2 TRIM'!AE18</f>
        <v>10</v>
      </c>
      <c r="N18" s="100">
        <f>'VAL 2 TRIM'!AG18</f>
        <v>89</v>
      </c>
      <c r="O18" s="31">
        <f>'VAL 3 TRIM'!C18</f>
        <v>10</v>
      </c>
      <c r="P18" s="31">
        <f>'VAL 3 TRIM'!O18</f>
        <v>35</v>
      </c>
      <c r="Q18" s="31">
        <f>'VAL 3 TRIM'!AB18</f>
        <v>35</v>
      </c>
      <c r="R18" s="31">
        <f>'VAL 3 TRIM'!AA18</f>
        <v>10</v>
      </c>
      <c r="S18" s="48">
        <f>'VAL 3 TRIM'!AE18</f>
        <v>10</v>
      </c>
      <c r="T18" s="100">
        <f>'VAL 3 TRIM'!AG18</f>
        <v>100</v>
      </c>
      <c r="U18" s="101">
        <f t="shared" si="0"/>
        <v>93</v>
      </c>
      <c r="V18" s="102" t="str">
        <f t="shared" si="1"/>
        <v>APROBADO</v>
      </c>
      <c r="W18" s="103"/>
      <c r="X18" s="103"/>
    </row>
    <row r="19" spans="1:24" ht="12" customHeight="1" x14ac:dyDescent="0.35">
      <c r="A19" s="58">
        <v>11</v>
      </c>
      <c r="B19" s="59" t="str">
        <f>'C. FILIACION'!B18</f>
        <v>LOPEZ BLANCO SOFIA BELEN</v>
      </c>
      <c r="C19" s="48">
        <f>'VAL 1 TRIM '!C19</f>
        <v>10</v>
      </c>
      <c r="D19" s="48">
        <f>'VAL 1 TRIM '!O19</f>
        <v>30</v>
      </c>
      <c r="E19" s="48">
        <f>'VAL 1 TRIM '!AB19</f>
        <v>30</v>
      </c>
      <c r="F19" s="48">
        <f>'VAL 1 TRIM '!AE19</f>
        <v>10</v>
      </c>
      <c r="G19" s="48">
        <f>'VAL 1 TRIM '!AE19</f>
        <v>10</v>
      </c>
      <c r="H19" s="100">
        <f>'VAL 1 TRIM '!AG19</f>
        <v>90</v>
      </c>
      <c r="I19" s="31">
        <f>'VAL 2 TRIM'!C19</f>
        <v>10</v>
      </c>
      <c r="J19" s="31">
        <f>'VAL 2 TRIM'!O19</f>
        <v>15</v>
      </c>
      <c r="K19" s="31">
        <f>'VAL 2 TRIM'!AB19</f>
        <v>0</v>
      </c>
      <c r="L19" s="31">
        <f>'VAL 2 TRIM'!AA19</f>
        <v>10</v>
      </c>
      <c r="M19" s="31">
        <f>'VAL 2 TRIM'!AE19</f>
        <v>10</v>
      </c>
      <c r="N19" s="100">
        <f>'VAL 2 TRIM'!AG19</f>
        <v>45</v>
      </c>
      <c r="O19" s="31">
        <f>'VAL 3 TRIM'!C19</f>
        <v>10</v>
      </c>
      <c r="P19" s="31">
        <f>'VAL 3 TRIM'!O19</f>
        <v>35</v>
      </c>
      <c r="Q19" s="31">
        <f>'VAL 3 TRIM'!AB19</f>
        <v>35</v>
      </c>
      <c r="R19" s="31">
        <f>'VAL 3 TRIM'!AA19</f>
        <v>10</v>
      </c>
      <c r="S19" s="48">
        <f>'VAL 3 TRIM'!AE19</f>
        <v>10</v>
      </c>
      <c r="T19" s="100">
        <f>'VAL 3 TRIM'!AG19</f>
        <v>100</v>
      </c>
      <c r="U19" s="101">
        <f t="shared" si="0"/>
        <v>78.333333333333329</v>
      </c>
      <c r="V19" s="102" t="str">
        <f t="shared" si="1"/>
        <v>APROBADO</v>
      </c>
      <c r="W19" s="103"/>
      <c r="X19" s="103"/>
    </row>
    <row r="20" spans="1:24" ht="12" customHeight="1" x14ac:dyDescent="0.35">
      <c r="A20" s="58">
        <v>12</v>
      </c>
      <c r="B20" s="59" t="str">
        <f>'C. FILIACION'!B19</f>
        <v>LOPEZ PACO RODRIGO ADRIAN</v>
      </c>
      <c r="C20" s="48">
        <f>'VAL 1 TRIM '!C20</f>
        <v>10</v>
      </c>
      <c r="D20" s="48">
        <f>'VAL 1 TRIM '!O20</f>
        <v>13</v>
      </c>
      <c r="E20" s="48">
        <f>'VAL 1 TRIM '!AB20</f>
        <v>18</v>
      </c>
      <c r="F20" s="48">
        <f>'VAL 1 TRIM '!AE20</f>
        <v>10</v>
      </c>
      <c r="G20" s="48">
        <f>'VAL 1 TRIM '!AE20</f>
        <v>10</v>
      </c>
      <c r="H20" s="100">
        <f>'VAL 1 TRIM '!AG20</f>
        <v>61</v>
      </c>
      <c r="I20" s="31">
        <f>'VAL 2 TRIM'!C20</f>
        <v>10</v>
      </c>
      <c r="J20" s="31">
        <f>'VAL 2 TRIM'!O20</f>
        <v>9</v>
      </c>
      <c r="K20" s="31">
        <f>'VAL 2 TRIM'!AB20</f>
        <v>0</v>
      </c>
      <c r="L20" s="31">
        <f>'VAL 2 TRIM'!AA20</f>
        <v>10</v>
      </c>
      <c r="M20" s="31">
        <f>'VAL 2 TRIM'!AE20</f>
        <v>10</v>
      </c>
      <c r="N20" s="100">
        <f>'VAL 2 TRIM'!AG20</f>
        <v>39</v>
      </c>
      <c r="O20" s="31">
        <f>'VAL 3 TRIM'!C20</f>
        <v>10</v>
      </c>
      <c r="P20" s="31">
        <f>'VAL 3 TRIM'!O20</f>
        <v>35</v>
      </c>
      <c r="Q20" s="31">
        <f>'VAL 3 TRIM'!AB20</f>
        <v>35</v>
      </c>
      <c r="R20" s="31">
        <f>'VAL 3 TRIM'!AA20</f>
        <v>10</v>
      </c>
      <c r="S20" s="48">
        <f>'VAL 3 TRIM'!AE20</f>
        <v>10</v>
      </c>
      <c r="T20" s="100">
        <f>'VAL 3 TRIM'!AG20</f>
        <v>100</v>
      </c>
      <c r="U20" s="101">
        <f t="shared" si="0"/>
        <v>66.666666666666671</v>
      </c>
      <c r="V20" s="102" t="str">
        <f t="shared" si="1"/>
        <v>APROBADO</v>
      </c>
      <c r="W20" s="103"/>
      <c r="X20" s="103"/>
    </row>
    <row r="21" spans="1:24" ht="12" customHeight="1" x14ac:dyDescent="0.35">
      <c r="A21" s="58">
        <v>13</v>
      </c>
      <c r="B21" s="59" t="str">
        <f>'C. FILIACION'!B20</f>
        <v>LOPEZ VERA MILENCA</v>
      </c>
      <c r="C21" s="48">
        <f>'VAL 1 TRIM '!C21</f>
        <v>10</v>
      </c>
      <c r="D21" s="48">
        <f>'VAL 1 TRIM '!O21</f>
        <v>30</v>
      </c>
      <c r="E21" s="48">
        <f>'VAL 1 TRIM '!AB21</f>
        <v>30</v>
      </c>
      <c r="F21" s="48">
        <f>'VAL 1 TRIM '!AE21</f>
        <v>10</v>
      </c>
      <c r="G21" s="48">
        <f>'VAL 1 TRIM '!AE21</f>
        <v>10</v>
      </c>
      <c r="H21" s="100">
        <f>'VAL 1 TRIM '!AG21</f>
        <v>90</v>
      </c>
      <c r="I21" s="31">
        <f>'VAL 2 TRIM'!C21</f>
        <v>10</v>
      </c>
      <c r="J21" s="31">
        <f>'VAL 2 TRIM'!O21</f>
        <v>32</v>
      </c>
      <c r="K21" s="31">
        <f>'VAL 2 TRIM'!AB21</f>
        <v>35</v>
      </c>
      <c r="L21" s="31">
        <f>'VAL 2 TRIM'!AA21</f>
        <v>10</v>
      </c>
      <c r="M21" s="31">
        <f>'VAL 2 TRIM'!AE21</f>
        <v>10</v>
      </c>
      <c r="N21" s="100">
        <f>'VAL 2 TRIM'!AG21</f>
        <v>97</v>
      </c>
      <c r="O21" s="31">
        <f>'VAL 3 TRIM'!C21</f>
        <v>10</v>
      </c>
      <c r="P21" s="31">
        <f>'VAL 3 TRIM'!O21</f>
        <v>35</v>
      </c>
      <c r="Q21" s="31">
        <f>'VAL 3 TRIM'!AB21</f>
        <v>35</v>
      </c>
      <c r="R21" s="31">
        <f>'VAL 3 TRIM'!AA21</f>
        <v>10</v>
      </c>
      <c r="S21" s="48">
        <f>'VAL 3 TRIM'!AE21</f>
        <v>10</v>
      </c>
      <c r="T21" s="100">
        <f>'VAL 3 TRIM'!AG21</f>
        <v>100</v>
      </c>
      <c r="U21" s="101">
        <f t="shared" si="0"/>
        <v>95.666666666666671</v>
      </c>
      <c r="V21" s="102" t="str">
        <f t="shared" si="1"/>
        <v>APROBADO</v>
      </c>
      <c r="W21" s="103"/>
      <c r="X21" s="103"/>
    </row>
    <row r="22" spans="1:24" ht="12" customHeight="1" x14ac:dyDescent="0.35">
      <c r="A22" s="58">
        <v>14</v>
      </c>
      <c r="B22" s="59" t="str">
        <f>'C. FILIACION'!B21</f>
        <v>MEDINA CHOQUE JOSE ROBERTO</v>
      </c>
      <c r="C22" s="48">
        <f>'VAL 1 TRIM '!C22</f>
        <v>10</v>
      </c>
      <c r="D22" s="48">
        <f>'VAL 1 TRIM '!O22</f>
        <v>30</v>
      </c>
      <c r="E22" s="48">
        <f>'VAL 1 TRIM '!AB22</f>
        <v>30</v>
      </c>
      <c r="F22" s="48">
        <f>'VAL 1 TRIM '!AE22</f>
        <v>10</v>
      </c>
      <c r="G22" s="48">
        <f>'VAL 1 TRIM '!AE22</f>
        <v>10</v>
      </c>
      <c r="H22" s="100">
        <f>'VAL 1 TRIM '!AG22</f>
        <v>90</v>
      </c>
      <c r="I22" s="31">
        <f>'VAL 2 TRIM'!C22</f>
        <v>10</v>
      </c>
      <c r="J22" s="31">
        <f>'VAL 2 TRIM'!O22</f>
        <v>12</v>
      </c>
      <c r="K22" s="31">
        <f>'VAL 2 TRIM'!AB22</f>
        <v>0</v>
      </c>
      <c r="L22" s="31">
        <f>'VAL 2 TRIM'!AA22</f>
        <v>10</v>
      </c>
      <c r="M22" s="31">
        <f>'VAL 2 TRIM'!AE22</f>
        <v>10</v>
      </c>
      <c r="N22" s="100">
        <f>'VAL 2 TRIM'!AG22</f>
        <v>42</v>
      </c>
      <c r="O22" s="31">
        <f>'VAL 3 TRIM'!C22</f>
        <v>10</v>
      </c>
      <c r="P22" s="31">
        <f>'VAL 3 TRIM'!O22</f>
        <v>35</v>
      </c>
      <c r="Q22" s="31">
        <f>'VAL 3 TRIM'!AB22</f>
        <v>35</v>
      </c>
      <c r="R22" s="31">
        <f>'VAL 3 TRIM'!AA22</f>
        <v>10</v>
      </c>
      <c r="S22" s="48">
        <f>'VAL 3 TRIM'!AE22</f>
        <v>10</v>
      </c>
      <c r="T22" s="100">
        <f>'VAL 3 TRIM'!AG22</f>
        <v>100</v>
      </c>
      <c r="U22" s="101">
        <f t="shared" si="0"/>
        <v>77.333333333333329</v>
      </c>
      <c r="V22" s="102" t="str">
        <f t="shared" si="1"/>
        <v>APROBADO</v>
      </c>
      <c r="W22" s="103"/>
      <c r="X22" s="103"/>
    </row>
    <row r="23" spans="1:24" ht="12" customHeight="1" x14ac:dyDescent="0.35">
      <c r="A23" s="58">
        <v>15</v>
      </c>
      <c r="B23" s="59" t="str">
        <f>'C. FILIACION'!B22</f>
        <v>MIRABAL AYANOME JOSE ALFREDO</v>
      </c>
      <c r="C23" s="48">
        <f>'VAL 1 TRIM '!C23</f>
        <v>10</v>
      </c>
      <c r="D23" s="48">
        <f>'VAL 1 TRIM '!O23</f>
        <v>22</v>
      </c>
      <c r="E23" s="48">
        <f>'VAL 1 TRIM '!AB23</f>
        <v>18</v>
      </c>
      <c r="F23" s="48">
        <f>'VAL 1 TRIM '!AE23</f>
        <v>10</v>
      </c>
      <c r="G23" s="48">
        <f>'VAL 1 TRIM '!AE23</f>
        <v>10</v>
      </c>
      <c r="H23" s="100">
        <f>'VAL 1 TRIM '!AG23</f>
        <v>70</v>
      </c>
      <c r="I23" s="31">
        <f>'VAL 2 TRIM'!C23</f>
        <v>10</v>
      </c>
      <c r="J23" s="31">
        <f>'VAL 2 TRIM'!O23</f>
        <v>0</v>
      </c>
      <c r="K23" s="31">
        <f>'VAL 2 TRIM'!AB23</f>
        <v>0</v>
      </c>
      <c r="L23" s="31">
        <f>'VAL 2 TRIM'!AA23</f>
        <v>10</v>
      </c>
      <c r="M23" s="31">
        <f>'VAL 2 TRIM'!AE23</f>
        <v>10</v>
      </c>
      <c r="N23" s="100">
        <f>'VAL 2 TRIM'!AG23</f>
        <v>30</v>
      </c>
      <c r="O23" s="31">
        <f>'VAL 3 TRIM'!C23</f>
        <v>10</v>
      </c>
      <c r="P23" s="31">
        <f>'VAL 3 TRIM'!O23</f>
        <v>35</v>
      </c>
      <c r="Q23" s="31">
        <f>'VAL 3 TRIM'!AB23</f>
        <v>35</v>
      </c>
      <c r="R23" s="31">
        <f>'VAL 3 TRIM'!AA23</f>
        <v>10</v>
      </c>
      <c r="S23" s="48">
        <f>'VAL 3 TRIM'!AE23</f>
        <v>10</v>
      </c>
      <c r="T23" s="100">
        <f>'VAL 3 TRIM'!AG23</f>
        <v>100</v>
      </c>
      <c r="U23" s="101">
        <f t="shared" si="0"/>
        <v>66.666666666666671</v>
      </c>
      <c r="V23" s="102" t="str">
        <f t="shared" si="1"/>
        <v>APROBADO</v>
      </c>
      <c r="W23" s="103"/>
      <c r="X23" s="103"/>
    </row>
    <row r="24" spans="1:24" ht="12" customHeight="1" x14ac:dyDescent="0.35">
      <c r="A24" s="58">
        <v>16</v>
      </c>
      <c r="B24" s="59" t="str">
        <f>'C. FILIACION'!B23</f>
        <v>NINA RUEDA ESTEFANY DANIELA</v>
      </c>
      <c r="C24" s="48">
        <f>'VAL 1 TRIM '!C24</f>
        <v>10</v>
      </c>
      <c r="D24" s="48">
        <f>'VAL 1 TRIM '!O24</f>
        <v>30</v>
      </c>
      <c r="E24" s="48">
        <f>'VAL 1 TRIM '!AB24</f>
        <v>30</v>
      </c>
      <c r="F24" s="48">
        <f>'VAL 1 TRIM '!AE24</f>
        <v>10</v>
      </c>
      <c r="G24" s="48">
        <f>'VAL 1 TRIM '!AE24</f>
        <v>10</v>
      </c>
      <c r="H24" s="100">
        <f>'VAL 1 TRIM '!AG24</f>
        <v>90</v>
      </c>
      <c r="I24" s="31">
        <f>'VAL 2 TRIM'!C24</f>
        <v>10</v>
      </c>
      <c r="J24" s="31">
        <f>'VAL 2 TRIM'!O24</f>
        <v>13</v>
      </c>
      <c r="K24" s="31">
        <f>'VAL 2 TRIM'!AB24</f>
        <v>6</v>
      </c>
      <c r="L24" s="31">
        <f>'VAL 2 TRIM'!AA24</f>
        <v>10</v>
      </c>
      <c r="M24" s="31">
        <f>'VAL 2 TRIM'!AE24</f>
        <v>10</v>
      </c>
      <c r="N24" s="100">
        <f>'VAL 2 TRIM'!AG24</f>
        <v>49</v>
      </c>
      <c r="O24" s="31">
        <f>'VAL 3 TRIM'!C24</f>
        <v>10</v>
      </c>
      <c r="P24" s="31">
        <f>'VAL 3 TRIM'!O24</f>
        <v>35</v>
      </c>
      <c r="Q24" s="31">
        <f>'VAL 3 TRIM'!AB24</f>
        <v>35</v>
      </c>
      <c r="R24" s="31">
        <f>'VAL 3 TRIM'!AA24</f>
        <v>10</v>
      </c>
      <c r="S24" s="48">
        <f>'VAL 3 TRIM'!AE24</f>
        <v>10</v>
      </c>
      <c r="T24" s="100">
        <f>'VAL 3 TRIM'!AG24</f>
        <v>100</v>
      </c>
      <c r="U24" s="101">
        <f t="shared" si="0"/>
        <v>79.666666666666671</v>
      </c>
      <c r="V24" s="102" t="str">
        <f t="shared" si="1"/>
        <v>APROBADO</v>
      </c>
      <c r="W24" s="103"/>
      <c r="X24" s="103"/>
    </row>
    <row r="25" spans="1:24" ht="12" customHeight="1" x14ac:dyDescent="0.35">
      <c r="A25" s="58">
        <v>17</v>
      </c>
      <c r="B25" s="59" t="str">
        <f>'C. FILIACION'!B24</f>
        <v>PORTILLO QUISPE JORGE LUIS</v>
      </c>
      <c r="C25" s="48">
        <f>'VAL 1 TRIM '!C25</f>
        <v>10</v>
      </c>
      <c r="D25" s="48">
        <f>'VAL 1 TRIM '!O25</f>
        <v>30</v>
      </c>
      <c r="E25" s="48">
        <f>'VAL 1 TRIM '!AB25</f>
        <v>30</v>
      </c>
      <c r="F25" s="48">
        <f>'VAL 1 TRIM '!AE25</f>
        <v>10</v>
      </c>
      <c r="G25" s="48">
        <f>'VAL 1 TRIM '!AE25</f>
        <v>10</v>
      </c>
      <c r="H25" s="100">
        <f>'VAL 1 TRIM '!AG25</f>
        <v>90</v>
      </c>
      <c r="I25" s="31">
        <f>'VAL 2 TRIM'!C25</f>
        <v>10</v>
      </c>
      <c r="J25" s="31">
        <f>'VAL 2 TRIM'!O25</f>
        <v>9</v>
      </c>
      <c r="K25" s="31">
        <f>'VAL 2 TRIM'!AB25</f>
        <v>7</v>
      </c>
      <c r="L25" s="31">
        <f>'VAL 2 TRIM'!AA25</f>
        <v>10</v>
      </c>
      <c r="M25" s="31">
        <f>'VAL 2 TRIM'!AE25</f>
        <v>10</v>
      </c>
      <c r="N25" s="100">
        <f>'VAL 2 TRIM'!AG25</f>
        <v>46</v>
      </c>
      <c r="O25" s="31">
        <f>'VAL 3 TRIM'!C25</f>
        <v>10</v>
      </c>
      <c r="P25" s="31">
        <f>'VAL 3 TRIM'!O25</f>
        <v>35</v>
      </c>
      <c r="Q25" s="31">
        <f>'VAL 3 TRIM'!AB25</f>
        <v>35</v>
      </c>
      <c r="R25" s="31">
        <f>'VAL 3 TRIM'!AA25</f>
        <v>10</v>
      </c>
      <c r="S25" s="48">
        <f>'VAL 3 TRIM'!AE25</f>
        <v>10</v>
      </c>
      <c r="T25" s="100">
        <f>'VAL 3 TRIM'!AG25</f>
        <v>100</v>
      </c>
      <c r="U25" s="101">
        <f t="shared" si="0"/>
        <v>78.666666666666671</v>
      </c>
      <c r="V25" s="102" t="str">
        <f t="shared" si="1"/>
        <v>APROBADO</v>
      </c>
      <c r="W25" s="103"/>
      <c r="X25" s="103"/>
    </row>
    <row r="26" spans="1:24" ht="12" customHeight="1" x14ac:dyDescent="0.35">
      <c r="A26" s="58">
        <v>18</v>
      </c>
      <c r="B26" s="59" t="str">
        <f>'C. FILIACION'!B25</f>
        <v>TORREZ PACO CARLA MILENKA</v>
      </c>
      <c r="C26" s="48">
        <f>'VAL 1 TRIM '!C26</f>
        <v>10</v>
      </c>
      <c r="D26" s="48">
        <f>'VAL 1 TRIM '!O26</f>
        <v>30</v>
      </c>
      <c r="E26" s="48">
        <f>'VAL 1 TRIM '!AB26</f>
        <v>30</v>
      </c>
      <c r="F26" s="48">
        <f>'VAL 1 TRIM '!AE26</f>
        <v>10</v>
      </c>
      <c r="G26" s="48">
        <f>'VAL 1 TRIM '!AE26</f>
        <v>10</v>
      </c>
      <c r="H26" s="100">
        <f>'VAL 1 TRIM '!AG26</f>
        <v>90</v>
      </c>
      <c r="I26" s="31">
        <f>'VAL 2 TRIM'!C26</f>
        <v>10</v>
      </c>
      <c r="J26" s="31">
        <f>'VAL 2 TRIM'!O26</f>
        <v>8</v>
      </c>
      <c r="K26" s="31">
        <f>'VAL 2 TRIM'!AB26</f>
        <v>0</v>
      </c>
      <c r="L26" s="31">
        <f>'VAL 2 TRIM'!AA26</f>
        <v>10</v>
      </c>
      <c r="M26" s="31">
        <f>'VAL 2 TRIM'!AE26</f>
        <v>10</v>
      </c>
      <c r="N26" s="100">
        <f>'VAL 2 TRIM'!AG26</f>
        <v>38</v>
      </c>
      <c r="O26" s="31">
        <f>'VAL 3 TRIM'!C26</f>
        <v>10</v>
      </c>
      <c r="P26" s="31">
        <f>'VAL 3 TRIM'!O26</f>
        <v>35</v>
      </c>
      <c r="Q26" s="31">
        <f>'VAL 3 TRIM'!AB26</f>
        <v>35</v>
      </c>
      <c r="R26" s="31">
        <f>'VAL 3 TRIM'!AA26</f>
        <v>10</v>
      </c>
      <c r="S26" s="48">
        <f>'VAL 3 TRIM'!AE26</f>
        <v>10</v>
      </c>
      <c r="T26" s="100">
        <f>'VAL 3 TRIM'!AG26</f>
        <v>100</v>
      </c>
      <c r="U26" s="101">
        <f t="shared" si="0"/>
        <v>76</v>
      </c>
      <c r="V26" s="102" t="str">
        <f t="shared" si="1"/>
        <v>APROBADO</v>
      </c>
      <c r="W26" s="103"/>
      <c r="X26" s="103"/>
    </row>
    <row r="27" spans="1:24" ht="12" customHeight="1" x14ac:dyDescent="0.35">
      <c r="A27" s="58">
        <v>19</v>
      </c>
      <c r="B27" s="59">
        <f>'C. FILIACION'!B26</f>
        <v>0</v>
      </c>
      <c r="C27" s="48">
        <f>'VAL 1 TRIM '!C27</f>
        <v>10</v>
      </c>
      <c r="D27" s="48">
        <f>'VAL 1 TRIM '!O27</f>
        <v>35</v>
      </c>
      <c r="E27" s="48">
        <f>'VAL 1 TRIM '!AB27</f>
        <v>35</v>
      </c>
      <c r="F27" s="48">
        <f>'VAL 1 TRIM '!AE27</f>
        <v>10</v>
      </c>
      <c r="G27" s="48">
        <f>'VAL 1 TRIM '!AE27</f>
        <v>10</v>
      </c>
      <c r="H27" s="100">
        <f>'VAL 1 TRIM '!AG27</f>
        <v>100</v>
      </c>
      <c r="I27" s="31">
        <f>'VAL 2 TRIM'!C27</f>
        <v>10</v>
      </c>
      <c r="J27" s="31" t="str">
        <f>'VAL 2 TRIM'!O27</f>
        <v/>
      </c>
      <c r="K27" s="31" t="str">
        <f>'VAL 2 TRIM'!AB27</f>
        <v/>
      </c>
      <c r="L27" s="31">
        <f>'VAL 2 TRIM'!AA27</f>
        <v>10</v>
      </c>
      <c r="M27" s="31">
        <f>'VAL 2 TRIM'!AE27</f>
        <v>10</v>
      </c>
      <c r="N27" s="100">
        <f>'VAL 2 TRIM'!AG27</f>
        <v>30</v>
      </c>
      <c r="O27" s="31">
        <f>'VAL 3 TRIM'!C27</f>
        <v>10</v>
      </c>
      <c r="P27" s="31">
        <f>'VAL 3 TRIM'!O27</f>
        <v>35</v>
      </c>
      <c r="Q27" s="31">
        <f>'VAL 3 TRIM'!AB27</f>
        <v>35</v>
      </c>
      <c r="R27" s="31">
        <f>'VAL 3 TRIM'!AA27</f>
        <v>10</v>
      </c>
      <c r="S27" s="48">
        <f>'VAL 3 TRIM'!AE27</f>
        <v>10</v>
      </c>
      <c r="T27" s="100">
        <f>'VAL 3 TRIM'!AG27</f>
        <v>100</v>
      </c>
      <c r="U27" s="101">
        <f t="shared" si="0"/>
        <v>76.666666666666671</v>
      </c>
      <c r="V27" s="102" t="str">
        <f t="shared" si="1"/>
        <v>APROBADO</v>
      </c>
      <c r="W27" s="103"/>
      <c r="X27" s="103"/>
    </row>
    <row r="28" spans="1:24" ht="12" customHeight="1" x14ac:dyDescent="0.35">
      <c r="A28" s="58">
        <v>20</v>
      </c>
      <c r="B28" s="59">
        <f>'C. FILIACION'!B27</f>
        <v>0</v>
      </c>
      <c r="C28" s="48">
        <f>'VAL 1 TRIM '!C28</f>
        <v>10</v>
      </c>
      <c r="D28" s="48">
        <f>'VAL 1 TRIM '!O28</f>
        <v>35</v>
      </c>
      <c r="E28" s="48">
        <f>'VAL 1 TRIM '!AB28</f>
        <v>35</v>
      </c>
      <c r="F28" s="48">
        <f>'VAL 1 TRIM '!AE28</f>
        <v>10</v>
      </c>
      <c r="G28" s="48">
        <f>'VAL 1 TRIM '!AE28</f>
        <v>10</v>
      </c>
      <c r="H28" s="100">
        <f>'VAL 1 TRIM '!AG28</f>
        <v>100</v>
      </c>
      <c r="I28" s="31">
        <f>'VAL 2 TRIM'!C28</f>
        <v>10</v>
      </c>
      <c r="J28" s="31" t="str">
        <f>'VAL 2 TRIM'!O28</f>
        <v/>
      </c>
      <c r="K28" s="31" t="str">
        <f>'VAL 2 TRIM'!AB28</f>
        <v/>
      </c>
      <c r="L28" s="31">
        <f>'VAL 2 TRIM'!AA28</f>
        <v>10</v>
      </c>
      <c r="M28" s="31">
        <f>'VAL 2 TRIM'!AE28</f>
        <v>10</v>
      </c>
      <c r="N28" s="100">
        <f>'VAL 2 TRIM'!AG28</f>
        <v>30</v>
      </c>
      <c r="O28" s="31">
        <f>'VAL 3 TRIM'!C28</f>
        <v>10</v>
      </c>
      <c r="P28" s="31">
        <f>'VAL 3 TRIM'!O28</f>
        <v>35</v>
      </c>
      <c r="Q28" s="31">
        <f>'VAL 3 TRIM'!AB28</f>
        <v>35</v>
      </c>
      <c r="R28" s="31">
        <f>'VAL 3 TRIM'!AA28</f>
        <v>10</v>
      </c>
      <c r="S28" s="48">
        <f>'VAL 3 TRIM'!AE28</f>
        <v>10</v>
      </c>
      <c r="T28" s="100">
        <f>'VAL 3 TRIM'!AG28</f>
        <v>100</v>
      </c>
      <c r="U28" s="101">
        <f t="shared" si="0"/>
        <v>76.666666666666671</v>
      </c>
      <c r="V28" s="102" t="str">
        <f t="shared" si="1"/>
        <v>APROBADO</v>
      </c>
      <c r="W28" s="103"/>
      <c r="X28" s="103"/>
    </row>
    <row r="29" spans="1:24" ht="12" customHeight="1" x14ac:dyDescent="0.35">
      <c r="A29" s="58">
        <v>21</v>
      </c>
      <c r="B29" s="59">
        <f>'C. FILIACION'!B28</f>
        <v>0</v>
      </c>
      <c r="C29" s="48">
        <f>'VAL 1 TRIM '!C29</f>
        <v>10</v>
      </c>
      <c r="D29" s="48">
        <f>'VAL 1 TRIM '!O29</f>
        <v>35</v>
      </c>
      <c r="E29" s="48">
        <f>'VAL 1 TRIM '!AB29</f>
        <v>35</v>
      </c>
      <c r="F29" s="48">
        <f>'VAL 1 TRIM '!AE29</f>
        <v>10</v>
      </c>
      <c r="G29" s="48">
        <f>'VAL 1 TRIM '!AE29</f>
        <v>10</v>
      </c>
      <c r="H29" s="100">
        <f>'VAL 1 TRIM '!AG29</f>
        <v>100</v>
      </c>
      <c r="I29" s="31">
        <f>'VAL 2 TRIM'!C29</f>
        <v>10</v>
      </c>
      <c r="J29" s="31" t="str">
        <f>'VAL 2 TRIM'!O29</f>
        <v/>
      </c>
      <c r="K29" s="31" t="str">
        <f>'VAL 2 TRIM'!AB29</f>
        <v/>
      </c>
      <c r="L29" s="31">
        <f>'VAL 2 TRIM'!AA29</f>
        <v>10</v>
      </c>
      <c r="M29" s="31">
        <f>'VAL 2 TRIM'!AE29</f>
        <v>10</v>
      </c>
      <c r="N29" s="100">
        <f>'VAL 2 TRIM'!AG29</f>
        <v>30</v>
      </c>
      <c r="O29" s="31">
        <f>'VAL 3 TRIM'!C29</f>
        <v>10</v>
      </c>
      <c r="P29" s="31">
        <f>'VAL 3 TRIM'!O29</f>
        <v>35</v>
      </c>
      <c r="Q29" s="31">
        <f>'VAL 3 TRIM'!AB29</f>
        <v>35</v>
      </c>
      <c r="R29" s="31">
        <f>'VAL 3 TRIM'!AA29</f>
        <v>10</v>
      </c>
      <c r="S29" s="48">
        <f>'VAL 3 TRIM'!AE29</f>
        <v>10</v>
      </c>
      <c r="T29" s="100">
        <f>'VAL 3 TRIM'!AG29</f>
        <v>100</v>
      </c>
      <c r="U29" s="101">
        <f t="shared" si="0"/>
        <v>76.666666666666671</v>
      </c>
      <c r="V29" s="102" t="str">
        <f t="shared" si="1"/>
        <v>APROBADO</v>
      </c>
      <c r="W29" s="103"/>
      <c r="X29" s="103"/>
    </row>
    <row r="30" spans="1:24" ht="12" customHeight="1" x14ac:dyDescent="0.35">
      <c r="A30" s="58">
        <v>22</v>
      </c>
      <c r="B30" s="59">
        <f>'C. FILIACION'!B29</f>
        <v>0</v>
      </c>
      <c r="C30" s="48">
        <f>'VAL 1 TRIM '!C30</f>
        <v>10</v>
      </c>
      <c r="D30" s="48">
        <f>'VAL 1 TRIM '!O30</f>
        <v>35</v>
      </c>
      <c r="E30" s="48">
        <f>'VAL 1 TRIM '!AB30</f>
        <v>35</v>
      </c>
      <c r="F30" s="48">
        <f>'VAL 1 TRIM '!AE30</f>
        <v>10</v>
      </c>
      <c r="G30" s="48">
        <f>'VAL 1 TRIM '!AE30</f>
        <v>10</v>
      </c>
      <c r="H30" s="100">
        <f>'VAL 1 TRIM '!AG30</f>
        <v>100</v>
      </c>
      <c r="I30" s="31">
        <f>'VAL 2 TRIM'!C30</f>
        <v>10</v>
      </c>
      <c r="J30" s="31" t="str">
        <f>'VAL 2 TRIM'!O30</f>
        <v/>
      </c>
      <c r="K30" s="31" t="str">
        <f>'VAL 2 TRIM'!AB30</f>
        <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76.666666666666671</v>
      </c>
      <c r="V30" s="102" t="str">
        <f t="shared" si="1"/>
        <v>APROBADO</v>
      </c>
      <c r="W30" s="103"/>
      <c r="X30" s="103"/>
    </row>
    <row r="31" spans="1:24" ht="12" customHeight="1" x14ac:dyDescent="0.35">
      <c r="A31" s="58">
        <v>23</v>
      </c>
      <c r="B31" s="59">
        <f>'C. FILIACION'!B30</f>
        <v>0</v>
      </c>
      <c r="C31" s="48">
        <f>'VAL 1 TRIM '!C31</f>
        <v>10</v>
      </c>
      <c r="D31" s="48">
        <f>'VAL 1 TRIM '!O31</f>
        <v>35</v>
      </c>
      <c r="E31" s="48">
        <f>'VAL 1 TRIM '!AB31</f>
        <v>35</v>
      </c>
      <c r="F31" s="48">
        <f>'VAL 1 TRIM '!AE31</f>
        <v>10</v>
      </c>
      <c r="G31" s="48">
        <f>'VAL 1 TRIM '!AE31</f>
        <v>10</v>
      </c>
      <c r="H31" s="100">
        <f>'VAL 1 TRIM '!AG31</f>
        <v>100</v>
      </c>
      <c r="I31" s="31">
        <f>'VAL 2 TRIM'!C31</f>
        <v>10</v>
      </c>
      <c r="J31" s="31" t="str">
        <f>'VAL 2 TRIM'!O31</f>
        <v/>
      </c>
      <c r="K31" s="31" t="str">
        <f>'VAL 2 TRIM'!AB31</f>
        <v/>
      </c>
      <c r="L31" s="31">
        <f>'VAL 2 TRIM'!AA31</f>
        <v>10</v>
      </c>
      <c r="M31" s="31">
        <f>'VAL 2 TRIM'!AE31</f>
        <v>10</v>
      </c>
      <c r="N31" s="100">
        <f>'VAL 2 TRIM'!AG31</f>
        <v>30</v>
      </c>
      <c r="O31" s="31">
        <f>'VAL 3 TRIM'!C31</f>
        <v>10</v>
      </c>
      <c r="P31" s="31">
        <f>'VAL 3 TRIM'!O31</f>
        <v>35</v>
      </c>
      <c r="Q31" s="31">
        <f>'VAL 3 TRIM'!AB31</f>
        <v>35</v>
      </c>
      <c r="R31" s="31">
        <f>'VAL 3 TRIM'!AA31</f>
        <v>10</v>
      </c>
      <c r="S31" s="48">
        <f>'VAL 3 TRIM'!AE31</f>
        <v>10</v>
      </c>
      <c r="T31" s="100">
        <f>'VAL 3 TRIM'!AG31</f>
        <v>100</v>
      </c>
      <c r="U31" s="101">
        <f t="shared" si="0"/>
        <v>76.666666666666671</v>
      </c>
      <c r="V31" s="102" t="str">
        <f t="shared" si="1"/>
        <v>APROBADO</v>
      </c>
      <c r="W31" s="103"/>
      <c r="X31" s="103"/>
    </row>
    <row r="32" spans="1:24" ht="12" customHeight="1" x14ac:dyDescent="0.35">
      <c r="A32" s="58">
        <v>24</v>
      </c>
      <c r="B32" s="59">
        <f>'C. FILIACION'!B31</f>
        <v>0</v>
      </c>
      <c r="C32" s="48">
        <f>'VAL 1 TRIM '!C32</f>
        <v>10</v>
      </c>
      <c r="D32" s="48">
        <f>'VAL 1 TRIM '!O32</f>
        <v>35</v>
      </c>
      <c r="E32" s="48">
        <f>'VAL 1 TRIM '!AB32</f>
        <v>35</v>
      </c>
      <c r="F32" s="48">
        <f>'VAL 1 TRIM '!AE32</f>
        <v>10</v>
      </c>
      <c r="G32" s="48">
        <f>'VAL 1 TRIM '!AE32</f>
        <v>10</v>
      </c>
      <c r="H32" s="100">
        <f>'VAL 1 TRIM '!AG32</f>
        <v>100</v>
      </c>
      <c r="I32" s="31">
        <f>'VAL 2 TRIM'!C32</f>
        <v>10</v>
      </c>
      <c r="J32" s="31" t="str">
        <f>'VAL 2 TRIM'!O32</f>
        <v/>
      </c>
      <c r="K32" s="31" t="str">
        <f>'VAL 2 TRIM'!AB32</f>
        <v/>
      </c>
      <c r="L32" s="31">
        <f>'VAL 2 TRIM'!AA32</f>
        <v>10</v>
      </c>
      <c r="M32" s="31">
        <f>'VAL 2 TRIM'!AE32</f>
        <v>10</v>
      </c>
      <c r="N32" s="100">
        <f>'VAL 2 TRIM'!AG32</f>
        <v>30</v>
      </c>
      <c r="O32" s="31">
        <f>'VAL 3 TRIM'!C32</f>
        <v>10</v>
      </c>
      <c r="P32" s="31">
        <f>'VAL 3 TRIM'!O32</f>
        <v>35</v>
      </c>
      <c r="Q32" s="31">
        <f>'VAL 3 TRIM'!AB32</f>
        <v>35</v>
      </c>
      <c r="R32" s="31">
        <f>'VAL 3 TRIM'!AA32</f>
        <v>10</v>
      </c>
      <c r="S32" s="48">
        <f>'VAL 3 TRIM'!AE32</f>
        <v>10</v>
      </c>
      <c r="T32" s="100">
        <f>'VAL 3 TRIM'!AG32</f>
        <v>100</v>
      </c>
      <c r="U32" s="101">
        <f t="shared" si="0"/>
        <v>76.666666666666671</v>
      </c>
      <c r="V32" s="102" t="str">
        <f t="shared" si="1"/>
        <v>APROBADO</v>
      </c>
      <c r="W32" s="103"/>
      <c r="X32" s="103"/>
    </row>
    <row r="33" spans="1:24" ht="12" customHeight="1" x14ac:dyDescent="0.35">
      <c r="A33" s="58">
        <v>25</v>
      </c>
      <c r="B33" s="59">
        <f>'C. FILIACION'!B32</f>
        <v>0</v>
      </c>
      <c r="C33" s="48">
        <f>'VAL 1 TRIM '!C33</f>
        <v>10</v>
      </c>
      <c r="D33" s="48">
        <f>'VAL 1 TRIM '!O33</f>
        <v>35</v>
      </c>
      <c r="E33" s="48">
        <f>'VAL 1 TRIM '!AB33</f>
        <v>35</v>
      </c>
      <c r="F33" s="48">
        <f>'VAL 1 TRIM '!AE33</f>
        <v>10</v>
      </c>
      <c r="G33" s="48">
        <f>'VAL 1 TRIM '!AE33</f>
        <v>10</v>
      </c>
      <c r="H33" s="100">
        <f>'VAL 1 TRIM '!AG33</f>
        <v>100</v>
      </c>
      <c r="I33" s="31">
        <f>'VAL 2 TRIM'!C33</f>
        <v>10</v>
      </c>
      <c r="J33" s="31" t="str">
        <f>'VAL 2 TRIM'!O33</f>
        <v/>
      </c>
      <c r="K33" s="31" t="str">
        <f>'VAL 2 TRIM'!AB33</f>
        <v/>
      </c>
      <c r="L33" s="31">
        <f>'VAL 2 TRIM'!AA33</f>
        <v>10</v>
      </c>
      <c r="M33" s="31">
        <f>'VAL 2 TRIM'!AE33</f>
        <v>10</v>
      </c>
      <c r="N33" s="100">
        <f>'VAL 2 TRIM'!AG33</f>
        <v>30</v>
      </c>
      <c r="O33" s="31">
        <f>'VAL 3 TRIM'!C33</f>
        <v>10</v>
      </c>
      <c r="P33" s="31">
        <f>'VAL 3 TRIM'!O33</f>
        <v>35</v>
      </c>
      <c r="Q33" s="31">
        <f>'VAL 3 TRIM'!AB33</f>
        <v>35</v>
      </c>
      <c r="R33" s="31">
        <f>'VAL 3 TRIM'!AA33</f>
        <v>10</v>
      </c>
      <c r="S33" s="48">
        <f>'VAL 3 TRIM'!AE33</f>
        <v>10</v>
      </c>
      <c r="T33" s="100">
        <f>'VAL 3 TRIM'!AG33</f>
        <v>100</v>
      </c>
      <c r="U33" s="101">
        <f t="shared" si="0"/>
        <v>76.666666666666671</v>
      </c>
      <c r="V33" s="102" t="str">
        <f t="shared" si="1"/>
        <v>APROBADO</v>
      </c>
      <c r="W33" s="103"/>
      <c r="X33" s="103"/>
    </row>
    <row r="34" spans="1:24" ht="12" customHeight="1" x14ac:dyDescent="0.35">
      <c r="A34" s="58">
        <v>26</v>
      </c>
      <c r="B34" s="59">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t="str">
        <f>'VAL 2 TRIM'!O34</f>
        <v/>
      </c>
      <c r="K34" s="31" t="str">
        <f>'VAL 2 TRIM'!AB34</f>
        <v/>
      </c>
      <c r="L34" s="31">
        <f>'VAL 2 TRIM'!AA34</f>
        <v>10</v>
      </c>
      <c r="M34" s="31">
        <f>'VAL 2 TRIM'!AE34</f>
        <v>10</v>
      </c>
      <c r="N34" s="100">
        <f>'VAL 2 TRIM'!AG34</f>
        <v>30</v>
      </c>
      <c r="O34" s="31">
        <f>'VAL 3 TRIM'!C34</f>
        <v>10</v>
      </c>
      <c r="P34" s="31">
        <f>'VAL 3 TRIM'!O34</f>
        <v>35</v>
      </c>
      <c r="Q34" s="31">
        <f>'VAL 3 TRIM'!AB34</f>
        <v>35</v>
      </c>
      <c r="R34" s="31">
        <f>'VAL 3 TRIM'!AA34</f>
        <v>10</v>
      </c>
      <c r="S34" s="48">
        <f>'VAL 3 TRIM'!AE34</f>
        <v>10</v>
      </c>
      <c r="T34" s="100">
        <f>'VAL 3 TRIM'!AG34</f>
        <v>100</v>
      </c>
      <c r="U34" s="101">
        <f t="shared" si="0"/>
        <v>76.666666666666671</v>
      </c>
      <c r="V34" s="102" t="str">
        <f t="shared" si="1"/>
        <v>APROBADO</v>
      </c>
      <c r="W34" s="103"/>
      <c r="X34" s="103"/>
    </row>
    <row r="35" spans="1:24" ht="12" customHeight="1" x14ac:dyDescent="0.35">
      <c r="A35" s="58">
        <v>27</v>
      </c>
      <c r="B35" s="59">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t="str">
        <f>'VAL 2 TRIM'!O35</f>
        <v/>
      </c>
      <c r="K35" s="31" t="str">
        <f>'VAL 2 TRIM'!AB35</f>
        <v/>
      </c>
      <c r="L35" s="31">
        <f>'VAL 2 TRIM'!AA35</f>
        <v>10</v>
      </c>
      <c r="M35" s="31">
        <f>'VAL 2 TRIM'!AE35</f>
        <v>10</v>
      </c>
      <c r="N35" s="100">
        <f>'VAL 2 TRIM'!AG35</f>
        <v>30</v>
      </c>
      <c r="O35" s="31">
        <f>'VAL 3 TRIM'!C35</f>
        <v>10</v>
      </c>
      <c r="P35" s="31">
        <f>'VAL 3 TRIM'!O35</f>
        <v>35</v>
      </c>
      <c r="Q35" s="31">
        <f>'VAL 3 TRIM'!AB35</f>
        <v>35</v>
      </c>
      <c r="R35" s="31">
        <f>'VAL 3 TRIM'!AA35</f>
        <v>10</v>
      </c>
      <c r="S35" s="48">
        <f>'VAL 3 TRIM'!AE35</f>
        <v>10</v>
      </c>
      <c r="T35" s="100">
        <f>'VAL 3 TRIM'!AG35</f>
        <v>100</v>
      </c>
      <c r="U35" s="101">
        <f t="shared" si="0"/>
        <v>76.666666666666671</v>
      </c>
      <c r="V35" s="102" t="str">
        <f t="shared" si="1"/>
        <v>APROBADO</v>
      </c>
      <c r="W35" s="103"/>
      <c r="X35" s="103"/>
    </row>
    <row r="36" spans="1:24" ht="12" customHeight="1" x14ac:dyDescent="0.35">
      <c r="A36" s="58">
        <v>28</v>
      </c>
      <c r="B36" s="59">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t="str">
        <f>'VAL 2 TRIM'!O36</f>
        <v/>
      </c>
      <c r="K36" s="31" t="str">
        <f>'VAL 2 TRIM'!AB36</f>
        <v/>
      </c>
      <c r="L36" s="31">
        <f>'VAL 2 TRIM'!AA36</f>
        <v>10</v>
      </c>
      <c r="M36" s="31">
        <f>'VAL 2 TRIM'!AE36</f>
        <v>10</v>
      </c>
      <c r="N36" s="100">
        <f>'VAL 2 TRIM'!AG36</f>
        <v>30</v>
      </c>
      <c r="O36" s="31">
        <f>'VAL 3 TRIM'!C36</f>
        <v>10</v>
      </c>
      <c r="P36" s="31">
        <f>'VAL 3 TRIM'!O36</f>
        <v>35</v>
      </c>
      <c r="Q36" s="31">
        <f>'VAL 3 TRIM'!AB36</f>
        <v>35</v>
      </c>
      <c r="R36" s="31">
        <f>'VAL 3 TRIM'!AA36</f>
        <v>10</v>
      </c>
      <c r="S36" s="48">
        <f>'VAL 3 TRIM'!AE36</f>
        <v>10</v>
      </c>
      <c r="T36" s="100">
        <f>'VAL 3 TRIM'!AG36</f>
        <v>100</v>
      </c>
      <c r="U36" s="101">
        <f t="shared" si="0"/>
        <v>76.666666666666671</v>
      </c>
      <c r="V36" s="102" t="str">
        <f t="shared" si="1"/>
        <v>APROBADO</v>
      </c>
      <c r="W36" s="103"/>
      <c r="X36" s="103"/>
    </row>
    <row r="37" spans="1:24" ht="12" customHeight="1" x14ac:dyDescent="0.35">
      <c r="A37" s="58">
        <v>29</v>
      </c>
      <c r="B37" s="59">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t="str">
        <f>'VAL 2 TRIM'!O37</f>
        <v/>
      </c>
      <c r="K37" s="31">
        <f>'VAL 2 TRIM'!AB37</f>
        <v>35</v>
      </c>
      <c r="L37" s="31">
        <f>'VAL 2 TRIM'!AA37</f>
        <v>10</v>
      </c>
      <c r="M37" s="31">
        <f>'VAL 2 TRIM'!AE37</f>
        <v>10</v>
      </c>
      <c r="N37" s="100">
        <f>'VAL 2 TRIM'!AG37</f>
        <v>65</v>
      </c>
      <c r="O37" s="31">
        <f>'VAL 3 TRIM'!C37</f>
        <v>10</v>
      </c>
      <c r="P37" s="31">
        <f>'VAL 3 TRIM'!O37</f>
        <v>35</v>
      </c>
      <c r="Q37" s="31">
        <f>'VAL 3 TRIM'!AB37</f>
        <v>35</v>
      </c>
      <c r="R37" s="31">
        <f>'VAL 3 TRIM'!AA37</f>
        <v>10</v>
      </c>
      <c r="S37" s="48">
        <f>'VAL 3 TRIM'!AE37</f>
        <v>10</v>
      </c>
      <c r="T37" s="100">
        <f>'VAL 3 TRIM'!AG37</f>
        <v>100</v>
      </c>
      <c r="U37" s="101">
        <f t="shared" si="0"/>
        <v>88.333333333333329</v>
      </c>
      <c r="V37" s="102" t="str">
        <f t="shared" si="1"/>
        <v>APROBADO</v>
      </c>
      <c r="W37" s="103"/>
      <c r="X37" s="103"/>
    </row>
    <row r="38" spans="1:24" ht="12" customHeight="1" x14ac:dyDescent="0.35">
      <c r="A38" s="58">
        <v>30</v>
      </c>
      <c r="B38" s="59">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5">
      <c r="A39" s="58">
        <v>31</v>
      </c>
      <c r="B39" s="59">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5">
      <c r="A40" s="58">
        <v>32</v>
      </c>
      <c r="B40" s="59">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5">
      <c r="A41" s="58">
        <v>33</v>
      </c>
      <c r="B41" s="59">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5">
      <c r="A42" s="58">
        <v>34</v>
      </c>
      <c r="B42" s="59">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5">
      <c r="A43" s="58">
        <v>35</v>
      </c>
      <c r="B43" s="59">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5">
      <c r="A44" s="58">
        <v>36</v>
      </c>
      <c r="B44" s="59">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65625" defaultRowHeight="15" customHeight="1" x14ac:dyDescent="0.35"/>
  <cols>
    <col min="1" max="1" width="1.6640625" customWidth="1"/>
    <col min="2" max="2" width="20.6640625" customWidth="1"/>
    <col min="3" max="6" width="3.6640625" customWidth="1"/>
    <col min="7" max="7" width="9" customWidth="1"/>
    <col min="8" max="8" width="1.265625" customWidth="1"/>
    <col min="9" max="11" width="3.6640625" customWidth="1"/>
    <col min="12" max="13" width="4.6640625" customWidth="1"/>
    <col min="14" max="26" width="8.73046875" customWidth="1"/>
  </cols>
  <sheetData>
    <row r="1" spans="1:13" ht="4.5" customHeight="1" x14ac:dyDescent="0.35"/>
    <row r="2" spans="1:13" ht="12.75" customHeight="1" x14ac:dyDescent="0.35">
      <c r="B2" s="217" t="s">
        <v>102</v>
      </c>
      <c r="C2" s="213"/>
      <c r="D2" s="213"/>
      <c r="E2" s="213"/>
      <c r="F2" s="213"/>
      <c r="G2" s="213"/>
      <c r="H2" s="213"/>
      <c r="I2" s="72"/>
      <c r="J2" s="72"/>
      <c r="K2" s="72"/>
      <c r="L2" s="72"/>
      <c r="M2" s="72"/>
    </row>
    <row r="3" spans="1:13" ht="12.75" customHeight="1" x14ac:dyDescent="0.35">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5">
      <c r="B4" s="38" t="s">
        <v>14</v>
      </c>
      <c r="C4" s="39" t="str">
        <f>CARÁTULA!$C$21</f>
        <v>Secundaria</v>
      </c>
      <c r="D4" s="41"/>
      <c r="E4" s="40"/>
      <c r="F4" s="39"/>
      <c r="G4" s="40"/>
      <c r="H4" s="40"/>
      <c r="I4" s="40"/>
      <c r="J4" s="38" t="s">
        <v>52</v>
      </c>
      <c r="K4" s="105"/>
      <c r="L4" s="39">
        <f>CARÁTULA!$C$19</f>
        <v>0</v>
      </c>
      <c r="M4" s="105"/>
    </row>
    <row r="5" spans="1:13" ht="12.75" customHeight="1" x14ac:dyDescent="0.35">
      <c r="B5" s="38" t="s">
        <v>22</v>
      </c>
      <c r="C5" s="39" t="str">
        <f>CARÁTULA!$C$23</f>
        <v>4to de Secundaria</v>
      </c>
      <c r="D5" s="38"/>
      <c r="E5" s="44"/>
      <c r="F5" s="296"/>
      <c r="G5" s="263"/>
      <c r="H5" s="44"/>
      <c r="I5" s="44"/>
      <c r="J5" s="38" t="s">
        <v>23</v>
      </c>
      <c r="K5" s="105"/>
      <c r="L5" s="231">
        <f ca="1">TODAY()</f>
        <v>44421</v>
      </c>
      <c r="M5" s="213"/>
    </row>
    <row r="6" spans="1:13" ht="12.75" customHeight="1" x14ac:dyDescent="0.35">
      <c r="B6" s="38"/>
      <c r="C6" s="297" t="s">
        <v>107</v>
      </c>
      <c r="D6" s="255"/>
      <c r="E6" s="256"/>
      <c r="F6" s="293" t="s">
        <v>103</v>
      </c>
      <c r="G6" s="289" t="s">
        <v>104</v>
      </c>
      <c r="H6" s="67"/>
      <c r="I6" s="67"/>
    </row>
    <row r="7" spans="1:13" ht="12" customHeight="1" x14ac:dyDescent="0.35">
      <c r="B7" s="47"/>
      <c r="C7" s="294" t="s">
        <v>4</v>
      </c>
      <c r="D7" s="294" t="s">
        <v>108</v>
      </c>
      <c r="E7" s="295" t="s">
        <v>16</v>
      </c>
      <c r="F7" s="290"/>
      <c r="G7" s="290"/>
      <c r="H7" s="40"/>
      <c r="I7" s="40"/>
    </row>
    <row r="8" spans="1:13" ht="67.5" customHeight="1" x14ac:dyDescent="0.35">
      <c r="A8" s="48" t="s">
        <v>55</v>
      </c>
      <c r="B8" s="49" t="s">
        <v>56</v>
      </c>
      <c r="C8" s="259"/>
      <c r="D8" s="259"/>
      <c r="E8" s="259"/>
      <c r="F8" s="259"/>
      <c r="G8" s="259"/>
      <c r="H8" s="99"/>
      <c r="I8" s="99" t="s">
        <v>109</v>
      </c>
      <c r="J8" s="99" t="s">
        <v>110</v>
      </c>
      <c r="K8" s="99" t="s">
        <v>111</v>
      </c>
    </row>
    <row r="9" spans="1:13" ht="12" customHeight="1" x14ac:dyDescent="0.35">
      <c r="A9" s="58">
        <v>1</v>
      </c>
      <c r="B9" s="59" t="str">
        <f>'C. FILIACION'!B8</f>
        <v>BENITEZ BALLESTEROS KAREN ARIANA</v>
      </c>
      <c r="C9" s="100">
        <f>'VAL 1 TRIM '!AG9</f>
        <v>90</v>
      </c>
      <c r="D9" s="100">
        <f>'VAL 2 TRIM'!AG9</f>
        <v>60</v>
      </c>
      <c r="E9" s="100">
        <f>'VAL 3 TRIM'!AG9</f>
        <v>100</v>
      </c>
      <c r="F9" s="101">
        <f>'CENTRAL 1'!U9</f>
        <v>83.333333333333329</v>
      </c>
      <c r="G9" s="102" t="str">
        <f t="shared" ref="G9:G44" si="0">IF(F9="","",(IF(AND(F9&gt;=1,F9&lt;=50.499),"REPROBADO",IF(AND(F9&gt;=50.5,F9&lt;=100),"APROBADO"))))</f>
        <v>APROBADO</v>
      </c>
      <c r="H9" s="103"/>
      <c r="I9" s="31">
        <f t="shared" ref="I9:K9" si="1">COUNTIF(C9:C44,"&gt;=51")</f>
        <v>36</v>
      </c>
      <c r="J9" s="106">
        <f t="shared" si="1"/>
        <v>14</v>
      </c>
      <c r="K9" s="106">
        <f t="shared" si="1"/>
        <v>36</v>
      </c>
    </row>
    <row r="10" spans="1:13" ht="12" customHeight="1" x14ac:dyDescent="0.35">
      <c r="A10" s="58">
        <v>2</v>
      </c>
      <c r="B10" s="59" t="str">
        <f>'C. FILIACION'!B9</f>
        <v>CALIZAYA MERCADO AXEL GABRIEL</v>
      </c>
      <c r="C10" s="100">
        <f>'VAL 1 TRIM '!AG10</f>
        <v>55</v>
      </c>
      <c r="D10" s="100">
        <f>'VAL 2 TRIM'!AG10</f>
        <v>35</v>
      </c>
      <c r="E10" s="100">
        <f>'VAL 3 TRIM'!AG10</f>
        <v>100</v>
      </c>
      <c r="F10" s="101">
        <f>'CENTRAL 1'!U10</f>
        <v>63.333333333333336</v>
      </c>
      <c r="G10" s="102" t="str">
        <f t="shared" si="0"/>
        <v>APROBADO</v>
      </c>
      <c r="H10" s="103"/>
      <c r="I10" s="107" t="s">
        <v>112</v>
      </c>
      <c r="J10" s="108"/>
    </row>
    <row r="11" spans="1:13" ht="12" customHeight="1" x14ac:dyDescent="0.35">
      <c r="A11" s="58">
        <v>3</v>
      </c>
      <c r="B11" s="59" t="str">
        <f>'C. FILIACION'!B10</f>
        <v>CANO GUZMAN FABRIZIO RODRIGO</v>
      </c>
      <c r="C11" s="100">
        <f>'VAL 1 TRIM '!AG11</f>
        <v>61</v>
      </c>
      <c r="D11" s="100">
        <f>'VAL 2 TRIM'!AG11</f>
        <v>30</v>
      </c>
      <c r="E11" s="100">
        <f>'VAL 3 TRIM'!AG11</f>
        <v>100</v>
      </c>
      <c r="F11" s="101">
        <f>'CENTRAL 1'!U11</f>
        <v>63.666666666666664</v>
      </c>
      <c r="G11" s="102" t="str">
        <f t="shared" si="0"/>
        <v>APROBADO</v>
      </c>
      <c r="H11" s="103"/>
      <c r="I11" s="103"/>
    </row>
    <row r="12" spans="1:13" ht="12" customHeight="1" x14ac:dyDescent="0.35">
      <c r="A12" s="58">
        <v>4</v>
      </c>
      <c r="B12" s="59" t="str">
        <f>'C. FILIACION'!B11</f>
        <v>CHOQUE LAURA CARLOS EDUARDO</v>
      </c>
      <c r="C12" s="100">
        <f>'VAL 1 TRIM '!AG12</f>
        <v>90</v>
      </c>
      <c r="D12" s="100">
        <f>'VAL 2 TRIM'!AG12</f>
        <v>30</v>
      </c>
      <c r="E12" s="100">
        <f>'VAL 3 TRIM'!AG12</f>
        <v>100</v>
      </c>
      <c r="F12" s="101">
        <f>'CENTRAL 1'!U12</f>
        <v>73.333333333333329</v>
      </c>
      <c r="G12" s="102" t="str">
        <f t="shared" si="0"/>
        <v>APROBADO</v>
      </c>
      <c r="H12" s="103"/>
      <c r="I12" s="103"/>
    </row>
    <row r="13" spans="1:13" ht="12" customHeight="1" x14ac:dyDescent="0.35">
      <c r="A13" s="58">
        <v>5</v>
      </c>
      <c r="B13" s="59" t="str">
        <f>'C. FILIACION'!B12</f>
        <v>CONDORI GALARZA DENSEL ALEXSIS</v>
      </c>
      <c r="C13" s="100">
        <f>'VAL 1 TRIM '!AG13</f>
        <v>90</v>
      </c>
      <c r="D13" s="100">
        <f>'VAL 2 TRIM'!AG13</f>
        <v>86</v>
      </c>
      <c r="E13" s="100">
        <f>'VAL 3 TRIM'!AG13</f>
        <v>100</v>
      </c>
      <c r="F13" s="101">
        <f>'CENTRAL 1'!U13</f>
        <v>92</v>
      </c>
      <c r="G13" s="102" t="str">
        <f t="shared" si="0"/>
        <v>APROBADO</v>
      </c>
      <c r="H13" s="103"/>
      <c r="I13" s="106">
        <f t="shared" ref="I13:K13" si="2">COUNTIF(C9:C44,"&lt;=51")</f>
        <v>0</v>
      </c>
      <c r="J13" s="106">
        <f t="shared" si="2"/>
        <v>22</v>
      </c>
      <c r="K13" s="106">
        <f t="shared" si="2"/>
        <v>0</v>
      </c>
    </row>
    <row r="14" spans="1:13" ht="12" customHeight="1" x14ac:dyDescent="0.35">
      <c r="A14" s="58">
        <v>6</v>
      </c>
      <c r="B14" s="59" t="str">
        <f>'C. FILIACION'!B13</f>
        <v>DAZA RAMIREZ KALEP MATEO</v>
      </c>
      <c r="C14" s="100">
        <f>'VAL 1 TRIM '!AG14</f>
        <v>70</v>
      </c>
      <c r="D14" s="100">
        <f>'VAL 2 TRIM'!AG14</f>
        <v>30</v>
      </c>
      <c r="E14" s="100">
        <f>'VAL 3 TRIM'!AG14</f>
        <v>100</v>
      </c>
      <c r="F14" s="101">
        <f>'CENTRAL 1'!U14</f>
        <v>66.666666666666671</v>
      </c>
      <c r="G14" s="102" t="str">
        <f t="shared" si="0"/>
        <v>APROBADO</v>
      </c>
      <c r="H14" s="103"/>
      <c r="I14" s="107" t="s">
        <v>113</v>
      </c>
    </row>
    <row r="15" spans="1:13" ht="12" customHeight="1" x14ac:dyDescent="0.35">
      <c r="A15" s="58">
        <v>7</v>
      </c>
      <c r="B15" s="59" t="str">
        <f>'C. FILIACION'!B14</f>
        <v>ESTRADA FUNES NAZARETH</v>
      </c>
      <c r="C15" s="100">
        <f>'VAL 1 TRIM '!AG15</f>
        <v>90</v>
      </c>
      <c r="D15" s="100">
        <f>'VAL 2 TRIM'!AG15</f>
        <v>72</v>
      </c>
      <c r="E15" s="100">
        <f>'VAL 3 TRIM'!AG15</f>
        <v>100</v>
      </c>
      <c r="F15" s="101">
        <f>'CENTRAL 1'!U15</f>
        <v>87.333333333333329</v>
      </c>
      <c r="G15" s="102" t="str">
        <f t="shared" si="0"/>
        <v>APROBADO</v>
      </c>
      <c r="H15" s="103"/>
      <c r="I15" s="103"/>
    </row>
    <row r="16" spans="1:13" ht="12" customHeight="1" x14ac:dyDescent="0.35">
      <c r="A16" s="58">
        <v>8</v>
      </c>
      <c r="B16" s="59" t="str">
        <f>'C. FILIACION'!B15</f>
        <v>FLORES VILLEGAS CARLOS IVAN</v>
      </c>
      <c r="C16" s="100">
        <f>'VAL 1 TRIM '!AG16</f>
        <v>90</v>
      </c>
      <c r="D16" s="100">
        <f>'VAL 2 TRIM'!AG16</f>
        <v>30</v>
      </c>
      <c r="E16" s="100">
        <f>'VAL 3 TRIM'!AG16</f>
        <v>100</v>
      </c>
      <c r="F16" s="101">
        <f>'CENTRAL 1'!U16</f>
        <v>73.333333333333329</v>
      </c>
      <c r="G16" s="102" t="str">
        <f t="shared" si="0"/>
        <v>APROBADO</v>
      </c>
      <c r="H16" s="103"/>
      <c r="I16" s="103"/>
    </row>
    <row r="17" spans="1:9" ht="12" customHeight="1" x14ac:dyDescent="0.35">
      <c r="A17" s="58">
        <v>9</v>
      </c>
      <c r="B17" s="59" t="str">
        <f>'C. FILIACION'!B16</f>
        <v>FRANCISCO RUIZ LUCERO</v>
      </c>
      <c r="C17" s="100">
        <f>'VAL 1 TRIM '!AG17</f>
        <v>90</v>
      </c>
      <c r="D17" s="100">
        <f>'VAL 2 TRIM'!AG17</f>
        <v>96</v>
      </c>
      <c r="E17" s="100">
        <f>'VAL 3 TRIM'!AG17</f>
        <v>100</v>
      </c>
      <c r="F17" s="101">
        <f>'CENTRAL 1'!U17</f>
        <v>95.333333333333329</v>
      </c>
      <c r="G17" s="102" t="str">
        <f t="shared" si="0"/>
        <v>APROBADO</v>
      </c>
      <c r="H17" s="103"/>
      <c r="I17" s="103"/>
    </row>
    <row r="18" spans="1:9" ht="12" customHeight="1" x14ac:dyDescent="0.35">
      <c r="A18" s="58">
        <v>10</v>
      </c>
      <c r="B18" s="59" t="str">
        <f>'C. FILIACION'!B17</f>
        <v>IBARRA VINO ELOY INTI</v>
      </c>
      <c r="C18" s="100">
        <f>'VAL 1 TRIM '!AG18</f>
        <v>90</v>
      </c>
      <c r="D18" s="100">
        <f>'VAL 2 TRIM'!AG18</f>
        <v>89</v>
      </c>
      <c r="E18" s="100">
        <f>'VAL 3 TRIM'!AG18</f>
        <v>100</v>
      </c>
      <c r="F18" s="101">
        <f>'CENTRAL 1'!U18</f>
        <v>93</v>
      </c>
      <c r="G18" s="102" t="str">
        <f t="shared" si="0"/>
        <v>APROBADO</v>
      </c>
      <c r="H18" s="103"/>
      <c r="I18" s="103"/>
    </row>
    <row r="19" spans="1:9" ht="12" customHeight="1" x14ac:dyDescent="0.35">
      <c r="A19" s="58">
        <v>11</v>
      </c>
      <c r="B19" s="59" t="str">
        <f>'C. FILIACION'!B18</f>
        <v>LOPEZ BLANCO SOFIA BELEN</v>
      </c>
      <c r="C19" s="100">
        <f>'VAL 1 TRIM '!AG19</f>
        <v>90</v>
      </c>
      <c r="D19" s="100">
        <f>'VAL 2 TRIM'!AG19</f>
        <v>45</v>
      </c>
      <c r="E19" s="100">
        <f>'VAL 3 TRIM'!AG19</f>
        <v>100</v>
      </c>
      <c r="F19" s="101">
        <f>'CENTRAL 1'!U19</f>
        <v>78.333333333333329</v>
      </c>
      <c r="G19" s="102" t="str">
        <f t="shared" si="0"/>
        <v>APROBADO</v>
      </c>
      <c r="H19" s="103"/>
      <c r="I19" s="103"/>
    </row>
    <row r="20" spans="1:9" ht="12" customHeight="1" x14ac:dyDescent="0.35">
      <c r="A20" s="58">
        <v>12</v>
      </c>
      <c r="B20" s="59" t="str">
        <f>'C. FILIACION'!B19</f>
        <v>LOPEZ PACO RODRIGO ADRIAN</v>
      </c>
      <c r="C20" s="100">
        <f>'VAL 1 TRIM '!AG20</f>
        <v>61</v>
      </c>
      <c r="D20" s="100">
        <f>'VAL 2 TRIM'!AG20</f>
        <v>39</v>
      </c>
      <c r="E20" s="100">
        <f>'VAL 3 TRIM'!AG20</f>
        <v>100</v>
      </c>
      <c r="F20" s="101">
        <f>'CENTRAL 1'!U20</f>
        <v>66.666666666666671</v>
      </c>
      <c r="G20" s="102" t="str">
        <f t="shared" si="0"/>
        <v>APROBADO</v>
      </c>
      <c r="H20" s="103"/>
      <c r="I20" s="103"/>
    </row>
    <row r="21" spans="1:9" ht="12" customHeight="1" x14ac:dyDescent="0.35">
      <c r="A21" s="58">
        <v>13</v>
      </c>
      <c r="B21" s="59" t="str">
        <f>'C. FILIACION'!B20</f>
        <v>LOPEZ VERA MILENCA</v>
      </c>
      <c r="C21" s="100">
        <f>'VAL 1 TRIM '!AG21</f>
        <v>90</v>
      </c>
      <c r="D21" s="100">
        <f>'VAL 2 TRIM'!AG21</f>
        <v>97</v>
      </c>
      <c r="E21" s="100">
        <f>'VAL 3 TRIM'!AG21</f>
        <v>100</v>
      </c>
      <c r="F21" s="101">
        <f>'CENTRAL 1'!U21</f>
        <v>95.666666666666671</v>
      </c>
      <c r="G21" s="102" t="str">
        <f t="shared" si="0"/>
        <v>APROBADO</v>
      </c>
      <c r="H21" s="103"/>
      <c r="I21" s="103"/>
    </row>
    <row r="22" spans="1:9" ht="12" customHeight="1" x14ac:dyDescent="0.35">
      <c r="A22" s="58">
        <v>14</v>
      </c>
      <c r="B22" s="59" t="str">
        <f>'C. FILIACION'!B21</f>
        <v>MEDINA CHOQUE JOSE ROBERTO</v>
      </c>
      <c r="C22" s="100">
        <f>'VAL 1 TRIM '!AG22</f>
        <v>90</v>
      </c>
      <c r="D22" s="100">
        <f>'VAL 2 TRIM'!AG22</f>
        <v>42</v>
      </c>
      <c r="E22" s="100">
        <f>'VAL 3 TRIM'!AG22</f>
        <v>100</v>
      </c>
      <c r="F22" s="101">
        <f>'CENTRAL 1'!U22</f>
        <v>77.333333333333329</v>
      </c>
      <c r="G22" s="102" t="str">
        <f t="shared" si="0"/>
        <v>APROBADO</v>
      </c>
      <c r="H22" s="103"/>
      <c r="I22" s="103"/>
    </row>
    <row r="23" spans="1:9" ht="12" customHeight="1" x14ac:dyDescent="0.35">
      <c r="A23" s="58">
        <v>15</v>
      </c>
      <c r="B23" s="59" t="str">
        <f>'C. FILIACION'!B22</f>
        <v>MIRABAL AYANOME JOSE ALFREDO</v>
      </c>
      <c r="C23" s="100">
        <f>'VAL 1 TRIM '!AG23</f>
        <v>70</v>
      </c>
      <c r="D23" s="100">
        <f>'VAL 2 TRIM'!AG23</f>
        <v>30</v>
      </c>
      <c r="E23" s="100">
        <f>'VAL 3 TRIM'!AG23</f>
        <v>100</v>
      </c>
      <c r="F23" s="101">
        <f>'CENTRAL 1'!U23</f>
        <v>66.666666666666671</v>
      </c>
      <c r="G23" s="102" t="str">
        <f t="shared" si="0"/>
        <v>APROBADO</v>
      </c>
      <c r="H23" s="103"/>
      <c r="I23" s="103"/>
    </row>
    <row r="24" spans="1:9" ht="12" customHeight="1" x14ac:dyDescent="0.35">
      <c r="A24" s="58">
        <v>16</v>
      </c>
      <c r="B24" s="59" t="str">
        <f>'C. FILIACION'!B23</f>
        <v>NINA RUEDA ESTEFANY DANIELA</v>
      </c>
      <c r="C24" s="100">
        <f>'VAL 1 TRIM '!AG24</f>
        <v>90</v>
      </c>
      <c r="D24" s="100">
        <f>'VAL 2 TRIM'!AG24</f>
        <v>49</v>
      </c>
      <c r="E24" s="100">
        <f>'VAL 3 TRIM'!AG24</f>
        <v>100</v>
      </c>
      <c r="F24" s="101">
        <f>'CENTRAL 1'!U24</f>
        <v>79.666666666666671</v>
      </c>
      <c r="G24" s="102" t="str">
        <f t="shared" si="0"/>
        <v>APROBADO</v>
      </c>
      <c r="H24" s="103"/>
      <c r="I24" s="103"/>
    </row>
    <row r="25" spans="1:9" ht="12" customHeight="1" x14ac:dyDescent="0.35">
      <c r="A25" s="58">
        <v>17</v>
      </c>
      <c r="B25" s="59" t="str">
        <f>'C. FILIACION'!B24</f>
        <v>PORTILLO QUISPE JORGE LUIS</v>
      </c>
      <c r="C25" s="100">
        <f>'VAL 1 TRIM '!AG25</f>
        <v>90</v>
      </c>
      <c r="D25" s="100">
        <f>'VAL 2 TRIM'!AG25</f>
        <v>46</v>
      </c>
      <c r="E25" s="100">
        <f>'VAL 3 TRIM'!AG25</f>
        <v>100</v>
      </c>
      <c r="F25" s="101">
        <f>'CENTRAL 1'!U25</f>
        <v>78.666666666666671</v>
      </c>
      <c r="G25" s="102" t="str">
        <f t="shared" si="0"/>
        <v>APROBADO</v>
      </c>
      <c r="H25" s="103"/>
      <c r="I25" s="103"/>
    </row>
    <row r="26" spans="1:9" ht="12" customHeight="1" x14ac:dyDescent="0.35">
      <c r="A26" s="58">
        <v>18</v>
      </c>
      <c r="B26" s="59" t="str">
        <f>'C. FILIACION'!B25</f>
        <v>TORREZ PACO CARLA MILENKA</v>
      </c>
      <c r="C26" s="100">
        <f>'VAL 1 TRIM '!AG26</f>
        <v>90</v>
      </c>
      <c r="D26" s="100">
        <f>'VAL 2 TRIM'!AG26</f>
        <v>38</v>
      </c>
      <c r="E26" s="100">
        <f>'VAL 3 TRIM'!AG26</f>
        <v>100</v>
      </c>
      <c r="F26" s="101">
        <f>'CENTRAL 1'!U26</f>
        <v>76</v>
      </c>
      <c r="G26" s="102" t="str">
        <f t="shared" si="0"/>
        <v>APROBADO</v>
      </c>
      <c r="H26" s="103"/>
      <c r="I26" s="103"/>
    </row>
    <row r="27" spans="1:9" ht="12" customHeight="1" x14ac:dyDescent="0.35">
      <c r="A27" s="58">
        <v>19</v>
      </c>
      <c r="B27" s="59">
        <f>'C. FILIACION'!B26</f>
        <v>0</v>
      </c>
      <c r="C27" s="100">
        <f>'VAL 1 TRIM '!AG27</f>
        <v>100</v>
      </c>
      <c r="D27" s="100">
        <f>'VAL 2 TRIM'!AG27</f>
        <v>30</v>
      </c>
      <c r="E27" s="100">
        <f>'VAL 3 TRIM'!AG27</f>
        <v>100</v>
      </c>
      <c r="F27" s="101">
        <f>'CENTRAL 1'!U27</f>
        <v>76.666666666666671</v>
      </c>
      <c r="G27" s="102" t="str">
        <f t="shared" si="0"/>
        <v>APROBADO</v>
      </c>
      <c r="H27" s="103"/>
      <c r="I27" s="103"/>
    </row>
    <row r="28" spans="1:9" ht="12" customHeight="1" x14ac:dyDescent="0.35">
      <c r="A28" s="58">
        <v>20</v>
      </c>
      <c r="B28" s="59">
        <f>'C. FILIACION'!B27</f>
        <v>0</v>
      </c>
      <c r="C28" s="100">
        <f>'VAL 1 TRIM '!AG28</f>
        <v>100</v>
      </c>
      <c r="D28" s="100">
        <f>'VAL 2 TRIM'!AG28</f>
        <v>30</v>
      </c>
      <c r="E28" s="100">
        <f>'VAL 3 TRIM'!AG28</f>
        <v>100</v>
      </c>
      <c r="F28" s="101">
        <f>'CENTRAL 1'!U28</f>
        <v>76.666666666666671</v>
      </c>
      <c r="G28" s="102" t="str">
        <f t="shared" si="0"/>
        <v>APROBADO</v>
      </c>
      <c r="H28" s="103"/>
      <c r="I28" s="103"/>
    </row>
    <row r="29" spans="1:9" ht="12" customHeight="1" x14ac:dyDescent="0.35">
      <c r="A29" s="58">
        <v>21</v>
      </c>
      <c r="B29" s="59">
        <f>'C. FILIACION'!B28</f>
        <v>0</v>
      </c>
      <c r="C29" s="100">
        <f>'VAL 1 TRIM '!AG29</f>
        <v>100</v>
      </c>
      <c r="D29" s="100">
        <f>'VAL 2 TRIM'!AG29</f>
        <v>30</v>
      </c>
      <c r="E29" s="100">
        <f>'VAL 3 TRIM'!AG29</f>
        <v>100</v>
      </c>
      <c r="F29" s="101">
        <f>'CENTRAL 1'!U29</f>
        <v>76.666666666666671</v>
      </c>
      <c r="G29" s="102" t="str">
        <f t="shared" si="0"/>
        <v>APROBADO</v>
      </c>
      <c r="H29" s="103"/>
      <c r="I29" s="103"/>
    </row>
    <row r="30" spans="1:9" ht="12" customHeight="1" x14ac:dyDescent="0.35">
      <c r="A30" s="58">
        <v>22</v>
      </c>
      <c r="B30" s="59">
        <f>'C. FILIACION'!B29</f>
        <v>0</v>
      </c>
      <c r="C30" s="100">
        <f>'VAL 1 TRIM '!AG30</f>
        <v>100</v>
      </c>
      <c r="D30" s="100">
        <f>'VAL 2 TRIM'!AG30</f>
        <v>30</v>
      </c>
      <c r="E30" s="100">
        <f>'VAL 3 TRIM'!AG30</f>
        <v>100</v>
      </c>
      <c r="F30" s="101">
        <f>'CENTRAL 1'!U30</f>
        <v>76.666666666666671</v>
      </c>
      <c r="G30" s="102" t="str">
        <f t="shared" si="0"/>
        <v>APROBADO</v>
      </c>
      <c r="H30" s="103"/>
      <c r="I30" s="103"/>
    </row>
    <row r="31" spans="1:9" ht="12" customHeight="1" x14ac:dyDescent="0.35">
      <c r="A31" s="58">
        <v>23</v>
      </c>
      <c r="B31" s="59">
        <f>'C. FILIACION'!B30</f>
        <v>0</v>
      </c>
      <c r="C31" s="100">
        <f>'VAL 1 TRIM '!AG31</f>
        <v>100</v>
      </c>
      <c r="D31" s="100">
        <f>'VAL 2 TRIM'!AG31</f>
        <v>30</v>
      </c>
      <c r="E31" s="100">
        <f>'VAL 3 TRIM'!AG31</f>
        <v>100</v>
      </c>
      <c r="F31" s="101">
        <f>'CENTRAL 1'!U31</f>
        <v>76.666666666666671</v>
      </c>
      <c r="G31" s="102" t="str">
        <f t="shared" si="0"/>
        <v>APROBADO</v>
      </c>
      <c r="H31" s="103"/>
      <c r="I31" s="103"/>
    </row>
    <row r="32" spans="1:9" ht="12" customHeight="1" x14ac:dyDescent="0.35">
      <c r="A32" s="58">
        <v>24</v>
      </c>
      <c r="B32" s="59">
        <f>'C. FILIACION'!B31</f>
        <v>0</v>
      </c>
      <c r="C32" s="100">
        <f>'VAL 1 TRIM '!AG32</f>
        <v>100</v>
      </c>
      <c r="D32" s="100">
        <f>'VAL 2 TRIM'!AG32</f>
        <v>30</v>
      </c>
      <c r="E32" s="100">
        <f>'VAL 3 TRIM'!AG32</f>
        <v>100</v>
      </c>
      <c r="F32" s="101">
        <f>'CENTRAL 1'!U32</f>
        <v>76.666666666666671</v>
      </c>
      <c r="G32" s="102" t="str">
        <f t="shared" si="0"/>
        <v>APROBADO</v>
      </c>
      <c r="H32" s="103"/>
      <c r="I32" s="103"/>
    </row>
    <row r="33" spans="1:9" ht="12" customHeight="1" x14ac:dyDescent="0.35">
      <c r="A33" s="58">
        <v>25</v>
      </c>
      <c r="B33" s="59">
        <f>'C. FILIACION'!B32</f>
        <v>0</v>
      </c>
      <c r="C33" s="100">
        <f>'VAL 1 TRIM '!AG33</f>
        <v>100</v>
      </c>
      <c r="D33" s="100">
        <f>'VAL 2 TRIM'!AG33</f>
        <v>30</v>
      </c>
      <c r="E33" s="100">
        <f>'VAL 3 TRIM'!AG33</f>
        <v>100</v>
      </c>
      <c r="F33" s="101">
        <f>'CENTRAL 1'!U33</f>
        <v>76.666666666666671</v>
      </c>
      <c r="G33" s="102" t="str">
        <f t="shared" si="0"/>
        <v>APROBADO</v>
      </c>
      <c r="H33" s="103"/>
      <c r="I33" s="103"/>
    </row>
    <row r="34" spans="1:9" ht="12" customHeight="1" x14ac:dyDescent="0.35">
      <c r="A34" s="58">
        <v>26</v>
      </c>
      <c r="B34" s="59">
        <f>'C. FILIACION'!B33</f>
        <v>0</v>
      </c>
      <c r="C34" s="100">
        <f>'VAL 1 TRIM '!AG34</f>
        <v>100</v>
      </c>
      <c r="D34" s="100">
        <f>'VAL 2 TRIM'!AG34</f>
        <v>30</v>
      </c>
      <c r="E34" s="100">
        <f>'VAL 3 TRIM'!AG34</f>
        <v>100</v>
      </c>
      <c r="F34" s="101">
        <f>'CENTRAL 1'!U34</f>
        <v>76.666666666666671</v>
      </c>
      <c r="G34" s="102" t="str">
        <f t="shared" si="0"/>
        <v>APROBADO</v>
      </c>
      <c r="H34" s="103"/>
      <c r="I34" s="103"/>
    </row>
    <row r="35" spans="1:9" ht="12" customHeight="1" x14ac:dyDescent="0.35">
      <c r="A35" s="58">
        <v>27</v>
      </c>
      <c r="B35" s="59">
        <f>'C. FILIACION'!B34</f>
        <v>0</v>
      </c>
      <c r="C35" s="100">
        <f>'VAL 1 TRIM '!AG35</f>
        <v>100</v>
      </c>
      <c r="D35" s="100">
        <f>'VAL 2 TRIM'!AG35</f>
        <v>30</v>
      </c>
      <c r="E35" s="100">
        <f>'VAL 3 TRIM'!AG35</f>
        <v>100</v>
      </c>
      <c r="F35" s="101">
        <f>'CENTRAL 1'!U35</f>
        <v>76.666666666666671</v>
      </c>
      <c r="G35" s="102" t="str">
        <f t="shared" si="0"/>
        <v>APROBADO</v>
      </c>
      <c r="H35" s="103"/>
      <c r="I35" s="103"/>
    </row>
    <row r="36" spans="1:9" ht="12" customHeight="1" x14ac:dyDescent="0.35">
      <c r="A36" s="58">
        <v>28</v>
      </c>
      <c r="B36" s="59">
        <f>'C. FILIACION'!B35</f>
        <v>0</v>
      </c>
      <c r="C36" s="100">
        <f>'VAL 1 TRIM '!AG36</f>
        <v>100</v>
      </c>
      <c r="D36" s="100">
        <f>'VAL 2 TRIM'!AG36</f>
        <v>30</v>
      </c>
      <c r="E36" s="100">
        <f>'VAL 3 TRIM'!AG36</f>
        <v>100</v>
      </c>
      <c r="F36" s="101">
        <f>'CENTRAL 1'!U36</f>
        <v>76.666666666666671</v>
      </c>
      <c r="G36" s="102" t="str">
        <f t="shared" si="0"/>
        <v>APROBADO</v>
      </c>
      <c r="H36" s="103"/>
      <c r="I36" s="103"/>
    </row>
    <row r="37" spans="1:9" ht="12" customHeight="1" x14ac:dyDescent="0.35">
      <c r="A37" s="58">
        <v>29</v>
      </c>
      <c r="B37" s="59">
        <f>'C. FILIACION'!B36</f>
        <v>0</v>
      </c>
      <c r="C37" s="100">
        <f>'VAL 1 TRIM '!AG37</f>
        <v>100</v>
      </c>
      <c r="D37" s="100">
        <f>'VAL 2 TRIM'!AG37</f>
        <v>65</v>
      </c>
      <c r="E37" s="100">
        <f>'VAL 3 TRIM'!AG37</f>
        <v>100</v>
      </c>
      <c r="F37" s="101">
        <f>'CENTRAL 1'!U37</f>
        <v>88.333333333333329</v>
      </c>
      <c r="G37" s="102" t="str">
        <f t="shared" si="0"/>
        <v>APROBADO</v>
      </c>
      <c r="H37" s="103"/>
      <c r="I37" s="103"/>
    </row>
    <row r="38" spans="1:9" ht="12" customHeight="1" x14ac:dyDescent="0.35">
      <c r="A38" s="58">
        <v>30</v>
      </c>
      <c r="B38" s="59">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5">
      <c r="A39" s="58">
        <v>31</v>
      </c>
      <c r="B39" s="59">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5">
      <c r="A40" s="58">
        <v>32</v>
      </c>
      <c r="B40" s="59">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5">
      <c r="A41" s="58">
        <v>33</v>
      </c>
      <c r="B41" s="59">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5">
      <c r="A42" s="58">
        <v>34</v>
      </c>
      <c r="B42" s="59">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5">
      <c r="A43" s="58">
        <v>35</v>
      </c>
      <c r="B43" s="59">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5">
      <c r="A44" s="58">
        <v>36</v>
      </c>
      <c r="B44" s="59">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01" t="s">
        <v>114</v>
      </c>
      <c r="C2" s="213"/>
      <c r="D2" s="213"/>
      <c r="E2" s="213"/>
      <c r="F2" s="213"/>
      <c r="G2" s="213"/>
      <c r="H2" s="213"/>
      <c r="I2" s="213"/>
      <c r="J2" s="213"/>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4to de Secundaria</v>
      </c>
      <c r="E5" s="109"/>
      <c r="F5" s="109"/>
      <c r="G5" s="109"/>
      <c r="H5" s="110" t="s">
        <v>23</v>
      </c>
      <c r="I5" s="67">
        <f ca="1">TODAY()</f>
        <v>44421</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20.399999999999999" x14ac:dyDescent="0.35">
      <c r="A7" s="109"/>
      <c r="B7" s="114" t="s">
        <v>96</v>
      </c>
      <c r="C7" s="113" t="s">
        <v>116</v>
      </c>
      <c r="D7" s="114" t="s">
        <v>117</v>
      </c>
      <c r="E7" s="115" t="s">
        <v>118</v>
      </c>
      <c r="F7" s="109"/>
      <c r="G7" s="116" t="s">
        <v>119</v>
      </c>
      <c r="H7" s="114">
        <f>'VAL 1 TRIM '!$AO$9</f>
        <v>0</v>
      </c>
      <c r="I7" s="117">
        <f>H7/H11</f>
        <v>0</v>
      </c>
      <c r="J7" s="109"/>
      <c r="K7" s="109"/>
      <c r="L7" s="109"/>
      <c r="M7" s="109"/>
      <c r="N7" s="109"/>
      <c r="O7" s="109"/>
      <c r="P7" s="109"/>
      <c r="Q7" s="109"/>
      <c r="R7" s="109"/>
      <c r="S7" s="109"/>
      <c r="T7" s="109"/>
      <c r="U7" s="109"/>
      <c r="V7" s="109"/>
      <c r="W7" s="109"/>
      <c r="X7" s="109"/>
      <c r="Y7" s="109"/>
      <c r="Z7" s="109"/>
    </row>
    <row r="8" spans="1:26" ht="20.399999999999999" x14ac:dyDescent="0.35">
      <c r="A8" s="109"/>
      <c r="B8" s="114" t="s">
        <v>97</v>
      </c>
      <c r="C8" s="113" t="s">
        <v>120</v>
      </c>
      <c r="D8" s="114" t="s">
        <v>121</v>
      </c>
      <c r="E8" s="115" t="s">
        <v>122</v>
      </c>
      <c r="F8" s="109"/>
      <c r="G8" s="116" t="s">
        <v>123</v>
      </c>
      <c r="H8" s="114">
        <f>'VAL 1 TRIM '!$AO$10</f>
        <v>3</v>
      </c>
      <c r="I8" s="117">
        <f>H8/H11</f>
        <v>8.3333333333333329E-2</v>
      </c>
      <c r="J8" s="109"/>
      <c r="K8" s="109"/>
      <c r="L8" s="109"/>
      <c r="M8" s="109"/>
      <c r="N8" s="109"/>
      <c r="O8" s="109"/>
      <c r="P8" s="109"/>
      <c r="Q8" s="109"/>
      <c r="R8" s="109"/>
      <c r="S8" s="109"/>
      <c r="T8" s="109"/>
      <c r="U8" s="109"/>
      <c r="V8" s="109"/>
      <c r="W8" s="109"/>
      <c r="X8" s="109"/>
      <c r="Y8" s="109"/>
      <c r="Z8" s="109"/>
    </row>
    <row r="9" spans="1:26" ht="20.399999999999999" x14ac:dyDescent="0.35">
      <c r="A9" s="109"/>
      <c r="B9" s="114" t="s">
        <v>98</v>
      </c>
      <c r="C9" s="113" t="s">
        <v>124</v>
      </c>
      <c r="D9" s="114" t="s">
        <v>125</v>
      </c>
      <c r="E9" s="115" t="s">
        <v>122</v>
      </c>
      <c r="F9" s="109"/>
      <c r="G9" s="118" t="s">
        <v>126</v>
      </c>
      <c r="H9" s="114">
        <f>'VAL 1 TRIM '!$AO$11</f>
        <v>2</v>
      </c>
      <c r="I9" s="117">
        <f>H9/H11</f>
        <v>5.5555555555555552E-2</v>
      </c>
      <c r="J9" s="109"/>
      <c r="K9" s="109"/>
      <c r="L9" s="109"/>
      <c r="M9" s="109"/>
      <c r="N9" s="109"/>
      <c r="O9" s="109"/>
      <c r="P9" s="109"/>
      <c r="Q9" s="109"/>
      <c r="R9" s="109"/>
      <c r="S9" s="109"/>
      <c r="T9" s="109"/>
      <c r="U9" s="109"/>
      <c r="V9" s="109"/>
      <c r="W9" s="109"/>
      <c r="X9" s="109"/>
      <c r="Y9" s="109"/>
      <c r="Z9" s="109"/>
    </row>
    <row r="10" spans="1:26" ht="20.399999999999999" x14ac:dyDescent="0.35">
      <c r="A10" s="109"/>
      <c r="B10" s="114" t="s">
        <v>99</v>
      </c>
      <c r="C10" s="113" t="s">
        <v>127</v>
      </c>
      <c r="D10" s="114" t="s">
        <v>128</v>
      </c>
      <c r="E10" s="115" t="s">
        <v>122</v>
      </c>
      <c r="F10" s="109"/>
      <c r="G10" s="118" t="s">
        <v>129</v>
      </c>
      <c r="H10" s="114">
        <f>'VAL 1 TRIM '!$AO$12</f>
        <v>31</v>
      </c>
      <c r="I10" s="117">
        <f>H10/H11</f>
        <v>0.86111111111111116</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02" t="s">
        <v>131</v>
      </c>
      <c r="C13" s="213"/>
      <c r="D13" s="213"/>
      <c r="E13" s="213"/>
      <c r="F13" s="213"/>
      <c r="G13" s="213"/>
      <c r="H13" s="213"/>
      <c r="I13" s="213"/>
      <c r="J13" s="213"/>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298" t="s">
        <v>132</v>
      </c>
      <c r="C15" s="220"/>
      <c r="D15" s="220"/>
      <c r="E15" s="220"/>
      <c r="F15" s="220"/>
      <c r="G15" s="220"/>
      <c r="H15" s="220"/>
      <c r="I15" s="220"/>
      <c r="J15" s="221"/>
      <c r="K15" s="109"/>
      <c r="L15" s="109"/>
      <c r="M15" s="109"/>
      <c r="N15" s="109"/>
      <c r="O15" s="109"/>
      <c r="P15" s="109"/>
      <c r="Q15" s="109"/>
      <c r="R15" s="109"/>
      <c r="S15" s="109"/>
      <c r="T15" s="109"/>
      <c r="U15" s="109"/>
      <c r="V15" s="109"/>
      <c r="W15" s="109"/>
      <c r="X15" s="109"/>
      <c r="Y15" s="109"/>
      <c r="Z15" s="109"/>
    </row>
    <row r="16" spans="1:26" ht="16.5" customHeight="1" x14ac:dyDescent="0.35">
      <c r="A16" s="109"/>
      <c r="B16" s="299"/>
      <c r="C16" s="213"/>
      <c r="D16" s="213"/>
      <c r="E16" s="213"/>
      <c r="F16" s="213"/>
      <c r="G16" s="213"/>
      <c r="H16" s="213"/>
      <c r="I16" s="213"/>
      <c r="J16" s="300"/>
      <c r="K16" s="109"/>
      <c r="L16" s="109"/>
      <c r="M16" s="109"/>
      <c r="N16" s="109"/>
      <c r="O16" s="109"/>
      <c r="P16" s="109"/>
      <c r="Q16" s="109"/>
      <c r="R16" s="109"/>
      <c r="S16" s="109"/>
      <c r="T16" s="109"/>
      <c r="U16" s="109"/>
      <c r="V16" s="109"/>
      <c r="W16" s="109"/>
      <c r="X16" s="109"/>
      <c r="Y16" s="109"/>
      <c r="Z16" s="109"/>
    </row>
    <row r="17" spans="1:26" ht="16.5" customHeight="1" x14ac:dyDescent="0.35">
      <c r="A17" s="109"/>
      <c r="B17" s="262"/>
      <c r="C17" s="263"/>
      <c r="D17" s="263"/>
      <c r="E17" s="263"/>
      <c r="F17" s="263"/>
      <c r="G17" s="263"/>
      <c r="H17" s="263"/>
      <c r="I17" s="263"/>
      <c r="J17" s="264"/>
      <c r="K17" s="109"/>
      <c r="L17" s="109"/>
      <c r="M17" s="109"/>
      <c r="N17" s="109"/>
      <c r="O17" s="109"/>
      <c r="P17" s="109"/>
      <c r="Q17" s="109"/>
      <c r="R17" s="109"/>
      <c r="S17" s="109"/>
      <c r="T17" s="109"/>
      <c r="U17" s="109"/>
      <c r="V17" s="109"/>
      <c r="W17" s="109"/>
      <c r="X17" s="109"/>
      <c r="Y17" s="109"/>
      <c r="Z17" s="109"/>
    </row>
    <row r="18" spans="1:26" ht="16.5" customHeight="1" x14ac:dyDescent="0.35">
      <c r="A18" s="109"/>
      <c r="B18" s="298" t="s">
        <v>133</v>
      </c>
      <c r="C18" s="220"/>
      <c r="D18" s="220"/>
      <c r="E18" s="220"/>
      <c r="F18" s="220"/>
      <c r="G18" s="220"/>
      <c r="H18" s="220"/>
      <c r="I18" s="220"/>
      <c r="J18" s="221"/>
      <c r="K18" s="109"/>
      <c r="L18" s="109"/>
      <c r="M18" s="109"/>
      <c r="N18" s="109"/>
      <c r="O18" s="109"/>
      <c r="P18" s="109"/>
      <c r="Q18" s="109"/>
      <c r="R18" s="109"/>
      <c r="S18" s="109"/>
      <c r="T18" s="109"/>
      <c r="U18" s="109"/>
      <c r="V18" s="109"/>
      <c r="W18" s="109"/>
      <c r="X18" s="109"/>
      <c r="Y18" s="109"/>
      <c r="Z18" s="109"/>
    </row>
    <row r="19" spans="1:26" ht="16.5" customHeight="1" x14ac:dyDescent="0.35">
      <c r="A19" s="109"/>
      <c r="B19" s="299"/>
      <c r="C19" s="213"/>
      <c r="D19" s="213"/>
      <c r="E19" s="213"/>
      <c r="F19" s="213"/>
      <c r="G19" s="213"/>
      <c r="H19" s="213"/>
      <c r="I19" s="213"/>
      <c r="J19" s="300"/>
      <c r="K19" s="109"/>
      <c r="L19" s="109"/>
      <c r="M19" s="109"/>
      <c r="N19" s="109"/>
      <c r="O19" s="109"/>
      <c r="P19" s="109"/>
      <c r="Q19" s="109"/>
      <c r="R19" s="109"/>
      <c r="S19" s="109"/>
      <c r="T19" s="109"/>
      <c r="U19" s="109"/>
      <c r="V19" s="109"/>
      <c r="W19" s="109"/>
      <c r="X19" s="109"/>
      <c r="Y19" s="109"/>
      <c r="Z19" s="109"/>
    </row>
    <row r="20" spans="1:26" ht="16.5" customHeight="1" x14ac:dyDescent="0.35">
      <c r="A20" s="109"/>
      <c r="B20" s="262"/>
      <c r="C20" s="263"/>
      <c r="D20" s="263"/>
      <c r="E20" s="263"/>
      <c r="F20" s="263"/>
      <c r="G20" s="263"/>
      <c r="H20" s="263"/>
      <c r="I20" s="263"/>
      <c r="J20" s="264"/>
      <c r="K20" s="109"/>
      <c r="L20" s="109"/>
      <c r="M20" s="109"/>
      <c r="N20" s="109"/>
      <c r="O20" s="109"/>
      <c r="P20" s="109"/>
      <c r="Q20" s="109"/>
      <c r="R20" s="109"/>
      <c r="S20" s="109"/>
      <c r="T20" s="109"/>
      <c r="U20" s="109"/>
      <c r="V20" s="109"/>
      <c r="W20" s="109"/>
      <c r="X20" s="109"/>
      <c r="Y20" s="109"/>
      <c r="Z20" s="109"/>
    </row>
    <row r="21" spans="1:26" ht="16.5" customHeight="1" x14ac:dyDescent="0.35">
      <c r="A21" s="109"/>
      <c r="B21" s="298" t="s">
        <v>134</v>
      </c>
      <c r="C21" s="220"/>
      <c r="D21" s="220"/>
      <c r="E21" s="220"/>
      <c r="F21" s="220"/>
      <c r="G21" s="220"/>
      <c r="H21" s="220"/>
      <c r="I21" s="220"/>
      <c r="J21" s="221"/>
      <c r="K21" s="109"/>
      <c r="L21" s="109"/>
      <c r="M21" s="109"/>
      <c r="N21" s="109"/>
      <c r="O21" s="109"/>
      <c r="P21" s="109"/>
      <c r="Q21" s="109"/>
      <c r="R21" s="109"/>
      <c r="S21" s="109"/>
      <c r="T21" s="109"/>
      <c r="U21" s="109"/>
      <c r="V21" s="109"/>
      <c r="W21" s="109"/>
      <c r="X21" s="109"/>
      <c r="Y21" s="109"/>
      <c r="Z21" s="109"/>
    </row>
    <row r="22" spans="1:26" ht="16.5" customHeight="1" x14ac:dyDescent="0.35">
      <c r="A22" s="109"/>
      <c r="B22" s="299"/>
      <c r="C22" s="213"/>
      <c r="D22" s="213"/>
      <c r="E22" s="213"/>
      <c r="F22" s="213"/>
      <c r="G22" s="213"/>
      <c r="H22" s="213"/>
      <c r="I22" s="213"/>
      <c r="J22" s="300"/>
      <c r="K22" s="109"/>
      <c r="L22" s="109"/>
      <c r="M22" s="109"/>
      <c r="N22" s="109"/>
      <c r="O22" s="109"/>
      <c r="P22" s="109"/>
      <c r="Q22" s="109"/>
      <c r="R22" s="109"/>
      <c r="S22" s="109"/>
      <c r="T22" s="109"/>
      <c r="U22" s="109"/>
      <c r="V22" s="109"/>
      <c r="W22" s="109"/>
      <c r="X22" s="109"/>
      <c r="Y22" s="109"/>
      <c r="Z22" s="109"/>
    </row>
    <row r="23" spans="1:26" ht="16.5" customHeight="1" x14ac:dyDescent="0.35">
      <c r="A23" s="109"/>
      <c r="B23" s="262"/>
      <c r="C23" s="263"/>
      <c r="D23" s="263"/>
      <c r="E23" s="263"/>
      <c r="F23" s="263"/>
      <c r="G23" s="263"/>
      <c r="H23" s="263"/>
      <c r="I23" s="263"/>
      <c r="J23" s="264"/>
      <c r="K23" s="109"/>
      <c r="L23" s="109"/>
      <c r="M23" s="109"/>
      <c r="N23" s="109"/>
      <c r="O23" s="109"/>
      <c r="P23" s="109"/>
      <c r="Q23" s="109"/>
      <c r="R23" s="109"/>
      <c r="S23" s="109"/>
      <c r="T23" s="109"/>
      <c r="U23" s="109"/>
      <c r="V23" s="109"/>
      <c r="W23" s="109"/>
      <c r="X23" s="109"/>
      <c r="Y23" s="109"/>
      <c r="Z23" s="109"/>
    </row>
    <row r="24" spans="1:26" ht="16.5" customHeight="1" x14ac:dyDescent="0.35">
      <c r="A24" s="109"/>
      <c r="B24" s="298" t="s">
        <v>135</v>
      </c>
      <c r="C24" s="220"/>
      <c r="D24" s="220"/>
      <c r="E24" s="220"/>
      <c r="F24" s="220"/>
      <c r="G24" s="220"/>
      <c r="H24" s="220"/>
      <c r="I24" s="220"/>
      <c r="J24" s="221"/>
      <c r="K24" s="109"/>
      <c r="L24" s="109"/>
      <c r="M24" s="109"/>
      <c r="N24" s="109"/>
      <c r="O24" s="109"/>
      <c r="P24" s="109"/>
      <c r="Q24" s="109"/>
      <c r="R24" s="109"/>
      <c r="S24" s="109"/>
      <c r="T24" s="109"/>
      <c r="U24" s="109"/>
      <c r="V24" s="109"/>
      <c r="W24" s="109"/>
      <c r="X24" s="109"/>
      <c r="Y24" s="109"/>
      <c r="Z24" s="109"/>
    </row>
    <row r="25" spans="1:26" ht="16.5" customHeight="1" x14ac:dyDescent="0.35">
      <c r="A25" s="109"/>
      <c r="B25" s="299"/>
      <c r="C25" s="213"/>
      <c r="D25" s="213"/>
      <c r="E25" s="213"/>
      <c r="F25" s="213"/>
      <c r="G25" s="213"/>
      <c r="H25" s="213"/>
      <c r="I25" s="213"/>
      <c r="J25" s="300"/>
      <c r="K25" s="109"/>
      <c r="L25" s="109"/>
      <c r="M25" s="109"/>
      <c r="N25" s="109"/>
      <c r="O25" s="109"/>
      <c r="P25" s="109"/>
      <c r="Q25" s="109"/>
      <c r="R25" s="109"/>
      <c r="S25" s="109"/>
      <c r="T25" s="109"/>
      <c r="U25" s="109"/>
      <c r="V25" s="109"/>
      <c r="W25" s="109"/>
      <c r="X25" s="109"/>
      <c r="Y25" s="109"/>
      <c r="Z25" s="109"/>
    </row>
    <row r="26" spans="1:26" ht="16.5" customHeight="1" x14ac:dyDescent="0.35">
      <c r="A26" s="109"/>
      <c r="B26" s="262"/>
      <c r="C26" s="263"/>
      <c r="D26" s="263"/>
      <c r="E26" s="263"/>
      <c r="F26" s="263"/>
      <c r="G26" s="263"/>
      <c r="H26" s="263"/>
      <c r="I26" s="263"/>
      <c r="J26" s="264"/>
      <c r="K26" s="109"/>
      <c r="L26" s="109"/>
      <c r="M26" s="109"/>
      <c r="N26" s="109"/>
      <c r="O26" s="109"/>
      <c r="P26" s="109"/>
      <c r="Q26" s="109"/>
      <c r="R26" s="109"/>
      <c r="S26" s="109"/>
      <c r="T26" s="109"/>
      <c r="U26" s="109"/>
      <c r="V26" s="109"/>
      <c r="W26" s="109"/>
      <c r="X26" s="109"/>
      <c r="Y26" s="109"/>
      <c r="Z26" s="109"/>
    </row>
    <row r="27" spans="1:26" ht="16.5" customHeight="1" x14ac:dyDescent="0.35">
      <c r="A27" s="109"/>
      <c r="B27" s="298" t="s">
        <v>136</v>
      </c>
      <c r="C27" s="220"/>
      <c r="D27" s="220"/>
      <c r="E27" s="220"/>
      <c r="F27" s="220"/>
      <c r="G27" s="220"/>
      <c r="H27" s="220"/>
      <c r="I27" s="220"/>
      <c r="J27" s="221"/>
      <c r="K27" s="109"/>
      <c r="L27" s="109"/>
      <c r="M27" s="109"/>
      <c r="N27" s="109"/>
      <c r="O27" s="109"/>
      <c r="P27" s="109"/>
      <c r="Q27" s="109"/>
      <c r="R27" s="109"/>
      <c r="S27" s="109"/>
      <c r="T27" s="109"/>
      <c r="U27" s="109"/>
      <c r="V27" s="109"/>
      <c r="W27" s="109"/>
      <c r="X27" s="109"/>
      <c r="Y27" s="109"/>
      <c r="Z27" s="109"/>
    </row>
    <row r="28" spans="1:26" ht="16.5" customHeight="1" x14ac:dyDescent="0.35">
      <c r="A28" s="109"/>
      <c r="B28" s="299"/>
      <c r="C28" s="213"/>
      <c r="D28" s="213"/>
      <c r="E28" s="213"/>
      <c r="F28" s="213"/>
      <c r="G28" s="213"/>
      <c r="H28" s="213"/>
      <c r="I28" s="213"/>
      <c r="J28" s="300"/>
      <c r="K28" s="109"/>
      <c r="L28" s="109"/>
      <c r="M28" s="109"/>
      <c r="N28" s="109"/>
      <c r="O28" s="109"/>
      <c r="P28" s="109"/>
      <c r="Q28" s="109"/>
      <c r="R28" s="109"/>
      <c r="S28" s="109"/>
      <c r="T28" s="109"/>
      <c r="U28" s="109"/>
      <c r="V28" s="109"/>
      <c r="W28" s="109"/>
      <c r="X28" s="109"/>
      <c r="Y28" s="109"/>
      <c r="Z28" s="109"/>
    </row>
    <row r="29" spans="1:26" ht="16.5" customHeight="1" x14ac:dyDescent="0.35">
      <c r="A29" s="109"/>
      <c r="B29" s="262"/>
      <c r="C29" s="263"/>
      <c r="D29" s="263"/>
      <c r="E29" s="263"/>
      <c r="F29" s="263"/>
      <c r="G29" s="263"/>
      <c r="H29" s="263"/>
      <c r="I29" s="263"/>
      <c r="J29" s="264"/>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01" t="s">
        <v>138</v>
      </c>
      <c r="C2" s="213"/>
      <c r="D2" s="213"/>
      <c r="E2" s="213"/>
      <c r="F2" s="213"/>
      <c r="G2" s="213"/>
      <c r="H2" s="213"/>
      <c r="I2" s="213"/>
      <c r="J2" s="213"/>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4to de Secundaria</v>
      </c>
      <c r="E5" s="109"/>
      <c r="F5" s="109"/>
      <c r="G5" s="109"/>
      <c r="H5" s="110" t="s">
        <v>23</v>
      </c>
      <c r="I5" s="67">
        <f ca="1">TODAY()</f>
        <v>44421</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20.399999999999999" x14ac:dyDescent="0.35">
      <c r="A7" s="109"/>
      <c r="B7" s="114" t="s">
        <v>96</v>
      </c>
      <c r="C7" s="113" t="s">
        <v>116</v>
      </c>
      <c r="D7" s="114" t="s">
        <v>117</v>
      </c>
      <c r="E7" s="115" t="s">
        <v>118</v>
      </c>
      <c r="F7" s="109"/>
      <c r="G7" s="116" t="s">
        <v>119</v>
      </c>
      <c r="H7" s="114">
        <f>'VAL 2 TRIM'!$AO$9</f>
        <v>22</v>
      </c>
      <c r="I7" s="117">
        <f>H7/H11</f>
        <v>0.61111111111111116</v>
      </c>
      <c r="J7" s="109"/>
      <c r="K7" s="109"/>
      <c r="L7" s="109"/>
      <c r="M7" s="109"/>
      <c r="N7" s="109"/>
      <c r="O7" s="109"/>
      <c r="P7" s="109"/>
      <c r="Q7" s="109"/>
      <c r="R7" s="109"/>
      <c r="S7" s="109"/>
      <c r="T7" s="109"/>
      <c r="U7" s="109"/>
      <c r="V7" s="109"/>
      <c r="W7" s="109"/>
      <c r="X7" s="109"/>
      <c r="Y7" s="109"/>
      <c r="Z7" s="109"/>
    </row>
    <row r="8" spans="1:26" ht="20.399999999999999" x14ac:dyDescent="0.35">
      <c r="A8" s="109"/>
      <c r="B8" s="114" t="s">
        <v>97</v>
      </c>
      <c r="C8" s="113" t="s">
        <v>120</v>
      </c>
      <c r="D8" s="114" t="s">
        <v>121</v>
      </c>
      <c r="E8" s="115" t="s">
        <v>122</v>
      </c>
      <c r="F8" s="109"/>
      <c r="G8" s="116" t="s">
        <v>123</v>
      </c>
      <c r="H8" s="114">
        <f>'VAL 2 TRIM'!$AO$10</f>
        <v>2</v>
      </c>
      <c r="I8" s="117">
        <f>H8/H11</f>
        <v>5.5555555555555552E-2</v>
      </c>
      <c r="J8" s="109"/>
      <c r="K8" s="109"/>
      <c r="L8" s="109"/>
      <c r="M8" s="109"/>
      <c r="N8" s="109"/>
      <c r="O8" s="109"/>
      <c r="P8" s="109"/>
      <c r="Q8" s="109"/>
      <c r="R8" s="109"/>
      <c r="S8" s="109"/>
      <c r="T8" s="109"/>
      <c r="U8" s="109"/>
      <c r="V8" s="109"/>
      <c r="W8" s="109"/>
      <c r="X8" s="109"/>
      <c r="Y8" s="109"/>
      <c r="Z8" s="109"/>
    </row>
    <row r="9" spans="1:26" ht="20.399999999999999" x14ac:dyDescent="0.35">
      <c r="A9" s="109"/>
      <c r="B9" s="114" t="s">
        <v>98</v>
      </c>
      <c r="C9" s="113" t="s">
        <v>124</v>
      </c>
      <c r="D9" s="114" t="s">
        <v>125</v>
      </c>
      <c r="E9" s="115" t="s">
        <v>122</v>
      </c>
      <c r="F9" s="109"/>
      <c r="G9" s="118" t="s">
        <v>126</v>
      </c>
      <c r="H9" s="114">
        <f>'VAL 2 TRIM'!$AO$11</f>
        <v>1</v>
      </c>
      <c r="I9" s="117">
        <f>H9/H11</f>
        <v>2.7777777777777776E-2</v>
      </c>
      <c r="J9" s="109"/>
      <c r="K9" s="109"/>
      <c r="L9" s="109"/>
      <c r="M9" s="109"/>
      <c r="N9" s="109"/>
      <c r="O9" s="109"/>
      <c r="P9" s="109"/>
      <c r="Q9" s="109"/>
      <c r="R9" s="109"/>
      <c r="S9" s="109"/>
      <c r="T9" s="109"/>
      <c r="U9" s="109"/>
      <c r="V9" s="109"/>
      <c r="W9" s="109"/>
      <c r="X9" s="109"/>
      <c r="Y9" s="109"/>
      <c r="Z9" s="109"/>
    </row>
    <row r="10" spans="1:26" ht="20.399999999999999" x14ac:dyDescent="0.35">
      <c r="A10" s="109"/>
      <c r="B10" s="114" t="s">
        <v>99</v>
      </c>
      <c r="C10" s="113" t="s">
        <v>127</v>
      </c>
      <c r="D10" s="114" t="s">
        <v>128</v>
      </c>
      <c r="E10" s="115" t="s">
        <v>122</v>
      </c>
      <c r="F10" s="109"/>
      <c r="G10" s="118" t="s">
        <v>129</v>
      </c>
      <c r="H10" s="114">
        <f>'VAL 2 TRIM'!$AO$12</f>
        <v>11</v>
      </c>
      <c r="I10" s="117">
        <f>H10/H11</f>
        <v>0.30555555555555558</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02" t="s">
        <v>131</v>
      </c>
      <c r="C13" s="213"/>
      <c r="D13" s="213"/>
      <c r="E13" s="213"/>
      <c r="F13" s="213"/>
      <c r="G13" s="213"/>
      <c r="H13" s="213"/>
      <c r="I13" s="213"/>
      <c r="J13" s="213"/>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298" t="s">
        <v>132</v>
      </c>
      <c r="C15" s="220"/>
      <c r="D15" s="220"/>
      <c r="E15" s="220"/>
      <c r="F15" s="220"/>
      <c r="G15" s="220"/>
      <c r="H15" s="220"/>
      <c r="I15" s="220"/>
      <c r="J15" s="221"/>
      <c r="K15" s="109"/>
      <c r="L15" s="109"/>
      <c r="M15" s="109"/>
      <c r="N15" s="109"/>
      <c r="O15" s="109"/>
      <c r="P15" s="109"/>
      <c r="Q15" s="109"/>
      <c r="R15" s="109"/>
      <c r="S15" s="109"/>
      <c r="T15" s="109"/>
      <c r="U15" s="109"/>
      <c r="V15" s="109"/>
      <c r="W15" s="109"/>
      <c r="X15" s="109"/>
      <c r="Y15" s="109"/>
      <c r="Z15" s="109"/>
    </row>
    <row r="16" spans="1:26" ht="16.5" customHeight="1" x14ac:dyDescent="0.35">
      <c r="A16" s="109"/>
      <c r="B16" s="299"/>
      <c r="C16" s="213"/>
      <c r="D16" s="213"/>
      <c r="E16" s="213"/>
      <c r="F16" s="213"/>
      <c r="G16" s="213"/>
      <c r="H16" s="213"/>
      <c r="I16" s="213"/>
      <c r="J16" s="300"/>
      <c r="K16" s="109"/>
      <c r="L16" s="109"/>
      <c r="M16" s="109"/>
      <c r="N16" s="109"/>
      <c r="O16" s="109"/>
      <c r="P16" s="109"/>
      <c r="Q16" s="109"/>
      <c r="R16" s="109"/>
      <c r="S16" s="109"/>
      <c r="T16" s="109"/>
      <c r="U16" s="109"/>
      <c r="V16" s="109"/>
      <c r="W16" s="109"/>
      <c r="X16" s="109"/>
      <c r="Y16" s="109"/>
      <c r="Z16" s="109"/>
    </row>
    <row r="17" spans="1:26" ht="16.5" customHeight="1" x14ac:dyDescent="0.35">
      <c r="A17" s="109"/>
      <c r="B17" s="262"/>
      <c r="C17" s="263"/>
      <c r="D17" s="263"/>
      <c r="E17" s="263"/>
      <c r="F17" s="263"/>
      <c r="G17" s="263"/>
      <c r="H17" s="263"/>
      <c r="I17" s="263"/>
      <c r="J17" s="264"/>
      <c r="K17" s="109"/>
      <c r="L17" s="109"/>
      <c r="M17" s="109"/>
      <c r="N17" s="109"/>
      <c r="O17" s="109"/>
      <c r="P17" s="109"/>
      <c r="Q17" s="109"/>
      <c r="R17" s="109"/>
      <c r="S17" s="109"/>
      <c r="T17" s="109"/>
      <c r="U17" s="109"/>
      <c r="V17" s="109"/>
      <c r="W17" s="109"/>
      <c r="X17" s="109"/>
      <c r="Y17" s="109"/>
      <c r="Z17" s="109"/>
    </row>
    <row r="18" spans="1:26" ht="16.5" customHeight="1" x14ac:dyDescent="0.35">
      <c r="A18" s="109"/>
      <c r="B18" s="298" t="s">
        <v>133</v>
      </c>
      <c r="C18" s="220"/>
      <c r="D18" s="220"/>
      <c r="E18" s="220"/>
      <c r="F18" s="220"/>
      <c r="G18" s="220"/>
      <c r="H18" s="220"/>
      <c r="I18" s="220"/>
      <c r="J18" s="221"/>
      <c r="K18" s="109"/>
      <c r="L18" s="109"/>
      <c r="M18" s="109"/>
      <c r="N18" s="109"/>
      <c r="O18" s="109"/>
      <c r="P18" s="109"/>
      <c r="Q18" s="109"/>
      <c r="R18" s="109"/>
      <c r="S18" s="109"/>
      <c r="T18" s="109"/>
      <c r="U18" s="109"/>
      <c r="V18" s="109"/>
      <c r="W18" s="109"/>
      <c r="X18" s="109"/>
      <c r="Y18" s="109"/>
      <c r="Z18" s="109"/>
    </row>
    <row r="19" spans="1:26" ht="16.5" customHeight="1" x14ac:dyDescent="0.35">
      <c r="A19" s="109"/>
      <c r="B19" s="299"/>
      <c r="C19" s="213"/>
      <c r="D19" s="213"/>
      <c r="E19" s="213"/>
      <c r="F19" s="213"/>
      <c r="G19" s="213"/>
      <c r="H19" s="213"/>
      <c r="I19" s="213"/>
      <c r="J19" s="300"/>
      <c r="K19" s="109"/>
      <c r="L19" s="109"/>
      <c r="M19" s="109"/>
      <c r="N19" s="109"/>
      <c r="O19" s="109"/>
      <c r="P19" s="109"/>
      <c r="Q19" s="109"/>
      <c r="R19" s="109"/>
      <c r="S19" s="109"/>
      <c r="T19" s="109"/>
      <c r="U19" s="109"/>
      <c r="V19" s="109"/>
      <c r="W19" s="109"/>
      <c r="X19" s="109"/>
      <c r="Y19" s="109"/>
      <c r="Z19" s="109"/>
    </row>
    <row r="20" spans="1:26" ht="16.5" customHeight="1" x14ac:dyDescent="0.35">
      <c r="A20" s="109"/>
      <c r="B20" s="262"/>
      <c r="C20" s="263"/>
      <c r="D20" s="263"/>
      <c r="E20" s="263"/>
      <c r="F20" s="263"/>
      <c r="G20" s="263"/>
      <c r="H20" s="263"/>
      <c r="I20" s="263"/>
      <c r="J20" s="264"/>
      <c r="K20" s="109"/>
      <c r="L20" s="109"/>
      <c r="M20" s="109"/>
      <c r="N20" s="109"/>
      <c r="O20" s="109"/>
      <c r="P20" s="109"/>
      <c r="Q20" s="109"/>
      <c r="R20" s="109"/>
      <c r="S20" s="109"/>
      <c r="T20" s="109"/>
      <c r="U20" s="109"/>
      <c r="V20" s="109"/>
      <c r="W20" s="109"/>
      <c r="X20" s="109"/>
      <c r="Y20" s="109"/>
      <c r="Z20" s="109"/>
    </row>
    <row r="21" spans="1:26" ht="16.5" customHeight="1" x14ac:dyDescent="0.35">
      <c r="A21" s="109"/>
      <c r="B21" s="298" t="s">
        <v>134</v>
      </c>
      <c r="C21" s="220"/>
      <c r="D21" s="220"/>
      <c r="E21" s="220"/>
      <c r="F21" s="220"/>
      <c r="G21" s="220"/>
      <c r="H21" s="220"/>
      <c r="I21" s="220"/>
      <c r="J21" s="221"/>
      <c r="K21" s="109"/>
      <c r="L21" s="109"/>
      <c r="M21" s="109"/>
      <c r="N21" s="109"/>
      <c r="O21" s="109"/>
      <c r="P21" s="109"/>
      <c r="Q21" s="109"/>
      <c r="R21" s="109"/>
      <c r="S21" s="109"/>
      <c r="T21" s="109"/>
      <c r="U21" s="109"/>
      <c r="V21" s="109"/>
      <c r="W21" s="109"/>
      <c r="X21" s="109"/>
      <c r="Y21" s="109"/>
      <c r="Z21" s="109"/>
    </row>
    <row r="22" spans="1:26" ht="16.5" customHeight="1" x14ac:dyDescent="0.35">
      <c r="A22" s="109"/>
      <c r="B22" s="299"/>
      <c r="C22" s="213"/>
      <c r="D22" s="213"/>
      <c r="E22" s="213"/>
      <c r="F22" s="213"/>
      <c r="G22" s="213"/>
      <c r="H22" s="213"/>
      <c r="I22" s="213"/>
      <c r="J22" s="300"/>
      <c r="K22" s="109"/>
      <c r="L22" s="109"/>
      <c r="M22" s="109"/>
      <c r="N22" s="109"/>
      <c r="O22" s="109"/>
      <c r="P22" s="109"/>
      <c r="Q22" s="109"/>
      <c r="R22" s="109"/>
      <c r="S22" s="109"/>
      <c r="T22" s="109"/>
      <c r="U22" s="109"/>
      <c r="V22" s="109"/>
      <c r="W22" s="109"/>
      <c r="X22" s="109"/>
      <c r="Y22" s="109"/>
      <c r="Z22" s="109"/>
    </row>
    <row r="23" spans="1:26" ht="16.5" customHeight="1" x14ac:dyDescent="0.35">
      <c r="A23" s="109"/>
      <c r="B23" s="262"/>
      <c r="C23" s="263"/>
      <c r="D23" s="263"/>
      <c r="E23" s="263"/>
      <c r="F23" s="263"/>
      <c r="G23" s="263"/>
      <c r="H23" s="263"/>
      <c r="I23" s="263"/>
      <c r="J23" s="264"/>
      <c r="K23" s="109"/>
      <c r="L23" s="109"/>
      <c r="M23" s="109"/>
      <c r="N23" s="109"/>
      <c r="O23" s="109"/>
      <c r="P23" s="109"/>
      <c r="Q23" s="109"/>
      <c r="R23" s="109"/>
      <c r="S23" s="109"/>
      <c r="T23" s="109"/>
      <c r="U23" s="109"/>
      <c r="V23" s="109"/>
      <c r="W23" s="109"/>
      <c r="X23" s="109"/>
      <c r="Y23" s="109"/>
      <c r="Z23" s="109"/>
    </row>
    <row r="24" spans="1:26" ht="16.5" customHeight="1" x14ac:dyDescent="0.35">
      <c r="A24" s="109"/>
      <c r="B24" s="298" t="s">
        <v>135</v>
      </c>
      <c r="C24" s="220"/>
      <c r="D24" s="220"/>
      <c r="E24" s="220"/>
      <c r="F24" s="220"/>
      <c r="G24" s="220"/>
      <c r="H24" s="220"/>
      <c r="I24" s="220"/>
      <c r="J24" s="221"/>
      <c r="K24" s="109"/>
      <c r="L24" s="109"/>
      <c r="M24" s="109"/>
      <c r="N24" s="109"/>
      <c r="O24" s="109"/>
      <c r="P24" s="109"/>
      <c r="Q24" s="109"/>
      <c r="R24" s="109"/>
      <c r="S24" s="109"/>
      <c r="T24" s="109"/>
      <c r="U24" s="109"/>
      <c r="V24" s="109"/>
      <c r="W24" s="109"/>
      <c r="X24" s="109"/>
      <c r="Y24" s="109"/>
      <c r="Z24" s="109"/>
    </row>
    <row r="25" spans="1:26" ht="16.5" customHeight="1" x14ac:dyDescent="0.35">
      <c r="A25" s="109"/>
      <c r="B25" s="299"/>
      <c r="C25" s="213"/>
      <c r="D25" s="213"/>
      <c r="E25" s="213"/>
      <c r="F25" s="213"/>
      <c r="G25" s="213"/>
      <c r="H25" s="213"/>
      <c r="I25" s="213"/>
      <c r="J25" s="300"/>
      <c r="K25" s="109"/>
      <c r="L25" s="109"/>
      <c r="M25" s="109"/>
      <c r="N25" s="109"/>
      <c r="O25" s="109"/>
      <c r="P25" s="109"/>
      <c r="Q25" s="109"/>
      <c r="R25" s="109"/>
      <c r="S25" s="109"/>
      <c r="T25" s="109"/>
      <c r="U25" s="109"/>
      <c r="V25" s="109"/>
      <c r="W25" s="109"/>
      <c r="X25" s="109"/>
      <c r="Y25" s="109"/>
      <c r="Z25" s="109"/>
    </row>
    <row r="26" spans="1:26" ht="16.5" customHeight="1" x14ac:dyDescent="0.35">
      <c r="A26" s="109"/>
      <c r="B26" s="262"/>
      <c r="C26" s="263"/>
      <c r="D26" s="263"/>
      <c r="E26" s="263"/>
      <c r="F26" s="263"/>
      <c r="G26" s="263"/>
      <c r="H26" s="263"/>
      <c r="I26" s="263"/>
      <c r="J26" s="264"/>
      <c r="K26" s="109"/>
      <c r="L26" s="109"/>
      <c r="M26" s="109"/>
      <c r="N26" s="109"/>
      <c r="O26" s="109"/>
      <c r="P26" s="109"/>
      <c r="Q26" s="109"/>
      <c r="R26" s="109"/>
      <c r="S26" s="109"/>
      <c r="T26" s="109"/>
      <c r="U26" s="109"/>
      <c r="V26" s="109"/>
      <c r="W26" s="109"/>
      <c r="X26" s="109"/>
      <c r="Y26" s="109"/>
      <c r="Z26" s="109"/>
    </row>
    <row r="27" spans="1:26" ht="16.5" customHeight="1" x14ac:dyDescent="0.35">
      <c r="A27" s="109"/>
      <c r="B27" s="298" t="s">
        <v>136</v>
      </c>
      <c r="C27" s="220"/>
      <c r="D27" s="220"/>
      <c r="E27" s="220"/>
      <c r="F27" s="220"/>
      <c r="G27" s="220"/>
      <c r="H27" s="220"/>
      <c r="I27" s="220"/>
      <c r="J27" s="221"/>
      <c r="K27" s="109"/>
      <c r="L27" s="109"/>
      <c r="M27" s="109"/>
      <c r="N27" s="109"/>
      <c r="O27" s="109"/>
      <c r="P27" s="109"/>
      <c r="Q27" s="109"/>
      <c r="R27" s="109"/>
      <c r="S27" s="109"/>
      <c r="T27" s="109"/>
      <c r="U27" s="109"/>
      <c r="V27" s="109"/>
      <c r="W27" s="109"/>
      <c r="X27" s="109"/>
      <c r="Y27" s="109"/>
      <c r="Z27" s="109"/>
    </row>
    <row r="28" spans="1:26" ht="16.5" customHeight="1" x14ac:dyDescent="0.35">
      <c r="A28" s="109"/>
      <c r="B28" s="299"/>
      <c r="C28" s="213"/>
      <c r="D28" s="213"/>
      <c r="E28" s="213"/>
      <c r="F28" s="213"/>
      <c r="G28" s="213"/>
      <c r="H28" s="213"/>
      <c r="I28" s="213"/>
      <c r="J28" s="300"/>
      <c r="K28" s="109"/>
      <c r="L28" s="109"/>
      <c r="M28" s="109"/>
      <c r="N28" s="109"/>
      <c r="O28" s="109"/>
      <c r="P28" s="109"/>
      <c r="Q28" s="109"/>
      <c r="R28" s="109"/>
      <c r="S28" s="109"/>
      <c r="T28" s="109"/>
      <c r="U28" s="109"/>
      <c r="V28" s="109"/>
      <c r="W28" s="109"/>
      <c r="X28" s="109"/>
      <c r="Y28" s="109"/>
      <c r="Z28" s="109"/>
    </row>
    <row r="29" spans="1:26" ht="16.5" customHeight="1" x14ac:dyDescent="0.35">
      <c r="A29" s="109"/>
      <c r="B29" s="262"/>
      <c r="C29" s="263"/>
      <c r="D29" s="263"/>
      <c r="E29" s="263"/>
      <c r="F29" s="263"/>
      <c r="G29" s="263"/>
      <c r="H29" s="263"/>
      <c r="I29" s="263"/>
      <c r="J29" s="264"/>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01" t="s">
        <v>139</v>
      </c>
      <c r="C2" s="213"/>
      <c r="D2" s="213"/>
      <c r="E2" s="213"/>
      <c r="F2" s="213"/>
      <c r="G2" s="213"/>
      <c r="H2" s="213"/>
      <c r="I2" s="213"/>
      <c r="J2" s="213"/>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4to de Secundaria</v>
      </c>
      <c r="E5" s="109"/>
      <c r="F5" s="109"/>
      <c r="G5" s="109"/>
      <c r="H5" s="110" t="s">
        <v>23</v>
      </c>
      <c r="I5" s="67">
        <f ca="1">TODAY()</f>
        <v>44421</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20.399999999999999" x14ac:dyDescent="0.35">
      <c r="A7" s="109"/>
      <c r="B7" s="114" t="s">
        <v>96</v>
      </c>
      <c r="C7" s="113" t="s">
        <v>116</v>
      </c>
      <c r="D7" s="114" t="s">
        <v>117</v>
      </c>
      <c r="E7" s="115" t="s">
        <v>118</v>
      </c>
      <c r="F7" s="109"/>
      <c r="G7" s="116" t="s">
        <v>119</v>
      </c>
      <c r="H7" s="114">
        <f>'VAL 3 TRIM'!$AO$9</f>
        <v>0</v>
      </c>
      <c r="I7" s="117">
        <f>H7/H11</f>
        <v>0</v>
      </c>
      <c r="J7" s="109"/>
      <c r="K7" s="109"/>
      <c r="L7" s="109"/>
      <c r="M7" s="109"/>
      <c r="N7" s="109"/>
      <c r="O7" s="109"/>
      <c r="P7" s="109"/>
      <c r="Q7" s="109"/>
      <c r="R7" s="109"/>
      <c r="S7" s="109"/>
      <c r="T7" s="109"/>
      <c r="U7" s="109"/>
      <c r="V7" s="109"/>
      <c r="W7" s="109"/>
      <c r="X7" s="109"/>
      <c r="Y7" s="109"/>
      <c r="Z7" s="109"/>
    </row>
    <row r="8" spans="1:26" ht="20.399999999999999" x14ac:dyDescent="0.35">
      <c r="A8" s="109"/>
      <c r="B8" s="114" t="s">
        <v>97</v>
      </c>
      <c r="C8" s="113" t="s">
        <v>120</v>
      </c>
      <c r="D8" s="114" t="s">
        <v>121</v>
      </c>
      <c r="E8" s="115" t="s">
        <v>122</v>
      </c>
      <c r="F8" s="109"/>
      <c r="G8" s="116" t="s">
        <v>123</v>
      </c>
      <c r="H8" s="114">
        <f>'VAL 3 TRIM'!$AO$10</f>
        <v>0</v>
      </c>
      <c r="I8" s="117">
        <f>H8/H11</f>
        <v>0</v>
      </c>
      <c r="J8" s="109"/>
      <c r="K8" s="109"/>
      <c r="L8" s="109"/>
      <c r="M8" s="109"/>
      <c r="N8" s="109"/>
      <c r="O8" s="109"/>
      <c r="P8" s="109"/>
      <c r="Q8" s="109"/>
      <c r="R8" s="109"/>
      <c r="S8" s="109"/>
      <c r="T8" s="109"/>
      <c r="U8" s="109"/>
      <c r="V8" s="109"/>
      <c r="W8" s="109"/>
      <c r="X8" s="109"/>
      <c r="Y8" s="109"/>
      <c r="Z8" s="109"/>
    </row>
    <row r="9" spans="1:26" ht="20.399999999999999" x14ac:dyDescent="0.35">
      <c r="A9" s="109"/>
      <c r="B9" s="114" t="s">
        <v>98</v>
      </c>
      <c r="C9" s="113" t="s">
        <v>124</v>
      </c>
      <c r="D9" s="114" t="s">
        <v>125</v>
      </c>
      <c r="E9" s="115" t="s">
        <v>122</v>
      </c>
      <c r="F9" s="109"/>
      <c r="G9" s="118" t="s">
        <v>126</v>
      </c>
      <c r="H9" s="114">
        <f>'VAL 3 TRIM'!$AO$11</f>
        <v>0</v>
      </c>
      <c r="I9" s="117">
        <f>H9/H11</f>
        <v>0</v>
      </c>
      <c r="J9" s="109"/>
      <c r="K9" s="109"/>
      <c r="L9" s="109"/>
      <c r="M9" s="109"/>
      <c r="N9" s="109"/>
      <c r="O9" s="109"/>
      <c r="P9" s="109"/>
      <c r="Q9" s="109"/>
      <c r="R9" s="109"/>
      <c r="S9" s="109"/>
      <c r="T9" s="109"/>
      <c r="U9" s="109"/>
      <c r="V9" s="109"/>
      <c r="W9" s="109"/>
      <c r="X9" s="109"/>
      <c r="Y9" s="109"/>
      <c r="Z9" s="109"/>
    </row>
    <row r="10" spans="1:26" ht="20.399999999999999" x14ac:dyDescent="0.35">
      <c r="A10" s="109"/>
      <c r="B10" s="114" t="s">
        <v>99</v>
      </c>
      <c r="C10" s="113" t="s">
        <v>127</v>
      </c>
      <c r="D10" s="114" t="s">
        <v>128</v>
      </c>
      <c r="E10" s="115" t="s">
        <v>122</v>
      </c>
      <c r="F10" s="109"/>
      <c r="G10" s="118" t="s">
        <v>129</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02" t="s">
        <v>131</v>
      </c>
      <c r="C13" s="213"/>
      <c r="D13" s="213"/>
      <c r="E13" s="213"/>
      <c r="F13" s="213"/>
      <c r="G13" s="213"/>
      <c r="H13" s="213"/>
      <c r="I13" s="213"/>
      <c r="J13" s="213"/>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298" t="s">
        <v>132</v>
      </c>
      <c r="C15" s="220"/>
      <c r="D15" s="220"/>
      <c r="E15" s="220"/>
      <c r="F15" s="220"/>
      <c r="G15" s="220"/>
      <c r="H15" s="220"/>
      <c r="I15" s="220"/>
      <c r="J15" s="221"/>
      <c r="K15" s="109"/>
      <c r="L15" s="109"/>
      <c r="M15" s="109"/>
      <c r="N15" s="109"/>
      <c r="O15" s="109"/>
      <c r="P15" s="109"/>
      <c r="Q15" s="109"/>
      <c r="R15" s="109"/>
      <c r="S15" s="109"/>
      <c r="T15" s="109"/>
      <c r="U15" s="109"/>
      <c r="V15" s="109"/>
      <c r="W15" s="109"/>
      <c r="X15" s="109"/>
      <c r="Y15" s="109"/>
      <c r="Z15" s="109"/>
    </row>
    <row r="16" spans="1:26" ht="16.5" customHeight="1" x14ac:dyDescent="0.35">
      <c r="A16" s="109"/>
      <c r="B16" s="299"/>
      <c r="C16" s="213"/>
      <c r="D16" s="213"/>
      <c r="E16" s="213"/>
      <c r="F16" s="213"/>
      <c r="G16" s="213"/>
      <c r="H16" s="213"/>
      <c r="I16" s="213"/>
      <c r="J16" s="300"/>
      <c r="K16" s="109"/>
      <c r="L16" s="109"/>
      <c r="M16" s="109"/>
      <c r="N16" s="109"/>
      <c r="O16" s="109"/>
      <c r="P16" s="109"/>
      <c r="Q16" s="109"/>
      <c r="R16" s="109"/>
      <c r="S16" s="109"/>
      <c r="T16" s="109"/>
      <c r="U16" s="109"/>
      <c r="V16" s="109"/>
      <c r="W16" s="109"/>
      <c r="X16" s="109"/>
      <c r="Y16" s="109"/>
      <c r="Z16" s="109"/>
    </row>
    <row r="17" spans="1:26" ht="16.5" customHeight="1" x14ac:dyDescent="0.35">
      <c r="A17" s="109"/>
      <c r="B17" s="262"/>
      <c r="C17" s="263"/>
      <c r="D17" s="263"/>
      <c r="E17" s="263"/>
      <c r="F17" s="263"/>
      <c r="G17" s="263"/>
      <c r="H17" s="263"/>
      <c r="I17" s="263"/>
      <c r="J17" s="264"/>
      <c r="K17" s="109"/>
      <c r="L17" s="109"/>
      <c r="M17" s="109"/>
      <c r="N17" s="109"/>
      <c r="O17" s="109"/>
      <c r="P17" s="109"/>
      <c r="Q17" s="109"/>
      <c r="R17" s="109"/>
      <c r="S17" s="109"/>
      <c r="T17" s="109"/>
      <c r="U17" s="109"/>
      <c r="V17" s="109"/>
      <c r="W17" s="109"/>
      <c r="X17" s="109"/>
      <c r="Y17" s="109"/>
      <c r="Z17" s="109"/>
    </row>
    <row r="18" spans="1:26" ht="16.5" customHeight="1" x14ac:dyDescent="0.35">
      <c r="A18" s="109"/>
      <c r="B18" s="298" t="s">
        <v>133</v>
      </c>
      <c r="C18" s="220"/>
      <c r="D18" s="220"/>
      <c r="E18" s="220"/>
      <c r="F18" s="220"/>
      <c r="G18" s="220"/>
      <c r="H18" s="220"/>
      <c r="I18" s="220"/>
      <c r="J18" s="221"/>
      <c r="K18" s="109"/>
      <c r="L18" s="109"/>
      <c r="M18" s="109"/>
      <c r="N18" s="109"/>
      <c r="O18" s="109"/>
      <c r="P18" s="109"/>
      <c r="Q18" s="109"/>
      <c r="R18" s="109"/>
      <c r="S18" s="109"/>
      <c r="T18" s="109"/>
      <c r="U18" s="109"/>
      <c r="V18" s="109"/>
      <c r="W18" s="109"/>
      <c r="X18" s="109"/>
      <c r="Y18" s="109"/>
      <c r="Z18" s="109"/>
    </row>
    <row r="19" spans="1:26" ht="16.5" customHeight="1" x14ac:dyDescent="0.35">
      <c r="A19" s="109"/>
      <c r="B19" s="299"/>
      <c r="C19" s="213"/>
      <c r="D19" s="213"/>
      <c r="E19" s="213"/>
      <c r="F19" s="213"/>
      <c r="G19" s="213"/>
      <c r="H19" s="213"/>
      <c r="I19" s="213"/>
      <c r="J19" s="300"/>
      <c r="K19" s="109"/>
      <c r="L19" s="109"/>
      <c r="M19" s="109"/>
      <c r="N19" s="109"/>
      <c r="O19" s="109"/>
      <c r="P19" s="109"/>
      <c r="Q19" s="109"/>
      <c r="R19" s="109"/>
      <c r="S19" s="109"/>
      <c r="T19" s="109"/>
      <c r="U19" s="109"/>
      <c r="V19" s="109"/>
      <c r="W19" s="109"/>
      <c r="X19" s="109"/>
      <c r="Y19" s="109"/>
      <c r="Z19" s="109"/>
    </row>
    <row r="20" spans="1:26" ht="16.5" customHeight="1" x14ac:dyDescent="0.35">
      <c r="A20" s="109"/>
      <c r="B20" s="262"/>
      <c r="C20" s="263"/>
      <c r="D20" s="263"/>
      <c r="E20" s="263"/>
      <c r="F20" s="263"/>
      <c r="G20" s="263"/>
      <c r="H20" s="263"/>
      <c r="I20" s="263"/>
      <c r="J20" s="264"/>
      <c r="K20" s="109"/>
      <c r="L20" s="109"/>
      <c r="M20" s="109"/>
      <c r="N20" s="109"/>
      <c r="O20" s="109"/>
      <c r="P20" s="109"/>
      <c r="Q20" s="109"/>
      <c r="R20" s="109"/>
      <c r="S20" s="109"/>
      <c r="T20" s="109"/>
      <c r="U20" s="109"/>
      <c r="V20" s="109"/>
      <c r="W20" s="109"/>
      <c r="X20" s="109"/>
      <c r="Y20" s="109"/>
      <c r="Z20" s="109"/>
    </row>
    <row r="21" spans="1:26" ht="16.5" customHeight="1" x14ac:dyDescent="0.35">
      <c r="A21" s="109"/>
      <c r="B21" s="298" t="s">
        <v>134</v>
      </c>
      <c r="C21" s="220"/>
      <c r="D21" s="220"/>
      <c r="E21" s="220"/>
      <c r="F21" s="220"/>
      <c r="G21" s="220"/>
      <c r="H21" s="220"/>
      <c r="I21" s="220"/>
      <c r="J21" s="221"/>
      <c r="K21" s="109"/>
      <c r="L21" s="109"/>
      <c r="M21" s="109"/>
      <c r="N21" s="109"/>
      <c r="O21" s="109"/>
      <c r="P21" s="109"/>
      <c r="Q21" s="109"/>
      <c r="R21" s="109"/>
      <c r="S21" s="109"/>
      <c r="T21" s="109"/>
      <c r="U21" s="109"/>
      <c r="V21" s="109"/>
      <c r="W21" s="109"/>
      <c r="X21" s="109"/>
      <c r="Y21" s="109"/>
      <c r="Z21" s="109"/>
    </row>
    <row r="22" spans="1:26" ht="16.5" customHeight="1" x14ac:dyDescent="0.35">
      <c r="A22" s="109"/>
      <c r="B22" s="299"/>
      <c r="C22" s="213"/>
      <c r="D22" s="213"/>
      <c r="E22" s="213"/>
      <c r="F22" s="213"/>
      <c r="G22" s="213"/>
      <c r="H22" s="213"/>
      <c r="I22" s="213"/>
      <c r="J22" s="300"/>
      <c r="K22" s="109"/>
      <c r="L22" s="109"/>
      <c r="M22" s="109"/>
      <c r="N22" s="109"/>
      <c r="O22" s="109"/>
      <c r="P22" s="109"/>
      <c r="Q22" s="109"/>
      <c r="R22" s="109"/>
      <c r="S22" s="109"/>
      <c r="T22" s="109"/>
      <c r="U22" s="109"/>
      <c r="V22" s="109"/>
      <c r="W22" s="109"/>
      <c r="X22" s="109"/>
      <c r="Y22" s="109"/>
      <c r="Z22" s="109"/>
    </row>
    <row r="23" spans="1:26" ht="16.5" customHeight="1" x14ac:dyDescent="0.35">
      <c r="A23" s="109"/>
      <c r="B23" s="262"/>
      <c r="C23" s="263"/>
      <c r="D23" s="263"/>
      <c r="E23" s="263"/>
      <c r="F23" s="263"/>
      <c r="G23" s="263"/>
      <c r="H23" s="263"/>
      <c r="I23" s="263"/>
      <c r="J23" s="264"/>
      <c r="K23" s="109"/>
      <c r="L23" s="109"/>
      <c r="M23" s="109"/>
      <c r="N23" s="109"/>
      <c r="O23" s="109"/>
      <c r="P23" s="109"/>
      <c r="Q23" s="109"/>
      <c r="R23" s="109"/>
      <c r="S23" s="109"/>
      <c r="T23" s="109"/>
      <c r="U23" s="109"/>
      <c r="V23" s="109"/>
      <c r="W23" s="109"/>
      <c r="X23" s="109"/>
      <c r="Y23" s="109"/>
      <c r="Z23" s="109"/>
    </row>
    <row r="24" spans="1:26" ht="16.5" customHeight="1" x14ac:dyDescent="0.35">
      <c r="A24" s="109"/>
      <c r="B24" s="298" t="s">
        <v>135</v>
      </c>
      <c r="C24" s="220"/>
      <c r="D24" s="220"/>
      <c r="E24" s="220"/>
      <c r="F24" s="220"/>
      <c r="G24" s="220"/>
      <c r="H24" s="220"/>
      <c r="I24" s="220"/>
      <c r="J24" s="221"/>
      <c r="K24" s="109"/>
      <c r="L24" s="109"/>
      <c r="M24" s="109"/>
      <c r="N24" s="109"/>
      <c r="O24" s="109"/>
      <c r="P24" s="109"/>
      <c r="Q24" s="109"/>
      <c r="R24" s="109"/>
      <c r="S24" s="109"/>
      <c r="T24" s="109"/>
      <c r="U24" s="109"/>
      <c r="V24" s="109"/>
      <c r="W24" s="109"/>
      <c r="X24" s="109"/>
      <c r="Y24" s="109"/>
      <c r="Z24" s="109"/>
    </row>
    <row r="25" spans="1:26" ht="16.5" customHeight="1" x14ac:dyDescent="0.35">
      <c r="A25" s="109"/>
      <c r="B25" s="299"/>
      <c r="C25" s="213"/>
      <c r="D25" s="213"/>
      <c r="E25" s="213"/>
      <c r="F25" s="213"/>
      <c r="G25" s="213"/>
      <c r="H25" s="213"/>
      <c r="I25" s="213"/>
      <c r="J25" s="300"/>
      <c r="K25" s="109"/>
      <c r="L25" s="109"/>
      <c r="M25" s="109"/>
      <c r="N25" s="109"/>
      <c r="O25" s="109"/>
      <c r="P25" s="109"/>
      <c r="Q25" s="109"/>
      <c r="R25" s="109"/>
      <c r="S25" s="109"/>
      <c r="T25" s="109"/>
      <c r="U25" s="109"/>
      <c r="V25" s="109"/>
      <c r="W25" s="109"/>
      <c r="X25" s="109"/>
      <c r="Y25" s="109"/>
      <c r="Z25" s="109"/>
    </row>
    <row r="26" spans="1:26" ht="16.5" customHeight="1" x14ac:dyDescent="0.35">
      <c r="A26" s="109"/>
      <c r="B26" s="262"/>
      <c r="C26" s="263"/>
      <c r="D26" s="263"/>
      <c r="E26" s="263"/>
      <c r="F26" s="263"/>
      <c r="G26" s="263"/>
      <c r="H26" s="263"/>
      <c r="I26" s="263"/>
      <c r="J26" s="264"/>
      <c r="K26" s="109"/>
      <c r="L26" s="109"/>
      <c r="M26" s="109"/>
      <c r="N26" s="109"/>
      <c r="O26" s="109"/>
      <c r="P26" s="109"/>
      <c r="Q26" s="109"/>
      <c r="R26" s="109"/>
      <c r="S26" s="109"/>
      <c r="T26" s="109"/>
      <c r="U26" s="109"/>
      <c r="V26" s="109"/>
      <c r="W26" s="109"/>
      <c r="X26" s="109"/>
      <c r="Y26" s="109"/>
      <c r="Z26" s="109"/>
    </row>
    <row r="27" spans="1:26" ht="16.5" customHeight="1" x14ac:dyDescent="0.35">
      <c r="A27" s="109"/>
      <c r="B27" s="298" t="s">
        <v>136</v>
      </c>
      <c r="C27" s="220"/>
      <c r="D27" s="220"/>
      <c r="E27" s="220"/>
      <c r="F27" s="220"/>
      <c r="G27" s="220"/>
      <c r="H27" s="220"/>
      <c r="I27" s="220"/>
      <c r="J27" s="221"/>
      <c r="K27" s="109"/>
      <c r="L27" s="109"/>
      <c r="M27" s="109"/>
      <c r="N27" s="109"/>
      <c r="O27" s="109"/>
      <c r="P27" s="109"/>
      <c r="Q27" s="109"/>
      <c r="R27" s="109"/>
      <c r="S27" s="109"/>
      <c r="T27" s="109"/>
      <c r="U27" s="109"/>
      <c r="V27" s="109"/>
      <c r="W27" s="109"/>
      <c r="X27" s="109"/>
      <c r="Y27" s="109"/>
      <c r="Z27" s="109"/>
    </row>
    <row r="28" spans="1:26" ht="16.5" customHeight="1" x14ac:dyDescent="0.35">
      <c r="A28" s="109"/>
      <c r="B28" s="299"/>
      <c r="C28" s="213"/>
      <c r="D28" s="213"/>
      <c r="E28" s="213"/>
      <c r="F28" s="213"/>
      <c r="G28" s="213"/>
      <c r="H28" s="213"/>
      <c r="I28" s="213"/>
      <c r="J28" s="300"/>
      <c r="K28" s="109"/>
      <c r="L28" s="109"/>
      <c r="M28" s="109"/>
      <c r="N28" s="109"/>
      <c r="O28" s="109"/>
      <c r="P28" s="109"/>
      <c r="Q28" s="109"/>
      <c r="R28" s="109"/>
      <c r="S28" s="109"/>
      <c r="T28" s="109"/>
      <c r="U28" s="109"/>
      <c r="V28" s="109"/>
      <c r="W28" s="109"/>
      <c r="X28" s="109"/>
      <c r="Y28" s="109"/>
      <c r="Z28" s="109"/>
    </row>
    <row r="29" spans="1:26" ht="16.5" customHeight="1" x14ac:dyDescent="0.35">
      <c r="A29" s="109"/>
      <c r="B29" s="262"/>
      <c r="C29" s="263"/>
      <c r="D29" s="263"/>
      <c r="E29" s="263"/>
      <c r="F29" s="263"/>
      <c r="G29" s="263"/>
      <c r="H29" s="263"/>
      <c r="I29" s="263"/>
      <c r="J29" s="264"/>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65625" defaultRowHeight="15" customHeight="1" x14ac:dyDescent="0.35"/>
  <cols>
    <col min="1" max="1" width="1.6640625" customWidth="1"/>
    <col min="2" max="2" width="4.597656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17" t="s">
        <v>140</v>
      </c>
      <c r="D2" s="213"/>
      <c r="E2" s="213"/>
      <c r="F2" s="213"/>
      <c r="G2" s="213"/>
      <c r="H2" s="213"/>
      <c r="I2" s="213"/>
      <c r="J2" s="213"/>
      <c r="K2" s="213"/>
      <c r="L2" s="213"/>
      <c r="M2" s="213"/>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5">
      <c r="A4" s="40"/>
      <c r="B4" s="122"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5">
      <c r="A5" s="40"/>
      <c r="B5" s="122" t="s">
        <v>22</v>
      </c>
      <c r="C5" s="40"/>
      <c r="D5" s="40"/>
      <c r="E5" s="40" t="str">
        <f>CARÁTULA!$C$23</f>
        <v>4to de Secundaria</v>
      </c>
      <c r="F5" s="40"/>
      <c r="G5" s="40"/>
      <c r="H5" s="40"/>
      <c r="I5" s="40"/>
      <c r="J5" s="43" t="s">
        <v>23</v>
      </c>
      <c r="K5" s="67">
        <f ca="1">TODAY()</f>
        <v>44421</v>
      </c>
      <c r="L5" s="39"/>
      <c r="M5" s="39"/>
      <c r="N5" s="39"/>
      <c r="O5" s="40"/>
      <c r="P5" s="40"/>
      <c r="Q5" s="40"/>
      <c r="R5" s="40"/>
      <c r="S5" s="40"/>
      <c r="T5" s="40"/>
      <c r="U5" s="40"/>
      <c r="V5" s="40"/>
      <c r="W5" s="40"/>
      <c r="X5" s="40"/>
      <c r="Y5" s="40"/>
      <c r="Z5" s="40"/>
    </row>
    <row r="6" spans="1:26" ht="13.5" customHeight="1" x14ac:dyDescent="0.35">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52" t="s">
        <v>141</v>
      </c>
      <c r="D10" s="213"/>
      <c r="E10" s="123"/>
      <c r="F10" s="40"/>
      <c r="G10" s="43" t="s">
        <v>142</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4" t="s">
        <v>143</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8" t="s">
        <v>144</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145</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52" t="s">
        <v>146</v>
      </c>
      <c r="D23" s="213"/>
      <c r="E23" s="40"/>
      <c r="F23" s="40"/>
      <c r="G23" s="43" t="s">
        <v>147</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4" t="s">
        <v>143</v>
      </c>
      <c r="D24" s="40"/>
      <c r="E24" s="125">
        <f>'CENTRAL 2'!$J$9</f>
        <v>14</v>
      </c>
      <c r="F24" s="40"/>
      <c r="G24" s="126">
        <f t="shared" ref="G24:G25" si="1">E24/$E$26</f>
        <v>0.3888888888888889</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8" t="s">
        <v>144</v>
      </c>
      <c r="D25" s="40"/>
      <c r="E25" s="128">
        <f>'CENTRAL 2'!$J$13</f>
        <v>22</v>
      </c>
      <c r="F25" s="40"/>
      <c r="G25" s="126">
        <f t="shared" si="1"/>
        <v>0.61111111111111116</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145</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52" t="s">
        <v>148</v>
      </c>
      <c r="D35" s="213"/>
      <c r="E35" s="40"/>
      <c r="F35" s="40"/>
      <c r="G35" s="122" t="s">
        <v>149</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4" t="s">
        <v>143</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8" t="s">
        <v>144</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145</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65625" defaultRowHeight="15" customHeight="1" x14ac:dyDescent="0.35"/>
  <cols>
    <col min="1" max="1" width="1.6640625" customWidth="1"/>
    <col min="2" max="2" width="5.6640625" customWidth="1"/>
    <col min="3" max="3" width="4.33203125" customWidth="1"/>
    <col min="4" max="4" width="6.265625" customWidth="1"/>
    <col min="5" max="5" width="7.59765625" customWidth="1"/>
    <col min="6" max="6" width="13.33203125" customWidth="1"/>
    <col min="7" max="7" width="10.73046875" customWidth="1"/>
    <col min="8" max="8" width="8.265625" customWidth="1"/>
    <col min="9" max="26" width="5.6640625" customWidth="1"/>
  </cols>
  <sheetData>
    <row r="1" spans="1:26" ht="13.5" customHeight="1" x14ac:dyDescent="0.35">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5">
      <c r="A2" s="127"/>
      <c r="B2" s="127"/>
      <c r="C2" s="304" t="s">
        <v>150</v>
      </c>
      <c r="D2" s="213"/>
      <c r="E2" s="213"/>
      <c r="F2" s="213"/>
      <c r="G2" s="213"/>
      <c r="H2" s="213"/>
      <c r="I2" s="213"/>
      <c r="J2" s="127"/>
      <c r="K2" s="127"/>
      <c r="L2" s="127"/>
      <c r="M2" s="127"/>
      <c r="N2" s="127"/>
      <c r="O2" s="127"/>
      <c r="P2" s="127"/>
      <c r="Q2" s="127"/>
      <c r="R2" s="127"/>
      <c r="S2" s="127"/>
      <c r="T2" s="127"/>
      <c r="U2" s="127"/>
      <c r="V2" s="127"/>
      <c r="W2" s="127"/>
      <c r="X2" s="127"/>
      <c r="Y2" s="127"/>
      <c r="Z2" s="127"/>
    </row>
    <row r="3" spans="1:26" ht="13.5" customHeight="1" x14ac:dyDescent="0.35">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5">
      <c r="A4" s="127"/>
      <c r="B4" s="131" t="s">
        <v>14</v>
      </c>
      <c r="C4" s="132"/>
      <c r="D4" s="132"/>
      <c r="E4" s="132" t="str">
        <f>CARÁTULA!$C$21</f>
        <v>Secundaria</v>
      </c>
      <c r="F4" s="132"/>
      <c r="G4" s="131" t="s">
        <v>52</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5">
      <c r="A5" s="127"/>
      <c r="B5" s="131" t="s">
        <v>22</v>
      </c>
      <c r="C5" s="132"/>
      <c r="D5" s="132"/>
      <c r="E5" s="132" t="str">
        <f>CARÁTULA!$C$23</f>
        <v>4to de Secundaria</v>
      </c>
      <c r="F5" s="132"/>
      <c r="G5" s="131" t="s">
        <v>23</v>
      </c>
      <c r="H5" s="133">
        <f ca="1">TODAY()</f>
        <v>44421</v>
      </c>
      <c r="I5" s="132"/>
      <c r="J5" s="132"/>
      <c r="K5" s="127"/>
      <c r="L5" s="127"/>
      <c r="M5" s="127"/>
      <c r="N5" s="127"/>
      <c r="O5" s="127"/>
      <c r="P5" s="127"/>
      <c r="Q5" s="127"/>
      <c r="R5" s="127"/>
      <c r="S5" s="127"/>
      <c r="T5" s="127"/>
      <c r="U5" s="127"/>
      <c r="V5" s="127"/>
      <c r="W5" s="127"/>
      <c r="X5" s="127"/>
      <c r="Y5" s="127"/>
      <c r="Z5" s="127"/>
    </row>
    <row r="6" spans="1:26" ht="13.5" customHeight="1" x14ac:dyDescent="0.35">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5">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5">
      <c r="A8" s="127"/>
      <c r="B8" s="127"/>
      <c r="C8" s="303" t="s">
        <v>151</v>
      </c>
      <c r="D8" s="135" t="s">
        <v>152</v>
      </c>
      <c r="E8" s="135" t="s">
        <v>153</v>
      </c>
      <c r="F8" s="136" t="s">
        <v>154</v>
      </c>
      <c r="G8" s="135" t="s">
        <v>155</v>
      </c>
      <c r="H8" s="135" t="s">
        <v>156</v>
      </c>
      <c r="I8" s="127"/>
      <c r="J8" s="127"/>
      <c r="K8" s="127"/>
      <c r="L8" s="127"/>
      <c r="M8" s="127"/>
      <c r="N8" s="127"/>
      <c r="O8" s="127"/>
      <c r="P8" s="127"/>
      <c r="Q8" s="127"/>
      <c r="R8" s="127"/>
      <c r="S8" s="127"/>
      <c r="T8" s="127"/>
      <c r="U8" s="127"/>
      <c r="V8" s="127"/>
      <c r="W8" s="127"/>
      <c r="X8" s="127"/>
      <c r="Y8" s="127"/>
      <c r="Z8" s="127"/>
    </row>
    <row r="9" spans="1:26" ht="13.5" customHeight="1" x14ac:dyDescent="0.35">
      <c r="A9" s="127"/>
      <c r="B9" s="127"/>
      <c r="C9" s="290"/>
      <c r="D9" s="137" t="s">
        <v>157</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5">
      <c r="A10" s="127"/>
      <c r="B10" s="127"/>
      <c r="C10" s="290"/>
      <c r="D10" s="137" t="s">
        <v>158</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5">
      <c r="A11" s="127"/>
      <c r="B11" s="127"/>
      <c r="C11" s="290"/>
      <c r="D11" s="137" t="s">
        <v>159</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5">
      <c r="A12" s="127"/>
      <c r="B12" s="127"/>
      <c r="C12" s="259"/>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5">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5">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5">
      <c r="A15" s="127"/>
      <c r="B15" s="127"/>
      <c r="C15" s="303" t="s">
        <v>160</v>
      </c>
      <c r="D15" s="135" t="s">
        <v>152</v>
      </c>
      <c r="E15" s="135" t="s">
        <v>153</v>
      </c>
      <c r="F15" s="136" t="s">
        <v>154</v>
      </c>
      <c r="G15" s="135" t="s">
        <v>155</v>
      </c>
      <c r="H15" s="135" t="s">
        <v>156</v>
      </c>
      <c r="I15" s="127"/>
      <c r="J15" s="127"/>
      <c r="K15" s="127"/>
      <c r="L15" s="127"/>
      <c r="M15" s="127"/>
      <c r="N15" s="127"/>
      <c r="O15" s="127"/>
      <c r="P15" s="127"/>
      <c r="Q15" s="127"/>
      <c r="R15" s="127"/>
      <c r="S15" s="127"/>
      <c r="T15" s="127"/>
      <c r="U15" s="127"/>
      <c r="V15" s="127"/>
      <c r="W15" s="127"/>
      <c r="X15" s="127"/>
      <c r="Y15" s="127"/>
      <c r="Z15" s="127"/>
    </row>
    <row r="16" spans="1:26" ht="13.5" customHeight="1" x14ac:dyDescent="0.35">
      <c r="A16" s="127"/>
      <c r="B16" s="127"/>
      <c r="C16" s="290"/>
      <c r="D16" s="137" t="s">
        <v>157</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5">
      <c r="A17" s="127"/>
      <c r="B17" s="127"/>
      <c r="C17" s="290"/>
      <c r="D17" s="137" t="s">
        <v>158</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5">
      <c r="A18" s="127"/>
      <c r="B18" s="127"/>
      <c r="C18" s="290"/>
      <c r="D18" s="137" t="s">
        <v>159</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5">
      <c r="A19" s="127"/>
      <c r="B19" s="127"/>
      <c r="C19" s="259"/>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5">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5">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5">
      <c r="A22" s="127"/>
      <c r="B22" s="127"/>
      <c r="C22" s="303" t="s">
        <v>161</v>
      </c>
      <c r="D22" s="135" t="s">
        <v>152</v>
      </c>
      <c r="E22" s="135" t="s">
        <v>153</v>
      </c>
      <c r="F22" s="136" t="s">
        <v>154</v>
      </c>
      <c r="G22" s="135" t="s">
        <v>155</v>
      </c>
      <c r="H22" s="135" t="s">
        <v>156</v>
      </c>
      <c r="I22" s="127"/>
      <c r="J22" s="127"/>
      <c r="K22" s="127"/>
      <c r="L22" s="127"/>
      <c r="M22" s="127"/>
      <c r="N22" s="127"/>
      <c r="O22" s="127"/>
      <c r="P22" s="127"/>
      <c r="Q22" s="127"/>
      <c r="R22" s="127"/>
      <c r="S22" s="127"/>
      <c r="T22" s="127"/>
      <c r="U22" s="127"/>
      <c r="V22" s="127"/>
      <c r="W22" s="127"/>
      <c r="X22" s="127"/>
      <c r="Y22" s="127"/>
      <c r="Z22" s="127"/>
    </row>
    <row r="23" spans="1:26" ht="13.5" customHeight="1" x14ac:dyDescent="0.35">
      <c r="A23" s="127"/>
      <c r="B23" s="127"/>
      <c r="C23" s="290"/>
      <c r="D23" s="137" t="s">
        <v>157</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5">
      <c r="A24" s="127"/>
      <c r="B24" s="127"/>
      <c r="C24" s="290"/>
      <c r="D24" s="137" t="s">
        <v>158</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5">
      <c r="A25" s="127"/>
      <c r="B25" s="127"/>
      <c r="C25" s="290"/>
      <c r="D25" s="137" t="s">
        <v>159</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5">
      <c r="A26" s="127"/>
      <c r="B26" s="127"/>
      <c r="C26" s="259"/>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5">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5">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5">
      <c r="A29" s="127"/>
      <c r="B29" s="127"/>
      <c r="C29" s="303" t="s">
        <v>162</v>
      </c>
      <c r="D29" s="135" t="s">
        <v>152</v>
      </c>
      <c r="E29" s="135" t="s">
        <v>153</v>
      </c>
      <c r="F29" s="136" t="s">
        <v>154</v>
      </c>
      <c r="G29" s="135" t="s">
        <v>155</v>
      </c>
      <c r="H29" s="135" t="s">
        <v>156</v>
      </c>
      <c r="I29" s="127"/>
      <c r="J29" s="127"/>
      <c r="K29" s="127"/>
      <c r="L29" s="127"/>
      <c r="M29" s="127"/>
      <c r="N29" s="127"/>
      <c r="O29" s="127"/>
      <c r="P29" s="127"/>
      <c r="Q29" s="127"/>
      <c r="R29" s="127"/>
      <c r="S29" s="127"/>
      <c r="T29" s="127"/>
      <c r="U29" s="127"/>
      <c r="V29" s="127"/>
      <c r="W29" s="127"/>
      <c r="X29" s="127"/>
      <c r="Y29" s="127"/>
      <c r="Z29" s="127"/>
    </row>
    <row r="30" spans="1:26" ht="13.5" customHeight="1" x14ac:dyDescent="0.35">
      <c r="A30" s="127"/>
      <c r="B30" s="127"/>
      <c r="C30" s="290"/>
      <c r="D30" s="137" t="s">
        <v>157</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5">
      <c r="A31" s="127"/>
      <c r="B31" s="127"/>
      <c r="C31" s="290"/>
      <c r="D31" s="137" t="s">
        <v>158</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5">
      <c r="A32" s="127"/>
      <c r="B32" s="127"/>
      <c r="C32" s="290"/>
      <c r="D32" s="137" t="s">
        <v>159</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5">
      <c r="A33" s="127"/>
      <c r="B33" s="127"/>
      <c r="C33" s="259"/>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5">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5">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5">
      <c r="A36" s="127"/>
      <c r="B36" s="127"/>
      <c r="C36" s="303" t="s">
        <v>163</v>
      </c>
      <c r="D36" s="135" t="s">
        <v>152</v>
      </c>
      <c r="E36" s="135" t="s">
        <v>153</v>
      </c>
      <c r="F36" s="136" t="s">
        <v>154</v>
      </c>
      <c r="G36" s="135" t="s">
        <v>155</v>
      </c>
      <c r="H36" s="135" t="s">
        <v>156</v>
      </c>
      <c r="I36" s="127"/>
      <c r="J36" s="127"/>
      <c r="K36" s="127"/>
      <c r="L36" s="127"/>
      <c r="M36" s="127"/>
      <c r="N36" s="127"/>
      <c r="O36" s="127"/>
      <c r="P36" s="127"/>
      <c r="Q36" s="127"/>
      <c r="R36" s="127"/>
      <c r="S36" s="127"/>
      <c r="T36" s="127"/>
      <c r="U36" s="127"/>
      <c r="V36" s="127"/>
      <c r="W36" s="127"/>
      <c r="X36" s="127"/>
      <c r="Y36" s="127"/>
      <c r="Z36" s="127"/>
    </row>
    <row r="37" spans="1:26" ht="13.5" customHeight="1" x14ac:dyDescent="0.35">
      <c r="A37" s="127"/>
      <c r="B37" s="127"/>
      <c r="C37" s="290"/>
      <c r="D37" s="137" t="s">
        <v>157</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5">
      <c r="A38" s="127"/>
      <c r="B38" s="127"/>
      <c r="C38" s="290"/>
      <c r="D38" s="137" t="s">
        <v>158</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5">
      <c r="A39" s="127"/>
      <c r="B39" s="127"/>
      <c r="C39" s="290"/>
      <c r="D39" s="137" t="s">
        <v>159</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5">
      <c r="A40" s="127"/>
      <c r="B40" s="127"/>
      <c r="C40" s="259"/>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5">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5">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5">
      <c r="A43" s="127"/>
      <c r="B43" s="127"/>
      <c r="C43" s="303" t="s">
        <v>164</v>
      </c>
      <c r="D43" s="135" t="s">
        <v>152</v>
      </c>
      <c r="E43" s="135" t="s">
        <v>153</v>
      </c>
      <c r="F43" s="136" t="s">
        <v>154</v>
      </c>
      <c r="G43" s="135" t="s">
        <v>155</v>
      </c>
      <c r="H43" s="135" t="s">
        <v>156</v>
      </c>
      <c r="I43" s="127"/>
      <c r="J43" s="127"/>
      <c r="K43" s="127"/>
      <c r="L43" s="127"/>
      <c r="M43" s="127"/>
      <c r="N43" s="127"/>
      <c r="O43" s="127"/>
      <c r="P43" s="127"/>
      <c r="Q43" s="127"/>
      <c r="R43" s="127"/>
      <c r="S43" s="127"/>
      <c r="T43" s="127"/>
      <c r="U43" s="127"/>
      <c r="V43" s="127"/>
      <c r="W43" s="127"/>
      <c r="X43" s="127"/>
      <c r="Y43" s="127"/>
      <c r="Z43" s="127"/>
    </row>
    <row r="44" spans="1:26" ht="13.5" customHeight="1" x14ac:dyDescent="0.35">
      <c r="A44" s="127"/>
      <c r="B44" s="127"/>
      <c r="C44" s="290"/>
      <c r="D44" s="137" t="s">
        <v>157</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5">
      <c r="A45" s="127"/>
      <c r="B45" s="127"/>
      <c r="C45" s="290"/>
      <c r="D45" s="137" t="s">
        <v>158</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5">
      <c r="A46" s="127"/>
      <c r="B46" s="127"/>
      <c r="C46" s="290"/>
      <c r="D46" s="137" t="s">
        <v>159</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5">
      <c r="A47" s="127"/>
      <c r="B47" s="127"/>
      <c r="C47" s="259"/>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5">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5">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5">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5">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5">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5">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5">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5">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5">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5">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5">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5">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5">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5">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5">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5">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5">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5">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5">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5">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5">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5">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5">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5">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5">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5">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5">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5">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5">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5">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5">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5">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5">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5">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5">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5">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5">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5">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5">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5">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5">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5">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5">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5">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5">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5">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5">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5">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5">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5">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5">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5">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5">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5">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5">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5">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5">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5">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5">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5">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5">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5">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5">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5">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5">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5">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5">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5">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5">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5">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5">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5">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5">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5">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5">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5">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5">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5">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5">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5">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5">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5">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5">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5">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5">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5">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5">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5">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5">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5">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5">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5">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5">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5">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5">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5">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5">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5">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5">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5">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5">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5">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5">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5">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5">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5">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5">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5">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5">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5">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5">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5">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5">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5">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5">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5">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5">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5">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5">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5">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5">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5">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5">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5">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5">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5">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5">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5">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5">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5">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5">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5">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5">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5">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5">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5">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5">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5">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5">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5">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5">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5">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5">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5">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5">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5">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5">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5">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5">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5">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5">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5">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5">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5">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5">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5">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5">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5">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5">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5">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5">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5">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5">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5">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5">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5">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5">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5">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5">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5">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5">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5">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5">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5">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5">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5">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5">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5">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5">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5">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5">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5">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5">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5">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5">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5">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5">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5">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5">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5">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5">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5">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5">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5">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5">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5">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5">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5">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5">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5">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5">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5">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5">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5">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5">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5">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5">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5">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5">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5">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5">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5">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5">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5">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5">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5">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5">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5">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5">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5">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5">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5">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5">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5">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5">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5">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5">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5">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5">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5">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5">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5">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5">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5">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5">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5">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5">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5">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5">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5">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5">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5">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5">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5">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5">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5">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5">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5">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5">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5">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5">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5">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5">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5">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5">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5">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5">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5">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5">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5">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5">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5">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5">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5">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5">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5">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5">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5">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5">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5">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5">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5">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5">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5">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5">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5">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5">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5">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5">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5">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5">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5">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5">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5">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5">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5">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5">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5">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5">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5">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5">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5">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5">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5">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5">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5">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5">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5">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5">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5">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5">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5">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5">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5">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5">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5">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5">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5">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5">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5">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5">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5">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5">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5">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5">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5">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5">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5">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5">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5">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5">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5">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5">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5">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5">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5">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5">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5">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5">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5">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5">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5">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5">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5">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5">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5">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5">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5">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5">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5">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5">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5">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5">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5">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5">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5">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5">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5">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5">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5">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5">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5">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5">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5">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5">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5">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5">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5">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5">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5">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5">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5">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5">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5">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5">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5">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5">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5">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5">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5">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5">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5">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5">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5">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5">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5">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5">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5">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5">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5">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5">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5">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5">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5">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5">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5">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5">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5">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5">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5">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5">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5">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5">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5">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5">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5">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5">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5">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5">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5">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5">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5">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5">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5">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5">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5">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5">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5">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5">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5">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5">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5">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5">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5">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5">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5">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5">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5">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5">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5">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5">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5">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5">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5">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5">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5">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5">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5">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5">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5">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5">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5">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5">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5">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5">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5">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5">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5">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5">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5">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5">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5">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5">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5">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5">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5">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5">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5">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5">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5">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5">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5">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5">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5">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5">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5">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5">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5">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5">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5">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5">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5">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5">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5">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5">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5">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5">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5">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5">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5">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5">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5">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5">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5">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5">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5">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5">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5">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5">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5">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5">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5">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5">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5">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5">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5">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5">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5">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5">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5">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5">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5">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5">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5">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5">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5">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5">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5">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5">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5">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5">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5">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5">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5">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5">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5">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5">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5">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5">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5">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5">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5">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5">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5">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5">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5">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5">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5">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5">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5">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5">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5">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5">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5">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5">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5">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5">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5">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5">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5">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5">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5">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5">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5">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5">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5">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5">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5">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5">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5">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5">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5">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5">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5">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5">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5">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5">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5">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5">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5">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5">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5">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5">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5">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5">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5">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5">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5">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5">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5">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5">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5">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5">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5">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5">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5">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5">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5">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5">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5">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5">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5">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5">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5">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5">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5">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5">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5">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5">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5">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5">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5">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5">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5">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5">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5">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5">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5">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5">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5">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5">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5">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5">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5">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5">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5">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5">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5">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5">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5">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5">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5">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5">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5">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5">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5">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5">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5">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5">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5">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5">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5">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5">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5">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5">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5">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5">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5">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5">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5">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5">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5">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5">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5">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5">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5">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5">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5">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5">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5">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5">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5">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5">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5">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5">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5">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5">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5">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5">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5">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5">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5">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5">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5">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5">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5">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5">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5">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5">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5">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5">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5">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5">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5">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5">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5">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5">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5">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5">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5">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5">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5">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5">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5">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5">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5">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5">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5">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5">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5">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5">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5">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5">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5">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5">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5">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5">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5">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5">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5">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5">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5">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5">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5">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5">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5">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5">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5">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5">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5">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5">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5">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5">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5">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5">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5">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5">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5">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5">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5">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5">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5">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5">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5">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5">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5">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5">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5">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5">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5">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5">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5">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5">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5">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5">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5">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5">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5">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5">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5">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5">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5">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5">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5">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5">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5">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5">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5">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5">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5">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5">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5">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5">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5">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5">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5">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5">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5">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5">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5">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5">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5">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5">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5">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5">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5">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5">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5">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5">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5">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5">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5">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5">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5">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5">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5">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5">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5">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5">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5">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5">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5">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5">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5">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5">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5">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5">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5">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5">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5">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5">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5">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5">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5">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5">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5">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5">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5">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5">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5">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5">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5">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5">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5">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5">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5">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5">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5">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5">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5">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5">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5">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5">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5">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5">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5">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5">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5">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5">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5">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5">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5">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5">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5">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5">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5">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5">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5">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5">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5">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5">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5">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5">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5">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5">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5">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5">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5">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5">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5">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5">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5">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5">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5">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5">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5">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5">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5">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5">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5">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5">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5">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5">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5">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5">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5">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5">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5">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5">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5">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5">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5">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5">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5">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5">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5">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5">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5">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5">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5">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5">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5">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5">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5">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5">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5">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5">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5">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5">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5">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5">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5">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5">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5">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5">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5">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5">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5">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5">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5">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5">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5">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5">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5">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5">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5">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5">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5">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5">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5">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5">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5">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5">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5">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5">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5">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5">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5">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5">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5">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5">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5">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5">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5">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5">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5">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5">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5">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5">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5">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5">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5">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5">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5">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5">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5">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5">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5">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5">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5">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5">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5">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5">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5">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5">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5">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5">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5">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5">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5">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5">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5">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5">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5">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5">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5">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5">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5">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5">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5">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5">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5">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5">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5">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5">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5">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5">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5">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5">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5">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5">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5">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5">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5">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5">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5">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5">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5">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5">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5">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5">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5">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5">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65625" defaultRowHeight="15" customHeight="1" x14ac:dyDescent="0.35"/>
  <cols>
    <col min="1" max="4" width="1.6640625" customWidth="1"/>
    <col min="5" max="6" width="4.6640625" customWidth="1"/>
    <col min="7" max="7" width="26.6640625" customWidth="1"/>
    <col min="8" max="8" width="7.59765625" customWidth="1"/>
    <col min="9" max="10" width="10.9296875" customWidth="1"/>
    <col min="11" max="26" width="10.3984375" customWidth="1"/>
  </cols>
  <sheetData>
    <row r="1" spans="1:26" ht="7.5" customHeight="1" x14ac:dyDescent="0.35">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5">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5">
      <c r="A3" s="142"/>
      <c r="B3" s="19"/>
      <c r="C3" s="19"/>
      <c r="D3" s="19"/>
      <c r="E3" s="309" t="s">
        <v>165</v>
      </c>
      <c r="F3" s="213"/>
      <c r="G3" s="213"/>
      <c r="H3" s="213"/>
      <c r="I3" s="213"/>
      <c r="J3" s="142"/>
      <c r="K3" s="142"/>
      <c r="L3" s="142"/>
      <c r="M3" s="142"/>
      <c r="N3" s="142"/>
      <c r="O3" s="142"/>
      <c r="P3" s="142"/>
      <c r="Q3" s="142"/>
      <c r="R3" s="142"/>
      <c r="S3" s="142"/>
      <c r="T3" s="142"/>
      <c r="U3" s="142"/>
      <c r="V3" s="142"/>
      <c r="W3" s="142"/>
      <c r="X3" s="142"/>
      <c r="Y3" s="142"/>
      <c r="Z3" s="142"/>
    </row>
    <row r="4" spans="1:26" ht="6.75" customHeight="1" x14ac:dyDescent="0.35">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5">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5">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5">
      <c r="A7" s="142"/>
      <c r="B7" s="143" t="s">
        <v>14</v>
      </c>
      <c r="C7" s="19"/>
      <c r="D7" s="19"/>
      <c r="E7" s="19"/>
      <c r="F7" s="19"/>
      <c r="G7" s="40" t="str">
        <f>CARÁTULA!$C$21</f>
        <v>Secundaria</v>
      </c>
      <c r="H7" s="143" t="s">
        <v>52</v>
      </c>
      <c r="I7" s="19">
        <f>CARÁTULA!$C$19</f>
        <v>0</v>
      </c>
      <c r="J7" s="142"/>
      <c r="K7" s="142"/>
      <c r="L7" s="142"/>
      <c r="M7" s="142"/>
      <c r="N7" s="142"/>
      <c r="O7" s="142"/>
      <c r="P7" s="142"/>
      <c r="Q7" s="142"/>
      <c r="R7" s="142"/>
      <c r="S7" s="142"/>
      <c r="T7" s="142"/>
      <c r="U7" s="142"/>
      <c r="V7" s="142"/>
      <c r="W7" s="142"/>
      <c r="X7" s="142"/>
      <c r="Y7" s="142"/>
      <c r="Z7" s="142"/>
    </row>
    <row r="8" spans="1:26" ht="12.75" customHeight="1" x14ac:dyDescent="0.35">
      <c r="A8" s="142"/>
      <c r="B8" s="143" t="s">
        <v>22</v>
      </c>
      <c r="C8" s="19"/>
      <c r="D8" s="19"/>
      <c r="E8" s="19"/>
      <c r="F8" s="19"/>
      <c r="G8" s="40" t="str">
        <f>CARÁTULA!$C$23</f>
        <v>4to de Secundaria</v>
      </c>
      <c r="H8" s="143" t="s">
        <v>23</v>
      </c>
      <c r="I8" s="133">
        <f ca="1">TODAY()</f>
        <v>44421</v>
      </c>
      <c r="J8" s="142"/>
      <c r="K8" s="142"/>
      <c r="L8" s="142"/>
      <c r="M8" s="142"/>
      <c r="N8" s="142"/>
      <c r="O8" s="142"/>
      <c r="P8" s="142"/>
      <c r="Q8" s="142"/>
      <c r="R8" s="142"/>
      <c r="S8" s="142"/>
      <c r="T8" s="142"/>
      <c r="U8" s="142"/>
      <c r="V8" s="142"/>
      <c r="W8" s="142"/>
      <c r="X8" s="142"/>
      <c r="Y8" s="142"/>
      <c r="Z8" s="142"/>
    </row>
    <row r="9" spans="1:26" ht="6.75" customHeight="1" x14ac:dyDescent="0.35">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5">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5">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5">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5">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5">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5">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5">
      <c r="A16" s="142"/>
      <c r="B16" s="142"/>
      <c r="C16" s="142"/>
      <c r="D16" s="142"/>
      <c r="E16" s="310" t="s">
        <v>166</v>
      </c>
      <c r="F16" s="311"/>
      <c r="G16" s="145" t="s">
        <v>24</v>
      </c>
      <c r="H16" s="146" t="s">
        <v>167</v>
      </c>
      <c r="I16" s="147"/>
      <c r="J16" s="142"/>
      <c r="K16" s="142"/>
      <c r="L16" s="142"/>
      <c r="M16" s="142"/>
      <c r="N16" s="142"/>
      <c r="O16" s="142"/>
      <c r="P16" s="142"/>
      <c r="Q16" s="142"/>
      <c r="R16" s="142"/>
      <c r="S16" s="142"/>
      <c r="T16" s="142"/>
      <c r="U16" s="142"/>
      <c r="V16" s="142"/>
      <c r="W16" s="142"/>
      <c r="X16" s="142"/>
      <c r="Y16" s="142"/>
      <c r="Z16" s="142"/>
    </row>
    <row r="17" spans="1:26" ht="12.75" customHeight="1" x14ac:dyDescent="0.35">
      <c r="A17" s="142"/>
      <c r="B17" s="142"/>
      <c r="C17" s="142"/>
      <c r="D17" s="142"/>
      <c r="E17" s="305"/>
      <c r="F17" s="256"/>
      <c r="G17" s="148" t="str">
        <f>'C. FILIACION'!B8</f>
        <v>BENITEZ BALLESTEROS KAREN ARIANA</v>
      </c>
      <c r="H17" s="149">
        <f>'CENTRAL 2'!F9</f>
        <v>83.333333333333329</v>
      </c>
      <c r="I17" s="142"/>
      <c r="J17" s="142"/>
      <c r="K17" s="142"/>
      <c r="L17" s="142"/>
      <c r="M17" s="142"/>
      <c r="N17" s="142"/>
      <c r="O17" s="142"/>
      <c r="P17" s="142"/>
      <c r="Q17" s="142"/>
      <c r="R17" s="142"/>
      <c r="S17" s="142"/>
      <c r="T17" s="142"/>
      <c r="U17" s="142"/>
      <c r="V17" s="142"/>
      <c r="W17" s="142"/>
      <c r="X17" s="142"/>
      <c r="Y17" s="142"/>
      <c r="Z17" s="142"/>
    </row>
    <row r="18" spans="1:26" ht="12.75" customHeight="1" x14ac:dyDescent="0.35">
      <c r="A18" s="142"/>
      <c r="B18" s="142"/>
      <c r="C18" s="142"/>
      <c r="D18" s="142"/>
      <c r="E18" s="305"/>
      <c r="F18" s="256"/>
      <c r="G18" s="148" t="str">
        <f>'C. FILIACION'!B9</f>
        <v>CALIZAYA MERCADO AXEL GABRIEL</v>
      </c>
      <c r="H18" s="149">
        <f>'CENTRAL 2'!F10</f>
        <v>63.333333333333336</v>
      </c>
      <c r="I18" s="142"/>
      <c r="J18" s="142"/>
      <c r="K18" s="142"/>
      <c r="L18" s="142"/>
      <c r="M18" s="142"/>
      <c r="N18" s="142"/>
      <c r="O18" s="142"/>
      <c r="P18" s="142"/>
      <c r="Q18" s="142"/>
      <c r="R18" s="142"/>
      <c r="S18" s="142"/>
      <c r="T18" s="142"/>
      <c r="U18" s="142"/>
      <c r="V18" s="142"/>
      <c r="W18" s="142"/>
      <c r="X18" s="142"/>
      <c r="Y18" s="142"/>
      <c r="Z18" s="142"/>
    </row>
    <row r="19" spans="1:26" ht="12.75" customHeight="1" x14ac:dyDescent="0.35">
      <c r="A19" s="142"/>
      <c r="B19" s="142"/>
      <c r="C19" s="142"/>
      <c r="D19" s="142"/>
      <c r="E19" s="305"/>
      <c r="F19" s="256"/>
      <c r="G19" s="148" t="str">
        <f>'C. FILIACION'!B10</f>
        <v>CANO GUZMAN FABRIZIO RODRIGO</v>
      </c>
      <c r="H19" s="149">
        <f>'CENTRAL 2'!F11</f>
        <v>63.666666666666664</v>
      </c>
      <c r="I19" s="142"/>
      <c r="J19" s="142"/>
      <c r="K19" s="142"/>
      <c r="L19" s="142"/>
      <c r="M19" s="142"/>
      <c r="N19" s="142"/>
      <c r="O19" s="142"/>
      <c r="P19" s="142"/>
      <c r="Q19" s="142"/>
      <c r="R19" s="142"/>
      <c r="S19" s="142"/>
      <c r="T19" s="142"/>
      <c r="U19" s="142"/>
      <c r="V19" s="142"/>
      <c r="W19" s="142"/>
      <c r="X19" s="142"/>
      <c r="Y19" s="142"/>
      <c r="Z19" s="142"/>
    </row>
    <row r="20" spans="1:26" ht="12.75" customHeight="1" x14ac:dyDescent="0.35">
      <c r="A20" s="142"/>
      <c r="B20" s="142"/>
      <c r="C20" s="142"/>
      <c r="D20" s="142"/>
      <c r="E20" s="305"/>
      <c r="F20" s="256"/>
      <c r="G20" s="148" t="str">
        <f>'C. FILIACION'!B11</f>
        <v>CHOQUE LAURA CARLOS EDUARDO</v>
      </c>
      <c r="H20" s="149">
        <f>'CENTRAL 2'!F12</f>
        <v>73.333333333333329</v>
      </c>
      <c r="I20" s="142"/>
      <c r="J20" s="142"/>
      <c r="K20" s="142"/>
      <c r="L20" s="142"/>
      <c r="M20" s="142"/>
      <c r="N20" s="142"/>
      <c r="O20" s="142"/>
      <c r="P20" s="142"/>
      <c r="Q20" s="142"/>
      <c r="R20" s="142"/>
      <c r="S20" s="142"/>
      <c r="T20" s="142"/>
      <c r="U20" s="142"/>
      <c r="V20" s="142"/>
      <c r="W20" s="142"/>
      <c r="X20" s="142"/>
      <c r="Y20" s="142"/>
      <c r="Z20" s="142"/>
    </row>
    <row r="21" spans="1:26" ht="12.75" customHeight="1" x14ac:dyDescent="0.35">
      <c r="A21" s="142"/>
      <c r="B21" s="142"/>
      <c r="C21" s="142"/>
      <c r="D21" s="142"/>
      <c r="E21" s="305"/>
      <c r="F21" s="256"/>
      <c r="G21" s="148" t="str">
        <f>'C. FILIACION'!B12</f>
        <v>CONDORI GALARZA DENSEL ALEXSIS</v>
      </c>
      <c r="H21" s="149">
        <f>'CENTRAL 2'!F13</f>
        <v>92</v>
      </c>
      <c r="I21" s="142"/>
      <c r="J21" s="142"/>
      <c r="K21" s="142"/>
      <c r="L21" s="142"/>
      <c r="M21" s="142"/>
      <c r="N21" s="142"/>
      <c r="O21" s="142"/>
      <c r="P21" s="142"/>
      <c r="Q21" s="142"/>
      <c r="R21" s="142"/>
      <c r="S21" s="142"/>
      <c r="T21" s="142"/>
      <c r="U21" s="142"/>
      <c r="V21" s="142"/>
      <c r="W21" s="142"/>
      <c r="X21" s="142"/>
      <c r="Y21" s="142"/>
      <c r="Z21" s="142"/>
    </row>
    <row r="22" spans="1:26" ht="12.75" customHeight="1" x14ac:dyDescent="0.35">
      <c r="A22" s="142"/>
      <c r="B22" s="142"/>
      <c r="C22" s="142"/>
      <c r="D22" s="142"/>
      <c r="E22" s="305"/>
      <c r="F22" s="256"/>
      <c r="G22" s="148" t="str">
        <f>'C. FILIACION'!B13</f>
        <v>DAZA RAMIREZ KALEP MATEO</v>
      </c>
      <c r="H22" s="149">
        <f>'CENTRAL 2'!F14</f>
        <v>66.666666666666671</v>
      </c>
      <c r="I22" s="142"/>
      <c r="J22" s="142"/>
      <c r="K22" s="142"/>
      <c r="L22" s="142"/>
      <c r="M22" s="142"/>
      <c r="N22" s="142"/>
      <c r="O22" s="142"/>
      <c r="P22" s="142"/>
      <c r="Q22" s="142"/>
      <c r="R22" s="142"/>
      <c r="S22" s="142"/>
      <c r="T22" s="142"/>
      <c r="U22" s="142"/>
      <c r="V22" s="142"/>
      <c r="W22" s="142"/>
      <c r="X22" s="142"/>
      <c r="Y22" s="142"/>
      <c r="Z22" s="142"/>
    </row>
    <row r="23" spans="1:26" ht="12.75" customHeight="1" x14ac:dyDescent="0.35">
      <c r="A23" s="142"/>
      <c r="B23" s="142"/>
      <c r="C23" s="142"/>
      <c r="D23" s="142"/>
      <c r="E23" s="305"/>
      <c r="F23" s="256"/>
      <c r="G23" s="148" t="str">
        <f>'C. FILIACION'!B14</f>
        <v>ESTRADA FUNES NAZARETH</v>
      </c>
      <c r="H23" s="149">
        <f>'CENTRAL 2'!F15</f>
        <v>87.333333333333329</v>
      </c>
      <c r="I23" s="142"/>
      <c r="J23" s="142"/>
      <c r="K23" s="142"/>
      <c r="L23" s="142"/>
      <c r="M23" s="142"/>
      <c r="N23" s="142"/>
      <c r="O23" s="142"/>
      <c r="P23" s="142"/>
      <c r="Q23" s="142"/>
      <c r="R23" s="142"/>
      <c r="S23" s="142"/>
      <c r="T23" s="142"/>
      <c r="U23" s="142"/>
      <c r="V23" s="142"/>
      <c r="W23" s="142"/>
      <c r="X23" s="142"/>
      <c r="Y23" s="142"/>
      <c r="Z23" s="142"/>
    </row>
    <row r="24" spans="1:26" ht="12.75" customHeight="1" x14ac:dyDescent="0.35">
      <c r="A24" s="142"/>
      <c r="B24" s="142"/>
      <c r="C24" s="142"/>
      <c r="D24" s="142"/>
      <c r="E24" s="305"/>
      <c r="F24" s="256"/>
      <c r="G24" s="148" t="str">
        <f>'C. FILIACION'!B15</f>
        <v>FLORES VILLEGAS CARLOS IVAN</v>
      </c>
      <c r="H24" s="149">
        <f>'CENTRAL 2'!F16</f>
        <v>73.333333333333329</v>
      </c>
      <c r="I24" s="142"/>
      <c r="J24" s="142"/>
      <c r="K24" s="142"/>
      <c r="L24" s="142"/>
      <c r="M24" s="142"/>
      <c r="N24" s="142"/>
      <c r="O24" s="142"/>
      <c r="P24" s="142"/>
      <c r="Q24" s="142"/>
      <c r="R24" s="142"/>
      <c r="S24" s="142"/>
      <c r="T24" s="142"/>
      <c r="U24" s="142"/>
      <c r="V24" s="142"/>
      <c r="W24" s="142"/>
      <c r="X24" s="142"/>
      <c r="Y24" s="142"/>
      <c r="Z24" s="142"/>
    </row>
    <row r="25" spans="1:26" ht="12.75" customHeight="1" x14ac:dyDescent="0.35">
      <c r="A25" s="142"/>
      <c r="B25" s="142"/>
      <c r="C25" s="142"/>
      <c r="D25" s="142"/>
      <c r="E25" s="305"/>
      <c r="F25" s="256"/>
      <c r="G25" s="148" t="str">
        <f>'C. FILIACION'!B16</f>
        <v>FRANCISCO RUIZ LUCERO</v>
      </c>
      <c r="H25" s="149">
        <f>'CENTRAL 2'!F17</f>
        <v>95.333333333333329</v>
      </c>
      <c r="I25" s="142"/>
      <c r="J25" s="142"/>
      <c r="K25" s="142"/>
      <c r="L25" s="142"/>
      <c r="M25" s="142"/>
      <c r="N25" s="142"/>
      <c r="O25" s="142"/>
      <c r="P25" s="142"/>
      <c r="Q25" s="142"/>
      <c r="R25" s="142"/>
      <c r="S25" s="142"/>
      <c r="T25" s="142"/>
      <c r="U25" s="142"/>
      <c r="V25" s="142"/>
      <c r="W25" s="142"/>
      <c r="X25" s="142"/>
      <c r="Y25" s="142"/>
      <c r="Z25" s="142"/>
    </row>
    <row r="26" spans="1:26" ht="12.75" customHeight="1" x14ac:dyDescent="0.35">
      <c r="A26" s="142"/>
      <c r="B26" s="142"/>
      <c r="C26" s="142"/>
      <c r="D26" s="142"/>
      <c r="E26" s="305"/>
      <c r="F26" s="256"/>
      <c r="G26" s="148" t="str">
        <f>'C. FILIACION'!B17</f>
        <v>IBARRA VINO ELOY INTI</v>
      </c>
      <c r="H26" s="149">
        <f>'CENTRAL 2'!F18</f>
        <v>93</v>
      </c>
      <c r="I26" s="142"/>
      <c r="J26" s="142"/>
      <c r="K26" s="142"/>
      <c r="L26" s="142"/>
      <c r="M26" s="142"/>
      <c r="N26" s="142"/>
      <c r="O26" s="142"/>
      <c r="P26" s="142"/>
      <c r="Q26" s="142"/>
      <c r="R26" s="142"/>
      <c r="S26" s="142"/>
      <c r="T26" s="142"/>
      <c r="U26" s="142"/>
      <c r="V26" s="142"/>
      <c r="W26" s="142"/>
      <c r="X26" s="142"/>
      <c r="Y26" s="142"/>
      <c r="Z26" s="142"/>
    </row>
    <row r="27" spans="1:26" ht="12.75" customHeight="1" x14ac:dyDescent="0.35">
      <c r="A27" s="142"/>
      <c r="B27" s="142"/>
      <c r="C27" s="142"/>
      <c r="D27" s="142"/>
      <c r="E27" s="305"/>
      <c r="F27" s="256"/>
      <c r="G27" s="148" t="str">
        <f>'C. FILIACION'!B18</f>
        <v>LOPEZ BLANCO SOFIA BELEN</v>
      </c>
      <c r="H27" s="149">
        <f>'CENTRAL 2'!F19</f>
        <v>78.333333333333329</v>
      </c>
      <c r="I27" s="142"/>
      <c r="J27" s="142"/>
      <c r="K27" s="142"/>
      <c r="L27" s="142"/>
      <c r="M27" s="142"/>
      <c r="N27" s="142"/>
      <c r="O27" s="142"/>
      <c r="P27" s="142"/>
      <c r="Q27" s="142"/>
      <c r="R27" s="142"/>
      <c r="S27" s="142"/>
      <c r="T27" s="142"/>
      <c r="U27" s="142"/>
      <c r="V27" s="142"/>
      <c r="W27" s="142"/>
      <c r="X27" s="142"/>
      <c r="Y27" s="142"/>
      <c r="Z27" s="142"/>
    </row>
    <row r="28" spans="1:26" ht="12.75" customHeight="1" x14ac:dyDescent="0.35">
      <c r="A28" s="142"/>
      <c r="B28" s="142"/>
      <c r="C28" s="142"/>
      <c r="D28" s="142"/>
      <c r="E28" s="305"/>
      <c r="F28" s="256"/>
      <c r="G28" s="148" t="str">
        <f>'C. FILIACION'!B19</f>
        <v>LOPEZ PACO RODRIGO ADRIAN</v>
      </c>
      <c r="H28" s="149">
        <f>'CENTRAL 2'!F20</f>
        <v>66.666666666666671</v>
      </c>
      <c r="I28" s="142"/>
      <c r="J28" s="142"/>
      <c r="K28" s="142"/>
      <c r="L28" s="142"/>
      <c r="M28" s="142"/>
      <c r="N28" s="142"/>
      <c r="O28" s="142"/>
      <c r="P28" s="142"/>
      <c r="Q28" s="142"/>
      <c r="R28" s="142"/>
      <c r="S28" s="142"/>
      <c r="T28" s="142"/>
      <c r="U28" s="142"/>
      <c r="V28" s="142"/>
      <c r="W28" s="142"/>
      <c r="X28" s="142"/>
      <c r="Y28" s="142"/>
      <c r="Z28" s="142"/>
    </row>
    <row r="29" spans="1:26" ht="12.75" customHeight="1" x14ac:dyDescent="0.35">
      <c r="A29" s="142"/>
      <c r="B29" s="142"/>
      <c r="C29" s="142"/>
      <c r="D29" s="142"/>
      <c r="E29" s="305"/>
      <c r="F29" s="256"/>
      <c r="G29" s="148" t="str">
        <f>'C. FILIACION'!B20</f>
        <v>LOPEZ VERA MILENCA</v>
      </c>
      <c r="H29" s="149">
        <f>'CENTRAL 2'!F21</f>
        <v>95.666666666666671</v>
      </c>
      <c r="I29" s="142"/>
      <c r="J29" s="142"/>
      <c r="K29" s="142"/>
      <c r="L29" s="142"/>
      <c r="M29" s="142"/>
      <c r="N29" s="142"/>
      <c r="O29" s="142"/>
      <c r="P29" s="142"/>
      <c r="Q29" s="142"/>
      <c r="R29" s="142"/>
      <c r="S29" s="142"/>
      <c r="T29" s="142"/>
      <c r="U29" s="142"/>
      <c r="V29" s="142"/>
      <c r="W29" s="142"/>
      <c r="X29" s="142"/>
      <c r="Y29" s="142"/>
      <c r="Z29" s="142"/>
    </row>
    <row r="30" spans="1:26" ht="12.75" customHeight="1" x14ac:dyDescent="0.35">
      <c r="A30" s="142"/>
      <c r="B30" s="142"/>
      <c r="C30" s="142"/>
      <c r="D30" s="142"/>
      <c r="E30" s="305"/>
      <c r="F30" s="256"/>
      <c r="G30" s="148" t="str">
        <f>'C. FILIACION'!B21</f>
        <v>MEDINA CHOQUE JOSE ROBERTO</v>
      </c>
      <c r="H30" s="149">
        <f>'CENTRAL 2'!F22</f>
        <v>77.333333333333329</v>
      </c>
      <c r="I30" s="142"/>
      <c r="J30" s="142"/>
      <c r="K30" s="142"/>
      <c r="L30" s="142"/>
      <c r="M30" s="142"/>
      <c r="N30" s="142"/>
      <c r="O30" s="142"/>
      <c r="P30" s="142"/>
      <c r="Q30" s="142"/>
      <c r="R30" s="142"/>
      <c r="S30" s="142"/>
      <c r="T30" s="142"/>
      <c r="U30" s="142"/>
      <c r="V30" s="142"/>
      <c r="W30" s="142"/>
      <c r="X30" s="142"/>
      <c r="Y30" s="142"/>
      <c r="Z30" s="142"/>
    </row>
    <row r="31" spans="1:26" ht="12.75" customHeight="1" x14ac:dyDescent="0.35">
      <c r="A31" s="142"/>
      <c r="B31" s="142"/>
      <c r="C31" s="142"/>
      <c r="D31" s="142"/>
      <c r="E31" s="305"/>
      <c r="F31" s="256"/>
      <c r="G31" s="148" t="str">
        <f>'C. FILIACION'!B22</f>
        <v>MIRABAL AYANOME JOSE ALFREDO</v>
      </c>
      <c r="H31" s="149">
        <f>'CENTRAL 2'!F23</f>
        <v>66.666666666666671</v>
      </c>
      <c r="I31" s="142"/>
      <c r="J31" s="142"/>
      <c r="K31" s="142"/>
      <c r="L31" s="142"/>
      <c r="M31" s="142"/>
      <c r="N31" s="142"/>
      <c r="O31" s="142"/>
      <c r="P31" s="142"/>
      <c r="Q31" s="142"/>
      <c r="R31" s="142"/>
      <c r="S31" s="142"/>
      <c r="T31" s="142"/>
      <c r="U31" s="142"/>
      <c r="V31" s="142"/>
      <c r="W31" s="142"/>
      <c r="X31" s="142"/>
      <c r="Y31" s="142"/>
      <c r="Z31" s="142"/>
    </row>
    <row r="32" spans="1:26" ht="12.75" customHeight="1" x14ac:dyDescent="0.35">
      <c r="A32" s="142"/>
      <c r="B32" s="142"/>
      <c r="C32" s="142"/>
      <c r="D32" s="142"/>
      <c r="E32" s="305"/>
      <c r="F32" s="256"/>
      <c r="G32" s="148" t="str">
        <f>'C. FILIACION'!B23</f>
        <v>NINA RUEDA ESTEFANY DANIELA</v>
      </c>
      <c r="H32" s="149">
        <f>'CENTRAL 2'!F24</f>
        <v>79.666666666666671</v>
      </c>
      <c r="I32" s="142"/>
      <c r="J32" s="142"/>
      <c r="K32" s="142"/>
      <c r="L32" s="142"/>
      <c r="M32" s="142"/>
      <c r="N32" s="142"/>
      <c r="O32" s="142"/>
      <c r="P32" s="142"/>
      <c r="Q32" s="142"/>
      <c r="R32" s="142"/>
      <c r="S32" s="142"/>
      <c r="T32" s="142"/>
      <c r="U32" s="142"/>
      <c r="V32" s="142"/>
      <c r="W32" s="142"/>
      <c r="X32" s="142"/>
      <c r="Y32" s="142"/>
      <c r="Z32" s="142"/>
    </row>
    <row r="33" spans="1:26" ht="12.75" customHeight="1" x14ac:dyDescent="0.35">
      <c r="A33" s="142"/>
      <c r="B33" s="142"/>
      <c r="C33" s="142"/>
      <c r="D33" s="142"/>
      <c r="E33" s="305"/>
      <c r="F33" s="256"/>
      <c r="G33" s="148" t="str">
        <f>'C. FILIACION'!B24</f>
        <v>PORTILLO QUISPE JORGE LUIS</v>
      </c>
      <c r="H33" s="149">
        <f>'CENTRAL 2'!F25</f>
        <v>78.666666666666671</v>
      </c>
      <c r="I33" s="142"/>
      <c r="J33" s="142"/>
      <c r="K33" s="142"/>
      <c r="L33" s="142"/>
      <c r="M33" s="142"/>
      <c r="N33" s="142"/>
      <c r="O33" s="142"/>
      <c r="P33" s="142"/>
      <c r="Q33" s="142"/>
      <c r="R33" s="142"/>
      <c r="S33" s="142"/>
      <c r="T33" s="142"/>
      <c r="U33" s="142"/>
      <c r="V33" s="142"/>
      <c r="W33" s="142"/>
      <c r="X33" s="142"/>
      <c r="Y33" s="142"/>
      <c r="Z33" s="142"/>
    </row>
    <row r="34" spans="1:26" ht="12.75" customHeight="1" x14ac:dyDescent="0.35">
      <c r="A34" s="142"/>
      <c r="B34" s="142"/>
      <c r="C34" s="142"/>
      <c r="D34" s="142"/>
      <c r="E34" s="305"/>
      <c r="F34" s="256"/>
      <c r="G34" s="148" t="str">
        <f>'C. FILIACION'!B25</f>
        <v>TORREZ PACO CARLA MILENKA</v>
      </c>
      <c r="H34" s="149">
        <f>'CENTRAL 2'!F26</f>
        <v>76</v>
      </c>
      <c r="I34" s="142"/>
      <c r="J34" s="142"/>
      <c r="K34" s="142"/>
      <c r="L34" s="142"/>
      <c r="M34" s="142"/>
      <c r="N34" s="142"/>
      <c r="O34" s="142"/>
      <c r="P34" s="142"/>
      <c r="Q34" s="142"/>
      <c r="R34" s="142"/>
      <c r="S34" s="142"/>
      <c r="T34" s="142"/>
      <c r="U34" s="142"/>
      <c r="V34" s="142"/>
      <c r="W34" s="142"/>
      <c r="X34" s="142"/>
      <c r="Y34" s="142"/>
      <c r="Z34" s="142"/>
    </row>
    <row r="35" spans="1:26" ht="12.75" customHeight="1" x14ac:dyDescent="0.35">
      <c r="A35" s="142"/>
      <c r="B35" s="142"/>
      <c r="C35" s="142"/>
      <c r="D35" s="142"/>
      <c r="E35" s="308"/>
      <c r="F35" s="256"/>
      <c r="G35" s="148">
        <f>'C. FILIACION'!B26</f>
        <v>0</v>
      </c>
      <c r="H35" s="149">
        <f>'CENTRAL 2'!F27</f>
        <v>76.666666666666671</v>
      </c>
      <c r="I35" s="142"/>
      <c r="J35" s="142"/>
      <c r="K35" s="142"/>
      <c r="L35" s="142"/>
      <c r="M35" s="142"/>
      <c r="N35" s="142"/>
      <c r="O35" s="142"/>
      <c r="P35" s="142"/>
      <c r="Q35" s="142"/>
      <c r="R35" s="142"/>
      <c r="S35" s="142"/>
      <c r="T35" s="142"/>
      <c r="U35" s="142"/>
      <c r="V35" s="142"/>
      <c r="W35" s="142"/>
      <c r="X35" s="142"/>
      <c r="Y35" s="142"/>
      <c r="Z35" s="142"/>
    </row>
    <row r="36" spans="1:26" ht="12.75" customHeight="1" x14ac:dyDescent="0.35">
      <c r="A36" s="142"/>
      <c r="B36" s="142"/>
      <c r="C36" s="142"/>
      <c r="D36" s="142"/>
      <c r="E36" s="305"/>
      <c r="F36" s="256"/>
      <c r="G36" s="148">
        <f>'C. FILIACION'!B27</f>
        <v>0</v>
      </c>
      <c r="H36" s="149">
        <f>'CENTRAL 2'!F28</f>
        <v>76.666666666666671</v>
      </c>
      <c r="I36" s="142"/>
      <c r="J36" s="142"/>
      <c r="K36" s="142"/>
      <c r="L36" s="142"/>
      <c r="M36" s="142"/>
      <c r="N36" s="142"/>
      <c r="O36" s="142"/>
      <c r="P36" s="142"/>
      <c r="Q36" s="142"/>
      <c r="R36" s="142"/>
      <c r="S36" s="142"/>
      <c r="T36" s="142"/>
      <c r="U36" s="142"/>
      <c r="V36" s="142"/>
      <c r="W36" s="142"/>
      <c r="X36" s="142"/>
      <c r="Y36" s="142"/>
      <c r="Z36" s="142"/>
    </row>
    <row r="37" spans="1:26" ht="12.75" customHeight="1" x14ac:dyDescent="0.35">
      <c r="A37" s="142"/>
      <c r="B37" s="142"/>
      <c r="C37" s="142"/>
      <c r="D37" s="142"/>
      <c r="E37" s="305"/>
      <c r="F37" s="256"/>
      <c r="G37" s="148">
        <f>'C. FILIACION'!B28</f>
        <v>0</v>
      </c>
      <c r="H37" s="149">
        <f>'CENTRAL 2'!F29</f>
        <v>76.666666666666671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35">
      <c r="A38" s="142"/>
      <c r="B38" s="142"/>
      <c r="C38" s="142"/>
      <c r="D38" s="142"/>
      <c r="E38" s="305"/>
      <c r="F38" s="256"/>
      <c r="G38" s="148">
        <f>'C. FILIACION'!B29</f>
        <v>0</v>
      </c>
      <c r="H38" s="149">
        <f>'CENTRAL 2'!F30</f>
        <v>76.666666666666671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35">
      <c r="A39" s="142"/>
      <c r="B39" s="142"/>
      <c r="C39" s="142"/>
      <c r="D39" s="142"/>
      <c r="E39" s="305"/>
      <c r="F39" s="256"/>
      <c r="G39" s="148">
        <f>'C. FILIACION'!B30</f>
        <v>0</v>
      </c>
      <c r="H39" s="149">
        <f>'CENTRAL 2'!F31</f>
        <v>76.666666666666671</v>
      </c>
      <c r="I39" s="142"/>
      <c r="J39" s="142"/>
      <c r="K39" s="142"/>
      <c r="L39" s="142"/>
      <c r="M39" s="142"/>
      <c r="N39" s="142"/>
      <c r="O39" s="142"/>
      <c r="P39" s="142"/>
      <c r="Q39" s="142"/>
      <c r="R39" s="142"/>
      <c r="S39" s="142"/>
      <c r="T39" s="142"/>
      <c r="U39" s="142"/>
      <c r="V39" s="142"/>
      <c r="W39" s="142"/>
      <c r="X39" s="142"/>
      <c r="Y39" s="142"/>
      <c r="Z39" s="142"/>
    </row>
    <row r="40" spans="1:26" ht="12.75" customHeight="1" x14ac:dyDescent="0.35">
      <c r="A40" s="142"/>
      <c r="B40" s="142"/>
      <c r="C40" s="142"/>
      <c r="D40" s="142"/>
      <c r="E40" s="305"/>
      <c r="F40" s="256"/>
      <c r="G40" s="148">
        <f>'C. FILIACION'!B31</f>
        <v>0</v>
      </c>
      <c r="H40" s="149">
        <f>'CENTRAL 2'!F32</f>
        <v>76.666666666666671</v>
      </c>
      <c r="I40" s="142"/>
      <c r="J40" s="142"/>
      <c r="K40" s="142"/>
      <c r="L40" s="142"/>
      <c r="M40" s="142"/>
      <c r="N40" s="142"/>
      <c r="O40" s="142"/>
      <c r="P40" s="142"/>
      <c r="Q40" s="142"/>
      <c r="R40" s="142"/>
      <c r="S40" s="142"/>
      <c r="T40" s="142"/>
      <c r="U40" s="142"/>
      <c r="V40" s="142"/>
      <c r="W40" s="142"/>
      <c r="X40" s="142"/>
      <c r="Y40" s="142"/>
      <c r="Z40" s="142"/>
    </row>
    <row r="41" spans="1:26" ht="12.75" customHeight="1" x14ac:dyDescent="0.35">
      <c r="A41" s="142"/>
      <c r="B41" s="142"/>
      <c r="C41" s="142"/>
      <c r="D41" s="142"/>
      <c r="E41" s="305"/>
      <c r="F41" s="256"/>
      <c r="G41" s="148">
        <f>'C. FILIACION'!B32</f>
        <v>0</v>
      </c>
      <c r="H41" s="149">
        <f>'CENTRAL 2'!F33</f>
        <v>76.666666666666671</v>
      </c>
      <c r="I41" s="142"/>
      <c r="J41" s="142"/>
      <c r="K41" s="142"/>
      <c r="L41" s="142"/>
      <c r="M41" s="142"/>
      <c r="N41" s="142"/>
      <c r="O41" s="142"/>
      <c r="P41" s="142"/>
      <c r="Q41" s="142"/>
      <c r="R41" s="142"/>
      <c r="S41" s="142"/>
      <c r="T41" s="142"/>
      <c r="U41" s="142"/>
      <c r="V41" s="142"/>
      <c r="W41" s="142"/>
      <c r="X41" s="142"/>
      <c r="Y41" s="142"/>
      <c r="Z41" s="142"/>
    </row>
    <row r="42" spans="1:26" ht="12.75" customHeight="1" x14ac:dyDescent="0.35">
      <c r="A42" s="142"/>
      <c r="B42" s="142"/>
      <c r="C42" s="142"/>
      <c r="D42" s="142"/>
      <c r="E42" s="305"/>
      <c r="F42" s="256"/>
      <c r="G42" s="148">
        <f>'C. FILIACION'!B33</f>
        <v>0</v>
      </c>
      <c r="H42" s="149">
        <f>'CENTRAL 2'!F34</f>
        <v>76.666666666666671</v>
      </c>
      <c r="I42" s="142"/>
      <c r="J42" s="142"/>
      <c r="K42" s="142"/>
      <c r="L42" s="142"/>
      <c r="M42" s="142"/>
      <c r="N42" s="142"/>
      <c r="O42" s="142"/>
      <c r="P42" s="142"/>
      <c r="Q42" s="142"/>
      <c r="R42" s="142"/>
      <c r="S42" s="142"/>
      <c r="T42" s="142"/>
      <c r="U42" s="142"/>
      <c r="V42" s="142"/>
      <c r="W42" s="142"/>
      <c r="X42" s="142"/>
      <c r="Y42" s="142"/>
      <c r="Z42" s="142"/>
    </row>
    <row r="43" spans="1:26" ht="12.75" customHeight="1" x14ac:dyDescent="0.35">
      <c r="A43" s="142"/>
      <c r="B43" s="142"/>
      <c r="C43" s="142"/>
      <c r="D43" s="142"/>
      <c r="E43" s="305"/>
      <c r="F43" s="256"/>
      <c r="G43" s="148">
        <f>'C. FILIACION'!B34</f>
        <v>0</v>
      </c>
      <c r="H43" s="149">
        <f>'CENTRAL 2'!F35</f>
        <v>76.666666666666671</v>
      </c>
      <c r="I43" s="142"/>
      <c r="J43" s="142"/>
      <c r="K43" s="142"/>
      <c r="L43" s="142"/>
      <c r="M43" s="142"/>
      <c r="N43" s="142"/>
      <c r="O43" s="142"/>
      <c r="P43" s="142"/>
      <c r="Q43" s="142"/>
      <c r="R43" s="142"/>
      <c r="S43" s="142"/>
      <c r="T43" s="142"/>
      <c r="U43" s="142"/>
      <c r="V43" s="142"/>
      <c r="W43" s="142"/>
      <c r="X43" s="142"/>
      <c r="Y43" s="142"/>
      <c r="Z43" s="142"/>
    </row>
    <row r="44" spans="1:26" ht="12.75" customHeight="1" x14ac:dyDescent="0.35">
      <c r="A44" s="142"/>
      <c r="B44" s="142"/>
      <c r="C44" s="142"/>
      <c r="D44" s="142"/>
      <c r="E44" s="305"/>
      <c r="F44" s="256"/>
      <c r="G44" s="148">
        <f>'C. FILIACION'!B35</f>
        <v>0</v>
      </c>
      <c r="H44" s="149">
        <f>'CENTRAL 2'!F36</f>
        <v>76.666666666666671</v>
      </c>
      <c r="I44" s="142"/>
      <c r="J44" s="142"/>
      <c r="K44" s="142"/>
      <c r="L44" s="142"/>
      <c r="M44" s="142"/>
      <c r="N44" s="142"/>
      <c r="O44" s="142"/>
      <c r="P44" s="142"/>
      <c r="Q44" s="142"/>
      <c r="R44" s="142"/>
      <c r="S44" s="142"/>
      <c r="T44" s="142"/>
      <c r="U44" s="142"/>
      <c r="V44" s="142"/>
      <c r="W44" s="142"/>
      <c r="X44" s="142"/>
      <c r="Y44" s="142"/>
      <c r="Z44" s="142"/>
    </row>
    <row r="45" spans="1:26" ht="12.75" customHeight="1" x14ac:dyDescent="0.35">
      <c r="A45" s="142"/>
      <c r="B45" s="142"/>
      <c r="C45" s="142"/>
      <c r="D45" s="142"/>
      <c r="E45" s="305"/>
      <c r="F45" s="256"/>
      <c r="G45" s="148">
        <f>'C. FILIACION'!B36</f>
        <v>0</v>
      </c>
      <c r="H45" s="149">
        <f>'CENTRAL 2'!F37</f>
        <v>88.333333333333329</v>
      </c>
      <c r="I45" s="142"/>
      <c r="J45" s="142"/>
      <c r="K45" s="142"/>
      <c r="L45" s="142"/>
      <c r="M45" s="142"/>
      <c r="N45" s="142"/>
      <c r="O45" s="142"/>
      <c r="P45" s="142"/>
      <c r="Q45" s="142"/>
      <c r="R45" s="142"/>
      <c r="S45" s="142"/>
      <c r="T45" s="142"/>
      <c r="U45" s="142"/>
      <c r="V45" s="142"/>
      <c r="W45" s="142"/>
      <c r="X45" s="142"/>
      <c r="Y45" s="142"/>
      <c r="Z45" s="142"/>
    </row>
    <row r="46" spans="1:26" ht="12.75" customHeight="1" x14ac:dyDescent="0.35">
      <c r="A46" s="142"/>
      <c r="B46" s="142"/>
      <c r="C46" s="142"/>
      <c r="D46" s="142"/>
      <c r="E46" s="305"/>
      <c r="F46" s="256"/>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5">
      <c r="A47" s="142"/>
      <c r="B47" s="142"/>
      <c r="C47" s="142"/>
      <c r="D47" s="142"/>
      <c r="E47" s="305"/>
      <c r="F47" s="256"/>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5">
      <c r="A48" s="142"/>
      <c r="B48" s="142"/>
      <c r="C48" s="142"/>
      <c r="D48" s="142"/>
      <c r="E48" s="305"/>
      <c r="F48" s="256"/>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5">
      <c r="A49" s="142"/>
      <c r="B49" s="142"/>
      <c r="C49" s="142"/>
      <c r="D49" s="142"/>
      <c r="E49" s="305"/>
      <c r="F49" s="256"/>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5">
      <c r="A50" s="142"/>
      <c r="B50" s="142"/>
      <c r="C50" s="142"/>
      <c r="D50" s="142"/>
      <c r="E50" s="305"/>
      <c r="F50" s="256"/>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5">
      <c r="A51" s="142"/>
      <c r="B51" s="142"/>
      <c r="C51" s="142"/>
      <c r="D51" s="142"/>
      <c r="E51" s="305"/>
      <c r="F51" s="256"/>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5">
      <c r="A52" s="142"/>
      <c r="B52" s="142"/>
      <c r="C52" s="142"/>
      <c r="D52" s="142"/>
      <c r="E52" s="305"/>
      <c r="F52" s="256"/>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5">
      <c r="A53" s="142"/>
      <c r="B53" s="142"/>
      <c r="C53" s="142"/>
      <c r="D53" s="142"/>
      <c r="E53" s="305"/>
      <c r="F53" s="256"/>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5">
      <c r="A54" s="142"/>
      <c r="B54" s="142"/>
      <c r="C54" s="142"/>
      <c r="D54" s="142"/>
      <c r="E54" s="305"/>
      <c r="F54" s="256"/>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5">
      <c r="A55" s="142"/>
      <c r="B55" s="142"/>
      <c r="C55" s="142"/>
      <c r="D55" s="142"/>
      <c r="E55" s="305"/>
      <c r="F55" s="256"/>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5">
      <c r="A56" s="142"/>
      <c r="B56" s="142"/>
      <c r="C56" s="142"/>
      <c r="D56" s="142"/>
      <c r="E56" s="305"/>
      <c r="F56" s="256"/>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5">
      <c r="A57" s="142"/>
      <c r="B57" s="142"/>
      <c r="C57" s="142"/>
      <c r="D57" s="142"/>
      <c r="E57" s="305"/>
      <c r="F57" s="256"/>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5">
      <c r="A58" s="142"/>
      <c r="B58" s="142"/>
      <c r="C58" s="142"/>
      <c r="D58" s="142"/>
      <c r="E58" s="305"/>
      <c r="F58" s="256"/>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5">
      <c r="A59" s="142"/>
      <c r="B59" s="142"/>
      <c r="C59" s="142"/>
      <c r="D59" s="142"/>
      <c r="E59" s="305"/>
      <c r="F59" s="256"/>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5">
      <c r="A60" s="142"/>
      <c r="B60" s="142"/>
      <c r="C60" s="142"/>
      <c r="D60" s="142"/>
      <c r="E60" s="306"/>
      <c r="F60" s="307"/>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5">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5">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5">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5">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5">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5">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5">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5">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5">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5">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5">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5">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5">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5">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5">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5">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5">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5">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5">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5">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5">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5">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5">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5">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5">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5">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5">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5">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5">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5">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5">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5">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5">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5">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5">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5">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5">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5">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5">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5">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5">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5">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5">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5">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5">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5">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5">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5">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5">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5">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5">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5">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5">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5">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5">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5">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5">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5">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5">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5">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5">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5">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5">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5">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5">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5">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5">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5">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5">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5">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5">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5">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5">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5">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5">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5">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5">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5">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5">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5">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5">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5">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5">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5">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5">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5">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5">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5">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5">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5">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5">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5">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5">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5">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5">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5">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5">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5">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5">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5">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5">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5">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5">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5">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5">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5">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5">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5">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5">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5">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5">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5">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5">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5">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5">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5">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5">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5">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5">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5">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5">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5">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5">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5">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5">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5">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5">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5">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5">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5">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5">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5">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5">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5">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5">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5">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5">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5">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5">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5">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5">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5">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5">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5">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5">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5">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5">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5">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5">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5">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5">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5">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5">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5">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5">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5">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5">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5">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5">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5">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5">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5">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5">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5">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5">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5">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5">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5">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5">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5">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5">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5">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5">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5">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5">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5">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5">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5">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5">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5">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5">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5">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5">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5">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5">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5">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5">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5">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5">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5">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5">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5">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5">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5">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5">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5">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5">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5">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5">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5">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5">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5">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5">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5">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5">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5">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5">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5">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5">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5">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5">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5">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5">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5">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5">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5">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5">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5">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5">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5">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5">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5">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5">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5">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5">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5">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5">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5">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5">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5">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5">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5">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5">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5">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5">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5">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5">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5">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5">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5">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5">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5">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5">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5">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5">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5">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5">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5">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5">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5">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5">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5">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5">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5">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5">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5">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5">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5">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5">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5">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5">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5">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5">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5">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5">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5">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5">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5">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5">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5">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5">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5">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5">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5">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5">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5">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5">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5">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5">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5">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5">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5">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5">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5">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5">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5">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5">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5">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5">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5">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5">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5">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5">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5">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5">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5">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5">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5">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5">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5">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5">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5">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5">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5">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5">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5">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5">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5">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5">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5">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5">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5">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5">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5">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5">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5">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5">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5">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5">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5">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5">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5">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5">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5">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5">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5">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5">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5">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5">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5">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5">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5">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5">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5">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5">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5">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5">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5">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5">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5">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5">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5">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5">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5">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5">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5">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5">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5">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5">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5">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5">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5">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5">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5">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5">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5">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5">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5">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5">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5">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5">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5">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5">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5">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5">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5">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5">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5">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5">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5">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5">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5">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5">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5">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5">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5">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5">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5">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5">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5">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5">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5">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5">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5">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5">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5">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5">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5">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5">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5">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5">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5">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5">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5">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5">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5">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5">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5">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5">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5">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5">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5">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5">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5">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5">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5">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5">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5">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5">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5">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5">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5">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5">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5">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5">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5">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5">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5">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5">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5">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5">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5">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5">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5">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5">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5">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5">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5">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5">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5">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5">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5">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5">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5">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5">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5">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5">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5">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5">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5">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5">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5">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5">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5">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5">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5">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5">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5">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5">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5">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5">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5">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5">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5">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5">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5">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5">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5">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5">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5">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5">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5">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5">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5">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5">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5">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5">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5">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5">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5">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5">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5">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5">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5">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5">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5">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5">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5">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5">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5">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5">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5">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5">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5">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5">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5">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5">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5">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5">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5">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5">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5">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5">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5">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5">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5">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5">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5">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5">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5">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5">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5">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5">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5">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5">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5">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5">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5">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5">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5">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5">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5">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5">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5">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5">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5">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5">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5">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5">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5">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5">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5">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5">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5">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5">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5">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5">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5">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5">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5">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5">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5">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5">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5">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5">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5">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5">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5">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5">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5">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5">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5">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5">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5">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5">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5">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5">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5">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5">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5">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5">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5">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5">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5">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5">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5">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5">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5">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5">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5">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5">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5">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5">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5">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5">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5">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5">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5">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5">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5">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5">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5">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5">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5">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5">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5">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5">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5">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5">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5">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5">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5">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5">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5">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5">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5">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5">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5">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5">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5">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5">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5">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5">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5">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5">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5">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5">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5">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5">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5">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5">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5">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5">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5">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5">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5">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5">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5">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5">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5">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5">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5">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5">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5">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5">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5">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5">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5">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5">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5">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5">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5">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5">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5">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5">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5">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5">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5">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5">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5">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5">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5">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5">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5">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5">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5">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5">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5">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5">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5">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5">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5">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5">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5">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5">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5">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5">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5">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5">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5">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5">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5">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5">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5">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5">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5">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5">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5">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5">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5">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5">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5">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5">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5">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5">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5">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5">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5">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5">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5">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5">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5">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5">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5">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5">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5">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5">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5">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5">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5">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5">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5">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5">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5">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5">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5">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5">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5">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5">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5">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5">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5">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5">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5">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5">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5">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5">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5">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5">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5">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5">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5">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5">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5">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5">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5">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5">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5">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5">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5">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5">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5">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5">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5">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5">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5">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5">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5">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5">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5">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5">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5">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5">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5">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5">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5">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5">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5">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5">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5">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5">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5">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5">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5">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5">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5">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5">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5">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5">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5">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5">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5">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5">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5">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5">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5">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5">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5">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5">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5">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5">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5">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5">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5">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5">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5">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5">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5">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5">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5">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5">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5">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5">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5">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5">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5">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5">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5">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5">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5">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5">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5">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5">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5">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5">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5">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5">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5">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5">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5">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5">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5">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5">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5">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5">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5">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5">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5">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5">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5">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5">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5">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5">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5">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5">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5">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5">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5">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5">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5">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5">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5">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5">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5">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5">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5">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5">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5">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5">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5">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5">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5">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5">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5">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5">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5">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5">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5">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5">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5">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5">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5">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5">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5">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5">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5">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5">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5">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5">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5">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5">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5">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5">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5">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5">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5">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5">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5">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5">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5">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5">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5">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5">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5">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5">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5">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5">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5">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5">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5">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5">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5">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5">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5">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5">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5">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5">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5">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5">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5">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5">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5">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5">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5">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5">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5">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5">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5">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5">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5">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5">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5">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5">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5">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5">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5">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5">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5">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5">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5">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5">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5">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5">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5">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5">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5">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5">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5">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5">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5">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5">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5">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5">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5">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5">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5">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5">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5">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5">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5">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5">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5">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5">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5">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5">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5">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5">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5">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5">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5">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5">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5">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5">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5">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5">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5">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5">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5">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5">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5">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5">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5">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5">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5">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5">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5">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5">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5">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5">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5">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5">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5">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5">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5">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5">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5">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5">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5">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5">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5">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2021-08-13T20:41:45Z</cp:lastPrinted>
  <dcterms:created xsi:type="dcterms:W3CDTF">2020-01-23T13:58:13Z</dcterms:created>
  <dcterms:modified xsi:type="dcterms:W3CDTF">2021-08-13T20:41:52Z</dcterms:modified>
</cp:coreProperties>
</file>