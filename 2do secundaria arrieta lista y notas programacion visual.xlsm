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E04339AE-E846-48AE-8F7C-4C4EEC235757}" xr6:coauthVersionLast="47" xr6:coauthVersionMax="47" xr10:uidLastSave="{00000000-0000-0000-0000-000000000000}"/>
  <bookViews>
    <workbookView minimized="1" xWindow="343" yWindow="1226" windowWidth="16114" windowHeight="6308" activeTab="3" xr2:uid="{00000000-000D-0000-FFFF-FFFF00000000}"/>
  </bookViews>
  <sheets>
    <sheet name="CARÁTULA" sheetId="1" r:id="rId1"/>
    <sheet name="C. FILIACION" sheetId="2" r:id="rId2"/>
    <sheet name="ASIS 1 TRIM" sheetId="3" r:id="rId3"/>
    <sheet name="ASIS 2 TRIM" sheetId="4" r:id="rId4"/>
    <sheet name="ASIS 3 TRIM" sheetId="5" r:id="rId5"/>
    <sheet name="VAL 1 TRIM " sheetId="6" r:id="rId6"/>
    <sheet name="VAL 2 TRIM" sheetId="7" r:id="rId7"/>
    <sheet name="VAL 3 TRIM" sheetId="8" r:id="rId8"/>
    <sheet name="CENTRAL 1" sheetId="9" r:id="rId9"/>
    <sheet name="CENTRAL 2" sheetId="10" r:id="rId10"/>
    <sheet name="DIMEN 1" sheetId="11" r:id="rId11"/>
    <sheet name="DIMEN 2" sheetId="12" r:id="rId12"/>
    <sheet name="DIMEN 3" sheetId="13" r:id="rId13"/>
    <sheet name="ESTADIST" sheetId="14" r:id="rId14"/>
    <sheet name="AVANCE" sheetId="15" r:id="rId15"/>
    <sheet name="EST_DEST" sheetId="16" r:id="rId16"/>
  </sheets>
  <definedNames>
    <definedName name="_xlnm._FilterDatabase" localSheetId="15" hidden="1">EST_DEST!$E$16:$H$60</definedName>
  </definedNames>
  <calcPr calcId="181029"/>
  <extLst>
    <ext uri="GoogleSheetsCustomDataVersion1">
      <go:sheetsCustomData xmlns:go="http://customooxmlschemas.google.com/" r:id="rId21" roundtripDataSignature="AMtx7mjwSvripJawUGYf0ePi6KIiWNsObQ=="/>
    </ext>
  </extLst>
</workbook>
</file>

<file path=xl/calcChain.xml><?xml version="1.0" encoding="utf-8"?>
<calcChain xmlns="http://schemas.openxmlformats.org/spreadsheetml/2006/main">
  <c r="H60" i="16" l="1"/>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G40" i="15"/>
  <c r="H39" i="15" s="1"/>
  <c r="F40" i="15"/>
  <c r="E40" i="15"/>
  <c r="G33" i="15"/>
  <c r="H30" i="15" s="1"/>
  <c r="H33" i="15" s="1"/>
  <c r="F33" i="15"/>
  <c r="E33" i="15"/>
  <c r="H32" i="15"/>
  <c r="H31" i="15"/>
  <c r="G26" i="15"/>
  <c r="F26" i="15"/>
  <c r="E26" i="15"/>
  <c r="H25" i="15"/>
  <c r="H24" i="15"/>
  <c r="H23" i="15"/>
  <c r="G19" i="15"/>
  <c r="F19" i="15"/>
  <c r="E19" i="15"/>
  <c r="H18" i="15"/>
  <c r="H17" i="15"/>
  <c r="H16" i="15"/>
  <c r="G12" i="15"/>
  <c r="F12" i="15"/>
  <c r="E12" i="15"/>
  <c r="H11" i="15"/>
  <c r="H10" i="15"/>
  <c r="H9" i="15"/>
  <c r="H12" i="15" s="1"/>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G44" i="8"/>
  <c r="E44" i="10" s="1"/>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H37" i="8"/>
  <c r="AG37" i="8"/>
  <c r="AF37" i="8" s="1"/>
  <c r="AE37" i="8"/>
  <c r="S37" i="9" s="1"/>
  <c r="AB37" i="8"/>
  <c r="Q37" i="9" s="1"/>
  <c r="O37" i="8"/>
  <c r="P37" i="9" s="1"/>
  <c r="B37" i="8"/>
  <c r="AG36" i="8"/>
  <c r="E36" i="10" s="1"/>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Q31" i="9" s="1"/>
  <c r="O31" i="8"/>
  <c r="P31" i="9" s="1"/>
  <c r="B31" i="8"/>
  <c r="AE30" i="8"/>
  <c r="S30" i="9" s="1"/>
  <c r="AB30" i="8"/>
  <c r="Q30" i="9" s="1"/>
  <c r="O30" i="8"/>
  <c r="P30" i="9" s="1"/>
  <c r="B30" i="8"/>
  <c r="AH29" i="8"/>
  <c r="AG29" i="8"/>
  <c r="AF29" i="8" s="1"/>
  <c r="AE29" i="8"/>
  <c r="S29" i="9" s="1"/>
  <c r="AB29" i="8"/>
  <c r="Q29" i="9" s="1"/>
  <c r="O29" i="8"/>
  <c r="P29" i="9" s="1"/>
  <c r="B29" i="8"/>
  <c r="AG28" i="8"/>
  <c r="E28" i="10" s="1"/>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P22" i="9" s="1"/>
  <c r="B22" i="8"/>
  <c r="AH21" i="8"/>
  <c r="AG21" i="8"/>
  <c r="AF21" i="8" s="1"/>
  <c r="AE21" i="8"/>
  <c r="S21" i="9" s="1"/>
  <c r="AB21" i="8"/>
  <c r="Q21" i="9" s="1"/>
  <c r="O21" i="8"/>
  <c r="P21" i="9" s="1"/>
  <c r="B21" i="8"/>
  <c r="AG20" i="8"/>
  <c r="E20" i="10" s="1"/>
  <c r="AE20" i="8"/>
  <c r="S20" i="9" s="1"/>
  <c r="AB20" i="8"/>
  <c r="Q20" i="9" s="1"/>
  <c r="O20" i="8"/>
  <c r="P20" i="9" s="1"/>
  <c r="B20" i="8"/>
  <c r="AE19" i="8"/>
  <c r="S19" i="9" s="1"/>
  <c r="AB19" i="8"/>
  <c r="Q19" i="9" s="1"/>
  <c r="O19" i="8"/>
  <c r="AG19" i="8" s="1"/>
  <c r="B19" i="8"/>
  <c r="AE18" i="8"/>
  <c r="S18" i="9" s="1"/>
  <c r="AB18" i="8"/>
  <c r="Q18" i="9" s="1"/>
  <c r="O18" i="8"/>
  <c r="P18" i="9" s="1"/>
  <c r="B18" i="8"/>
  <c r="AE17" i="8"/>
  <c r="S17" i="9" s="1"/>
  <c r="AB17" i="8"/>
  <c r="Q17" i="9" s="1"/>
  <c r="O17" i="8"/>
  <c r="P17" i="9" s="1"/>
  <c r="B17" i="8"/>
  <c r="AE16" i="8"/>
  <c r="S16" i="9" s="1"/>
  <c r="AB16" i="8"/>
  <c r="Q16" i="9" s="1"/>
  <c r="O16" i="8"/>
  <c r="AG16" i="8" s="1"/>
  <c r="B16" i="8"/>
  <c r="AE15" i="8"/>
  <c r="S15" i="9" s="1"/>
  <c r="AB15" i="8"/>
  <c r="Q15" i="9" s="1"/>
  <c r="O15" i="8"/>
  <c r="P15" i="9" s="1"/>
  <c r="B15" i="8"/>
  <c r="AE14" i="8"/>
  <c r="S14" i="9" s="1"/>
  <c r="AB14" i="8"/>
  <c r="AG14" i="8" s="1"/>
  <c r="O14" i="8"/>
  <c r="P14" i="9" s="1"/>
  <c r="B14" i="8"/>
  <c r="AH13" i="8"/>
  <c r="AG13" i="8"/>
  <c r="E13" i="10" s="1"/>
  <c r="AE13" i="8"/>
  <c r="S13" i="9" s="1"/>
  <c r="AB13" i="8"/>
  <c r="Q13" i="9" s="1"/>
  <c r="O13" i="8"/>
  <c r="P13" i="9" s="1"/>
  <c r="B13" i="8"/>
  <c r="AH12" i="8"/>
  <c r="AG12" i="8"/>
  <c r="E12" i="10" s="1"/>
  <c r="AE12" i="8"/>
  <c r="S12" i="9" s="1"/>
  <c r="AB12" i="8"/>
  <c r="Q12" i="9" s="1"/>
  <c r="O12" i="8"/>
  <c r="P12" i="9" s="1"/>
  <c r="B12" i="8"/>
  <c r="AH11" i="8"/>
  <c r="AG11" i="8"/>
  <c r="E11" i="10" s="1"/>
  <c r="AE11" i="8"/>
  <c r="S11" i="9" s="1"/>
  <c r="AB11" i="8"/>
  <c r="Q11" i="9" s="1"/>
  <c r="O11" i="8"/>
  <c r="P11" i="9" s="1"/>
  <c r="B11" i="8"/>
  <c r="AH10" i="8"/>
  <c r="AG10" i="8"/>
  <c r="E10" i="10" s="1"/>
  <c r="AE10" i="8"/>
  <c r="S10" i="9" s="1"/>
  <c r="AB10" i="8"/>
  <c r="Q10" i="9" s="1"/>
  <c r="O10" i="8"/>
  <c r="P10" i="9" s="1"/>
  <c r="B10" i="8"/>
  <c r="AH9" i="8"/>
  <c r="AG9" i="8"/>
  <c r="E9" i="10" s="1"/>
  <c r="AE9" i="8"/>
  <c r="S9" i="9" s="1"/>
  <c r="AB9" i="8"/>
  <c r="Q9" i="9" s="1"/>
  <c r="O9" i="8"/>
  <c r="P9" i="9" s="1"/>
  <c r="B9" i="8"/>
  <c r="AI5" i="8"/>
  <c r="S5" i="8"/>
  <c r="C5" i="8"/>
  <c r="AI4" i="8"/>
  <c r="S4" i="8"/>
  <c r="C4" i="8"/>
  <c r="AI3" i="8"/>
  <c r="S3" i="8"/>
  <c r="C3" i="8"/>
  <c r="AE44" i="7"/>
  <c r="M44" i="9" s="1"/>
  <c r="AB44" i="7"/>
  <c r="K44" i="9" s="1"/>
  <c r="O44" i="7"/>
  <c r="J44" i="9" s="1"/>
  <c r="B44" i="7"/>
  <c r="AH43" i="7"/>
  <c r="AG43" i="7"/>
  <c r="AF43" i="7" s="1"/>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H35" i="7"/>
  <c r="AG35" i="7"/>
  <c r="AF35" i="7" s="1"/>
  <c r="AE35" i="7"/>
  <c r="M35" i="9" s="1"/>
  <c r="AB35" i="7"/>
  <c r="K35" i="9" s="1"/>
  <c r="O35" i="7"/>
  <c r="J35" i="9" s="1"/>
  <c r="B35" i="7"/>
  <c r="AG34"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B30" i="7"/>
  <c r="AE29" i="7"/>
  <c r="M29" i="9" s="1"/>
  <c r="AB29" i="7"/>
  <c r="K29" i="9" s="1"/>
  <c r="O29" i="7"/>
  <c r="J29" i="9" s="1"/>
  <c r="B29" i="7"/>
  <c r="AE28" i="7"/>
  <c r="M28" i="9" s="1"/>
  <c r="AB28" i="7"/>
  <c r="K28" i="9" s="1"/>
  <c r="O28" i="7"/>
  <c r="J28" i="9" s="1"/>
  <c r="B28" i="7"/>
  <c r="AH27" i="7"/>
  <c r="AG27" i="7"/>
  <c r="AF27" i="7" s="1"/>
  <c r="AE27" i="7"/>
  <c r="M27" i="9" s="1"/>
  <c r="AB27" i="7"/>
  <c r="K27" i="9" s="1"/>
  <c r="O27" i="7"/>
  <c r="J27" i="9" s="1"/>
  <c r="B27" i="7"/>
  <c r="AG26"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B22" i="7"/>
  <c r="AE21" i="7"/>
  <c r="M21" i="9" s="1"/>
  <c r="AB21" i="7"/>
  <c r="K21" i="9" s="1"/>
  <c r="O21" i="7"/>
  <c r="AG21" i="7" s="1"/>
  <c r="B21" i="7"/>
  <c r="AE20" i="7"/>
  <c r="M20" i="9" s="1"/>
  <c r="AB20" i="7"/>
  <c r="K20" i="9" s="1"/>
  <c r="O20" i="7"/>
  <c r="J20" i="9" s="1"/>
  <c r="B20" i="7"/>
  <c r="AE19" i="7"/>
  <c r="M19" i="9" s="1"/>
  <c r="AB19" i="7"/>
  <c r="K19" i="9" s="1"/>
  <c r="O19" i="7"/>
  <c r="J19" i="9" s="1"/>
  <c r="B19" i="7"/>
  <c r="AG18"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B14" i="7"/>
  <c r="AE13" i="7"/>
  <c r="M13" i="9" s="1"/>
  <c r="AB13" i="7"/>
  <c r="K13" i="9" s="1"/>
  <c r="O13" i="7"/>
  <c r="AG13" i="7" s="1"/>
  <c r="B13" i="7"/>
  <c r="AE12" i="7"/>
  <c r="M12" i="9" s="1"/>
  <c r="AB12" i="7"/>
  <c r="K12" i="9" s="1"/>
  <c r="O12" i="7"/>
  <c r="J12" i="9" s="1"/>
  <c r="B12" i="7"/>
  <c r="AE11" i="7"/>
  <c r="M11" i="9" s="1"/>
  <c r="AB11" i="7"/>
  <c r="K11" i="9" s="1"/>
  <c r="O11" i="7"/>
  <c r="AG11" i="7" s="1"/>
  <c r="B11" i="7"/>
  <c r="AE10" i="7"/>
  <c r="M10" i="9" s="1"/>
  <c r="AB10" i="7"/>
  <c r="K10" i="9" s="1"/>
  <c r="O10" i="7"/>
  <c r="J10" i="9" s="1"/>
  <c r="B10" i="7"/>
  <c r="AE9" i="7"/>
  <c r="M9" i="9" s="1"/>
  <c r="AB9" i="7"/>
  <c r="K9" i="9" s="1"/>
  <c r="O9" i="7"/>
  <c r="AG9" i="7" s="1"/>
  <c r="B9" i="7"/>
  <c r="AI5" i="7"/>
  <c r="S5" i="7"/>
  <c r="C5" i="7"/>
  <c r="AI4" i="7"/>
  <c r="S4" i="7"/>
  <c r="C4" i="7"/>
  <c r="AI3" i="7"/>
  <c r="S3" i="7"/>
  <c r="C3" i="7"/>
  <c r="AE44" i="6"/>
  <c r="AB44" i="6"/>
  <c r="E44" i="9" s="1"/>
  <c r="O44" i="6"/>
  <c r="B44" i="6"/>
  <c r="AE43" i="6"/>
  <c r="AB43" i="6"/>
  <c r="E43" i="9" s="1"/>
  <c r="O43" i="6"/>
  <c r="D43" i="9" s="1"/>
  <c r="B43" i="6"/>
  <c r="AE42" i="6"/>
  <c r="G42" i="9" s="1"/>
  <c r="AB42" i="6"/>
  <c r="E42" i="9" s="1"/>
  <c r="O42" i="6"/>
  <c r="D42" i="9" s="1"/>
  <c r="B42" i="6"/>
  <c r="AH41" i="6"/>
  <c r="AG41" i="6"/>
  <c r="AE41" i="6"/>
  <c r="AB41" i="6"/>
  <c r="E41" i="9" s="1"/>
  <c r="O41" i="6"/>
  <c r="D41" i="9" s="1"/>
  <c r="B41" i="6"/>
  <c r="AG40" i="6"/>
  <c r="AF40" i="6" s="1"/>
  <c r="AE40" i="6"/>
  <c r="AB40" i="6"/>
  <c r="E40" i="9" s="1"/>
  <c r="O40" i="6"/>
  <c r="D40" i="9" s="1"/>
  <c r="B40" i="6"/>
  <c r="AE39" i="6"/>
  <c r="AB39" i="6"/>
  <c r="E39" i="9" s="1"/>
  <c r="O39" i="6"/>
  <c r="D39" i="9" s="1"/>
  <c r="B39" i="6"/>
  <c r="AE38" i="6"/>
  <c r="AB38" i="6"/>
  <c r="O38" i="6"/>
  <c r="D38" i="9" s="1"/>
  <c r="B38" i="6"/>
  <c r="AE37" i="6"/>
  <c r="AB37" i="6"/>
  <c r="E37" i="9" s="1"/>
  <c r="O37" i="6"/>
  <c r="D37" i="9" s="1"/>
  <c r="B37" i="6"/>
  <c r="AE36" i="6"/>
  <c r="AB36" i="6"/>
  <c r="E36" i="9" s="1"/>
  <c r="O36" i="6"/>
  <c r="B36" i="6"/>
  <c r="AE35" i="6"/>
  <c r="AB35" i="6"/>
  <c r="E35" i="9" s="1"/>
  <c r="O35" i="6"/>
  <c r="B35" i="6"/>
  <c r="AE34" i="6"/>
  <c r="G34" i="9" s="1"/>
  <c r="AB34" i="6"/>
  <c r="E34" i="9" s="1"/>
  <c r="O34" i="6"/>
  <c r="D34" i="9" s="1"/>
  <c r="B34" i="6"/>
  <c r="AH33" i="6"/>
  <c r="AG33" i="6"/>
  <c r="AE33" i="6"/>
  <c r="AB33" i="6"/>
  <c r="E33" i="9" s="1"/>
  <c r="O33" i="6"/>
  <c r="D33" i="9" s="1"/>
  <c r="B33" i="6"/>
  <c r="AH32" i="6"/>
  <c r="AG32" i="6"/>
  <c r="AF32" i="6"/>
  <c r="AE32" i="6"/>
  <c r="AB32" i="6"/>
  <c r="E32" i="9" s="1"/>
  <c r="O32" i="6"/>
  <c r="D32" i="9" s="1"/>
  <c r="B32" i="6"/>
  <c r="AG31" i="6"/>
  <c r="AF31" i="6"/>
  <c r="AE31" i="6"/>
  <c r="AB31" i="6"/>
  <c r="E31" i="9" s="1"/>
  <c r="O31" i="6"/>
  <c r="D31" i="9" s="1"/>
  <c r="B31" i="6"/>
  <c r="AE30" i="6"/>
  <c r="AB30" i="6"/>
  <c r="O30" i="6"/>
  <c r="D30" i="9" s="1"/>
  <c r="B30" i="6"/>
  <c r="AE29" i="6"/>
  <c r="AB29" i="6"/>
  <c r="E29" i="9" s="1"/>
  <c r="O29" i="6"/>
  <c r="D29" i="9" s="1"/>
  <c r="B29" i="6"/>
  <c r="AE28" i="6"/>
  <c r="AB28" i="6"/>
  <c r="E28" i="9" s="1"/>
  <c r="O28" i="6"/>
  <c r="B28" i="6"/>
  <c r="AE27" i="6"/>
  <c r="AB27" i="6"/>
  <c r="E27" i="9" s="1"/>
  <c r="O27" i="6"/>
  <c r="D27" i="9" s="1"/>
  <c r="B27" i="6"/>
  <c r="AE26" i="6"/>
  <c r="G26" i="9" s="1"/>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AB22" i="6"/>
  <c r="O22" i="6"/>
  <c r="D22" i="9" s="1"/>
  <c r="B22" i="6"/>
  <c r="AE21" i="6"/>
  <c r="AB21" i="6"/>
  <c r="E21" i="9" s="1"/>
  <c r="O21" i="6"/>
  <c r="D21" i="9" s="1"/>
  <c r="B21" i="6"/>
  <c r="AE20" i="6"/>
  <c r="G20" i="9" s="1"/>
  <c r="AB20" i="6"/>
  <c r="E20" i="9" s="1"/>
  <c r="O20" i="6"/>
  <c r="B20" i="6"/>
  <c r="AG19" i="6"/>
  <c r="AE19" i="6"/>
  <c r="AB19" i="6"/>
  <c r="E19" i="9" s="1"/>
  <c r="O19" i="6"/>
  <c r="D19" i="9" s="1"/>
  <c r="B19" i="6"/>
  <c r="AE18" i="6"/>
  <c r="G18" i="9" s="1"/>
  <c r="AB18" i="6"/>
  <c r="E18" i="9" s="1"/>
  <c r="O18" i="6"/>
  <c r="D18" i="9" s="1"/>
  <c r="B18" i="6"/>
  <c r="AG17" i="6"/>
  <c r="AE17" i="6"/>
  <c r="AB17" i="6"/>
  <c r="E17" i="9" s="1"/>
  <c r="O17" i="6"/>
  <c r="D17" i="9" s="1"/>
  <c r="B17" i="6"/>
  <c r="AE16" i="6"/>
  <c r="F16" i="9" s="1"/>
  <c r="AB16" i="6"/>
  <c r="E16" i="9" s="1"/>
  <c r="O16" i="6"/>
  <c r="D16" i="9" s="1"/>
  <c r="B16" i="6"/>
  <c r="AE15" i="6"/>
  <c r="AB15" i="6"/>
  <c r="E15" i="9" s="1"/>
  <c r="O15" i="6"/>
  <c r="D15" i="9" s="1"/>
  <c r="B15" i="6"/>
  <c r="AE14" i="6"/>
  <c r="AB14" i="6"/>
  <c r="O14" i="6"/>
  <c r="D14" i="9" s="1"/>
  <c r="B14" i="6"/>
  <c r="AG13" i="6"/>
  <c r="AE13" i="6"/>
  <c r="AB13" i="6"/>
  <c r="E13" i="9" s="1"/>
  <c r="O13" i="6"/>
  <c r="D13" i="9" s="1"/>
  <c r="B13" i="6"/>
  <c r="AE12" i="6"/>
  <c r="AB12" i="6"/>
  <c r="E12" i="9" s="1"/>
  <c r="O12" i="6"/>
  <c r="D12" i="9" s="1"/>
  <c r="B12" i="6"/>
  <c r="AG11"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23" i="4"/>
  <c r="BE22" i="4"/>
  <c r="BD22" i="4"/>
  <c r="BC22" i="4"/>
  <c r="BB22" i="4"/>
  <c r="BA22" i="4"/>
  <c r="B22" i="4"/>
  <c r="BE21" i="4"/>
  <c r="BD21" i="4"/>
  <c r="BC21" i="4"/>
  <c r="BB21" i="4"/>
  <c r="BA21" i="4"/>
  <c r="B21" i="4"/>
  <c r="BE20" i="4"/>
  <c r="BD20" i="4"/>
  <c r="BC20" i="4"/>
  <c r="BB20" i="4"/>
  <c r="BA20" i="4"/>
  <c r="B20" i="4"/>
  <c r="BE19" i="4"/>
  <c r="BD19" i="4"/>
  <c r="BC19" i="4"/>
  <c r="BB19" i="4"/>
  <c r="BA19" i="4"/>
  <c r="B19" i="4"/>
  <c r="BE18" i="4"/>
  <c r="BD18" i="4"/>
  <c r="BC18" i="4"/>
  <c r="BB18" i="4"/>
  <c r="BA18" i="4"/>
  <c r="B18" i="4"/>
  <c r="BE17" i="4"/>
  <c r="BD17" i="4"/>
  <c r="BC17" i="4"/>
  <c r="BB17" i="4"/>
  <c r="BA17" i="4"/>
  <c r="B17" i="4"/>
  <c r="BE16" i="4"/>
  <c r="BD16" i="4"/>
  <c r="BC16" i="4"/>
  <c r="BB16" i="4"/>
  <c r="BA16" i="4"/>
  <c r="B16" i="4"/>
  <c r="BE15" i="4"/>
  <c r="BD15" i="4"/>
  <c r="BC15" i="4"/>
  <c r="BB15" i="4"/>
  <c r="BA15" i="4"/>
  <c r="B15" i="4"/>
  <c r="BE14" i="4"/>
  <c r="BD14" i="4"/>
  <c r="BC14" i="4"/>
  <c r="BB14" i="4"/>
  <c r="BA14" i="4"/>
  <c r="B14" i="4"/>
  <c r="BE13" i="4"/>
  <c r="BD13" i="4"/>
  <c r="BC13" i="4"/>
  <c r="BB13" i="4"/>
  <c r="BA13" i="4"/>
  <c r="B13" i="4"/>
  <c r="BE12" i="4"/>
  <c r="BD12" i="4"/>
  <c r="BC12" i="4"/>
  <c r="BB12" i="4"/>
  <c r="BA12" i="4"/>
  <c r="B12" i="4"/>
  <c r="BE11" i="4"/>
  <c r="BD11" i="4"/>
  <c r="BC11" i="4"/>
  <c r="BB11" i="4"/>
  <c r="BA11" i="4"/>
  <c r="B11" i="4"/>
  <c r="BE10" i="4"/>
  <c r="BD10" i="4"/>
  <c r="BC10" i="4"/>
  <c r="BB10" i="4"/>
  <c r="BA10" i="4"/>
  <c r="B10" i="4"/>
  <c r="BE9" i="4"/>
  <c r="BD9" i="4"/>
  <c r="BC9" i="4"/>
  <c r="BB9" i="4"/>
  <c r="BA9" i="4"/>
  <c r="B9" i="4"/>
  <c r="BE8" i="4"/>
  <c r="BD8" i="4"/>
  <c r="BC8" i="4"/>
  <c r="BB8" i="4"/>
  <c r="BA8"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19" i="7" l="1"/>
  <c r="BA4" i="3"/>
  <c r="AN4" i="8"/>
  <c r="BA4" i="4"/>
  <c r="BA4" i="5"/>
  <c r="AN4" i="6"/>
  <c r="G10" i="9"/>
  <c r="F10" i="9"/>
  <c r="AG28" i="6"/>
  <c r="D28" i="9"/>
  <c r="AG29" i="6"/>
  <c r="H33" i="9"/>
  <c r="AF33" i="6"/>
  <c r="C33" i="10"/>
  <c r="D35" i="9"/>
  <c r="AG35" i="6"/>
  <c r="G38" i="9"/>
  <c r="F38" i="9"/>
  <c r="H41" i="9"/>
  <c r="AF41" i="6"/>
  <c r="C41" i="10"/>
  <c r="AG14" i="7"/>
  <c r="J14" i="9"/>
  <c r="D21" i="10"/>
  <c r="AH21" i="7"/>
  <c r="AF21" i="7"/>
  <c r="N21" i="9"/>
  <c r="D26" i="10"/>
  <c r="AF26" i="7"/>
  <c r="N26" i="9"/>
  <c r="AH26" i="7"/>
  <c r="AG30" i="7"/>
  <c r="J30" i="9"/>
  <c r="D42" i="10"/>
  <c r="AF42" i="7"/>
  <c r="N42" i="9"/>
  <c r="AH42" i="7"/>
  <c r="G9" i="9"/>
  <c r="F9" i="9"/>
  <c r="AG10" i="6"/>
  <c r="AG20" i="6"/>
  <c r="D20" i="9"/>
  <c r="G21" i="9"/>
  <c r="F21" i="9"/>
  <c r="G25" i="9"/>
  <c r="F25" i="9"/>
  <c r="D9" i="10"/>
  <c r="AH9" i="7"/>
  <c r="N9" i="9"/>
  <c r="AF9" i="7"/>
  <c r="AG9" i="6"/>
  <c r="G13" i="9"/>
  <c r="F13" i="9"/>
  <c r="G17" i="9"/>
  <c r="F17" i="9"/>
  <c r="AG21" i="6"/>
  <c r="AG25" i="6"/>
  <c r="G31" i="9"/>
  <c r="F31" i="9"/>
  <c r="C32" i="10"/>
  <c r="H32" i="9"/>
  <c r="G35" i="9"/>
  <c r="F35" i="9"/>
  <c r="C13" i="10"/>
  <c r="AH13" i="6"/>
  <c r="H13" i="9"/>
  <c r="AF13" i="6"/>
  <c r="H17" i="9"/>
  <c r="AF17" i="6"/>
  <c r="C17" i="10"/>
  <c r="E30" i="9"/>
  <c r="AG30" i="6"/>
  <c r="F37" i="9"/>
  <c r="G37" i="9"/>
  <c r="C40" i="10"/>
  <c r="H40" i="9"/>
  <c r="AH40" i="6"/>
  <c r="D11" i="10"/>
  <c r="N11" i="9"/>
  <c r="AH11" i="7"/>
  <c r="AF11" i="7"/>
  <c r="E16" i="10"/>
  <c r="T16" i="9"/>
  <c r="AH16" i="8"/>
  <c r="AF16" i="8"/>
  <c r="G12" i="9"/>
  <c r="F12" i="9"/>
  <c r="AH17" i="6"/>
  <c r="G23" i="9"/>
  <c r="F23" i="9"/>
  <c r="AG24" i="6"/>
  <c r="G30" i="9"/>
  <c r="F30" i="9"/>
  <c r="C31" i="10"/>
  <c r="H31" i="9"/>
  <c r="AH31" i="6"/>
  <c r="AG36" i="6"/>
  <c r="D36" i="9"/>
  <c r="AG37" i="6"/>
  <c r="G39" i="9"/>
  <c r="F39" i="9"/>
  <c r="AG39" i="6"/>
  <c r="D44" i="9"/>
  <c r="AG44" i="6"/>
  <c r="AN4" i="7"/>
  <c r="D13" i="10"/>
  <c r="AH13" i="7"/>
  <c r="AF13" i="7"/>
  <c r="N13" i="9"/>
  <c r="D18" i="10"/>
  <c r="AF18" i="7"/>
  <c r="N18" i="9"/>
  <c r="AH18" i="7"/>
  <c r="AG22" i="7"/>
  <c r="J22" i="9"/>
  <c r="D34" i="10"/>
  <c r="AF34" i="7"/>
  <c r="N34" i="9"/>
  <c r="AH34" i="7"/>
  <c r="AG38" i="7"/>
  <c r="J38" i="9"/>
  <c r="AH14" i="8"/>
  <c r="AF14" i="8"/>
  <c r="E14" i="10"/>
  <c r="T14" i="9"/>
  <c r="E40" i="10"/>
  <c r="T40" i="9"/>
  <c r="AH40" i="8"/>
  <c r="AF40" i="8"/>
  <c r="AG12" i="6"/>
  <c r="G15" i="9"/>
  <c r="F15" i="9"/>
  <c r="AG16" i="6"/>
  <c r="E22" i="9"/>
  <c r="AG22" i="6"/>
  <c r="G27" i="9"/>
  <c r="F27" i="9"/>
  <c r="G11" i="9"/>
  <c r="F11" i="9"/>
  <c r="E14" i="9"/>
  <c r="AG14" i="6"/>
  <c r="G19" i="9"/>
  <c r="F19" i="9"/>
  <c r="G22" i="9"/>
  <c r="F22" i="9"/>
  <c r="AG23" i="6"/>
  <c r="AG27" i="6"/>
  <c r="E24" i="10"/>
  <c r="AH24" i="8"/>
  <c r="T24" i="9"/>
  <c r="AF24" i="8"/>
  <c r="C11" i="10"/>
  <c r="AH11" i="6"/>
  <c r="AF11" i="6"/>
  <c r="H11" i="9"/>
  <c r="G14" i="9"/>
  <c r="F14" i="9"/>
  <c r="AG15" i="6"/>
  <c r="C19" i="10"/>
  <c r="AH19" i="6"/>
  <c r="AF19" i="6"/>
  <c r="H19" i="9"/>
  <c r="F29" i="9"/>
  <c r="G29" i="9"/>
  <c r="E38" i="9"/>
  <c r="AG38" i="6"/>
  <c r="E19" i="10"/>
  <c r="T19" i="9"/>
  <c r="AH19" i="8"/>
  <c r="AF19" i="8"/>
  <c r="J9" i="9"/>
  <c r="Q14" i="9"/>
  <c r="G16" i="9"/>
  <c r="P19" i="9"/>
  <c r="J21" i="9"/>
  <c r="P24" i="9"/>
  <c r="F26" i="9"/>
  <c r="F34" i="9"/>
  <c r="AG17" i="7"/>
  <c r="AG25" i="7"/>
  <c r="AG33" i="7"/>
  <c r="AG41" i="7"/>
  <c r="AH20" i="8"/>
  <c r="AG27" i="8"/>
  <c r="AH28" i="8"/>
  <c r="AG35" i="8"/>
  <c r="AH36" i="8"/>
  <c r="AG43" i="8"/>
  <c r="AH44" i="8"/>
  <c r="T12" i="9"/>
  <c r="P16" i="9"/>
  <c r="F18" i="9"/>
  <c r="G24" i="9"/>
  <c r="G28" i="9"/>
  <c r="F28" i="9"/>
  <c r="G36" i="9"/>
  <c r="F36" i="9"/>
  <c r="G44" i="9"/>
  <c r="F44" i="9"/>
  <c r="AG16" i="7"/>
  <c r="AG24" i="7"/>
  <c r="AG32" i="7"/>
  <c r="AG40" i="7"/>
  <c r="AG18" i="8"/>
  <c r="AG26" i="8"/>
  <c r="AG34" i="8"/>
  <c r="AG42" i="8"/>
  <c r="T9" i="9"/>
  <c r="J11" i="9"/>
  <c r="G43" i="9"/>
  <c r="F43" i="9"/>
  <c r="AG15" i="7"/>
  <c r="AG23" i="7"/>
  <c r="AG31" i="7"/>
  <c r="AG39" i="7"/>
  <c r="AG17" i="8"/>
  <c r="AG25" i="8"/>
  <c r="AG33" i="8"/>
  <c r="AG41" i="8"/>
  <c r="F20" i="9"/>
  <c r="P40" i="9"/>
  <c r="AG32" i="8"/>
  <c r="T11" i="9"/>
  <c r="J13" i="9"/>
  <c r="T44" i="9"/>
  <c r="G33" i="9"/>
  <c r="F33" i="9"/>
  <c r="G41" i="9"/>
  <c r="F41" i="9"/>
  <c r="AG43" i="6"/>
  <c r="AG10" i="7"/>
  <c r="AG12" i="7"/>
  <c r="AG29" i="7"/>
  <c r="AG37" i="7"/>
  <c r="AG15" i="8"/>
  <c r="AG23" i="8"/>
  <c r="AG31" i="8"/>
  <c r="AG39" i="8"/>
  <c r="T36" i="9"/>
  <c r="H46" i="15"/>
  <c r="H45" i="15"/>
  <c r="H44" i="15"/>
  <c r="H47" i="15" s="1"/>
  <c r="AG18" i="6"/>
  <c r="AG26" i="6"/>
  <c r="G32" i="9"/>
  <c r="F32" i="9"/>
  <c r="AG34" i="6"/>
  <c r="G40" i="9"/>
  <c r="F40" i="9"/>
  <c r="AG42" i="6"/>
  <c r="AF19" i="7"/>
  <c r="AG20" i="7"/>
  <c r="AG28" i="7"/>
  <c r="AG36" i="7"/>
  <c r="AG44" i="7"/>
  <c r="AF9" i="8"/>
  <c r="AF10" i="8"/>
  <c r="AF11" i="8"/>
  <c r="AF12" i="8"/>
  <c r="AF13" i="8"/>
  <c r="AG22" i="8"/>
  <c r="AG30" i="8"/>
  <c r="AG38" i="8"/>
  <c r="T13" i="9"/>
  <c r="N19" i="9"/>
  <c r="T28" i="9"/>
  <c r="H26" i="15"/>
  <c r="D27" i="10"/>
  <c r="N27" i="9"/>
  <c r="D35" i="10"/>
  <c r="N35" i="9"/>
  <c r="D43" i="10"/>
  <c r="N43" i="9"/>
  <c r="AF20" i="8"/>
  <c r="T21" i="9"/>
  <c r="E21" i="10"/>
  <c r="AF28" i="8"/>
  <c r="T29" i="9"/>
  <c r="E29" i="10"/>
  <c r="AF36" i="8"/>
  <c r="T37" i="9"/>
  <c r="E37" i="10"/>
  <c r="AF44" i="8"/>
  <c r="T10" i="9"/>
  <c r="T20" i="9"/>
  <c r="F42" i="9"/>
  <c r="H19" i="15"/>
  <c r="H37" i="15"/>
  <c r="H40" i="15" s="1"/>
  <c r="H38" i="15"/>
  <c r="D19" i="10" l="1"/>
  <c r="AH19" i="7"/>
  <c r="AH12" i="7"/>
  <c r="AF12" i="7"/>
  <c r="N12" i="9"/>
  <c r="D12" i="10"/>
  <c r="E27" i="10"/>
  <c r="T27" i="9"/>
  <c r="AH27" i="8"/>
  <c r="AF27" i="8"/>
  <c r="D38" i="10"/>
  <c r="N38" i="9"/>
  <c r="AH38" i="7"/>
  <c r="AF38" i="7"/>
  <c r="H44" i="9"/>
  <c r="C44" i="10"/>
  <c r="AH44" i="6"/>
  <c r="AF44" i="6"/>
  <c r="C30" i="10"/>
  <c r="H30" i="9"/>
  <c r="AH30" i="6"/>
  <c r="AF30" i="6"/>
  <c r="H21" i="9"/>
  <c r="U21" i="9" s="1"/>
  <c r="AH21" i="6"/>
  <c r="AF21" i="6"/>
  <c r="C21" i="10"/>
  <c r="C10" i="10"/>
  <c r="AH10" i="6"/>
  <c r="H10" i="9"/>
  <c r="AF10" i="6"/>
  <c r="D30" i="10"/>
  <c r="N30" i="9"/>
  <c r="AH30" i="7"/>
  <c r="AF30" i="7"/>
  <c r="D36" i="10"/>
  <c r="N36" i="9"/>
  <c r="AH36" i="7"/>
  <c r="AF36" i="7"/>
  <c r="H43" i="9"/>
  <c r="U43" i="9" s="1"/>
  <c r="C43" i="10"/>
  <c r="AH43" i="6"/>
  <c r="AF43" i="6"/>
  <c r="T34" i="9"/>
  <c r="E34" i="10"/>
  <c r="AH34" i="8"/>
  <c r="AF34" i="8"/>
  <c r="N41" i="9"/>
  <c r="U41" i="9" s="1"/>
  <c r="D41" i="10"/>
  <c r="AH41" i="7"/>
  <c r="AF41" i="7"/>
  <c r="C15" i="10"/>
  <c r="H15" i="9"/>
  <c r="AH15" i="6"/>
  <c r="AF15" i="6"/>
  <c r="C39" i="10"/>
  <c r="H39" i="9"/>
  <c r="AH39" i="6"/>
  <c r="AF39" i="6"/>
  <c r="D14" i="10"/>
  <c r="N14" i="9"/>
  <c r="AH14" i="7"/>
  <c r="AF14" i="7"/>
  <c r="AH22" i="8"/>
  <c r="AF22" i="8"/>
  <c r="E22" i="10"/>
  <c r="T22" i="9"/>
  <c r="D28" i="10"/>
  <c r="N28" i="9"/>
  <c r="AH28" i="7"/>
  <c r="AF28" i="7"/>
  <c r="T31" i="9"/>
  <c r="E31" i="10"/>
  <c r="AH31" i="8"/>
  <c r="AF31" i="8"/>
  <c r="D23" i="10"/>
  <c r="N23" i="9"/>
  <c r="AH23" i="7"/>
  <c r="AF23" i="7"/>
  <c r="T26" i="9"/>
  <c r="AH26" i="8"/>
  <c r="E26" i="10"/>
  <c r="AF26" i="8"/>
  <c r="N33" i="9"/>
  <c r="U33" i="9" s="1"/>
  <c r="D33" i="10"/>
  <c r="AH33" i="7"/>
  <c r="AF33" i="7"/>
  <c r="C14" i="10"/>
  <c r="H14" i="9"/>
  <c r="U14" i="9" s="1"/>
  <c r="AH14" i="6"/>
  <c r="AF14" i="6"/>
  <c r="C16" i="10"/>
  <c r="H16" i="9"/>
  <c r="AH16" i="6"/>
  <c r="AF16" i="6"/>
  <c r="U32" i="9"/>
  <c r="H35" i="9"/>
  <c r="C35" i="10"/>
  <c r="AH35" i="6"/>
  <c r="AF35" i="6"/>
  <c r="T30" i="9"/>
  <c r="AH30" i="8"/>
  <c r="AF30" i="8"/>
  <c r="E30" i="10"/>
  <c r="T39" i="9"/>
  <c r="E39" i="10"/>
  <c r="AH39" i="8"/>
  <c r="AF39" i="8"/>
  <c r="E32" i="10"/>
  <c r="T32" i="9"/>
  <c r="AH32" i="8"/>
  <c r="AF32" i="8"/>
  <c r="D31" i="10"/>
  <c r="N31" i="9"/>
  <c r="AH31" i="7"/>
  <c r="AF31" i="7"/>
  <c r="C38" i="10"/>
  <c r="H38" i="9"/>
  <c r="AH38" i="6"/>
  <c r="AF38" i="6"/>
  <c r="D20" i="10"/>
  <c r="AH20" i="7"/>
  <c r="AF20" i="7"/>
  <c r="N20" i="9"/>
  <c r="C26" i="10"/>
  <c r="H26" i="9"/>
  <c r="AH26" i="6"/>
  <c r="AF26" i="6"/>
  <c r="E23" i="10"/>
  <c r="AH23" i="8"/>
  <c r="AF23" i="8"/>
  <c r="T23" i="9"/>
  <c r="D15" i="10"/>
  <c r="AH15" i="7"/>
  <c r="N15" i="9"/>
  <c r="AF15" i="7"/>
  <c r="T18" i="9"/>
  <c r="E18" i="10"/>
  <c r="AH18" i="8"/>
  <c r="AF18" i="8"/>
  <c r="E43" i="10"/>
  <c r="T43" i="9"/>
  <c r="AH43" i="8"/>
  <c r="AF43" i="8"/>
  <c r="D25" i="10"/>
  <c r="N25" i="9"/>
  <c r="AH25" i="7"/>
  <c r="AF25" i="7"/>
  <c r="AO12" i="8"/>
  <c r="H10" i="13" s="1"/>
  <c r="D16" i="10"/>
  <c r="N16" i="9"/>
  <c r="AH16" i="7"/>
  <c r="AF16" i="7"/>
  <c r="C18" i="10"/>
  <c r="H18" i="9"/>
  <c r="U18" i="9" s="1"/>
  <c r="AH18" i="6"/>
  <c r="AF18" i="6"/>
  <c r="E15" i="10"/>
  <c r="AH15" i="8"/>
  <c r="AF15" i="8"/>
  <c r="AO11" i="8" s="1"/>
  <c r="H9" i="13" s="1"/>
  <c r="T15" i="9"/>
  <c r="E41" i="10"/>
  <c r="T41" i="9"/>
  <c r="AH41" i="8"/>
  <c r="AF41" i="8"/>
  <c r="N40" i="9"/>
  <c r="U40" i="9" s="1"/>
  <c r="D40" i="10"/>
  <c r="AH40" i="7"/>
  <c r="AF40" i="7"/>
  <c r="D17" i="10"/>
  <c r="N17" i="9"/>
  <c r="AH17" i="7"/>
  <c r="AF17" i="7"/>
  <c r="U11" i="9"/>
  <c r="H27" i="9"/>
  <c r="U27" i="9" s="1"/>
  <c r="C27" i="10"/>
  <c r="AH27" i="6"/>
  <c r="AF27" i="6"/>
  <c r="H37" i="9"/>
  <c r="C37" i="10"/>
  <c r="AH37" i="6"/>
  <c r="AF37" i="6"/>
  <c r="C24" i="10"/>
  <c r="H24" i="9"/>
  <c r="AH24" i="6"/>
  <c r="AF24" i="6"/>
  <c r="C9" i="10"/>
  <c r="H9" i="9"/>
  <c r="U9" i="9" s="1"/>
  <c r="AF9" i="6"/>
  <c r="AH9" i="6"/>
  <c r="H29" i="9"/>
  <c r="C29" i="10"/>
  <c r="AH29" i="6"/>
  <c r="AF29" i="6"/>
  <c r="C42" i="10"/>
  <c r="H42" i="9"/>
  <c r="AF42" i="6"/>
  <c r="AH42" i="6"/>
  <c r="N37" i="9"/>
  <c r="D37" i="10"/>
  <c r="AH37" i="7"/>
  <c r="AF37" i="7"/>
  <c r="E33" i="10"/>
  <c r="T33" i="9"/>
  <c r="AH33" i="8"/>
  <c r="AF33" i="8"/>
  <c r="N32" i="9"/>
  <c r="D32" i="10"/>
  <c r="AH32" i="7"/>
  <c r="AF32" i="7"/>
  <c r="E35" i="10"/>
  <c r="T35" i="9"/>
  <c r="AH35" i="8"/>
  <c r="AF35" i="8"/>
  <c r="U19" i="9"/>
  <c r="C23" i="10"/>
  <c r="H23" i="9"/>
  <c r="AH23" i="6"/>
  <c r="AF23" i="6"/>
  <c r="C12" i="10"/>
  <c r="H12" i="9"/>
  <c r="AH12" i="6"/>
  <c r="AF12" i="6"/>
  <c r="D22" i="10"/>
  <c r="AH22" i="7"/>
  <c r="N22" i="9"/>
  <c r="AF22" i="7"/>
  <c r="U13" i="9"/>
  <c r="N29" i="9"/>
  <c r="D29" i="10"/>
  <c r="AH29" i="7"/>
  <c r="AF29" i="7"/>
  <c r="E25" i="10"/>
  <c r="AH25" i="8"/>
  <c r="T25" i="9"/>
  <c r="AF25" i="8"/>
  <c r="N24" i="9"/>
  <c r="D24" i="10"/>
  <c r="AH24" i="7"/>
  <c r="AF24" i="7"/>
  <c r="H36" i="9"/>
  <c r="U36" i="9" s="1"/>
  <c r="C36" i="10"/>
  <c r="AH36" i="6"/>
  <c r="AF36" i="6"/>
  <c r="H25" i="9"/>
  <c r="U25" i="9" s="1"/>
  <c r="C25" i="10"/>
  <c r="AF25" i="6"/>
  <c r="AH25" i="6"/>
  <c r="C20" i="10"/>
  <c r="H20" i="9"/>
  <c r="AH20" i="6"/>
  <c r="AF20" i="6"/>
  <c r="H28" i="9"/>
  <c r="U28" i="9" s="1"/>
  <c r="C28" i="10"/>
  <c r="AH28" i="6"/>
  <c r="AF28" i="6"/>
  <c r="E17" i="10"/>
  <c r="AH17" i="8"/>
  <c r="T17" i="9"/>
  <c r="U17" i="9" s="1"/>
  <c r="AF17" i="8"/>
  <c r="AO10" i="8" s="1"/>
  <c r="H8" i="13" s="1"/>
  <c r="T38" i="9"/>
  <c r="AH38" i="8"/>
  <c r="E38" i="10"/>
  <c r="AF38" i="8"/>
  <c r="D44" i="10"/>
  <c r="N44" i="9"/>
  <c r="AH44" i="7"/>
  <c r="AF44" i="7"/>
  <c r="C34" i="10"/>
  <c r="H34" i="9"/>
  <c r="U34" i="9" s="1"/>
  <c r="AF34" i="6"/>
  <c r="AH34" i="6"/>
  <c r="D10" i="10"/>
  <c r="AH10" i="7"/>
  <c r="AF10" i="7"/>
  <c r="AO11" i="7" s="1"/>
  <c r="H9" i="12" s="1"/>
  <c r="N10" i="9"/>
  <c r="D39" i="10"/>
  <c r="N39" i="9"/>
  <c r="AH39" i="7"/>
  <c r="AF39" i="7"/>
  <c r="T42" i="9"/>
  <c r="E42" i="10"/>
  <c r="AH42" i="8"/>
  <c r="AF42" i="8"/>
  <c r="C22" i="10"/>
  <c r="H22" i="9"/>
  <c r="AF22" i="6"/>
  <c r="AH22" i="6"/>
  <c r="U31" i="9"/>
  <c r="U23" i="9" l="1"/>
  <c r="V23" i="9" s="1"/>
  <c r="AO12" i="7"/>
  <c r="H10" i="12" s="1"/>
  <c r="J13" i="10"/>
  <c r="E25" i="14" s="1"/>
  <c r="U22" i="9"/>
  <c r="V22" i="9" s="1"/>
  <c r="U12" i="9"/>
  <c r="F33" i="10"/>
  <c r="V33" i="9"/>
  <c r="F41" i="10"/>
  <c r="V41" i="9"/>
  <c r="F17" i="10"/>
  <c r="V17" i="9"/>
  <c r="V40" i="9"/>
  <c r="F40" i="10"/>
  <c r="U42" i="9"/>
  <c r="AO12" i="6"/>
  <c r="H10" i="11" s="1"/>
  <c r="AO9" i="6"/>
  <c r="H7" i="11" s="1"/>
  <c r="AO10" i="6"/>
  <c r="H8" i="11" s="1"/>
  <c r="AO11" i="6"/>
  <c r="H9" i="11" s="1"/>
  <c r="AO9" i="8"/>
  <c r="H7" i="13" s="1"/>
  <c r="F36" i="10"/>
  <c r="V36" i="9"/>
  <c r="F13" i="10"/>
  <c r="V13" i="9"/>
  <c r="F9" i="10"/>
  <c r="V9" i="9"/>
  <c r="F34" i="10"/>
  <c r="V34" i="9"/>
  <c r="I9" i="10"/>
  <c r="E11" i="14" s="1"/>
  <c r="I13" i="10"/>
  <c r="E12" i="14" s="1"/>
  <c r="U37" i="9"/>
  <c r="F18" i="10"/>
  <c r="V18" i="9"/>
  <c r="U35" i="9"/>
  <c r="F14" i="10"/>
  <c r="V14" i="9"/>
  <c r="U39" i="9"/>
  <c r="V32" i="9"/>
  <c r="F32" i="10"/>
  <c r="F43" i="10"/>
  <c r="V43" i="9"/>
  <c r="F21" i="10"/>
  <c r="V21" i="9"/>
  <c r="U44" i="9"/>
  <c r="AO10" i="7"/>
  <c r="H8" i="12" s="1"/>
  <c r="F28" i="10"/>
  <c r="V28" i="9"/>
  <c r="J9" i="10"/>
  <c r="E24" i="14" s="1"/>
  <c r="AO9" i="7"/>
  <c r="H7" i="12" s="1"/>
  <c r="F19" i="10"/>
  <c r="V19" i="9"/>
  <c r="U29" i="9"/>
  <c r="U24" i="9"/>
  <c r="U26" i="9"/>
  <c r="U38" i="9"/>
  <c r="U10" i="9"/>
  <c r="F25" i="10"/>
  <c r="V25" i="9"/>
  <c r="F23" i="10"/>
  <c r="U20" i="9"/>
  <c r="F27" i="10"/>
  <c r="V27" i="9"/>
  <c r="U16" i="9"/>
  <c r="U15" i="9"/>
  <c r="U30" i="9"/>
  <c r="F31" i="10"/>
  <c r="V31" i="9"/>
  <c r="F12" i="10"/>
  <c r="V12" i="9"/>
  <c r="F11" i="10"/>
  <c r="V11" i="9"/>
  <c r="K13" i="10"/>
  <c r="E37" i="14" s="1"/>
  <c r="K9" i="10"/>
  <c r="E36" i="14" s="1"/>
  <c r="F22" i="10" l="1"/>
  <c r="H30" i="16" s="1"/>
  <c r="F15" i="10"/>
  <c r="V15" i="9"/>
  <c r="G25" i="10"/>
  <c r="H33" i="16"/>
  <c r="F16" i="10"/>
  <c r="V16" i="9"/>
  <c r="H40" i="16"/>
  <c r="G32" i="10"/>
  <c r="H26" i="16"/>
  <c r="G18" i="10"/>
  <c r="F26" i="10"/>
  <c r="V26" i="9"/>
  <c r="H36" i="16"/>
  <c r="G28" i="10"/>
  <c r="G9" i="10"/>
  <c r="H17" i="16"/>
  <c r="H11" i="11"/>
  <c r="I7" i="11" s="1"/>
  <c r="F10" i="10"/>
  <c r="V10" i="9"/>
  <c r="H19" i="16"/>
  <c r="G11" i="10"/>
  <c r="V38" i="9"/>
  <c r="F38" i="10"/>
  <c r="H35" i="16"/>
  <c r="G27" i="10"/>
  <c r="V37" i="9"/>
  <c r="F37" i="10"/>
  <c r="G17" i="10"/>
  <c r="H25" i="16"/>
  <c r="F20" i="10"/>
  <c r="V20" i="9"/>
  <c r="F44" i="10"/>
  <c r="V44" i="9"/>
  <c r="F39" i="10"/>
  <c r="V39" i="9"/>
  <c r="V29" i="9"/>
  <c r="F29" i="10"/>
  <c r="H20" i="16"/>
  <c r="G12" i="10"/>
  <c r="V24" i="9"/>
  <c r="F24" i="10"/>
  <c r="E13" i="14"/>
  <c r="G12" i="14" s="1"/>
  <c r="G11" i="14"/>
  <c r="H39" i="16"/>
  <c r="G31" i="10"/>
  <c r="H31" i="16"/>
  <c r="G23" i="10"/>
  <c r="H21" i="16"/>
  <c r="G13" i="10"/>
  <c r="F42" i="10"/>
  <c r="V42" i="9"/>
  <c r="G41" i="10"/>
  <c r="H49" i="16"/>
  <c r="E38" i="14"/>
  <c r="V30" i="9"/>
  <c r="F30" i="10"/>
  <c r="H27" i="16"/>
  <c r="G19" i="10"/>
  <c r="G21" i="10"/>
  <c r="H29" i="16"/>
  <c r="H22" i="16"/>
  <c r="G14" i="10"/>
  <c r="H42" i="16"/>
  <c r="G34" i="10"/>
  <c r="H11" i="12"/>
  <c r="I8" i="12" s="1"/>
  <c r="F35" i="10"/>
  <c r="V35" i="9"/>
  <c r="H44" i="16"/>
  <c r="G36" i="10"/>
  <c r="H48" i="16"/>
  <c r="G40" i="10"/>
  <c r="E26" i="14"/>
  <c r="G25" i="14" s="1"/>
  <c r="H51" i="16"/>
  <c r="G43" i="10"/>
  <c r="H11" i="13"/>
  <c r="I7" i="13" s="1"/>
  <c r="G33" i="10"/>
  <c r="H41" i="16"/>
  <c r="I9" i="11"/>
  <c r="G22" i="10" l="1"/>
  <c r="H28" i="16"/>
  <c r="G20" i="10"/>
  <c r="I7" i="12"/>
  <c r="H50" i="16"/>
  <c r="G42" i="10"/>
  <c r="H38" i="16"/>
  <c r="G30" i="10"/>
  <c r="H32" i="16"/>
  <c r="G24" i="10"/>
  <c r="I10" i="11"/>
  <c r="G13" i="14"/>
  <c r="G24" i="14"/>
  <c r="G26" i="14" s="1"/>
  <c r="I9" i="13"/>
  <c r="I8" i="13"/>
  <c r="I11" i="13" s="1"/>
  <c r="I10" i="13"/>
  <c r="G37" i="10"/>
  <c r="H45" i="16"/>
  <c r="H24" i="16"/>
  <c r="G16" i="10"/>
  <c r="H43" i="16"/>
  <c r="G35" i="10"/>
  <c r="H47" i="16"/>
  <c r="G39" i="10"/>
  <c r="G10" i="10"/>
  <c r="H18" i="16"/>
  <c r="H46" i="16"/>
  <c r="G38" i="10"/>
  <c r="G36" i="14"/>
  <c r="H34" i="16"/>
  <c r="G26" i="10"/>
  <c r="I8" i="11"/>
  <c r="I11" i="11" s="1"/>
  <c r="H52" i="16"/>
  <c r="G44" i="10"/>
  <c r="G37" i="14"/>
  <c r="G29" i="10"/>
  <c r="H37" i="16"/>
  <c r="I9" i="12"/>
  <c r="I10" i="12"/>
  <c r="H23" i="16"/>
  <c r="G15" i="10"/>
  <c r="G38" i="14" l="1"/>
  <c r="I11" i="12"/>
</calcChain>
</file>

<file path=xl/sharedStrings.xml><?xml version="1.0" encoding="utf-8"?>
<sst xmlns="http://schemas.openxmlformats.org/spreadsheetml/2006/main" count="618" uniqueCount="169">
  <si>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</si>
  <si>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</si>
  <si>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</si>
  <si>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</si>
  <si>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</si>
  <si>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</si>
  <si>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</si>
  <si>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</si>
  <si>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</si>
  <si>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</si>
  <si>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</si>
  <si>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</si>
  <si>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</si>
  <si>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</si>
  <si>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</si>
  <si>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</si>
  <si>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</si>
  <si>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</si>
  <si>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2do de Secundaria</t>
  </si>
  <si>
    <t>ÁREA</t>
  </si>
  <si>
    <t>GESTIÓN</t>
  </si>
  <si>
    <t>REGISTRO DE FILIACIÓN</t>
  </si>
  <si>
    <t>GRADO</t>
  </si>
  <si>
    <t>FECHA</t>
  </si>
  <si>
    <t>APELLIDOS Y NOMBRES</t>
  </si>
  <si>
    <t>NACIMIENTO</t>
  </si>
  <si>
    <t>EDAD</t>
  </si>
  <si>
    <t>LUGAR NACIMIENTO</t>
  </si>
  <si>
    <t>C.I.</t>
  </si>
  <si>
    <t>BARRIO/CALLE</t>
  </si>
  <si>
    <t>PADRE/MADRE</t>
  </si>
  <si>
    <t>TELF./ CELULAR</t>
  </si>
  <si>
    <t>ALARCON CHURA PRISCILA</t>
  </si>
  <si>
    <t>ARCE CHOQUE LUCERO CORAL</t>
  </si>
  <si>
    <t>AREQUIPA CALCINA FABIAN JHON</t>
  </si>
  <si>
    <t>CLAURE PARAVICINI RASHEL ROSALY</t>
  </si>
  <si>
    <t>CONDORI FLORES ALEJANDRO BRYAN</t>
  </si>
  <si>
    <t>DE LA CRUZ SANDOVAL JHON MARCO</t>
  </si>
  <si>
    <t>GARCÍA IGNACIO MISHEL MAYA</t>
  </si>
  <si>
    <t>HELGUERO SANCHEZ JHOYSI CAMIL</t>
  </si>
  <si>
    <t>LEDEZMA ORELLANA RICARDO ERIK</t>
  </si>
  <si>
    <t>MAMANI LOPEZ ELIZABETH MILDRED</t>
  </si>
  <si>
    <t>MEDINA CHOQUE JUAN JOSE</t>
  </si>
  <si>
    <t>NINA RUEDA SEBASTIAN CARLOS</t>
  </si>
  <si>
    <t>RODRIGUEZ RAMIREZ NATALY ARIANA</t>
  </si>
  <si>
    <t>SALAZAR CANAZA CRISTINA MAYRA</t>
  </si>
  <si>
    <t>SEVILLANO BALTAZAR AGNESE</t>
  </si>
  <si>
    <t>TOCONAS HUAYGUA VICTORIA FERNANDA</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</si>
  <si>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</si>
  <si>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</si>
  <si>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</si>
  <si>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</si>
  <si>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</si>
  <si>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</si>
  <si>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</si>
  <si>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</si>
  <si>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</si>
  <si>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</si>
  <si>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</si>
  <si>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</si>
  <si>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</si>
  <si>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l</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</si>
  <si>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</si>
  <si>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</si>
  <si>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</si>
  <si>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</si>
  <si>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</si>
  <si>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</si>
  <si>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</si>
  <si>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</si>
  <si>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</si>
  <si>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</si>
  <si>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</si>
  <si>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</si>
  <si>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</si>
  <si>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</si>
  <si>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</si>
  <si>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</si>
  <si>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</si>
  <si>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</si>
  <si>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</si>
  <si>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</si>
  <si>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</si>
  <si>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</si>
  <si>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</si>
  <si>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</si>
  <si>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</si>
  <si>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</si>
  <si>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</si>
  <si>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</si>
  <si>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</si>
  <si>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17/02/2021 (preguntas Generales)</t>
  </si>
  <si>
    <t>25/02/2021 (preguntas de practica)</t>
  </si>
  <si>
    <t>17/02/2021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</si>
  <si>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</si>
  <si>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</si>
  <si>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</si>
  <si>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</si>
  <si>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</si>
  <si>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</si>
  <si>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</si>
  <si>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</si>
  <si>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</si>
  <si>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</si>
  <si>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</si>
  <si>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</si>
  <si>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</si>
  <si>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</si>
  <si>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</si>
  <si>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</si>
  <si>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</si>
  <si>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</si>
  <si>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</si>
  <si>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</si>
  <si>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</si>
  <si>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</si>
  <si>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</si>
  <si>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</si>
  <si>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</si>
  <si>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</si>
  <si>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</si>
  <si>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</si>
  <si>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</si>
  <si>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</si>
  <si>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</si>
  <si>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</si>
  <si>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</si>
  <si>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</si>
  <si>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</si>
  <si>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</si>
  <si>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</si>
  <si>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</si>
  <si>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</si>
  <si>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</si>
  <si>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</si>
  <si>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</si>
  <si>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</si>
  <si>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</si>
  <si>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</si>
  <si>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</si>
  <si>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</si>
  <si>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</si>
  <si>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</si>
  <si>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</si>
  <si>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</si>
  <si>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</si>
  <si>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</si>
  <si>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</si>
  <si>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</si>
  <si>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</si>
  <si>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</si>
  <si>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</si>
  <si>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</si>
  <si>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</si>
  <si>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</si>
  <si>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</si>
  <si>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</si>
  <si>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</si>
  <si>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</si>
  <si>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</si>
  <si>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</si>
  <si>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</si>
  <si>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</si>
  <si>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</si>
  <si>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</si>
  <si>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</si>
  <si>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</si>
  <si>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</si>
  <si>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ganado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</si>
</sst>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39" x14ac:knownFonts="1">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sz val="9"/>
      <color theme="1"/>
      <name val="Arial"/>
    </font>
    <font>
      <b/>
      <sz val="8"/>
      <color theme="1"/>
      <name val="Calibri"/>
    </font>
    <font>
      <b/>
      <sz val="22"/>
      <color rgb="FFC00000"/>
      <name val="Calibri"/>
    </font>
    <font>
      <b/>
      <sz val="24"/>
      <color rgb="FFC00000"/>
      <name val="Calibri"/>
    </font>
    <font>
      <sz val="16"/>
      <color theme="1"/>
      <name val="Calibri"/>
    </font>
    <font>
      <sz val="10"/>
      <color rgb="FFC00000"/>
      <name val="Calibri"/>
    </font>
    <font>
      <b/>
      <sz val="10"/>
      <color rgb="FFC00000"/>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
      <sz val="9"/>
      <color theme="1"/>
      <name val="Calibri"/>
      <family val="2"/>
    </font>
  </fonts>
  <fills count="10">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s>
  <borders count="5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1">
    <xf numFmtId="0" fontId="0" fillId="0" borderId="0"/>
  </cellStyleXfs>
  <cellXfs count="241">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19" fillId="0" borderId="19" xfId="0" applyFont="1" applyBorder="1" applyAlignment="1">
      <alignment horizontal="center" vertical="center"/>
    </xf>
    <xf numFmtId="0" fontId="19" fillId="0" borderId="39" xfId="0" applyFont="1" applyBorder="1" applyAlignment="1">
      <alignment horizontal="center" vertical="center"/>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19" fillId="9" borderId="19" xfId="0" applyFont="1" applyFill="1" applyBorder="1" applyAlignment="1">
      <alignment horizontal="center" vertical="center"/>
    </xf>
    <xf numFmtId="0" fontId="0" fillId="9" borderId="0" xfId="0" applyFont="1" applyFill="1" applyAlignment="1"/>
    <xf numFmtId="0" fontId="9" fillId="9" borderId="19" xfId="0" applyFont="1" applyFill="1" applyBorder="1" applyAlignment="1">
      <alignment horizontal="center" vertical="center"/>
    </xf>
    <xf numFmtId="0" fontId="10" fillId="9" borderId="19" xfId="0" applyFont="1" applyFill="1" applyBorder="1" applyAlignment="1">
      <alignment horizontal="left" vertical="center"/>
    </xf>
    <xf numFmtId="0" fontId="38" fillId="0" borderId="19" xfId="0"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C3F-4D4A-952A-93A762D205FB}"/>
              </c:ext>
            </c:extLst>
          </c:dPt>
          <c:dPt>
            <c:idx val="1"/>
            <c:bubble3D val="0"/>
            <c:spPr>
              <a:solidFill>
                <a:schemeClr val="accent2"/>
              </a:solidFill>
            </c:spPr>
            <c:extLst>
              <c:ext xmlns:c16="http://schemas.microsoft.com/office/drawing/2014/chart" uri="{C3380CC4-5D6E-409C-BE32-E72D297353CC}">
                <c16:uniqueId val="{00000003-BC3F-4D4A-952A-93A762D205FB}"/>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C3F-4D4A-952A-93A762D205FB}"/>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B67-40AA-A816-B54098CFD81C}"/>
              </c:ext>
            </c:extLst>
          </c:dPt>
          <c:dPt>
            <c:idx val="1"/>
            <c:bubble3D val="0"/>
            <c:spPr>
              <a:solidFill>
                <a:schemeClr val="accent2"/>
              </a:solidFill>
            </c:spPr>
            <c:extLst>
              <c:ext xmlns:c16="http://schemas.microsoft.com/office/drawing/2014/chart" uri="{C3380CC4-5D6E-409C-BE32-E72D297353CC}">
                <c16:uniqueId val="{00000003-3B67-40AA-A816-B54098CFD8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1</c:v>
                </c:pt>
                <c:pt idx="1">
                  <c:v>0</c:v>
                </c:pt>
              </c:numCache>
            </c:numRef>
          </c:val>
          <c:extLst>
            <c:ext xmlns:c16="http://schemas.microsoft.com/office/drawing/2014/chart" uri="{C3380CC4-5D6E-409C-BE32-E72D297353CC}">
              <c16:uniqueId val="{00000004-3B67-40AA-A816-B54098CFD81C}"/>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5C0-43C7-9F1A-5ECB4CB0E4B4}"/>
              </c:ext>
            </c:extLst>
          </c:dPt>
          <c:dPt>
            <c:idx val="1"/>
            <c:bubble3D val="0"/>
            <c:spPr>
              <a:solidFill>
                <a:schemeClr val="accent2"/>
              </a:solidFill>
            </c:spPr>
            <c:extLst>
              <c:ext xmlns:c16="http://schemas.microsoft.com/office/drawing/2014/chart" uri="{C3380CC4-5D6E-409C-BE32-E72D297353CC}">
                <c16:uniqueId val="{00000003-45C0-43C7-9F1A-5ECB4CB0E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5C0-43C7-9F1A-5ECB4CB0E4B4}"/>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032116868" name="Chart 1">
          <a:extLst>
            <a:ext uri="{FF2B5EF4-FFF2-40B4-BE49-F238E27FC236}">
              <a16:creationId xmlns:a16="http://schemas.microsoft.com/office/drawing/2014/main" id="{00000000-0008-0000-0D00-000084A41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633649475" name="Chart 2">
          <a:extLst>
            <a:ext uri="{FF2B5EF4-FFF2-40B4-BE49-F238E27FC236}">
              <a16:creationId xmlns:a16="http://schemas.microsoft.com/office/drawing/2014/main" id="{00000000-0008-0000-0D00-000043835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83646916" name="Chart 3">
          <a:extLst>
            <a:ext uri="{FF2B5EF4-FFF2-40B4-BE49-F238E27FC236}">
              <a16:creationId xmlns:a16="http://schemas.microsoft.com/office/drawing/2014/main" id="{00000000-0008-0000-0D00-0000C4886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34375" defaultRowHeight="15" customHeight="1" x14ac:dyDescent="0.45"/>
  <cols>
    <col min="1" max="1" width="3.6640625" customWidth="1"/>
    <col min="2" max="2" width="18.6640625" customWidth="1"/>
    <col min="3" max="6" width="8.7109375" customWidth="1"/>
    <col min="7" max="7" width="1.94921875" customWidth="1"/>
    <col min="8" max="8" width="8.7109375" customWidth="1"/>
    <col min="9" max="9" width="3.6640625" customWidth="1"/>
    <col min="10" max="10" width="8.7109375" customWidth="1"/>
    <col min="11" max="11" width="1.94921875" customWidth="1"/>
    <col min="12" max="26" width="8.7109375" customWidth="1"/>
  </cols>
  <sheetData>
    <row r="1" spans="1:26" ht="19.75" x14ac:dyDescent="0.45">
      <c r="A1" s="1"/>
      <c r="B1" s="1"/>
      <c r="C1" s="1"/>
      <c r="D1" s="1"/>
      <c r="E1" s="1"/>
      <c r="F1" s="1"/>
      <c r="G1" s="1"/>
      <c r="H1" s="1"/>
      <c r="I1" s="1"/>
      <c r="J1" s="1"/>
      <c r="K1" s="1"/>
      <c r="L1" s="1"/>
      <c r="M1" s="1"/>
      <c r="N1" s="1"/>
      <c r="O1" s="1"/>
      <c r="P1" s="1"/>
      <c r="Q1" s="1"/>
      <c r="R1" s="1"/>
      <c r="S1" s="1"/>
      <c r="T1" s="1"/>
      <c r="U1" s="1"/>
      <c r="V1" s="1"/>
      <c r="W1" s="1"/>
      <c r="X1" s="1"/>
      <c r="Y1" s="1"/>
      <c r="Z1" s="1"/>
    </row>
    <row r="2" spans="1:26" ht="19.75" x14ac:dyDescent="0.45">
      <c r="A2" s="1"/>
      <c r="B2" s="1"/>
      <c r="C2" s="1"/>
      <c r="D2" s="1"/>
      <c r="E2" s="1"/>
      <c r="F2" s="1"/>
      <c r="G2" s="1"/>
      <c r="H2" s="1"/>
      <c r="I2" s="1"/>
      <c r="J2" s="1"/>
      <c r="K2" s="1"/>
      <c r="L2" s="1"/>
      <c r="M2" s="1"/>
      <c r="N2" s="1"/>
      <c r="O2" s="1"/>
      <c r="P2" s="1"/>
      <c r="Q2" s="1"/>
      <c r="R2" s="1"/>
      <c r="S2" s="1"/>
      <c r="T2" s="1"/>
      <c r="U2" s="1"/>
      <c r="V2" s="1"/>
      <c r="W2" s="1"/>
      <c r="X2" s="1"/>
      <c r="Y2" s="1"/>
      <c r="Z2" s="1"/>
    </row>
    <row r="3" spans="1:26" ht="19.75" x14ac:dyDescent="0.45">
      <c r="A3" s="1"/>
      <c r="B3" s="1"/>
      <c r="C3" s="1"/>
      <c r="D3" s="1"/>
      <c r="E3" s="1"/>
      <c r="F3" s="1"/>
      <c r="G3" s="1"/>
      <c r="H3" s="1"/>
      <c r="I3" s="1"/>
      <c r="J3" s="1"/>
      <c r="K3" s="1"/>
      <c r="L3" s="1"/>
      <c r="M3" s="1"/>
      <c r="N3" s="1"/>
      <c r="O3" s="1"/>
      <c r="P3" s="1"/>
      <c r="Q3" s="1"/>
      <c r="R3" s="1"/>
      <c r="S3" s="1"/>
      <c r="T3" s="1"/>
      <c r="U3" s="1"/>
      <c r="V3" s="1"/>
      <c r="W3" s="1"/>
      <c r="X3" s="1"/>
      <c r="Y3" s="1"/>
      <c r="Z3" s="1"/>
    </row>
    <row r="4" spans="1:26" ht="19.75" x14ac:dyDescent="0.45">
      <c r="A4" s="1"/>
      <c r="B4" s="1"/>
      <c r="C4" s="1"/>
      <c r="D4" s="1"/>
      <c r="E4" s="1"/>
      <c r="F4" s="1"/>
      <c r="G4" s="1"/>
      <c r="H4" s="1"/>
      <c r="I4" s="1"/>
      <c r="J4" s="1"/>
      <c r="K4" s="1"/>
      <c r="L4" s="1"/>
      <c r="M4" s="1"/>
      <c r="N4" s="1"/>
      <c r="O4" s="1"/>
      <c r="P4" s="1"/>
      <c r="Q4" s="1"/>
      <c r="R4" s="1"/>
      <c r="S4" s="1"/>
      <c r="T4" s="1"/>
      <c r="U4" s="1"/>
      <c r="V4" s="1"/>
      <c r="W4" s="1"/>
      <c r="X4" s="1"/>
      <c r="Y4" s="1"/>
      <c r="Z4" s="1"/>
    </row>
    <row r="5" spans="1:26" ht="19.75" x14ac:dyDescent="0.45">
      <c r="A5" s="1"/>
      <c r="B5" s="1"/>
      <c r="C5" s="1"/>
      <c r="D5" s="1"/>
      <c r="E5" s="1"/>
      <c r="F5" s="1"/>
      <c r="G5" s="1"/>
      <c r="H5" s="1"/>
      <c r="I5" s="1"/>
      <c r="J5" s="1"/>
      <c r="K5" s="1"/>
      <c r="L5" s="1"/>
      <c r="M5" s="1"/>
      <c r="N5" s="1"/>
      <c r="O5" s="1"/>
      <c r="P5" s="1"/>
      <c r="Q5" s="1"/>
      <c r="R5" s="1"/>
      <c r="S5" s="1"/>
      <c r="T5" s="1"/>
      <c r="U5" s="1"/>
      <c r="V5" s="1"/>
      <c r="W5" s="1"/>
      <c r="X5" s="1"/>
      <c r="Y5" s="1"/>
      <c r="Z5" s="1"/>
    </row>
    <row r="6" spans="1:26" ht="19.75" x14ac:dyDescent="0.45">
      <c r="A6" s="1"/>
      <c r="B6" s="1"/>
      <c r="C6" s="1"/>
      <c r="D6" s="1"/>
      <c r="E6" s="1"/>
      <c r="F6" s="1"/>
      <c r="G6" s="1"/>
      <c r="H6" s="1"/>
      <c r="I6" s="1"/>
      <c r="J6" s="1"/>
      <c r="K6" s="1"/>
      <c r="L6" s="1"/>
      <c r="M6" s="1"/>
      <c r="N6" s="1"/>
      <c r="O6" s="1"/>
      <c r="P6" s="1"/>
      <c r="Q6" s="1"/>
      <c r="R6" s="1"/>
      <c r="S6" s="1"/>
      <c r="T6" s="1"/>
      <c r="U6" s="1"/>
      <c r="V6" s="1"/>
      <c r="W6" s="1"/>
      <c r="X6" s="1"/>
      <c r="Y6" s="1"/>
      <c r="Z6" s="1"/>
    </row>
    <row r="7" spans="1:26" ht="19.75" x14ac:dyDescent="0.4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45">
      <c r="A8" s="1"/>
      <c r="B8" s="1"/>
      <c r="C8" s="164" t="s">
        <v>0</v>
      </c>
      <c r="D8" s="165"/>
      <c r="E8" s="166"/>
      <c r="F8" s="2"/>
      <c r="G8" s="3"/>
      <c r="H8" s="4"/>
      <c r="I8" s="4"/>
      <c r="J8" s="4"/>
      <c r="K8" s="5"/>
      <c r="L8" s="1"/>
      <c r="M8" s="1"/>
      <c r="N8" s="1"/>
      <c r="O8" s="1"/>
      <c r="P8" s="1"/>
      <c r="Q8" s="1"/>
      <c r="R8" s="1"/>
      <c r="S8" s="1"/>
      <c r="T8" s="1"/>
      <c r="U8" s="1"/>
      <c r="V8" s="1"/>
      <c r="W8" s="1"/>
      <c r="X8" s="1"/>
      <c r="Y8" s="1"/>
      <c r="Z8" s="1"/>
    </row>
    <row r="9" spans="1:26" ht="19.75" x14ac:dyDescent="0.45">
      <c r="A9" s="1"/>
      <c r="B9" s="1"/>
      <c r="C9" s="1"/>
      <c r="D9" s="1"/>
      <c r="E9" s="1"/>
      <c r="F9" s="1"/>
      <c r="G9" s="6"/>
      <c r="H9" s="167" t="s">
        <v>1</v>
      </c>
      <c r="I9" s="168"/>
      <c r="J9" s="169"/>
      <c r="K9" s="7"/>
      <c r="L9" s="1"/>
      <c r="M9" s="1"/>
      <c r="N9" s="1"/>
      <c r="O9" s="1"/>
      <c r="P9" s="1"/>
      <c r="Q9" s="1"/>
      <c r="R9" s="1"/>
      <c r="S9" s="1"/>
      <c r="T9" s="1"/>
      <c r="U9" s="1"/>
      <c r="V9" s="1"/>
      <c r="W9" s="1"/>
      <c r="X9" s="1"/>
      <c r="Y9" s="1"/>
      <c r="Z9" s="1"/>
    </row>
    <row r="10" spans="1:26" ht="19.75" x14ac:dyDescent="0.45">
      <c r="A10" s="1"/>
      <c r="B10" s="1"/>
      <c r="C10" s="1"/>
      <c r="D10" s="1"/>
      <c r="E10" s="1"/>
      <c r="F10" s="1"/>
      <c r="G10" s="6"/>
      <c r="H10" s="170"/>
      <c r="I10" s="171"/>
      <c r="J10" s="172"/>
      <c r="K10" s="7"/>
      <c r="L10" s="1"/>
      <c r="M10" s="1"/>
      <c r="N10" s="1"/>
      <c r="O10" s="1"/>
      <c r="P10" s="1"/>
      <c r="Q10" s="1"/>
      <c r="R10" s="1"/>
      <c r="S10" s="1"/>
      <c r="T10" s="1"/>
      <c r="U10" s="1"/>
      <c r="V10" s="1"/>
      <c r="W10" s="1"/>
      <c r="X10" s="1"/>
      <c r="Y10" s="1"/>
      <c r="Z10" s="1"/>
    </row>
    <row r="11" spans="1:26" ht="15" customHeight="1" x14ac:dyDescent="0.45">
      <c r="A11" s="1"/>
      <c r="B11" s="8" t="s">
        <v>2</v>
      </c>
      <c r="C11" s="161" t="s">
        <v>3</v>
      </c>
      <c r="D11" s="162"/>
      <c r="E11" s="163"/>
      <c r="F11" s="9"/>
      <c r="G11" s="6"/>
      <c r="H11" s="10"/>
      <c r="I11" s="10"/>
      <c r="J11" s="10"/>
      <c r="K11" s="7"/>
      <c r="L11" s="1"/>
      <c r="M11" s="1"/>
      <c r="N11" s="1"/>
      <c r="O11" s="1"/>
      <c r="P11" s="1"/>
      <c r="Q11" s="1"/>
      <c r="R11" s="1"/>
      <c r="S11" s="1"/>
      <c r="T11" s="1"/>
      <c r="U11" s="1"/>
      <c r="V11" s="1"/>
      <c r="W11" s="1"/>
      <c r="X11" s="1"/>
      <c r="Y11" s="1"/>
      <c r="Z11" s="1"/>
    </row>
    <row r="12" spans="1:26" ht="15" customHeight="1" x14ac:dyDescent="0.45">
      <c r="A12" s="1"/>
      <c r="B12" s="11"/>
      <c r="C12" s="1"/>
      <c r="D12" s="1"/>
      <c r="E12" s="1"/>
      <c r="F12" s="1"/>
      <c r="G12" s="6"/>
      <c r="H12" s="173" t="s">
        <v>4</v>
      </c>
      <c r="I12" s="174"/>
      <c r="J12" s="174"/>
      <c r="K12" s="7"/>
      <c r="L12" s="1"/>
      <c r="M12" s="1"/>
      <c r="N12" s="1"/>
      <c r="O12" s="1"/>
      <c r="P12" s="1"/>
      <c r="Q12" s="1"/>
      <c r="R12" s="1"/>
      <c r="S12" s="1"/>
      <c r="T12" s="1"/>
      <c r="U12" s="1"/>
      <c r="V12" s="1"/>
      <c r="W12" s="1"/>
      <c r="X12" s="1"/>
      <c r="Y12" s="1"/>
      <c r="Z12" s="1"/>
    </row>
    <row r="13" spans="1:26" ht="19.75" x14ac:dyDescent="0.45">
      <c r="A13" s="1"/>
      <c r="B13" s="8" t="s">
        <v>5</v>
      </c>
      <c r="C13" s="161"/>
      <c r="D13" s="162"/>
      <c r="E13" s="16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4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19.75" x14ac:dyDescent="0.45">
      <c r="A15" s="1"/>
      <c r="B15" s="8" t="s">
        <v>8</v>
      </c>
      <c r="C15" s="161" t="s">
        <v>9</v>
      </c>
      <c r="D15" s="162"/>
      <c r="E15" s="163"/>
      <c r="F15" s="9"/>
      <c r="G15" s="6"/>
      <c r="H15" s="10"/>
      <c r="I15" s="10"/>
      <c r="J15" s="10"/>
      <c r="K15" s="7"/>
      <c r="L15" s="1"/>
      <c r="M15" s="1"/>
      <c r="N15" s="1"/>
      <c r="O15" s="1"/>
      <c r="P15" s="1"/>
      <c r="Q15" s="1"/>
      <c r="R15" s="1"/>
      <c r="S15" s="1"/>
      <c r="T15" s="1"/>
      <c r="U15" s="1"/>
      <c r="V15" s="1"/>
      <c r="W15" s="1"/>
      <c r="X15" s="1"/>
      <c r="Y15" s="1"/>
      <c r="Z15" s="1"/>
    </row>
    <row r="16" spans="1:26" ht="15" customHeight="1" x14ac:dyDescent="0.45">
      <c r="A16" s="1"/>
      <c r="B16" s="11"/>
      <c r="C16" s="1"/>
      <c r="D16" s="1"/>
      <c r="E16" s="1"/>
      <c r="F16" s="1"/>
      <c r="G16" s="6"/>
      <c r="H16" s="175" t="s">
        <v>10</v>
      </c>
      <c r="I16" s="174"/>
      <c r="J16" s="174"/>
      <c r="K16" s="7"/>
      <c r="L16" s="1"/>
      <c r="M16" s="1"/>
      <c r="N16" s="1"/>
      <c r="O16" s="1"/>
      <c r="P16" s="1"/>
      <c r="Q16" s="1"/>
      <c r="R16" s="1"/>
      <c r="S16" s="1"/>
      <c r="T16" s="1"/>
      <c r="U16" s="1"/>
      <c r="V16" s="1"/>
      <c r="W16" s="1"/>
      <c r="X16" s="1"/>
      <c r="Y16" s="1"/>
      <c r="Z16" s="1"/>
    </row>
    <row r="17" spans="1:26" ht="19.75" x14ac:dyDescent="0.45">
      <c r="A17" s="1"/>
      <c r="B17" s="8" t="s">
        <v>11</v>
      </c>
      <c r="C17" s="161" t="s">
        <v>12</v>
      </c>
      <c r="D17" s="162"/>
      <c r="E17" s="163"/>
      <c r="F17" s="9"/>
      <c r="G17" s="6"/>
      <c r="H17" s="10"/>
      <c r="I17" s="10"/>
      <c r="J17" s="10"/>
      <c r="K17" s="7"/>
      <c r="L17" s="1"/>
      <c r="M17" s="1"/>
      <c r="N17" s="1"/>
      <c r="O17" s="1"/>
      <c r="P17" s="1"/>
      <c r="Q17" s="1"/>
      <c r="R17" s="1"/>
      <c r="S17" s="1"/>
      <c r="T17" s="1"/>
      <c r="U17" s="1"/>
      <c r="V17" s="1"/>
      <c r="W17" s="1"/>
      <c r="X17" s="1"/>
      <c r="Y17" s="1"/>
      <c r="Z17" s="1"/>
    </row>
    <row r="18" spans="1:26" ht="19.75" x14ac:dyDescent="0.4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19.75" x14ac:dyDescent="0.45">
      <c r="A19" s="1"/>
      <c r="B19" s="8" t="s">
        <v>13</v>
      </c>
      <c r="C19" s="161"/>
      <c r="D19" s="162"/>
      <c r="E19" s="163"/>
      <c r="F19" s="9"/>
      <c r="G19" s="6"/>
      <c r="H19" s="13">
        <v>44326</v>
      </c>
      <c r="I19" s="10"/>
      <c r="J19" s="13">
        <v>44439</v>
      </c>
      <c r="K19" s="7"/>
      <c r="L19" s="1"/>
      <c r="M19" s="1"/>
      <c r="N19" s="1"/>
      <c r="O19" s="1"/>
      <c r="P19" s="1"/>
      <c r="Q19" s="1"/>
      <c r="R19" s="1"/>
      <c r="S19" s="1"/>
      <c r="T19" s="1"/>
      <c r="U19" s="1"/>
      <c r="V19" s="1"/>
      <c r="W19" s="1"/>
      <c r="X19" s="1"/>
      <c r="Y19" s="1"/>
      <c r="Z19" s="1"/>
    </row>
    <row r="20" spans="1:26" ht="19.75" x14ac:dyDescent="0.4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45">
      <c r="A21" s="1"/>
      <c r="B21" s="8" t="s">
        <v>14</v>
      </c>
      <c r="C21" s="161" t="s">
        <v>15</v>
      </c>
      <c r="D21" s="162"/>
      <c r="E21" s="163"/>
      <c r="F21" s="9"/>
      <c r="G21" s="6"/>
      <c r="H21" s="175" t="s">
        <v>16</v>
      </c>
      <c r="I21" s="174"/>
      <c r="J21" s="174"/>
      <c r="K21" s="7"/>
      <c r="L21" s="1"/>
      <c r="M21" s="1"/>
      <c r="N21" s="1"/>
      <c r="O21" s="1"/>
      <c r="P21" s="1"/>
      <c r="Q21" s="1"/>
      <c r="R21" s="1"/>
      <c r="S21" s="1"/>
      <c r="T21" s="1"/>
      <c r="U21" s="1"/>
      <c r="V21" s="1"/>
      <c r="W21" s="1"/>
      <c r="X21" s="1"/>
      <c r="Y21" s="1"/>
      <c r="Z21" s="1"/>
    </row>
    <row r="22" spans="1:26" ht="15.75" customHeight="1" x14ac:dyDescent="0.4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45">
      <c r="A23" s="1"/>
      <c r="B23" s="8" t="s">
        <v>17</v>
      </c>
      <c r="C23" s="161" t="s">
        <v>18</v>
      </c>
      <c r="D23" s="162"/>
      <c r="E23" s="16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4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45">
      <c r="A25" s="1"/>
      <c r="B25" s="8" t="s">
        <v>19</v>
      </c>
      <c r="C25" s="161"/>
      <c r="D25" s="162"/>
      <c r="E25" s="163"/>
      <c r="F25" s="9"/>
      <c r="G25" s="14"/>
      <c r="H25" s="15"/>
      <c r="I25" s="15"/>
      <c r="J25" s="15"/>
      <c r="K25" s="16"/>
      <c r="L25" s="1"/>
      <c r="M25" s="1"/>
      <c r="N25" s="1"/>
      <c r="O25" s="1"/>
      <c r="P25" s="1"/>
      <c r="Q25" s="1"/>
      <c r="R25" s="1"/>
      <c r="S25" s="1"/>
      <c r="T25" s="1"/>
      <c r="U25" s="1"/>
      <c r="V25" s="1"/>
      <c r="W25" s="1"/>
      <c r="X25" s="1"/>
      <c r="Y25" s="1"/>
      <c r="Z25" s="1"/>
    </row>
    <row r="26" spans="1:26" ht="15.75" customHeight="1" x14ac:dyDescent="0.4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1"/>
      <c r="B27" s="8" t="s">
        <v>20</v>
      </c>
      <c r="C27" s="161">
        <v>2021</v>
      </c>
      <c r="D27" s="162"/>
      <c r="E27" s="163"/>
      <c r="F27" s="9"/>
      <c r="G27" s="1"/>
      <c r="H27" s="1"/>
      <c r="I27" s="1"/>
      <c r="J27" s="1"/>
      <c r="K27" s="1"/>
      <c r="L27" s="1"/>
      <c r="M27" s="1"/>
      <c r="N27" s="1"/>
      <c r="O27" s="1"/>
      <c r="P27" s="1"/>
      <c r="Q27" s="1"/>
      <c r="R27" s="1"/>
      <c r="S27" s="1"/>
      <c r="T27" s="1"/>
      <c r="U27" s="1"/>
      <c r="V27" s="1"/>
      <c r="W27" s="1"/>
      <c r="X27" s="1"/>
      <c r="Y27" s="1"/>
      <c r="Z27" s="1"/>
    </row>
    <row r="28" spans="1:26" ht="15.75" customHeight="1" x14ac:dyDescent="0.4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4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4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4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4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4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4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4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4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4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4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4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4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4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4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4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4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4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4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4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4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4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4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4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4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4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4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4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4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4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4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4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4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4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4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4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4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4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4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4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4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4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4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4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4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4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4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4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4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4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4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4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4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4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4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4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4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4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4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4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4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4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4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4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4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4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4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4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4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4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4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4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4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4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4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4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4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4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4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4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4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4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4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4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4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4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4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4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4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4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4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4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4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4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4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4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4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4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4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4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4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4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4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4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4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4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4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4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4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4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4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4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4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4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4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4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4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4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4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4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4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4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4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4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4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4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4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4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4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4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4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4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4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4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4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4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4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4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4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4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4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4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4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4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4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4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4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4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4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4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4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4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4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4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4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4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4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4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4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4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4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4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4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4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4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4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4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4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4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4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4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4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4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4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4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4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4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4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4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4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4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4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4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4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4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4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4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4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4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4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4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4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4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4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4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4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4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4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4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4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4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4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4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4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4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4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4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4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4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4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4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4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4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4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4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4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4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4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4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4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4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4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4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4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4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4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4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4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4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4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4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4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4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4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4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4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4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4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4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4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4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4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4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4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4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4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4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4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4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4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4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4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4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4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4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4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4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4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4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4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4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4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4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4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4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4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4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4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4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4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4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4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4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4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4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4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4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4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4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4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4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4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4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4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4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4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4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4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4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4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4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4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4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4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4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4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4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4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4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4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4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4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4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4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4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4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4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4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4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4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4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4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4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4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4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4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4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4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4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4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4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4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4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4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4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4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4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4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4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4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4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4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4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4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4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4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4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4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4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4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4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4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4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4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4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4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4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4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4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4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4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4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4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4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4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4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4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4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4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4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4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4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4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4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4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4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4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4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4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4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4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4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4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4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4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4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4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4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4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4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4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4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4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4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4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4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4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4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4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4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4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4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4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4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4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4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4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4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4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4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4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4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4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4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4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4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4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4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4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4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4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4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4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4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4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4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4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4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4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4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4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4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4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4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4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4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4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4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4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4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4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4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4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4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4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4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4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4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4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4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4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4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4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4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4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4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4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4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4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4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4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4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4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4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4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4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4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4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4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4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4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4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4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4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4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4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4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4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4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4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4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4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4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4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4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4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4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4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4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4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4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4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4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4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4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4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4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4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4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4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4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4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4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4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4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4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4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4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4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4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4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4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4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4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4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4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4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4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4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4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4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4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4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4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4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4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4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4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4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4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4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4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4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4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4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4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4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4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4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4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4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4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4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4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4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4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4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4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4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4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4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4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4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4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4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4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4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4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4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4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4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4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4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4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4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4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4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4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4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4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4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4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4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4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4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4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4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4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4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4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4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4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4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4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4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4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4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4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4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4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4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4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4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4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4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4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4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4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4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4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4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4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4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4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4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4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4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4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4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4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4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4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4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4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4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4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4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4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4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4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4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4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4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4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4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4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4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4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4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4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4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4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4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4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4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4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4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4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4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4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4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4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4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4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4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4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4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4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4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4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4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4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4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4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4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4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4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4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4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4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4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4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4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4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4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4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4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4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4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4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4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4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4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4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4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4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4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4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4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4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4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4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4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4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4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4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4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4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4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4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4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4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4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4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4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4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4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4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4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4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4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4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4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4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4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4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4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4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4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4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4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4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4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4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4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4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4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4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4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4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4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4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4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4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4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4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4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4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4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4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4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4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4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4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4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4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4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4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4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4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4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4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4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4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4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4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4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4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4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4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4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4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4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4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4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4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4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4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4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4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4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4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4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4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4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4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4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4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4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4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4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4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4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4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4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4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4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4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4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4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4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4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4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4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4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4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4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4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4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4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4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4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4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4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4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4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4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4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4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4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4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4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4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4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4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4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4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4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4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4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4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4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4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4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4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4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4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4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4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4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4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4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4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4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4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4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4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4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4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4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4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4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4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4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4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4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4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4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4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4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4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4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4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4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4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4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4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4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4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4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4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4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4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4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4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4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4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4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4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4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4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4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4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4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4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4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4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4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4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4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4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4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4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4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4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4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4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4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4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4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4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4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4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4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4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4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4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4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4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4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4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4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4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4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4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4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4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4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4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4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4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4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4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4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4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4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4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4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4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4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4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4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4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4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4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4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4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4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4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4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4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4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4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4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4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4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4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4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4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4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4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4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4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4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4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4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4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4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4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4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4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4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4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4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4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4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4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4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4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4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4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4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4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4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4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4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4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4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4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4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4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4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4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4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4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4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4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4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4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4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4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4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4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4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4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34375" defaultRowHeight="15" customHeight="1" x14ac:dyDescent="0.45"/>
  <cols>
    <col min="1" max="1" width="2" customWidth="1"/>
    <col min="2" max="2" width="23.76171875" customWidth="1"/>
    <col min="3" max="3" width="8.046875" customWidth="1"/>
    <col min="4" max="4" width="3.94921875" hidden="1" customWidth="1"/>
    <col min="5" max="5" width="8.94921875" customWidth="1"/>
    <col min="6" max="6" width="10.94921875" customWidth="1"/>
    <col min="7" max="8" width="8.7109375" customWidth="1"/>
    <col min="9" max="9" width="9.7109375" customWidth="1"/>
    <col min="10" max="26" width="8.7109375" customWidth="1"/>
  </cols>
  <sheetData>
    <row r="1" spans="1:26" ht="7.5" customHeight="1" x14ac:dyDescent="0.4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45">
      <c r="A2" s="20"/>
      <c r="B2" s="178" t="s">
        <v>21</v>
      </c>
      <c r="C2" s="174"/>
      <c r="D2" s="174"/>
      <c r="E2" s="174"/>
      <c r="F2" s="174"/>
      <c r="G2" s="174"/>
      <c r="H2" s="174"/>
      <c r="I2" s="174"/>
      <c r="J2" s="19"/>
      <c r="K2" s="19"/>
      <c r="L2" s="19"/>
      <c r="M2" s="19"/>
      <c r="N2" s="19"/>
      <c r="O2" s="19"/>
      <c r="P2" s="19"/>
      <c r="Q2" s="19"/>
      <c r="R2" s="19"/>
      <c r="S2" s="19"/>
      <c r="T2" s="19"/>
      <c r="U2" s="19"/>
      <c r="V2" s="19"/>
      <c r="W2" s="19"/>
      <c r="X2" s="19"/>
      <c r="Y2" s="19"/>
      <c r="Z2" s="19"/>
    </row>
    <row r="3" spans="1:26" ht="4.5" customHeight="1" x14ac:dyDescent="0.4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45">
      <c r="A4" s="20"/>
      <c r="B4" s="21" t="s">
        <v>8</v>
      </c>
      <c r="C4" s="176" t="str">
        <f>CARÁTULA!$C$15</f>
        <v>Instituto Tecnico Humanistico Jauzel Arrieta</v>
      </c>
      <c r="D4" s="174"/>
      <c r="E4" s="174"/>
      <c r="F4" s="22" t="s">
        <v>19</v>
      </c>
      <c r="G4" s="176">
        <f>CARÁTULA!$C$25</f>
        <v>0</v>
      </c>
      <c r="H4" s="174"/>
      <c r="I4" s="174"/>
      <c r="J4" s="19"/>
      <c r="K4" s="19"/>
      <c r="L4" s="19"/>
      <c r="M4" s="19"/>
      <c r="N4" s="19"/>
      <c r="O4" s="19"/>
      <c r="P4" s="19"/>
      <c r="Q4" s="19"/>
      <c r="R4" s="19"/>
      <c r="S4" s="19"/>
      <c r="T4" s="19"/>
      <c r="U4" s="19"/>
      <c r="V4" s="19"/>
      <c r="W4" s="19"/>
      <c r="X4" s="19"/>
      <c r="Y4" s="19"/>
      <c r="Z4" s="19"/>
    </row>
    <row r="5" spans="1:26" ht="12" customHeight="1" x14ac:dyDescent="0.45">
      <c r="A5" s="20"/>
      <c r="B5" s="21" t="s">
        <v>14</v>
      </c>
      <c r="C5" s="176" t="str">
        <f>CARÁTULA!$C$21</f>
        <v>Secundaria</v>
      </c>
      <c r="D5" s="174"/>
      <c r="E5" s="174"/>
      <c r="F5" s="22" t="s">
        <v>13</v>
      </c>
      <c r="G5" s="176">
        <f>CARÁTULA!$C$19</f>
        <v>0</v>
      </c>
      <c r="H5" s="174"/>
      <c r="I5" s="174"/>
      <c r="J5" s="19"/>
      <c r="K5" s="19"/>
      <c r="L5" s="19"/>
      <c r="M5" s="19"/>
      <c r="N5" s="19"/>
      <c r="O5" s="19"/>
      <c r="P5" s="19"/>
      <c r="Q5" s="19"/>
      <c r="R5" s="19"/>
      <c r="S5" s="19"/>
      <c r="T5" s="19"/>
      <c r="U5" s="19"/>
      <c r="V5" s="19"/>
      <c r="W5" s="19"/>
      <c r="X5" s="19"/>
      <c r="Y5" s="19"/>
      <c r="Z5" s="19"/>
    </row>
    <row r="6" spans="1:26" ht="12" customHeight="1" x14ac:dyDescent="0.45">
      <c r="A6" s="20"/>
      <c r="B6" s="21" t="s">
        <v>22</v>
      </c>
      <c r="C6" s="176" t="str">
        <f>CARÁTULA!$C$23</f>
        <v>2do de Secundaria</v>
      </c>
      <c r="D6" s="174"/>
      <c r="E6" s="174"/>
      <c r="F6" s="22" t="s">
        <v>23</v>
      </c>
      <c r="G6" s="177">
        <f ca="1">TODAY()</f>
        <v>44413</v>
      </c>
      <c r="H6" s="174"/>
      <c r="I6" s="174"/>
      <c r="J6" s="19"/>
      <c r="K6" s="19"/>
      <c r="L6" s="19"/>
      <c r="M6" s="19"/>
      <c r="N6" s="19"/>
      <c r="O6" s="19"/>
      <c r="P6" s="19"/>
      <c r="Q6" s="19"/>
      <c r="R6" s="19"/>
      <c r="S6" s="19"/>
      <c r="T6" s="19"/>
      <c r="U6" s="19"/>
      <c r="V6" s="19"/>
      <c r="W6" s="19"/>
      <c r="X6" s="19"/>
      <c r="Y6" s="19"/>
      <c r="Z6" s="19"/>
    </row>
    <row r="7" spans="1:26" ht="15" customHeight="1" x14ac:dyDescent="0.4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45">
      <c r="A8" s="27">
        <v>1</v>
      </c>
      <c r="B8" s="28" t="s">
        <v>32</v>
      </c>
      <c r="C8" s="29"/>
      <c r="D8" s="30">
        <f t="shared" ref="D8:D43" ca="1" si="0">TODAY()</f>
        <v>44413</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45">
      <c r="A9" s="27">
        <v>2</v>
      </c>
      <c r="B9" s="28" t="s">
        <v>33</v>
      </c>
      <c r="C9" s="35"/>
      <c r="D9" s="30">
        <f t="shared" ca="1" si="0"/>
        <v>44413</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45">
      <c r="A10" s="27">
        <v>3</v>
      </c>
      <c r="B10" s="28" t="s">
        <v>34</v>
      </c>
      <c r="C10" s="35"/>
      <c r="D10" s="30">
        <f t="shared" ca="1" si="0"/>
        <v>44413</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45">
      <c r="A11" s="27">
        <v>4</v>
      </c>
      <c r="B11" s="28" t="s">
        <v>35</v>
      </c>
      <c r="C11" s="35"/>
      <c r="D11" s="30">
        <f t="shared" ca="1" si="0"/>
        <v>44413</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45">
      <c r="A12" s="27">
        <v>5</v>
      </c>
      <c r="B12" s="28" t="s">
        <v>36</v>
      </c>
      <c r="C12" s="35"/>
      <c r="D12" s="30">
        <f t="shared" ca="1" si="0"/>
        <v>44413</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45">
      <c r="A13" s="27">
        <v>6</v>
      </c>
      <c r="B13" s="28" t="s">
        <v>37</v>
      </c>
      <c r="C13" s="35"/>
      <c r="D13" s="30">
        <f t="shared" ca="1" si="0"/>
        <v>44413</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45">
      <c r="A14" s="27">
        <v>7</v>
      </c>
      <c r="B14" s="28" t="s">
        <v>38</v>
      </c>
      <c r="C14" s="35"/>
      <c r="D14" s="30">
        <f t="shared" ca="1" si="0"/>
        <v>44413</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45">
      <c r="A15" s="27">
        <v>8</v>
      </c>
      <c r="B15" s="28" t="s">
        <v>39</v>
      </c>
      <c r="C15" s="35"/>
      <c r="D15" s="30">
        <f t="shared" ca="1" si="0"/>
        <v>44413</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45">
      <c r="A16" s="27">
        <v>9</v>
      </c>
      <c r="B16" s="28" t="s">
        <v>40</v>
      </c>
      <c r="C16" s="35"/>
      <c r="D16" s="30">
        <f t="shared" ca="1" si="0"/>
        <v>44413</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45">
      <c r="A17" s="27">
        <v>10</v>
      </c>
      <c r="B17" s="28" t="s">
        <v>41</v>
      </c>
      <c r="C17" s="35"/>
      <c r="D17" s="30">
        <f t="shared" ca="1" si="0"/>
        <v>44413</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45">
      <c r="A18" s="27">
        <v>11</v>
      </c>
      <c r="B18" s="28" t="s">
        <v>42</v>
      </c>
      <c r="C18" s="35"/>
      <c r="D18" s="30">
        <f t="shared" ca="1" si="0"/>
        <v>44413</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45">
      <c r="A19" s="27">
        <v>12</v>
      </c>
      <c r="B19" s="28" t="s">
        <v>43</v>
      </c>
      <c r="C19" s="35"/>
      <c r="D19" s="30">
        <f t="shared" ca="1" si="0"/>
        <v>44413</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45">
      <c r="A20" s="27">
        <v>13</v>
      </c>
      <c r="B20" s="28" t="s">
        <v>44</v>
      </c>
      <c r="C20" s="35"/>
      <c r="D20" s="30">
        <f t="shared" ca="1" si="0"/>
        <v>44413</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45">
      <c r="A21" s="27">
        <v>14</v>
      </c>
      <c r="B21" s="28" t="s">
        <v>45</v>
      </c>
      <c r="C21" s="35"/>
      <c r="D21" s="30">
        <f t="shared" ca="1" si="0"/>
        <v>44413</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45">
      <c r="A22" s="27">
        <v>15</v>
      </c>
      <c r="B22" s="28" t="s">
        <v>46</v>
      </c>
      <c r="C22" s="35"/>
      <c r="D22" s="30">
        <f t="shared" ca="1" si="0"/>
        <v>44413</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45">
      <c r="A23" s="27">
        <v>16</v>
      </c>
      <c r="B23" s="28" t="s">
        <v>47</v>
      </c>
      <c r="C23" s="35"/>
      <c r="D23" s="30">
        <f t="shared" ca="1" si="0"/>
        <v>44413</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45">
      <c r="A24" s="27">
        <v>17</v>
      </c>
      <c r="B24" s="36"/>
      <c r="C24" s="35"/>
      <c r="D24" s="30">
        <f t="shared" ca="1" si="0"/>
        <v>44413</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45">
      <c r="A25" s="27">
        <v>18</v>
      </c>
      <c r="B25" s="36"/>
      <c r="C25" s="35"/>
      <c r="D25" s="30">
        <f t="shared" ca="1" si="0"/>
        <v>44413</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45">
      <c r="A26" s="27">
        <v>19</v>
      </c>
      <c r="B26" s="36"/>
      <c r="C26" s="35"/>
      <c r="D26" s="30">
        <f t="shared" ca="1" si="0"/>
        <v>44413</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45">
      <c r="A27" s="27">
        <v>20</v>
      </c>
      <c r="B27" s="36"/>
      <c r="C27" s="35"/>
      <c r="D27" s="30">
        <f t="shared" ca="1" si="0"/>
        <v>44413</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45">
      <c r="A28" s="27">
        <v>21</v>
      </c>
      <c r="B28" s="36"/>
      <c r="C28" s="35"/>
      <c r="D28" s="30">
        <f t="shared" ca="1" si="0"/>
        <v>44413</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45">
      <c r="A29" s="27">
        <v>22</v>
      </c>
      <c r="B29" s="36"/>
      <c r="C29" s="35"/>
      <c r="D29" s="30">
        <f t="shared" ca="1" si="0"/>
        <v>44413</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45">
      <c r="A30" s="27">
        <v>23</v>
      </c>
      <c r="B30" s="36"/>
      <c r="C30" s="35"/>
      <c r="D30" s="30">
        <f t="shared" ca="1" si="0"/>
        <v>44413</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45">
      <c r="A31" s="27">
        <v>24</v>
      </c>
      <c r="B31" s="36"/>
      <c r="C31" s="35"/>
      <c r="D31" s="30">
        <f t="shared" ca="1" si="0"/>
        <v>44413</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45">
      <c r="A32" s="27">
        <v>25</v>
      </c>
      <c r="B32" s="36"/>
      <c r="C32" s="35"/>
      <c r="D32" s="30">
        <f t="shared" ca="1" si="0"/>
        <v>44413</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45">
      <c r="A33" s="27">
        <v>26</v>
      </c>
      <c r="B33" s="36"/>
      <c r="C33" s="35"/>
      <c r="D33" s="30">
        <f t="shared" ca="1" si="0"/>
        <v>44413</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45">
      <c r="A34" s="27">
        <v>27</v>
      </c>
      <c r="B34" s="36"/>
      <c r="C34" s="35"/>
      <c r="D34" s="30">
        <f t="shared" ca="1" si="0"/>
        <v>44413</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45">
      <c r="A35" s="27">
        <v>28</v>
      </c>
      <c r="B35" s="36"/>
      <c r="C35" s="35"/>
      <c r="D35" s="30">
        <f t="shared" ca="1" si="0"/>
        <v>44413</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45">
      <c r="A36" s="27">
        <v>29</v>
      </c>
      <c r="B36" s="36"/>
      <c r="C36" s="35"/>
      <c r="D36" s="30">
        <f t="shared" ca="1" si="0"/>
        <v>44413</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45">
      <c r="A37" s="27">
        <v>30</v>
      </c>
      <c r="B37" s="36"/>
      <c r="C37" s="35"/>
      <c r="D37" s="30">
        <f t="shared" ca="1" si="0"/>
        <v>44413</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45">
      <c r="A38" s="27">
        <v>31</v>
      </c>
      <c r="B38" s="36"/>
      <c r="C38" s="35"/>
      <c r="D38" s="30">
        <f t="shared" ca="1" si="0"/>
        <v>44413</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45">
      <c r="A39" s="27">
        <v>32</v>
      </c>
      <c r="B39" s="36"/>
      <c r="C39" s="35"/>
      <c r="D39" s="30">
        <f t="shared" ca="1" si="0"/>
        <v>44413</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45">
      <c r="A40" s="27">
        <v>33</v>
      </c>
      <c r="B40" s="36"/>
      <c r="C40" s="35"/>
      <c r="D40" s="30">
        <f t="shared" ca="1" si="0"/>
        <v>44413</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45">
      <c r="A41" s="27">
        <v>34</v>
      </c>
      <c r="B41" s="36"/>
      <c r="C41" s="35"/>
      <c r="D41" s="30">
        <f t="shared" ca="1" si="0"/>
        <v>44413</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45">
      <c r="A42" s="27">
        <v>35</v>
      </c>
      <c r="B42" s="36"/>
      <c r="C42" s="35"/>
      <c r="D42" s="30">
        <f t="shared" ca="1" si="0"/>
        <v>44413</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45">
      <c r="A43" s="27">
        <v>36</v>
      </c>
      <c r="B43" s="36"/>
      <c r="C43" s="35"/>
      <c r="D43" s="30">
        <f t="shared" ca="1" si="0"/>
        <v>44413</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4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4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4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4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4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4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4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4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4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4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4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4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4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4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4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4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4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4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4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4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4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4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4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4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4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4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4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4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4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4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4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4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4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4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4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4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4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4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4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4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4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4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4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4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4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4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4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4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4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4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4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4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4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4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4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4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4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4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4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4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4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4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4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4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4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4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4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4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4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4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4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4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4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4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4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4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4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4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4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4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4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4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4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4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4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4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4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4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4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4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4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4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4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4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4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4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4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4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4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4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4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4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4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4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4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4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4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4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4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4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4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4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4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4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4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4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4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4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4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4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4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4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4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4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4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4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4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4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4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4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4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4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4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4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4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4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4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4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4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4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4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4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4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4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4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4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4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4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4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4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4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4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4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4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4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4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4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4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4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4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4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4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4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4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4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4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4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4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4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4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4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4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4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4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4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4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4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4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4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4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4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4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4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4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4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4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4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4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4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4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4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4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4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4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4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4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4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4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4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4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4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4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4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4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4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4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4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4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4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4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4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4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4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4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4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4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4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4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4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4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4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4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4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4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4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4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4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4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4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4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4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4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4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4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4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4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4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4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4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4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4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4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4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4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4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4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4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4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4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4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4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4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4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4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4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4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4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4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4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4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4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4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4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4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4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4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4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4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4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4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4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4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4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4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4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4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4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4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4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4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4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4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4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4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4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4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4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4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4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4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4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4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4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4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4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4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4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4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4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4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4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4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4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4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4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4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4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4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4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4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4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4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4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4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4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4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4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4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4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4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4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4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4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4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4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4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4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4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4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4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4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4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4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4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4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4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4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4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4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4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4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4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4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4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4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4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4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4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4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4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4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4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4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4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4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4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4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4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4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4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4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4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4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4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4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4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4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4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4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4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4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4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4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4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4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4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4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4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4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4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4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4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4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4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4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4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4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4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4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4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4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4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4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4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4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4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4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4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4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4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4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4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4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4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4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4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4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4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4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4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4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4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4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4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4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4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4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4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4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4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4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4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4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4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4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4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4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4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4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4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4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4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4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4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4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4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4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4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4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4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4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4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4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4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4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4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4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4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4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4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4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4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4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4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4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4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4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4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4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4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4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4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4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4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4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4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4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4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4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4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4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4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4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4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4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4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4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4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4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4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4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4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4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4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4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4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4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4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4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4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4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4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4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4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4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4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4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4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4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4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4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4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4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4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4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4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4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4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4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4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4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4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4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4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4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4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4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4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4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4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4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4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4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4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4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4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4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4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4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4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4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4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4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4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4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4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4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4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4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4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4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4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4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4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4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4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4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4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4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4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4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4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4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4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4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4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4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4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4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4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4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4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4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4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4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4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4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4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4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4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4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4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4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4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4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4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4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4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4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4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4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4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4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4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4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4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4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4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4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4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4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4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4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4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4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4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4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4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4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4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4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4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4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4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4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4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4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4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4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4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4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4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4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4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4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4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4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4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4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4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4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4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4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4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4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4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4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4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4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4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4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4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4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4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4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4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4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4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4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4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4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4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4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4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4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4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4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4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4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4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4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4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4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4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4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4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4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4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4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4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4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4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4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4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4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4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4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4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4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4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4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4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4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4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4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4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4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4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4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4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4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4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4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4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4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4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4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4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4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4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4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4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4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4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4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4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4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4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4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4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4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4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4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4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4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4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4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4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4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4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4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4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4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4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4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4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4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4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4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4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4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4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4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4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4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4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4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4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4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4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4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4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4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4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4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4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4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4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4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4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4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4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4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4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4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4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4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4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4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4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4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4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4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4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4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4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4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4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4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4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4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4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4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4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4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4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4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4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4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4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4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4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4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4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4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4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4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4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4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4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4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4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4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4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4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4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4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4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4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4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4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4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4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4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4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4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4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4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4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4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4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4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4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4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4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4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4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4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4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4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4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4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4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4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4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4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4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4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4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4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4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4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4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4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4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4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4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4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4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4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4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4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4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4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4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4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4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4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4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4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4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4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4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4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4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4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4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4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4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4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4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4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4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4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4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4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4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4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4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4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4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4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4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4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4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4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4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4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4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4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4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4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4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4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4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4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4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34375" defaultRowHeight="15" customHeight="1" x14ac:dyDescent="0.45"/>
  <cols>
    <col min="1" max="1" width="1.6640625" customWidth="1"/>
    <col min="2" max="2" width="20.6640625" customWidth="1"/>
    <col min="3" max="52" width="1.28515625" customWidth="1"/>
    <col min="53" max="57" width="1.42578125" customWidth="1"/>
    <col min="58" max="61" width="1.6640625" customWidth="1"/>
  </cols>
  <sheetData>
    <row r="1" spans="1:61" ht="4.5" customHeight="1" x14ac:dyDescent="0.45"/>
    <row r="2" spans="1:61" ht="12.75" customHeight="1" x14ac:dyDescent="0.45">
      <c r="B2" s="178" t="s">
        <v>48</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179">
        <f>CARÁTULA!$H$14</f>
        <v>44228</v>
      </c>
      <c r="AU3" s="174"/>
      <c r="AV3" s="174"/>
      <c r="AW3" s="174"/>
      <c r="AX3" s="174"/>
      <c r="AY3" s="174"/>
      <c r="AZ3" s="174"/>
      <c r="BA3" s="180" t="s">
        <v>50</v>
      </c>
      <c r="BB3" s="181"/>
      <c r="BC3" s="181"/>
      <c r="BD3" s="181"/>
      <c r="BE3" s="182"/>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179">
        <f>CARÁTULA!$J$14</f>
        <v>44323</v>
      </c>
      <c r="AU4" s="174"/>
      <c r="AV4" s="174"/>
      <c r="AW4" s="174"/>
      <c r="AX4" s="174"/>
      <c r="AY4" s="174"/>
      <c r="AZ4" s="174"/>
      <c r="BA4" s="183">
        <f ca="1">AT4-AT5</f>
        <v>-90</v>
      </c>
      <c r="BB4" s="184"/>
      <c r="BC4" s="184"/>
      <c r="BD4" s="184"/>
      <c r="BE4" s="185"/>
    </row>
    <row r="5" spans="1:61" ht="12.75" customHeight="1" x14ac:dyDescent="0.45">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189">
        <f ca="1">TODAY()</f>
        <v>44413</v>
      </c>
      <c r="Y5" s="174"/>
      <c r="Z5" s="174"/>
      <c r="AA5" s="174"/>
      <c r="AB5" s="174"/>
      <c r="AC5" s="174"/>
      <c r="AD5" s="40"/>
      <c r="AE5" s="40"/>
      <c r="AF5" s="40"/>
      <c r="AG5" s="40"/>
      <c r="AH5" s="40"/>
      <c r="AI5" s="40"/>
      <c r="AJ5" s="40"/>
      <c r="AK5" s="45" t="s">
        <v>53</v>
      </c>
      <c r="AL5" s="46"/>
      <c r="AM5" s="46"/>
      <c r="AN5" s="46"/>
      <c r="AO5" s="46"/>
      <c r="AP5" s="46"/>
      <c r="AQ5" s="46"/>
      <c r="AR5" s="40"/>
      <c r="AS5" s="40"/>
      <c r="AT5" s="190">
        <f ca="1">TODAY()</f>
        <v>44413</v>
      </c>
      <c r="AU5" s="174"/>
      <c r="AV5" s="174"/>
      <c r="AW5" s="174"/>
      <c r="AX5" s="174"/>
      <c r="AY5" s="174"/>
      <c r="AZ5" s="174"/>
      <c r="BA5" s="186"/>
      <c r="BB5" s="187"/>
      <c r="BC5" s="187"/>
      <c r="BD5" s="187"/>
      <c r="BE5" s="188"/>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45">
      <c r="A7" s="48" t="s">
        <v>54</v>
      </c>
      <c r="B7" s="49" t="s">
        <v>55</v>
      </c>
      <c r="C7" s="50"/>
      <c r="D7" s="51">
        <v>44237</v>
      </c>
      <c r="E7" s="52">
        <v>44244</v>
      </c>
      <c r="F7" s="52">
        <v>44252</v>
      </c>
      <c r="G7" s="52">
        <v>44256</v>
      </c>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56</v>
      </c>
      <c r="BB7" s="56" t="s">
        <v>57</v>
      </c>
      <c r="BC7" s="56" t="s">
        <v>58</v>
      </c>
      <c r="BD7" s="56" t="s">
        <v>59</v>
      </c>
      <c r="BE7" s="57" t="s">
        <v>60</v>
      </c>
    </row>
    <row r="8" spans="1:61" ht="12" customHeight="1" x14ac:dyDescent="0.45">
      <c r="A8" s="58">
        <v>1</v>
      </c>
      <c r="B8" s="59" t="str">
        <f>'C. FILIACION'!B8</f>
        <v>ALARCON CHURA PRISCILA</v>
      </c>
      <c r="C8" s="48"/>
      <c r="D8" s="60" t="s">
        <v>61</v>
      </c>
      <c r="E8" s="60" t="s">
        <v>62</v>
      </c>
      <c r="F8" s="60" t="s">
        <v>63</v>
      </c>
      <c r="G8" s="60" t="s">
        <v>62</v>
      </c>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2</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45">
      <c r="A9" s="58">
        <v>2</v>
      </c>
      <c r="B9" s="59" t="str">
        <f>'C. FILIACION'!B9</f>
        <v>ARCE CHOQUE LUCERO CORAL</v>
      </c>
      <c r="C9" s="48"/>
      <c r="D9" s="60" t="s">
        <v>61</v>
      </c>
      <c r="E9" s="60" t="s">
        <v>62</v>
      </c>
      <c r="F9" s="60" t="s">
        <v>63</v>
      </c>
      <c r="G9" s="60" t="s">
        <v>62</v>
      </c>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1</v>
      </c>
      <c r="BC9" s="48" t="str">
        <f t="shared" si="2"/>
        <v/>
      </c>
      <c r="BD9" s="48">
        <f t="shared" si="3"/>
        <v>1</v>
      </c>
      <c r="BE9" s="63">
        <f t="shared" si="4"/>
        <v>1</v>
      </c>
    </row>
    <row r="10" spans="1:61" ht="12" customHeight="1" x14ac:dyDescent="0.45">
      <c r="A10" s="58">
        <v>3</v>
      </c>
      <c r="B10" s="59" t="str">
        <f>'C. FILIACION'!B10</f>
        <v>AREQUIPA CALCINA FABIAN JHON</v>
      </c>
      <c r="C10" s="48"/>
      <c r="D10" s="60" t="s">
        <v>61</v>
      </c>
      <c r="E10" s="60" t="s">
        <v>62</v>
      </c>
      <c r="F10" s="60" t="s">
        <v>62</v>
      </c>
      <c r="G10" s="60" t="s">
        <v>62</v>
      </c>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t="str">
        <f t="shared" si="1"/>
        <v/>
      </c>
      <c r="BC10" s="48" t="str">
        <f t="shared" si="2"/>
        <v/>
      </c>
      <c r="BD10" s="48">
        <f t="shared" si="3"/>
        <v>1</v>
      </c>
      <c r="BE10" s="63">
        <f t="shared" si="4"/>
        <v>1</v>
      </c>
    </row>
    <row r="11" spans="1:61" ht="12" customHeight="1" x14ac:dyDescent="0.45">
      <c r="A11" s="58">
        <v>4</v>
      </c>
      <c r="B11" s="59" t="str">
        <f>'C. FILIACION'!B11</f>
        <v>CLAURE PARAVICINI RASHEL ROSALY</v>
      </c>
      <c r="C11" s="48"/>
      <c r="D11" s="60" t="s">
        <v>61</v>
      </c>
      <c r="E11" s="60" t="s">
        <v>62</v>
      </c>
      <c r="F11" s="60" t="s">
        <v>62</v>
      </c>
      <c r="G11" s="60" t="s">
        <v>62</v>
      </c>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f t="shared" si="3"/>
        <v>1</v>
      </c>
      <c r="BE11" s="63">
        <f t="shared" si="4"/>
        <v>1</v>
      </c>
    </row>
    <row r="12" spans="1:61" ht="12" customHeight="1" x14ac:dyDescent="0.45">
      <c r="A12" s="58">
        <v>5</v>
      </c>
      <c r="B12" s="59" t="str">
        <f>'C. FILIACION'!B12</f>
        <v>CONDORI FLORES ALEJANDRO BRYAN</v>
      </c>
      <c r="C12" s="48"/>
      <c r="D12" s="60" t="s">
        <v>61</v>
      </c>
      <c r="E12" s="60" t="s">
        <v>62</v>
      </c>
      <c r="F12" s="60" t="s">
        <v>62</v>
      </c>
      <c r="G12" s="60" t="s">
        <v>62</v>
      </c>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f t="shared" si="3"/>
        <v>1</v>
      </c>
      <c r="BE12" s="63">
        <f t="shared" si="4"/>
        <v>1</v>
      </c>
    </row>
    <row r="13" spans="1:61" ht="12" customHeight="1" x14ac:dyDescent="0.45">
      <c r="A13" s="58">
        <v>6</v>
      </c>
      <c r="B13" s="59" t="str">
        <f>'C. FILIACION'!B13</f>
        <v>DE LA CRUZ SANDOVAL JHON MARCO</v>
      </c>
      <c r="C13" s="48"/>
      <c r="D13" s="60" t="s">
        <v>61</v>
      </c>
      <c r="E13" s="60" t="s">
        <v>62</v>
      </c>
      <c r="F13" s="60" t="s">
        <v>62</v>
      </c>
      <c r="G13" s="60" t="s">
        <v>62</v>
      </c>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f t="shared" si="3"/>
        <v>1</v>
      </c>
      <c r="BE13" s="63">
        <f t="shared" si="4"/>
        <v>1</v>
      </c>
    </row>
    <row r="14" spans="1:61" ht="12" customHeight="1" x14ac:dyDescent="0.45">
      <c r="A14" s="58">
        <v>7</v>
      </c>
      <c r="B14" s="59" t="str">
        <f>'C. FILIACION'!B14</f>
        <v>GARCÍA IGNACIO MISHEL MAYA</v>
      </c>
      <c r="C14" s="48"/>
      <c r="D14" s="60" t="s">
        <v>61</v>
      </c>
      <c r="E14" s="60" t="s">
        <v>62</v>
      </c>
      <c r="F14" s="60" t="s">
        <v>62</v>
      </c>
      <c r="G14" s="60" t="s">
        <v>62</v>
      </c>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f t="shared" si="3"/>
        <v>1</v>
      </c>
      <c r="BE14" s="63">
        <f t="shared" si="4"/>
        <v>1</v>
      </c>
    </row>
    <row r="15" spans="1:61" ht="12" customHeight="1" x14ac:dyDescent="0.45">
      <c r="A15" s="58">
        <v>8</v>
      </c>
      <c r="B15" s="59" t="str">
        <f>'C. FILIACION'!B15</f>
        <v>HELGUERO SANCHEZ JHOYSI CAMIL</v>
      </c>
      <c r="C15" s="48"/>
      <c r="D15" s="60" t="s">
        <v>61</v>
      </c>
      <c r="E15" s="60" t="s">
        <v>62</v>
      </c>
      <c r="F15" s="60" t="s">
        <v>62</v>
      </c>
      <c r="G15" s="60" t="s">
        <v>62</v>
      </c>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f t="shared" si="3"/>
        <v>1</v>
      </c>
      <c r="BE15" s="63">
        <f t="shared" si="4"/>
        <v>1</v>
      </c>
    </row>
    <row r="16" spans="1:61" ht="12" customHeight="1" x14ac:dyDescent="0.45">
      <c r="A16" s="58">
        <v>9</v>
      </c>
      <c r="B16" s="59" t="str">
        <f>'C. FILIACION'!B16</f>
        <v>LEDEZMA ORELLANA RICARDO ERIK</v>
      </c>
      <c r="C16" s="48"/>
      <c r="D16" s="60" t="s">
        <v>61</v>
      </c>
      <c r="E16" s="60" t="s">
        <v>62</v>
      </c>
      <c r="F16" s="60" t="s">
        <v>63</v>
      </c>
      <c r="G16" s="60" t="s">
        <v>62</v>
      </c>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f t="shared" si="1"/>
        <v>1</v>
      </c>
      <c r="BC16" s="48" t="str">
        <f t="shared" si="2"/>
        <v/>
      </c>
      <c r="BD16" s="48">
        <f t="shared" si="3"/>
        <v>1</v>
      </c>
      <c r="BE16" s="63">
        <f t="shared" si="4"/>
        <v>1</v>
      </c>
    </row>
    <row r="17" spans="1:57" ht="12" customHeight="1" x14ac:dyDescent="0.45">
      <c r="A17" s="58">
        <v>10</v>
      </c>
      <c r="B17" s="59" t="str">
        <f>'C. FILIACION'!B17</f>
        <v>MAMANI LOPEZ ELIZABETH MILDRED</v>
      </c>
      <c r="C17" s="48"/>
      <c r="D17" s="60" t="s">
        <v>61</v>
      </c>
      <c r="E17" s="60" t="s">
        <v>62</v>
      </c>
      <c r="F17" s="60" t="s">
        <v>62</v>
      </c>
      <c r="G17" s="60" t="s">
        <v>62</v>
      </c>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f t="shared" si="3"/>
        <v>1</v>
      </c>
      <c r="BE17" s="63">
        <f t="shared" si="4"/>
        <v>1</v>
      </c>
    </row>
    <row r="18" spans="1:57" ht="12" customHeight="1" x14ac:dyDescent="0.45">
      <c r="A18" s="58">
        <v>11</v>
      </c>
      <c r="B18" s="59" t="str">
        <f>'C. FILIACION'!B18</f>
        <v>MEDINA CHOQUE JUAN JOSE</v>
      </c>
      <c r="C18" s="48"/>
      <c r="D18" s="60" t="s">
        <v>61</v>
      </c>
      <c r="E18" s="60" t="s">
        <v>62</v>
      </c>
      <c r="F18" s="60" t="s">
        <v>62</v>
      </c>
      <c r="G18" s="60" t="s">
        <v>62</v>
      </c>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f t="shared" si="3"/>
        <v>1</v>
      </c>
      <c r="BE18" s="63">
        <f t="shared" si="4"/>
        <v>1</v>
      </c>
    </row>
    <row r="19" spans="1:57" ht="12" customHeight="1" x14ac:dyDescent="0.45">
      <c r="A19" s="58">
        <v>12</v>
      </c>
      <c r="B19" s="59" t="str">
        <f>'C. FILIACION'!B19</f>
        <v>NINA RUEDA SEBASTIAN CARLOS</v>
      </c>
      <c r="C19" s="48"/>
      <c r="D19" s="60" t="s">
        <v>61</v>
      </c>
      <c r="E19" s="60" t="s">
        <v>62</v>
      </c>
      <c r="F19" s="60" t="s">
        <v>62</v>
      </c>
      <c r="G19" s="60" t="s">
        <v>62</v>
      </c>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f t="shared" si="3"/>
        <v>1</v>
      </c>
      <c r="BE19" s="63">
        <f t="shared" si="4"/>
        <v>1</v>
      </c>
    </row>
    <row r="20" spans="1:57" ht="12" customHeight="1" x14ac:dyDescent="0.45">
      <c r="A20" s="58">
        <v>13</v>
      </c>
      <c r="B20" s="59" t="str">
        <f>'C. FILIACION'!B20</f>
        <v>RODRIGUEZ RAMIREZ NATALY ARIANA</v>
      </c>
      <c r="C20" s="48"/>
      <c r="D20" s="60" t="s">
        <v>61</v>
      </c>
      <c r="E20" s="60" t="s">
        <v>62</v>
      </c>
      <c r="F20" s="60" t="s">
        <v>62</v>
      </c>
      <c r="G20" s="60" t="s">
        <v>62</v>
      </c>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f t="shared" si="3"/>
        <v>1</v>
      </c>
      <c r="BE20" s="63">
        <f t="shared" si="4"/>
        <v>1</v>
      </c>
    </row>
    <row r="21" spans="1:57" ht="12" customHeight="1" x14ac:dyDescent="0.45">
      <c r="A21" s="58">
        <v>14</v>
      </c>
      <c r="B21" s="59" t="str">
        <f>'C. FILIACION'!B21</f>
        <v>SALAZAR CANAZA CRISTINA MAYRA</v>
      </c>
      <c r="C21" s="48"/>
      <c r="D21" s="60" t="s">
        <v>61</v>
      </c>
      <c r="E21" s="60" t="s">
        <v>62</v>
      </c>
      <c r="F21" s="60" t="s">
        <v>63</v>
      </c>
      <c r="G21" s="60" t="s">
        <v>62</v>
      </c>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f t="shared" si="1"/>
        <v>1</v>
      </c>
      <c r="BC21" s="48" t="str">
        <f t="shared" si="2"/>
        <v/>
      </c>
      <c r="BD21" s="48">
        <f t="shared" si="3"/>
        <v>1</v>
      </c>
      <c r="BE21" s="63">
        <f t="shared" si="4"/>
        <v>1</v>
      </c>
    </row>
    <row r="22" spans="1:57" ht="12" customHeight="1" x14ac:dyDescent="0.45">
      <c r="A22" s="58">
        <v>15</v>
      </c>
      <c r="B22" s="59" t="str">
        <f>'C. FILIACION'!B22</f>
        <v>SEVILLANO BALTAZAR AGNESE</v>
      </c>
      <c r="C22" s="48"/>
      <c r="D22" s="60" t="s">
        <v>61</v>
      </c>
      <c r="E22" s="60" t="s">
        <v>62</v>
      </c>
      <c r="F22" s="60" t="s">
        <v>62</v>
      </c>
      <c r="G22" s="60" t="s">
        <v>62</v>
      </c>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3</v>
      </c>
      <c r="BB22" s="48" t="str">
        <f t="shared" si="1"/>
        <v/>
      </c>
      <c r="BC22" s="48" t="str">
        <f t="shared" si="2"/>
        <v/>
      </c>
      <c r="BD22" s="48">
        <f t="shared" si="3"/>
        <v>1</v>
      </c>
      <c r="BE22" s="63">
        <f t="shared" si="4"/>
        <v>1</v>
      </c>
    </row>
    <row r="23" spans="1:57" ht="12" customHeight="1" x14ac:dyDescent="0.45">
      <c r="A23" s="58">
        <v>16</v>
      </c>
      <c r="B23" s="59" t="str">
        <f>'C. FILIACION'!B23</f>
        <v>TOCONAS HUAYGUA VICTORIA FERNANDA</v>
      </c>
      <c r="C23" s="48"/>
      <c r="D23" s="60" t="s">
        <v>61</v>
      </c>
      <c r="E23" s="60" t="s">
        <v>62</v>
      </c>
      <c r="F23" s="60" t="s">
        <v>62</v>
      </c>
      <c r="G23" s="60" t="s">
        <v>62</v>
      </c>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f t="shared" si="3"/>
        <v>1</v>
      </c>
      <c r="BE23" s="63">
        <f t="shared" si="4"/>
        <v>1</v>
      </c>
    </row>
    <row r="24" spans="1:57" ht="12" customHeight="1" x14ac:dyDescent="0.45">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4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4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10" workbookViewId="0">
      <selection activeCell="P21" sqref="P21"/>
    </sheetView>
  </sheetViews>
  <sheetFormatPr baseColWidth="10" defaultColWidth="9.234375" defaultRowHeight="15" customHeight="1" x14ac:dyDescent="0.45"/>
  <cols>
    <col min="1" max="1" width="1.6640625" customWidth="1"/>
    <col min="2" max="2" width="20.6640625" customWidth="1"/>
    <col min="3" max="9" width="1.28515625" customWidth="1"/>
    <col min="10" max="10" width="2.90234375" customWidth="1"/>
    <col min="11" max="14" width="1.28515625" customWidth="1"/>
    <col min="15" max="16" width="2.42578125" customWidth="1"/>
    <col min="17" max="52" width="1.28515625" customWidth="1"/>
    <col min="53" max="57" width="1.42578125" customWidth="1"/>
    <col min="58" max="61" width="1.6640625" customWidth="1"/>
  </cols>
  <sheetData>
    <row r="1" spans="1:61" ht="4.5" customHeight="1" x14ac:dyDescent="0.45"/>
    <row r="2" spans="1:61" ht="12.75" customHeight="1" x14ac:dyDescent="0.45">
      <c r="B2" s="178" t="s">
        <v>64</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179">
        <f>CARÁTULA!$H$19</f>
        <v>44326</v>
      </c>
      <c r="AU3" s="174"/>
      <c r="AV3" s="174"/>
      <c r="AW3" s="174"/>
      <c r="AX3" s="174"/>
      <c r="AY3" s="174"/>
      <c r="AZ3" s="174"/>
      <c r="BA3" s="180" t="s">
        <v>50</v>
      </c>
      <c r="BB3" s="181"/>
      <c r="BC3" s="181"/>
      <c r="BD3" s="181"/>
      <c r="BE3" s="182"/>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179">
        <f>CARÁTULA!$J$19</f>
        <v>44439</v>
      </c>
      <c r="AU4" s="174"/>
      <c r="AV4" s="174"/>
      <c r="AW4" s="174"/>
      <c r="AX4" s="174"/>
      <c r="AY4" s="174"/>
      <c r="AZ4" s="174"/>
      <c r="BA4" s="191">
        <f ca="1">AT4-AT5</f>
        <v>26</v>
      </c>
      <c r="BB4" s="184"/>
      <c r="BC4" s="184"/>
      <c r="BD4" s="184"/>
      <c r="BE4" s="185"/>
    </row>
    <row r="5" spans="1:61" ht="12.75" customHeight="1" x14ac:dyDescent="0.45">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192">
        <f ca="1">TODAY()</f>
        <v>44413</v>
      </c>
      <c r="Y5" s="174"/>
      <c r="Z5" s="174"/>
      <c r="AA5" s="174"/>
      <c r="AB5" s="174"/>
      <c r="AC5" s="174"/>
      <c r="AD5" s="40"/>
      <c r="AE5" s="40"/>
      <c r="AF5" s="40"/>
      <c r="AG5" s="40"/>
      <c r="AH5" s="40"/>
      <c r="AI5" s="40"/>
      <c r="AJ5" s="40"/>
      <c r="AK5" s="45" t="s">
        <v>53</v>
      </c>
      <c r="AL5" s="46"/>
      <c r="AM5" s="46"/>
      <c r="AN5" s="46"/>
      <c r="AO5" s="46"/>
      <c r="AP5" s="46"/>
      <c r="AQ5" s="46"/>
      <c r="AR5" s="40"/>
      <c r="AS5" s="40"/>
      <c r="AT5" s="190">
        <f ca="1">TODAY()</f>
        <v>44413</v>
      </c>
      <c r="AU5" s="174"/>
      <c r="AV5" s="174"/>
      <c r="AW5" s="174"/>
      <c r="AX5" s="174"/>
      <c r="AY5" s="174"/>
      <c r="AZ5" s="174"/>
      <c r="BA5" s="186"/>
      <c r="BB5" s="187"/>
      <c r="BC5" s="187"/>
      <c r="BD5" s="187"/>
      <c r="BE5" s="188"/>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45">
      <c r="A7" s="48" t="s">
        <v>54</v>
      </c>
      <c r="B7" s="49" t="s">
        <v>55</v>
      </c>
      <c r="C7" s="52">
        <v>44230</v>
      </c>
      <c r="E7" s="52"/>
      <c r="F7" s="53"/>
      <c r="G7" s="53"/>
      <c r="H7" s="50">
        <v>44385</v>
      </c>
      <c r="I7" s="50">
        <v>44423</v>
      </c>
      <c r="J7" s="53"/>
      <c r="K7" s="50">
        <v>44399</v>
      </c>
      <c r="L7" s="50">
        <v>44406</v>
      </c>
      <c r="M7" s="53" t="s">
        <v>168</v>
      </c>
      <c r="N7" s="50">
        <v>44413</v>
      </c>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65</v>
      </c>
      <c r="BB7" s="56" t="s">
        <v>66</v>
      </c>
      <c r="BC7" s="56" t="s">
        <v>67</v>
      </c>
      <c r="BD7" s="56" t="s">
        <v>68</v>
      </c>
      <c r="BE7" s="57" t="s">
        <v>60</v>
      </c>
    </row>
    <row r="8" spans="1:61" ht="12" customHeight="1" x14ac:dyDescent="0.45">
      <c r="A8" s="58">
        <v>1</v>
      </c>
      <c r="B8" s="155" t="str">
        <f>'C. FILIACION'!B8</f>
        <v>ALARCON CHURA PRISCILA</v>
      </c>
      <c r="C8" s="156"/>
      <c r="D8" s="157"/>
      <c r="E8" s="156"/>
      <c r="F8" s="156"/>
      <c r="G8" s="158"/>
      <c r="H8" s="158"/>
      <c r="I8" s="158" t="s">
        <v>62</v>
      </c>
      <c r="J8" s="48"/>
      <c r="K8" s="48"/>
      <c r="L8" s="48" t="s">
        <v>62</v>
      </c>
      <c r="M8" s="48"/>
      <c r="N8" s="48" t="s">
        <v>62</v>
      </c>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9"/>
      <c r="BA8" s="62">
        <f t="shared" ref="BA8:BA43" si="0">IF(COUNTIF(C8:AZ8,"A")=0,"",COUNTIF(C8:AZ8,"A"))</f>
        <v>3</v>
      </c>
      <c r="BB8" s="48" t="str">
        <f t="shared" ref="BB8:BB43" si="1">IF(COUNTIF(C8:AZ8,"F")=0,"",COUNTIF(C8:AZ8,"F"))</f>
        <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45">
      <c r="A9" s="58">
        <v>2</v>
      </c>
      <c r="B9" s="59" t="str">
        <f>'C. FILIACION'!B9</f>
        <v>ARCE CHOQUE LUCERO CORAL</v>
      </c>
      <c r="C9" s="48"/>
      <c r="E9" s="48"/>
      <c r="F9" s="48"/>
      <c r="G9" s="48"/>
      <c r="H9" s="48"/>
      <c r="I9" s="48" t="s">
        <v>63</v>
      </c>
      <c r="J9" s="48"/>
      <c r="K9" s="48" t="s">
        <v>63</v>
      </c>
      <c r="L9" s="68" t="s">
        <v>63</v>
      </c>
      <c r="M9" s="48"/>
      <c r="N9" s="48" t="s">
        <v>62</v>
      </c>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v>
      </c>
      <c r="BB9" s="48">
        <f t="shared" si="1"/>
        <v>3</v>
      </c>
      <c r="BC9" s="48" t="str">
        <f t="shared" si="2"/>
        <v/>
      </c>
      <c r="BD9" s="48" t="str">
        <f t="shared" si="3"/>
        <v/>
      </c>
      <c r="BE9" s="63" t="str">
        <f t="shared" si="4"/>
        <v/>
      </c>
    </row>
    <row r="10" spans="1:61" ht="12" customHeight="1" x14ac:dyDescent="0.45">
      <c r="A10" s="58">
        <v>3</v>
      </c>
      <c r="B10" s="59" t="str">
        <f>'C. FILIACION'!B10</f>
        <v>AREQUIPA CALCINA FABIAN JHON</v>
      </c>
      <c r="C10" s="48"/>
      <c r="E10" s="68"/>
      <c r="F10" s="68"/>
      <c r="G10" s="68"/>
      <c r="H10" s="68" t="s">
        <v>167</v>
      </c>
      <c r="I10" s="68" t="s">
        <v>63</v>
      </c>
      <c r="J10" s="68"/>
      <c r="K10" s="68" t="s">
        <v>62</v>
      </c>
      <c r="L10" s="68" t="s">
        <v>62</v>
      </c>
      <c r="M10" s="68"/>
      <c r="N10" s="68" t="s">
        <v>167</v>
      </c>
      <c r="O10" s="68"/>
      <c r="P10" s="68"/>
      <c r="Q10" s="6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f t="shared" si="1"/>
        <v>1</v>
      </c>
      <c r="BC10" s="48">
        <f t="shared" si="2"/>
        <v>2</v>
      </c>
      <c r="BD10" s="48" t="str">
        <f t="shared" si="3"/>
        <v/>
      </c>
      <c r="BE10" s="63" t="str">
        <f t="shared" si="4"/>
        <v/>
      </c>
    </row>
    <row r="11" spans="1:61" ht="12" customHeight="1" x14ac:dyDescent="0.45">
      <c r="A11" s="58">
        <v>4</v>
      </c>
      <c r="B11" s="59" t="str">
        <f>'C. FILIACION'!B11</f>
        <v>CLAURE PARAVICINI RASHEL ROSALY</v>
      </c>
      <c r="C11" s="48"/>
      <c r="E11" s="48"/>
      <c r="F11" s="48"/>
      <c r="G11" s="48"/>
      <c r="H11" s="48"/>
      <c r="I11" s="48" t="s">
        <v>63</v>
      </c>
      <c r="J11" s="48"/>
      <c r="K11" s="48" t="s">
        <v>63</v>
      </c>
      <c r="L11" s="48" t="s">
        <v>63</v>
      </c>
      <c r="M11" s="48"/>
      <c r="N11" s="48" t="s">
        <v>62</v>
      </c>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3</v>
      </c>
      <c r="BC11" s="48" t="str">
        <f t="shared" si="2"/>
        <v/>
      </c>
      <c r="BD11" s="48" t="str">
        <f t="shared" si="3"/>
        <v/>
      </c>
      <c r="BE11" s="63" t="str">
        <f t="shared" si="4"/>
        <v/>
      </c>
    </row>
    <row r="12" spans="1:61" ht="12" customHeight="1" x14ac:dyDescent="0.45">
      <c r="A12" s="58">
        <v>5</v>
      </c>
      <c r="B12" s="59" t="str">
        <f>'C. FILIACION'!B12</f>
        <v>CONDORI FLORES ALEJANDRO BRYAN</v>
      </c>
      <c r="C12" s="48"/>
      <c r="E12" s="48"/>
      <c r="F12" s="48"/>
      <c r="G12" s="48"/>
      <c r="H12" s="48"/>
      <c r="I12" s="48" t="s">
        <v>62</v>
      </c>
      <c r="J12" s="48">
        <v>3.4</v>
      </c>
      <c r="K12" s="48" t="s">
        <v>62</v>
      </c>
      <c r="L12" s="48" t="s">
        <v>62</v>
      </c>
      <c r="M12" s="48"/>
      <c r="N12" s="48" t="s">
        <v>62</v>
      </c>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4</v>
      </c>
      <c r="BB12" s="48" t="str">
        <f t="shared" si="1"/>
        <v/>
      </c>
      <c r="BC12" s="48" t="str">
        <f t="shared" si="2"/>
        <v/>
      </c>
      <c r="BD12" s="48" t="str">
        <f t="shared" si="3"/>
        <v/>
      </c>
      <c r="BE12" s="63" t="str">
        <f t="shared" si="4"/>
        <v/>
      </c>
    </row>
    <row r="13" spans="1:61" ht="12" customHeight="1" x14ac:dyDescent="0.45">
      <c r="A13" s="58">
        <v>6</v>
      </c>
      <c r="B13" s="59" t="str">
        <f>'C. FILIACION'!B13</f>
        <v>DE LA CRUZ SANDOVAL JHON MARCO</v>
      </c>
      <c r="C13" s="48"/>
      <c r="E13" s="48"/>
      <c r="F13" s="48"/>
      <c r="G13" s="48"/>
      <c r="H13" s="48" t="s">
        <v>62</v>
      </c>
      <c r="I13" s="48" t="s">
        <v>62</v>
      </c>
      <c r="J13" s="48">
        <v>2.4</v>
      </c>
      <c r="K13" s="48" t="s">
        <v>62</v>
      </c>
      <c r="L13" s="48" t="s">
        <v>62</v>
      </c>
      <c r="M13" s="48"/>
      <c r="N13" s="48" t="s">
        <v>62</v>
      </c>
      <c r="O13" s="48">
        <v>35</v>
      </c>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5</v>
      </c>
      <c r="BB13" s="48" t="str">
        <f t="shared" si="1"/>
        <v/>
      </c>
      <c r="BC13" s="48" t="str">
        <f t="shared" si="2"/>
        <v/>
      </c>
      <c r="BD13" s="48" t="str">
        <f t="shared" si="3"/>
        <v/>
      </c>
      <c r="BE13" s="63" t="str">
        <f t="shared" si="4"/>
        <v/>
      </c>
    </row>
    <row r="14" spans="1:61" ht="12" customHeight="1" x14ac:dyDescent="0.45">
      <c r="A14" s="58">
        <v>7</v>
      </c>
      <c r="B14" s="59" t="str">
        <f>'C. FILIACION'!B14</f>
        <v>GARCÍA IGNACIO MISHEL MAYA</v>
      </c>
      <c r="C14" s="48"/>
      <c r="E14" s="48"/>
      <c r="F14" s="48"/>
      <c r="G14" s="48"/>
      <c r="H14" s="48" t="s">
        <v>62</v>
      </c>
      <c r="I14" s="48" t="s">
        <v>62</v>
      </c>
      <c r="J14" s="48">
        <v>2.4</v>
      </c>
      <c r="K14" s="48" t="s">
        <v>62</v>
      </c>
      <c r="L14" s="48" t="s">
        <v>62</v>
      </c>
      <c r="M14" s="48"/>
      <c r="N14" s="48" t="s">
        <v>62</v>
      </c>
      <c r="O14" s="48">
        <v>35</v>
      </c>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5</v>
      </c>
      <c r="BB14" s="48" t="str">
        <f t="shared" si="1"/>
        <v/>
      </c>
      <c r="BC14" s="48" t="str">
        <f t="shared" si="2"/>
        <v/>
      </c>
      <c r="BD14" s="48" t="str">
        <f t="shared" si="3"/>
        <v/>
      </c>
      <c r="BE14" s="63" t="str">
        <f t="shared" si="4"/>
        <v/>
      </c>
    </row>
    <row r="15" spans="1:61" ht="12" customHeight="1" x14ac:dyDescent="0.45">
      <c r="A15" s="58">
        <v>8</v>
      </c>
      <c r="B15" s="59" t="str">
        <f>'C. FILIACION'!B15</f>
        <v>HELGUERO SANCHEZ JHOYSI CAMIL</v>
      </c>
      <c r="C15" s="48"/>
      <c r="E15" s="48"/>
      <c r="F15" s="48"/>
      <c r="G15" s="48"/>
      <c r="H15" s="48"/>
      <c r="I15" s="48" t="s">
        <v>62</v>
      </c>
      <c r="J15" s="48">
        <v>1.2</v>
      </c>
      <c r="K15" s="48" t="s">
        <v>62</v>
      </c>
      <c r="L15" s="48" t="s">
        <v>62</v>
      </c>
      <c r="M15" s="48">
        <v>35</v>
      </c>
      <c r="N15" s="48" t="s">
        <v>62</v>
      </c>
      <c r="O15" s="48">
        <v>30</v>
      </c>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4</v>
      </c>
      <c r="BB15" s="48" t="str">
        <f t="shared" si="1"/>
        <v/>
      </c>
      <c r="BC15" s="48" t="str">
        <f t="shared" si="2"/>
        <v/>
      </c>
      <c r="BD15" s="48" t="str">
        <f t="shared" si="3"/>
        <v/>
      </c>
      <c r="BE15" s="63" t="str">
        <f t="shared" si="4"/>
        <v/>
      </c>
    </row>
    <row r="16" spans="1:61" ht="12" customHeight="1" x14ac:dyDescent="0.45">
      <c r="A16" s="58">
        <v>9</v>
      </c>
      <c r="B16" s="59" t="str">
        <f>'C. FILIACION'!B16</f>
        <v>LEDEZMA ORELLANA RICARDO ERIK</v>
      </c>
      <c r="C16" s="48"/>
      <c r="E16" s="48"/>
      <c r="F16" s="48"/>
      <c r="G16" s="48"/>
      <c r="H16" s="48" t="s">
        <v>62</v>
      </c>
      <c r="I16" s="48" t="s">
        <v>62</v>
      </c>
      <c r="J16" s="48">
        <v>2.4</v>
      </c>
      <c r="K16" s="48" t="s">
        <v>62</v>
      </c>
      <c r="L16" s="48" t="s">
        <v>62</v>
      </c>
      <c r="M16" s="48"/>
      <c r="N16" s="48" t="s">
        <v>62</v>
      </c>
      <c r="O16" s="48">
        <v>35</v>
      </c>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5</v>
      </c>
      <c r="BB16" s="48" t="str">
        <f t="shared" si="1"/>
        <v/>
      </c>
      <c r="BC16" s="48" t="str">
        <f t="shared" si="2"/>
        <v/>
      </c>
      <c r="BD16" s="48" t="str">
        <f t="shared" si="3"/>
        <v/>
      </c>
      <c r="BE16" s="63" t="str">
        <f t="shared" si="4"/>
        <v/>
      </c>
    </row>
    <row r="17" spans="1:57" ht="12" customHeight="1" x14ac:dyDescent="0.45">
      <c r="A17" s="58">
        <v>10</v>
      </c>
      <c r="B17" s="59" t="str">
        <f>'C. FILIACION'!B17</f>
        <v>MAMANI LOPEZ ELIZABETH MILDRED</v>
      </c>
      <c r="C17" s="48"/>
      <c r="E17" s="48"/>
      <c r="F17" s="48"/>
      <c r="G17" s="48"/>
      <c r="H17" s="48"/>
      <c r="I17" s="48" t="s">
        <v>63</v>
      </c>
      <c r="J17" s="48"/>
      <c r="K17" s="48" t="s">
        <v>63</v>
      </c>
      <c r="L17" s="48" t="s">
        <v>63</v>
      </c>
      <c r="M17" s="48"/>
      <c r="N17" s="48" t="s">
        <v>62</v>
      </c>
      <c r="O17" s="48">
        <v>30</v>
      </c>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1</v>
      </c>
      <c r="BB17" s="48">
        <f t="shared" si="1"/>
        <v>3</v>
      </c>
      <c r="BC17" s="48" t="str">
        <f t="shared" si="2"/>
        <v/>
      </c>
      <c r="BD17" s="48" t="str">
        <f t="shared" si="3"/>
        <v/>
      </c>
      <c r="BE17" s="63" t="str">
        <f t="shared" si="4"/>
        <v/>
      </c>
    </row>
    <row r="18" spans="1:57" ht="12" customHeight="1" x14ac:dyDescent="0.45">
      <c r="A18" s="58">
        <v>11</v>
      </c>
      <c r="B18" s="59" t="str">
        <f>'C. FILIACION'!B18</f>
        <v>MEDINA CHOQUE JUAN JOSE</v>
      </c>
      <c r="C18" s="48"/>
      <c r="E18" s="48"/>
      <c r="F18" s="48"/>
      <c r="G18" s="48"/>
      <c r="H18" s="48"/>
      <c r="I18" s="48" t="s">
        <v>63</v>
      </c>
      <c r="J18" s="48"/>
      <c r="K18" s="48" t="s">
        <v>63</v>
      </c>
      <c r="L18" s="48" t="s">
        <v>63</v>
      </c>
      <c r="M18" s="48"/>
      <c r="N18" s="48" t="s">
        <v>63</v>
      </c>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f t="shared" si="1"/>
        <v>4</v>
      </c>
      <c r="BC18" s="48" t="str">
        <f t="shared" si="2"/>
        <v/>
      </c>
      <c r="BD18" s="48" t="str">
        <f t="shared" si="3"/>
        <v/>
      </c>
      <c r="BE18" s="63" t="str">
        <f t="shared" si="4"/>
        <v/>
      </c>
    </row>
    <row r="19" spans="1:57" ht="12" customHeight="1" x14ac:dyDescent="0.45">
      <c r="A19" s="58">
        <v>12</v>
      </c>
      <c r="B19" s="59" t="str">
        <f>'C. FILIACION'!B19</f>
        <v>NINA RUEDA SEBASTIAN CARLOS</v>
      </c>
      <c r="C19" s="48"/>
      <c r="E19" s="48"/>
      <c r="F19" s="48"/>
      <c r="G19" s="48"/>
      <c r="H19" s="48" t="s">
        <v>167</v>
      </c>
      <c r="I19" s="48" t="s">
        <v>62</v>
      </c>
      <c r="J19" s="48">
        <v>2.4</v>
      </c>
      <c r="K19" s="48" t="s">
        <v>62</v>
      </c>
      <c r="L19" s="48" t="s">
        <v>62</v>
      </c>
      <c r="M19" s="48"/>
      <c r="N19" s="48" t="s">
        <v>62</v>
      </c>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4</v>
      </c>
      <c r="BB19" s="48" t="str">
        <f t="shared" si="1"/>
        <v/>
      </c>
      <c r="BC19" s="48">
        <f t="shared" si="2"/>
        <v>1</v>
      </c>
      <c r="BD19" s="48" t="str">
        <f t="shared" si="3"/>
        <v/>
      </c>
      <c r="BE19" s="63" t="str">
        <f t="shared" si="4"/>
        <v/>
      </c>
    </row>
    <row r="20" spans="1:57" ht="12" customHeight="1" x14ac:dyDescent="0.45">
      <c r="A20" s="58">
        <v>13</v>
      </c>
      <c r="B20" s="59" t="str">
        <f>'C. FILIACION'!B20</f>
        <v>RODRIGUEZ RAMIREZ NATALY ARIANA</v>
      </c>
      <c r="C20" s="48"/>
      <c r="E20" s="48"/>
      <c r="F20" s="48"/>
      <c r="G20" s="48"/>
      <c r="H20" s="48"/>
      <c r="I20" s="48" t="s">
        <v>62</v>
      </c>
      <c r="J20" s="48">
        <v>2.4</v>
      </c>
      <c r="K20" s="48" t="s">
        <v>62</v>
      </c>
      <c r="L20" s="48" t="s">
        <v>62</v>
      </c>
      <c r="M20" s="48"/>
      <c r="N20" s="48" t="s">
        <v>167</v>
      </c>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f t="shared" si="2"/>
        <v>1</v>
      </c>
      <c r="BD20" s="48" t="str">
        <f t="shared" si="3"/>
        <v/>
      </c>
      <c r="BE20" s="63" t="str">
        <f t="shared" si="4"/>
        <v/>
      </c>
    </row>
    <row r="21" spans="1:57" ht="12" customHeight="1" x14ac:dyDescent="0.45">
      <c r="A21" s="58">
        <v>14</v>
      </c>
      <c r="B21" s="59" t="str">
        <f>'C. FILIACION'!B21</f>
        <v>SALAZAR CANAZA CRISTINA MAYRA</v>
      </c>
      <c r="C21" s="48"/>
      <c r="E21" s="48"/>
      <c r="F21" s="48"/>
      <c r="G21" s="48"/>
      <c r="H21" s="48" t="s">
        <v>62</v>
      </c>
      <c r="I21" s="48" t="s">
        <v>62</v>
      </c>
      <c r="J21" s="48">
        <v>2.4</v>
      </c>
      <c r="K21" s="48" t="s">
        <v>63</v>
      </c>
      <c r="L21" s="48" t="s">
        <v>63</v>
      </c>
      <c r="M21" s="48"/>
      <c r="N21" s="48" t="s">
        <v>62</v>
      </c>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3</v>
      </c>
      <c r="BB21" s="48">
        <f t="shared" si="1"/>
        <v>2</v>
      </c>
      <c r="BC21" s="48" t="str">
        <f t="shared" si="2"/>
        <v/>
      </c>
      <c r="BD21" s="48" t="str">
        <f t="shared" si="3"/>
        <v/>
      </c>
      <c r="BE21" s="63" t="str">
        <f t="shared" si="4"/>
        <v/>
      </c>
    </row>
    <row r="22" spans="1:57" ht="12" customHeight="1" x14ac:dyDescent="0.45">
      <c r="A22" s="58">
        <v>15</v>
      </c>
      <c r="B22" s="59" t="str">
        <f>'C. FILIACION'!B22</f>
        <v>SEVILLANO BALTAZAR AGNESE</v>
      </c>
      <c r="C22" s="48"/>
      <c r="E22" s="48"/>
      <c r="F22" s="48"/>
      <c r="G22" s="48"/>
      <c r="H22" s="48" t="s">
        <v>62</v>
      </c>
      <c r="I22" s="48" t="s">
        <v>62</v>
      </c>
      <c r="J22" s="48">
        <v>3.4</v>
      </c>
      <c r="K22" s="48" t="s">
        <v>62</v>
      </c>
      <c r="L22" s="48" t="s">
        <v>62</v>
      </c>
      <c r="M22" s="48"/>
      <c r="N22" s="48" t="s">
        <v>62</v>
      </c>
      <c r="O22" s="48">
        <v>35</v>
      </c>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5</v>
      </c>
      <c r="BB22" s="48" t="str">
        <f t="shared" si="1"/>
        <v/>
      </c>
      <c r="BC22" s="48" t="str">
        <f t="shared" si="2"/>
        <v/>
      </c>
      <c r="BD22" s="48" t="str">
        <f t="shared" si="3"/>
        <v/>
      </c>
      <c r="BE22" s="63" t="str">
        <f t="shared" si="4"/>
        <v/>
      </c>
    </row>
    <row r="23" spans="1:57" ht="12" customHeight="1" x14ac:dyDescent="0.45">
      <c r="A23" s="58">
        <v>16</v>
      </c>
      <c r="B23" s="59" t="str">
        <f>'C. FILIACION'!B23</f>
        <v>TOCONAS HUAYGUA VICTORIA FERNANDA</v>
      </c>
      <c r="C23" s="48"/>
      <c r="E23" s="48"/>
      <c r="F23" s="48"/>
      <c r="G23" s="48"/>
      <c r="H23" s="48" t="s">
        <v>62</v>
      </c>
      <c r="I23" s="160" t="s">
        <v>62</v>
      </c>
      <c r="J23" s="48">
        <v>3.4</v>
      </c>
      <c r="K23" s="48" t="s">
        <v>62</v>
      </c>
      <c r="L23" s="48" t="s">
        <v>62</v>
      </c>
      <c r="M23" s="48"/>
      <c r="N23" s="48" t="s">
        <v>62</v>
      </c>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5</v>
      </c>
      <c r="BB23" s="48" t="str">
        <f t="shared" si="1"/>
        <v/>
      </c>
      <c r="BC23" s="48" t="str">
        <f t="shared" si="2"/>
        <v/>
      </c>
      <c r="BD23" s="48" t="str">
        <f t="shared" si="3"/>
        <v/>
      </c>
      <c r="BE23" s="63" t="str">
        <f t="shared" si="4"/>
        <v/>
      </c>
    </row>
    <row r="24" spans="1:57" ht="12" customHeight="1" x14ac:dyDescent="0.45">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4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4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34375" defaultRowHeight="15" customHeight="1" x14ac:dyDescent="0.45"/>
  <cols>
    <col min="1" max="1" width="1.6640625" customWidth="1"/>
    <col min="2" max="2" width="20.6640625" customWidth="1"/>
    <col min="3" max="52" width="1.28515625" customWidth="1"/>
    <col min="53" max="57" width="1.42578125" customWidth="1"/>
    <col min="58" max="61" width="1.6640625" customWidth="1"/>
  </cols>
  <sheetData>
    <row r="1" spans="1:61" ht="4.5" customHeight="1" x14ac:dyDescent="0.45"/>
    <row r="2" spans="1:61" ht="12.75" customHeight="1" x14ac:dyDescent="0.45">
      <c r="B2" s="178" t="s">
        <v>69</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179">
        <f>CARÁTULA!$H$24</f>
        <v>44440</v>
      </c>
      <c r="AU3" s="174"/>
      <c r="AV3" s="174"/>
      <c r="AW3" s="174"/>
      <c r="AX3" s="174"/>
      <c r="AY3" s="174"/>
      <c r="AZ3" s="174"/>
      <c r="BA3" s="193"/>
      <c r="BB3" s="174"/>
      <c r="BC3" s="174"/>
      <c r="BD3" s="174"/>
      <c r="BE3" s="174"/>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179">
        <f>CARÁTULA!$J$24</f>
        <v>44531</v>
      </c>
      <c r="AU4" s="174"/>
      <c r="AV4" s="174"/>
      <c r="AW4" s="174"/>
      <c r="AX4" s="174"/>
      <c r="AY4" s="174"/>
      <c r="AZ4" s="174"/>
      <c r="BA4" s="194">
        <f ca="1">AT4-AT5</f>
        <v>118</v>
      </c>
      <c r="BB4" s="184"/>
      <c r="BC4" s="184"/>
      <c r="BD4" s="184"/>
      <c r="BE4" s="185"/>
    </row>
    <row r="5" spans="1:61" ht="12.75" customHeight="1" x14ac:dyDescent="0.45">
      <c r="B5" s="38" t="s">
        <v>22</v>
      </c>
      <c r="C5" s="39" t="str">
        <f>CARÁTULA!$C$23</f>
        <v>2do de Secundaria</v>
      </c>
      <c r="D5" s="40"/>
      <c r="E5" s="40"/>
      <c r="F5" s="40"/>
      <c r="G5" s="40"/>
      <c r="H5" s="40"/>
      <c r="I5" s="40"/>
      <c r="J5" s="40"/>
      <c r="K5" s="40"/>
      <c r="L5" s="40"/>
      <c r="M5" s="40"/>
      <c r="N5" s="40"/>
      <c r="O5" s="38"/>
      <c r="P5" s="38"/>
      <c r="Q5" s="38"/>
      <c r="R5" s="38"/>
      <c r="S5" s="43" t="s">
        <v>23</v>
      </c>
      <c r="T5" s="44"/>
      <c r="U5" s="44"/>
      <c r="V5" s="44"/>
      <c r="W5" s="44"/>
      <c r="X5" s="192">
        <f ca="1">TODAY()</f>
        <v>44413</v>
      </c>
      <c r="Y5" s="174"/>
      <c r="Z5" s="174"/>
      <c r="AA5" s="174"/>
      <c r="AB5" s="174"/>
      <c r="AC5" s="174"/>
      <c r="AD5" s="40"/>
      <c r="AE5" s="40"/>
      <c r="AF5" s="40"/>
      <c r="AG5" s="40"/>
      <c r="AH5" s="40"/>
      <c r="AI5" s="40"/>
      <c r="AJ5" s="40"/>
      <c r="AK5" s="45" t="s">
        <v>53</v>
      </c>
      <c r="AL5" s="46"/>
      <c r="AM5" s="46"/>
      <c r="AN5" s="46"/>
      <c r="AO5" s="46"/>
      <c r="AP5" s="46"/>
      <c r="AQ5" s="46"/>
      <c r="AR5" s="40"/>
      <c r="AS5" s="40"/>
      <c r="AT5" s="190">
        <f ca="1">TODAY()</f>
        <v>44413</v>
      </c>
      <c r="AU5" s="174"/>
      <c r="AV5" s="174"/>
      <c r="AW5" s="174"/>
      <c r="AX5" s="174"/>
      <c r="AY5" s="174"/>
      <c r="AZ5" s="174"/>
      <c r="BA5" s="186"/>
      <c r="BB5" s="187"/>
      <c r="BC5" s="187"/>
      <c r="BD5" s="187"/>
      <c r="BE5" s="188"/>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45">
      <c r="A7" s="48" t="s">
        <v>54</v>
      </c>
      <c r="B7" s="49" t="s">
        <v>55</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70</v>
      </c>
      <c r="BB7" s="56" t="s">
        <v>71</v>
      </c>
      <c r="BC7" s="56" t="s">
        <v>72</v>
      </c>
      <c r="BD7" s="56" t="s">
        <v>73</v>
      </c>
      <c r="BE7" s="57" t="s">
        <v>60</v>
      </c>
    </row>
    <row r="8" spans="1:61" ht="12" customHeight="1" x14ac:dyDescent="0.45">
      <c r="A8" s="58">
        <v>1</v>
      </c>
      <c r="B8" s="59" t="str">
        <f>'C. FILIACION'!B8</f>
        <v>ALARCON CHURA PRISCILA</v>
      </c>
      <c r="C8" s="48" t="s">
        <v>74</v>
      </c>
      <c r="D8" s="48" t="s">
        <v>75</v>
      </c>
      <c r="E8" s="48" t="s">
        <v>76</v>
      </c>
      <c r="F8" s="48" t="s">
        <v>77</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77</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45">
      <c r="A9" s="58">
        <v>2</v>
      </c>
      <c r="B9" s="59" t="str">
        <f>'C. FILIACION'!B9</f>
        <v>ARCE CHOQUE LUCERO CORAL</v>
      </c>
      <c r="C9" s="48"/>
      <c r="D9" s="48"/>
      <c r="E9" s="48"/>
      <c r="F9" s="48"/>
      <c r="G9" s="48"/>
      <c r="H9" s="48"/>
      <c r="I9" s="48"/>
      <c r="J9" s="48"/>
      <c r="K9" s="48"/>
      <c r="L9" s="48" t="s">
        <v>77</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45">
      <c r="A10" s="58">
        <v>3</v>
      </c>
      <c r="B10" s="59" t="str">
        <f>'C. FILIACION'!B10</f>
        <v>AREQUIPA CALCINA FABIAN JHON</v>
      </c>
      <c r="C10" s="48"/>
      <c r="D10" s="48" t="s">
        <v>75</v>
      </c>
      <c r="E10" s="48" t="s">
        <v>75</v>
      </c>
      <c r="F10" s="48" t="s">
        <v>75</v>
      </c>
      <c r="G10" s="48" t="s">
        <v>75</v>
      </c>
      <c r="H10" s="48" t="s">
        <v>75</v>
      </c>
      <c r="I10" s="48" t="s">
        <v>75</v>
      </c>
      <c r="J10" s="48" t="s">
        <v>75</v>
      </c>
      <c r="K10" s="48" t="s">
        <v>75</v>
      </c>
      <c r="L10" s="48" t="s">
        <v>75</v>
      </c>
      <c r="M10" s="48" t="s">
        <v>75</v>
      </c>
      <c r="N10" s="48" t="s">
        <v>75</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45">
      <c r="A11" s="58">
        <v>4</v>
      </c>
      <c r="B11" s="59" t="str">
        <f>'C. FILIACION'!B11</f>
        <v>CLAURE PARAVICINI RASHEL ROSALY</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45">
      <c r="A12" s="58">
        <v>5</v>
      </c>
      <c r="B12" s="59" t="str">
        <f>'C. FILIACION'!B12</f>
        <v>CONDORI FLORES ALEJANDRO BRYAN</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45">
      <c r="A13" s="58">
        <v>6</v>
      </c>
      <c r="B13" s="59" t="str">
        <f>'C. FILIACION'!B13</f>
        <v>DE LA CRUZ SANDOVAL JHON MARCO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45">
      <c r="A14" s="58">
        <v>7</v>
      </c>
      <c r="B14" s="59" t="str">
        <f>'C. FILIACION'!B14</f>
        <v>GARCÍA IGNACIO MISHEL MAYA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45">
      <c r="A15" s="58">
        <v>8</v>
      </c>
      <c r="B15" s="59" t="str">
        <f>'C. FILIACION'!B15</f>
        <v>HELGUERO SANCHEZ JHOYSI CAMIL</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45">
      <c r="A16" s="58">
        <v>9</v>
      </c>
      <c r="B16" s="59" t="str">
        <f>'C. FILIACION'!B16</f>
        <v>LEDEZMA ORELLANA RICARDO ERIK</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45">
      <c r="A17" s="58">
        <v>10</v>
      </c>
      <c r="B17" s="59" t="str">
        <f>'C. FILIACION'!B17</f>
        <v>MAMANI LOPEZ ELIZABETH MILDRED</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45">
      <c r="A18" s="58">
        <v>11</v>
      </c>
      <c r="B18" s="59" t="str">
        <f>'C. FILIACION'!B18</f>
        <v>MEDINA CHOQUE JUAN JOSE</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45">
      <c r="A19" s="58">
        <v>12</v>
      </c>
      <c r="B19" s="59" t="str">
        <f>'C. FILIACION'!B19</f>
        <v>NINA RUEDA SEBASTIAN CARLOS</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45">
      <c r="A20" s="58">
        <v>13</v>
      </c>
      <c r="B20" s="59" t="str">
        <f>'C. FILIACION'!B20</f>
        <v>RODRIGUEZ RAMIREZ NATALY ARIANA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45">
      <c r="A21" s="58">
        <v>14</v>
      </c>
      <c r="B21" s="59" t="str">
        <f>'C. FILIACION'!B21</f>
        <v>SALAZAR CANAZA CRISTINA MAYRA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45">
      <c r="A22" s="58">
        <v>15</v>
      </c>
      <c r="B22" s="59" t="str">
        <f>'C. FILIACION'!B22</f>
        <v>SEVILLANO BALTAZAR AGNESE</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45">
      <c r="A23" s="58">
        <v>16</v>
      </c>
      <c r="B23" s="59" t="str">
        <f>'C. FILIACION'!B23</f>
        <v>TOCONAS HUAYGUA VICTORIA FERNANDA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45">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4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4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5000000000000004">
      <c r="A2" s="71"/>
      <c r="B2" s="200" t="s">
        <v>78</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3"/>
      <c r="AT2" s="73"/>
      <c r="AU2" s="73"/>
      <c r="AV2" s="73"/>
    </row>
    <row r="3" spans="1:48" ht="12.75" customHeight="1" x14ac:dyDescent="0.550000000000000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198" t="s">
        <v>49</v>
      </c>
      <c r="AD3" s="196"/>
      <c r="AE3" s="196"/>
      <c r="AF3" s="196"/>
      <c r="AG3" s="196"/>
      <c r="AH3" s="197"/>
      <c r="AI3" s="192">
        <f>CARÁTULA!$H$14</f>
        <v>44228</v>
      </c>
      <c r="AJ3" s="174"/>
      <c r="AK3" s="174"/>
      <c r="AL3" s="174"/>
      <c r="AM3" s="174"/>
      <c r="AN3" s="201" t="s">
        <v>50</v>
      </c>
      <c r="AO3" s="165"/>
      <c r="AP3" s="165"/>
      <c r="AQ3" s="165"/>
      <c r="AR3" s="166"/>
      <c r="AS3" s="72"/>
      <c r="AT3" s="72"/>
      <c r="AU3" s="72"/>
      <c r="AV3" s="72"/>
    </row>
    <row r="4" spans="1:48" ht="12.75" customHeight="1" x14ac:dyDescent="0.550000000000000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198" t="s">
        <v>52</v>
      </c>
      <c r="AD4" s="196"/>
      <c r="AE4" s="196"/>
      <c r="AF4" s="196"/>
      <c r="AG4" s="196"/>
      <c r="AH4" s="197"/>
      <c r="AI4" s="192">
        <f>CARÁTULA!$J$14</f>
        <v>44323</v>
      </c>
      <c r="AJ4" s="174"/>
      <c r="AK4" s="174"/>
      <c r="AL4" s="174"/>
      <c r="AM4" s="174"/>
      <c r="AN4" s="194">
        <f ca="1">AI4-AI5</f>
        <v>-90</v>
      </c>
      <c r="AO4" s="184"/>
      <c r="AP4" s="184"/>
      <c r="AQ4" s="184"/>
      <c r="AR4" s="185"/>
    </row>
    <row r="5" spans="1:48" ht="12.75" customHeight="1" x14ac:dyDescent="0.55000000000000004">
      <c r="A5" s="71"/>
      <c r="B5" s="74" t="s">
        <v>22</v>
      </c>
      <c r="C5" s="75" t="str">
        <f>CARÁTULA!$C$23</f>
        <v>2do de Secundaria</v>
      </c>
      <c r="D5" s="76"/>
      <c r="E5" s="76"/>
      <c r="F5" s="76"/>
      <c r="G5" s="74"/>
      <c r="H5" s="74"/>
      <c r="I5" s="74"/>
      <c r="J5" s="74"/>
      <c r="K5" s="74"/>
      <c r="L5" s="74"/>
      <c r="M5" s="74"/>
      <c r="N5" s="74"/>
      <c r="O5" s="77" t="s">
        <v>23</v>
      </c>
      <c r="P5" s="79"/>
      <c r="Q5" s="79"/>
      <c r="R5" s="79"/>
      <c r="S5" s="206">
        <f ca="1">TODAY()</f>
        <v>44413</v>
      </c>
      <c r="T5" s="165"/>
      <c r="U5" s="165"/>
      <c r="V5" s="165"/>
      <c r="W5" s="165"/>
      <c r="X5" s="165"/>
      <c r="Y5" s="165"/>
      <c r="Z5" s="165"/>
      <c r="AA5" s="166"/>
      <c r="AB5" s="76"/>
      <c r="AC5" s="199" t="s">
        <v>53</v>
      </c>
      <c r="AD5" s="196"/>
      <c r="AE5" s="196"/>
      <c r="AF5" s="196"/>
      <c r="AG5" s="196"/>
      <c r="AH5" s="197"/>
      <c r="AI5" s="202">
        <f ca="1">TODAY()</f>
        <v>44413</v>
      </c>
      <c r="AJ5" s="174"/>
      <c r="AK5" s="174"/>
      <c r="AL5" s="174"/>
      <c r="AM5" s="174"/>
      <c r="AN5" s="186"/>
      <c r="AO5" s="187"/>
      <c r="AP5" s="187"/>
      <c r="AQ5" s="187"/>
      <c r="AR5" s="188"/>
    </row>
    <row r="6" spans="1:48" ht="12.75" customHeight="1" x14ac:dyDescent="0.55000000000000004">
      <c r="A6" s="71"/>
      <c r="B6" s="74"/>
      <c r="C6" s="180" t="s">
        <v>79</v>
      </c>
      <c r="D6" s="181"/>
      <c r="E6" s="181"/>
      <c r="F6" s="181"/>
      <c r="G6" s="181"/>
      <c r="H6" s="181"/>
      <c r="I6" s="181"/>
      <c r="J6" s="181"/>
      <c r="K6" s="181"/>
      <c r="L6" s="181"/>
      <c r="M6" s="181"/>
      <c r="N6" s="181"/>
      <c r="O6" s="181"/>
      <c r="P6" s="181"/>
      <c r="Q6" s="181"/>
      <c r="R6" s="181"/>
      <c r="S6" s="181"/>
      <c r="T6" s="181"/>
      <c r="U6" s="181"/>
      <c r="V6" s="181"/>
      <c r="W6" s="181"/>
      <c r="X6" s="181"/>
      <c r="Y6" s="181"/>
      <c r="Z6" s="181"/>
      <c r="AA6" s="182"/>
      <c r="AB6" s="207" t="s">
        <v>80</v>
      </c>
      <c r="AC6" s="196"/>
      <c r="AD6" s="196"/>
      <c r="AE6" s="197"/>
      <c r="AF6" s="80"/>
      <c r="AG6" s="81"/>
      <c r="AH6" s="81"/>
      <c r="AI6" s="82"/>
      <c r="AJ6" s="83"/>
      <c r="AK6" s="83"/>
      <c r="AL6" s="83"/>
      <c r="AM6" s="83"/>
      <c r="AN6" s="84"/>
      <c r="AO6" s="84"/>
      <c r="AP6" s="84"/>
      <c r="AQ6" s="84"/>
      <c r="AR6" s="84"/>
    </row>
    <row r="7" spans="1:48" ht="12" customHeight="1" x14ac:dyDescent="0.55000000000000004">
      <c r="A7" s="71"/>
      <c r="B7" s="85"/>
      <c r="C7" s="208" t="s">
        <v>81</v>
      </c>
      <c r="D7" s="209" t="s">
        <v>82</v>
      </c>
      <c r="E7" s="196"/>
      <c r="F7" s="196"/>
      <c r="G7" s="196"/>
      <c r="H7" s="196"/>
      <c r="I7" s="196"/>
      <c r="J7" s="196"/>
      <c r="K7" s="196"/>
      <c r="L7" s="196"/>
      <c r="M7" s="196"/>
      <c r="N7" s="196"/>
      <c r="O7" s="205" t="s">
        <v>83</v>
      </c>
      <c r="P7" s="209" t="s">
        <v>84</v>
      </c>
      <c r="Q7" s="196"/>
      <c r="R7" s="196"/>
      <c r="S7" s="196"/>
      <c r="T7" s="196"/>
      <c r="U7" s="196"/>
      <c r="V7" s="196"/>
      <c r="W7" s="196"/>
      <c r="X7" s="196"/>
      <c r="Y7" s="196"/>
      <c r="Z7" s="196"/>
      <c r="AA7" s="203" t="s">
        <v>85</v>
      </c>
      <c r="AB7" s="205" t="s">
        <v>83</v>
      </c>
      <c r="AC7" s="203" t="s">
        <v>86</v>
      </c>
      <c r="AD7" s="203" t="s">
        <v>87</v>
      </c>
      <c r="AE7" s="205" t="s">
        <v>83</v>
      </c>
      <c r="AF7" s="210" t="s">
        <v>88</v>
      </c>
      <c r="AG7" s="211" t="s">
        <v>89</v>
      </c>
      <c r="AH7" s="212" t="s">
        <v>90</v>
      </c>
      <c r="AI7" s="181"/>
      <c r="AJ7" s="181"/>
      <c r="AK7" s="181"/>
      <c r="AL7" s="181"/>
      <c r="AM7" s="182"/>
      <c r="AN7" s="86"/>
      <c r="AO7" s="76"/>
      <c r="AP7" s="76"/>
      <c r="AQ7" s="76"/>
      <c r="AR7" s="71"/>
    </row>
    <row r="8" spans="1:48" ht="146.15" x14ac:dyDescent="0.45">
      <c r="A8" s="48" t="s">
        <v>54</v>
      </c>
      <c r="B8" s="49" t="s">
        <v>55</v>
      </c>
      <c r="C8" s="204"/>
      <c r="D8" s="87" t="s">
        <v>91</v>
      </c>
      <c r="E8" s="87" t="s">
        <v>92</v>
      </c>
      <c r="F8" s="52"/>
      <c r="G8" s="53"/>
      <c r="H8" s="53"/>
      <c r="I8" s="53"/>
      <c r="J8" s="53"/>
      <c r="K8" s="53"/>
      <c r="L8" s="53"/>
      <c r="M8" s="53"/>
      <c r="N8" s="54"/>
      <c r="O8" s="204"/>
      <c r="P8" s="87" t="s">
        <v>93</v>
      </c>
      <c r="Q8" s="87" t="s">
        <v>94</v>
      </c>
      <c r="R8" s="52"/>
      <c r="S8" s="53"/>
      <c r="T8" s="53"/>
      <c r="U8" s="53"/>
      <c r="V8" s="53"/>
      <c r="W8" s="53"/>
      <c r="X8" s="53"/>
      <c r="Y8" s="53"/>
      <c r="Z8" s="53"/>
      <c r="AA8" s="204"/>
      <c r="AB8" s="204"/>
      <c r="AC8" s="204"/>
      <c r="AD8" s="204"/>
      <c r="AE8" s="204"/>
      <c r="AF8" s="204"/>
      <c r="AG8" s="204"/>
      <c r="AH8" s="213"/>
      <c r="AI8" s="214"/>
      <c r="AJ8" s="214"/>
      <c r="AK8" s="214"/>
      <c r="AL8" s="214"/>
      <c r="AM8" s="215"/>
      <c r="AN8" s="88"/>
      <c r="AO8" s="88"/>
      <c r="AP8" s="88"/>
      <c r="AQ8" s="88"/>
      <c r="AR8" s="89"/>
    </row>
    <row r="9" spans="1:48" ht="12" customHeight="1" x14ac:dyDescent="0.45">
      <c r="A9" s="58">
        <v>1</v>
      </c>
      <c r="B9" s="90" t="str">
        <f>'C. FILIACION'!B8</f>
        <v>ALARCON CHURA PRISCILA</v>
      </c>
      <c r="C9" s="31">
        <v>10</v>
      </c>
      <c r="D9" s="60">
        <v>30</v>
      </c>
      <c r="E9" s="91">
        <v>5</v>
      </c>
      <c r="F9" s="31"/>
      <c r="G9" s="31"/>
      <c r="H9" s="31"/>
      <c r="I9" s="31"/>
      <c r="J9" s="31"/>
      <c r="K9" s="31"/>
      <c r="L9" s="31"/>
      <c r="M9" s="31"/>
      <c r="N9" s="31"/>
      <c r="O9" s="92">
        <f t="shared" ref="O9:O44" si="0">IFERROR(ROUND(AVERAGE(D9:N9),0),"")</f>
        <v>18</v>
      </c>
      <c r="P9" s="91">
        <v>30</v>
      </c>
      <c r="Q9" s="91">
        <v>5</v>
      </c>
      <c r="R9" s="31"/>
      <c r="S9" s="31"/>
      <c r="T9" s="31"/>
      <c r="U9" s="31"/>
      <c r="V9" s="31"/>
      <c r="W9" s="31"/>
      <c r="X9" s="31"/>
      <c r="Y9" s="31"/>
      <c r="Z9" s="31"/>
      <c r="AA9" s="31">
        <v>10</v>
      </c>
      <c r="AB9" s="92">
        <f t="shared" ref="AB9:AB44" si="1">IFERROR(ROUND(AVERAGE(P9:Z9),0),"")</f>
        <v>18</v>
      </c>
      <c r="AC9" s="31">
        <v>5</v>
      </c>
      <c r="AD9" s="31">
        <v>5</v>
      </c>
      <c r="AE9" s="92">
        <f t="shared" ref="AE9:AE44" si="2">IFERROR((SUM(AC9,AD9)),"")</f>
        <v>10</v>
      </c>
      <c r="AF9" s="93" t="str">
        <f t="shared" ref="AF9:AF44" si="3">IF(AG9&lt;51,"ED",IF(AG9&lt;67,"DA",IF(AG9&lt;85,"DO","DP")))</f>
        <v>DA</v>
      </c>
      <c r="AG9" s="92">
        <f t="shared" ref="AG9:AG44" si="4">IFERROR((SUM(C9,O9,AA9,AB9,AE9)),"")</f>
        <v>66</v>
      </c>
      <c r="AH9" s="195" t="str">
        <f t="shared" ref="AH9:AH44" si="5">IF(AG9="","",(IF(AND(AG9&gt;=1,AG9&lt;=50.499),"REPROBADO",IF(AND(AG9&gt;=50.5,AG9&lt;=100),"APROBADO"))))</f>
        <v>APROBADO</v>
      </c>
      <c r="AI9" s="196"/>
      <c r="AJ9" s="196"/>
      <c r="AK9" s="196"/>
      <c r="AL9" s="196"/>
      <c r="AM9" s="197"/>
      <c r="AN9" s="94" t="s">
        <v>95</v>
      </c>
      <c r="AO9" s="216">
        <f>COUNTIF(AF9:AF44,"ED")</f>
        <v>0</v>
      </c>
      <c r="AP9" s="197"/>
      <c r="AQ9" s="95"/>
      <c r="AR9" s="95"/>
    </row>
    <row r="10" spans="1:48" ht="12" customHeight="1" x14ac:dyDescent="0.45">
      <c r="A10" s="58">
        <v>2</v>
      </c>
      <c r="B10" s="90" t="str">
        <f>'C. FILIACION'!B9</f>
        <v>ARCE CHOQUE LUCERO CORAL</v>
      </c>
      <c r="C10" s="31">
        <v>10</v>
      </c>
      <c r="D10" s="60">
        <v>30</v>
      </c>
      <c r="E10" s="91">
        <v>5</v>
      </c>
      <c r="F10" s="31"/>
      <c r="G10" s="31"/>
      <c r="H10" s="31"/>
      <c r="I10" s="31"/>
      <c r="J10" s="31"/>
      <c r="K10" s="31"/>
      <c r="L10" s="31"/>
      <c r="M10" s="31"/>
      <c r="N10" s="31"/>
      <c r="O10" s="92">
        <f t="shared" si="0"/>
        <v>18</v>
      </c>
      <c r="P10" s="91">
        <v>30</v>
      </c>
      <c r="Q10" s="91">
        <v>5</v>
      </c>
      <c r="R10" s="31"/>
      <c r="S10" s="31"/>
      <c r="T10" s="31"/>
      <c r="U10" s="31"/>
      <c r="V10" s="31"/>
      <c r="W10" s="31"/>
      <c r="X10" s="31"/>
      <c r="Y10" s="31"/>
      <c r="Z10" s="31"/>
      <c r="AA10" s="31">
        <v>10</v>
      </c>
      <c r="AB10" s="92">
        <f t="shared" si="1"/>
        <v>18</v>
      </c>
      <c r="AC10" s="31">
        <v>5</v>
      </c>
      <c r="AD10" s="31">
        <v>5</v>
      </c>
      <c r="AE10" s="92">
        <f t="shared" si="2"/>
        <v>10</v>
      </c>
      <c r="AF10" s="93" t="str">
        <f t="shared" si="3"/>
        <v>DA</v>
      </c>
      <c r="AG10" s="92">
        <f t="shared" si="4"/>
        <v>66</v>
      </c>
      <c r="AH10" s="195" t="str">
        <f t="shared" si="5"/>
        <v>APROBADO</v>
      </c>
      <c r="AI10" s="196"/>
      <c r="AJ10" s="196"/>
      <c r="AK10" s="196"/>
      <c r="AL10" s="196"/>
      <c r="AM10" s="197"/>
      <c r="AN10" s="48" t="s">
        <v>96</v>
      </c>
      <c r="AO10" s="216">
        <f>COUNTIF(AF9:AF44,"DA")</f>
        <v>11</v>
      </c>
      <c r="AP10" s="197"/>
      <c r="AQ10" s="95"/>
      <c r="AR10" s="95"/>
    </row>
    <row r="11" spans="1:48" ht="12" customHeight="1" x14ac:dyDescent="0.45">
      <c r="A11" s="58">
        <v>3</v>
      </c>
      <c r="B11" s="90" t="str">
        <f>'C. FILIACION'!B10</f>
        <v>AREQUIPA CALCINA FABIAN JHON</v>
      </c>
      <c r="C11" s="31">
        <v>10</v>
      </c>
      <c r="D11" s="60">
        <v>30</v>
      </c>
      <c r="E11" s="91">
        <v>5</v>
      </c>
      <c r="F11" s="31"/>
      <c r="G11" s="31"/>
      <c r="H11" s="31"/>
      <c r="I11" s="31"/>
      <c r="J11" s="31"/>
      <c r="K11" s="31"/>
      <c r="L11" s="31"/>
      <c r="M11" s="31"/>
      <c r="N11" s="31"/>
      <c r="O11" s="92">
        <f t="shared" si="0"/>
        <v>18</v>
      </c>
      <c r="P11" s="91">
        <v>30</v>
      </c>
      <c r="Q11" s="91">
        <v>5</v>
      </c>
      <c r="R11" s="31"/>
      <c r="S11" s="31"/>
      <c r="T11" s="31"/>
      <c r="U11" s="31"/>
      <c r="V11" s="31"/>
      <c r="W11" s="31"/>
      <c r="X11" s="31"/>
      <c r="Y11" s="31"/>
      <c r="Z11" s="31"/>
      <c r="AA11" s="31">
        <v>10</v>
      </c>
      <c r="AB11" s="92">
        <f t="shared" si="1"/>
        <v>18</v>
      </c>
      <c r="AC11" s="31">
        <v>5</v>
      </c>
      <c r="AD11" s="31">
        <v>5</v>
      </c>
      <c r="AE11" s="92">
        <f t="shared" si="2"/>
        <v>10</v>
      </c>
      <c r="AF11" s="93" t="str">
        <f t="shared" si="3"/>
        <v>DA</v>
      </c>
      <c r="AG11" s="92">
        <f t="shared" si="4"/>
        <v>66</v>
      </c>
      <c r="AH11" s="195" t="str">
        <f t="shared" si="5"/>
        <v>APROBADO</v>
      </c>
      <c r="AI11" s="196"/>
      <c r="AJ11" s="196"/>
      <c r="AK11" s="196"/>
      <c r="AL11" s="196"/>
      <c r="AM11" s="197"/>
      <c r="AN11" s="48" t="s">
        <v>97</v>
      </c>
      <c r="AO11" s="216">
        <f>COUNTIF(AF9:AF44,"DO")</f>
        <v>0</v>
      </c>
      <c r="AP11" s="197"/>
      <c r="AQ11" s="95"/>
      <c r="AR11" s="95"/>
    </row>
    <row r="12" spans="1:48" ht="12" customHeight="1" x14ac:dyDescent="0.45">
      <c r="A12" s="58">
        <v>4</v>
      </c>
      <c r="B12" s="90" t="str">
        <f>'C. FILIACION'!B11</f>
        <v>CLAURE PARAVICINI RASHEL ROSALY</v>
      </c>
      <c r="C12" s="31">
        <v>10</v>
      </c>
      <c r="D12" s="60">
        <v>30</v>
      </c>
      <c r="E12" s="91">
        <v>5</v>
      </c>
      <c r="F12" s="31"/>
      <c r="G12" s="31"/>
      <c r="H12" s="31"/>
      <c r="I12" s="31"/>
      <c r="J12" s="31"/>
      <c r="K12" s="31"/>
      <c r="L12" s="31"/>
      <c r="M12" s="31"/>
      <c r="N12" s="31"/>
      <c r="O12" s="92">
        <f t="shared" si="0"/>
        <v>18</v>
      </c>
      <c r="P12" s="91">
        <v>30</v>
      </c>
      <c r="Q12" s="91">
        <v>5</v>
      </c>
      <c r="R12" s="31"/>
      <c r="S12" s="31"/>
      <c r="T12" s="31"/>
      <c r="U12" s="31"/>
      <c r="V12" s="31"/>
      <c r="W12" s="31"/>
      <c r="X12" s="31"/>
      <c r="Y12" s="31"/>
      <c r="Z12" s="31"/>
      <c r="AA12" s="31">
        <v>10</v>
      </c>
      <c r="AB12" s="92">
        <f t="shared" si="1"/>
        <v>18</v>
      </c>
      <c r="AC12" s="31">
        <v>5</v>
      </c>
      <c r="AD12" s="31">
        <v>5</v>
      </c>
      <c r="AE12" s="92">
        <f t="shared" si="2"/>
        <v>10</v>
      </c>
      <c r="AF12" s="93" t="str">
        <f t="shared" si="3"/>
        <v>DA</v>
      </c>
      <c r="AG12" s="92">
        <f t="shared" si="4"/>
        <v>66</v>
      </c>
      <c r="AH12" s="195" t="str">
        <f t="shared" si="5"/>
        <v>APROBADO</v>
      </c>
      <c r="AI12" s="196"/>
      <c r="AJ12" s="196"/>
      <c r="AK12" s="196"/>
      <c r="AL12" s="196"/>
      <c r="AM12" s="197"/>
      <c r="AN12" s="48" t="s">
        <v>98</v>
      </c>
      <c r="AO12" s="216">
        <f>COUNTIF(AF9:AF44,"DP")</f>
        <v>25</v>
      </c>
      <c r="AP12" s="197"/>
      <c r="AQ12" s="95"/>
      <c r="AR12" s="95"/>
    </row>
    <row r="13" spans="1:48" ht="12" customHeight="1" x14ac:dyDescent="0.45">
      <c r="A13" s="58">
        <v>5</v>
      </c>
      <c r="B13" s="90" t="str">
        <f>'C. FILIACION'!B12</f>
        <v>CONDORI FLORES ALEJANDRO BRYAN</v>
      </c>
      <c r="C13" s="31">
        <v>10</v>
      </c>
      <c r="D13" s="60">
        <v>30</v>
      </c>
      <c r="E13" s="91">
        <v>5</v>
      </c>
      <c r="F13" s="31"/>
      <c r="G13" s="31"/>
      <c r="H13" s="31"/>
      <c r="I13" s="31"/>
      <c r="J13" s="31"/>
      <c r="K13" s="31"/>
      <c r="L13" s="31"/>
      <c r="M13" s="31"/>
      <c r="N13" s="31"/>
      <c r="O13" s="92">
        <f t="shared" si="0"/>
        <v>18</v>
      </c>
      <c r="P13" s="91">
        <v>30</v>
      </c>
      <c r="Q13" s="91">
        <v>5</v>
      </c>
      <c r="R13" s="31"/>
      <c r="S13" s="31"/>
      <c r="T13" s="31"/>
      <c r="U13" s="31"/>
      <c r="V13" s="31"/>
      <c r="W13" s="31"/>
      <c r="X13" s="31"/>
      <c r="Y13" s="31"/>
      <c r="Z13" s="31"/>
      <c r="AA13" s="31">
        <v>10</v>
      </c>
      <c r="AB13" s="92">
        <f t="shared" si="1"/>
        <v>18</v>
      </c>
      <c r="AC13" s="31">
        <v>5</v>
      </c>
      <c r="AD13" s="31">
        <v>5</v>
      </c>
      <c r="AE13" s="92">
        <f t="shared" si="2"/>
        <v>10</v>
      </c>
      <c r="AF13" s="93" t="str">
        <f t="shared" si="3"/>
        <v>DA</v>
      </c>
      <c r="AG13" s="92">
        <f t="shared" si="4"/>
        <v>66</v>
      </c>
      <c r="AH13" s="195" t="str">
        <f t="shared" si="5"/>
        <v>APROBADO</v>
      </c>
      <c r="AI13" s="196"/>
      <c r="AJ13" s="196"/>
      <c r="AK13" s="196"/>
      <c r="AL13" s="196"/>
      <c r="AM13" s="197"/>
      <c r="AN13" s="95"/>
      <c r="AO13" s="95"/>
      <c r="AP13" s="95"/>
      <c r="AQ13" s="95"/>
      <c r="AR13" s="95"/>
    </row>
    <row r="14" spans="1:48" ht="12" customHeight="1" x14ac:dyDescent="0.45">
      <c r="A14" s="58">
        <v>6</v>
      </c>
      <c r="B14" s="90" t="str">
        <f>'C. FILIACION'!B13</f>
        <v>DE LA CRUZ SANDOVAL JHON MARCO</v>
      </c>
      <c r="C14" s="31">
        <v>10</v>
      </c>
      <c r="D14" s="60">
        <v>30</v>
      </c>
      <c r="E14" s="91">
        <v>5</v>
      </c>
      <c r="F14" s="31"/>
      <c r="G14" s="31"/>
      <c r="H14" s="31"/>
      <c r="I14" s="31"/>
      <c r="J14" s="31"/>
      <c r="K14" s="31"/>
      <c r="L14" s="31"/>
      <c r="M14" s="31"/>
      <c r="N14" s="31"/>
      <c r="O14" s="92">
        <f t="shared" si="0"/>
        <v>18</v>
      </c>
      <c r="P14" s="91">
        <v>30</v>
      </c>
      <c r="Q14" s="91">
        <v>5</v>
      </c>
      <c r="R14" s="31"/>
      <c r="S14" s="31"/>
      <c r="T14" s="31"/>
      <c r="U14" s="31"/>
      <c r="V14" s="31"/>
      <c r="W14" s="31"/>
      <c r="X14" s="31"/>
      <c r="Y14" s="31"/>
      <c r="Z14" s="31"/>
      <c r="AA14" s="31">
        <v>10</v>
      </c>
      <c r="AB14" s="92">
        <f t="shared" si="1"/>
        <v>18</v>
      </c>
      <c r="AC14" s="31">
        <v>5</v>
      </c>
      <c r="AD14" s="31">
        <v>5</v>
      </c>
      <c r="AE14" s="92">
        <f t="shared" si="2"/>
        <v>10</v>
      </c>
      <c r="AF14" s="93" t="str">
        <f t="shared" si="3"/>
        <v>DA</v>
      </c>
      <c r="AG14" s="92">
        <f t="shared" si="4"/>
        <v>66</v>
      </c>
      <c r="AH14" s="195" t="str">
        <f t="shared" si="5"/>
        <v>APROBADO</v>
      </c>
      <c r="AI14" s="196"/>
      <c r="AJ14" s="196"/>
      <c r="AK14" s="196"/>
      <c r="AL14" s="196"/>
      <c r="AM14" s="197"/>
      <c r="AN14" s="95"/>
      <c r="AO14" s="95"/>
      <c r="AP14" s="95"/>
      <c r="AQ14" s="95"/>
      <c r="AR14" s="95"/>
    </row>
    <row r="15" spans="1:48" ht="12" customHeight="1" x14ac:dyDescent="0.45">
      <c r="A15" s="58">
        <v>7</v>
      </c>
      <c r="B15" s="90" t="str">
        <f>'C. FILIACION'!B14</f>
        <v>GARCÍA IGNACIO MISHEL MAYA</v>
      </c>
      <c r="C15" s="31">
        <v>10</v>
      </c>
      <c r="D15" s="60">
        <v>30</v>
      </c>
      <c r="E15" s="91">
        <v>5</v>
      </c>
      <c r="F15" s="31"/>
      <c r="G15" s="31"/>
      <c r="H15" s="31"/>
      <c r="I15" s="31"/>
      <c r="J15" s="31"/>
      <c r="K15" s="31"/>
      <c r="L15" s="31"/>
      <c r="M15" s="31"/>
      <c r="N15" s="31"/>
      <c r="O15" s="92">
        <f t="shared" si="0"/>
        <v>18</v>
      </c>
      <c r="P15" s="91">
        <v>30</v>
      </c>
      <c r="Q15" s="91">
        <v>5</v>
      </c>
      <c r="R15" s="31"/>
      <c r="S15" s="31"/>
      <c r="T15" s="31"/>
      <c r="U15" s="31"/>
      <c r="V15" s="31"/>
      <c r="W15" s="31"/>
      <c r="X15" s="31"/>
      <c r="Y15" s="31"/>
      <c r="Z15" s="31"/>
      <c r="AA15" s="31">
        <v>10</v>
      </c>
      <c r="AB15" s="92">
        <f t="shared" si="1"/>
        <v>18</v>
      </c>
      <c r="AC15" s="31">
        <v>5</v>
      </c>
      <c r="AD15" s="31">
        <v>5</v>
      </c>
      <c r="AE15" s="92">
        <f t="shared" si="2"/>
        <v>10</v>
      </c>
      <c r="AF15" s="93" t="str">
        <f t="shared" si="3"/>
        <v>DA</v>
      </c>
      <c r="AG15" s="92">
        <f t="shared" si="4"/>
        <v>66</v>
      </c>
      <c r="AH15" s="195" t="str">
        <f t="shared" si="5"/>
        <v>APROBADO</v>
      </c>
      <c r="AI15" s="196"/>
      <c r="AJ15" s="196"/>
      <c r="AK15" s="196"/>
      <c r="AL15" s="196"/>
      <c r="AM15" s="197"/>
      <c r="AN15" s="95"/>
      <c r="AO15" s="95"/>
      <c r="AP15" s="95"/>
      <c r="AQ15" s="95"/>
      <c r="AR15" s="95"/>
    </row>
    <row r="16" spans="1:48" ht="12" customHeight="1" x14ac:dyDescent="0.45">
      <c r="A16" s="58">
        <v>8</v>
      </c>
      <c r="B16" s="90" t="str">
        <f>'C. FILIACION'!B15</f>
        <v>HELGUERO SANCHEZ JHOYSI CAMIL</v>
      </c>
      <c r="C16" s="31">
        <v>10</v>
      </c>
      <c r="D16" s="60">
        <v>30</v>
      </c>
      <c r="E16" s="91">
        <v>5</v>
      </c>
      <c r="F16" s="31"/>
      <c r="G16" s="31"/>
      <c r="H16" s="31"/>
      <c r="I16" s="31"/>
      <c r="J16" s="31"/>
      <c r="K16" s="31"/>
      <c r="L16" s="31"/>
      <c r="M16" s="31"/>
      <c r="N16" s="31"/>
      <c r="O16" s="92">
        <f t="shared" si="0"/>
        <v>18</v>
      </c>
      <c r="P16" s="91">
        <v>30</v>
      </c>
      <c r="Q16" s="91">
        <v>5</v>
      </c>
      <c r="R16" s="31"/>
      <c r="S16" s="31"/>
      <c r="T16" s="31"/>
      <c r="U16" s="31"/>
      <c r="V16" s="31"/>
      <c r="W16" s="31"/>
      <c r="X16" s="31"/>
      <c r="Y16" s="31"/>
      <c r="Z16" s="31"/>
      <c r="AA16" s="31">
        <v>10</v>
      </c>
      <c r="AB16" s="92">
        <f t="shared" si="1"/>
        <v>18</v>
      </c>
      <c r="AC16" s="31">
        <v>5</v>
      </c>
      <c r="AD16" s="31">
        <v>5</v>
      </c>
      <c r="AE16" s="92">
        <f t="shared" si="2"/>
        <v>10</v>
      </c>
      <c r="AF16" s="93" t="str">
        <f t="shared" si="3"/>
        <v>DA</v>
      </c>
      <c r="AG16" s="92">
        <f t="shared" si="4"/>
        <v>66</v>
      </c>
      <c r="AH16" s="195" t="str">
        <f t="shared" si="5"/>
        <v>APROBADO</v>
      </c>
      <c r="AI16" s="196"/>
      <c r="AJ16" s="196"/>
      <c r="AK16" s="196"/>
      <c r="AL16" s="196"/>
      <c r="AM16" s="197"/>
      <c r="AN16" s="95"/>
      <c r="AO16" s="95"/>
      <c r="AP16" s="95"/>
      <c r="AQ16" s="95"/>
      <c r="AR16" s="95"/>
    </row>
    <row r="17" spans="1:44" ht="12" customHeight="1" x14ac:dyDescent="0.45">
      <c r="A17" s="58">
        <v>9</v>
      </c>
      <c r="B17" s="90" t="str">
        <f>'C. FILIACION'!B16</f>
        <v>LEDEZMA ORELLANA RICARDO ERIK</v>
      </c>
      <c r="C17" s="31">
        <v>10</v>
      </c>
      <c r="D17" s="60">
        <v>30</v>
      </c>
      <c r="E17" s="91">
        <v>5</v>
      </c>
      <c r="F17" s="31"/>
      <c r="G17" s="31"/>
      <c r="H17" s="31"/>
      <c r="I17" s="31"/>
      <c r="J17" s="31"/>
      <c r="K17" s="31"/>
      <c r="L17" s="31"/>
      <c r="M17" s="31"/>
      <c r="N17" s="31"/>
      <c r="O17" s="92">
        <f t="shared" si="0"/>
        <v>18</v>
      </c>
      <c r="P17" s="91">
        <v>30</v>
      </c>
      <c r="Q17" s="91">
        <v>5</v>
      </c>
      <c r="R17" s="31"/>
      <c r="S17" s="31"/>
      <c r="T17" s="31"/>
      <c r="U17" s="31"/>
      <c r="V17" s="31"/>
      <c r="W17" s="31"/>
      <c r="X17" s="31"/>
      <c r="Y17" s="31"/>
      <c r="Z17" s="31"/>
      <c r="AA17" s="31">
        <v>10</v>
      </c>
      <c r="AB17" s="92">
        <f t="shared" si="1"/>
        <v>18</v>
      </c>
      <c r="AC17" s="31">
        <v>5</v>
      </c>
      <c r="AD17" s="31">
        <v>5</v>
      </c>
      <c r="AE17" s="92">
        <f t="shared" si="2"/>
        <v>10</v>
      </c>
      <c r="AF17" s="93" t="str">
        <f t="shared" si="3"/>
        <v>DA</v>
      </c>
      <c r="AG17" s="92">
        <f t="shared" si="4"/>
        <v>66</v>
      </c>
      <c r="AH17" s="195" t="str">
        <f t="shared" si="5"/>
        <v>APROBADO</v>
      </c>
      <c r="AI17" s="196"/>
      <c r="AJ17" s="196"/>
      <c r="AK17" s="196"/>
      <c r="AL17" s="196"/>
      <c r="AM17" s="197"/>
      <c r="AN17" s="95"/>
      <c r="AO17" s="95"/>
      <c r="AP17" s="95"/>
      <c r="AQ17" s="95"/>
      <c r="AR17" s="95"/>
    </row>
    <row r="18" spans="1:44" ht="12" customHeight="1" x14ac:dyDescent="0.45">
      <c r="A18" s="58">
        <v>10</v>
      </c>
      <c r="B18" s="90" t="str">
        <f>'C. FILIACION'!B17</f>
        <v>MAMANI LOPEZ ELIZABETH MILDRED</v>
      </c>
      <c r="C18" s="31">
        <v>10</v>
      </c>
      <c r="D18" s="60">
        <v>30</v>
      </c>
      <c r="E18" s="91">
        <v>30</v>
      </c>
      <c r="F18" s="31"/>
      <c r="G18" s="31"/>
      <c r="H18" s="31"/>
      <c r="I18" s="31"/>
      <c r="J18" s="31"/>
      <c r="K18" s="31"/>
      <c r="L18" s="31"/>
      <c r="M18" s="31"/>
      <c r="N18" s="31"/>
      <c r="O18" s="92">
        <f t="shared" si="0"/>
        <v>30</v>
      </c>
      <c r="P18" s="91">
        <v>30</v>
      </c>
      <c r="Q18" s="91">
        <v>30</v>
      </c>
      <c r="R18" s="31"/>
      <c r="S18" s="31"/>
      <c r="T18" s="31"/>
      <c r="U18" s="31"/>
      <c r="V18" s="31"/>
      <c r="W18" s="31"/>
      <c r="X18" s="31"/>
      <c r="Y18" s="31"/>
      <c r="Z18" s="31"/>
      <c r="AA18" s="31">
        <v>10</v>
      </c>
      <c r="AB18" s="92">
        <f t="shared" si="1"/>
        <v>30</v>
      </c>
      <c r="AC18" s="31">
        <v>5</v>
      </c>
      <c r="AD18" s="31">
        <v>5</v>
      </c>
      <c r="AE18" s="92">
        <f t="shared" si="2"/>
        <v>10</v>
      </c>
      <c r="AF18" s="93" t="str">
        <f t="shared" si="3"/>
        <v>DP</v>
      </c>
      <c r="AG18" s="92">
        <f t="shared" si="4"/>
        <v>90</v>
      </c>
      <c r="AH18" s="195" t="str">
        <f t="shared" si="5"/>
        <v>APROBADO</v>
      </c>
      <c r="AI18" s="196"/>
      <c r="AJ18" s="196"/>
      <c r="AK18" s="196"/>
      <c r="AL18" s="196"/>
      <c r="AM18" s="197"/>
      <c r="AN18" s="95"/>
      <c r="AO18" s="95"/>
      <c r="AP18" s="95"/>
      <c r="AQ18" s="95"/>
      <c r="AR18" s="95"/>
    </row>
    <row r="19" spans="1:44" ht="12" customHeight="1" x14ac:dyDescent="0.45">
      <c r="A19" s="58">
        <v>11</v>
      </c>
      <c r="B19" s="90" t="str">
        <f>'C. FILIACION'!B18</f>
        <v>MEDINA CHOQUE JUAN JOSE</v>
      </c>
      <c r="C19" s="31">
        <v>10</v>
      </c>
      <c r="D19" s="60">
        <v>30</v>
      </c>
      <c r="E19" s="91">
        <v>5</v>
      </c>
      <c r="F19" s="31"/>
      <c r="G19" s="31"/>
      <c r="H19" s="31"/>
      <c r="I19" s="31"/>
      <c r="J19" s="31"/>
      <c r="K19" s="31"/>
      <c r="L19" s="31"/>
      <c r="M19" s="31"/>
      <c r="N19" s="31"/>
      <c r="O19" s="92">
        <f t="shared" si="0"/>
        <v>18</v>
      </c>
      <c r="P19" s="91">
        <v>30</v>
      </c>
      <c r="Q19" s="91">
        <v>5</v>
      </c>
      <c r="R19" s="31"/>
      <c r="S19" s="31"/>
      <c r="T19" s="31"/>
      <c r="U19" s="31"/>
      <c r="V19" s="31"/>
      <c r="W19" s="31"/>
      <c r="X19" s="31"/>
      <c r="Y19" s="31"/>
      <c r="Z19" s="31"/>
      <c r="AA19" s="31">
        <v>10</v>
      </c>
      <c r="AB19" s="92">
        <f t="shared" si="1"/>
        <v>18</v>
      </c>
      <c r="AC19" s="31">
        <v>5</v>
      </c>
      <c r="AD19" s="31">
        <v>5</v>
      </c>
      <c r="AE19" s="92">
        <f t="shared" si="2"/>
        <v>10</v>
      </c>
      <c r="AF19" s="93" t="str">
        <f t="shared" si="3"/>
        <v>DA</v>
      </c>
      <c r="AG19" s="92">
        <f t="shared" si="4"/>
        <v>66</v>
      </c>
      <c r="AH19" s="195" t="str">
        <f t="shared" si="5"/>
        <v>APROBADO</v>
      </c>
      <c r="AI19" s="196"/>
      <c r="AJ19" s="196"/>
      <c r="AK19" s="196"/>
      <c r="AL19" s="196"/>
      <c r="AM19" s="197"/>
      <c r="AN19" s="95"/>
      <c r="AO19" s="95"/>
      <c r="AP19" s="95"/>
      <c r="AQ19" s="95"/>
      <c r="AR19" s="95"/>
    </row>
    <row r="20" spans="1:44" ht="12" customHeight="1" x14ac:dyDescent="0.45">
      <c r="A20" s="58">
        <v>12</v>
      </c>
      <c r="B20" s="90" t="str">
        <f>'C. FILIACION'!B19</f>
        <v>NINA RUEDA SEBASTIAN CARLOS</v>
      </c>
      <c r="C20" s="31">
        <v>10</v>
      </c>
      <c r="D20" s="60">
        <v>30</v>
      </c>
      <c r="E20" s="91">
        <v>30</v>
      </c>
      <c r="F20" s="31"/>
      <c r="G20" s="31"/>
      <c r="H20" s="31"/>
      <c r="I20" s="31"/>
      <c r="J20" s="31"/>
      <c r="K20" s="31"/>
      <c r="L20" s="31"/>
      <c r="M20" s="31"/>
      <c r="N20" s="31"/>
      <c r="O20" s="92">
        <f t="shared" si="0"/>
        <v>30</v>
      </c>
      <c r="P20" s="91">
        <v>30</v>
      </c>
      <c r="Q20" s="91">
        <v>30</v>
      </c>
      <c r="R20" s="31"/>
      <c r="S20" s="31"/>
      <c r="T20" s="31"/>
      <c r="U20" s="31"/>
      <c r="V20" s="31"/>
      <c r="W20" s="31"/>
      <c r="X20" s="31"/>
      <c r="Y20" s="31"/>
      <c r="Z20" s="31"/>
      <c r="AA20" s="31">
        <v>10</v>
      </c>
      <c r="AB20" s="92">
        <f t="shared" si="1"/>
        <v>30</v>
      </c>
      <c r="AC20" s="31">
        <v>5</v>
      </c>
      <c r="AD20" s="31">
        <v>5</v>
      </c>
      <c r="AE20" s="92">
        <f t="shared" si="2"/>
        <v>10</v>
      </c>
      <c r="AF20" s="93" t="str">
        <f t="shared" si="3"/>
        <v>DP</v>
      </c>
      <c r="AG20" s="92">
        <f t="shared" si="4"/>
        <v>90</v>
      </c>
      <c r="AH20" s="195" t="str">
        <f t="shared" si="5"/>
        <v>APROBADO</v>
      </c>
      <c r="AI20" s="196"/>
      <c r="AJ20" s="196"/>
      <c r="AK20" s="196"/>
      <c r="AL20" s="196"/>
      <c r="AM20" s="197"/>
      <c r="AN20" s="95"/>
      <c r="AO20" s="95"/>
      <c r="AP20" s="95"/>
      <c r="AQ20" s="95"/>
      <c r="AR20" s="95"/>
    </row>
    <row r="21" spans="1:44" ht="12" customHeight="1" x14ac:dyDescent="0.45">
      <c r="A21" s="58">
        <v>13</v>
      </c>
      <c r="B21" s="90" t="str">
        <f>'C. FILIACION'!B20</f>
        <v>RODRIGUEZ RAMIREZ NATALY ARIANA</v>
      </c>
      <c r="C21" s="31">
        <v>10</v>
      </c>
      <c r="D21" s="60">
        <v>30</v>
      </c>
      <c r="E21" s="91">
        <v>30</v>
      </c>
      <c r="F21" s="31"/>
      <c r="G21" s="31"/>
      <c r="H21" s="31"/>
      <c r="I21" s="31"/>
      <c r="J21" s="31"/>
      <c r="K21" s="31"/>
      <c r="L21" s="31"/>
      <c r="M21" s="31"/>
      <c r="N21" s="31"/>
      <c r="O21" s="92">
        <f t="shared" si="0"/>
        <v>30</v>
      </c>
      <c r="P21" s="91">
        <v>30</v>
      </c>
      <c r="Q21" s="91">
        <v>30</v>
      </c>
      <c r="R21" s="31"/>
      <c r="S21" s="31"/>
      <c r="T21" s="31"/>
      <c r="U21" s="31"/>
      <c r="V21" s="31"/>
      <c r="W21" s="31"/>
      <c r="X21" s="31"/>
      <c r="Y21" s="31"/>
      <c r="Z21" s="31"/>
      <c r="AA21" s="31">
        <v>10</v>
      </c>
      <c r="AB21" s="92">
        <f t="shared" si="1"/>
        <v>30</v>
      </c>
      <c r="AC21" s="31">
        <v>5</v>
      </c>
      <c r="AD21" s="31">
        <v>5</v>
      </c>
      <c r="AE21" s="92">
        <f t="shared" si="2"/>
        <v>10</v>
      </c>
      <c r="AF21" s="93" t="str">
        <f t="shared" si="3"/>
        <v>DP</v>
      </c>
      <c r="AG21" s="92">
        <f t="shared" si="4"/>
        <v>90</v>
      </c>
      <c r="AH21" s="195" t="str">
        <f t="shared" si="5"/>
        <v>APROBADO</v>
      </c>
      <c r="AI21" s="196"/>
      <c r="AJ21" s="196"/>
      <c r="AK21" s="196"/>
      <c r="AL21" s="196"/>
      <c r="AM21" s="197"/>
      <c r="AN21" s="95"/>
      <c r="AO21" s="95"/>
      <c r="AP21" s="95"/>
      <c r="AQ21" s="95"/>
      <c r="AR21" s="95"/>
    </row>
    <row r="22" spans="1:44" ht="12" customHeight="1" x14ac:dyDescent="0.45">
      <c r="A22" s="58">
        <v>14</v>
      </c>
      <c r="B22" s="90" t="str">
        <f>'C. FILIACION'!B21</f>
        <v>SALAZAR CANAZA CRISTINA MAYRA</v>
      </c>
      <c r="C22" s="31">
        <v>10</v>
      </c>
      <c r="D22" s="60">
        <v>30</v>
      </c>
      <c r="E22" s="91">
        <v>30</v>
      </c>
      <c r="F22" s="31"/>
      <c r="G22" s="31"/>
      <c r="H22" s="31"/>
      <c r="I22" s="31"/>
      <c r="J22" s="31"/>
      <c r="K22" s="31"/>
      <c r="L22" s="31"/>
      <c r="M22" s="31"/>
      <c r="N22" s="31"/>
      <c r="O22" s="92">
        <f t="shared" si="0"/>
        <v>30</v>
      </c>
      <c r="P22" s="91">
        <v>30</v>
      </c>
      <c r="Q22" s="91">
        <v>30</v>
      </c>
      <c r="R22" s="31"/>
      <c r="S22" s="31"/>
      <c r="T22" s="31"/>
      <c r="U22" s="31"/>
      <c r="V22" s="31"/>
      <c r="W22" s="31"/>
      <c r="X22" s="31"/>
      <c r="Y22" s="31"/>
      <c r="Z22" s="31"/>
      <c r="AA22" s="31">
        <v>10</v>
      </c>
      <c r="AB22" s="92">
        <f t="shared" si="1"/>
        <v>30</v>
      </c>
      <c r="AC22" s="31">
        <v>5</v>
      </c>
      <c r="AD22" s="31">
        <v>5</v>
      </c>
      <c r="AE22" s="92">
        <f t="shared" si="2"/>
        <v>10</v>
      </c>
      <c r="AF22" s="93" t="str">
        <f t="shared" si="3"/>
        <v>DP</v>
      </c>
      <c r="AG22" s="92">
        <f t="shared" si="4"/>
        <v>90</v>
      </c>
      <c r="AH22" s="195" t="str">
        <f t="shared" si="5"/>
        <v>APROBADO</v>
      </c>
      <c r="AI22" s="196"/>
      <c r="AJ22" s="196"/>
      <c r="AK22" s="196"/>
      <c r="AL22" s="196"/>
      <c r="AM22" s="197"/>
      <c r="AN22" s="95"/>
      <c r="AO22" s="95"/>
      <c r="AP22" s="95"/>
      <c r="AQ22" s="95"/>
      <c r="AR22" s="95"/>
    </row>
    <row r="23" spans="1:44" ht="12" customHeight="1" x14ac:dyDescent="0.45">
      <c r="A23" s="58">
        <v>15</v>
      </c>
      <c r="B23" s="90" t="str">
        <f>'C. FILIACION'!B22</f>
        <v>SEVILLANO BALTAZAR AGNESE</v>
      </c>
      <c r="C23" s="31">
        <v>10</v>
      </c>
      <c r="D23" s="60">
        <v>30</v>
      </c>
      <c r="E23" s="91">
        <v>30</v>
      </c>
      <c r="F23" s="31"/>
      <c r="G23" s="31"/>
      <c r="H23" s="31"/>
      <c r="I23" s="31"/>
      <c r="J23" s="31"/>
      <c r="K23" s="31"/>
      <c r="L23" s="31"/>
      <c r="M23" s="31"/>
      <c r="N23" s="31"/>
      <c r="O23" s="92">
        <f t="shared" si="0"/>
        <v>30</v>
      </c>
      <c r="P23" s="91">
        <v>30</v>
      </c>
      <c r="Q23" s="91">
        <v>30</v>
      </c>
      <c r="R23" s="31"/>
      <c r="S23" s="31"/>
      <c r="T23" s="31"/>
      <c r="U23" s="31"/>
      <c r="V23" s="31"/>
      <c r="W23" s="31"/>
      <c r="X23" s="31"/>
      <c r="Y23" s="31"/>
      <c r="Z23" s="31"/>
      <c r="AA23" s="31">
        <v>10</v>
      </c>
      <c r="AB23" s="92">
        <f t="shared" si="1"/>
        <v>30</v>
      </c>
      <c r="AC23" s="31">
        <v>5</v>
      </c>
      <c r="AD23" s="31">
        <v>5</v>
      </c>
      <c r="AE23" s="92">
        <f t="shared" si="2"/>
        <v>10</v>
      </c>
      <c r="AF23" s="93" t="str">
        <f t="shared" si="3"/>
        <v>DP</v>
      </c>
      <c r="AG23" s="92">
        <f t="shared" si="4"/>
        <v>90</v>
      </c>
      <c r="AH23" s="195" t="str">
        <f t="shared" si="5"/>
        <v>APROBADO</v>
      </c>
      <c r="AI23" s="196"/>
      <c r="AJ23" s="196"/>
      <c r="AK23" s="196"/>
      <c r="AL23" s="196"/>
      <c r="AM23" s="197"/>
      <c r="AN23" s="95"/>
      <c r="AO23" s="95"/>
      <c r="AP23" s="95"/>
      <c r="AQ23" s="95"/>
      <c r="AR23" s="95"/>
    </row>
    <row r="24" spans="1:44" ht="12" customHeight="1" x14ac:dyDescent="0.45">
      <c r="A24" s="58">
        <v>16</v>
      </c>
      <c r="B24" s="90" t="str">
        <f>'C. FILIACION'!B23</f>
        <v>TOCONAS HUAYGUA VICTORIA FERNANDA</v>
      </c>
      <c r="C24" s="31">
        <v>10</v>
      </c>
      <c r="D24" s="91">
        <v>30</v>
      </c>
      <c r="E24" s="91">
        <v>5</v>
      </c>
      <c r="F24" s="31"/>
      <c r="G24" s="31"/>
      <c r="H24" s="31"/>
      <c r="I24" s="31"/>
      <c r="J24" s="31"/>
      <c r="K24" s="31"/>
      <c r="L24" s="31"/>
      <c r="M24" s="31"/>
      <c r="N24" s="31"/>
      <c r="O24" s="92">
        <f t="shared" si="0"/>
        <v>18</v>
      </c>
      <c r="P24" s="91">
        <v>30</v>
      </c>
      <c r="Q24" s="91">
        <v>5</v>
      </c>
      <c r="R24" s="31"/>
      <c r="S24" s="31"/>
      <c r="T24" s="31"/>
      <c r="U24" s="31"/>
      <c r="V24" s="31"/>
      <c r="W24" s="31"/>
      <c r="X24" s="31"/>
      <c r="Y24" s="31"/>
      <c r="Z24" s="31"/>
      <c r="AA24" s="31">
        <v>10</v>
      </c>
      <c r="AB24" s="92">
        <f t="shared" si="1"/>
        <v>18</v>
      </c>
      <c r="AC24" s="31">
        <v>5</v>
      </c>
      <c r="AD24" s="31">
        <v>5</v>
      </c>
      <c r="AE24" s="92">
        <f t="shared" si="2"/>
        <v>10</v>
      </c>
      <c r="AF24" s="93" t="str">
        <f t="shared" si="3"/>
        <v>DA</v>
      </c>
      <c r="AG24" s="92">
        <f t="shared" si="4"/>
        <v>66</v>
      </c>
      <c r="AH24" s="195" t="str">
        <f t="shared" si="5"/>
        <v>APROBADO</v>
      </c>
      <c r="AI24" s="196"/>
      <c r="AJ24" s="196"/>
      <c r="AK24" s="196"/>
      <c r="AL24" s="196"/>
      <c r="AM24" s="197"/>
      <c r="AN24" s="95"/>
      <c r="AO24" s="95"/>
      <c r="AP24" s="95"/>
      <c r="AQ24" s="95"/>
      <c r="AR24" s="95"/>
    </row>
    <row r="25" spans="1:44" ht="12" customHeight="1" x14ac:dyDescent="0.4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195" t="str">
        <f t="shared" si="5"/>
        <v>APROBADO</v>
      </c>
      <c r="AI25" s="196"/>
      <c r="AJ25" s="196"/>
      <c r="AK25" s="196"/>
      <c r="AL25" s="196"/>
      <c r="AM25" s="197"/>
      <c r="AN25" s="95"/>
      <c r="AO25" s="95"/>
      <c r="AP25" s="95"/>
      <c r="AQ25" s="95"/>
      <c r="AR25" s="95"/>
    </row>
    <row r="26" spans="1:44" ht="12" customHeight="1" x14ac:dyDescent="0.4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5" t="str">
        <f t="shared" si="5"/>
        <v>APROBADO</v>
      </c>
      <c r="AI26" s="196"/>
      <c r="AJ26" s="196"/>
      <c r="AK26" s="196"/>
      <c r="AL26" s="196"/>
      <c r="AM26" s="197"/>
      <c r="AN26" s="95"/>
      <c r="AO26" s="95"/>
      <c r="AP26" s="95"/>
      <c r="AQ26" s="95"/>
      <c r="AR26" s="95"/>
    </row>
    <row r="27" spans="1:44" ht="12" customHeight="1" x14ac:dyDescent="0.4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5" t="str">
        <f t="shared" si="5"/>
        <v>APROBADO</v>
      </c>
      <c r="AI27" s="196"/>
      <c r="AJ27" s="196"/>
      <c r="AK27" s="196"/>
      <c r="AL27" s="196"/>
      <c r="AM27" s="197"/>
      <c r="AN27" s="95"/>
      <c r="AO27" s="95"/>
      <c r="AP27" s="95"/>
      <c r="AQ27" s="95"/>
      <c r="AR27" s="95"/>
    </row>
    <row r="28" spans="1:44" ht="12" customHeight="1" x14ac:dyDescent="0.4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5" t="str">
        <f t="shared" si="5"/>
        <v>APROBADO</v>
      </c>
      <c r="AI28" s="196"/>
      <c r="AJ28" s="196"/>
      <c r="AK28" s="196"/>
      <c r="AL28" s="196"/>
      <c r="AM28" s="197"/>
      <c r="AN28" s="95"/>
      <c r="AO28" s="95"/>
      <c r="AP28" s="95"/>
      <c r="AQ28" s="95"/>
      <c r="AR28" s="95"/>
    </row>
    <row r="29" spans="1:44" ht="12" customHeight="1" x14ac:dyDescent="0.4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5" t="str">
        <f t="shared" si="5"/>
        <v>APROBADO</v>
      </c>
      <c r="AI29" s="196"/>
      <c r="AJ29" s="196"/>
      <c r="AK29" s="196"/>
      <c r="AL29" s="196"/>
      <c r="AM29" s="197"/>
      <c r="AN29" s="95"/>
      <c r="AO29" s="95"/>
      <c r="AP29" s="95"/>
      <c r="AQ29" s="95"/>
      <c r="AR29" s="95"/>
    </row>
    <row r="30" spans="1:44" ht="12" customHeight="1" x14ac:dyDescent="0.4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5" t="str">
        <f t="shared" si="5"/>
        <v>APROBADO</v>
      </c>
      <c r="AI30" s="196"/>
      <c r="AJ30" s="196"/>
      <c r="AK30" s="196"/>
      <c r="AL30" s="196"/>
      <c r="AM30" s="197"/>
      <c r="AN30" s="95"/>
      <c r="AO30" s="95"/>
      <c r="AP30" s="95"/>
      <c r="AQ30" s="95"/>
      <c r="AR30" s="95"/>
    </row>
    <row r="31" spans="1:44" ht="12" customHeight="1" x14ac:dyDescent="0.4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5" t="str">
        <f t="shared" si="5"/>
        <v>APROBADO</v>
      </c>
      <c r="AI31" s="196"/>
      <c r="AJ31" s="196"/>
      <c r="AK31" s="196"/>
      <c r="AL31" s="196"/>
      <c r="AM31" s="197"/>
      <c r="AN31" s="95"/>
      <c r="AO31" s="95"/>
      <c r="AP31" s="95"/>
      <c r="AQ31" s="95"/>
      <c r="AR31" s="95"/>
    </row>
    <row r="32" spans="1:44" ht="12" customHeight="1" x14ac:dyDescent="0.4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5" t="str">
        <f t="shared" si="5"/>
        <v>APROBADO</v>
      </c>
      <c r="AI32" s="196"/>
      <c r="AJ32" s="196"/>
      <c r="AK32" s="196"/>
      <c r="AL32" s="196"/>
      <c r="AM32" s="197"/>
      <c r="AN32" s="95"/>
      <c r="AO32" s="95"/>
      <c r="AP32" s="95"/>
      <c r="AQ32" s="95"/>
      <c r="AR32" s="95"/>
    </row>
    <row r="33" spans="1:44" ht="12" customHeight="1" x14ac:dyDescent="0.4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5" t="str">
        <f t="shared" si="5"/>
        <v>APROBADO</v>
      </c>
      <c r="AI33" s="196"/>
      <c r="AJ33" s="196"/>
      <c r="AK33" s="196"/>
      <c r="AL33" s="196"/>
      <c r="AM33" s="197"/>
      <c r="AN33" s="95"/>
      <c r="AO33" s="95"/>
      <c r="AP33" s="95"/>
      <c r="AQ33" s="95"/>
      <c r="AR33" s="95"/>
    </row>
    <row r="34" spans="1:44" ht="12" customHeight="1" x14ac:dyDescent="0.4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5" t="str">
        <f t="shared" si="5"/>
        <v>APROBADO</v>
      </c>
      <c r="AI34" s="196"/>
      <c r="AJ34" s="196"/>
      <c r="AK34" s="196"/>
      <c r="AL34" s="196"/>
      <c r="AM34" s="197"/>
      <c r="AN34" s="95"/>
      <c r="AO34" s="95"/>
      <c r="AP34" s="95"/>
      <c r="AQ34" s="95"/>
      <c r="AR34" s="95"/>
    </row>
    <row r="35" spans="1:44" ht="12" customHeight="1" x14ac:dyDescent="0.4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5" t="str">
        <f t="shared" si="5"/>
        <v>APROBADO</v>
      </c>
      <c r="AI35" s="196"/>
      <c r="AJ35" s="196"/>
      <c r="AK35" s="196"/>
      <c r="AL35" s="196"/>
      <c r="AM35" s="197"/>
      <c r="AN35" s="95"/>
      <c r="AO35" s="95"/>
      <c r="AP35" s="95"/>
      <c r="AQ35" s="95"/>
      <c r="AR35" s="95"/>
    </row>
    <row r="36" spans="1:44" ht="12" customHeight="1" x14ac:dyDescent="0.4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5" t="str">
        <f t="shared" si="5"/>
        <v>APROBADO</v>
      </c>
      <c r="AI36" s="196"/>
      <c r="AJ36" s="196"/>
      <c r="AK36" s="196"/>
      <c r="AL36" s="196"/>
      <c r="AM36" s="197"/>
      <c r="AN36" s="95"/>
      <c r="AO36" s="95"/>
      <c r="AP36" s="95"/>
      <c r="AQ36" s="95"/>
      <c r="AR36" s="95"/>
    </row>
    <row r="37" spans="1:44" ht="12" customHeight="1" x14ac:dyDescent="0.4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5" t="str">
        <f t="shared" si="5"/>
        <v>APROBADO</v>
      </c>
      <c r="AI37" s="196"/>
      <c r="AJ37" s="196"/>
      <c r="AK37" s="196"/>
      <c r="AL37" s="196"/>
      <c r="AM37" s="197"/>
      <c r="AN37" s="95"/>
      <c r="AO37" s="95"/>
      <c r="AP37" s="95"/>
      <c r="AQ37" s="95"/>
      <c r="AR37" s="95"/>
    </row>
    <row r="38" spans="1:44" ht="12" customHeight="1" x14ac:dyDescent="0.4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5" t="str">
        <f t="shared" si="5"/>
        <v>APROBADO</v>
      </c>
      <c r="AI38" s="196"/>
      <c r="AJ38" s="196"/>
      <c r="AK38" s="196"/>
      <c r="AL38" s="196"/>
      <c r="AM38" s="197"/>
      <c r="AN38" s="95"/>
      <c r="AO38" s="95"/>
      <c r="AP38" s="95"/>
      <c r="AQ38" s="95"/>
      <c r="AR38" s="95"/>
    </row>
    <row r="39" spans="1:44" ht="12" customHeight="1" x14ac:dyDescent="0.4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5" t="str">
        <f t="shared" si="5"/>
        <v>APROBADO</v>
      </c>
      <c r="AI39" s="196"/>
      <c r="AJ39" s="196"/>
      <c r="AK39" s="196"/>
      <c r="AL39" s="196"/>
      <c r="AM39" s="197"/>
      <c r="AN39" s="95"/>
      <c r="AO39" s="95"/>
      <c r="AP39" s="95"/>
      <c r="AQ39" s="95"/>
      <c r="AR39" s="95"/>
    </row>
    <row r="40" spans="1:44" ht="12" customHeight="1" x14ac:dyDescent="0.4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5" t="str">
        <f t="shared" si="5"/>
        <v>APROBADO</v>
      </c>
      <c r="AI40" s="196"/>
      <c r="AJ40" s="196"/>
      <c r="AK40" s="196"/>
      <c r="AL40" s="196"/>
      <c r="AM40" s="197"/>
      <c r="AN40" s="95"/>
      <c r="AO40" s="95"/>
      <c r="AP40" s="95"/>
      <c r="AQ40" s="95"/>
      <c r="AR40" s="95"/>
    </row>
    <row r="41" spans="1:44" ht="12" customHeight="1" x14ac:dyDescent="0.4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5" t="str">
        <f t="shared" si="5"/>
        <v>APROBADO</v>
      </c>
      <c r="AI41" s="196"/>
      <c r="AJ41" s="196"/>
      <c r="AK41" s="196"/>
      <c r="AL41" s="196"/>
      <c r="AM41" s="197"/>
      <c r="AN41" s="95"/>
      <c r="AO41" s="95"/>
      <c r="AP41" s="95"/>
      <c r="AQ41" s="95"/>
      <c r="AR41" s="95"/>
    </row>
    <row r="42" spans="1:44" ht="12" customHeight="1" x14ac:dyDescent="0.4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5" t="str">
        <f t="shared" si="5"/>
        <v>APROBADO</v>
      </c>
      <c r="AI42" s="196"/>
      <c r="AJ42" s="196"/>
      <c r="AK42" s="196"/>
      <c r="AL42" s="196"/>
      <c r="AM42" s="197"/>
      <c r="AN42" s="95"/>
      <c r="AO42" s="95"/>
      <c r="AP42" s="95"/>
      <c r="AQ42" s="95"/>
      <c r="AR42" s="95"/>
    </row>
    <row r="43" spans="1:44" ht="12" customHeight="1" x14ac:dyDescent="0.4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5" t="str">
        <f t="shared" si="5"/>
        <v>APROBADO</v>
      </c>
      <c r="AI43" s="196"/>
      <c r="AJ43" s="196"/>
      <c r="AK43" s="196"/>
      <c r="AL43" s="196"/>
      <c r="AM43" s="197"/>
      <c r="AN43" s="95"/>
      <c r="AO43" s="95"/>
      <c r="AP43" s="95"/>
      <c r="AQ43" s="95"/>
      <c r="AR43" s="95"/>
    </row>
    <row r="44" spans="1:44" ht="12" customHeight="1" x14ac:dyDescent="0.4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5" t="str">
        <f t="shared" si="5"/>
        <v>APROBADO</v>
      </c>
      <c r="AI44" s="196"/>
      <c r="AJ44" s="196"/>
      <c r="AK44" s="196"/>
      <c r="AL44" s="196"/>
      <c r="AM44" s="197"/>
      <c r="AN44" s="95"/>
      <c r="AO44" s="95"/>
      <c r="AP44" s="95"/>
      <c r="AQ44" s="95"/>
      <c r="AR44" s="95"/>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E9:N23 D24: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B21" activeCellId="4" sqref="B10:D10 B12:D12 B18:D18 B19:D19 B21:D21"/>
    </sheetView>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5000000000000004">
      <c r="A2" s="71"/>
      <c r="B2" s="200" t="s">
        <v>99</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3"/>
      <c r="AT2" s="73"/>
      <c r="AU2" s="73"/>
      <c r="AV2" s="73"/>
    </row>
    <row r="3" spans="1:48" ht="12.75" customHeight="1" x14ac:dyDescent="0.550000000000000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198" t="s">
        <v>49</v>
      </c>
      <c r="AD3" s="196"/>
      <c r="AE3" s="196"/>
      <c r="AF3" s="196"/>
      <c r="AG3" s="196"/>
      <c r="AH3" s="197"/>
      <c r="AI3" s="192">
        <f>CARÁTULA!$H$19</f>
        <v>44326</v>
      </c>
      <c r="AJ3" s="174"/>
      <c r="AK3" s="174"/>
      <c r="AL3" s="174"/>
      <c r="AM3" s="174"/>
      <c r="AN3" s="201" t="s">
        <v>50</v>
      </c>
      <c r="AO3" s="165"/>
      <c r="AP3" s="165"/>
      <c r="AQ3" s="165"/>
      <c r="AR3" s="166"/>
      <c r="AS3" s="72"/>
      <c r="AT3" s="72"/>
      <c r="AU3" s="72"/>
      <c r="AV3" s="72"/>
    </row>
    <row r="4" spans="1:48" ht="12.75" customHeight="1" x14ac:dyDescent="0.550000000000000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198" t="s">
        <v>52</v>
      </c>
      <c r="AD4" s="196"/>
      <c r="AE4" s="196"/>
      <c r="AF4" s="196"/>
      <c r="AG4" s="196"/>
      <c r="AH4" s="197"/>
      <c r="AI4" s="192">
        <f>CARÁTULA!$J$19</f>
        <v>44439</v>
      </c>
      <c r="AJ4" s="174"/>
      <c r="AK4" s="174"/>
      <c r="AL4" s="174"/>
      <c r="AM4" s="174"/>
      <c r="AN4" s="194">
        <f ca="1">AI4-AI5</f>
        <v>26</v>
      </c>
      <c r="AO4" s="184"/>
      <c r="AP4" s="184"/>
      <c r="AQ4" s="184"/>
      <c r="AR4" s="185"/>
    </row>
    <row r="5" spans="1:48" ht="12.75" customHeight="1" x14ac:dyDescent="0.55000000000000004">
      <c r="A5" s="71"/>
      <c r="B5" s="74" t="s">
        <v>22</v>
      </c>
      <c r="C5" s="75" t="str">
        <f>CARÁTULA!$C$23</f>
        <v>2do de Secundaria</v>
      </c>
      <c r="D5" s="76"/>
      <c r="E5" s="76"/>
      <c r="F5" s="76"/>
      <c r="G5" s="74"/>
      <c r="H5" s="74"/>
      <c r="I5" s="74"/>
      <c r="J5" s="74"/>
      <c r="K5" s="74"/>
      <c r="L5" s="74"/>
      <c r="M5" s="74"/>
      <c r="N5" s="74"/>
      <c r="O5" s="74" t="s">
        <v>23</v>
      </c>
      <c r="P5" s="79"/>
      <c r="Q5" s="79"/>
      <c r="R5" s="79"/>
      <c r="S5" s="206">
        <f ca="1">TODAY()</f>
        <v>44413</v>
      </c>
      <c r="T5" s="165"/>
      <c r="U5" s="165"/>
      <c r="V5" s="165"/>
      <c r="W5" s="165"/>
      <c r="X5" s="165"/>
      <c r="Y5" s="165"/>
      <c r="Z5" s="165"/>
      <c r="AA5" s="166"/>
      <c r="AB5" s="76"/>
      <c r="AC5" s="199" t="s">
        <v>53</v>
      </c>
      <c r="AD5" s="196"/>
      <c r="AE5" s="196"/>
      <c r="AF5" s="196"/>
      <c r="AG5" s="196"/>
      <c r="AH5" s="197"/>
      <c r="AI5" s="202">
        <f ca="1">TODAY()</f>
        <v>44413</v>
      </c>
      <c r="AJ5" s="174"/>
      <c r="AK5" s="174"/>
      <c r="AL5" s="174"/>
      <c r="AM5" s="174"/>
      <c r="AN5" s="186"/>
      <c r="AO5" s="187"/>
      <c r="AP5" s="187"/>
      <c r="AQ5" s="187"/>
      <c r="AR5" s="188"/>
    </row>
    <row r="6" spans="1:48" ht="12.75" customHeight="1" x14ac:dyDescent="0.55000000000000004">
      <c r="A6" s="71"/>
      <c r="B6" s="74"/>
      <c r="C6" s="180" t="s">
        <v>79</v>
      </c>
      <c r="D6" s="181"/>
      <c r="E6" s="181"/>
      <c r="F6" s="181"/>
      <c r="G6" s="181"/>
      <c r="H6" s="181"/>
      <c r="I6" s="181"/>
      <c r="J6" s="181"/>
      <c r="K6" s="181"/>
      <c r="L6" s="181"/>
      <c r="M6" s="181"/>
      <c r="N6" s="181"/>
      <c r="O6" s="181"/>
      <c r="P6" s="181"/>
      <c r="Q6" s="181"/>
      <c r="R6" s="181"/>
      <c r="S6" s="181"/>
      <c r="T6" s="181"/>
      <c r="U6" s="181"/>
      <c r="V6" s="181"/>
      <c r="W6" s="181"/>
      <c r="X6" s="181"/>
      <c r="Y6" s="181"/>
      <c r="Z6" s="181"/>
      <c r="AA6" s="182"/>
      <c r="AB6" s="207" t="s">
        <v>80</v>
      </c>
      <c r="AC6" s="196"/>
      <c r="AD6" s="196"/>
      <c r="AE6" s="197"/>
      <c r="AF6" s="80"/>
      <c r="AG6" s="81"/>
      <c r="AH6" s="81"/>
      <c r="AI6" s="82"/>
      <c r="AJ6" s="83"/>
      <c r="AK6" s="83"/>
      <c r="AL6" s="83"/>
      <c r="AM6" s="83"/>
      <c r="AN6" s="84"/>
      <c r="AO6" s="84"/>
      <c r="AP6" s="84"/>
      <c r="AQ6" s="84"/>
      <c r="AR6" s="84"/>
    </row>
    <row r="7" spans="1:48" ht="12" customHeight="1" x14ac:dyDescent="0.55000000000000004">
      <c r="A7" s="71"/>
      <c r="B7" s="85"/>
      <c r="C7" s="208" t="s">
        <v>81</v>
      </c>
      <c r="D7" s="209" t="s">
        <v>82</v>
      </c>
      <c r="E7" s="196"/>
      <c r="F7" s="196"/>
      <c r="G7" s="196"/>
      <c r="H7" s="196"/>
      <c r="I7" s="196"/>
      <c r="J7" s="196"/>
      <c r="K7" s="196"/>
      <c r="L7" s="196"/>
      <c r="M7" s="196"/>
      <c r="N7" s="196"/>
      <c r="O7" s="205" t="s">
        <v>83</v>
      </c>
      <c r="P7" s="209" t="s">
        <v>84</v>
      </c>
      <c r="Q7" s="196"/>
      <c r="R7" s="196"/>
      <c r="S7" s="196"/>
      <c r="T7" s="196"/>
      <c r="U7" s="196"/>
      <c r="V7" s="196"/>
      <c r="W7" s="196"/>
      <c r="X7" s="196"/>
      <c r="Y7" s="196"/>
      <c r="Z7" s="196"/>
      <c r="AA7" s="203" t="s">
        <v>85</v>
      </c>
      <c r="AB7" s="205" t="s">
        <v>83</v>
      </c>
      <c r="AC7" s="203" t="s">
        <v>86</v>
      </c>
      <c r="AD7" s="203" t="s">
        <v>87</v>
      </c>
      <c r="AE7" s="205" t="s">
        <v>83</v>
      </c>
      <c r="AF7" s="210" t="s">
        <v>88</v>
      </c>
      <c r="AG7" s="211" t="s">
        <v>89</v>
      </c>
      <c r="AH7" s="212" t="s">
        <v>90</v>
      </c>
      <c r="AI7" s="181"/>
      <c r="AJ7" s="181"/>
      <c r="AK7" s="181"/>
      <c r="AL7" s="181"/>
      <c r="AM7" s="182"/>
      <c r="AN7" s="86"/>
      <c r="AO7" s="76"/>
      <c r="AP7" s="76"/>
      <c r="AQ7" s="76"/>
      <c r="AR7" s="71"/>
    </row>
    <row r="8" spans="1:48" ht="67.5" customHeight="1" x14ac:dyDescent="0.45">
      <c r="A8" s="48" t="s">
        <v>54</v>
      </c>
      <c r="B8" s="49" t="s">
        <v>55</v>
      </c>
      <c r="C8" s="204"/>
      <c r="D8" s="50">
        <v>44378</v>
      </c>
      <c r="E8" s="53"/>
      <c r="F8" s="53"/>
      <c r="G8" s="53"/>
      <c r="H8" s="53"/>
      <c r="I8" s="53"/>
      <c r="J8" s="53"/>
      <c r="K8" s="53"/>
      <c r="L8" s="53"/>
      <c r="M8" s="53"/>
      <c r="N8" s="54"/>
      <c r="O8" s="204"/>
      <c r="P8" s="96"/>
      <c r="Q8" s="53"/>
      <c r="R8" s="53"/>
      <c r="S8" s="53"/>
      <c r="T8" s="53"/>
      <c r="U8" s="53"/>
      <c r="V8" s="53"/>
      <c r="W8" s="53"/>
      <c r="X8" s="53"/>
      <c r="Y8" s="53"/>
      <c r="Z8" s="53"/>
      <c r="AA8" s="204"/>
      <c r="AB8" s="204"/>
      <c r="AC8" s="204"/>
      <c r="AD8" s="204"/>
      <c r="AE8" s="204"/>
      <c r="AF8" s="204"/>
      <c r="AG8" s="204"/>
      <c r="AH8" s="213"/>
      <c r="AI8" s="214"/>
      <c r="AJ8" s="214"/>
      <c r="AK8" s="214"/>
      <c r="AL8" s="214"/>
      <c r="AM8" s="215"/>
      <c r="AN8" s="88"/>
      <c r="AO8" s="88"/>
      <c r="AP8" s="88"/>
      <c r="AQ8" s="88"/>
      <c r="AR8" s="89"/>
    </row>
    <row r="9" spans="1:48" ht="12" customHeight="1" x14ac:dyDescent="0.45">
      <c r="A9" s="58">
        <v>1</v>
      </c>
      <c r="B9" s="159" t="str">
        <f>'C. FILIACION'!B8</f>
        <v>ALARCON CHURA PRISCILA</v>
      </c>
      <c r="C9" s="31">
        <v>10</v>
      </c>
      <c r="D9" s="31"/>
      <c r="E9" s="31"/>
      <c r="F9" s="31"/>
      <c r="G9" s="31"/>
      <c r="H9" s="31"/>
      <c r="I9" s="31"/>
      <c r="J9" s="31"/>
      <c r="K9" s="31"/>
      <c r="L9" s="31"/>
      <c r="M9" s="31"/>
      <c r="N9" s="31"/>
      <c r="O9" s="92" t="str">
        <f t="shared" ref="O9:O44" si="0">IFERROR(ROUND(AVERAGE(D9:N9),0),"")</f>
        <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DA</v>
      </c>
      <c r="AG9" s="92">
        <f t="shared" ref="AG9:AG44" si="4">IFERROR((SUM(C9,O9,AA9,AB9,AE9)),"")</f>
        <v>65</v>
      </c>
      <c r="AH9" s="195" t="str">
        <f t="shared" ref="AH9:AH44" si="5">IF(AG9="","",(IF(AND(AG9&gt;=1,AG9&lt;=50.499),"REPROBADO",IF(AND(AG9&gt;=50.5,AG9&lt;=100),"APROBADO"))))</f>
        <v>APROBADO</v>
      </c>
      <c r="AI9" s="196"/>
      <c r="AJ9" s="196"/>
      <c r="AK9" s="196"/>
      <c r="AL9" s="196"/>
      <c r="AM9" s="197"/>
      <c r="AN9" s="94" t="s">
        <v>95</v>
      </c>
      <c r="AO9" s="216">
        <f>COUNTIF(AF9:AF44,"ED")</f>
        <v>0</v>
      </c>
      <c r="AP9" s="197"/>
      <c r="AQ9" s="95"/>
      <c r="AR9" s="95"/>
    </row>
    <row r="10" spans="1:48" ht="12" customHeight="1" x14ac:dyDescent="0.45">
      <c r="A10" s="58">
        <v>2</v>
      </c>
      <c r="B10" s="90" t="str">
        <f>'C. FILIACION'!B9</f>
        <v>ARCE CHOQUE LUCERO CORAL</v>
      </c>
      <c r="C10" s="31">
        <v>10</v>
      </c>
      <c r="D10" s="31"/>
      <c r="E10" s="31"/>
      <c r="F10" s="31"/>
      <c r="G10" s="31"/>
      <c r="H10" s="31"/>
      <c r="I10" s="31"/>
      <c r="J10" s="31"/>
      <c r="K10" s="31"/>
      <c r="L10" s="31"/>
      <c r="M10" s="31"/>
      <c r="N10" s="31"/>
      <c r="O10" s="92" t="str">
        <f t="shared" si="0"/>
        <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DA</v>
      </c>
      <c r="AG10" s="92">
        <f t="shared" si="4"/>
        <v>65</v>
      </c>
      <c r="AH10" s="195" t="str">
        <f t="shared" si="5"/>
        <v>APROBADO</v>
      </c>
      <c r="AI10" s="196"/>
      <c r="AJ10" s="196"/>
      <c r="AK10" s="196"/>
      <c r="AL10" s="196"/>
      <c r="AM10" s="197"/>
      <c r="AN10" s="48" t="s">
        <v>96</v>
      </c>
      <c r="AO10" s="216">
        <f>COUNTIF(AF9:AF44,"DA")</f>
        <v>6</v>
      </c>
      <c r="AP10" s="197"/>
      <c r="AQ10" s="95"/>
      <c r="AR10" s="95"/>
    </row>
    <row r="11" spans="1:48" ht="12" customHeight="1" x14ac:dyDescent="0.45">
      <c r="A11" s="58">
        <v>3</v>
      </c>
      <c r="B11" s="90" t="str">
        <f>'C. FILIACION'!B10</f>
        <v>AREQUIPA CALCINA FABIAN JHON</v>
      </c>
      <c r="C11" s="31">
        <v>10</v>
      </c>
      <c r="D11" s="31">
        <v>15</v>
      </c>
      <c r="E11" s="31"/>
      <c r="F11" s="31"/>
      <c r="G11" s="31"/>
      <c r="H11" s="31"/>
      <c r="I11" s="31"/>
      <c r="J11" s="31"/>
      <c r="K11" s="31"/>
      <c r="L11" s="31"/>
      <c r="M11" s="31"/>
      <c r="N11" s="31"/>
      <c r="O11" s="92">
        <f t="shared" si="0"/>
        <v>15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DO</v>
      </c>
      <c r="AG11" s="92">
        <f t="shared" si="4"/>
        <v>80</v>
      </c>
      <c r="AH11" s="195" t="str">
        <f t="shared" si="5"/>
        <v>APROBADO</v>
      </c>
      <c r="AI11" s="196"/>
      <c r="AJ11" s="196"/>
      <c r="AK11" s="196"/>
      <c r="AL11" s="196"/>
      <c r="AM11" s="197"/>
      <c r="AN11" s="48" t="s">
        <v>97</v>
      </c>
      <c r="AO11" s="216">
        <f>COUNTIF(AF9:AF44,"DO")</f>
        <v>3</v>
      </c>
      <c r="AP11" s="197"/>
      <c r="AQ11" s="95"/>
      <c r="AR11" s="95"/>
    </row>
    <row r="12" spans="1:48" ht="12" customHeight="1" x14ac:dyDescent="0.45">
      <c r="A12" s="58">
        <v>4</v>
      </c>
      <c r="B12" s="90" t="str">
        <f>'C. FILIACION'!B11</f>
        <v>CLAURE PARAVICINI RASHEL ROSALY</v>
      </c>
      <c r="C12" s="31">
        <v>10</v>
      </c>
      <c r="D12" s="31"/>
      <c r="E12" s="31"/>
      <c r="F12" s="31"/>
      <c r="G12" s="31"/>
      <c r="H12" s="31"/>
      <c r="I12" s="31"/>
      <c r="J12" s="31"/>
      <c r="K12" s="31"/>
      <c r="L12" s="31"/>
      <c r="M12" s="31"/>
      <c r="N12" s="31"/>
      <c r="O12" s="92" t="str">
        <f t="shared" si="0"/>
        <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DA</v>
      </c>
      <c r="AG12" s="92">
        <f t="shared" si="4"/>
        <v>65</v>
      </c>
      <c r="AH12" s="195" t="str">
        <f t="shared" si="5"/>
        <v>APROBADO</v>
      </c>
      <c r="AI12" s="196"/>
      <c r="AJ12" s="196"/>
      <c r="AK12" s="196"/>
      <c r="AL12" s="196"/>
      <c r="AM12" s="197"/>
      <c r="AN12" s="48" t="s">
        <v>98</v>
      </c>
      <c r="AO12" s="216">
        <f>COUNTIF(AF9:AF44,"DP")</f>
        <v>27</v>
      </c>
      <c r="AP12" s="197"/>
      <c r="AQ12" s="95"/>
      <c r="AR12" s="95"/>
    </row>
    <row r="13" spans="1:48" ht="12" customHeight="1" x14ac:dyDescent="0.45">
      <c r="A13" s="58">
        <v>5</v>
      </c>
      <c r="B13" s="90" t="str">
        <f>'C. FILIACION'!B12</f>
        <v>CONDORI FLORES ALEJANDRO BRYAN</v>
      </c>
      <c r="C13" s="31">
        <v>10</v>
      </c>
      <c r="D13" s="31">
        <v>19</v>
      </c>
      <c r="E13" s="31"/>
      <c r="F13" s="31"/>
      <c r="G13" s="31"/>
      <c r="H13" s="31"/>
      <c r="I13" s="31"/>
      <c r="J13" s="31"/>
      <c r="K13" s="31"/>
      <c r="L13" s="31"/>
      <c r="M13" s="31"/>
      <c r="N13" s="31"/>
      <c r="O13" s="92">
        <f t="shared" si="0"/>
        <v>19</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DO</v>
      </c>
      <c r="AG13" s="92">
        <f t="shared" si="4"/>
        <v>84</v>
      </c>
      <c r="AH13" s="195" t="str">
        <f t="shared" si="5"/>
        <v>APROBADO</v>
      </c>
      <c r="AI13" s="196"/>
      <c r="AJ13" s="196"/>
      <c r="AK13" s="196"/>
      <c r="AL13" s="196"/>
      <c r="AM13" s="197"/>
      <c r="AN13" s="95"/>
      <c r="AO13" s="95"/>
      <c r="AP13" s="95"/>
      <c r="AQ13" s="95"/>
      <c r="AR13" s="95"/>
    </row>
    <row r="14" spans="1:48" ht="12" customHeight="1" x14ac:dyDescent="0.45">
      <c r="A14" s="58">
        <v>6</v>
      </c>
      <c r="B14" s="90" t="str">
        <f>'C. FILIACION'!B13</f>
        <v>DE LA CRUZ SANDOVAL JHON MARCO</v>
      </c>
      <c r="C14" s="31">
        <v>10</v>
      </c>
      <c r="D14" s="31">
        <v>23</v>
      </c>
      <c r="E14" s="31"/>
      <c r="F14" s="31"/>
      <c r="G14" s="31"/>
      <c r="H14" s="31"/>
      <c r="I14" s="31"/>
      <c r="J14" s="31"/>
      <c r="K14" s="31"/>
      <c r="L14" s="31"/>
      <c r="M14" s="31"/>
      <c r="N14" s="31"/>
      <c r="O14" s="92">
        <f t="shared" si="0"/>
        <v>23</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88</v>
      </c>
      <c r="AH14" s="195" t="str">
        <f t="shared" si="5"/>
        <v>APROBADO</v>
      </c>
      <c r="AI14" s="196"/>
      <c r="AJ14" s="196"/>
      <c r="AK14" s="196"/>
      <c r="AL14" s="196"/>
      <c r="AM14" s="197"/>
      <c r="AN14" s="95"/>
      <c r="AO14" s="95"/>
      <c r="AP14" s="95"/>
      <c r="AQ14" s="95"/>
      <c r="AR14" s="95"/>
    </row>
    <row r="15" spans="1:48" ht="12" customHeight="1" x14ac:dyDescent="0.45">
      <c r="A15" s="58">
        <v>7</v>
      </c>
      <c r="B15" s="90" t="str">
        <f>'C. FILIACION'!B14</f>
        <v>GARCÍA IGNACIO MISHEL MAYA</v>
      </c>
      <c r="C15" s="31">
        <v>10</v>
      </c>
      <c r="D15" s="31">
        <v>25</v>
      </c>
      <c r="E15" s="31"/>
      <c r="F15" s="31"/>
      <c r="G15" s="31"/>
      <c r="H15" s="31"/>
      <c r="I15" s="31"/>
      <c r="J15" s="31"/>
      <c r="K15" s="31"/>
      <c r="L15" s="31"/>
      <c r="M15" s="31"/>
      <c r="N15" s="31"/>
      <c r="O15" s="92">
        <f t="shared" si="0"/>
        <v>25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90</v>
      </c>
      <c r="AH15" s="195" t="str">
        <f t="shared" si="5"/>
        <v>APROBADO</v>
      </c>
      <c r="AI15" s="196"/>
      <c r="AJ15" s="196"/>
      <c r="AK15" s="196"/>
      <c r="AL15" s="196"/>
      <c r="AM15" s="197"/>
      <c r="AN15" s="95"/>
      <c r="AO15" s="95"/>
      <c r="AP15" s="95"/>
      <c r="AQ15" s="95"/>
      <c r="AR15" s="95"/>
    </row>
    <row r="16" spans="1:48" ht="12" customHeight="1" x14ac:dyDescent="0.45">
      <c r="A16" s="58">
        <v>8</v>
      </c>
      <c r="B16" s="90" t="str">
        <f>'C. FILIACION'!B15</f>
        <v>HELGUERO SANCHEZ JHOYSI CAMIL</v>
      </c>
      <c r="C16" s="31">
        <v>10</v>
      </c>
      <c r="D16" s="31">
        <v>22</v>
      </c>
      <c r="E16" s="31"/>
      <c r="F16" s="31"/>
      <c r="G16" s="31"/>
      <c r="H16" s="31"/>
      <c r="I16" s="31"/>
      <c r="J16" s="31"/>
      <c r="K16" s="31"/>
      <c r="L16" s="31"/>
      <c r="M16" s="31"/>
      <c r="N16" s="31"/>
      <c r="O16" s="92">
        <f t="shared" si="0"/>
        <v>22</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87</v>
      </c>
      <c r="AH16" s="195" t="str">
        <f t="shared" si="5"/>
        <v>APROBADO</v>
      </c>
      <c r="AI16" s="196"/>
      <c r="AJ16" s="196"/>
      <c r="AK16" s="196"/>
      <c r="AL16" s="196"/>
      <c r="AM16" s="197"/>
      <c r="AN16" s="95"/>
      <c r="AO16" s="95"/>
      <c r="AP16" s="95"/>
      <c r="AQ16" s="95"/>
      <c r="AR16" s="95"/>
    </row>
    <row r="17" spans="1:44" ht="12" customHeight="1" x14ac:dyDescent="0.45">
      <c r="A17" s="58">
        <v>9</v>
      </c>
      <c r="B17" s="90" t="str">
        <f>'C. FILIACION'!B16</f>
        <v>LEDEZMA ORELLANA RICARDO ERIK</v>
      </c>
      <c r="C17" s="31">
        <v>10</v>
      </c>
      <c r="D17" s="31">
        <v>25</v>
      </c>
      <c r="E17" s="31"/>
      <c r="F17" s="31"/>
      <c r="G17" s="31"/>
      <c r="H17" s="31"/>
      <c r="I17" s="31"/>
      <c r="J17" s="31"/>
      <c r="K17" s="31"/>
      <c r="L17" s="31"/>
      <c r="M17" s="31"/>
      <c r="N17" s="31"/>
      <c r="O17" s="92">
        <f t="shared" si="0"/>
        <v>25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90</v>
      </c>
      <c r="AH17" s="195" t="str">
        <f t="shared" si="5"/>
        <v>APROBADO</v>
      </c>
      <c r="AI17" s="196"/>
      <c r="AJ17" s="196"/>
      <c r="AK17" s="196"/>
      <c r="AL17" s="196"/>
      <c r="AM17" s="197"/>
      <c r="AN17" s="95"/>
      <c r="AO17" s="95"/>
      <c r="AP17" s="95"/>
      <c r="AQ17" s="95"/>
      <c r="AR17" s="95"/>
    </row>
    <row r="18" spans="1:44" ht="12" customHeight="1" x14ac:dyDescent="0.45">
      <c r="A18" s="58">
        <v>10</v>
      </c>
      <c r="B18" s="90" t="str">
        <f>'C. FILIACION'!B17</f>
        <v>MAMANI LOPEZ ELIZABETH MILDRED</v>
      </c>
      <c r="C18" s="31">
        <v>10</v>
      </c>
      <c r="D18" s="31"/>
      <c r="E18" s="31"/>
      <c r="F18" s="31"/>
      <c r="G18" s="31"/>
      <c r="H18" s="31"/>
      <c r="I18" s="31"/>
      <c r="J18" s="31"/>
      <c r="K18" s="31"/>
      <c r="L18" s="31"/>
      <c r="M18" s="31"/>
      <c r="N18" s="31"/>
      <c r="O18" s="92" t="str">
        <f t="shared" si="0"/>
        <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DA</v>
      </c>
      <c r="AG18" s="92">
        <f t="shared" si="4"/>
        <v>65</v>
      </c>
      <c r="AH18" s="195" t="str">
        <f t="shared" si="5"/>
        <v>APROBADO</v>
      </c>
      <c r="AI18" s="196"/>
      <c r="AJ18" s="196"/>
      <c r="AK18" s="196"/>
      <c r="AL18" s="196"/>
      <c r="AM18" s="197"/>
      <c r="AN18" s="95"/>
      <c r="AO18" s="95"/>
      <c r="AP18" s="95"/>
      <c r="AQ18" s="95"/>
      <c r="AR18" s="95"/>
    </row>
    <row r="19" spans="1:44" ht="12" customHeight="1" x14ac:dyDescent="0.45">
      <c r="A19" s="58">
        <v>11</v>
      </c>
      <c r="B19" s="90" t="str">
        <f>'C. FILIACION'!B18</f>
        <v>MEDINA CHOQUE JUAN JOSE</v>
      </c>
      <c r="C19" s="31">
        <v>10</v>
      </c>
      <c r="D19" s="31"/>
      <c r="E19" s="31"/>
      <c r="F19" s="31"/>
      <c r="G19" s="31"/>
      <c r="H19" s="31"/>
      <c r="I19" s="31"/>
      <c r="J19" s="31"/>
      <c r="K19" s="31"/>
      <c r="L19" s="31"/>
      <c r="M19" s="31"/>
      <c r="N19" s="31"/>
      <c r="O19" s="92" t="str">
        <f t="shared" si="0"/>
        <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DA</v>
      </c>
      <c r="AG19" s="92">
        <f t="shared" si="4"/>
        <v>65</v>
      </c>
      <c r="AH19" s="195" t="str">
        <f t="shared" si="5"/>
        <v>APROBADO</v>
      </c>
      <c r="AI19" s="196"/>
      <c r="AJ19" s="196"/>
      <c r="AK19" s="196"/>
      <c r="AL19" s="196"/>
      <c r="AM19" s="197"/>
      <c r="AN19" s="95"/>
      <c r="AO19" s="95"/>
      <c r="AP19" s="95"/>
      <c r="AQ19" s="95"/>
      <c r="AR19" s="95"/>
    </row>
    <row r="20" spans="1:44" ht="12" customHeight="1" x14ac:dyDescent="0.45">
      <c r="A20" s="58">
        <v>12</v>
      </c>
      <c r="B20" s="90" t="str">
        <f>'C. FILIACION'!B19</f>
        <v>NINA RUEDA SEBASTIAN CARLOS</v>
      </c>
      <c r="C20" s="31">
        <v>10</v>
      </c>
      <c r="D20" s="31">
        <v>26</v>
      </c>
      <c r="E20" s="31"/>
      <c r="F20" s="31"/>
      <c r="G20" s="31"/>
      <c r="H20" s="31"/>
      <c r="I20" s="31"/>
      <c r="J20" s="31"/>
      <c r="K20" s="31"/>
      <c r="L20" s="31"/>
      <c r="M20" s="31"/>
      <c r="N20" s="31"/>
      <c r="O20" s="92">
        <f t="shared" si="0"/>
        <v>26</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91</v>
      </c>
      <c r="AH20" s="195" t="str">
        <f t="shared" si="5"/>
        <v>APROBADO</v>
      </c>
      <c r="AI20" s="196"/>
      <c r="AJ20" s="196"/>
      <c r="AK20" s="196"/>
      <c r="AL20" s="196"/>
      <c r="AM20" s="197"/>
      <c r="AN20" s="95"/>
      <c r="AO20" s="95"/>
      <c r="AP20" s="95"/>
      <c r="AQ20" s="95"/>
      <c r="AR20" s="95"/>
    </row>
    <row r="21" spans="1:44" ht="12" customHeight="1" x14ac:dyDescent="0.45">
      <c r="A21" s="58">
        <v>13</v>
      </c>
      <c r="B21" s="90" t="str">
        <f>'C. FILIACION'!B20</f>
        <v>RODRIGUEZ RAMIREZ NATALY ARIANA</v>
      </c>
      <c r="C21" s="31">
        <v>10</v>
      </c>
      <c r="D21" s="31"/>
      <c r="E21" s="31"/>
      <c r="F21" s="31"/>
      <c r="G21" s="31"/>
      <c r="H21" s="31"/>
      <c r="I21" s="31"/>
      <c r="J21" s="31"/>
      <c r="K21" s="31"/>
      <c r="L21" s="31"/>
      <c r="M21" s="31"/>
      <c r="N21" s="31"/>
      <c r="O21" s="92" t="str">
        <f t="shared" si="0"/>
        <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DA</v>
      </c>
      <c r="AG21" s="92">
        <f t="shared" si="4"/>
        <v>65</v>
      </c>
      <c r="AH21" s="195" t="str">
        <f t="shared" si="5"/>
        <v>APROBADO</v>
      </c>
      <c r="AI21" s="196"/>
      <c r="AJ21" s="196"/>
      <c r="AK21" s="196"/>
      <c r="AL21" s="196"/>
      <c r="AM21" s="197"/>
      <c r="AN21" s="95"/>
      <c r="AO21" s="95"/>
      <c r="AP21" s="95"/>
      <c r="AQ21" s="95"/>
      <c r="AR21" s="95"/>
    </row>
    <row r="22" spans="1:44" ht="12" customHeight="1" x14ac:dyDescent="0.45">
      <c r="A22" s="58">
        <v>14</v>
      </c>
      <c r="B22" s="90" t="str">
        <f>'C. FILIACION'!B21</f>
        <v>SALAZAR CANAZA CRISTINA MAYRA</v>
      </c>
      <c r="C22" s="31">
        <v>10</v>
      </c>
      <c r="D22" s="31">
        <v>32</v>
      </c>
      <c r="E22" s="31"/>
      <c r="F22" s="31"/>
      <c r="G22" s="31"/>
      <c r="H22" s="31"/>
      <c r="I22" s="31"/>
      <c r="J22" s="31"/>
      <c r="K22" s="31"/>
      <c r="L22" s="31"/>
      <c r="M22" s="31"/>
      <c r="N22" s="31"/>
      <c r="O22" s="92">
        <f t="shared" si="0"/>
        <v>32</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97</v>
      </c>
      <c r="AH22" s="195" t="str">
        <f t="shared" si="5"/>
        <v>APROBADO</v>
      </c>
      <c r="AI22" s="196"/>
      <c r="AJ22" s="196"/>
      <c r="AK22" s="196"/>
      <c r="AL22" s="196"/>
      <c r="AM22" s="197"/>
      <c r="AN22" s="95"/>
      <c r="AO22" s="95"/>
      <c r="AP22" s="95"/>
      <c r="AQ22" s="95"/>
      <c r="AR22" s="95"/>
    </row>
    <row r="23" spans="1:44" ht="12" customHeight="1" x14ac:dyDescent="0.45">
      <c r="A23" s="58">
        <v>15</v>
      </c>
      <c r="B23" s="90" t="str">
        <f>'C. FILIACION'!B22</f>
        <v>SEVILLANO BALTAZAR AGNESE</v>
      </c>
      <c r="C23" s="31">
        <v>10</v>
      </c>
      <c r="D23" s="31">
        <v>25</v>
      </c>
      <c r="E23" s="31"/>
      <c r="F23" s="31"/>
      <c r="G23" s="31"/>
      <c r="H23" s="31"/>
      <c r="I23" s="31"/>
      <c r="J23" s="31"/>
      <c r="K23" s="31"/>
      <c r="L23" s="31"/>
      <c r="M23" s="31"/>
      <c r="N23" s="31"/>
      <c r="O23" s="92">
        <f t="shared" si="0"/>
        <v>25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90</v>
      </c>
      <c r="AH23" s="195" t="str">
        <f t="shared" si="5"/>
        <v>APROBADO</v>
      </c>
      <c r="AI23" s="196"/>
      <c r="AJ23" s="196"/>
      <c r="AK23" s="196"/>
      <c r="AL23" s="196"/>
      <c r="AM23" s="197"/>
      <c r="AN23" s="95"/>
      <c r="AO23" s="95"/>
      <c r="AP23" s="95"/>
      <c r="AQ23" s="95"/>
      <c r="AR23" s="95"/>
    </row>
    <row r="24" spans="1:44" ht="12" customHeight="1" x14ac:dyDescent="0.45">
      <c r="A24" s="58">
        <v>16</v>
      </c>
      <c r="B24" s="90" t="str">
        <f>'C. FILIACION'!B23</f>
        <v>TOCONAS HUAYGUA VICTORIA FERNANDA</v>
      </c>
      <c r="C24" s="31">
        <v>10</v>
      </c>
      <c r="D24" s="31">
        <v>15</v>
      </c>
      <c r="E24" s="31"/>
      <c r="F24" s="31"/>
      <c r="G24" s="31"/>
      <c r="H24" s="31"/>
      <c r="I24" s="31"/>
      <c r="J24" s="31"/>
      <c r="K24" s="31"/>
      <c r="L24" s="31"/>
      <c r="M24" s="31"/>
      <c r="N24" s="31"/>
      <c r="O24" s="92">
        <f t="shared" si="0"/>
        <v>15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DO</v>
      </c>
      <c r="AG24" s="92">
        <f t="shared" si="4"/>
        <v>80</v>
      </c>
      <c r="AH24" s="195" t="str">
        <f t="shared" si="5"/>
        <v>APROBADO</v>
      </c>
      <c r="AI24" s="196"/>
      <c r="AJ24" s="196"/>
      <c r="AK24" s="196"/>
      <c r="AL24" s="196"/>
      <c r="AM24" s="197"/>
      <c r="AN24" s="95"/>
      <c r="AO24" s="95"/>
      <c r="AP24" s="95"/>
      <c r="AQ24" s="95"/>
      <c r="AR24" s="95"/>
    </row>
    <row r="25" spans="1:44" ht="12" customHeight="1" x14ac:dyDescent="0.4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195" t="str">
        <f t="shared" si="5"/>
        <v>APROBADO</v>
      </c>
      <c r="AI25" s="196"/>
      <c r="AJ25" s="196"/>
      <c r="AK25" s="196"/>
      <c r="AL25" s="196"/>
      <c r="AM25" s="197"/>
      <c r="AN25" s="95"/>
      <c r="AO25" s="95"/>
      <c r="AP25" s="95"/>
      <c r="AQ25" s="95"/>
      <c r="AR25" s="95"/>
    </row>
    <row r="26" spans="1:44" ht="12" customHeight="1" x14ac:dyDescent="0.4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5" t="str">
        <f t="shared" si="5"/>
        <v>APROBADO</v>
      </c>
      <c r="AI26" s="196"/>
      <c r="AJ26" s="196"/>
      <c r="AK26" s="196"/>
      <c r="AL26" s="196"/>
      <c r="AM26" s="197"/>
      <c r="AN26" s="95"/>
      <c r="AO26" s="95"/>
      <c r="AP26" s="95"/>
      <c r="AQ26" s="95"/>
      <c r="AR26" s="95"/>
    </row>
    <row r="27" spans="1:44" ht="12" customHeight="1" x14ac:dyDescent="0.4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5" t="str">
        <f t="shared" si="5"/>
        <v>APROBADO</v>
      </c>
      <c r="AI27" s="196"/>
      <c r="AJ27" s="196"/>
      <c r="AK27" s="196"/>
      <c r="AL27" s="196"/>
      <c r="AM27" s="197"/>
      <c r="AN27" s="95"/>
      <c r="AO27" s="95"/>
      <c r="AP27" s="95"/>
      <c r="AQ27" s="95"/>
      <c r="AR27" s="95"/>
    </row>
    <row r="28" spans="1:44" ht="12" customHeight="1" x14ac:dyDescent="0.4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5" t="str">
        <f t="shared" si="5"/>
        <v>APROBADO</v>
      </c>
      <c r="AI28" s="196"/>
      <c r="AJ28" s="196"/>
      <c r="AK28" s="196"/>
      <c r="AL28" s="196"/>
      <c r="AM28" s="197"/>
      <c r="AN28" s="95"/>
      <c r="AO28" s="95"/>
      <c r="AP28" s="95"/>
      <c r="AQ28" s="95"/>
      <c r="AR28" s="95"/>
    </row>
    <row r="29" spans="1:44" ht="12" customHeight="1" x14ac:dyDescent="0.4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5" t="str">
        <f t="shared" si="5"/>
        <v>APROBADO</v>
      </c>
      <c r="AI29" s="196"/>
      <c r="AJ29" s="196"/>
      <c r="AK29" s="196"/>
      <c r="AL29" s="196"/>
      <c r="AM29" s="197"/>
      <c r="AN29" s="95"/>
      <c r="AO29" s="95"/>
      <c r="AP29" s="95"/>
      <c r="AQ29" s="95"/>
      <c r="AR29" s="95"/>
    </row>
    <row r="30" spans="1:44" ht="12" customHeight="1" x14ac:dyDescent="0.4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5" t="str">
        <f t="shared" si="5"/>
        <v>APROBADO</v>
      </c>
      <c r="AI30" s="196"/>
      <c r="AJ30" s="196"/>
      <c r="AK30" s="196"/>
      <c r="AL30" s="196"/>
      <c r="AM30" s="197"/>
      <c r="AN30" s="95"/>
      <c r="AO30" s="95"/>
      <c r="AP30" s="95"/>
      <c r="AQ30" s="95"/>
      <c r="AR30" s="95"/>
    </row>
    <row r="31" spans="1:44" ht="12" customHeight="1" x14ac:dyDescent="0.4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5" t="str">
        <f t="shared" si="5"/>
        <v>APROBADO</v>
      </c>
      <c r="AI31" s="196"/>
      <c r="AJ31" s="196"/>
      <c r="AK31" s="196"/>
      <c r="AL31" s="196"/>
      <c r="AM31" s="197"/>
      <c r="AN31" s="95"/>
      <c r="AO31" s="95"/>
      <c r="AP31" s="95"/>
      <c r="AQ31" s="95"/>
      <c r="AR31" s="95"/>
    </row>
    <row r="32" spans="1:44" ht="12" customHeight="1" x14ac:dyDescent="0.4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5" t="str">
        <f t="shared" si="5"/>
        <v>APROBADO</v>
      </c>
      <c r="AI32" s="196"/>
      <c r="AJ32" s="196"/>
      <c r="AK32" s="196"/>
      <c r="AL32" s="196"/>
      <c r="AM32" s="197"/>
      <c r="AN32" s="95"/>
      <c r="AO32" s="95"/>
      <c r="AP32" s="95"/>
      <c r="AQ32" s="95"/>
      <c r="AR32" s="95"/>
    </row>
    <row r="33" spans="1:44" ht="12" customHeight="1" x14ac:dyDescent="0.4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5" t="str">
        <f t="shared" si="5"/>
        <v>APROBADO</v>
      </c>
      <c r="AI33" s="196"/>
      <c r="AJ33" s="196"/>
      <c r="AK33" s="196"/>
      <c r="AL33" s="196"/>
      <c r="AM33" s="197"/>
      <c r="AN33" s="95"/>
      <c r="AO33" s="95"/>
      <c r="AP33" s="95"/>
      <c r="AQ33" s="95"/>
      <c r="AR33" s="95"/>
    </row>
    <row r="34" spans="1:44" ht="12" customHeight="1" x14ac:dyDescent="0.4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5" t="str">
        <f t="shared" si="5"/>
        <v>APROBADO</v>
      </c>
      <c r="AI34" s="196"/>
      <c r="AJ34" s="196"/>
      <c r="AK34" s="196"/>
      <c r="AL34" s="196"/>
      <c r="AM34" s="197"/>
      <c r="AN34" s="95"/>
      <c r="AO34" s="95"/>
      <c r="AP34" s="95"/>
      <c r="AQ34" s="95"/>
      <c r="AR34" s="95"/>
    </row>
    <row r="35" spans="1:44" ht="12" customHeight="1" x14ac:dyDescent="0.4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5" t="str">
        <f t="shared" si="5"/>
        <v>APROBADO</v>
      </c>
      <c r="AI35" s="196"/>
      <c r="AJ35" s="196"/>
      <c r="AK35" s="196"/>
      <c r="AL35" s="196"/>
      <c r="AM35" s="197"/>
      <c r="AN35" s="95"/>
      <c r="AO35" s="95"/>
      <c r="AP35" s="95"/>
      <c r="AQ35" s="95"/>
      <c r="AR35" s="95"/>
    </row>
    <row r="36" spans="1:44" ht="12" customHeight="1" x14ac:dyDescent="0.4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5" t="str">
        <f t="shared" si="5"/>
        <v>APROBADO</v>
      </c>
      <c r="AI36" s="196"/>
      <c r="AJ36" s="196"/>
      <c r="AK36" s="196"/>
      <c r="AL36" s="196"/>
      <c r="AM36" s="197"/>
      <c r="AN36" s="95"/>
      <c r="AO36" s="95"/>
      <c r="AP36" s="95"/>
      <c r="AQ36" s="95"/>
      <c r="AR36" s="95"/>
    </row>
    <row r="37" spans="1:44" ht="12" customHeight="1" x14ac:dyDescent="0.4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5" t="str">
        <f t="shared" si="5"/>
        <v>APROBADO</v>
      </c>
      <c r="AI37" s="196"/>
      <c r="AJ37" s="196"/>
      <c r="AK37" s="196"/>
      <c r="AL37" s="196"/>
      <c r="AM37" s="197"/>
      <c r="AN37" s="95"/>
      <c r="AO37" s="95"/>
      <c r="AP37" s="95"/>
      <c r="AQ37" s="95"/>
      <c r="AR37" s="95"/>
    </row>
    <row r="38" spans="1:44" ht="12" customHeight="1" x14ac:dyDescent="0.4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5" t="str">
        <f t="shared" si="5"/>
        <v>APROBADO</v>
      </c>
      <c r="AI38" s="196"/>
      <c r="AJ38" s="196"/>
      <c r="AK38" s="196"/>
      <c r="AL38" s="196"/>
      <c r="AM38" s="197"/>
      <c r="AN38" s="95"/>
      <c r="AO38" s="95"/>
      <c r="AP38" s="95"/>
      <c r="AQ38" s="95"/>
      <c r="AR38" s="95"/>
    </row>
    <row r="39" spans="1:44" ht="12" customHeight="1" x14ac:dyDescent="0.4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5" t="str">
        <f t="shared" si="5"/>
        <v>APROBADO</v>
      </c>
      <c r="AI39" s="196"/>
      <c r="AJ39" s="196"/>
      <c r="AK39" s="196"/>
      <c r="AL39" s="196"/>
      <c r="AM39" s="197"/>
      <c r="AN39" s="95"/>
      <c r="AO39" s="95"/>
      <c r="AP39" s="95"/>
      <c r="AQ39" s="95"/>
      <c r="AR39" s="95"/>
    </row>
    <row r="40" spans="1:44" ht="12" customHeight="1" x14ac:dyDescent="0.4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5" t="str">
        <f t="shared" si="5"/>
        <v>APROBADO</v>
      </c>
      <c r="AI40" s="196"/>
      <c r="AJ40" s="196"/>
      <c r="AK40" s="196"/>
      <c r="AL40" s="196"/>
      <c r="AM40" s="197"/>
      <c r="AN40" s="95"/>
      <c r="AO40" s="95"/>
      <c r="AP40" s="95"/>
      <c r="AQ40" s="95"/>
      <c r="AR40" s="95"/>
    </row>
    <row r="41" spans="1:44" ht="12" customHeight="1" x14ac:dyDescent="0.4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5" t="str">
        <f t="shared" si="5"/>
        <v>APROBADO</v>
      </c>
      <c r="AI41" s="196"/>
      <c r="AJ41" s="196"/>
      <c r="AK41" s="196"/>
      <c r="AL41" s="196"/>
      <c r="AM41" s="197"/>
      <c r="AN41" s="95"/>
      <c r="AO41" s="95"/>
      <c r="AP41" s="95"/>
      <c r="AQ41" s="95"/>
      <c r="AR41" s="95"/>
    </row>
    <row r="42" spans="1:44" ht="12" customHeight="1" x14ac:dyDescent="0.4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5" t="str">
        <f t="shared" si="5"/>
        <v>APROBADO</v>
      </c>
      <c r="AI42" s="196"/>
      <c r="AJ42" s="196"/>
      <c r="AK42" s="196"/>
      <c r="AL42" s="196"/>
      <c r="AM42" s="197"/>
      <c r="AN42" s="95"/>
      <c r="AO42" s="95"/>
      <c r="AP42" s="95"/>
      <c r="AQ42" s="95"/>
      <c r="AR42" s="95"/>
    </row>
    <row r="43" spans="1:44" ht="12" customHeight="1" x14ac:dyDescent="0.4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5" t="str">
        <f t="shared" si="5"/>
        <v>APROBADO</v>
      </c>
      <c r="AI43" s="196"/>
      <c r="AJ43" s="196"/>
      <c r="AK43" s="196"/>
      <c r="AL43" s="196"/>
      <c r="AM43" s="197"/>
      <c r="AN43" s="95"/>
      <c r="AO43" s="95"/>
      <c r="AP43" s="95"/>
      <c r="AQ43" s="95"/>
      <c r="AR43" s="95"/>
    </row>
    <row r="44" spans="1:44" ht="12" customHeight="1" x14ac:dyDescent="0.4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5" t="str">
        <f t="shared" si="5"/>
        <v>APROBADO</v>
      </c>
      <c r="AI44" s="196"/>
      <c r="AJ44" s="196"/>
      <c r="AK44" s="196"/>
      <c r="AL44" s="196"/>
      <c r="AM44" s="197"/>
      <c r="AN44" s="95"/>
      <c r="AO44" s="95"/>
      <c r="AP44" s="95"/>
      <c r="AQ44" s="95"/>
      <c r="AR44" s="95"/>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5000000000000004">
      <c r="A2" s="71"/>
      <c r="B2" s="200" t="s">
        <v>100</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3"/>
      <c r="AT2" s="73"/>
      <c r="AU2" s="73"/>
      <c r="AV2" s="73"/>
    </row>
    <row r="3" spans="1:48" ht="12.75" customHeight="1" x14ac:dyDescent="0.550000000000000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198" t="s">
        <v>49</v>
      </c>
      <c r="AD3" s="196"/>
      <c r="AE3" s="196"/>
      <c r="AF3" s="196"/>
      <c r="AG3" s="196"/>
      <c r="AH3" s="197"/>
      <c r="AI3" s="192">
        <f>CARÁTULA!$H$24</f>
        <v>44440</v>
      </c>
      <c r="AJ3" s="174"/>
      <c r="AK3" s="174"/>
      <c r="AL3" s="174"/>
      <c r="AM3" s="174"/>
      <c r="AN3" s="201" t="s">
        <v>50</v>
      </c>
      <c r="AO3" s="165"/>
      <c r="AP3" s="165"/>
      <c r="AQ3" s="165"/>
      <c r="AR3" s="166"/>
      <c r="AS3" s="72"/>
      <c r="AT3" s="72"/>
      <c r="AU3" s="72"/>
      <c r="AV3" s="72"/>
    </row>
    <row r="4" spans="1:48" ht="12.75" customHeight="1" x14ac:dyDescent="0.550000000000000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198" t="s">
        <v>52</v>
      </c>
      <c r="AD4" s="196"/>
      <c r="AE4" s="196"/>
      <c r="AF4" s="196"/>
      <c r="AG4" s="196"/>
      <c r="AH4" s="197"/>
      <c r="AI4" s="192">
        <f>CARÁTULA!$J$24</f>
        <v>44531</v>
      </c>
      <c r="AJ4" s="174"/>
      <c r="AK4" s="174"/>
      <c r="AL4" s="174"/>
      <c r="AM4" s="174"/>
      <c r="AN4" s="194">
        <f ca="1">AI4-AI5</f>
        <v>118</v>
      </c>
      <c r="AO4" s="184"/>
      <c r="AP4" s="184"/>
      <c r="AQ4" s="184"/>
      <c r="AR4" s="185"/>
    </row>
    <row r="5" spans="1:48" ht="12.75" customHeight="1" x14ac:dyDescent="0.55000000000000004">
      <c r="A5" s="71"/>
      <c r="B5" s="74" t="s">
        <v>22</v>
      </c>
      <c r="C5" s="75" t="str">
        <f>CARÁTULA!$C$23</f>
        <v>2do de Secundaria</v>
      </c>
      <c r="D5" s="76"/>
      <c r="E5" s="76"/>
      <c r="F5" s="76"/>
      <c r="G5" s="74"/>
      <c r="H5" s="74"/>
      <c r="I5" s="74"/>
      <c r="J5" s="74"/>
      <c r="K5" s="74"/>
      <c r="L5" s="74"/>
      <c r="M5" s="74"/>
      <c r="N5" s="74"/>
      <c r="O5" s="77" t="s">
        <v>23</v>
      </c>
      <c r="P5" s="79"/>
      <c r="Q5" s="79"/>
      <c r="R5" s="79"/>
      <c r="S5" s="206">
        <f ca="1">TODAY()</f>
        <v>44413</v>
      </c>
      <c r="T5" s="165"/>
      <c r="U5" s="165"/>
      <c r="V5" s="165"/>
      <c r="W5" s="165"/>
      <c r="X5" s="165"/>
      <c r="Y5" s="165"/>
      <c r="Z5" s="165"/>
      <c r="AA5" s="166"/>
      <c r="AB5" s="76"/>
      <c r="AC5" s="199" t="s">
        <v>53</v>
      </c>
      <c r="AD5" s="196"/>
      <c r="AE5" s="196"/>
      <c r="AF5" s="196"/>
      <c r="AG5" s="196"/>
      <c r="AH5" s="197"/>
      <c r="AI5" s="202">
        <f ca="1">TODAY()</f>
        <v>44413</v>
      </c>
      <c r="AJ5" s="174"/>
      <c r="AK5" s="174"/>
      <c r="AL5" s="174"/>
      <c r="AM5" s="174"/>
      <c r="AN5" s="186"/>
      <c r="AO5" s="187"/>
      <c r="AP5" s="187"/>
      <c r="AQ5" s="187"/>
      <c r="AR5" s="188"/>
    </row>
    <row r="6" spans="1:48" ht="12.75" customHeight="1" x14ac:dyDescent="0.55000000000000004">
      <c r="A6" s="71"/>
      <c r="B6" s="74"/>
      <c r="C6" s="180" t="s">
        <v>79</v>
      </c>
      <c r="D6" s="181"/>
      <c r="E6" s="181"/>
      <c r="F6" s="181"/>
      <c r="G6" s="181"/>
      <c r="H6" s="181"/>
      <c r="I6" s="181"/>
      <c r="J6" s="181"/>
      <c r="K6" s="181"/>
      <c r="L6" s="181"/>
      <c r="M6" s="181"/>
      <c r="N6" s="181"/>
      <c r="O6" s="181"/>
      <c r="P6" s="181"/>
      <c r="Q6" s="181"/>
      <c r="R6" s="181"/>
      <c r="S6" s="181"/>
      <c r="T6" s="181"/>
      <c r="U6" s="181"/>
      <c r="V6" s="181"/>
      <c r="W6" s="181"/>
      <c r="X6" s="181"/>
      <c r="Y6" s="181"/>
      <c r="Z6" s="181"/>
      <c r="AA6" s="182"/>
      <c r="AB6" s="207" t="s">
        <v>80</v>
      </c>
      <c r="AC6" s="196"/>
      <c r="AD6" s="196"/>
      <c r="AE6" s="197"/>
      <c r="AF6" s="80"/>
      <c r="AG6" s="81"/>
      <c r="AH6" s="81"/>
      <c r="AI6" s="82"/>
      <c r="AJ6" s="83"/>
      <c r="AK6" s="83"/>
      <c r="AL6" s="83"/>
      <c r="AM6" s="83"/>
      <c r="AN6" s="84"/>
      <c r="AO6" s="84"/>
      <c r="AP6" s="84"/>
      <c r="AQ6" s="84"/>
      <c r="AR6" s="84"/>
    </row>
    <row r="7" spans="1:48" ht="12" customHeight="1" x14ac:dyDescent="0.55000000000000004">
      <c r="A7" s="71"/>
      <c r="B7" s="85"/>
      <c r="C7" s="208" t="s">
        <v>81</v>
      </c>
      <c r="D7" s="209" t="s">
        <v>82</v>
      </c>
      <c r="E7" s="196"/>
      <c r="F7" s="196"/>
      <c r="G7" s="196"/>
      <c r="H7" s="196"/>
      <c r="I7" s="196"/>
      <c r="J7" s="196"/>
      <c r="K7" s="196"/>
      <c r="L7" s="196"/>
      <c r="M7" s="196"/>
      <c r="N7" s="196"/>
      <c r="O7" s="205" t="s">
        <v>83</v>
      </c>
      <c r="P7" s="209" t="s">
        <v>84</v>
      </c>
      <c r="Q7" s="196"/>
      <c r="R7" s="196"/>
      <c r="S7" s="196"/>
      <c r="T7" s="196"/>
      <c r="U7" s="196"/>
      <c r="V7" s="196"/>
      <c r="W7" s="196"/>
      <c r="X7" s="196"/>
      <c r="Y7" s="196"/>
      <c r="Z7" s="196"/>
      <c r="AA7" s="203" t="s">
        <v>85</v>
      </c>
      <c r="AB7" s="205" t="s">
        <v>83</v>
      </c>
      <c r="AC7" s="203" t="s">
        <v>86</v>
      </c>
      <c r="AD7" s="203" t="s">
        <v>87</v>
      </c>
      <c r="AE7" s="205" t="s">
        <v>83</v>
      </c>
      <c r="AF7" s="210" t="s">
        <v>88</v>
      </c>
      <c r="AG7" s="211" t="s">
        <v>89</v>
      </c>
      <c r="AH7" s="212" t="s">
        <v>90</v>
      </c>
      <c r="AI7" s="181"/>
      <c r="AJ7" s="181"/>
      <c r="AK7" s="181"/>
      <c r="AL7" s="181"/>
      <c r="AM7" s="182"/>
      <c r="AN7" s="86"/>
      <c r="AO7" s="76"/>
      <c r="AP7" s="76"/>
      <c r="AQ7" s="76"/>
      <c r="AR7" s="71"/>
    </row>
    <row r="8" spans="1:48" ht="67.5" customHeight="1" x14ac:dyDescent="0.45">
      <c r="A8" s="48" t="s">
        <v>54</v>
      </c>
      <c r="B8" s="49" t="s">
        <v>55</v>
      </c>
      <c r="C8" s="204"/>
      <c r="D8" s="53"/>
      <c r="E8" s="53"/>
      <c r="F8" s="53"/>
      <c r="G8" s="53"/>
      <c r="H8" s="53"/>
      <c r="I8" s="53"/>
      <c r="J8" s="53"/>
      <c r="K8" s="53"/>
      <c r="L8" s="53"/>
      <c r="M8" s="53"/>
      <c r="N8" s="54"/>
      <c r="O8" s="204"/>
      <c r="P8" s="96"/>
      <c r="Q8" s="53"/>
      <c r="R8" s="53"/>
      <c r="S8" s="53"/>
      <c r="T8" s="53"/>
      <c r="U8" s="53"/>
      <c r="V8" s="53"/>
      <c r="W8" s="53"/>
      <c r="X8" s="53"/>
      <c r="Y8" s="53"/>
      <c r="Z8" s="53"/>
      <c r="AA8" s="204"/>
      <c r="AB8" s="204"/>
      <c r="AC8" s="204"/>
      <c r="AD8" s="204"/>
      <c r="AE8" s="204"/>
      <c r="AF8" s="204"/>
      <c r="AG8" s="204"/>
      <c r="AH8" s="213"/>
      <c r="AI8" s="214"/>
      <c r="AJ8" s="214"/>
      <c r="AK8" s="214"/>
      <c r="AL8" s="214"/>
      <c r="AM8" s="215"/>
      <c r="AN8" s="88"/>
      <c r="AO8" s="88"/>
      <c r="AP8" s="88"/>
      <c r="AQ8" s="88"/>
      <c r="AR8" s="89"/>
    </row>
    <row r="9" spans="1:48" ht="12" customHeight="1" x14ac:dyDescent="0.45">
      <c r="A9" s="58">
        <v>1</v>
      </c>
      <c r="B9" s="90" t="str">
        <f>'C. FILIACION'!B8</f>
        <v>ALARCON CHURA PRISCILA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195" t="str">
        <f t="shared" ref="AH9:AH44" si="5">IF(AG9="","",(IF(AND(AG9&gt;=1,AG9&lt;=50.499),"REPROBADO",IF(AND(AG9&gt;=50.5,AG9&lt;=100),"APROBADO"))))</f>
        <v>APROBADO</v>
      </c>
      <c r="AI9" s="196"/>
      <c r="AJ9" s="196"/>
      <c r="AK9" s="196"/>
      <c r="AL9" s="196"/>
      <c r="AM9" s="197"/>
      <c r="AN9" s="94" t="s">
        <v>95</v>
      </c>
      <c r="AO9" s="216">
        <f>COUNTIF(AF9:AF44,"ED")</f>
        <v>0</v>
      </c>
      <c r="AP9" s="197"/>
      <c r="AQ9" s="95"/>
      <c r="AR9" s="95"/>
    </row>
    <row r="10" spans="1:48" ht="12" customHeight="1" x14ac:dyDescent="0.45">
      <c r="A10" s="58">
        <v>2</v>
      </c>
      <c r="B10" s="90" t="str">
        <f>'C. FILIACION'!B9</f>
        <v>ARCE CHOQUE LUCERO CORAL</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195" t="str">
        <f t="shared" si="5"/>
        <v>APROBADO</v>
      </c>
      <c r="AI10" s="196"/>
      <c r="AJ10" s="196"/>
      <c r="AK10" s="196"/>
      <c r="AL10" s="196"/>
      <c r="AM10" s="197"/>
      <c r="AN10" s="48" t="s">
        <v>96</v>
      </c>
      <c r="AO10" s="216">
        <f>COUNTIF(AF9:AF44,"DA")</f>
        <v>0</v>
      </c>
      <c r="AP10" s="197"/>
      <c r="AQ10" s="95"/>
      <c r="AR10" s="95"/>
    </row>
    <row r="11" spans="1:48" ht="12" customHeight="1" x14ac:dyDescent="0.45">
      <c r="A11" s="58">
        <v>3</v>
      </c>
      <c r="B11" s="90" t="str">
        <f>'C. FILIACION'!B10</f>
        <v>AREQUIPA CALCINA FABIAN JHON</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195" t="str">
        <f t="shared" si="5"/>
        <v>APROBADO</v>
      </c>
      <c r="AI11" s="196"/>
      <c r="AJ11" s="196"/>
      <c r="AK11" s="196"/>
      <c r="AL11" s="196"/>
      <c r="AM11" s="197"/>
      <c r="AN11" s="48" t="s">
        <v>97</v>
      </c>
      <c r="AO11" s="216">
        <f>COUNTIF(AF9:AF44,"DO")</f>
        <v>0</v>
      </c>
      <c r="AP11" s="197"/>
      <c r="AQ11" s="95"/>
      <c r="AR11" s="95"/>
    </row>
    <row r="12" spans="1:48" ht="12" customHeight="1" x14ac:dyDescent="0.45">
      <c r="A12" s="58">
        <v>4</v>
      </c>
      <c r="B12" s="90" t="str">
        <f>'C. FILIACION'!B11</f>
        <v>CLAURE PARAVICINI RASHEL ROSALY</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195" t="str">
        <f t="shared" si="5"/>
        <v>APROBADO</v>
      </c>
      <c r="AI12" s="196"/>
      <c r="AJ12" s="196"/>
      <c r="AK12" s="196"/>
      <c r="AL12" s="196"/>
      <c r="AM12" s="197"/>
      <c r="AN12" s="48" t="s">
        <v>98</v>
      </c>
      <c r="AO12" s="216">
        <f>COUNTIF(AF9:AF44,"DP")</f>
        <v>36</v>
      </c>
      <c r="AP12" s="197"/>
      <c r="AQ12" s="95"/>
      <c r="AR12" s="95"/>
    </row>
    <row r="13" spans="1:48" ht="12" customHeight="1" x14ac:dyDescent="0.45">
      <c r="A13" s="58">
        <v>5</v>
      </c>
      <c r="B13" s="90" t="str">
        <f>'C. FILIACION'!B12</f>
        <v>CONDORI FLORES ALEJANDRO BRYAN</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195" t="str">
        <f t="shared" si="5"/>
        <v>APROBADO</v>
      </c>
      <c r="AI13" s="196"/>
      <c r="AJ13" s="196"/>
      <c r="AK13" s="196"/>
      <c r="AL13" s="196"/>
      <c r="AM13" s="197"/>
      <c r="AN13" s="95"/>
      <c r="AO13" s="95"/>
      <c r="AP13" s="95"/>
      <c r="AQ13" s="95"/>
      <c r="AR13" s="95"/>
    </row>
    <row r="14" spans="1:48" ht="12" customHeight="1" x14ac:dyDescent="0.45">
      <c r="A14" s="58">
        <v>6</v>
      </c>
      <c r="B14" s="90" t="str">
        <f>'C. FILIACION'!B13</f>
        <v>DE LA CRUZ SANDOVAL JHON MARCO</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195" t="str">
        <f t="shared" si="5"/>
        <v>APROBADO</v>
      </c>
      <c r="AI14" s="196"/>
      <c r="AJ14" s="196"/>
      <c r="AK14" s="196"/>
      <c r="AL14" s="196"/>
      <c r="AM14" s="197"/>
      <c r="AN14" s="95"/>
      <c r="AO14" s="95"/>
      <c r="AP14" s="95"/>
      <c r="AQ14" s="95"/>
      <c r="AR14" s="95"/>
    </row>
    <row r="15" spans="1:48" ht="12" customHeight="1" x14ac:dyDescent="0.45">
      <c r="A15" s="58">
        <v>7</v>
      </c>
      <c r="B15" s="90" t="str">
        <f>'C. FILIACION'!B14</f>
        <v>GARCÍA IGNACIO MISHEL MAYA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195" t="str">
        <f t="shared" si="5"/>
        <v>APROBADO</v>
      </c>
      <c r="AI15" s="196"/>
      <c r="AJ15" s="196"/>
      <c r="AK15" s="196"/>
      <c r="AL15" s="196"/>
      <c r="AM15" s="197"/>
      <c r="AN15" s="95"/>
      <c r="AO15" s="95"/>
      <c r="AP15" s="95"/>
      <c r="AQ15" s="95"/>
      <c r="AR15" s="95"/>
    </row>
    <row r="16" spans="1:48" ht="12" customHeight="1" x14ac:dyDescent="0.45">
      <c r="A16" s="58">
        <v>8</v>
      </c>
      <c r="B16" s="90" t="str">
        <f>'C. FILIACION'!B15</f>
        <v>HELGUERO SANCHEZ JHOYSI CAMIL</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195" t="str">
        <f t="shared" si="5"/>
        <v>APROBADO</v>
      </c>
      <c r="AI16" s="196"/>
      <c r="AJ16" s="196"/>
      <c r="AK16" s="196"/>
      <c r="AL16" s="196"/>
      <c r="AM16" s="197"/>
      <c r="AN16" s="95"/>
      <c r="AO16" s="95"/>
      <c r="AP16" s="95"/>
      <c r="AQ16" s="95"/>
      <c r="AR16" s="95"/>
    </row>
    <row r="17" spans="1:44" ht="12" customHeight="1" x14ac:dyDescent="0.45">
      <c r="A17" s="58">
        <v>9</v>
      </c>
      <c r="B17" s="90" t="str">
        <f>'C. FILIACION'!B16</f>
        <v>LEDEZMA ORELLANA RICARDO ERIK</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195" t="str">
        <f t="shared" si="5"/>
        <v>APROBADO</v>
      </c>
      <c r="AI17" s="196"/>
      <c r="AJ17" s="196"/>
      <c r="AK17" s="196"/>
      <c r="AL17" s="196"/>
      <c r="AM17" s="197"/>
      <c r="AN17" s="95"/>
      <c r="AO17" s="95"/>
      <c r="AP17" s="95"/>
      <c r="AQ17" s="95"/>
      <c r="AR17" s="95"/>
    </row>
    <row r="18" spans="1:44" ht="12" customHeight="1" x14ac:dyDescent="0.45">
      <c r="A18" s="58">
        <v>10</v>
      </c>
      <c r="B18" s="90" t="str">
        <f>'C. FILIACION'!B17</f>
        <v>MAMANI LOPEZ ELIZABETH MILDRED</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195" t="str">
        <f t="shared" si="5"/>
        <v>APROBADO</v>
      </c>
      <c r="AI18" s="196"/>
      <c r="AJ18" s="196"/>
      <c r="AK18" s="196"/>
      <c r="AL18" s="196"/>
      <c r="AM18" s="197"/>
      <c r="AN18" s="95"/>
      <c r="AO18" s="95"/>
      <c r="AP18" s="95"/>
      <c r="AQ18" s="95"/>
      <c r="AR18" s="95"/>
    </row>
    <row r="19" spans="1:44" ht="12" customHeight="1" x14ac:dyDescent="0.45">
      <c r="A19" s="58">
        <v>11</v>
      </c>
      <c r="B19" s="90" t="str">
        <f>'C. FILIACION'!B18</f>
        <v>MEDINA CHOQUE JUAN JOSE</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195" t="str">
        <f t="shared" si="5"/>
        <v>APROBADO</v>
      </c>
      <c r="AI19" s="196"/>
      <c r="AJ19" s="196"/>
      <c r="AK19" s="196"/>
      <c r="AL19" s="196"/>
      <c r="AM19" s="197"/>
      <c r="AN19" s="95"/>
      <c r="AO19" s="95"/>
      <c r="AP19" s="95"/>
      <c r="AQ19" s="95"/>
      <c r="AR19" s="95"/>
    </row>
    <row r="20" spans="1:44" ht="12" customHeight="1" x14ac:dyDescent="0.45">
      <c r="A20" s="58">
        <v>12</v>
      </c>
      <c r="B20" s="90" t="str">
        <f>'C. FILIACION'!B19</f>
        <v>NINA RUEDA SEBASTIAN CARLOS</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195" t="str">
        <f t="shared" si="5"/>
        <v>APROBADO</v>
      </c>
      <c r="AI20" s="196"/>
      <c r="AJ20" s="196"/>
      <c r="AK20" s="196"/>
      <c r="AL20" s="196"/>
      <c r="AM20" s="197"/>
      <c r="AN20" s="95"/>
      <c r="AO20" s="95"/>
      <c r="AP20" s="95"/>
      <c r="AQ20" s="95"/>
      <c r="AR20" s="95"/>
    </row>
    <row r="21" spans="1:44" ht="12" customHeight="1" x14ac:dyDescent="0.45">
      <c r="A21" s="58">
        <v>13</v>
      </c>
      <c r="B21" s="90" t="str">
        <f>'C. FILIACION'!B20</f>
        <v>RODRIGUEZ RAMIREZ NATALY ARIANA</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195" t="str">
        <f t="shared" si="5"/>
        <v>APROBADO</v>
      </c>
      <c r="AI21" s="196"/>
      <c r="AJ21" s="196"/>
      <c r="AK21" s="196"/>
      <c r="AL21" s="196"/>
      <c r="AM21" s="197"/>
      <c r="AN21" s="95"/>
      <c r="AO21" s="95"/>
      <c r="AP21" s="95"/>
      <c r="AQ21" s="95"/>
      <c r="AR21" s="95"/>
    </row>
    <row r="22" spans="1:44" ht="12" customHeight="1" x14ac:dyDescent="0.45">
      <c r="A22" s="58">
        <v>14</v>
      </c>
      <c r="B22" s="90" t="str">
        <f>'C. FILIACION'!B21</f>
        <v>SALAZAR CANAZA CRISTINA MAYRA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195" t="str">
        <f t="shared" si="5"/>
        <v>APROBADO</v>
      </c>
      <c r="AI22" s="196"/>
      <c r="AJ22" s="196"/>
      <c r="AK22" s="196"/>
      <c r="AL22" s="196"/>
      <c r="AM22" s="197"/>
      <c r="AN22" s="95"/>
      <c r="AO22" s="95"/>
      <c r="AP22" s="95"/>
      <c r="AQ22" s="95"/>
      <c r="AR22" s="95"/>
    </row>
    <row r="23" spans="1:44" ht="12" customHeight="1" x14ac:dyDescent="0.45">
      <c r="A23" s="58">
        <v>15</v>
      </c>
      <c r="B23" s="90" t="str">
        <f>'C. FILIACION'!B22</f>
        <v>SEVILLANO BALTAZAR AGNESE</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195" t="str">
        <f t="shared" si="5"/>
        <v>APROBADO</v>
      </c>
      <c r="AI23" s="196"/>
      <c r="AJ23" s="196"/>
      <c r="AK23" s="196"/>
      <c r="AL23" s="196"/>
      <c r="AM23" s="197"/>
      <c r="AN23" s="95"/>
      <c r="AO23" s="95"/>
      <c r="AP23" s="95"/>
      <c r="AQ23" s="95"/>
      <c r="AR23" s="95"/>
    </row>
    <row r="24" spans="1:44" ht="12" customHeight="1" x14ac:dyDescent="0.45">
      <c r="A24" s="58">
        <v>16</v>
      </c>
      <c r="B24" s="90" t="str">
        <f>'C. FILIACION'!B23</f>
        <v>TOCONAS HUAYGUA VICTORIA FERNANDA</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195" t="str">
        <f t="shared" si="5"/>
        <v>APROBADO</v>
      </c>
      <c r="AI24" s="196"/>
      <c r="AJ24" s="196"/>
      <c r="AK24" s="196"/>
      <c r="AL24" s="196"/>
      <c r="AM24" s="197"/>
      <c r="AN24" s="95"/>
      <c r="AO24" s="95"/>
      <c r="AP24" s="95"/>
      <c r="AQ24" s="95"/>
      <c r="AR24" s="95"/>
    </row>
    <row r="25" spans="1:44" ht="12" customHeight="1" x14ac:dyDescent="0.4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195" t="str">
        <f t="shared" si="5"/>
        <v>APROBADO</v>
      </c>
      <c r="AI25" s="196"/>
      <c r="AJ25" s="196"/>
      <c r="AK25" s="196"/>
      <c r="AL25" s="196"/>
      <c r="AM25" s="197"/>
      <c r="AN25" s="95"/>
      <c r="AO25" s="95"/>
      <c r="AP25" s="95"/>
      <c r="AQ25" s="95"/>
      <c r="AR25" s="95"/>
    </row>
    <row r="26" spans="1:44" ht="12" customHeight="1" x14ac:dyDescent="0.4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5" t="str">
        <f t="shared" si="5"/>
        <v>APROBADO</v>
      </c>
      <c r="AI26" s="196"/>
      <c r="AJ26" s="196"/>
      <c r="AK26" s="196"/>
      <c r="AL26" s="196"/>
      <c r="AM26" s="197"/>
      <c r="AN26" s="95"/>
      <c r="AO26" s="95"/>
      <c r="AP26" s="95"/>
      <c r="AQ26" s="95"/>
      <c r="AR26" s="95"/>
    </row>
    <row r="27" spans="1:44" ht="12" customHeight="1" x14ac:dyDescent="0.4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5" t="str">
        <f t="shared" si="5"/>
        <v>APROBADO</v>
      </c>
      <c r="AI27" s="196"/>
      <c r="AJ27" s="196"/>
      <c r="AK27" s="196"/>
      <c r="AL27" s="196"/>
      <c r="AM27" s="197"/>
      <c r="AN27" s="95"/>
      <c r="AO27" s="95"/>
      <c r="AP27" s="95"/>
      <c r="AQ27" s="95"/>
      <c r="AR27" s="95"/>
    </row>
    <row r="28" spans="1:44" ht="12" customHeight="1" x14ac:dyDescent="0.4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5" t="str">
        <f t="shared" si="5"/>
        <v>APROBADO</v>
      </c>
      <c r="AI28" s="196"/>
      <c r="AJ28" s="196"/>
      <c r="AK28" s="196"/>
      <c r="AL28" s="196"/>
      <c r="AM28" s="197"/>
      <c r="AN28" s="95"/>
      <c r="AO28" s="95"/>
      <c r="AP28" s="95"/>
      <c r="AQ28" s="95"/>
      <c r="AR28" s="95"/>
    </row>
    <row r="29" spans="1:44" ht="12" customHeight="1" x14ac:dyDescent="0.4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5" t="str">
        <f t="shared" si="5"/>
        <v>APROBADO</v>
      </c>
      <c r="AI29" s="196"/>
      <c r="AJ29" s="196"/>
      <c r="AK29" s="196"/>
      <c r="AL29" s="196"/>
      <c r="AM29" s="197"/>
      <c r="AN29" s="95"/>
      <c r="AO29" s="95"/>
      <c r="AP29" s="95"/>
      <c r="AQ29" s="95"/>
      <c r="AR29" s="95"/>
    </row>
    <row r="30" spans="1:44" ht="12" customHeight="1" x14ac:dyDescent="0.4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5" t="str">
        <f t="shared" si="5"/>
        <v>APROBADO</v>
      </c>
      <c r="AI30" s="196"/>
      <c r="AJ30" s="196"/>
      <c r="AK30" s="196"/>
      <c r="AL30" s="196"/>
      <c r="AM30" s="197"/>
      <c r="AN30" s="95"/>
      <c r="AO30" s="95"/>
      <c r="AP30" s="95"/>
      <c r="AQ30" s="95"/>
      <c r="AR30" s="95"/>
    </row>
    <row r="31" spans="1:44" ht="12" customHeight="1" x14ac:dyDescent="0.4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5" t="str">
        <f t="shared" si="5"/>
        <v>APROBADO</v>
      </c>
      <c r="AI31" s="196"/>
      <c r="AJ31" s="196"/>
      <c r="AK31" s="196"/>
      <c r="AL31" s="196"/>
      <c r="AM31" s="197"/>
      <c r="AN31" s="95"/>
      <c r="AO31" s="95"/>
      <c r="AP31" s="95"/>
      <c r="AQ31" s="95"/>
      <c r="AR31" s="95"/>
    </row>
    <row r="32" spans="1:44" ht="12" customHeight="1" x14ac:dyDescent="0.4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5" t="str">
        <f t="shared" si="5"/>
        <v>APROBADO</v>
      </c>
      <c r="AI32" s="196"/>
      <c r="AJ32" s="196"/>
      <c r="AK32" s="196"/>
      <c r="AL32" s="196"/>
      <c r="AM32" s="197"/>
      <c r="AN32" s="95"/>
      <c r="AO32" s="95"/>
      <c r="AP32" s="95"/>
      <c r="AQ32" s="95"/>
      <c r="AR32" s="95"/>
    </row>
    <row r="33" spans="1:44" ht="12" customHeight="1" x14ac:dyDescent="0.4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5" t="str">
        <f t="shared" si="5"/>
        <v>APROBADO</v>
      </c>
      <c r="AI33" s="196"/>
      <c r="AJ33" s="196"/>
      <c r="AK33" s="196"/>
      <c r="AL33" s="196"/>
      <c r="AM33" s="197"/>
      <c r="AN33" s="95"/>
      <c r="AO33" s="95"/>
      <c r="AP33" s="95"/>
      <c r="AQ33" s="95"/>
      <c r="AR33" s="95"/>
    </row>
    <row r="34" spans="1:44" ht="12" customHeight="1" x14ac:dyDescent="0.4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5" t="str">
        <f t="shared" si="5"/>
        <v>APROBADO</v>
      </c>
      <c r="AI34" s="196"/>
      <c r="AJ34" s="196"/>
      <c r="AK34" s="196"/>
      <c r="AL34" s="196"/>
      <c r="AM34" s="197"/>
      <c r="AN34" s="95"/>
      <c r="AO34" s="95"/>
      <c r="AP34" s="95"/>
      <c r="AQ34" s="95"/>
      <c r="AR34" s="95"/>
    </row>
    <row r="35" spans="1:44" ht="12" customHeight="1" x14ac:dyDescent="0.4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5" t="str">
        <f t="shared" si="5"/>
        <v>APROBADO</v>
      </c>
      <c r="AI35" s="196"/>
      <c r="AJ35" s="196"/>
      <c r="AK35" s="196"/>
      <c r="AL35" s="196"/>
      <c r="AM35" s="197"/>
      <c r="AN35" s="95"/>
      <c r="AO35" s="95"/>
      <c r="AP35" s="95"/>
      <c r="AQ35" s="95"/>
      <c r="AR35" s="95"/>
    </row>
    <row r="36" spans="1:44" ht="12" customHeight="1" x14ac:dyDescent="0.4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5" t="str">
        <f t="shared" si="5"/>
        <v>APROBADO</v>
      </c>
      <c r="AI36" s="196"/>
      <c r="AJ36" s="196"/>
      <c r="AK36" s="196"/>
      <c r="AL36" s="196"/>
      <c r="AM36" s="197"/>
      <c r="AN36" s="95"/>
      <c r="AO36" s="95"/>
      <c r="AP36" s="95"/>
      <c r="AQ36" s="95"/>
      <c r="AR36" s="95"/>
    </row>
    <row r="37" spans="1:44" ht="12" customHeight="1" x14ac:dyDescent="0.4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5" t="str">
        <f t="shared" si="5"/>
        <v>APROBADO</v>
      </c>
      <c r="AI37" s="196"/>
      <c r="AJ37" s="196"/>
      <c r="AK37" s="196"/>
      <c r="AL37" s="196"/>
      <c r="AM37" s="197"/>
      <c r="AN37" s="95"/>
      <c r="AO37" s="95"/>
      <c r="AP37" s="95"/>
      <c r="AQ37" s="95"/>
      <c r="AR37" s="95"/>
    </row>
    <row r="38" spans="1:44" ht="12" customHeight="1" x14ac:dyDescent="0.4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5" t="str">
        <f t="shared" si="5"/>
        <v>APROBADO</v>
      </c>
      <c r="AI38" s="196"/>
      <c r="AJ38" s="196"/>
      <c r="AK38" s="196"/>
      <c r="AL38" s="196"/>
      <c r="AM38" s="197"/>
      <c r="AN38" s="95"/>
      <c r="AO38" s="95"/>
      <c r="AP38" s="95"/>
      <c r="AQ38" s="95"/>
      <c r="AR38" s="95"/>
    </row>
    <row r="39" spans="1:44" ht="12" customHeight="1" x14ac:dyDescent="0.4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5" t="str">
        <f t="shared" si="5"/>
        <v>APROBADO</v>
      </c>
      <c r="AI39" s="196"/>
      <c r="AJ39" s="196"/>
      <c r="AK39" s="196"/>
      <c r="AL39" s="196"/>
      <c r="AM39" s="197"/>
      <c r="AN39" s="95"/>
      <c r="AO39" s="95"/>
      <c r="AP39" s="95"/>
      <c r="AQ39" s="95"/>
      <c r="AR39" s="95"/>
    </row>
    <row r="40" spans="1:44" ht="12" customHeight="1" x14ac:dyDescent="0.4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5" t="str">
        <f t="shared" si="5"/>
        <v>APROBADO</v>
      </c>
      <c r="AI40" s="196"/>
      <c r="AJ40" s="196"/>
      <c r="AK40" s="196"/>
      <c r="AL40" s="196"/>
      <c r="AM40" s="197"/>
      <c r="AN40" s="95"/>
      <c r="AO40" s="95"/>
      <c r="AP40" s="95"/>
      <c r="AQ40" s="95"/>
      <c r="AR40" s="95"/>
    </row>
    <row r="41" spans="1:44" ht="12" customHeight="1" x14ac:dyDescent="0.4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5" t="str">
        <f t="shared" si="5"/>
        <v>APROBADO</v>
      </c>
      <c r="AI41" s="196"/>
      <c r="AJ41" s="196"/>
      <c r="AK41" s="196"/>
      <c r="AL41" s="196"/>
      <c r="AM41" s="197"/>
      <c r="AN41" s="95"/>
      <c r="AO41" s="95"/>
      <c r="AP41" s="95"/>
      <c r="AQ41" s="95"/>
      <c r="AR41" s="95"/>
    </row>
    <row r="42" spans="1:44" ht="12" customHeight="1" x14ac:dyDescent="0.4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5" t="str">
        <f t="shared" si="5"/>
        <v>APROBADO</v>
      </c>
      <c r="AI42" s="196"/>
      <c r="AJ42" s="196"/>
      <c r="AK42" s="196"/>
      <c r="AL42" s="196"/>
      <c r="AM42" s="197"/>
      <c r="AN42" s="95"/>
      <c r="AO42" s="95"/>
      <c r="AP42" s="95"/>
      <c r="AQ42" s="95"/>
      <c r="AR42" s="95"/>
    </row>
    <row r="43" spans="1:44" ht="12" customHeight="1" x14ac:dyDescent="0.4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5" t="str">
        <f t="shared" si="5"/>
        <v>APROBADO</v>
      </c>
      <c r="AI43" s="196"/>
      <c r="AJ43" s="196"/>
      <c r="AK43" s="196"/>
      <c r="AL43" s="196"/>
      <c r="AM43" s="197"/>
      <c r="AN43" s="95"/>
      <c r="AO43" s="95"/>
      <c r="AP43" s="95"/>
      <c r="AQ43" s="95"/>
      <c r="AR43" s="95"/>
    </row>
    <row r="44" spans="1:44" ht="12" customHeight="1" x14ac:dyDescent="0.4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5" t="str">
        <f t="shared" si="5"/>
        <v>APROBADO</v>
      </c>
      <c r="AI44" s="196"/>
      <c r="AJ44" s="196"/>
      <c r="AK44" s="196"/>
      <c r="AL44" s="196"/>
      <c r="AM44" s="197"/>
      <c r="AN44" s="95"/>
      <c r="AO44" s="95"/>
      <c r="AP44" s="95"/>
      <c r="AQ44" s="95"/>
      <c r="AR44" s="95"/>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34375" defaultRowHeight="15" customHeight="1" x14ac:dyDescent="0.45"/>
  <cols>
    <col min="1" max="1" width="1.6640625" customWidth="1"/>
    <col min="2" max="2" width="20.6640625" customWidth="1"/>
    <col min="3" max="7" width="2.234375" customWidth="1"/>
    <col min="8" max="8" width="3.234375" customWidth="1"/>
    <col min="9" max="13" width="2.234375" customWidth="1"/>
    <col min="14" max="14" width="3.234375" customWidth="1"/>
    <col min="15" max="19" width="2.234375" customWidth="1"/>
    <col min="20" max="21" width="3.234375" customWidth="1"/>
    <col min="22" max="22" width="9" customWidth="1"/>
    <col min="23" max="24" width="2.234375" customWidth="1"/>
    <col min="25" max="28" width="1.6640625" customWidth="1"/>
  </cols>
  <sheetData>
    <row r="1" spans="1:28" ht="4.5" customHeight="1" x14ac:dyDescent="0.45"/>
    <row r="2" spans="1:28" ht="12.75" customHeight="1" x14ac:dyDescent="0.45">
      <c r="B2" s="178" t="s">
        <v>101</v>
      </c>
      <c r="C2" s="174"/>
      <c r="D2" s="174"/>
      <c r="E2" s="174"/>
      <c r="F2" s="174"/>
      <c r="G2" s="174"/>
      <c r="H2" s="174"/>
      <c r="I2" s="174"/>
      <c r="J2" s="174"/>
      <c r="K2" s="174"/>
      <c r="L2" s="174"/>
      <c r="M2" s="174"/>
      <c r="N2" s="174"/>
      <c r="O2" s="174"/>
      <c r="P2" s="174"/>
      <c r="Q2" s="174"/>
      <c r="R2" s="174"/>
      <c r="S2" s="174"/>
      <c r="T2" s="174"/>
      <c r="U2" s="174"/>
      <c r="V2" s="174"/>
      <c r="W2" s="174"/>
      <c r="X2" s="174"/>
      <c r="Y2" s="73"/>
      <c r="Z2" s="73"/>
      <c r="AA2" s="73"/>
      <c r="AB2" s="73"/>
    </row>
    <row r="3" spans="1:28" ht="12.75" customHeight="1" x14ac:dyDescent="0.4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45">
      <c r="B4" s="38" t="s">
        <v>14</v>
      </c>
      <c r="C4" s="39" t="str">
        <f>CARÁTULA!$C$21</f>
        <v>Secundaria</v>
      </c>
      <c r="D4" s="40"/>
      <c r="E4" s="40"/>
      <c r="F4" s="40"/>
      <c r="G4" s="40"/>
      <c r="H4" s="40"/>
      <c r="I4" s="40"/>
      <c r="J4" s="40"/>
      <c r="K4" s="40"/>
      <c r="L4" s="40"/>
      <c r="M4" s="40"/>
      <c r="N4" s="41"/>
      <c r="O4" s="41"/>
      <c r="P4" s="41"/>
      <c r="Q4" s="41"/>
      <c r="R4" s="41" t="s">
        <v>51</v>
      </c>
      <c r="S4" s="42"/>
      <c r="T4" s="40"/>
      <c r="U4" s="39">
        <f>CARÁTULA!$C$19</f>
        <v>0</v>
      </c>
      <c r="V4" s="40"/>
      <c r="W4" s="40"/>
      <c r="X4" s="40"/>
    </row>
    <row r="5" spans="1:28" ht="12.75" customHeight="1" x14ac:dyDescent="0.45">
      <c r="B5" s="38" t="s">
        <v>22</v>
      </c>
      <c r="C5" s="97" t="str">
        <f>CARÁTULA!$C$23</f>
        <v>2do de Secundaria</v>
      </c>
      <c r="D5" s="40"/>
      <c r="E5" s="40"/>
      <c r="F5" s="40"/>
      <c r="G5" s="40"/>
      <c r="H5" s="40"/>
      <c r="I5" s="40"/>
      <c r="J5" s="40"/>
      <c r="K5" s="40"/>
      <c r="L5" s="40"/>
      <c r="M5" s="40"/>
      <c r="N5" s="38"/>
      <c r="O5" s="38"/>
      <c r="P5" s="38"/>
      <c r="Q5" s="38"/>
      <c r="R5" s="43" t="s">
        <v>23</v>
      </c>
      <c r="S5" s="44"/>
      <c r="T5" s="44"/>
      <c r="U5" s="192">
        <f ca="1">TODAY()</f>
        <v>44413</v>
      </c>
      <c r="V5" s="174"/>
      <c r="W5" s="174"/>
      <c r="X5" s="174"/>
    </row>
    <row r="6" spans="1:28" ht="12.75" customHeight="1" x14ac:dyDescent="0.45">
      <c r="B6" s="38"/>
      <c r="C6" s="217" t="s">
        <v>4</v>
      </c>
      <c r="D6" s="196"/>
      <c r="E6" s="196"/>
      <c r="F6" s="196"/>
      <c r="G6" s="196"/>
      <c r="H6" s="197"/>
      <c r="I6" s="217" t="s">
        <v>10</v>
      </c>
      <c r="J6" s="196"/>
      <c r="K6" s="196"/>
      <c r="L6" s="196"/>
      <c r="M6" s="196"/>
      <c r="N6" s="197"/>
      <c r="O6" s="217" t="s">
        <v>16</v>
      </c>
      <c r="P6" s="196"/>
      <c r="Q6" s="196"/>
      <c r="R6" s="196"/>
      <c r="S6" s="196"/>
      <c r="T6" s="197"/>
      <c r="U6" s="222" t="s">
        <v>102</v>
      </c>
      <c r="V6" s="218" t="s">
        <v>103</v>
      </c>
      <c r="W6" s="66"/>
      <c r="X6" s="66"/>
    </row>
    <row r="7" spans="1:28" ht="12" customHeight="1" x14ac:dyDescent="0.45">
      <c r="B7" s="47"/>
      <c r="C7" s="220"/>
      <c r="D7" s="196"/>
      <c r="E7" s="196"/>
      <c r="F7" s="196"/>
      <c r="G7" s="197"/>
      <c r="H7" s="221" t="s">
        <v>104</v>
      </c>
      <c r="I7" s="220"/>
      <c r="J7" s="196"/>
      <c r="K7" s="196"/>
      <c r="L7" s="196"/>
      <c r="M7" s="197"/>
      <c r="N7" s="221" t="s">
        <v>104</v>
      </c>
      <c r="O7" s="220"/>
      <c r="P7" s="196"/>
      <c r="Q7" s="196"/>
      <c r="R7" s="196"/>
      <c r="S7" s="197"/>
      <c r="T7" s="208" t="s">
        <v>104</v>
      </c>
      <c r="U7" s="219"/>
      <c r="V7" s="219"/>
      <c r="W7" s="40"/>
      <c r="X7" s="40"/>
    </row>
    <row r="8" spans="1:28" ht="67.5" customHeight="1" x14ac:dyDescent="0.45">
      <c r="A8" s="48" t="s">
        <v>54</v>
      </c>
      <c r="B8" s="49" t="s">
        <v>55</v>
      </c>
      <c r="C8" s="98" t="s">
        <v>81</v>
      </c>
      <c r="D8" s="99" t="s">
        <v>82</v>
      </c>
      <c r="E8" s="99" t="s">
        <v>84</v>
      </c>
      <c r="F8" s="99" t="s">
        <v>85</v>
      </c>
      <c r="G8" s="99" t="s">
        <v>105</v>
      </c>
      <c r="H8" s="204"/>
      <c r="I8" s="98" t="s">
        <v>81</v>
      </c>
      <c r="J8" s="99" t="s">
        <v>82</v>
      </c>
      <c r="K8" s="99" t="s">
        <v>84</v>
      </c>
      <c r="L8" s="99" t="s">
        <v>85</v>
      </c>
      <c r="M8" s="99" t="s">
        <v>105</v>
      </c>
      <c r="N8" s="204"/>
      <c r="O8" s="98" t="s">
        <v>81</v>
      </c>
      <c r="P8" s="99" t="s">
        <v>82</v>
      </c>
      <c r="Q8" s="99" t="s">
        <v>84</v>
      </c>
      <c r="R8" s="99" t="s">
        <v>85</v>
      </c>
      <c r="S8" s="99" t="s">
        <v>105</v>
      </c>
      <c r="T8" s="204"/>
      <c r="U8" s="204"/>
      <c r="V8" s="204"/>
      <c r="W8" s="100"/>
      <c r="X8" s="100"/>
    </row>
    <row r="9" spans="1:28" ht="12" customHeight="1" x14ac:dyDescent="0.45">
      <c r="A9" s="58">
        <v>1</v>
      </c>
      <c r="B9" s="59" t="str">
        <f>'C. FILIACION'!B8</f>
        <v>ALARCON CHURA PRISCILA</v>
      </c>
      <c r="C9" s="31">
        <f>'VAL 1 TRIM '!C9</f>
        <v>10</v>
      </c>
      <c r="D9" s="31">
        <f>'VAL 1 TRIM '!O9</f>
        <v>18</v>
      </c>
      <c r="E9" s="31">
        <f>'VAL 1 TRIM '!AB9</f>
        <v>18</v>
      </c>
      <c r="F9" s="31">
        <f>'VAL 1 TRIM '!AE9</f>
        <v>10</v>
      </c>
      <c r="G9" s="31">
        <f>'VAL 1 TRIM '!AE9</f>
        <v>10</v>
      </c>
      <c r="H9" s="101">
        <f>'VAL 1 TRIM '!AG9</f>
        <v>66</v>
      </c>
      <c r="I9" s="31">
        <f>'VAL 2 TRIM'!C9</f>
        <v>10</v>
      </c>
      <c r="J9" s="31" t="str">
        <f>'VAL 2 TRIM'!O9</f>
        <v/>
      </c>
      <c r="K9" s="31">
        <f>'VAL 2 TRIM'!AB9</f>
        <v>35</v>
      </c>
      <c r="L9" s="31">
        <f>'VAL 2 TRIM'!AA9</f>
        <v>10</v>
      </c>
      <c r="M9" s="31">
        <f>'VAL 2 TRIM'!AE9</f>
        <v>10</v>
      </c>
      <c r="N9" s="101">
        <f>'VAL 2 TRIM'!AG9</f>
        <v>65</v>
      </c>
      <c r="O9" s="31">
        <f>'VAL 3 TRIM'!C9</f>
        <v>10</v>
      </c>
      <c r="P9" s="31">
        <f>'VAL 3 TRIM'!O9</f>
        <v>35</v>
      </c>
      <c r="Q9" s="31">
        <f>'VAL 3 TRIM'!AB9</f>
        <v>35</v>
      </c>
      <c r="R9" s="31">
        <f>'VAL 3 TRIM'!AA9</f>
        <v>10</v>
      </c>
      <c r="S9" s="31">
        <f>'VAL 3 TRIM'!AE9</f>
        <v>10</v>
      </c>
      <c r="T9" s="101">
        <f>'VAL 3 TRIM'!AG9</f>
        <v>100</v>
      </c>
      <c r="U9" s="102">
        <f t="shared" ref="U9:U44" si="0">AVERAGE(H9,N9,T9)</f>
        <v>77</v>
      </c>
      <c r="V9" s="103" t="str">
        <f t="shared" ref="V9:V44" si="1">IF(U9="","",(IF(AND(U9&gt;=1,U9&lt;=50.499),"REPROBADO",IF(AND(U9&gt;=50.5,U9&lt;=100),"APROBADO"))))</f>
        <v>APROBADO</v>
      </c>
      <c r="W9" s="104"/>
      <c r="X9" s="104"/>
    </row>
    <row r="10" spans="1:28" ht="12" customHeight="1" x14ac:dyDescent="0.45">
      <c r="A10" s="58">
        <v>2</v>
      </c>
      <c r="B10" s="59" t="str">
        <f>'C. FILIACION'!B9</f>
        <v>ARCE CHOQUE LUCERO CORAL</v>
      </c>
      <c r="C10" s="48">
        <f>'VAL 1 TRIM '!C10</f>
        <v>10</v>
      </c>
      <c r="D10" s="48">
        <f>'VAL 1 TRIM '!O10</f>
        <v>18</v>
      </c>
      <c r="E10" s="48">
        <f>'VAL 1 TRIM '!AB10</f>
        <v>18</v>
      </c>
      <c r="F10" s="48">
        <f>'VAL 1 TRIM '!AE10</f>
        <v>10</v>
      </c>
      <c r="G10" s="48">
        <f>'VAL 1 TRIM '!AE10</f>
        <v>10</v>
      </c>
      <c r="H10" s="101">
        <f>'VAL 1 TRIM '!AG10</f>
        <v>66</v>
      </c>
      <c r="I10" s="31">
        <f>'VAL 2 TRIM'!C10</f>
        <v>10</v>
      </c>
      <c r="J10" s="31" t="str">
        <f>'VAL 2 TRIM'!O10</f>
        <v/>
      </c>
      <c r="K10" s="31">
        <f>'VAL 2 TRIM'!AB10</f>
        <v>35</v>
      </c>
      <c r="L10" s="31">
        <f>'VAL 2 TRIM'!AA10</f>
        <v>10</v>
      </c>
      <c r="M10" s="31">
        <f>'VAL 2 TRIM'!AE10</f>
        <v>10</v>
      </c>
      <c r="N10" s="101">
        <f>'VAL 2 TRIM'!AG10</f>
        <v>65</v>
      </c>
      <c r="O10" s="31">
        <f>'VAL 3 TRIM'!C10</f>
        <v>10</v>
      </c>
      <c r="P10" s="31">
        <f>'VAL 3 TRIM'!O10</f>
        <v>35</v>
      </c>
      <c r="Q10" s="31">
        <f>'VAL 3 TRIM'!AB10</f>
        <v>35</v>
      </c>
      <c r="R10" s="31">
        <f>'VAL 3 TRIM'!AA10</f>
        <v>10</v>
      </c>
      <c r="S10" s="48">
        <f>'VAL 3 TRIM'!AE10</f>
        <v>10</v>
      </c>
      <c r="T10" s="101">
        <f>'VAL 3 TRIM'!AG10</f>
        <v>100</v>
      </c>
      <c r="U10" s="102">
        <f t="shared" si="0"/>
        <v>77</v>
      </c>
      <c r="V10" s="103" t="str">
        <f t="shared" si="1"/>
        <v>APROBADO</v>
      </c>
      <c r="W10" s="104"/>
      <c r="X10" s="104"/>
    </row>
    <row r="11" spans="1:28" ht="12" customHeight="1" x14ac:dyDescent="0.45">
      <c r="A11" s="58">
        <v>3</v>
      </c>
      <c r="B11" s="59" t="str">
        <f>'C. FILIACION'!B10</f>
        <v>AREQUIPA CALCINA FABIAN JHON</v>
      </c>
      <c r="C11" s="48">
        <f>'VAL 1 TRIM '!C11</f>
        <v>10</v>
      </c>
      <c r="D11" s="48">
        <f>'VAL 1 TRIM '!O11</f>
        <v>18</v>
      </c>
      <c r="E11" s="48">
        <f>'VAL 1 TRIM '!AB11</f>
        <v>18</v>
      </c>
      <c r="F11" s="48">
        <f>'VAL 1 TRIM '!AE11</f>
        <v>10</v>
      </c>
      <c r="G11" s="48">
        <f>'VAL 1 TRIM '!AE11</f>
        <v>10</v>
      </c>
      <c r="H11" s="101">
        <f>'VAL 1 TRIM '!AG11</f>
        <v>66</v>
      </c>
      <c r="I11" s="31">
        <f>'VAL 2 TRIM'!C11</f>
        <v>10</v>
      </c>
      <c r="J11" s="31">
        <f>'VAL 2 TRIM'!O11</f>
        <v>15</v>
      </c>
      <c r="K11" s="31">
        <f>'VAL 2 TRIM'!AB11</f>
        <v>35</v>
      </c>
      <c r="L11" s="31">
        <f>'VAL 2 TRIM'!AA11</f>
        <v>10</v>
      </c>
      <c r="M11" s="31">
        <f>'VAL 2 TRIM'!AE11</f>
        <v>10</v>
      </c>
      <c r="N11" s="101">
        <f>'VAL 2 TRIM'!AG11</f>
        <v>80</v>
      </c>
      <c r="O11" s="31">
        <f>'VAL 3 TRIM'!C11</f>
        <v>10</v>
      </c>
      <c r="P11" s="31">
        <f>'VAL 3 TRIM'!O11</f>
        <v>35</v>
      </c>
      <c r="Q11" s="31">
        <f>'VAL 3 TRIM'!AB11</f>
        <v>35</v>
      </c>
      <c r="R11" s="31">
        <f>'VAL 3 TRIM'!AA11</f>
        <v>10</v>
      </c>
      <c r="S11" s="48">
        <f>'VAL 3 TRIM'!AE11</f>
        <v>10</v>
      </c>
      <c r="T11" s="101">
        <f>'VAL 3 TRIM'!AG11</f>
        <v>100</v>
      </c>
      <c r="U11" s="102">
        <f t="shared" si="0"/>
        <v>82</v>
      </c>
      <c r="V11" s="103" t="str">
        <f t="shared" si="1"/>
        <v>APROBADO</v>
      </c>
      <c r="W11" s="104"/>
      <c r="X11" s="104"/>
    </row>
    <row r="12" spans="1:28" ht="12" customHeight="1" x14ac:dyDescent="0.45">
      <c r="A12" s="58">
        <v>4</v>
      </c>
      <c r="B12" s="59" t="str">
        <f>'C. FILIACION'!B11</f>
        <v>CLAURE PARAVICINI RASHEL ROSALY</v>
      </c>
      <c r="C12" s="48">
        <f>'VAL 1 TRIM '!C12</f>
        <v>10</v>
      </c>
      <c r="D12" s="48">
        <f>'VAL 1 TRIM '!O12</f>
        <v>18</v>
      </c>
      <c r="E12" s="48">
        <f>'VAL 1 TRIM '!AB12</f>
        <v>18</v>
      </c>
      <c r="F12" s="48">
        <f>'VAL 1 TRIM '!AE12</f>
        <v>10</v>
      </c>
      <c r="G12" s="48">
        <f>'VAL 1 TRIM '!AE12</f>
        <v>10</v>
      </c>
      <c r="H12" s="101">
        <f>'VAL 1 TRIM '!AG12</f>
        <v>66</v>
      </c>
      <c r="I12" s="31">
        <f>'VAL 2 TRIM'!C12</f>
        <v>10</v>
      </c>
      <c r="J12" s="31" t="str">
        <f>'VAL 2 TRIM'!O12</f>
        <v/>
      </c>
      <c r="K12" s="31">
        <f>'VAL 2 TRIM'!AB12</f>
        <v>35</v>
      </c>
      <c r="L12" s="31">
        <f>'VAL 2 TRIM'!AA12</f>
        <v>10</v>
      </c>
      <c r="M12" s="31">
        <f>'VAL 2 TRIM'!AE12</f>
        <v>10</v>
      </c>
      <c r="N12" s="101">
        <f>'VAL 2 TRIM'!AG12</f>
        <v>65</v>
      </c>
      <c r="O12" s="31">
        <f>'VAL 3 TRIM'!C12</f>
        <v>10</v>
      </c>
      <c r="P12" s="31">
        <f>'VAL 3 TRIM'!O12</f>
        <v>35</v>
      </c>
      <c r="Q12" s="31">
        <f>'VAL 3 TRIM'!AB12</f>
        <v>35</v>
      </c>
      <c r="R12" s="31">
        <f>'VAL 3 TRIM'!AA12</f>
        <v>10</v>
      </c>
      <c r="S12" s="48">
        <f>'VAL 3 TRIM'!AE12</f>
        <v>10</v>
      </c>
      <c r="T12" s="101">
        <f>'VAL 3 TRIM'!AG12</f>
        <v>100</v>
      </c>
      <c r="U12" s="102">
        <f t="shared" si="0"/>
        <v>77</v>
      </c>
      <c r="V12" s="103" t="str">
        <f t="shared" si="1"/>
        <v>APROBADO</v>
      </c>
      <c r="W12" s="104"/>
      <c r="X12" s="104"/>
    </row>
    <row r="13" spans="1:28" ht="12" customHeight="1" x14ac:dyDescent="0.45">
      <c r="A13" s="58">
        <v>5</v>
      </c>
      <c r="B13" s="59" t="str">
        <f>'C. FILIACION'!B12</f>
        <v>CONDORI FLORES ALEJANDRO BRYAN</v>
      </c>
      <c r="C13" s="48">
        <f>'VAL 1 TRIM '!C13</f>
        <v>10</v>
      </c>
      <c r="D13" s="48">
        <f>'VAL 1 TRIM '!O13</f>
        <v>18</v>
      </c>
      <c r="E13" s="48">
        <f>'VAL 1 TRIM '!AB13</f>
        <v>18</v>
      </c>
      <c r="F13" s="48">
        <f>'VAL 1 TRIM '!AE13</f>
        <v>10</v>
      </c>
      <c r="G13" s="48">
        <f>'VAL 1 TRIM '!AE13</f>
        <v>10</v>
      </c>
      <c r="H13" s="101">
        <f>'VAL 1 TRIM '!AG13</f>
        <v>66</v>
      </c>
      <c r="I13" s="31">
        <f>'VAL 2 TRIM'!C13</f>
        <v>10</v>
      </c>
      <c r="J13" s="31">
        <f>'VAL 2 TRIM'!O13</f>
        <v>19</v>
      </c>
      <c r="K13" s="31">
        <f>'VAL 2 TRIM'!AB13</f>
        <v>35</v>
      </c>
      <c r="L13" s="31">
        <f>'VAL 2 TRIM'!AA13</f>
        <v>10</v>
      </c>
      <c r="M13" s="31">
        <f>'VAL 2 TRIM'!AE13</f>
        <v>10</v>
      </c>
      <c r="N13" s="101">
        <f>'VAL 2 TRIM'!AG13</f>
        <v>84</v>
      </c>
      <c r="O13" s="31">
        <f>'VAL 3 TRIM'!C13</f>
        <v>10</v>
      </c>
      <c r="P13" s="31">
        <f>'VAL 3 TRIM'!O13</f>
        <v>35</v>
      </c>
      <c r="Q13" s="31">
        <f>'VAL 3 TRIM'!AB13</f>
        <v>35</v>
      </c>
      <c r="R13" s="31">
        <f>'VAL 3 TRIM'!AA13</f>
        <v>10</v>
      </c>
      <c r="S13" s="48">
        <f>'VAL 3 TRIM'!AE13</f>
        <v>10</v>
      </c>
      <c r="T13" s="101">
        <f>'VAL 3 TRIM'!AG13</f>
        <v>100</v>
      </c>
      <c r="U13" s="102">
        <f t="shared" si="0"/>
        <v>83.333333333333329</v>
      </c>
      <c r="V13" s="103" t="str">
        <f t="shared" si="1"/>
        <v>APROBADO</v>
      </c>
      <c r="W13" s="104"/>
      <c r="X13" s="104"/>
    </row>
    <row r="14" spans="1:28" ht="12" customHeight="1" x14ac:dyDescent="0.45">
      <c r="A14" s="58">
        <v>6</v>
      </c>
      <c r="B14" s="59" t="str">
        <f>'C. FILIACION'!B13</f>
        <v>DE LA CRUZ SANDOVAL JHON MARCO</v>
      </c>
      <c r="C14" s="48">
        <f>'VAL 1 TRIM '!C14</f>
        <v>10</v>
      </c>
      <c r="D14" s="48">
        <f>'VAL 1 TRIM '!O14</f>
        <v>18</v>
      </c>
      <c r="E14" s="48">
        <f>'VAL 1 TRIM '!AB14</f>
        <v>18</v>
      </c>
      <c r="F14" s="48">
        <f>'VAL 1 TRIM '!AE14</f>
        <v>10</v>
      </c>
      <c r="G14" s="48">
        <f>'VAL 1 TRIM '!AE14</f>
        <v>10</v>
      </c>
      <c r="H14" s="101">
        <f>'VAL 1 TRIM '!AG14</f>
        <v>66</v>
      </c>
      <c r="I14" s="31">
        <f>'VAL 2 TRIM'!C14</f>
        <v>10</v>
      </c>
      <c r="J14" s="31">
        <f>'VAL 2 TRIM'!O14</f>
        <v>23</v>
      </c>
      <c r="K14" s="31">
        <f>'VAL 2 TRIM'!AB14</f>
        <v>35</v>
      </c>
      <c r="L14" s="31">
        <f>'VAL 2 TRIM'!AA14</f>
        <v>10</v>
      </c>
      <c r="M14" s="31">
        <f>'VAL 2 TRIM'!AE14</f>
        <v>10</v>
      </c>
      <c r="N14" s="101">
        <f>'VAL 2 TRIM'!AG14</f>
        <v>88</v>
      </c>
      <c r="O14" s="31">
        <f>'VAL 3 TRIM'!C14</f>
        <v>10</v>
      </c>
      <c r="P14" s="31">
        <f>'VAL 3 TRIM'!O14</f>
        <v>35</v>
      </c>
      <c r="Q14" s="31">
        <f>'VAL 3 TRIM'!AB14</f>
        <v>35</v>
      </c>
      <c r="R14" s="31">
        <f>'VAL 3 TRIM'!AA14</f>
        <v>10</v>
      </c>
      <c r="S14" s="48">
        <f>'VAL 3 TRIM'!AE14</f>
        <v>10</v>
      </c>
      <c r="T14" s="101">
        <f>'VAL 3 TRIM'!AG14</f>
        <v>100</v>
      </c>
      <c r="U14" s="102">
        <f t="shared" si="0"/>
        <v>84.666666666666671</v>
      </c>
      <c r="V14" s="103" t="str">
        <f t="shared" si="1"/>
        <v>APROBADO</v>
      </c>
      <c r="W14" s="104"/>
      <c r="X14" s="104"/>
    </row>
    <row r="15" spans="1:28" ht="12" customHeight="1" x14ac:dyDescent="0.45">
      <c r="A15" s="58">
        <v>7</v>
      </c>
      <c r="B15" s="59" t="str">
        <f>'C. FILIACION'!B14</f>
        <v>GARCÍA IGNACIO MISHEL MAYA</v>
      </c>
      <c r="C15" s="48">
        <f>'VAL 1 TRIM '!C15</f>
        <v>10</v>
      </c>
      <c r="D15" s="48">
        <f>'VAL 1 TRIM '!O15</f>
        <v>18</v>
      </c>
      <c r="E15" s="48">
        <f>'VAL 1 TRIM '!AB15</f>
        <v>18</v>
      </c>
      <c r="F15" s="48">
        <f>'VAL 1 TRIM '!AE15</f>
        <v>10</v>
      </c>
      <c r="G15" s="48">
        <f>'VAL 1 TRIM '!AE15</f>
        <v>10</v>
      </c>
      <c r="H15" s="101">
        <f>'VAL 1 TRIM '!AG15</f>
        <v>66</v>
      </c>
      <c r="I15" s="31">
        <f>'VAL 2 TRIM'!C15</f>
        <v>10</v>
      </c>
      <c r="J15" s="31">
        <f>'VAL 2 TRIM'!O15</f>
        <v>25</v>
      </c>
      <c r="K15" s="31">
        <f>'VAL 2 TRIM'!AB15</f>
        <v>35</v>
      </c>
      <c r="L15" s="31">
        <f>'VAL 2 TRIM'!AA15</f>
        <v>10</v>
      </c>
      <c r="M15" s="31">
        <f>'VAL 2 TRIM'!AE15</f>
        <v>10</v>
      </c>
      <c r="N15" s="101">
        <f>'VAL 2 TRIM'!AG15</f>
        <v>90</v>
      </c>
      <c r="O15" s="31">
        <f>'VAL 3 TRIM'!C15</f>
        <v>10</v>
      </c>
      <c r="P15" s="31">
        <f>'VAL 3 TRIM'!O15</f>
        <v>35</v>
      </c>
      <c r="Q15" s="31">
        <f>'VAL 3 TRIM'!AB15</f>
        <v>35</v>
      </c>
      <c r="R15" s="31">
        <f>'VAL 3 TRIM'!AA15</f>
        <v>10</v>
      </c>
      <c r="S15" s="48">
        <f>'VAL 3 TRIM'!AE15</f>
        <v>10</v>
      </c>
      <c r="T15" s="101">
        <f>'VAL 3 TRIM'!AG15</f>
        <v>100</v>
      </c>
      <c r="U15" s="102">
        <f t="shared" si="0"/>
        <v>85.333333333333329</v>
      </c>
      <c r="V15" s="103" t="str">
        <f t="shared" si="1"/>
        <v>APROBADO</v>
      </c>
      <c r="W15" s="104"/>
      <c r="X15" s="104"/>
    </row>
    <row r="16" spans="1:28" ht="12" customHeight="1" x14ac:dyDescent="0.45">
      <c r="A16" s="58">
        <v>8</v>
      </c>
      <c r="B16" s="59" t="str">
        <f>'C. FILIACION'!B15</f>
        <v>HELGUERO SANCHEZ JHOYSI CAMIL</v>
      </c>
      <c r="C16" s="48">
        <f>'VAL 1 TRIM '!C16</f>
        <v>10</v>
      </c>
      <c r="D16" s="48">
        <f>'VAL 1 TRIM '!O16</f>
        <v>18</v>
      </c>
      <c r="E16" s="48">
        <f>'VAL 1 TRIM '!AB16</f>
        <v>18</v>
      </c>
      <c r="F16" s="48">
        <f>'VAL 1 TRIM '!AE16</f>
        <v>10</v>
      </c>
      <c r="G16" s="48">
        <f>'VAL 1 TRIM '!AE16</f>
        <v>10</v>
      </c>
      <c r="H16" s="101">
        <f>'VAL 1 TRIM '!AG16</f>
        <v>66</v>
      </c>
      <c r="I16" s="31">
        <f>'VAL 2 TRIM'!C16</f>
        <v>10</v>
      </c>
      <c r="J16" s="31">
        <f>'VAL 2 TRIM'!O16</f>
        <v>22</v>
      </c>
      <c r="K16" s="31">
        <f>'VAL 2 TRIM'!AB16</f>
        <v>35</v>
      </c>
      <c r="L16" s="31">
        <f>'VAL 2 TRIM'!AA16</f>
        <v>10</v>
      </c>
      <c r="M16" s="31">
        <f>'VAL 2 TRIM'!AE16</f>
        <v>10</v>
      </c>
      <c r="N16" s="101">
        <f>'VAL 2 TRIM'!AG16</f>
        <v>87</v>
      </c>
      <c r="O16" s="31">
        <f>'VAL 3 TRIM'!C16</f>
        <v>10</v>
      </c>
      <c r="P16" s="31">
        <f>'VAL 3 TRIM'!O16</f>
        <v>35</v>
      </c>
      <c r="Q16" s="31">
        <f>'VAL 3 TRIM'!AB16</f>
        <v>35</v>
      </c>
      <c r="R16" s="31">
        <f>'VAL 3 TRIM'!AA16</f>
        <v>10</v>
      </c>
      <c r="S16" s="48">
        <f>'VAL 3 TRIM'!AE16</f>
        <v>10</v>
      </c>
      <c r="T16" s="101">
        <f>'VAL 3 TRIM'!AG16</f>
        <v>100</v>
      </c>
      <c r="U16" s="102">
        <f t="shared" si="0"/>
        <v>84.333333333333329</v>
      </c>
      <c r="V16" s="103" t="str">
        <f t="shared" si="1"/>
        <v>APROBADO</v>
      </c>
      <c r="W16" s="104"/>
      <c r="X16" s="104"/>
    </row>
    <row r="17" spans="1:24" ht="12" customHeight="1" x14ac:dyDescent="0.45">
      <c r="A17" s="58">
        <v>9</v>
      </c>
      <c r="B17" s="59" t="str">
        <f>'C. FILIACION'!B16</f>
        <v>LEDEZMA ORELLANA RICARDO ERIK</v>
      </c>
      <c r="C17" s="48">
        <f>'VAL 1 TRIM '!C17</f>
        <v>10</v>
      </c>
      <c r="D17" s="48">
        <f>'VAL 1 TRIM '!O17</f>
        <v>18</v>
      </c>
      <c r="E17" s="48">
        <f>'VAL 1 TRIM '!AB17</f>
        <v>18</v>
      </c>
      <c r="F17" s="48">
        <f>'VAL 1 TRIM '!AE17</f>
        <v>10</v>
      </c>
      <c r="G17" s="48">
        <f>'VAL 1 TRIM '!AE17</f>
        <v>10</v>
      </c>
      <c r="H17" s="101">
        <f>'VAL 1 TRIM '!AG17</f>
        <v>66</v>
      </c>
      <c r="I17" s="31">
        <f>'VAL 2 TRIM'!C17</f>
        <v>10</v>
      </c>
      <c r="J17" s="31">
        <f>'VAL 2 TRIM'!O17</f>
        <v>25</v>
      </c>
      <c r="K17" s="31">
        <f>'VAL 2 TRIM'!AB17</f>
        <v>35</v>
      </c>
      <c r="L17" s="31">
        <f>'VAL 2 TRIM'!AA17</f>
        <v>10</v>
      </c>
      <c r="M17" s="31">
        <f>'VAL 2 TRIM'!AE17</f>
        <v>10</v>
      </c>
      <c r="N17" s="101">
        <f>'VAL 2 TRIM'!AG17</f>
        <v>90</v>
      </c>
      <c r="O17" s="31">
        <f>'VAL 3 TRIM'!C17</f>
        <v>10</v>
      </c>
      <c r="P17" s="31">
        <f>'VAL 3 TRIM'!O17</f>
        <v>35</v>
      </c>
      <c r="Q17" s="31">
        <f>'VAL 3 TRIM'!AB17</f>
        <v>35</v>
      </c>
      <c r="R17" s="31">
        <f>'VAL 3 TRIM'!AA17</f>
        <v>10</v>
      </c>
      <c r="S17" s="48">
        <f>'VAL 3 TRIM'!AE17</f>
        <v>10</v>
      </c>
      <c r="T17" s="101">
        <f>'VAL 3 TRIM'!AG17</f>
        <v>100</v>
      </c>
      <c r="U17" s="102">
        <f t="shared" si="0"/>
        <v>85.333333333333329</v>
      </c>
      <c r="V17" s="103" t="str">
        <f t="shared" si="1"/>
        <v>APROBADO</v>
      </c>
      <c r="W17" s="104"/>
      <c r="X17" s="104"/>
    </row>
    <row r="18" spans="1:24" ht="12" customHeight="1" x14ac:dyDescent="0.45">
      <c r="A18" s="58">
        <v>10</v>
      </c>
      <c r="B18" s="59" t="str">
        <f>'C. FILIACION'!B17</f>
        <v>MAMANI LOPEZ ELIZABETH MILDRED</v>
      </c>
      <c r="C18" s="48">
        <f>'VAL 1 TRIM '!C18</f>
        <v>10</v>
      </c>
      <c r="D18" s="48">
        <f>'VAL 1 TRIM '!O18</f>
        <v>30</v>
      </c>
      <c r="E18" s="48">
        <f>'VAL 1 TRIM '!AB18</f>
        <v>30</v>
      </c>
      <c r="F18" s="48">
        <f>'VAL 1 TRIM '!AE18</f>
        <v>10</v>
      </c>
      <c r="G18" s="48">
        <f>'VAL 1 TRIM '!AE18</f>
        <v>10</v>
      </c>
      <c r="H18" s="101">
        <f>'VAL 1 TRIM '!AG18</f>
        <v>90</v>
      </c>
      <c r="I18" s="31">
        <f>'VAL 2 TRIM'!C18</f>
        <v>10</v>
      </c>
      <c r="J18" s="31" t="str">
        <f>'VAL 2 TRIM'!O18</f>
        <v/>
      </c>
      <c r="K18" s="31">
        <f>'VAL 2 TRIM'!AB18</f>
        <v>35</v>
      </c>
      <c r="L18" s="31">
        <f>'VAL 2 TRIM'!AA18</f>
        <v>10</v>
      </c>
      <c r="M18" s="31">
        <f>'VAL 2 TRIM'!AE18</f>
        <v>10</v>
      </c>
      <c r="N18" s="101">
        <f>'VAL 2 TRIM'!AG18</f>
        <v>65</v>
      </c>
      <c r="O18" s="31">
        <f>'VAL 3 TRIM'!C18</f>
        <v>10</v>
      </c>
      <c r="P18" s="31">
        <f>'VAL 3 TRIM'!O18</f>
        <v>35</v>
      </c>
      <c r="Q18" s="31">
        <f>'VAL 3 TRIM'!AB18</f>
        <v>35</v>
      </c>
      <c r="R18" s="31">
        <f>'VAL 3 TRIM'!AA18</f>
        <v>10</v>
      </c>
      <c r="S18" s="48">
        <f>'VAL 3 TRIM'!AE18</f>
        <v>10</v>
      </c>
      <c r="T18" s="101">
        <f>'VAL 3 TRIM'!AG18</f>
        <v>100</v>
      </c>
      <c r="U18" s="102">
        <f t="shared" si="0"/>
        <v>85</v>
      </c>
      <c r="V18" s="103" t="str">
        <f t="shared" si="1"/>
        <v>APROBADO</v>
      </c>
      <c r="W18" s="104"/>
      <c r="X18" s="104"/>
    </row>
    <row r="19" spans="1:24" ht="12" customHeight="1" x14ac:dyDescent="0.45">
      <c r="A19" s="58">
        <v>11</v>
      </c>
      <c r="B19" s="59" t="str">
        <f>'C. FILIACION'!B18</f>
        <v>MEDINA CHOQUE JUAN JOSE</v>
      </c>
      <c r="C19" s="48">
        <f>'VAL 1 TRIM '!C19</f>
        <v>10</v>
      </c>
      <c r="D19" s="48">
        <f>'VAL 1 TRIM '!O19</f>
        <v>18</v>
      </c>
      <c r="E19" s="48">
        <f>'VAL 1 TRIM '!AB19</f>
        <v>18</v>
      </c>
      <c r="F19" s="48">
        <f>'VAL 1 TRIM '!AE19</f>
        <v>10</v>
      </c>
      <c r="G19" s="48">
        <f>'VAL 1 TRIM '!AE19</f>
        <v>10</v>
      </c>
      <c r="H19" s="101">
        <f>'VAL 1 TRIM '!AG19</f>
        <v>66</v>
      </c>
      <c r="I19" s="31">
        <f>'VAL 2 TRIM'!C19</f>
        <v>10</v>
      </c>
      <c r="J19" s="31" t="str">
        <f>'VAL 2 TRIM'!O19</f>
        <v/>
      </c>
      <c r="K19" s="31">
        <f>'VAL 2 TRIM'!AB19</f>
        <v>35</v>
      </c>
      <c r="L19" s="31">
        <f>'VAL 2 TRIM'!AA19</f>
        <v>10</v>
      </c>
      <c r="M19" s="31">
        <f>'VAL 2 TRIM'!AE19</f>
        <v>10</v>
      </c>
      <c r="N19" s="101">
        <f>'VAL 2 TRIM'!AG19</f>
        <v>65</v>
      </c>
      <c r="O19" s="31">
        <f>'VAL 3 TRIM'!C19</f>
        <v>10</v>
      </c>
      <c r="P19" s="31">
        <f>'VAL 3 TRIM'!O19</f>
        <v>35</v>
      </c>
      <c r="Q19" s="31">
        <f>'VAL 3 TRIM'!AB19</f>
        <v>35</v>
      </c>
      <c r="R19" s="31">
        <f>'VAL 3 TRIM'!AA19</f>
        <v>10</v>
      </c>
      <c r="S19" s="48">
        <f>'VAL 3 TRIM'!AE19</f>
        <v>10</v>
      </c>
      <c r="T19" s="101">
        <f>'VAL 3 TRIM'!AG19</f>
        <v>100</v>
      </c>
      <c r="U19" s="102">
        <f t="shared" si="0"/>
        <v>77</v>
      </c>
      <c r="V19" s="103" t="str">
        <f t="shared" si="1"/>
        <v>APROBADO</v>
      </c>
      <c r="W19" s="104"/>
      <c r="X19" s="104"/>
    </row>
    <row r="20" spans="1:24" ht="12" customHeight="1" x14ac:dyDescent="0.45">
      <c r="A20" s="58">
        <v>12</v>
      </c>
      <c r="B20" s="59" t="str">
        <f>'C. FILIACION'!B19</f>
        <v>NINA RUEDA SEBASTIAN CARLOS</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26</v>
      </c>
      <c r="K20" s="31">
        <f>'VAL 2 TRIM'!AB20</f>
        <v>35</v>
      </c>
      <c r="L20" s="31">
        <f>'VAL 2 TRIM'!AA20</f>
        <v>10</v>
      </c>
      <c r="M20" s="31">
        <f>'VAL 2 TRIM'!AE20</f>
        <v>10</v>
      </c>
      <c r="N20" s="101">
        <f>'VAL 2 TRIM'!AG20</f>
        <v>91</v>
      </c>
      <c r="O20" s="31">
        <f>'VAL 3 TRIM'!C20</f>
        <v>10</v>
      </c>
      <c r="P20" s="31">
        <f>'VAL 3 TRIM'!O20</f>
        <v>35</v>
      </c>
      <c r="Q20" s="31">
        <f>'VAL 3 TRIM'!AB20</f>
        <v>35</v>
      </c>
      <c r="R20" s="31">
        <f>'VAL 3 TRIM'!AA20</f>
        <v>10</v>
      </c>
      <c r="S20" s="48">
        <f>'VAL 3 TRIM'!AE20</f>
        <v>10</v>
      </c>
      <c r="T20" s="101">
        <f>'VAL 3 TRIM'!AG20</f>
        <v>100</v>
      </c>
      <c r="U20" s="102">
        <f t="shared" si="0"/>
        <v>93.666666666666671</v>
      </c>
      <c r="V20" s="103" t="str">
        <f t="shared" si="1"/>
        <v>APROBADO</v>
      </c>
      <c r="W20" s="104"/>
      <c r="X20" s="104"/>
    </row>
    <row r="21" spans="1:24" ht="12" customHeight="1" x14ac:dyDescent="0.45">
      <c r="A21" s="58">
        <v>13</v>
      </c>
      <c r="B21" s="59" t="str">
        <f>'C. FILIACION'!B20</f>
        <v>RODRIGUEZ RAMIREZ NATALY ARIANA</v>
      </c>
      <c r="C21" s="48">
        <f>'VAL 1 TRIM '!C21</f>
        <v>10</v>
      </c>
      <c r="D21" s="48">
        <f>'VAL 1 TRIM '!O21</f>
        <v>30</v>
      </c>
      <c r="E21" s="48">
        <f>'VAL 1 TRIM '!AB21</f>
        <v>30</v>
      </c>
      <c r="F21" s="48">
        <f>'VAL 1 TRIM '!AE21</f>
        <v>10</v>
      </c>
      <c r="G21" s="48">
        <f>'VAL 1 TRIM '!AE21</f>
        <v>10</v>
      </c>
      <c r="H21" s="101">
        <f>'VAL 1 TRIM '!AG21</f>
        <v>90</v>
      </c>
      <c r="I21" s="31">
        <f>'VAL 2 TRIM'!C21</f>
        <v>10</v>
      </c>
      <c r="J21" s="31" t="str">
        <f>'VAL 2 TRIM'!O21</f>
        <v/>
      </c>
      <c r="K21" s="31">
        <f>'VAL 2 TRIM'!AB21</f>
        <v>35</v>
      </c>
      <c r="L21" s="31">
        <f>'VAL 2 TRIM'!AA21</f>
        <v>10</v>
      </c>
      <c r="M21" s="31">
        <f>'VAL 2 TRIM'!AE21</f>
        <v>10</v>
      </c>
      <c r="N21" s="101">
        <f>'VAL 2 TRIM'!AG21</f>
        <v>65</v>
      </c>
      <c r="O21" s="31">
        <f>'VAL 3 TRIM'!C21</f>
        <v>10</v>
      </c>
      <c r="P21" s="31">
        <f>'VAL 3 TRIM'!O21</f>
        <v>35</v>
      </c>
      <c r="Q21" s="31">
        <f>'VAL 3 TRIM'!AB21</f>
        <v>35</v>
      </c>
      <c r="R21" s="31">
        <f>'VAL 3 TRIM'!AA21</f>
        <v>10</v>
      </c>
      <c r="S21" s="48">
        <f>'VAL 3 TRIM'!AE21</f>
        <v>10</v>
      </c>
      <c r="T21" s="101">
        <f>'VAL 3 TRIM'!AG21</f>
        <v>100</v>
      </c>
      <c r="U21" s="102">
        <f t="shared" si="0"/>
        <v>85</v>
      </c>
      <c r="V21" s="103" t="str">
        <f t="shared" si="1"/>
        <v>APROBADO</v>
      </c>
      <c r="W21" s="104"/>
      <c r="X21" s="104"/>
    </row>
    <row r="22" spans="1:24" ht="12" customHeight="1" x14ac:dyDescent="0.45">
      <c r="A22" s="58">
        <v>14</v>
      </c>
      <c r="B22" s="59" t="str">
        <f>'C. FILIACION'!B21</f>
        <v>SALAZAR CANAZA CRISTINA MAYRA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32</v>
      </c>
      <c r="K22" s="31">
        <f>'VAL 2 TRIM'!AB22</f>
        <v>35</v>
      </c>
      <c r="L22" s="31">
        <f>'VAL 2 TRIM'!AA22</f>
        <v>10</v>
      </c>
      <c r="M22" s="31">
        <f>'VAL 2 TRIM'!AE22</f>
        <v>10</v>
      </c>
      <c r="N22" s="101">
        <f>'VAL 2 TRIM'!AG22</f>
        <v>97</v>
      </c>
      <c r="O22" s="31">
        <f>'VAL 3 TRIM'!C22</f>
        <v>10</v>
      </c>
      <c r="P22" s="31">
        <f>'VAL 3 TRIM'!O22</f>
        <v>35</v>
      </c>
      <c r="Q22" s="31">
        <f>'VAL 3 TRIM'!AB22</f>
        <v>35</v>
      </c>
      <c r="R22" s="31">
        <f>'VAL 3 TRIM'!AA22</f>
        <v>10</v>
      </c>
      <c r="S22" s="48">
        <f>'VAL 3 TRIM'!AE22</f>
        <v>10</v>
      </c>
      <c r="T22" s="101">
        <f>'VAL 3 TRIM'!AG22</f>
        <v>100</v>
      </c>
      <c r="U22" s="102">
        <f t="shared" si="0"/>
        <v>95.666666666666671</v>
      </c>
      <c r="V22" s="103" t="str">
        <f t="shared" si="1"/>
        <v>APROBADO</v>
      </c>
      <c r="W22" s="104"/>
      <c r="X22" s="104"/>
    </row>
    <row r="23" spans="1:24" ht="12" customHeight="1" x14ac:dyDescent="0.45">
      <c r="A23" s="58">
        <v>15</v>
      </c>
      <c r="B23" s="59" t="str">
        <f>'C. FILIACION'!B22</f>
        <v>SEVILLANO BALTAZAR AGNESE</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25</v>
      </c>
      <c r="K23" s="31">
        <f>'VAL 2 TRIM'!AB23</f>
        <v>35</v>
      </c>
      <c r="L23" s="31">
        <f>'VAL 2 TRIM'!AA23</f>
        <v>10</v>
      </c>
      <c r="M23" s="31">
        <f>'VAL 2 TRIM'!AE23</f>
        <v>10</v>
      </c>
      <c r="N23" s="101">
        <f>'VAL 2 TRIM'!AG23</f>
        <v>90</v>
      </c>
      <c r="O23" s="31">
        <f>'VAL 3 TRIM'!C23</f>
        <v>10</v>
      </c>
      <c r="P23" s="31">
        <f>'VAL 3 TRIM'!O23</f>
        <v>35</v>
      </c>
      <c r="Q23" s="31">
        <f>'VAL 3 TRIM'!AB23</f>
        <v>35</v>
      </c>
      <c r="R23" s="31">
        <f>'VAL 3 TRIM'!AA23</f>
        <v>10</v>
      </c>
      <c r="S23" s="48">
        <f>'VAL 3 TRIM'!AE23</f>
        <v>10</v>
      </c>
      <c r="T23" s="101">
        <f>'VAL 3 TRIM'!AG23</f>
        <v>100</v>
      </c>
      <c r="U23" s="102">
        <f t="shared" si="0"/>
        <v>93.333333333333329</v>
      </c>
      <c r="V23" s="103" t="str">
        <f t="shared" si="1"/>
        <v>APROBADO</v>
      </c>
      <c r="W23" s="104"/>
      <c r="X23" s="104"/>
    </row>
    <row r="24" spans="1:24" ht="12" customHeight="1" x14ac:dyDescent="0.45">
      <c r="A24" s="58">
        <v>16</v>
      </c>
      <c r="B24" s="59" t="str">
        <f>'C. FILIACION'!B23</f>
        <v>TOCONAS HUAYGUA VICTORIA FERNANDA</v>
      </c>
      <c r="C24" s="48">
        <f>'VAL 1 TRIM '!C24</f>
        <v>10</v>
      </c>
      <c r="D24" s="48">
        <f>'VAL 1 TRIM '!O24</f>
        <v>18</v>
      </c>
      <c r="E24" s="48">
        <f>'VAL 1 TRIM '!AB24</f>
        <v>18</v>
      </c>
      <c r="F24" s="48">
        <f>'VAL 1 TRIM '!AE24</f>
        <v>10</v>
      </c>
      <c r="G24" s="48">
        <f>'VAL 1 TRIM '!AE24</f>
        <v>10</v>
      </c>
      <c r="H24" s="101">
        <f>'VAL 1 TRIM '!AG24</f>
        <v>66</v>
      </c>
      <c r="I24" s="31">
        <f>'VAL 2 TRIM'!C24</f>
        <v>10</v>
      </c>
      <c r="J24" s="31">
        <f>'VAL 2 TRIM'!O24</f>
        <v>15</v>
      </c>
      <c r="K24" s="31">
        <f>'VAL 2 TRIM'!AB24</f>
        <v>35</v>
      </c>
      <c r="L24" s="31">
        <f>'VAL 2 TRIM'!AA24</f>
        <v>10</v>
      </c>
      <c r="M24" s="31">
        <f>'VAL 2 TRIM'!AE24</f>
        <v>10</v>
      </c>
      <c r="N24" s="101">
        <f>'VAL 2 TRIM'!AG24</f>
        <v>80</v>
      </c>
      <c r="O24" s="31">
        <f>'VAL 3 TRIM'!C24</f>
        <v>10</v>
      </c>
      <c r="P24" s="31">
        <f>'VAL 3 TRIM'!O24</f>
        <v>35</v>
      </c>
      <c r="Q24" s="31">
        <f>'VAL 3 TRIM'!AB24</f>
        <v>35</v>
      </c>
      <c r="R24" s="31">
        <f>'VAL 3 TRIM'!AA24</f>
        <v>10</v>
      </c>
      <c r="S24" s="48">
        <f>'VAL 3 TRIM'!AE24</f>
        <v>10</v>
      </c>
      <c r="T24" s="101">
        <f>'VAL 3 TRIM'!AG24</f>
        <v>100</v>
      </c>
      <c r="U24" s="102">
        <f t="shared" si="0"/>
        <v>82</v>
      </c>
      <c r="V24" s="103" t="str">
        <f t="shared" si="1"/>
        <v>APROBADO</v>
      </c>
      <c r="W24" s="104"/>
      <c r="X24" s="104"/>
    </row>
    <row r="25" spans="1:24" ht="12" customHeight="1" x14ac:dyDescent="0.45">
      <c r="A25" s="58">
        <v>17</v>
      </c>
      <c r="B25" s="59">
        <f>'C. FILIACION'!B24</f>
        <v>0</v>
      </c>
      <c r="C25" s="48">
        <f>'VAL 1 TRIM '!C25</f>
        <v>10</v>
      </c>
      <c r="D25" s="48">
        <f>'VAL 1 TRIM '!O25</f>
        <v>35</v>
      </c>
      <c r="E25" s="48">
        <f>'VAL 1 TRIM '!AB25</f>
        <v>35</v>
      </c>
      <c r="F25" s="48">
        <f>'VAL 1 TRIM '!AE25</f>
        <v>10</v>
      </c>
      <c r="G25" s="48">
        <f>'VAL 1 TRIM '!AE25</f>
        <v>10</v>
      </c>
      <c r="H25" s="101">
        <f>'VAL 1 TRIM '!AG25</f>
        <v>100</v>
      </c>
      <c r="I25" s="31">
        <f>'VAL 2 TRIM'!C25</f>
        <v>10</v>
      </c>
      <c r="J25" s="31">
        <f>'VAL 2 TRIM'!O25</f>
        <v>35</v>
      </c>
      <c r="K25" s="31">
        <f>'VAL 2 TRIM'!AB25</f>
        <v>35</v>
      </c>
      <c r="L25" s="31">
        <f>'VAL 2 TRIM'!AA25</f>
        <v>10</v>
      </c>
      <c r="M25" s="31">
        <f>'VAL 2 TRIM'!AE25</f>
        <v>10</v>
      </c>
      <c r="N25" s="101">
        <f>'VAL 2 TRIM'!AG25</f>
        <v>100</v>
      </c>
      <c r="O25" s="31">
        <f>'VAL 3 TRIM'!C25</f>
        <v>10</v>
      </c>
      <c r="P25" s="31">
        <f>'VAL 3 TRIM'!O25</f>
        <v>35</v>
      </c>
      <c r="Q25" s="31">
        <f>'VAL 3 TRIM'!AB25</f>
        <v>35</v>
      </c>
      <c r="R25" s="31">
        <f>'VAL 3 TRIM'!AA25</f>
        <v>10</v>
      </c>
      <c r="S25" s="48">
        <f>'VAL 3 TRIM'!AE25</f>
        <v>10</v>
      </c>
      <c r="T25" s="101">
        <f>'VAL 3 TRIM'!AG25</f>
        <v>100</v>
      </c>
      <c r="U25" s="102">
        <f t="shared" si="0"/>
        <v>100</v>
      </c>
      <c r="V25" s="103" t="str">
        <f t="shared" si="1"/>
        <v>APROBADO</v>
      </c>
      <c r="W25" s="104"/>
      <c r="X25" s="104"/>
    </row>
    <row r="26" spans="1:24" ht="12" customHeight="1" x14ac:dyDescent="0.45">
      <c r="A26" s="58">
        <v>18</v>
      </c>
      <c r="B26" s="59">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45">
      <c r="A27" s="58">
        <v>19</v>
      </c>
      <c r="B27" s="59">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45">
      <c r="A28" s="58">
        <v>20</v>
      </c>
      <c r="B28" s="59">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45">
      <c r="A29" s="58">
        <v>21</v>
      </c>
      <c r="B29" s="59">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45">
      <c r="A30" s="58">
        <v>22</v>
      </c>
      <c r="B30" s="59">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45">
      <c r="A31" s="58">
        <v>23</v>
      </c>
      <c r="B31" s="59">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45">
      <c r="A32" s="58">
        <v>24</v>
      </c>
      <c r="B32" s="59">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45">
      <c r="A33" s="58">
        <v>25</v>
      </c>
      <c r="B33" s="59">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45">
      <c r="A34" s="58">
        <v>26</v>
      </c>
      <c r="B34" s="59">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45">
      <c r="A35" s="58">
        <v>27</v>
      </c>
      <c r="B35" s="59">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45">
      <c r="A36" s="58">
        <v>28</v>
      </c>
      <c r="B36" s="59">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45">
      <c r="A37" s="58">
        <v>29</v>
      </c>
      <c r="B37" s="59">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45">
      <c r="A38" s="58">
        <v>30</v>
      </c>
      <c r="B38" s="59">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45">
      <c r="A39" s="58">
        <v>31</v>
      </c>
      <c r="B39" s="59">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45">
      <c r="A40" s="58">
        <v>32</v>
      </c>
      <c r="B40" s="59">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45">
      <c r="A41" s="58">
        <v>33</v>
      </c>
      <c r="B41" s="59">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45">
      <c r="A42" s="58">
        <v>34</v>
      </c>
      <c r="B42" s="59">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45">
      <c r="A43" s="58">
        <v>35</v>
      </c>
      <c r="B43" s="59">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45">
      <c r="A44" s="58">
        <v>36</v>
      </c>
      <c r="B44" s="59">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45"/>
    <row r="46" spans="1:24" ht="12.75" customHeight="1" x14ac:dyDescent="0.45"/>
    <row r="47" spans="1:24" ht="12.75" customHeight="1" x14ac:dyDescent="0.45"/>
    <row r="48" spans="1:2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34375" defaultRowHeight="15" customHeight="1" x14ac:dyDescent="0.45"/>
  <cols>
    <col min="1" max="1" width="1.6640625" customWidth="1"/>
    <col min="2" max="2" width="20.6640625" customWidth="1"/>
    <col min="3" max="6" width="3.6640625" customWidth="1"/>
    <col min="7" max="7" width="9" customWidth="1"/>
    <col min="8" max="8" width="1.234375" customWidth="1"/>
    <col min="9" max="11" width="3.6640625" customWidth="1"/>
    <col min="12" max="13" width="4.6640625" customWidth="1"/>
    <col min="14" max="26" width="8.7109375" customWidth="1"/>
  </cols>
  <sheetData>
    <row r="1" spans="1:13" ht="4.5" customHeight="1" x14ac:dyDescent="0.45"/>
    <row r="2" spans="1:13" ht="12.75" customHeight="1" x14ac:dyDescent="0.45">
      <c r="B2" s="178" t="s">
        <v>101</v>
      </c>
      <c r="C2" s="174"/>
      <c r="D2" s="174"/>
      <c r="E2" s="174"/>
      <c r="F2" s="174"/>
      <c r="G2" s="174"/>
      <c r="H2" s="174"/>
      <c r="I2" s="73"/>
      <c r="J2" s="73"/>
      <c r="K2" s="73"/>
      <c r="L2" s="73"/>
      <c r="M2" s="73"/>
    </row>
    <row r="3" spans="1:13" ht="12.75" customHeight="1" x14ac:dyDescent="0.45">
      <c r="B3" s="38" t="s">
        <v>8</v>
      </c>
      <c r="C3" s="39" t="str">
        <f>CARÁTULA!$C$15</f>
        <v>Instituto Tecnico Humanistico Jauzel Arrieta</v>
      </c>
      <c r="D3" s="41"/>
      <c r="E3" s="42"/>
      <c r="F3" s="42"/>
      <c r="G3" s="42"/>
      <c r="H3" s="42"/>
      <c r="I3" s="42"/>
      <c r="J3" s="38" t="s">
        <v>19</v>
      </c>
      <c r="K3" s="106"/>
      <c r="L3" s="39">
        <f>CARÁTULA!$C$25</f>
        <v>0</v>
      </c>
      <c r="M3" s="106"/>
    </row>
    <row r="4" spans="1:13" ht="12.75" customHeight="1" x14ac:dyDescent="0.45">
      <c r="B4" s="38" t="s">
        <v>14</v>
      </c>
      <c r="C4" s="39" t="str">
        <f>CARÁTULA!$C$21</f>
        <v>Secundaria</v>
      </c>
      <c r="D4" s="41"/>
      <c r="E4" s="40"/>
      <c r="F4" s="39"/>
      <c r="G4" s="40"/>
      <c r="H4" s="40"/>
      <c r="I4" s="40"/>
      <c r="J4" s="38" t="s">
        <v>51</v>
      </c>
      <c r="K4" s="106"/>
      <c r="L4" s="39">
        <f>CARÁTULA!$C$19</f>
        <v>0</v>
      </c>
      <c r="M4" s="106"/>
    </row>
    <row r="5" spans="1:13" ht="12.75" customHeight="1" x14ac:dyDescent="0.45">
      <c r="B5" s="38" t="s">
        <v>22</v>
      </c>
      <c r="C5" s="39" t="str">
        <f>CARÁTULA!$C$23</f>
        <v>2do de Secundaria</v>
      </c>
      <c r="D5" s="38"/>
      <c r="E5" s="44"/>
      <c r="F5" s="225"/>
      <c r="G5" s="214"/>
      <c r="H5" s="44"/>
      <c r="I5" s="44"/>
      <c r="J5" s="38" t="s">
        <v>23</v>
      </c>
      <c r="K5" s="106"/>
      <c r="L5" s="192">
        <f ca="1">TODAY()</f>
        <v>44413</v>
      </c>
      <c r="M5" s="174"/>
    </row>
    <row r="6" spans="1:13" ht="12.75" customHeight="1" x14ac:dyDescent="0.45">
      <c r="B6" s="38"/>
      <c r="C6" s="226" t="s">
        <v>106</v>
      </c>
      <c r="D6" s="196"/>
      <c r="E6" s="197"/>
      <c r="F6" s="222" t="s">
        <v>102</v>
      </c>
      <c r="G6" s="218" t="s">
        <v>103</v>
      </c>
      <c r="H6" s="66"/>
      <c r="I6" s="66"/>
    </row>
    <row r="7" spans="1:13" ht="12" customHeight="1" x14ac:dyDescent="0.45">
      <c r="B7" s="47"/>
      <c r="C7" s="223" t="s">
        <v>4</v>
      </c>
      <c r="D7" s="223" t="s">
        <v>107</v>
      </c>
      <c r="E7" s="224" t="s">
        <v>16</v>
      </c>
      <c r="F7" s="219"/>
      <c r="G7" s="219"/>
      <c r="H7" s="40"/>
      <c r="I7" s="40"/>
    </row>
    <row r="8" spans="1:13" ht="67.5" customHeight="1" x14ac:dyDescent="0.45">
      <c r="A8" s="48" t="s">
        <v>54</v>
      </c>
      <c r="B8" s="49" t="s">
        <v>55</v>
      </c>
      <c r="C8" s="204"/>
      <c r="D8" s="204"/>
      <c r="E8" s="204"/>
      <c r="F8" s="204"/>
      <c r="G8" s="204"/>
      <c r="H8" s="100"/>
      <c r="I8" s="100" t="s">
        <v>108</v>
      </c>
      <c r="J8" s="100" t="s">
        <v>109</v>
      </c>
      <c r="K8" s="100" t="s">
        <v>110</v>
      </c>
    </row>
    <row r="9" spans="1:13" ht="12" customHeight="1" x14ac:dyDescent="0.45">
      <c r="A9" s="58">
        <v>1</v>
      </c>
      <c r="B9" s="59" t="str">
        <f>'C. FILIACION'!B8</f>
        <v>ALARCON CHURA PRISCILA</v>
      </c>
      <c r="C9" s="101">
        <f>'VAL 1 TRIM '!AG9</f>
        <v>66</v>
      </c>
      <c r="D9" s="101">
        <f>'VAL 2 TRIM'!AG9</f>
        <v>65</v>
      </c>
      <c r="E9" s="101">
        <f>'VAL 3 TRIM'!AG9</f>
        <v>100</v>
      </c>
      <c r="F9" s="102">
        <f>'CENTRAL 1'!U9</f>
        <v>77</v>
      </c>
      <c r="G9" s="103" t="str">
        <f t="shared" ref="G9:G44" si="0">IF(F9="","",(IF(AND(F9&gt;=1,F9&lt;=50.499),"REPROBADO",IF(AND(F9&gt;=50.5,F9&lt;=100),"APROBADO"))))</f>
        <v>APROBADO</v>
      </c>
      <c r="H9" s="104"/>
      <c r="I9" s="31">
        <f t="shared" ref="I9:K9" si="1">COUNTIF(C9:C44,"&gt;=51")</f>
        <v>36</v>
      </c>
      <c r="J9" s="107">
        <f t="shared" si="1"/>
        <v>36</v>
      </c>
      <c r="K9" s="107">
        <f t="shared" si="1"/>
        <v>36</v>
      </c>
    </row>
    <row r="10" spans="1:13" ht="12" customHeight="1" x14ac:dyDescent="0.45">
      <c r="A10" s="58">
        <v>2</v>
      </c>
      <c r="B10" s="59" t="str">
        <f>'C. FILIACION'!B9</f>
        <v>ARCE CHOQUE LUCERO CORAL</v>
      </c>
      <c r="C10" s="101">
        <f>'VAL 1 TRIM '!AG10</f>
        <v>66</v>
      </c>
      <c r="D10" s="101">
        <f>'VAL 2 TRIM'!AG10</f>
        <v>65</v>
      </c>
      <c r="E10" s="101">
        <f>'VAL 3 TRIM'!AG10</f>
        <v>100</v>
      </c>
      <c r="F10" s="102">
        <f>'CENTRAL 1'!U10</f>
        <v>77</v>
      </c>
      <c r="G10" s="103" t="str">
        <f t="shared" si="0"/>
        <v>APROBADO</v>
      </c>
      <c r="H10" s="104"/>
      <c r="I10" s="108" t="s">
        <v>111</v>
      </c>
      <c r="J10" s="109"/>
    </row>
    <row r="11" spans="1:13" ht="12" customHeight="1" x14ac:dyDescent="0.45">
      <c r="A11" s="58">
        <v>3</v>
      </c>
      <c r="B11" s="59" t="str">
        <f>'C. FILIACION'!B10</f>
        <v>AREQUIPA CALCINA FABIAN JHON</v>
      </c>
      <c r="C11" s="101">
        <f>'VAL 1 TRIM '!AG11</f>
        <v>66</v>
      </c>
      <c r="D11" s="101">
        <f>'VAL 2 TRIM'!AG11</f>
        <v>80</v>
      </c>
      <c r="E11" s="101">
        <f>'VAL 3 TRIM'!AG11</f>
        <v>100</v>
      </c>
      <c r="F11" s="102">
        <f>'CENTRAL 1'!U11</f>
        <v>82</v>
      </c>
      <c r="G11" s="103" t="str">
        <f t="shared" si="0"/>
        <v>APROBADO</v>
      </c>
      <c r="H11" s="104"/>
      <c r="I11" s="104"/>
    </row>
    <row r="12" spans="1:13" ht="12" customHeight="1" x14ac:dyDescent="0.45">
      <c r="A12" s="58">
        <v>4</v>
      </c>
      <c r="B12" s="59" t="str">
        <f>'C. FILIACION'!B11</f>
        <v>CLAURE PARAVICINI RASHEL ROSALY</v>
      </c>
      <c r="C12" s="101">
        <f>'VAL 1 TRIM '!AG12</f>
        <v>66</v>
      </c>
      <c r="D12" s="101">
        <f>'VAL 2 TRIM'!AG12</f>
        <v>65</v>
      </c>
      <c r="E12" s="101">
        <f>'VAL 3 TRIM'!AG12</f>
        <v>100</v>
      </c>
      <c r="F12" s="102">
        <f>'CENTRAL 1'!U12</f>
        <v>77</v>
      </c>
      <c r="G12" s="103" t="str">
        <f t="shared" si="0"/>
        <v>APROBADO</v>
      </c>
      <c r="H12" s="104"/>
      <c r="I12" s="104"/>
    </row>
    <row r="13" spans="1:13" ht="12" customHeight="1" x14ac:dyDescent="0.45">
      <c r="A13" s="58">
        <v>5</v>
      </c>
      <c r="B13" s="59" t="str">
        <f>'C. FILIACION'!B12</f>
        <v>CONDORI FLORES ALEJANDRO BRYAN</v>
      </c>
      <c r="C13" s="101">
        <f>'VAL 1 TRIM '!AG13</f>
        <v>66</v>
      </c>
      <c r="D13" s="101">
        <f>'VAL 2 TRIM'!AG13</f>
        <v>84</v>
      </c>
      <c r="E13" s="101">
        <f>'VAL 3 TRIM'!AG13</f>
        <v>100</v>
      </c>
      <c r="F13" s="102">
        <f>'CENTRAL 1'!U13</f>
        <v>83.333333333333329</v>
      </c>
      <c r="G13" s="103" t="str">
        <f t="shared" si="0"/>
        <v>APROBADO</v>
      </c>
      <c r="H13" s="104"/>
      <c r="I13" s="107">
        <f t="shared" ref="I13:K13" si="2">COUNTIF(C9:C44,"&lt;=51")</f>
        <v>0</v>
      </c>
      <c r="J13" s="107">
        <f t="shared" si="2"/>
        <v>0</v>
      </c>
      <c r="K13" s="107">
        <f t="shared" si="2"/>
        <v>0</v>
      </c>
    </row>
    <row r="14" spans="1:13" ht="12" customHeight="1" x14ac:dyDescent="0.45">
      <c r="A14" s="58">
        <v>6</v>
      </c>
      <c r="B14" s="59" t="str">
        <f>'C. FILIACION'!B13</f>
        <v>DE LA CRUZ SANDOVAL JHON MARCO</v>
      </c>
      <c r="C14" s="101">
        <f>'VAL 1 TRIM '!AG14</f>
        <v>66</v>
      </c>
      <c r="D14" s="101">
        <f>'VAL 2 TRIM'!AG14</f>
        <v>88</v>
      </c>
      <c r="E14" s="101">
        <f>'VAL 3 TRIM'!AG14</f>
        <v>100</v>
      </c>
      <c r="F14" s="102">
        <f>'CENTRAL 1'!U14</f>
        <v>84.666666666666671</v>
      </c>
      <c r="G14" s="103" t="str">
        <f t="shared" si="0"/>
        <v>APROBADO</v>
      </c>
      <c r="H14" s="104"/>
      <c r="I14" s="108" t="s">
        <v>112</v>
      </c>
    </row>
    <row r="15" spans="1:13" ht="12" customHeight="1" x14ac:dyDescent="0.45">
      <c r="A15" s="58">
        <v>7</v>
      </c>
      <c r="B15" s="59" t="str">
        <f>'C. FILIACION'!B14</f>
        <v>GARCÍA IGNACIO MISHEL MAYA</v>
      </c>
      <c r="C15" s="101">
        <f>'VAL 1 TRIM '!AG15</f>
        <v>66</v>
      </c>
      <c r="D15" s="101">
        <f>'VAL 2 TRIM'!AG15</f>
        <v>90</v>
      </c>
      <c r="E15" s="101">
        <f>'VAL 3 TRIM'!AG15</f>
        <v>100</v>
      </c>
      <c r="F15" s="102">
        <f>'CENTRAL 1'!U15</f>
        <v>85.333333333333329</v>
      </c>
      <c r="G15" s="103" t="str">
        <f t="shared" si="0"/>
        <v>APROBADO</v>
      </c>
      <c r="H15" s="104"/>
      <c r="I15" s="104"/>
    </row>
    <row r="16" spans="1:13" ht="12" customHeight="1" x14ac:dyDescent="0.45">
      <c r="A16" s="58">
        <v>8</v>
      </c>
      <c r="B16" s="59" t="str">
        <f>'C. FILIACION'!B15</f>
        <v>HELGUERO SANCHEZ JHOYSI CAMIL</v>
      </c>
      <c r="C16" s="101">
        <f>'VAL 1 TRIM '!AG16</f>
        <v>66</v>
      </c>
      <c r="D16" s="101">
        <f>'VAL 2 TRIM'!AG16</f>
        <v>87</v>
      </c>
      <c r="E16" s="101">
        <f>'VAL 3 TRIM'!AG16</f>
        <v>100</v>
      </c>
      <c r="F16" s="102">
        <f>'CENTRAL 1'!U16</f>
        <v>84.333333333333329</v>
      </c>
      <c r="G16" s="103" t="str">
        <f t="shared" si="0"/>
        <v>APROBADO</v>
      </c>
      <c r="H16" s="104"/>
      <c r="I16" s="104"/>
    </row>
    <row r="17" spans="1:9" ht="12" customHeight="1" x14ac:dyDescent="0.45">
      <c r="A17" s="58">
        <v>9</v>
      </c>
      <c r="B17" s="59" t="str">
        <f>'C. FILIACION'!B16</f>
        <v>LEDEZMA ORELLANA RICARDO ERIK</v>
      </c>
      <c r="C17" s="101">
        <f>'VAL 1 TRIM '!AG17</f>
        <v>66</v>
      </c>
      <c r="D17" s="101">
        <f>'VAL 2 TRIM'!AG17</f>
        <v>90</v>
      </c>
      <c r="E17" s="101">
        <f>'VAL 3 TRIM'!AG17</f>
        <v>100</v>
      </c>
      <c r="F17" s="102">
        <f>'CENTRAL 1'!U17</f>
        <v>85.333333333333329</v>
      </c>
      <c r="G17" s="103" t="str">
        <f t="shared" si="0"/>
        <v>APROBADO</v>
      </c>
      <c r="H17" s="104"/>
      <c r="I17" s="104"/>
    </row>
    <row r="18" spans="1:9" ht="12" customHeight="1" x14ac:dyDescent="0.45">
      <c r="A18" s="58">
        <v>10</v>
      </c>
      <c r="B18" s="59" t="str">
        <f>'C. FILIACION'!B17</f>
        <v>MAMANI LOPEZ ELIZABETH MILDRED</v>
      </c>
      <c r="C18" s="101">
        <f>'VAL 1 TRIM '!AG18</f>
        <v>90</v>
      </c>
      <c r="D18" s="101">
        <f>'VAL 2 TRIM'!AG18</f>
        <v>65</v>
      </c>
      <c r="E18" s="101">
        <f>'VAL 3 TRIM'!AG18</f>
        <v>100</v>
      </c>
      <c r="F18" s="102">
        <f>'CENTRAL 1'!U18</f>
        <v>85</v>
      </c>
      <c r="G18" s="103" t="str">
        <f t="shared" si="0"/>
        <v>APROBADO</v>
      </c>
      <c r="H18" s="104"/>
      <c r="I18" s="104"/>
    </row>
    <row r="19" spans="1:9" ht="12" customHeight="1" x14ac:dyDescent="0.45">
      <c r="A19" s="58">
        <v>11</v>
      </c>
      <c r="B19" s="59" t="str">
        <f>'C. FILIACION'!B18</f>
        <v>MEDINA CHOQUE JUAN JOSE</v>
      </c>
      <c r="C19" s="101">
        <f>'VAL 1 TRIM '!AG19</f>
        <v>66</v>
      </c>
      <c r="D19" s="101">
        <f>'VAL 2 TRIM'!AG19</f>
        <v>65</v>
      </c>
      <c r="E19" s="101">
        <f>'VAL 3 TRIM'!AG19</f>
        <v>100</v>
      </c>
      <c r="F19" s="102">
        <f>'CENTRAL 1'!U19</f>
        <v>77</v>
      </c>
      <c r="G19" s="103" t="str">
        <f t="shared" si="0"/>
        <v>APROBADO</v>
      </c>
      <c r="H19" s="104"/>
      <c r="I19" s="104"/>
    </row>
    <row r="20" spans="1:9" ht="12" customHeight="1" x14ac:dyDescent="0.45">
      <c r="A20" s="58">
        <v>12</v>
      </c>
      <c r="B20" s="59" t="str">
        <f>'C. FILIACION'!B19</f>
        <v>NINA RUEDA SEBASTIAN CARLOS</v>
      </c>
      <c r="C20" s="101">
        <f>'VAL 1 TRIM '!AG20</f>
        <v>90</v>
      </c>
      <c r="D20" s="101">
        <f>'VAL 2 TRIM'!AG20</f>
        <v>91</v>
      </c>
      <c r="E20" s="101">
        <f>'VAL 3 TRIM'!AG20</f>
        <v>100</v>
      </c>
      <c r="F20" s="102">
        <f>'CENTRAL 1'!U20</f>
        <v>93.666666666666671</v>
      </c>
      <c r="G20" s="103" t="str">
        <f t="shared" si="0"/>
        <v>APROBADO</v>
      </c>
      <c r="H20" s="104"/>
      <c r="I20" s="104"/>
    </row>
    <row r="21" spans="1:9" ht="12" customHeight="1" x14ac:dyDescent="0.45">
      <c r="A21" s="58">
        <v>13</v>
      </c>
      <c r="B21" s="59" t="str">
        <f>'C. FILIACION'!B20</f>
        <v>RODRIGUEZ RAMIREZ NATALY ARIANA</v>
      </c>
      <c r="C21" s="101">
        <f>'VAL 1 TRIM '!AG21</f>
        <v>90</v>
      </c>
      <c r="D21" s="101">
        <f>'VAL 2 TRIM'!AG21</f>
        <v>65</v>
      </c>
      <c r="E21" s="101">
        <f>'VAL 3 TRIM'!AG21</f>
        <v>100</v>
      </c>
      <c r="F21" s="102">
        <f>'CENTRAL 1'!U21</f>
        <v>85</v>
      </c>
      <c r="G21" s="103" t="str">
        <f t="shared" si="0"/>
        <v>APROBADO</v>
      </c>
      <c r="H21" s="104"/>
      <c r="I21" s="104"/>
    </row>
    <row r="22" spans="1:9" ht="12" customHeight="1" x14ac:dyDescent="0.45">
      <c r="A22" s="58">
        <v>14</v>
      </c>
      <c r="B22" s="59" t="str">
        <f>'C. FILIACION'!B21</f>
        <v>SALAZAR CANAZA CRISTINA MAYRA</v>
      </c>
      <c r="C22" s="101">
        <f>'VAL 1 TRIM '!AG22</f>
        <v>90</v>
      </c>
      <c r="D22" s="101">
        <f>'VAL 2 TRIM'!AG22</f>
        <v>97</v>
      </c>
      <c r="E22" s="101">
        <f>'VAL 3 TRIM'!AG22</f>
        <v>100</v>
      </c>
      <c r="F22" s="102">
        <f>'CENTRAL 1'!U22</f>
        <v>95.666666666666671</v>
      </c>
      <c r="G22" s="103" t="str">
        <f t="shared" si="0"/>
        <v>APROBADO</v>
      </c>
      <c r="H22" s="104"/>
      <c r="I22" s="104"/>
    </row>
    <row r="23" spans="1:9" ht="12" customHeight="1" x14ac:dyDescent="0.45">
      <c r="A23" s="58">
        <v>15</v>
      </c>
      <c r="B23" s="59" t="str">
        <f>'C. FILIACION'!B22</f>
        <v>SEVILLANO BALTAZAR AGNESE</v>
      </c>
      <c r="C23" s="101">
        <f>'VAL 1 TRIM '!AG23</f>
        <v>90</v>
      </c>
      <c r="D23" s="101">
        <f>'VAL 2 TRIM'!AG23</f>
        <v>90</v>
      </c>
      <c r="E23" s="101">
        <f>'VAL 3 TRIM'!AG23</f>
        <v>100</v>
      </c>
      <c r="F23" s="102">
        <f>'CENTRAL 1'!U23</f>
        <v>93.333333333333329</v>
      </c>
      <c r="G23" s="103" t="str">
        <f t="shared" si="0"/>
        <v>APROBADO</v>
      </c>
      <c r="H23" s="104"/>
      <c r="I23" s="104"/>
    </row>
    <row r="24" spans="1:9" ht="12" customHeight="1" x14ac:dyDescent="0.45">
      <c r="A24" s="58">
        <v>16</v>
      </c>
      <c r="B24" s="59" t="str">
        <f>'C. FILIACION'!B23</f>
        <v>TOCONAS HUAYGUA VICTORIA FERNANDA</v>
      </c>
      <c r="C24" s="101">
        <f>'VAL 1 TRIM '!AG24</f>
        <v>66</v>
      </c>
      <c r="D24" s="101">
        <f>'VAL 2 TRIM'!AG24</f>
        <v>80</v>
      </c>
      <c r="E24" s="101">
        <f>'VAL 3 TRIM'!AG24</f>
        <v>100</v>
      </c>
      <c r="F24" s="102">
        <f>'CENTRAL 1'!U24</f>
        <v>82</v>
      </c>
      <c r="G24" s="103" t="str">
        <f t="shared" si="0"/>
        <v>APROBADO</v>
      </c>
      <c r="H24" s="104"/>
      <c r="I24" s="104"/>
    </row>
    <row r="25" spans="1:9" ht="12" customHeight="1" x14ac:dyDescent="0.45">
      <c r="A25" s="58">
        <v>17</v>
      </c>
      <c r="B25" s="59">
        <f>'C. FILIACION'!B24</f>
        <v>0</v>
      </c>
      <c r="C25" s="101">
        <f>'VAL 1 TRIM '!AG25</f>
        <v>100</v>
      </c>
      <c r="D25" s="101">
        <f>'VAL 2 TRIM'!AG25</f>
        <v>100</v>
      </c>
      <c r="E25" s="101">
        <f>'VAL 3 TRIM'!AG25</f>
        <v>100</v>
      </c>
      <c r="F25" s="102">
        <f>'CENTRAL 1'!U25</f>
        <v>100</v>
      </c>
      <c r="G25" s="103" t="str">
        <f t="shared" si="0"/>
        <v>APROBADO</v>
      </c>
      <c r="H25" s="104"/>
      <c r="I25" s="104"/>
    </row>
    <row r="26" spans="1:9" ht="12" customHeight="1" x14ac:dyDescent="0.45">
      <c r="A26" s="58">
        <v>18</v>
      </c>
      <c r="B26" s="59">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45">
      <c r="A27" s="58">
        <v>19</v>
      </c>
      <c r="B27" s="59">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45">
      <c r="A28" s="58">
        <v>20</v>
      </c>
      <c r="B28" s="59">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45">
      <c r="A29" s="58">
        <v>21</v>
      </c>
      <c r="B29" s="59">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45">
      <c r="A30" s="58">
        <v>22</v>
      </c>
      <c r="B30" s="59">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45">
      <c r="A31" s="58">
        <v>23</v>
      </c>
      <c r="B31" s="59">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45">
      <c r="A32" s="58">
        <v>24</v>
      </c>
      <c r="B32" s="59">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45">
      <c r="A33" s="58">
        <v>25</v>
      </c>
      <c r="B33" s="59">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45">
      <c r="A34" s="58">
        <v>26</v>
      </c>
      <c r="B34" s="59">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45">
      <c r="A35" s="58">
        <v>27</v>
      </c>
      <c r="B35" s="59">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45">
      <c r="A36" s="58">
        <v>28</v>
      </c>
      <c r="B36" s="59">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45">
      <c r="A37" s="58">
        <v>29</v>
      </c>
      <c r="B37" s="59">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45">
      <c r="A38" s="58">
        <v>30</v>
      </c>
      <c r="B38" s="59">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45">
      <c r="A39" s="58">
        <v>31</v>
      </c>
      <c r="B39" s="59">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45">
      <c r="A40" s="58">
        <v>32</v>
      </c>
      <c r="B40" s="59">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45">
      <c r="A41" s="58">
        <v>33</v>
      </c>
      <c r="B41" s="59">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45">
      <c r="A42" s="58">
        <v>34</v>
      </c>
      <c r="B42" s="59">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45">
      <c r="A43" s="58">
        <v>35</v>
      </c>
      <c r="B43" s="59">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45">
      <c r="A44" s="58">
        <v>36</v>
      </c>
      <c r="B44" s="59">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45"/>
    <row r="46" spans="1:9" ht="12.75" customHeight="1" x14ac:dyDescent="0.45"/>
    <row r="47" spans="1:9" ht="12.75" customHeight="1" x14ac:dyDescent="0.45"/>
    <row r="48" spans="1:9"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34375" defaultRowHeight="15" customHeight="1" x14ac:dyDescent="0.45"/>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x14ac:dyDescent="0.4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0.6" x14ac:dyDescent="0.45">
      <c r="A2" s="110"/>
      <c r="B2" s="230" t="s">
        <v>113</v>
      </c>
      <c r="C2" s="174"/>
      <c r="D2" s="174"/>
      <c r="E2" s="174"/>
      <c r="F2" s="174"/>
      <c r="G2" s="174"/>
      <c r="H2" s="174"/>
      <c r="I2" s="174"/>
      <c r="J2" s="174"/>
      <c r="K2" s="110"/>
      <c r="L2" s="110"/>
      <c r="M2" s="110"/>
      <c r="N2" s="110"/>
      <c r="O2" s="110"/>
      <c r="P2" s="110"/>
      <c r="Q2" s="110"/>
      <c r="R2" s="110"/>
      <c r="S2" s="110"/>
      <c r="T2" s="110"/>
      <c r="U2" s="110"/>
      <c r="V2" s="110"/>
      <c r="W2" s="110"/>
      <c r="X2" s="110"/>
      <c r="Y2" s="110"/>
      <c r="Z2" s="110"/>
    </row>
    <row r="3" spans="1:26" ht="19.75" x14ac:dyDescent="0.4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19.75" x14ac:dyDescent="0.4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19.75" x14ac:dyDescent="0.45">
      <c r="A5" s="110"/>
      <c r="B5" s="111" t="s">
        <v>22</v>
      </c>
      <c r="C5" s="110"/>
      <c r="D5" s="112" t="str">
        <f>CARÁTULA!$C$23</f>
        <v>2do de Secundaria</v>
      </c>
      <c r="E5" s="110"/>
      <c r="F5" s="110"/>
      <c r="G5" s="110"/>
      <c r="H5" s="111" t="s">
        <v>23</v>
      </c>
      <c r="I5" s="66">
        <f ca="1">TODAY()</f>
        <v>44413</v>
      </c>
      <c r="J5" s="110"/>
      <c r="K5" s="110"/>
      <c r="L5" s="110"/>
      <c r="M5" s="110"/>
      <c r="N5" s="110"/>
      <c r="O5" s="110"/>
      <c r="P5" s="110"/>
      <c r="Q5" s="110"/>
      <c r="R5" s="110"/>
      <c r="S5" s="110"/>
      <c r="T5" s="110"/>
      <c r="U5" s="110"/>
      <c r="V5" s="110"/>
      <c r="W5" s="110"/>
      <c r="X5" s="110"/>
      <c r="Y5" s="110"/>
      <c r="Z5" s="110"/>
    </row>
    <row r="6" spans="1:26" ht="19.75" x14ac:dyDescent="0.45">
      <c r="A6" s="110"/>
      <c r="B6" s="110"/>
      <c r="C6" s="110"/>
      <c r="D6" s="110"/>
      <c r="E6" s="110"/>
      <c r="F6" s="110"/>
      <c r="G6" s="114"/>
      <c r="H6" s="114"/>
      <c r="I6" s="115" t="s">
        <v>114</v>
      </c>
      <c r="J6" s="110"/>
      <c r="K6" s="110"/>
      <c r="L6" s="110"/>
      <c r="M6" s="110"/>
      <c r="N6" s="110"/>
      <c r="O6" s="110"/>
      <c r="P6" s="110"/>
      <c r="Q6" s="110"/>
      <c r="R6" s="110"/>
      <c r="S6" s="110"/>
      <c r="T6" s="110"/>
      <c r="U6" s="110"/>
      <c r="V6" s="110"/>
      <c r="W6" s="110"/>
      <c r="X6" s="110"/>
      <c r="Y6" s="110"/>
      <c r="Z6" s="110"/>
    </row>
    <row r="7" spans="1:26" ht="19.75" x14ac:dyDescent="0.45">
      <c r="A7" s="110"/>
      <c r="B7" s="115" t="s">
        <v>95</v>
      </c>
      <c r="C7" s="114" t="s">
        <v>115</v>
      </c>
      <c r="D7" s="115" t="s">
        <v>116</v>
      </c>
      <c r="E7" s="116" t="s">
        <v>117</v>
      </c>
      <c r="F7" s="110"/>
      <c r="G7" s="117" t="s">
        <v>118</v>
      </c>
      <c r="H7" s="115">
        <f>'VAL 1 TRIM '!$AO$9</f>
        <v>0</v>
      </c>
      <c r="I7" s="118">
        <f>H7/H11</f>
        <v>0</v>
      </c>
      <c r="J7" s="110"/>
      <c r="K7" s="110"/>
      <c r="L7" s="110"/>
      <c r="M7" s="110"/>
      <c r="N7" s="110"/>
      <c r="O7" s="110"/>
      <c r="P7" s="110"/>
      <c r="Q7" s="110"/>
      <c r="R7" s="110"/>
      <c r="S7" s="110"/>
      <c r="T7" s="110"/>
      <c r="U7" s="110"/>
      <c r="V7" s="110"/>
      <c r="W7" s="110"/>
      <c r="X7" s="110"/>
      <c r="Y7" s="110"/>
      <c r="Z7" s="110"/>
    </row>
    <row r="8" spans="1:26" ht="19.75" x14ac:dyDescent="0.45">
      <c r="A8" s="110"/>
      <c r="B8" s="115" t="s">
        <v>96</v>
      </c>
      <c r="C8" s="114" t="s">
        <v>119</v>
      </c>
      <c r="D8" s="115" t="s">
        <v>120</v>
      </c>
      <c r="E8" s="116" t="s">
        <v>121</v>
      </c>
      <c r="F8" s="110"/>
      <c r="G8" s="117" t="s">
        <v>122</v>
      </c>
      <c r="H8" s="115">
        <f>'VAL 1 TRIM '!$AO$10</f>
        <v>11</v>
      </c>
      <c r="I8" s="118">
        <f>H8/H11</f>
        <v>0.30555555555555558</v>
      </c>
      <c r="J8" s="110"/>
      <c r="K8" s="110"/>
      <c r="L8" s="110"/>
      <c r="M8" s="110"/>
      <c r="N8" s="110"/>
      <c r="O8" s="110"/>
      <c r="P8" s="110"/>
      <c r="Q8" s="110"/>
      <c r="R8" s="110"/>
      <c r="S8" s="110"/>
      <c r="T8" s="110"/>
      <c r="U8" s="110"/>
      <c r="V8" s="110"/>
      <c r="W8" s="110"/>
      <c r="X8" s="110"/>
      <c r="Y8" s="110"/>
      <c r="Z8" s="110"/>
    </row>
    <row r="9" spans="1:26" ht="19.75" x14ac:dyDescent="0.45">
      <c r="A9" s="110"/>
      <c r="B9" s="115" t="s">
        <v>97</v>
      </c>
      <c r="C9" s="114" t="s">
        <v>123</v>
      </c>
      <c r="D9" s="115" t="s">
        <v>124</v>
      </c>
      <c r="E9" s="116" t="s">
        <v>121</v>
      </c>
      <c r="F9" s="110"/>
      <c r="G9" s="119" t="s">
        <v>125</v>
      </c>
      <c r="H9" s="115">
        <f>'VAL 1 TRIM '!$AO$11</f>
        <v>0</v>
      </c>
      <c r="I9" s="118">
        <f>H9/H11</f>
        <v>0</v>
      </c>
      <c r="J9" s="110"/>
      <c r="K9" s="110"/>
      <c r="L9" s="110"/>
      <c r="M9" s="110"/>
      <c r="N9" s="110"/>
      <c r="O9" s="110"/>
      <c r="P9" s="110"/>
      <c r="Q9" s="110"/>
      <c r="R9" s="110"/>
      <c r="S9" s="110"/>
      <c r="T9" s="110"/>
      <c r="U9" s="110"/>
      <c r="V9" s="110"/>
      <c r="W9" s="110"/>
      <c r="X9" s="110"/>
      <c r="Y9" s="110"/>
      <c r="Z9" s="110"/>
    </row>
    <row r="10" spans="1:26" ht="19.75" x14ac:dyDescent="0.45">
      <c r="A10" s="110"/>
      <c r="B10" s="115" t="s">
        <v>98</v>
      </c>
      <c r="C10" s="114" t="s">
        <v>126</v>
      </c>
      <c r="D10" s="115" t="s">
        <v>127</v>
      </c>
      <c r="E10" s="116" t="s">
        <v>121</v>
      </c>
      <c r="F10" s="110"/>
      <c r="G10" s="119" t="s">
        <v>128</v>
      </c>
      <c r="H10" s="115">
        <f>'VAL 1 TRIM '!$AO$12</f>
        <v>25</v>
      </c>
      <c r="I10" s="118">
        <f>H10/H11</f>
        <v>0.69444444444444442</v>
      </c>
      <c r="J10" s="110"/>
      <c r="K10" s="110"/>
      <c r="L10" s="110"/>
      <c r="M10" s="110"/>
      <c r="N10" s="110"/>
      <c r="O10" s="110"/>
      <c r="P10" s="110"/>
      <c r="Q10" s="110"/>
      <c r="R10" s="110"/>
      <c r="S10" s="110"/>
      <c r="T10" s="110"/>
      <c r="U10" s="110"/>
      <c r="V10" s="110"/>
      <c r="W10" s="110"/>
      <c r="X10" s="110"/>
      <c r="Y10" s="110"/>
      <c r="Z10" s="110"/>
    </row>
    <row r="11" spans="1:26" ht="19.75" x14ac:dyDescent="0.45">
      <c r="A11" s="110"/>
      <c r="B11" s="110"/>
      <c r="C11" s="110"/>
      <c r="D11" s="110"/>
      <c r="E11" s="110"/>
      <c r="F11" s="110"/>
      <c r="G11" s="120" t="s">
        <v>129</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19.75" x14ac:dyDescent="0.4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19.75" x14ac:dyDescent="0.45">
      <c r="A13" s="110"/>
      <c r="B13" s="231" t="s">
        <v>130</v>
      </c>
      <c r="C13" s="174"/>
      <c r="D13" s="174"/>
      <c r="E13" s="174"/>
      <c r="F13" s="174"/>
      <c r="G13" s="174"/>
      <c r="H13" s="174"/>
      <c r="I13" s="174"/>
      <c r="J13" s="174"/>
      <c r="K13" s="110"/>
      <c r="L13" s="110"/>
      <c r="M13" s="110"/>
      <c r="N13" s="110"/>
      <c r="O13" s="110"/>
      <c r="P13" s="110"/>
      <c r="Q13" s="110"/>
      <c r="R13" s="110"/>
      <c r="S13" s="110"/>
      <c r="T13" s="110"/>
      <c r="U13" s="110"/>
      <c r="V13" s="110"/>
      <c r="W13" s="110"/>
      <c r="X13" s="110"/>
      <c r="Y13" s="110"/>
      <c r="Z13" s="110"/>
    </row>
    <row r="14" spans="1:26" ht="19.75" x14ac:dyDescent="0.4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5">
      <c r="A15" s="110"/>
      <c r="B15" s="227" t="s">
        <v>131</v>
      </c>
      <c r="C15" s="181"/>
      <c r="D15" s="181"/>
      <c r="E15" s="181"/>
      <c r="F15" s="181"/>
      <c r="G15" s="181"/>
      <c r="H15" s="181"/>
      <c r="I15" s="181"/>
      <c r="J15" s="182"/>
      <c r="K15" s="110"/>
      <c r="L15" s="110"/>
      <c r="M15" s="110"/>
      <c r="N15" s="110"/>
      <c r="O15" s="110"/>
      <c r="P15" s="110"/>
      <c r="Q15" s="110"/>
      <c r="R15" s="110"/>
      <c r="S15" s="110"/>
      <c r="T15" s="110"/>
      <c r="U15" s="110"/>
      <c r="V15" s="110"/>
      <c r="W15" s="110"/>
      <c r="X15" s="110"/>
      <c r="Y15" s="110"/>
      <c r="Z15" s="110"/>
    </row>
    <row r="16" spans="1:26" ht="16.5" customHeight="1" x14ac:dyDescent="0.45">
      <c r="A16" s="110"/>
      <c r="B16" s="228"/>
      <c r="C16" s="174"/>
      <c r="D16" s="174"/>
      <c r="E16" s="174"/>
      <c r="F16" s="174"/>
      <c r="G16" s="174"/>
      <c r="H16" s="174"/>
      <c r="I16" s="174"/>
      <c r="J16" s="229"/>
      <c r="K16" s="110"/>
      <c r="L16" s="110"/>
      <c r="M16" s="110"/>
      <c r="N16" s="110"/>
      <c r="O16" s="110"/>
      <c r="P16" s="110"/>
      <c r="Q16" s="110"/>
      <c r="R16" s="110"/>
      <c r="S16" s="110"/>
      <c r="T16" s="110"/>
      <c r="U16" s="110"/>
      <c r="V16" s="110"/>
      <c r="W16" s="110"/>
      <c r="X16" s="110"/>
      <c r="Y16" s="110"/>
      <c r="Z16" s="110"/>
    </row>
    <row r="17" spans="1:26" ht="16.5" customHeight="1" x14ac:dyDescent="0.45">
      <c r="A17" s="110"/>
      <c r="B17" s="213"/>
      <c r="C17" s="214"/>
      <c r="D17" s="214"/>
      <c r="E17" s="214"/>
      <c r="F17" s="214"/>
      <c r="G17" s="214"/>
      <c r="H17" s="214"/>
      <c r="I17" s="214"/>
      <c r="J17" s="215"/>
      <c r="K17" s="110"/>
      <c r="L17" s="110"/>
      <c r="M17" s="110"/>
      <c r="N17" s="110"/>
      <c r="O17" s="110"/>
      <c r="P17" s="110"/>
      <c r="Q17" s="110"/>
      <c r="R17" s="110"/>
      <c r="S17" s="110"/>
      <c r="T17" s="110"/>
      <c r="U17" s="110"/>
      <c r="V17" s="110"/>
      <c r="W17" s="110"/>
      <c r="X17" s="110"/>
      <c r="Y17" s="110"/>
      <c r="Z17" s="110"/>
    </row>
    <row r="18" spans="1:26" ht="16.5" customHeight="1" x14ac:dyDescent="0.45">
      <c r="A18" s="110"/>
      <c r="B18" s="227" t="s">
        <v>132</v>
      </c>
      <c r="C18" s="181"/>
      <c r="D18" s="181"/>
      <c r="E18" s="181"/>
      <c r="F18" s="181"/>
      <c r="G18" s="181"/>
      <c r="H18" s="181"/>
      <c r="I18" s="181"/>
      <c r="J18" s="182"/>
      <c r="K18" s="110"/>
      <c r="L18" s="110"/>
      <c r="M18" s="110"/>
      <c r="N18" s="110"/>
      <c r="O18" s="110"/>
      <c r="P18" s="110"/>
      <c r="Q18" s="110"/>
      <c r="R18" s="110"/>
      <c r="S18" s="110"/>
      <c r="T18" s="110"/>
      <c r="U18" s="110"/>
      <c r="V18" s="110"/>
      <c r="W18" s="110"/>
      <c r="X18" s="110"/>
      <c r="Y18" s="110"/>
      <c r="Z18" s="110"/>
    </row>
    <row r="19" spans="1:26" ht="16.5" customHeight="1" x14ac:dyDescent="0.45">
      <c r="A19" s="110"/>
      <c r="B19" s="228"/>
      <c r="C19" s="174"/>
      <c r="D19" s="174"/>
      <c r="E19" s="174"/>
      <c r="F19" s="174"/>
      <c r="G19" s="174"/>
      <c r="H19" s="174"/>
      <c r="I19" s="174"/>
      <c r="J19" s="229"/>
      <c r="K19" s="110"/>
      <c r="L19" s="110"/>
      <c r="M19" s="110"/>
      <c r="N19" s="110"/>
      <c r="O19" s="110"/>
      <c r="P19" s="110"/>
      <c r="Q19" s="110"/>
      <c r="R19" s="110"/>
      <c r="S19" s="110"/>
      <c r="T19" s="110"/>
      <c r="U19" s="110"/>
      <c r="V19" s="110"/>
      <c r="W19" s="110"/>
      <c r="X19" s="110"/>
      <c r="Y19" s="110"/>
      <c r="Z19" s="110"/>
    </row>
    <row r="20" spans="1:26" ht="16.5" customHeight="1" x14ac:dyDescent="0.45">
      <c r="A20" s="110"/>
      <c r="B20" s="213"/>
      <c r="C20" s="214"/>
      <c r="D20" s="214"/>
      <c r="E20" s="214"/>
      <c r="F20" s="214"/>
      <c r="G20" s="214"/>
      <c r="H20" s="214"/>
      <c r="I20" s="214"/>
      <c r="J20" s="215"/>
      <c r="K20" s="110"/>
      <c r="L20" s="110"/>
      <c r="M20" s="110"/>
      <c r="N20" s="110"/>
      <c r="O20" s="110"/>
      <c r="P20" s="110"/>
      <c r="Q20" s="110"/>
      <c r="R20" s="110"/>
      <c r="S20" s="110"/>
      <c r="T20" s="110"/>
      <c r="U20" s="110"/>
      <c r="V20" s="110"/>
      <c r="W20" s="110"/>
      <c r="X20" s="110"/>
      <c r="Y20" s="110"/>
      <c r="Z20" s="110"/>
    </row>
    <row r="21" spans="1:26" ht="16.5" customHeight="1" x14ac:dyDescent="0.45">
      <c r="A21" s="110"/>
      <c r="B21" s="227" t="s">
        <v>133</v>
      </c>
      <c r="C21" s="181"/>
      <c r="D21" s="181"/>
      <c r="E21" s="181"/>
      <c r="F21" s="181"/>
      <c r="G21" s="181"/>
      <c r="H21" s="181"/>
      <c r="I21" s="181"/>
      <c r="J21" s="182"/>
      <c r="K21" s="110"/>
      <c r="L21" s="110"/>
      <c r="M21" s="110"/>
      <c r="N21" s="110"/>
      <c r="O21" s="110"/>
      <c r="P21" s="110"/>
      <c r="Q21" s="110"/>
      <c r="R21" s="110"/>
      <c r="S21" s="110"/>
      <c r="T21" s="110"/>
      <c r="U21" s="110"/>
      <c r="V21" s="110"/>
      <c r="W21" s="110"/>
      <c r="X21" s="110"/>
      <c r="Y21" s="110"/>
      <c r="Z21" s="110"/>
    </row>
    <row r="22" spans="1:26" ht="16.5" customHeight="1" x14ac:dyDescent="0.45">
      <c r="A22" s="110"/>
      <c r="B22" s="228"/>
      <c r="C22" s="174"/>
      <c r="D22" s="174"/>
      <c r="E22" s="174"/>
      <c r="F22" s="174"/>
      <c r="G22" s="174"/>
      <c r="H22" s="174"/>
      <c r="I22" s="174"/>
      <c r="J22" s="229"/>
      <c r="K22" s="110"/>
      <c r="L22" s="110"/>
      <c r="M22" s="110"/>
      <c r="N22" s="110"/>
      <c r="O22" s="110"/>
      <c r="P22" s="110"/>
      <c r="Q22" s="110"/>
      <c r="R22" s="110"/>
      <c r="S22" s="110"/>
      <c r="T22" s="110"/>
      <c r="U22" s="110"/>
      <c r="V22" s="110"/>
      <c r="W22" s="110"/>
      <c r="X22" s="110"/>
      <c r="Y22" s="110"/>
      <c r="Z22" s="110"/>
    </row>
    <row r="23" spans="1:26" ht="16.5" customHeight="1" x14ac:dyDescent="0.45">
      <c r="A23" s="110"/>
      <c r="B23" s="213"/>
      <c r="C23" s="214"/>
      <c r="D23" s="214"/>
      <c r="E23" s="214"/>
      <c r="F23" s="214"/>
      <c r="G23" s="214"/>
      <c r="H23" s="214"/>
      <c r="I23" s="214"/>
      <c r="J23" s="215"/>
      <c r="K23" s="110"/>
      <c r="L23" s="110"/>
      <c r="M23" s="110"/>
      <c r="N23" s="110"/>
      <c r="O23" s="110"/>
      <c r="P23" s="110"/>
      <c r="Q23" s="110"/>
      <c r="R23" s="110"/>
      <c r="S23" s="110"/>
      <c r="T23" s="110"/>
      <c r="U23" s="110"/>
      <c r="V23" s="110"/>
      <c r="W23" s="110"/>
      <c r="X23" s="110"/>
      <c r="Y23" s="110"/>
      <c r="Z23" s="110"/>
    </row>
    <row r="24" spans="1:26" ht="16.5" customHeight="1" x14ac:dyDescent="0.45">
      <c r="A24" s="110"/>
      <c r="B24" s="227" t="s">
        <v>134</v>
      </c>
      <c r="C24" s="181"/>
      <c r="D24" s="181"/>
      <c r="E24" s="181"/>
      <c r="F24" s="181"/>
      <c r="G24" s="181"/>
      <c r="H24" s="181"/>
      <c r="I24" s="181"/>
      <c r="J24" s="182"/>
      <c r="K24" s="110"/>
      <c r="L24" s="110"/>
      <c r="M24" s="110"/>
      <c r="N24" s="110"/>
      <c r="O24" s="110"/>
      <c r="P24" s="110"/>
      <c r="Q24" s="110"/>
      <c r="R24" s="110"/>
      <c r="S24" s="110"/>
      <c r="T24" s="110"/>
      <c r="U24" s="110"/>
      <c r="V24" s="110"/>
      <c r="W24" s="110"/>
      <c r="X24" s="110"/>
      <c r="Y24" s="110"/>
      <c r="Z24" s="110"/>
    </row>
    <row r="25" spans="1:26" ht="16.5" customHeight="1" x14ac:dyDescent="0.45">
      <c r="A25" s="110"/>
      <c r="B25" s="228"/>
      <c r="C25" s="174"/>
      <c r="D25" s="174"/>
      <c r="E25" s="174"/>
      <c r="F25" s="174"/>
      <c r="G25" s="174"/>
      <c r="H25" s="174"/>
      <c r="I25" s="174"/>
      <c r="J25" s="229"/>
      <c r="K25" s="110"/>
      <c r="L25" s="110"/>
      <c r="M25" s="110"/>
      <c r="N25" s="110"/>
      <c r="O25" s="110"/>
      <c r="P25" s="110"/>
      <c r="Q25" s="110"/>
      <c r="R25" s="110"/>
      <c r="S25" s="110"/>
      <c r="T25" s="110"/>
      <c r="U25" s="110"/>
      <c r="V25" s="110"/>
      <c r="W25" s="110"/>
      <c r="X25" s="110"/>
      <c r="Y25" s="110"/>
      <c r="Z25" s="110"/>
    </row>
    <row r="26" spans="1:26" ht="16.5" customHeight="1" x14ac:dyDescent="0.45">
      <c r="A26" s="110"/>
      <c r="B26" s="213"/>
      <c r="C26" s="214"/>
      <c r="D26" s="214"/>
      <c r="E26" s="214"/>
      <c r="F26" s="214"/>
      <c r="G26" s="214"/>
      <c r="H26" s="214"/>
      <c r="I26" s="214"/>
      <c r="J26" s="215"/>
      <c r="K26" s="110"/>
      <c r="L26" s="110"/>
      <c r="M26" s="110"/>
      <c r="N26" s="110"/>
      <c r="O26" s="110"/>
      <c r="P26" s="110"/>
      <c r="Q26" s="110"/>
      <c r="R26" s="110"/>
      <c r="S26" s="110"/>
      <c r="T26" s="110"/>
      <c r="U26" s="110"/>
      <c r="V26" s="110"/>
      <c r="W26" s="110"/>
      <c r="X26" s="110"/>
      <c r="Y26" s="110"/>
      <c r="Z26" s="110"/>
    </row>
    <row r="27" spans="1:26" ht="16.5" customHeight="1" x14ac:dyDescent="0.45">
      <c r="A27" s="110"/>
      <c r="B27" s="227" t="s">
        <v>135</v>
      </c>
      <c r="C27" s="181"/>
      <c r="D27" s="181"/>
      <c r="E27" s="181"/>
      <c r="F27" s="181"/>
      <c r="G27" s="181"/>
      <c r="H27" s="181"/>
      <c r="I27" s="181"/>
      <c r="J27" s="182"/>
      <c r="K27" s="110"/>
      <c r="L27" s="110"/>
      <c r="M27" s="110"/>
      <c r="N27" s="110"/>
      <c r="O27" s="110"/>
      <c r="P27" s="110"/>
      <c r="Q27" s="110"/>
      <c r="R27" s="110"/>
      <c r="S27" s="110"/>
      <c r="T27" s="110"/>
      <c r="U27" s="110"/>
      <c r="V27" s="110"/>
      <c r="W27" s="110"/>
      <c r="X27" s="110"/>
      <c r="Y27" s="110"/>
      <c r="Z27" s="110"/>
    </row>
    <row r="28" spans="1:26" ht="16.5" customHeight="1" x14ac:dyDescent="0.45">
      <c r="A28" s="110"/>
      <c r="B28" s="228"/>
      <c r="C28" s="174"/>
      <c r="D28" s="174"/>
      <c r="E28" s="174"/>
      <c r="F28" s="174"/>
      <c r="G28" s="174"/>
      <c r="H28" s="174"/>
      <c r="I28" s="174"/>
      <c r="J28" s="229"/>
      <c r="K28" s="110"/>
      <c r="L28" s="110"/>
      <c r="M28" s="110"/>
      <c r="N28" s="110"/>
      <c r="O28" s="110"/>
      <c r="P28" s="110"/>
      <c r="Q28" s="110"/>
      <c r="R28" s="110"/>
      <c r="S28" s="110"/>
      <c r="T28" s="110"/>
      <c r="U28" s="110"/>
      <c r="V28" s="110"/>
      <c r="W28" s="110"/>
      <c r="X28" s="110"/>
      <c r="Y28" s="110"/>
      <c r="Z28" s="110"/>
    </row>
    <row r="29" spans="1:26" ht="16.5" customHeight="1" x14ac:dyDescent="0.45">
      <c r="A29" s="110"/>
      <c r="B29" s="213"/>
      <c r="C29" s="214"/>
      <c r="D29" s="214"/>
      <c r="E29" s="214"/>
      <c r="F29" s="214"/>
      <c r="G29" s="214"/>
      <c r="H29" s="214"/>
      <c r="I29" s="214"/>
      <c r="J29" s="215"/>
      <c r="K29" s="110"/>
      <c r="L29" s="110"/>
      <c r="M29" s="110"/>
      <c r="N29" s="110"/>
      <c r="O29" s="110"/>
      <c r="P29" s="110"/>
      <c r="Q29" s="110"/>
      <c r="R29" s="110"/>
      <c r="S29" s="110"/>
      <c r="T29" s="110"/>
      <c r="U29" s="110"/>
      <c r="V29" s="110"/>
      <c r="W29" s="110"/>
      <c r="X29" s="110"/>
      <c r="Y29" s="110"/>
      <c r="Z29" s="110"/>
    </row>
    <row r="30" spans="1:26" ht="15.75" customHeight="1" x14ac:dyDescent="0.4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5">
      <c r="A34" s="110"/>
      <c r="B34" s="121"/>
      <c r="C34" s="122" t="s">
        <v>136</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34375" defaultRowHeight="15" customHeight="1" x14ac:dyDescent="0.45"/>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x14ac:dyDescent="0.4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0.6" x14ac:dyDescent="0.45">
      <c r="A2" s="110"/>
      <c r="B2" s="230" t="s">
        <v>137</v>
      </c>
      <c r="C2" s="174"/>
      <c r="D2" s="174"/>
      <c r="E2" s="174"/>
      <c r="F2" s="174"/>
      <c r="G2" s="174"/>
      <c r="H2" s="174"/>
      <c r="I2" s="174"/>
      <c r="J2" s="174"/>
      <c r="K2" s="110"/>
      <c r="L2" s="110"/>
      <c r="M2" s="110"/>
      <c r="N2" s="110"/>
      <c r="O2" s="110"/>
      <c r="P2" s="110"/>
      <c r="Q2" s="110"/>
      <c r="R2" s="110"/>
      <c r="S2" s="110"/>
      <c r="T2" s="110"/>
      <c r="U2" s="110"/>
      <c r="V2" s="110"/>
      <c r="W2" s="110"/>
      <c r="X2" s="110"/>
      <c r="Y2" s="110"/>
      <c r="Z2" s="110"/>
    </row>
    <row r="3" spans="1:26" ht="19.75" x14ac:dyDescent="0.4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19.75" x14ac:dyDescent="0.4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19.75" x14ac:dyDescent="0.45">
      <c r="A5" s="110"/>
      <c r="B5" s="111" t="s">
        <v>22</v>
      </c>
      <c r="C5" s="110"/>
      <c r="D5" s="112" t="str">
        <f>CARÁTULA!$C$23</f>
        <v>2do de Secundaria</v>
      </c>
      <c r="E5" s="110"/>
      <c r="F5" s="110"/>
      <c r="G5" s="110"/>
      <c r="H5" s="111" t="s">
        <v>23</v>
      </c>
      <c r="I5" s="66">
        <f ca="1">TODAY()</f>
        <v>44413</v>
      </c>
      <c r="J5" s="110"/>
      <c r="K5" s="110"/>
      <c r="L5" s="110"/>
      <c r="M5" s="110"/>
      <c r="N5" s="110"/>
      <c r="O5" s="110"/>
      <c r="P5" s="110"/>
      <c r="Q5" s="110"/>
      <c r="R5" s="110"/>
      <c r="S5" s="110"/>
      <c r="T5" s="110"/>
      <c r="U5" s="110"/>
      <c r="V5" s="110"/>
      <c r="W5" s="110"/>
      <c r="X5" s="110"/>
      <c r="Y5" s="110"/>
      <c r="Z5" s="110"/>
    </row>
    <row r="6" spans="1:26" ht="19.75" x14ac:dyDescent="0.45">
      <c r="A6" s="110"/>
      <c r="B6" s="110"/>
      <c r="C6" s="110"/>
      <c r="D6" s="110"/>
      <c r="E6" s="110"/>
      <c r="F6" s="110"/>
      <c r="G6" s="114"/>
      <c r="H6" s="114"/>
      <c r="I6" s="115" t="s">
        <v>114</v>
      </c>
      <c r="J6" s="110"/>
      <c r="K6" s="110"/>
      <c r="L6" s="110"/>
      <c r="M6" s="110"/>
      <c r="N6" s="110"/>
      <c r="O6" s="110"/>
      <c r="P6" s="110"/>
      <c r="Q6" s="110"/>
      <c r="R6" s="110"/>
      <c r="S6" s="110"/>
      <c r="T6" s="110"/>
      <c r="U6" s="110"/>
      <c r="V6" s="110"/>
      <c r="W6" s="110"/>
      <c r="X6" s="110"/>
      <c r="Y6" s="110"/>
      <c r="Z6" s="110"/>
    </row>
    <row r="7" spans="1:26" ht="19.75" x14ac:dyDescent="0.45">
      <c r="A7" s="110"/>
      <c r="B7" s="115" t="s">
        <v>95</v>
      </c>
      <c r="C7" s="114" t="s">
        <v>115</v>
      </c>
      <c r="D7" s="115" t="s">
        <v>116</v>
      </c>
      <c r="E7" s="116" t="s">
        <v>117</v>
      </c>
      <c r="F7" s="110"/>
      <c r="G7" s="117" t="s">
        <v>118</v>
      </c>
      <c r="H7" s="115">
        <f>'VAL 2 TRIM'!$AO$9</f>
        <v>0</v>
      </c>
      <c r="I7" s="118">
        <f>H7/H11</f>
        <v>0</v>
      </c>
      <c r="J7" s="110"/>
      <c r="K7" s="110"/>
      <c r="L7" s="110"/>
      <c r="M7" s="110"/>
      <c r="N7" s="110"/>
      <c r="O7" s="110"/>
      <c r="P7" s="110"/>
      <c r="Q7" s="110"/>
      <c r="R7" s="110"/>
      <c r="S7" s="110"/>
      <c r="T7" s="110"/>
      <c r="U7" s="110"/>
      <c r="V7" s="110"/>
      <c r="W7" s="110"/>
      <c r="X7" s="110"/>
      <c r="Y7" s="110"/>
      <c r="Z7" s="110"/>
    </row>
    <row r="8" spans="1:26" ht="19.75" x14ac:dyDescent="0.45">
      <c r="A8" s="110"/>
      <c r="B8" s="115" t="s">
        <v>96</v>
      </c>
      <c r="C8" s="114" t="s">
        <v>119</v>
      </c>
      <c r="D8" s="115" t="s">
        <v>120</v>
      </c>
      <c r="E8" s="116" t="s">
        <v>121</v>
      </c>
      <c r="F8" s="110"/>
      <c r="G8" s="117" t="s">
        <v>122</v>
      </c>
      <c r="H8" s="115">
        <f>'VAL 2 TRIM'!$AO$10</f>
        <v>6</v>
      </c>
      <c r="I8" s="118">
        <f>H8/H11</f>
        <v>0.16666666666666666</v>
      </c>
      <c r="J8" s="110"/>
      <c r="K8" s="110"/>
      <c r="L8" s="110"/>
      <c r="M8" s="110"/>
      <c r="N8" s="110"/>
      <c r="O8" s="110"/>
      <c r="P8" s="110"/>
      <c r="Q8" s="110"/>
      <c r="R8" s="110"/>
      <c r="S8" s="110"/>
      <c r="T8" s="110"/>
      <c r="U8" s="110"/>
      <c r="V8" s="110"/>
      <c r="W8" s="110"/>
      <c r="X8" s="110"/>
      <c r="Y8" s="110"/>
      <c r="Z8" s="110"/>
    </row>
    <row r="9" spans="1:26" ht="19.75" x14ac:dyDescent="0.45">
      <c r="A9" s="110"/>
      <c r="B9" s="115" t="s">
        <v>97</v>
      </c>
      <c r="C9" s="114" t="s">
        <v>123</v>
      </c>
      <c r="D9" s="115" t="s">
        <v>124</v>
      </c>
      <c r="E9" s="116" t="s">
        <v>121</v>
      </c>
      <c r="F9" s="110"/>
      <c r="G9" s="119" t="s">
        <v>125</v>
      </c>
      <c r="H9" s="115">
        <f>'VAL 2 TRIM'!$AO$11</f>
        <v>3</v>
      </c>
      <c r="I9" s="118">
        <f>H9/H11</f>
        <v>8.3333333333333329E-2</v>
      </c>
      <c r="J9" s="110"/>
      <c r="K9" s="110"/>
      <c r="L9" s="110"/>
      <c r="M9" s="110"/>
      <c r="N9" s="110"/>
      <c r="O9" s="110"/>
      <c r="P9" s="110"/>
      <c r="Q9" s="110"/>
      <c r="R9" s="110"/>
      <c r="S9" s="110"/>
      <c r="T9" s="110"/>
      <c r="U9" s="110"/>
      <c r="V9" s="110"/>
      <c r="W9" s="110"/>
      <c r="X9" s="110"/>
      <c r="Y9" s="110"/>
      <c r="Z9" s="110"/>
    </row>
    <row r="10" spans="1:26" ht="19.75" x14ac:dyDescent="0.45">
      <c r="A10" s="110"/>
      <c r="B10" s="115" t="s">
        <v>98</v>
      </c>
      <c r="C10" s="114" t="s">
        <v>126</v>
      </c>
      <c r="D10" s="115" t="s">
        <v>127</v>
      </c>
      <c r="E10" s="116" t="s">
        <v>121</v>
      </c>
      <c r="F10" s="110"/>
      <c r="G10" s="119" t="s">
        <v>128</v>
      </c>
      <c r="H10" s="115">
        <f>'VAL 2 TRIM'!$AO$12</f>
        <v>27</v>
      </c>
      <c r="I10" s="118">
        <f>H10/H11</f>
        <v>0.75</v>
      </c>
      <c r="J10" s="110"/>
      <c r="K10" s="110"/>
      <c r="L10" s="110"/>
      <c r="M10" s="110"/>
      <c r="N10" s="110"/>
      <c r="O10" s="110"/>
      <c r="P10" s="110"/>
      <c r="Q10" s="110"/>
      <c r="R10" s="110"/>
      <c r="S10" s="110"/>
      <c r="T10" s="110"/>
      <c r="U10" s="110"/>
      <c r="V10" s="110"/>
      <c r="W10" s="110"/>
      <c r="X10" s="110"/>
      <c r="Y10" s="110"/>
      <c r="Z10" s="110"/>
    </row>
    <row r="11" spans="1:26" ht="19.75" x14ac:dyDescent="0.45">
      <c r="A11" s="110"/>
      <c r="B11" s="110"/>
      <c r="C11" s="110"/>
      <c r="D11" s="110"/>
      <c r="E11" s="110"/>
      <c r="F11" s="110"/>
      <c r="G11" s="120" t="s">
        <v>129</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19.75" x14ac:dyDescent="0.4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19.75" x14ac:dyDescent="0.45">
      <c r="A13" s="110"/>
      <c r="B13" s="231" t="s">
        <v>130</v>
      </c>
      <c r="C13" s="174"/>
      <c r="D13" s="174"/>
      <c r="E13" s="174"/>
      <c r="F13" s="174"/>
      <c r="G13" s="174"/>
      <c r="H13" s="174"/>
      <c r="I13" s="174"/>
      <c r="J13" s="174"/>
      <c r="K13" s="110"/>
      <c r="L13" s="110"/>
      <c r="M13" s="110"/>
      <c r="N13" s="110"/>
      <c r="O13" s="110"/>
      <c r="P13" s="110"/>
      <c r="Q13" s="110"/>
      <c r="R13" s="110"/>
      <c r="S13" s="110"/>
      <c r="T13" s="110"/>
      <c r="U13" s="110"/>
      <c r="V13" s="110"/>
      <c r="W13" s="110"/>
      <c r="X13" s="110"/>
      <c r="Y13" s="110"/>
      <c r="Z13" s="110"/>
    </row>
    <row r="14" spans="1:26" ht="19.75" x14ac:dyDescent="0.4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5">
      <c r="A15" s="110"/>
      <c r="B15" s="227" t="s">
        <v>131</v>
      </c>
      <c r="C15" s="181"/>
      <c r="D15" s="181"/>
      <c r="E15" s="181"/>
      <c r="F15" s="181"/>
      <c r="G15" s="181"/>
      <c r="H15" s="181"/>
      <c r="I15" s="181"/>
      <c r="J15" s="182"/>
      <c r="K15" s="110"/>
      <c r="L15" s="110"/>
      <c r="M15" s="110"/>
      <c r="N15" s="110"/>
      <c r="O15" s="110"/>
      <c r="P15" s="110"/>
      <c r="Q15" s="110"/>
      <c r="R15" s="110"/>
      <c r="S15" s="110"/>
      <c r="T15" s="110"/>
      <c r="U15" s="110"/>
      <c r="V15" s="110"/>
      <c r="W15" s="110"/>
      <c r="X15" s="110"/>
      <c r="Y15" s="110"/>
      <c r="Z15" s="110"/>
    </row>
    <row r="16" spans="1:26" ht="16.5" customHeight="1" x14ac:dyDescent="0.45">
      <c r="A16" s="110"/>
      <c r="B16" s="228"/>
      <c r="C16" s="174"/>
      <c r="D16" s="174"/>
      <c r="E16" s="174"/>
      <c r="F16" s="174"/>
      <c r="G16" s="174"/>
      <c r="H16" s="174"/>
      <c r="I16" s="174"/>
      <c r="J16" s="229"/>
      <c r="K16" s="110"/>
      <c r="L16" s="110"/>
      <c r="M16" s="110"/>
      <c r="N16" s="110"/>
      <c r="O16" s="110"/>
      <c r="P16" s="110"/>
      <c r="Q16" s="110"/>
      <c r="R16" s="110"/>
      <c r="S16" s="110"/>
      <c r="T16" s="110"/>
      <c r="U16" s="110"/>
      <c r="V16" s="110"/>
      <c r="W16" s="110"/>
      <c r="X16" s="110"/>
      <c r="Y16" s="110"/>
      <c r="Z16" s="110"/>
    </row>
    <row r="17" spans="1:26" ht="16.5" customHeight="1" x14ac:dyDescent="0.45">
      <c r="A17" s="110"/>
      <c r="B17" s="213"/>
      <c r="C17" s="214"/>
      <c r="D17" s="214"/>
      <c r="E17" s="214"/>
      <c r="F17" s="214"/>
      <c r="G17" s="214"/>
      <c r="H17" s="214"/>
      <c r="I17" s="214"/>
      <c r="J17" s="215"/>
      <c r="K17" s="110"/>
      <c r="L17" s="110"/>
      <c r="M17" s="110"/>
      <c r="N17" s="110"/>
      <c r="O17" s="110"/>
      <c r="P17" s="110"/>
      <c r="Q17" s="110"/>
      <c r="R17" s="110"/>
      <c r="S17" s="110"/>
      <c r="T17" s="110"/>
      <c r="U17" s="110"/>
      <c r="V17" s="110"/>
      <c r="W17" s="110"/>
      <c r="X17" s="110"/>
      <c r="Y17" s="110"/>
      <c r="Z17" s="110"/>
    </row>
    <row r="18" spans="1:26" ht="16.5" customHeight="1" x14ac:dyDescent="0.45">
      <c r="A18" s="110"/>
      <c r="B18" s="227" t="s">
        <v>132</v>
      </c>
      <c r="C18" s="181"/>
      <c r="D18" s="181"/>
      <c r="E18" s="181"/>
      <c r="F18" s="181"/>
      <c r="G18" s="181"/>
      <c r="H18" s="181"/>
      <c r="I18" s="181"/>
      <c r="J18" s="182"/>
      <c r="K18" s="110"/>
      <c r="L18" s="110"/>
      <c r="M18" s="110"/>
      <c r="N18" s="110"/>
      <c r="O18" s="110"/>
      <c r="P18" s="110"/>
      <c r="Q18" s="110"/>
      <c r="R18" s="110"/>
      <c r="S18" s="110"/>
      <c r="T18" s="110"/>
      <c r="U18" s="110"/>
      <c r="V18" s="110"/>
      <c r="W18" s="110"/>
      <c r="X18" s="110"/>
      <c r="Y18" s="110"/>
      <c r="Z18" s="110"/>
    </row>
    <row r="19" spans="1:26" ht="16.5" customHeight="1" x14ac:dyDescent="0.45">
      <c r="A19" s="110"/>
      <c r="B19" s="228"/>
      <c r="C19" s="174"/>
      <c r="D19" s="174"/>
      <c r="E19" s="174"/>
      <c r="F19" s="174"/>
      <c r="G19" s="174"/>
      <c r="H19" s="174"/>
      <c r="I19" s="174"/>
      <c r="J19" s="229"/>
      <c r="K19" s="110"/>
      <c r="L19" s="110"/>
      <c r="M19" s="110"/>
      <c r="N19" s="110"/>
      <c r="O19" s="110"/>
      <c r="P19" s="110"/>
      <c r="Q19" s="110"/>
      <c r="R19" s="110"/>
      <c r="S19" s="110"/>
      <c r="T19" s="110"/>
      <c r="U19" s="110"/>
      <c r="V19" s="110"/>
      <c r="W19" s="110"/>
      <c r="X19" s="110"/>
      <c r="Y19" s="110"/>
      <c r="Z19" s="110"/>
    </row>
    <row r="20" spans="1:26" ht="16.5" customHeight="1" x14ac:dyDescent="0.45">
      <c r="A20" s="110"/>
      <c r="B20" s="213"/>
      <c r="C20" s="214"/>
      <c r="D20" s="214"/>
      <c r="E20" s="214"/>
      <c r="F20" s="214"/>
      <c r="G20" s="214"/>
      <c r="H20" s="214"/>
      <c r="I20" s="214"/>
      <c r="J20" s="215"/>
      <c r="K20" s="110"/>
      <c r="L20" s="110"/>
      <c r="M20" s="110"/>
      <c r="N20" s="110"/>
      <c r="O20" s="110"/>
      <c r="P20" s="110"/>
      <c r="Q20" s="110"/>
      <c r="R20" s="110"/>
      <c r="S20" s="110"/>
      <c r="T20" s="110"/>
      <c r="U20" s="110"/>
      <c r="V20" s="110"/>
      <c r="W20" s="110"/>
      <c r="X20" s="110"/>
      <c r="Y20" s="110"/>
      <c r="Z20" s="110"/>
    </row>
    <row r="21" spans="1:26" ht="16.5" customHeight="1" x14ac:dyDescent="0.45">
      <c r="A21" s="110"/>
      <c r="B21" s="227" t="s">
        <v>133</v>
      </c>
      <c r="C21" s="181"/>
      <c r="D21" s="181"/>
      <c r="E21" s="181"/>
      <c r="F21" s="181"/>
      <c r="G21" s="181"/>
      <c r="H21" s="181"/>
      <c r="I21" s="181"/>
      <c r="J21" s="182"/>
      <c r="K21" s="110"/>
      <c r="L21" s="110"/>
      <c r="M21" s="110"/>
      <c r="N21" s="110"/>
      <c r="O21" s="110"/>
      <c r="P21" s="110"/>
      <c r="Q21" s="110"/>
      <c r="R21" s="110"/>
      <c r="S21" s="110"/>
      <c r="T21" s="110"/>
      <c r="U21" s="110"/>
      <c r="V21" s="110"/>
      <c r="W21" s="110"/>
      <c r="X21" s="110"/>
      <c r="Y21" s="110"/>
      <c r="Z21" s="110"/>
    </row>
    <row r="22" spans="1:26" ht="16.5" customHeight="1" x14ac:dyDescent="0.45">
      <c r="A22" s="110"/>
      <c r="B22" s="228"/>
      <c r="C22" s="174"/>
      <c r="D22" s="174"/>
      <c r="E22" s="174"/>
      <c r="F22" s="174"/>
      <c r="G22" s="174"/>
      <c r="H22" s="174"/>
      <c r="I22" s="174"/>
      <c r="J22" s="229"/>
      <c r="K22" s="110"/>
      <c r="L22" s="110"/>
      <c r="M22" s="110"/>
      <c r="N22" s="110"/>
      <c r="O22" s="110"/>
      <c r="P22" s="110"/>
      <c r="Q22" s="110"/>
      <c r="R22" s="110"/>
      <c r="S22" s="110"/>
      <c r="T22" s="110"/>
      <c r="U22" s="110"/>
      <c r="V22" s="110"/>
      <c r="W22" s="110"/>
      <c r="X22" s="110"/>
      <c r="Y22" s="110"/>
      <c r="Z22" s="110"/>
    </row>
    <row r="23" spans="1:26" ht="16.5" customHeight="1" x14ac:dyDescent="0.45">
      <c r="A23" s="110"/>
      <c r="B23" s="213"/>
      <c r="C23" s="214"/>
      <c r="D23" s="214"/>
      <c r="E23" s="214"/>
      <c r="F23" s="214"/>
      <c r="G23" s="214"/>
      <c r="H23" s="214"/>
      <c r="I23" s="214"/>
      <c r="J23" s="215"/>
      <c r="K23" s="110"/>
      <c r="L23" s="110"/>
      <c r="M23" s="110"/>
      <c r="N23" s="110"/>
      <c r="O23" s="110"/>
      <c r="P23" s="110"/>
      <c r="Q23" s="110"/>
      <c r="R23" s="110"/>
      <c r="S23" s="110"/>
      <c r="T23" s="110"/>
      <c r="U23" s="110"/>
      <c r="V23" s="110"/>
      <c r="W23" s="110"/>
      <c r="X23" s="110"/>
      <c r="Y23" s="110"/>
      <c r="Z23" s="110"/>
    </row>
    <row r="24" spans="1:26" ht="16.5" customHeight="1" x14ac:dyDescent="0.45">
      <c r="A24" s="110"/>
      <c r="B24" s="227" t="s">
        <v>134</v>
      </c>
      <c r="C24" s="181"/>
      <c r="D24" s="181"/>
      <c r="E24" s="181"/>
      <c r="F24" s="181"/>
      <c r="G24" s="181"/>
      <c r="H24" s="181"/>
      <c r="I24" s="181"/>
      <c r="J24" s="182"/>
      <c r="K24" s="110"/>
      <c r="L24" s="110"/>
      <c r="M24" s="110"/>
      <c r="N24" s="110"/>
      <c r="O24" s="110"/>
      <c r="P24" s="110"/>
      <c r="Q24" s="110"/>
      <c r="R24" s="110"/>
      <c r="S24" s="110"/>
      <c r="T24" s="110"/>
      <c r="U24" s="110"/>
      <c r="V24" s="110"/>
      <c r="W24" s="110"/>
      <c r="X24" s="110"/>
      <c r="Y24" s="110"/>
      <c r="Z24" s="110"/>
    </row>
    <row r="25" spans="1:26" ht="16.5" customHeight="1" x14ac:dyDescent="0.45">
      <c r="A25" s="110"/>
      <c r="B25" s="228"/>
      <c r="C25" s="174"/>
      <c r="D25" s="174"/>
      <c r="E25" s="174"/>
      <c r="F25" s="174"/>
      <c r="G25" s="174"/>
      <c r="H25" s="174"/>
      <c r="I25" s="174"/>
      <c r="J25" s="229"/>
      <c r="K25" s="110"/>
      <c r="L25" s="110"/>
      <c r="M25" s="110"/>
      <c r="N25" s="110"/>
      <c r="O25" s="110"/>
      <c r="P25" s="110"/>
      <c r="Q25" s="110"/>
      <c r="R25" s="110"/>
      <c r="S25" s="110"/>
      <c r="T25" s="110"/>
      <c r="U25" s="110"/>
      <c r="V25" s="110"/>
      <c r="W25" s="110"/>
      <c r="X25" s="110"/>
      <c r="Y25" s="110"/>
      <c r="Z25" s="110"/>
    </row>
    <row r="26" spans="1:26" ht="16.5" customHeight="1" x14ac:dyDescent="0.45">
      <c r="A26" s="110"/>
      <c r="B26" s="213"/>
      <c r="C26" s="214"/>
      <c r="D26" s="214"/>
      <c r="E26" s="214"/>
      <c r="F26" s="214"/>
      <c r="G26" s="214"/>
      <c r="H26" s="214"/>
      <c r="I26" s="214"/>
      <c r="J26" s="215"/>
      <c r="K26" s="110"/>
      <c r="L26" s="110"/>
      <c r="M26" s="110"/>
      <c r="N26" s="110"/>
      <c r="O26" s="110"/>
      <c r="P26" s="110"/>
      <c r="Q26" s="110"/>
      <c r="R26" s="110"/>
      <c r="S26" s="110"/>
      <c r="T26" s="110"/>
      <c r="U26" s="110"/>
      <c r="V26" s="110"/>
      <c r="W26" s="110"/>
      <c r="X26" s="110"/>
      <c r="Y26" s="110"/>
      <c r="Z26" s="110"/>
    </row>
    <row r="27" spans="1:26" ht="16.5" customHeight="1" x14ac:dyDescent="0.45">
      <c r="A27" s="110"/>
      <c r="B27" s="227" t="s">
        <v>135</v>
      </c>
      <c r="C27" s="181"/>
      <c r="D27" s="181"/>
      <c r="E27" s="181"/>
      <c r="F27" s="181"/>
      <c r="G27" s="181"/>
      <c r="H27" s="181"/>
      <c r="I27" s="181"/>
      <c r="J27" s="182"/>
      <c r="K27" s="110"/>
      <c r="L27" s="110"/>
      <c r="M27" s="110"/>
      <c r="N27" s="110"/>
      <c r="O27" s="110"/>
      <c r="P27" s="110"/>
      <c r="Q27" s="110"/>
      <c r="R27" s="110"/>
      <c r="S27" s="110"/>
      <c r="T27" s="110"/>
      <c r="U27" s="110"/>
      <c r="V27" s="110"/>
      <c r="W27" s="110"/>
      <c r="X27" s="110"/>
      <c r="Y27" s="110"/>
      <c r="Z27" s="110"/>
    </row>
    <row r="28" spans="1:26" ht="16.5" customHeight="1" x14ac:dyDescent="0.45">
      <c r="A28" s="110"/>
      <c r="B28" s="228"/>
      <c r="C28" s="174"/>
      <c r="D28" s="174"/>
      <c r="E28" s="174"/>
      <c r="F28" s="174"/>
      <c r="G28" s="174"/>
      <c r="H28" s="174"/>
      <c r="I28" s="174"/>
      <c r="J28" s="229"/>
      <c r="K28" s="110"/>
      <c r="L28" s="110"/>
      <c r="M28" s="110"/>
      <c r="N28" s="110"/>
      <c r="O28" s="110"/>
      <c r="P28" s="110"/>
      <c r="Q28" s="110"/>
      <c r="R28" s="110"/>
      <c r="S28" s="110"/>
      <c r="T28" s="110"/>
      <c r="U28" s="110"/>
      <c r="V28" s="110"/>
      <c r="W28" s="110"/>
      <c r="X28" s="110"/>
      <c r="Y28" s="110"/>
      <c r="Z28" s="110"/>
    </row>
    <row r="29" spans="1:26" ht="16.5" customHeight="1" x14ac:dyDescent="0.45">
      <c r="A29" s="110"/>
      <c r="B29" s="213"/>
      <c r="C29" s="214"/>
      <c r="D29" s="214"/>
      <c r="E29" s="214"/>
      <c r="F29" s="214"/>
      <c r="G29" s="214"/>
      <c r="H29" s="214"/>
      <c r="I29" s="214"/>
      <c r="J29" s="215"/>
      <c r="K29" s="110"/>
      <c r="L29" s="110"/>
      <c r="M29" s="110"/>
      <c r="N29" s="110"/>
      <c r="O29" s="110"/>
      <c r="P29" s="110"/>
      <c r="Q29" s="110"/>
      <c r="R29" s="110"/>
      <c r="S29" s="110"/>
      <c r="T29" s="110"/>
      <c r="U29" s="110"/>
      <c r="V29" s="110"/>
      <c r="W29" s="110"/>
      <c r="X29" s="110"/>
      <c r="Y29" s="110"/>
      <c r="Z29" s="110"/>
    </row>
    <row r="30" spans="1:26" ht="15.75" customHeight="1" x14ac:dyDescent="0.4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5">
      <c r="A34" s="110"/>
      <c r="B34" s="121"/>
      <c r="C34" s="122" t="s">
        <v>136</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34375" defaultRowHeight="15" customHeight="1" x14ac:dyDescent="0.45"/>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x14ac:dyDescent="0.4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0.6" x14ac:dyDescent="0.45">
      <c r="A2" s="110"/>
      <c r="B2" s="230" t="s">
        <v>138</v>
      </c>
      <c r="C2" s="174"/>
      <c r="D2" s="174"/>
      <c r="E2" s="174"/>
      <c r="F2" s="174"/>
      <c r="G2" s="174"/>
      <c r="H2" s="174"/>
      <c r="I2" s="174"/>
      <c r="J2" s="174"/>
      <c r="K2" s="110"/>
      <c r="L2" s="110"/>
      <c r="M2" s="110"/>
      <c r="N2" s="110"/>
      <c r="O2" s="110"/>
      <c r="P2" s="110"/>
      <c r="Q2" s="110"/>
      <c r="R2" s="110"/>
      <c r="S2" s="110"/>
      <c r="T2" s="110"/>
      <c r="U2" s="110"/>
      <c r="V2" s="110"/>
      <c r="W2" s="110"/>
      <c r="X2" s="110"/>
      <c r="Y2" s="110"/>
      <c r="Z2" s="110"/>
    </row>
    <row r="3" spans="1:26" ht="19.75" x14ac:dyDescent="0.4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19.75" x14ac:dyDescent="0.4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19.75" x14ac:dyDescent="0.45">
      <c r="A5" s="110"/>
      <c r="B5" s="111" t="s">
        <v>22</v>
      </c>
      <c r="C5" s="110"/>
      <c r="D5" s="112" t="str">
        <f>CARÁTULA!$C$23</f>
        <v>2do de Secundaria</v>
      </c>
      <c r="E5" s="110"/>
      <c r="F5" s="110"/>
      <c r="G5" s="110"/>
      <c r="H5" s="111" t="s">
        <v>23</v>
      </c>
      <c r="I5" s="66">
        <f ca="1">TODAY()</f>
        <v>44413</v>
      </c>
      <c r="J5" s="110"/>
      <c r="K5" s="110"/>
      <c r="L5" s="110"/>
      <c r="M5" s="110"/>
      <c r="N5" s="110"/>
      <c r="O5" s="110"/>
      <c r="P5" s="110"/>
      <c r="Q5" s="110"/>
      <c r="R5" s="110"/>
      <c r="S5" s="110"/>
      <c r="T5" s="110"/>
      <c r="U5" s="110"/>
      <c r="V5" s="110"/>
      <c r="W5" s="110"/>
      <c r="X5" s="110"/>
      <c r="Y5" s="110"/>
      <c r="Z5" s="110"/>
    </row>
    <row r="6" spans="1:26" ht="19.75" x14ac:dyDescent="0.45">
      <c r="A6" s="110"/>
      <c r="B6" s="110"/>
      <c r="C6" s="110"/>
      <c r="D6" s="110"/>
      <c r="E6" s="110"/>
      <c r="F6" s="110"/>
      <c r="G6" s="114"/>
      <c r="H6" s="114"/>
      <c r="I6" s="115" t="s">
        <v>114</v>
      </c>
      <c r="J6" s="110"/>
      <c r="K6" s="110"/>
      <c r="L6" s="110"/>
      <c r="M6" s="110"/>
      <c r="N6" s="110"/>
      <c r="O6" s="110"/>
      <c r="P6" s="110"/>
      <c r="Q6" s="110"/>
      <c r="R6" s="110"/>
      <c r="S6" s="110"/>
      <c r="T6" s="110"/>
      <c r="U6" s="110"/>
      <c r="V6" s="110"/>
      <c r="W6" s="110"/>
      <c r="X6" s="110"/>
      <c r="Y6" s="110"/>
      <c r="Z6" s="110"/>
    </row>
    <row r="7" spans="1:26" ht="19.75" x14ac:dyDescent="0.45">
      <c r="A7" s="110"/>
      <c r="B7" s="115" t="s">
        <v>95</v>
      </c>
      <c r="C7" s="114" t="s">
        <v>115</v>
      </c>
      <c r="D7" s="115" t="s">
        <v>116</v>
      </c>
      <c r="E7" s="116" t="s">
        <v>117</v>
      </c>
      <c r="F7" s="110"/>
      <c r="G7" s="117" t="s">
        <v>118</v>
      </c>
      <c r="H7" s="115">
        <f>'VAL 3 TRIM'!$AO$9</f>
        <v>0</v>
      </c>
      <c r="I7" s="118">
        <f>H7/H11</f>
        <v>0</v>
      </c>
      <c r="J7" s="110"/>
      <c r="K7" s="110"/>
      <c r="L7" s="110"/>
      <c r="M7" s="110"/>
      <c r="N7" s="110"/>
      <c r="O7" s="110"/>
      <c r="P7" s="110"/>
      <c r="Q7" s="110"/>
      <c r="R7" s="110"/>
      <c r="S7" s="110"/>
      <c r="T7" s="110"/>
      <c r="U7" s="110"/>
      <c r="V7" s="110"/>
      <c r="W7" s="110"/>
      <c r="X7" s="110"/>
      <c r="Y7" s="110"/>
      <c r="Z7" s="110"/>
    </row>
    <row r="8" spans="1:26" ht="19.75" x14ac:dyDescent="0.45">
      <c r="A8" s="110"/>
      <c r="B8" s="115" t="s">
        <v>96</v>
      </c>
      <c r="C8" s="114" t="s">
        <v>119</v>
      </c>
      <c r="D8" s="115" t="s">
        <v>120</v>
      </c>
      <c r="E8" s="116" t="s">
        <v>121</v>
      </c>
      <c r="F8" s="110"/>
      <c r="G8" s="117" t="s">
        <v>122</v>
      </c>
      <c r="H8" s="115">
        <f>'VAL 3 TRIM'!$AO$10</f>
        <v>0</v>
      </c>
      <c r="I8" s="118">
        <f>H8/H11</f>
        <v>0</v>
      </c>
      <c r="J8" s="110"/>
      <c r="K8" s="110"/>
      <c r="L8" s="110"/>
      <c r="M8" s="110"/>
      <c r="N8" s="110"/>
      <c r="O8" s="110"/>
      <c r="P8" s="110"/>
      <c r="Q8" s="110"/>
      <c r="R8" s="110"/>
      <c r="S8" s="110"/>
      <c r="T8" s="110"/>
      <c r="U8" s="110"/>
      <c r="V8" s="110"/>
      <c r="W8" s="110"/>
      <c r="X8" s="110"/>
      <c r="Y8" s="110"/>
      <c r="Z8" s="110"/>
    </row>
    <row r="9" spans="1:26" ht="19.75" x14ac:dyDescent="0.45">
      <c r="A9" s="110"/>
      <c r="B9" s="115" t="s">
        <v>97</v>
      </c>
      <c r="C9" s="114" t="s">
        <v>123</v>
      </c>
      <c r="D9" s="115" t="s">
        <v>124</v>
      </c>
      <c r="E9" s="116" t="s">
        <v>121</v>
      </c>
      <c r="F9" s="110"/>
      <c r="G9" s="119" t="s">
        <v>125</v>
      </c>
      <c r="H9" s="115">
        <f>'VAL 3 TRIM'!$AO$11</f>
        <v>0</v>
      </c>
      <c r="I9" s="118">
        <f>H9/H11</f>
        <v>0</v>
      </c>
      <c r="J9" s="110"/>
      <c r="K9" s="110"/>
      <c r="L9" s="110"/>
      <c r="M9" s="110"/>
      <c r="N9" s="110"/>
      <c r="O9" s="110"/>
      <c r="P9" s="110"/>
      <c r="Q9" s="110"/>
      <c r="R9" s="110"/>
      <c r="S9" s="110"/>
      <c r="T9" s="110"/>
      <c r="U9" s="110"/>
      <c r="V9" s="110"/>
      <c r="W9" s="110"/>
      <c r="X9" s="110"/>
      <c r="Y9" s="110"/>
      <c r="Z9" s="110"/>
    </row>
    <row r="10" spans="1:26" ht="19.75" x14ac:dyDescent="0.45">
      <c r="A10" s="110"/>
      <c r="B10" s="115" t="s">
        <v>98</v>
      </c>
      <c r="C10" s="114" t="s">
        <v>126</v>
      </c>
      <c r="D10" s="115" t="s">
        <v>127</v>
      </c>
      <c r="E10" s="116" t="s">
        <v>121</v>
      </c>
      <c r="F10" s="110"/>
      <c r="G10" s="119" t="s">
        <v>128</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19.75" x14ac:dyDescent="0.45">
      <c r="A11" s="110"/>
      <c r="B11" s="110"/>
      <c r="C11" s="110"/>
      <c r="D11" s="110"/>
      <c r="E11" s="110"/>
      <c r="F11" s="110"/>
      <c r="G11" s="120" t="s">
        <v>129</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19.75" x14ac:dyDescent="0.4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19.75" x14ac:dyDescent="0.45">
      <c r="A13" s="110"/>
      <c r="B13" s="231" t="s">
        <v>130</v>
      </c>
      <c r="C13" s="174"/>
      <c r="D13" s="174"/>
      <c r="E13" s="174"/>
      <c r="F13" s="174"/>
      <c r="G13" s="174"/>
      <c r="H13" s="174"/>
      <c r="I13" s="174"/>
      <c r="J13" s="174"/>
      <c r="K13" s="110"/>
      <c r="L13" s="110"/>
      <c r="M13" s="110"/>
      <c r="N13" s="110"/>
      <c r="O13" s="110"/>
      <c r="P13" s="110"/>
      <c r="Q13" s="110"/>
      <c r="R13" s="110"/>
      <c r="S13" s="110"/>
      <c r="T13" s="110"/>
      <c r="U13" s="110"/>
      <c r="V13" s="110"/>
      <c r="W13" s="110"/>
      <c r="X13" s="110"/>
      <c r="Y13" s="110"/>
      <c r="Z13" s="110"/>
    </row>
    <row r="14" spans="1:26" ht="19.75" x14ac:dyDescent="0.4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5">
      <c r="A15" s="110"/>
      <c r="B15" s="227" t="s">
        <v>131</v>
      </c>
      <c r="C15" s="181"/>
      <c r="D15" s="181"/>
      <c r="E15" s="181"/>
      <c r="F15" s="181"/>
      <c r="G15" s="181"/>
      <c r="H15" s="181"/>
      <c r="I15" s="181"/>
      <c r="J15" s="182"/>
      <c r="K15" s="110"/>
      <c r="L15" s="110"/>
      <c r="M15" s="110"/>
      <c r="N15" s="110"/>
      <c r="O15" s="110"/>
      <c r="P15" s="110"/>
      <c r="Q15" s="110"/>
      <c r="R15" s="110"/>
      <c r="S15" s="110"/>
      <c r="T15" s="110"/>
      <c r="U15" s="110"/>
      <c r="V15" s="110"/>
      <c r="W15" s="110"/>
      <c r="X15" s="110"/>
      <c r="Y15" s="110"/>
      <c r="Z15" s="110"/>
    </row>
    <row r="16" spans="1:26" ht="16.5" customHeight="1" x14ac:dyDescent="0.45">
      <c r="A16" s="110"/>
      <c r="B16" s="228"/>
      <c r="C16" s="174"/>
      <c r="D16" s="174"/>
      <c r="E16" s="174"/>
      <c r="F16" s="174"/>
      <c r="G16" s="174"/>
      <c r="H16" s="174"/>
      <c r="I16" s="174"/>
      <c r="J16" s="229"/>
      <c r="K16" s="110"/>
      <c r="L16" s="110"/>
      <c r="M16" s="110"/>
      <c r="N16" s="110"/>
      <c r="O16" s="110"/>
      <c r="P16" s="110"/>
      <c r="Q16" s="110"/>
      <c r="R16" s="110"/>
      <c r="S16" s="110"/>
      <c r="T16" s="110"/>
      <c r="U16" s="110"/>
      <c r="V16" s="110"/>
      <c r="W16" s="110"/>
      <c r="X16" s="110"/>
      <c r="Y16" s="110"/>
      <c r="Z16" s="110"/>
    </row>
    <row r="17" spans="1:26" ht="16.5" customHeight="1" x14ac:dyDescent="0.45">
      <c r="A17" s="110"/>
      <c r="B17" s="213"/>
      <c r="C17" s="214"/>
      <c r="D17" s="214"/>
      <c r="E17" s="214"/>
      <c r="F17" s="214"/>
      <c r="G17" s="214"/>
      <c r="H17" s="214"/>
      <c r="I17" s="214"/>
      <c r="J17" s="215"/>
      <c r="K17" s="110"/>
      <c r="L17" s="110"/>
      <c r="M17" s="110"/>
      <c r="N17" s="110"/>
      <c r="O17" s="110"/>
      <c r="P17" s="110"/>
      <c r="Q17" s="110"/>
      <c r="R17" s="110"/>
      <c r="S17" s="110"/>
      <c r="T17" s="110"/>
      <c r="U17" s="110"/>
      <c r="V17" s="110"/>
      <c r="W17" s="110"/>
      <c r="X17" s="110"/>
      <c r="Y17" s="110"/>
      <c r="Z17" s="110"/>
    </row>
    <row r="18" spans="1:26" ht="16.5" customHeight="1" x14ac:dyDescent="0.45">
      <c r="A18" s="110"/>
      <c r="B18" s="227" t="s">
        <v>132</v>
      </c>
      <c r="C18" s="181"/>
      <c r="D18" s="181"/>
      <c r="E18" s="181"/>
      <c r="F18" s="181"/>
      <c r="G18" s="181"/>
      <c r="H18" s="181"/>
      <c r="I18" s="181"/>
      <c r="J18" s="182"/>
      <c r="K18" s="110"/>
      <c r="L18" s="110"/>
      <c r="M18" s="110"/>
      <c r="N18" s="110"/>
      <c r="O18" s="110"/>
      <c r="P18" s="110"/>
      <c r="Q18" s="110"/>
      <c r="R18" s="110"/>
      <c r="S18" s="110"/>
      <c r="T18" s="110"/>
      <c r="U18" s="110"/>
      <c r="V18" s="110"/>
      <c r="W18" s="110"/>
      <c r="X18" s="110"/>
      <c r="Y18" s="110"/>
      <c r="Z18" s="110"/>
    </row>
    <row r="19" spans="1:26" ht="16.5" customHeight="1" x14ac:dyDescent="0.45">
      <c r="A19" s="110"/>
      <c r="B19" s="228"/>
      <c r="C19" s="174"/>
      <c r="D19" s="174"/>
      <c r="E19" s="174"/>
      <c r="F19" s="174"/>
      <c r="G19" s="174"/>
      <c r="H19" s="174"/>
      <c r="I19" s="174"/>
      <c r="J19" s="229"/>
      <c r="K19" s="110"/>
      <c r="L19" s="110"/>
      <c r="M19" s="110"/>
      <c r="N19" s="110"/>
      <c r="O19" s="110"/>
      <c r="P19" s="110"/>
      <c r="Q19" s="110"/>
      <c r="R19" s="110"/>
      <c r="S19" s="110"/>
      <c r="T19" s="110"/>
      <c r="U19" s="110"/>
      <c r="V19" s="110"/>
      <c r="W19" s="110"/>
      <c r="X19" s="110"/>
      <c r="Y19" s="110"/>
      <c r="Z19" s="110"/>
    </row>
    <row r="20" spans="1:26" ht="16.5" customHeight="1" x14ac:dyDescent="0.45">
      <c r="A20" s="110"/>
      <c r="B20" s="213"/>
      <c r="C20" s="214"/>
      <c r="D20" s="214"/>
      <c r="E20" s="214"/>
      <c r="F20" s="214"/>
      <c r="G20" s="214"/>
      <c r="H20" s="214"/>
      <c r="I20" s="214"/>
      <c r="J20" s="215"/>
      <c r="K20" s="110"/>
      <c r="L20" s="110"/>
      <c r="M20" s="110"/>
      <c r="N20" s="110"/>
      <c r="O20" s="110"/>
      <c r="P20" s="110"/>
      <c r="Q20" s="110"/>
      <c r="R20" s="110"/>
      <c r="S20" s="110"/>
      <c r="T20" s="110"/>
      <c r="U20" s="110"/>
      <c r="V20" s="110"/>
      <c r="W20" s="110"/>
      <c r="X20" s="110"/>
      <c r="Y20" s="110"/>
      <c r="Z20" s="110"/>
    </row>
    <row r="21" spans="1:26" ht="16.5" customHeight="1" x14ac:dyDescent="0.45">
      <c r="A21" s="110"/>
      <c r="B21" s="227" t="s">
        <v>133</v>
      </c>
      <c r="C21" s="181"/>
      <c r="D21" s="181"/>
      <c r="E21" s="181"/>
      <c r="F21" s="181"/>
      <c r="G21" s="181"/>
      <c r="H21" s="181"/>
      <c r="I21" s="181"/>
      <c r="J21" s="182"/>
      <c r="K21" s="110"/>
      <c r="L21" s="110"/>
      <c r="M21" s="110"/>
      <c r="N21" s="110"/>
      <c r="O21" s="110"/>
      <c r="P21" s="110"/>
      <c r="Q21" s="110"/>
      <c r="R21" s="110"/>
      <c r="S21" s="110"/>
      <c r="T21" s="110"/>
      <c r="U21" s="110"/>
      <c r="V21" s="110"/>
      <c r="W21" s="110"/>
      <c r="X21" s="110"/>
      <c r="Y21" s="110"/>
      <c r="Z21" s="110"/>
    </row>
    <row r="22" spans="1:26" ht="16.5" customHeight="1" x14ac:dyDescent="0.45">
      <c r="A22" s="110"/>
      <c r="B22" s="228"/>
      <c r="C22" s="174"/>
      <c r="D22" s="174"/>
      <c r="E22" s="174"/>
      <c r="F22" s="174"/>
      <c r="G22" s="174"/>
      <c r="H22" s="174"/>
      <c r="I22" s="174"/>
      <c r="J22" s="229"/>
      <c r="K22" s="110"/>
      <c r="L22" s="110"/>
      <c r="M22" s="110"/>
      <c r="N22" s="110"/>
      <c r="O22" s="110"/>
      <c r="P22" s="110"/>
      <c r="Q22" s="110"/>
      <c r="R22" s="110"/>
      <c r="S22" s="110"/>
      <c r="T22" s="110"/>
      <c r="U22" s="110"/>
      <c r="V22" s="110"/>
      <c r="W22" s="110"/>
      <c r="X22" s="110"/>
      <c r="Y22" s="110"/>
      <c r="Z22" s="110"/>
    </row>
    <row r="23" spans="1:26" ht="16.5" customHeight="1" x14ac:dyDescent="0.45">
      <c r="A23" s="110"/>
      <c r="B23" s="213"/>
      <c r="C23" s="214"/>
      <c r="D23" s="214"/>
      <c r="E23" s="214"/>
      <c r="F23" s="214"/>
      <c r="G23" s="214"/>
      <c r="H23" s="214"/>
      <c r="I23" s="214"/>
      <c r="J23" s="215"/>
      <c r="K23" s="110"/>
      <c r="L23" s="110"/>
      <c r="M23" s="110"/>
      <c r="N23" s="110"/>
      <c r="O23" s="110"/>
      <c r="P23" s="110"/>
      <c r="Q23" s="110"/>
      <c r="R23" s="110"/>
      <c r="S23" s="110"/>
      <c r="T23" s="110"/>
      <c r="U23" s="110"/>
      <c r="V23" s="110"/>
      <c r="W23" s="110"/>
      <c r="X23" s="110"/>
      <c r="Y23" s="110"/>
      <c r="Z23" s="110"/>
    </row>
    <row r="24" spans="1:26" ht="16.5" customHeight="1" x14ac:dyDescent="0.45">
      <c r="A24" s="110"/>
      <c r="B24" s="227" t="s">
        <v>134</v>
      </c>
      <c r="C24" s="181"/>
      <c r="D24" s="181"/>
      <c r="E24" s="181"/>
      <c r="F24" s="181"/>
      <c r="G24" s="181"/>
      <c r="H24" s="181"/>
      <c r="I24" s="181"/>
      <c r="J24" s="182"/>
      <c r="K24" s="110"/>
      <c r="L24" s="110"/>
      <c r="M24" s="110"/>
      <c r="N24" s="110"/>
      <c r="O24" s="110"/>
      <c r="P24" s="110"/>
      <c r="Q24" s="110"/>
      <c r="R24" s="110"/>
      <c r="S24" s="110"/>
      <c r="T24" s="110"/>
      <c r="U24" s="110"/>
      <c r="V24" s="110"/>
      <c r="W24" s="110"/>
      <c r="X24" s="110"/>
      <c r="Y24" s="110"/>
      <c r="Z24" s="110"/>
    </row>
    <row r="25" spans="1:26" ht="16.5" customHeight="1" x14ac:dyDescent="0.45">
      <c r="A25" s="110"/>
      <c r="B25" s="228"/>
      <c r="C25" s="174"/>
      <c r="D25" s="174"/>
      <c r="E25" s="174"/>
      <c r="F25" s="174"/>
      <c r="G25" s="174"/>
      <c r="H25" s="174"/>
      <c r="I25" s="174"/>
      <c r="J25" s="229"/>
      <c r="K25" s="110"/>
      <c r="L25" s="110"/>
      <c r="M25" s="110"/>
      <c r="N25" s="110"/>
      <c r="O25" s="110"/>
      <c r="P25" s="110"/>
      <c r="Q25" s="110"/>
      <c r="R25" s="110"/>
      <c r="S25" s="110"/>
      <c r="T25" s="110"/>
      <c r="U25" s="110"/>
      <c r="V25" s="110"/>
      <c r="W25" s="110"/>
      <c r="X25" s="110"/>
      <c r="Y25" s="110"/>
      <c r="Z25" s="110"/>
    </row>
    <row r="26" spans="1:26" ht="16.5" customHeight="1" x14ac:dyDescent="0.45">
      <c r="A26" s="110"/>
      <c r="B26" s="213"/>
      <c r="C26" s="214"/>
      <c r="D26" s="214"/>
      <c r="E26" s="214"/>
      <c r="F26" s="214"/>
      <c r="G26" s="214"/>
      <c r="H26" s="214"/>
      <c r="I26" s="214"/>
      <c r="J26" s="215"/>
      <c r="K26" s="110"/>
      <c r="L26" s="110"/>
      <c r="M26" s="110"/>
      <c r="N26" s="110"/>
      <c r="O26" s="110"/>
      <c r="P26" s="110"/>
      <c r="Q26" s="110"/>
      <c r="R26" s="110"/>
      <c r="S26" s="110"/>
      <c r="T26" s="110"/>
      <c r="U26" s="110"/>
      <c r="V26" s="110"/>
      <c r="W26" s="110"/>
      <c r="X26" s="110"/>
      <c r="Y26" s="110"/>
      <c r="Z26" s="110"/>
    </row>
    <row r="27" spans="1:26" ht="16.5" customHeight="1" x14ac:dyDescent="0.45">
      <c r="A27" s="110"/>
      <c r="B27" s="227" t="s">
        <v>135</v>
      </c>
      <c r="C27" s="181"/>
      <c r="D27" s="181"/>
      <c r="E27" s="181"/>
      <c r="F27" s="181"/>
      <c r="G27" s="181"/>
      <c r="H27" s="181"/>
      <c r="I27" s="181"/>
      <c r="J27" s="182"/>
      <c r="K27" s="110"/>
      <c r="L27" s="110"/>
      <c r="M27" s="110"/>
      <c r="N27" s="110"/>
      <c r="O27" s="110"/>
      <c r="P27" s="110"/>
      <c r="Q27" s="110"/>
      <c r="R27" s="110"/>
      <c r="S27" s="110"/>
      <c r="T27" s="110"/>
      <c r="U27" s="110"/>
      <c r="V27" s="110"/>
      <c r="W27" s="110"/>
      <c r="X27" s="110"/>
      <c r="Y27" s="110"/>
      <c r="Z27" s="110"/>
    </row>
    <row r="28" spans="1:26" ht="16.5" customHeight="1" x14ac:dyDescent="0.45">
      <c r="A28" s="110"/>
      <c r="B28" s="228"/>
      <c r="C28" s="174"/>
      <c r="D28" s="174"/>
      <c r="E28" s="174"/>
      <c r="F28" s="174"/>
      <c r="G28" s="174"/>
      <c r="H28" s="174"/>
      <c r="I28" s="174"/>
      <c r="J28" s="229"/>
      <c r="K28" s="110"/>
      <c r="L28" s="110"/>
      <c r="M28" s="110"/>
      <c r="N28" s="110"/>
      <c r="O28" s="110"/>
      <c r="P28" s="110"/>
      <c r="Q28" s="110"/>
      <c r="R28" s="110"/>
      <c r="S28" s="110"/>
      <c r="T28" s="110"/>
      <c r="U28" s="110"/>
      <c r="V28" s="110"/>
      <c r="W28" s="110"/>
      <c r="X28" s="110"/>
      <c r="Y28" s="110"/>
      <c r="Z28" s="110"/>
    </row>
    <row r="29" spans="1:26" ht="16.5" customHeight="1" x14ac:dyDescent="0.45">
      <c r="A29" s="110"/>
      <c r="B29" s="213"/>
      <c r="C29" s="214"/>
      <c r="D29" s="214"/>
      <c r="E29" s="214"/>
      <c r="F29" s="214"/>
      <c r="G29" s="214"/>
      <c r="H29" s="214"/>
      <c r="I29" s="214"/>
      <c r="J29" s="215"/>
      <c r="K29" s="110"/>
      <c r="L29" s="110"/>
      <c r="M29" s="110"/>
      <c r="N29" s="110"/>
      <c r="O29" s="110"/>
      <c r="P29" s="110"/>
      <c r="Q29" s="110"/>
      <c r="R29" s="110"/>
      <c r="S29" s="110"/>
      <c r="T29" s="110"/>
      <c r="U29" s="110"/>
      <c r="V29" s="110"/>
      <c r="W29" s="110"/>
      <c r="X29" s="110"/>
      <c r="Y29" s="110"/>
      <c r="Z29" s="110"/>
    </row>
    <row r="30" spans="1:26" ht="15.75" customHeight="1" x14ac:dyDescent="0.4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5">
      <c r="A34" s="110"/>
      <c r="B34" s="121"/>
      <c r="C34" s="122" t="s">
        <v>136</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34375" defaultRowHeight="15" customHeight="1" x14ac:dyDescent="0.45"/>
  <cols>
    <col min="1" max="1" width="1.6640625" customWidth="1"/>
    <col min="2" max="2" width="4.5703125" customWidth="1"/>
    <col min="3" max="3" width="5.6640625" customWidth="1"/>
    <col min="4" max="4" width="5" customWidth="1"/>
    <col min="5" max="5" width="5.6640625" customWidth="1"/>
    <col min="6" max="6" width="1" customWidth="1"/>
    <col min="7" max="7" width="5.7109375" customWidth="1"/>
    <col min="8" max="9" width="5.6640625" customWidth="1"/>
    <col min="10" max="10" width="6.6640625" customWidth="1"/>
    <col min="11" max="11" width="7.94921875" customWidth="1"/>
    <col min="12" max="26" width="5.6640625" customWidth="1"/>
  </cols>
  <sheetData>
    <row r="1" spans="1:26" ht="13.5" customHeight="1" x14ac:dyDescent="0.4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45">
      <c r="A2" s="40"/>
      <c r="B2" s="40"/>
      <c r="C2" s="178" t="s">
        <v>139</v>
      </c>
      <c r="D2" s="174"/>
      <c r="E2" s="174"/>
      <c r="F2" s="174"/>
      <c r="G2" s="174"/>
      <c r="H2" s="174"/>
      <c r="I2" s="174"/>
      <c r="J2" s="174"/>
      <c r="K2" s="174"/>
      <c r="L2" s="174"/>
      <c r="M2" s="174"/>
      <c r="N2" s="40"/>
      <c r="O2" s="40"/>
      <c r="P2" s="40"/>
      <c r="Q2" s="40"/>
      <c r="R2" s="40"/>
      <c r="S2" s="40"/>
      <c r="T2" s="40"/>
      <c r="U2" s="40"/>
      <c r="V2" s="40"/>
      <c r="W2" s="40"/>
      <c r="X2" s="40"/>
      <c r="Y2" s="40"/>
      <c r="Z2" s="40"/>
    </row>
    <row r="3" spans="1:26" ht="13.5" customHeight="1" x14ac:dyDescent="0.4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45">
      <c r="A4" s="40"/>
      <c r="B4" s="123" t="s">
        <v>14</v>
      </c>
      <c r="C4" s="40"/>
      <c r="D4" s="40"/>
      <c r="E4" s="40" t="str">
        <f>CARÁTULA!$C$21</f>
        <v>Secundaria</v>
      </c>
      <c r="F4" s="40"/>
      <c r="G4" s="40"/>
      <c r="H4" s="40"/>
      <c r="I4" s="40"/>
      <c r="J4" s="43" t="s">
        <v>51</v>
      </c>
      <c r="K4" s="39">
        <f>CARÁTULA!$C$19</f>
        <v>0</v>
      </c>
      <c r="L4" s="39"/>
      <c r="M4" s="39"/>
      <c r="N4" s="39"/>
      <c r="O4" s="40"/>
      <c r="P4" s="40"/>
      <c r="Q4" s="40"/>
      <c r="R4" s="40"/>
      <c r="S4" s="40"/>
      <c r="T4" s="40"/>
      <c r="U4" s="40"/>
      <c r="V4" s="40"/>
      <c r="W4" s="40"/>
      <c r="X4" s="40"/>
      <c r="Y4" s="40"/>
      <c r="Z4" s="40"/>
    </row>
    <row r="5" spans="1:26" ht="13.5" customHeight="1" x14ac:dyDescent="0.45">
      <c r="A5" s="40"/>
      <c r="B5" s="123" t="s">
        <v>22</v>
      </c>
      <c r="C5" s="40"/>
      <c r="D5" s="40"/>
      <c r="E5" s="40" t="str">
        <f>CARÁTULA!$C$23</f>
        <v>2do de Secundaria</v>
      </c>
      <c r="F5" s="40"/>
      <c r="G5" s="40"/>
      <c r="H5" s="40"/>
      <c r="I5" s="40"/>
      <c r="J5" s="43" t="s">
        <v>23</v>
      </c>
      <c r="K5" s="66">
        <f ca="1">TODAY()</f>
        <v>44413</v>
      </c>
      <c r="L5" s="39"/>
      <c r="M5" s="39"/>
      <c r="N5" s="39"/>
      <c r="O5" s="40"/>
      <c r="P5" s="40"/>
      <c r="Q5" s="40"/>
      <c r="R5" s="40"/>
      <c r="S5" s="40"/>
      <c r="T5" s="40"/>
      <c r="U5" s="40"/>
      <c r="V5" s="40"/>
      <c r="W5" s="40"/>
      <c r="X5" s="40"/>
      <c r="Y5" s="40"/>
      <c r="Z5" s="40"/>
    </row>
    <row r="6" spans="1:26" ht="13.5" customHeight="1" x14ac:dyDescent="0.45">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45">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4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4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45">
      <c r="A10" s="40"/>
      <c r="B10" s="40"/>
      <c r="C10" s="193" t="s">
        <v>140</v>
      </c>
      <c r="D10" s="174"/>
      <c r="E10" s="124"/>
      <c r="F10" s="40"/>
      <c r="G10" s="43" t="s">
        <v>141</v>
      </c>
      <c r="H10" s="40"/>
      <c r="I10" s="40"/>
      <c r="J10" s="40"/>
      <c r="K10" s="40"/>
      <c r="L10" s="40"/>
      <c r="M10" s="40"/>
      <c r="N10" s="40"/>
      <c r="O10" s="40"/>
      <c r="P10" s="40"/>
      <c r="Q10" s="40"/>
      <c r="R10" s="40"/>
      <c r="S10" s="40"/>
      <c r="T10" s="40"/>
      <c r="U10" s="40"/>
      <c r="V10" s="40"/>
      <c r="W10" s="40"/>
      <c r="X10" s="40"/>
      <c r="Y10" s="40"/>
      <c r="Z10" s="40"/>
    </row>
    <row r="11" spans="1:26" ht="13.5" customHeight="1" x14ac:dyDescent="0.45">
      <c r="A11" s="40"/>
      <c r="B11" s="40"/>
      <c r="C11" s="125" t="s">
        <v>142</v>
      </c>
      <c r="D11" s="40"/>
      <c r="E11" s="126">
        <f>'CENTRAL 2'!$I$9</f>
        <v>36</v>
      </c>
      <c r="F11" s="124"/>
      <c r="G11" s="127">
        <f t="shared" ref="G11:G12" si="0">E11/$E$13</f>
        <v>1</v>
      </c>
      <c r="H11" s="128"/>
      <c r="I11" s="40"/>
      <c r="J11" s="40"/>
      <c r="K11" s="40"/>
      <c r="L11" s="40"/>
      <c r="M11" s="40"/>
      <c r="N11" s="40"/>
      <c r="O11" s="40"/>
      <c r="P11" s="40"/>
      <c r="Q11" s="40"/>
      <c r="R11" s="40"/>
      <c r="S11" s="40"/>
      <c r="T11" s="40"/>
      <c r="U11" s="40"/>
      <c r="V11" s="40"/>
      <c r="W11" s="40"/>
      <c r="X11" s="40"/>
      <c r="Y11" s="40"/>
      <c r="Z11" s="40"/>
    </row>
    <row r="12" spans="1:26" ht="13.5" customHeight="1" x14ac:dyDescent="0.45">
      <c r="A12" s="40"/>
      <c r="B12" s="40"/>
      <c r="C12" s="67" t="s">
        <v>143</v>
      </c>
      <c r="D12" s="40"/>
      <c r="E12" s="129">
        <f>'CENTRAL 2'!$I$13</f>
        <v>0</v>
      </c>
      <c r="F12" s="124"/>
      <c r="G12" s="127">
        <f t="shared" si="0"/>
        <v>0</v>
      </c>
      <c r="H12" s="128"/>
      <c r="I12" s="40"/>
      <c r="J12" s="40"/>
      <c r="K12" s="40"/>
      <c r="L12" s="40"/>
      <c r="M12" s="40"/>
      <c r="N12" s="40"/>
      <c r="O12" s="40"/>
      <c r="P12" s="40"/>
      <c r="Q12" s="40"/>
      <c r="R12" s="40"/>
      <c r="S12" s="40"/>
      <c r="T12" s="40"/>
      <c r="U12" s="40"/>
      <c r="V12" s="40"/>
      <c r="W12" s="40"/>
      <c r="X12" s="40"/>
      <c r="Y12" s="40"/>
      <c r="Z12" s="40"/>
    </row>
    <row r="13" spans="1:26" ht="13.5" customHeight="1" x14ac:dyDescent="0.45">
      <c r="A13" s="40"/>
      <c r="B13" s="40"/>
      <c r="C13" s="40" t="s">
        <v>144</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45">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4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4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4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4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4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4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4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4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45">
      <c r="A23" s="40"/>
      <c r="B23" s="40"/>
      <c r="C23" s="193" t="s">
        <v>145</v>
      </c>
      <c r="D23" s="174"/>
      <c r="E23" s="40"/>
      <c r="F23" s="40"/>
      <c r="G23" s="43" t="s">
        <v>146</v>
      </c>
      <c r="H23" s="40"/>
      <c r="I23" s="40"/>
      <c r="J23" s="40"/>
      <c r="K23" s="40"/>
      <c r="L23" s="40"/>
      <c r="M23" s="40"/>
      <c r="N23" s="40"/>
      <c r="O23" s="40"/>
      <c r="P23" s="40"/>
      <c r="Q23" s="40"/>
      <c r="R23" s="40"/>
      <c r="S23" s="40"/>
      <c r="T23" s="40"/>
      <c r="U23" s="40"/>
      <c r="V23" s="40"/>
      <c r="W23" s="40"/>
      <c r="X23" s="40"/>
      <c r="Y23" s="40"/>
      <c r="Z23" s="40"/>
    </row>
    <row r="24" spans="1:26" ht="13.5" customHeight="1" x14ac:dyDescent="0.45">
      <c r="A24" s="40"/>
      <c r="B24" s="40"/>
      <c r="C24" s="125" t="s">
        <v>142</v>
      </c>
      <c r="D24" s="40"/>
      <c r="E24" s="126">
        <f>'CENTRAL 2'!$J$9</f>
        <v>36</v>
      </c>
      <c r="F24" s="40"/>
      <c r="G24" s="127">
        <f t="shared" ref="G24:G25" si="1">E24/$E$26</f>
        <v>1</v>
      </c>
      <c r="H24" s="40"/>
      <c r="I24" s="40"/>
      <c r="J24" s="40"/>
      <c r="K24" s="40"/>
      <c r="L24" s="40"/>
      <c r="M24" s="40"/>
      <c r="N24" s="40"/>
      <c r="O24" s="40"/>
      <c r="P24" s="40"/>
      <c r="Q24" s="40"/>
      <c r="R24" s="40"/>
      <c r="S24" s="40"/>
      <c r="T24" s="40"/>
      <c r="U24" s="40"/>
      <c r="V24" s="40"/>
      <c r="W24" s="40"/>
      <c r="X24" s="40"/>
      <c r="Y24" s="40"/>
      <c r="Z24" s="40"/>
    </row>
    <row r="25" spans="1:26" ht="13.5" customHeight="1" x14ac:dyDescent="0.45">
      <c r="A25" s="40"/>
      <c r="B25" s="40"/>
      <c r="C25" s="67" t="s">
        <v>143</v>
      </c>
      <c r="D25" s="40"/>
      <c r="E25" s="129">
        <f>'CENTRAL 2'!$J$13</f>
        <v>0</v>
      </c>
      <c r="F25" s="40"/>
      <c r="G25" s="127">
        <f t="shared" si="1"/>
        <v>0</v>
      </c>
      <c r="H25" s="40"/>
      <c r="I25" s="40"/>
      <c r="J25" s="40"/>
      <c r="K25" s="40"/>
      <c r="L25" s="40"/>
      <c r="M25" s="40"/>
      <c r="N25" s="40"/>
      <c r="O25" s="40"/>
      <c r="P25" s="40"/>
      <c r="Q25" s="40"/>
      <c r="R25" s="40"/>
      <c r="S25" s="40"/>
      <c r="T25" s="40"/>
      <c r="U25" s="40"/>
      <c r="V25" s="40"/>
      <c r="W25" s="40"/>
      <c r="X25" s="40"/>
      <c r="Y25" s="40"/>
      <c r="Z25" s="40"/>
    </row>
    <row r="26" spans="1:26" ht="13.5" customHeight="1" x14ac:dyDescent="0.45">
      <c r="A26" s="40"/>
      <c r="B26" s="40"/>
      <c r="C26" s="40" t="s">
        <v>144</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4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4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4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4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4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4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4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4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45">
      <c r="A35" s="40"/>
      <c r="B35" s="40"/>
      <c r="C35" s="193" t="s">
        <v>147</v>
      </c>
      <c r="D35" s="174"/>
      <c r="E35" s="40"/>
      <c r="F35" s="40"/>
      <c r="G35" s="123" t="s">
        <v>148</v>
      </c>
      <c r="H35" s="40"/>
      <c r="I35" s="40"/>
      <c r="J35" s="40"/>
      <c r="K35" s="40"/>
      <c r="L35" s="40"/>
      <c r="M35" s="40"/>
      <c r="N35" s="40"/>
      <c r="O35" s="40"/>
      <c r="P35" s="40"/>
      <c r="Q35" s="40"/>
      <c r="R35" s="40"/>
      <c r="S35" s="40"/>
      <c r="T35" s="40"/>
      <c r="U35" s="40"/>
      <c r="V35" s="40"/>
      <c r="W35" s="40"/>
      <c r="X35" s="40"/>
      <c r="Y35" s="40"/>
      <c r="Z35" s="40"/>
    </row>
    <row r="36" spans="1:26" ht="13.5" customHeight="1" x14ac:dyDescent="0.45">
      <c r="A36" s="40"/>
      <c r="B36" s="40"/>
      <c r="C36" s="125" t="s">
        <v>142</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45">
      <c r="A37" s="40"/>
      <c r="B37" s="40"/>
      <c r="C37" s="67" t="s">
        <v>143</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45">
      <c r="A38" s="40"/>
      <c r="B38" s="40"/>
      <c r="C38" s="40" t="s">
        <v>144</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4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4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4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4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4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4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4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4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4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4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4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4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4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4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4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4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4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4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4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4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4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4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4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4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4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4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4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4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4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4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4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4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4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4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4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4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4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4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4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4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4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4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4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4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4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4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4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4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4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4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4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4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4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4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4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4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4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4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4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4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4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4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4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4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4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4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4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4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4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4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4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4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4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4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4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4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4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4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4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4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4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4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4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4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4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4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4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4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4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4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4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4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4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4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4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4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4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4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4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4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4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4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4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4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4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4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4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4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4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4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4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4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4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4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4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4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4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4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4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4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4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4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4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4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4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4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4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4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4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4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4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4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4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4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4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4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4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4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4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4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4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4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4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4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4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4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4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4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4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4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4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4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4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4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4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4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4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4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4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4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4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4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4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4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4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4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4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4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4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4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4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4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4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4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4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4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4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4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4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4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4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4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4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4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4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4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4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4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4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4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4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4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4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4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4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4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4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4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4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4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4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4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4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4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4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4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4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4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4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4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4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4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4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4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4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4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4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4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4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4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4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4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4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4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4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4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4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4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4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4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4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4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4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4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4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4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4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4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4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4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4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4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4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4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4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4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4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4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4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4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4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4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4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4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4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4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4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4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4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4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4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4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4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4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4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4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4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4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4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4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4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4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4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4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4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4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4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4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4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4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4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4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4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4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4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4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4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4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4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4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4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4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4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4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4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4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4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4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4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4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4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4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4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4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4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4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4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4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4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4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4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4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4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4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4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4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4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4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4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4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4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4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4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4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4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4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4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4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4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4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4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4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4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4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4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4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4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4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4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4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4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4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4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4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4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4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4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4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4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4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4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4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4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4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4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4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4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4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4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4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4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4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4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4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4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4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4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4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4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4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4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4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4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4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4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4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4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4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4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4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4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4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4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4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4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4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4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4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4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4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4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4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4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4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4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4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4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4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4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4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4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4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4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4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4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4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4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4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4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4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4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4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4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4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4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4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4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4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4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4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4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4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4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4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4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4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4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4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4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4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4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4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4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4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4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4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4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4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4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4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4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4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4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4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4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4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4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4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4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4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4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4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4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4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4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4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4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4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4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4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4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4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4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4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4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4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4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4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4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4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4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4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4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4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4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4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4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4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4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4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4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4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4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4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4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4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4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4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4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4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4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4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4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4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4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4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4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4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4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4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4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4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4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4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4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4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4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4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4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4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4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4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4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4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4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4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4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4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4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4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4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4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4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4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4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4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4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4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4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4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4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4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4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4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4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4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4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4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4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4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4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4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4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4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4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4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4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4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4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4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4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4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4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4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4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4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4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4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4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4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4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4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4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4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4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4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4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4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4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4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4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4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4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4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4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4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4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4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4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4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4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4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4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4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4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4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4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4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4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4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4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4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4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4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4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4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4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4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4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4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4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4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4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4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4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4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4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4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4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4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4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4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4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4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4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4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4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4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4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4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4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4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4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4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4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4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4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4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4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4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4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4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4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4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4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4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4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4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4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4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4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4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4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4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4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4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4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4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4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4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4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4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4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4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4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4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4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4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4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4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4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4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4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4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4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4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4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4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4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4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4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4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4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4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4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4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4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4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4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4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4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4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4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4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4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4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4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4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4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4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4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4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4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4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4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4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4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4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4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4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4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4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4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4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4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4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4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4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4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4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4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4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4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4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4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4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4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4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4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4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4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4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4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4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4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4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4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4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4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4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4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4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4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4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4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4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4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4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4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4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4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4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4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4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4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4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4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4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4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4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4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4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4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4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4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4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4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4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4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4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4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4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4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4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4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4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4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4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4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4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4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4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4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4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4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4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4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4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4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4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4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4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4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4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4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4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4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4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4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4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4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4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4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4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4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4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4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4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4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4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4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4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4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4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4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4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4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4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4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4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4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4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4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4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4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4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4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4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4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4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4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4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4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4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4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4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4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4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4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4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4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4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4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4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4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4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4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4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4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4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4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4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4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4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4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4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4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4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4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4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4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4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4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4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4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4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4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4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4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4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4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4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4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4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4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4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4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4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4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4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4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4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4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4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4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4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4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4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4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4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4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4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4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4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4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4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4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4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4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4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4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4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4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4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4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4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4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4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4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4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4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4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4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4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4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4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4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4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4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4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4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4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4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4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4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4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4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4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4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4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4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4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4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4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4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4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4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4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4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4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4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4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4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4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4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4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4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4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4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4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4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4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4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4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4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4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4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4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4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4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4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4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4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4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4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4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4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4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4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4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4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4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34375" defaultRowHeight="15" customHeight="1" x14ac:dyDescent="0.45"/>
  <cols>
    <col min="1" max="1" width="1.6640625" customWidth="1"/>
    <col min="2" max="2" width="5.6640625" customWidth="1"/>
    <col min="3" max="3" width="4.33203125" customWidth="1"/>
    <col min="4" max="4" width="6.28515625" customWidth="1"/>
    <col min="5" max="5" width="7.5703125" customWidth="1"/>
    <col min="6" max="6" width="13.33203125" customWidth="1"/>
    <col min="7" max="7" width="10.7109375" customWidth="1"/>
    <col min="8" max="8" width="8.234375" customWidth="1"/>
    <col min="9" max="26" width="5.6640625" customWidth="1"/>
  </cols>
  <sheetData>
    <row r="1" spans="1:26" ht="13.5" customHeight="1" x14ac:dyDescent="0.45">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45">
      <c r="A2" s="128"/>
      <c r="B2" s="128"/>
      <c r="C2" s="233" t="s">
        <v>149</v>
      </c>
      <c r="D2" s="174"/>
      <c r="E2" s="174"/>
      <c r="F2" s="174"/>
      <c r="G2" s="174"/>
      <c r="H2" s="174"/>
      <c r="I2" s="174"/>
      <c r="J2" s="128"/>
      <c r="K2" s="128"/>
      <c r="L2" s="128"/>
      <c r="M2" s="128"/>
      <c r="N2" s="128"/>
      <c r="O2" s="128"/>
      <c r="P2" s="128"/>
      <c r="Q2" s="128"/>
      <c r="R2" s="128"/>
      <c r="S2" s="128"/>
      <c r="T2" s="128"/>
      <c r="U2" s="128"/>
      <c r="V2" s="128"/>
      <c r="W2" s="128"/>
      <c r="X2" s="128"/>
      <c r="Y2" s="128"/>
      <c r="Z2" s="128"/>
    </row>
    <row r="3" spans="1:26" ht="13.5" customHeight="1" x14ac:dyDescent="0.45">
      <c r="A3" s="128"/>
      <c r="B3" s="132" t="s">
        <v>8</v>
      </c>
      <c r="C3" s="133"/>
      <c r="D3" s="133"/>
      <c r="E3" s="133" t="str">
        <f>CARÁTULA!$C$15</f>
        <v>Instituto Tecnico Humanistico Jauzel Arrieta</v>
      </c>
      <c r="F3" s="133"/>
      <c r="G3" s="132" t="s">
        <v>19</v>
      </c>
      <c r="H3" s="133">
        <f>CARÁTULA!$C$25</f>
        <v>0</v>
      </c>
      <c r="I3" s="133"/>
      <c r="J3" s="133"/>
      <c r="K3" s="128"/>
      <c r="L3" s="128"/>
      <c r="M3" s="128"/>
      <c r="N3" s="128"/>
      <c r="O3" s="128"/>
      <c r="P3" s="128"/>
      <c r="Q3" s="128"/>
      <c r="R3" s="128"/>
      <c r="S3" s="128"/>
      <c r="T3" s="128"/>
      <c r="U3" s="128"/>
      <c r="V3" s="128"/>
      <c r="W3" s="128"/>
      <c r="X3" s="128"/>
      <c r="Y3" s="128"/>
      <c r="Z3" s="128"/>
    </row>
    <row r="4" spans="1:26" ht="13.5" customHeight="1" x14ac:dyDescent="0.45">
      <c r="A4" s="128"/>
      <c r="B4" s="132" t="s">
        <v>14</v>
      </c>
      <c r="C4" s="133"/>
      <c r="D4" s="133"/>
      <c r="E4" s="133" t="str">
        <f>CARÁTULA!$C$21</f>
        <v>Secundaria</v>
      </c>
      <c r="F4" s="133"/>
      <c r="G4" s="132" t="s">
        <v>51</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45">
      <c r="A5" s="128"/>
      <c r="B5" s="132" t="s">
        <v>22</v>
      </c>
      <c r="C5" s="133"/>
      <c r="D5" s="133"/>
      <c r="E5" s="133" t="str">
        <f>CARÁTULA!$C$23</f>
        <v>2do de Secundaria</v>
      </c>
      <c r="F5" s="133"/>
      <c r="G5" s="132" t="s">
        <v>23</v>
      </c>
      <c r="H5" s="134">
        <f ca="1">TODAY()</f>
        <v>44413</v>
      </c>
      <c r="I5" s="133"/>
      <c r="J5" s="133"/>
      <c r="K5" s="128"/>
      <c r="L5" s="128"/>
      <c r="M5" s="128"/>
      <c r="N5" s="128"/>
      <c r="O5" s="128"/>
      <c r="P5" s="128"/>
      <c r="Q5" s="128"/>
      <c r="R5" s="128"/>
      <c r="S5" s="128"/>
      <c r="T5" s="128"/>
      <c r="U5" s="128"/>
      <c r="V5" s="128"/>
      <c r="W5" s="128"/>
      <c r="X5" s="128"/>
      <c r="Y5" s="128"/>
      <c r="Z5" s="128"/>
    </row>
    <row r="6" spans="1:26" ht="13.5" customHeight="1" x14ac:dyDescent="0.45">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45">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45">
      <c r="A8" s="128"/>
      <c r="B8" s="128"/>
      <c r="C8" s="232" t="s">
        <v>150</v>
      </c>
      <c r="D8" s="136" t="s">
        <v>151</v>
      </c>
      <c r="E8" s="136" t="s">
        <v>152</v>
      </c>
      <c r="F8" s="137" t="s">
        <v>153</v>
      </c>
      <c r="G8" s="136" t="s">
        <v>154</v>
      </c>
      <c r="H8" s="136" t="s">
        <v>155</v>
      </c>
      <c r="I8" s="128"/>
      <c r="J8" s="128"/>
      <c r="K8" s="128"/>
      <c r="L8" s="128"/>
      <c r="M8" s="128"/>
      <c r="N8" s="128"/>
      <c r="O8" s="128"/>
      <c r="P8" s="128"/>
      <c r="Q8" s="128"/>
      <c r="R8" s="128"/>
      <c r="S8" s="128"/>
      <c r="T8" s="128"/>
      <c r="U8" s="128"/>
      <c r="V8" s="128"/>
      <c r="W8" s="128"/>
      <c r="X8" s="128"/>
      <c r="Y8" s="128"/>
      <c r="Z8" s="128"/>
    </row>
    <row r="9" spans="1:26" ht="13.5" customHeight="1" x14ac:dyDescent="0.45">
      <c r="A9" s="128"/>
      <c r="B9" s="128"/>
      <c r="C9" s="219"/>
      <c r="D9" s="138" t="s">
        <v>156</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45">
      <c r="A10" s="128"/>
      <c r="B10" s="128"/>
      <c r="C10" s="219"/>
      <c r="D10" s="138" t="s">
        <v>157</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45">
      <c r="A11" s="128"/>
      <c r="B11" s="128"/>
      <c r="C11" s="219"/>
      <c r="D11" s="138" t="s">
        <v>158</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45">
      <c r="A12" s="128"/>
      <c r="B12" s="128"/>
      <c r="C12" s="204"/>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45">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4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45">
      <c r="A15" s="128"/>
      <c r="B15" s="128"/>
      <c r="C15" s="232" t="s">
        <v>159</v>
      </c>
      <c r="D15" s="136" t="s">
        <v>151</v>
      </c>
      <c r="E15" s="136" t="s">
        <v>152</v>
      </c>
      <c r="F15" s="137" t="s">
        <v>153</v>
      </c>
      <c r="G15" s="136" t="s">
        <v>154</v>
      </c>
      <c r="H15" s="136" t="s">
        <v>155</v>
      </c>
      <c r="I15" s="128"/>
      <c r="J15" s="128"/>
      <c r="K15" s="128"/>
      <c r="L15" s="128"/>
      <c r="M15" s="128"/>
      <c r="N15" s="128"/>
      <c r="O15" s="128"/>
      <c r="P15" s="128"/>
      <c r="Q15" s="128"/>
      <c r="R15" s="128"/>
      <c r="S15" s="128"/>
      <c r="T15" s="128"/>
      <c r="U15" s="128"/>
      <c r="V15" s="128"/>
      <c r="W15" s="128"/>
      <c r="X15" s="128"/>
      <c r="Y15" s="128"/>
      <c r="Z15" s="128"/>
    </row>
    <row r="16" spans="1:26" ht="13.5" customHeight="1" x14ac:dyDescent="0.45">
      <c r="A16" s="128"/>
      <c r="B16" s="128"/>
      <c r="C16" s="219"/>
      <c r="D16" s="138" t="s">
        <v>156</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45">
      <c r="A17" s="128"/>
      <c r="B17" s="128"/>
      <c r="C17" s="219"/>
      <c r="D17" s="138" t="s">
        <v>157</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45">
      <c r="A18" s="128"/>
      <c r="B18" s="128"/>
      <c r="C18" s="219"/>
      <c r="D18" s="138" t="s">
        <v>158</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45">
      <c r="A19" s="128"/>
      <c r="B19" s="128"/>
      <c r="C19" s="204"/>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45">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45">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45">
      <c r="A22" s="128"/>
      <c r="B22" s="128"/>
      <c r="C22" s="232" t="s">
        <v>160</v>
      </c>
      <c r="D22" s="136" t="s">
        <v>151</v>
      </c>
      <c r="E22" s="136" t="s">
        <v>152</v>
      </c>
      <c r="F22" s="137" t="s">
        <v>153</v>
      </c>
      <c r="G22" s="136" t="s">
        <v>154</v>
      </c>
      <c r="H22" s="136" t="s">
        <v>155</v>
      </c>
      <c r="I22" s="128"/>
      <c r="J22" s="128"/>
      <c r="K22" s="128"/>
      <c r="L22" s="128"/>
      <c r="M22" s="128"/>
      <c r="N22" s="128"/>
      <c r="O22" s="128"/>
      <c r="P22" s="128"/>
      <c r="Q22" s="128"/>
      <c r="R22" s="128"/>
      <c r="S22" s="128"/>
      <c r="T22" s="128"/>
      <c r="U22" s="128"/>
      <c r="V22" s="128"/>
      <c r="W22" s="128"/>
      <c r="X22" s="128"/>
      <c r="Y22" s="128"/>
      <c r="Z22" s="128"/>
    </row>
    <row r="23" spans="1:26" ht="13.5" customHeight="1" x14ac:dyDescent="0.45">
      <c r="A23" s="128"/>
      <c r="B23" s="128"/>
      <c r="C23" s="219"/>
      <c r="D23" s="138" t="s">
        <v>156</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45">
      <c r="A24" s="128"/>
      <c r="B24" s="128"/>
      <c r="C24" s="219"/>
      <c r="D24" s="138" t="s">
        <v>157</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45">
      <c r="A25" s="128"/>
      <c r="B25" s="128"/>
      <c r="C25" s="219"/>
      <c r="D25" s="138" t="s">
        <v>158</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45">
      <c r="A26" s="128"/>
      <c r="B26" s="128"/>
      <c r="C26" s="204"/>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45">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45">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45">
      <c r="A29" s="128"/>
      <c r="B29" s="128"/>
      <c r="C29" s="232" t="s">
        <v>161</v>
      </c>
      <c r="D29" s="136" t="s">
        <v>151</v>
      </c>
      <c r="E29" s="136" t="s">
        <v>152</v>
      </c>
      <c r="F29" s="137" t="s">
        <v>153</v>
      </c>
      <c r="G29" s="136" t="s">
        <v>154</v>
      </c>
      <c r="H29" s="136" t="s">
        <v>155</v>
      </c>
      <c r="I29" s="128"/>
      <c r="J29" s="128"/>
      <c r="K29" s="128"/>
      <c r="L29" s="128"/>
      <c r="M29" s="128"/>
      <c r="N29" s="128"/>
      <c r="O29" s="128"/>
      <c r="P29" s="128"/>
      <c r="Q29" s="128"/>
      <c r="R29" s="128"/>
      <c r="S29" s="128"/>
      <c r="T29" s="128"/>
      <c r="U29" s="128"/>
      <c r="V29" s="128"/>
      <c r="W29" s="128"/>
      <c r="X29" s="128"/>
      <c r="Y29" s="128"/>
      <c r="Z29" s="128"/>
    </row>
    <row r="30" spans="1:26" ht="13.5" customHeight="1" x14ac:dyDescent="0.45">
      <c r="A30" s="128"/>
      <c r="B30" s="128"/>
      <c r="C30" s="219"/>
      <c r="D30" s="138" t="s">
        <v>156</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45">
      <c r="A31" s="128"/>
      <c r="B31" s="128"/>
      <c r="C31" s="219"/>
      <c r="D31" s="138" t="s">
        <v>157</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45">
      <c r="A32" s="128"/>
      <c r="B32" s="128"/>
      <c r="C32" s="219"/>
      <c r="D32" s="138" t="s">
        <v>158</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45">
      <c r="A33" s="128"/>
      <c r="B33" s="128"/>
      <c r="C33" s="204"/>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45">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45">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45">
      <c r="A36" s="128"/>
      <c r="B36" s="128"/>
      <c r="C36" s="232" t="s">
        <v>162</v>
      </c>
      <c r="D36" s="136" t="s">
        <v>151</v>
      </c>
      <c r="E36" s="136" t="s">
        <v>152</v>
      </c>
      <c r="F36" s="137" t="s">
        <v>153</v>
      </c>
      <c r="G36" s="136" t="s">
        <v>154</v>
      </c>
      <c r="H36" s="136" t="s">
        <v>155</v>
      </c>
      <c r="I36" s="128"/>
      <c r="J36" s="128"/>
      <c r="K36" s="128"/>
      <c r="L36" s="128"/>
      <c r="M36" s="128"/>
      <c r="N36" s="128"/>
      <c r="O36" s="128"/>
      <c r="P36" s="128"/>
      <c r="Q36" s="128"/>
      <c r="R36" s="128"/>
      <c r="S36" s="128"/>
      <c r="T36" s="128"/>
      <c r="U36" s="128"/>
      <c r="V36" s="128"/>
      <c r="W36" s="128"/>
      <c r="X36" s="128"/>
      <c r="Y36" s="128"/>
      <c r="Z36" s="128"/>
    </row>
    <row r="37" spans="1:26" ht="13.5" customHeight="1" x14ac:dyDescent="0.45">
      <c r="A37" s="128"/>
      <c r="B37" s="128"/>
      <c r="C37" s="219"/>
      <c r="D37" s="138" t="s">
        <v>156</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45">
      <c r="A38" s="128"/>
      <c r="B38" s="128"/>
      <c r="C38" s="219"/>
      <c r="D38" s="138" t="s">
        <v>157</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45">
      <c r="A39" s="128"/>
      <c r="B39" s="128"/>
      <c r="C39" s="219"/>
      <c r="D39" s="138" t="s">
        <v>158</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45">
      <c r="A40" s="128"/>
      <c r="B40" s="128"/>
      <c r="C40" s="204"/>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45">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45">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45">
      <c r="A43" s="128"/>
      <c r="B43" s="128"/>
      <c r="C43" s="232" t="s">
        <v>163</v>
      </c>
      <c r="D43" s="136" t="s">
        <v>151</v>
      </c>
      <c r="E43" s="136" t="s">
        <v>152</v>
      </c>
      <c r="F43" s="137" t="s">
        <v>153</v>
      </c>
      <c r="G43" s="136" t="s">
        <v>154</v>
      </c>
      <c r="H43" s="136" t="s">
        <v>155</v>
      </c>
      <c r="I43" s="128"/>
      <c r="J43" s="128"/>
      <c r="K43" s="128"/>
      <c r="L43" s="128"/>
      <c r="M43" s="128"/>
      <c r="N43" s="128"/>
      <c r="O43" s="128"/>
      <c r="P43" s="128"/>
      <c r="Q43" s="128"/>
      <c r="R43" s="128"/>
      <c r="S43" s="128"/>
      <c r="T43" s="128"/>
      <c r="U43" s="128"/>
      <c r="V43" s="128"/>
      <c r="W43" s="128"/>
      <c r="X43" s="128"/>
      <c r="Y43" s="128"/>
      <c r="Z43" s="128"/>
    </row>
    <row r="44" spans="1:26" ht="13.5" customHeight="1" x14ac:dyDescent="0.45">
      <c r="A44" s="128"/>
      <c r="B44" s="128"/>
      <c r="C44" s="219"/>
      <c r="D44" s="138" t="s">
        <v>156</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45">
      <c r="A45" s="128"/>
      <c r="B45" s="128"/>
      <c r="C45" s="219"/>
      <c r="D45" s="138" t="s">
        <v>157</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45">
      <c r="A46" s="128"/>
      <c r="B46" s="128"/>
      <c r="C46" s="219"/>
      <c r="D46" s="138" t="s">
        <v>158</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45">
      <c r="A47" s="128"/>
      <c r="B47" s="128"/>
      <c r="C47" s="204"/>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45">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45">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45">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45">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45">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45">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45">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45">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45">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45">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45">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45">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45">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45">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45">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45">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45">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45">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45">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45">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45">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45">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45">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45">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45">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45">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45">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45">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45">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45">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45">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45">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45">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45">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45">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45">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45">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45">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45">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45">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45">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45">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45">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45">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45">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45">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45">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45">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45">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45">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45">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45">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45">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45">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45">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45">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45">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45">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45">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45">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45">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45">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45">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45">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45">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45">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45">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45">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45">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45">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45">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45">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45">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45">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45">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45">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45">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45">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45">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45">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45">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45">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45">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45">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45">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45">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45">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45">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45">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45">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45">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45">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45">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45">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45">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45">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45">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45">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45">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45">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45">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45">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45">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45">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45">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4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4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45">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45">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45">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45">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45">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45">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45">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45">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45">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45">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45">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45">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45">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45">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45">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45">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45">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45">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45">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45">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45">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45">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45">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45">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45">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45">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45">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45">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45">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4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4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4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4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4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4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4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4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4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4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4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4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4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4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4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4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4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4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4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4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4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4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4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4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4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4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4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4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4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4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4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4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4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4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4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4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4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4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4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4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4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4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4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4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4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4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4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4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4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4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4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4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4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4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4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4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4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4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4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4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4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4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4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4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4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4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4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4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4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4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4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4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4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4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4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4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4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45">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45">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45">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45">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45">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45">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45">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45">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45">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45">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45">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45">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45">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45">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45">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45">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45">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45">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45">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45">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45">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45">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45">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45">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45">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45">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45">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45">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45">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45">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45">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45">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45">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45">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45">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45">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45">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45">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45">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45">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45">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45">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45">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45">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45">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45">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45">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45">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45">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45">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45">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45">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45">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45">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45">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45">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45">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45">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45">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45">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45">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45">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45">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45">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45">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45">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45">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45">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45">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45">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45">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45">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45">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45">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45">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45">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45">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45">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45">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45">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45">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45">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45">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45">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45">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45">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45">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45">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45">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45">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45">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45">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45">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45">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45">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45">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45">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45">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45">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45">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45">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45">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45">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45">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45">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45">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45">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45">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45">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45">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45">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45">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45">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45">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45">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45">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45">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45">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45">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45">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45">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45">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45">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45">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45">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45">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45">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45">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45">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45">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45">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45">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45">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45">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45">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45">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45">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45">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45">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45">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45">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45">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45">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45">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45">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45">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45">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45">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45">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45">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45">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45">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45">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45">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45">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45">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45">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45">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45">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45">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45">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45">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45">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45">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45">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45">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45">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45">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45">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45">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45">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45">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45">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45">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45">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45">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45">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45">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45">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45">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45">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45">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45">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45">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45">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45">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45">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45">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45">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45">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45">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45">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45">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45">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45">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45">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45">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45">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45">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45">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45">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45">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45">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45">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45">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45">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45">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45">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45">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45">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45">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45">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45">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45">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45">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45">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45">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45">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45">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45">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45">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45">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45">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45">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45">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45">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45">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45">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45">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45">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45">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45">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45">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45">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45">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45">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45">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45">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45">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45">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45">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45">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45">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45">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45">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45">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45">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45">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45">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45">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45">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45">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45">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45">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45">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45">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45">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45">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45">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45">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45">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45">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45">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45">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45">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45">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45">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45">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45">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45">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45">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45">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45">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45">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45">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45">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45">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45">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45">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45">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45">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45">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45">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45">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45">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45">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45">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45">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45">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45">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45">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45">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45">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45">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45">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45">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45">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45">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45">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45">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45">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45">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45">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45">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45">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45">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45">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45">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45">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45">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45">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45">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45">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45">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45">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45">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45">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45">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45">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45">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45">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45">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45">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45">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45">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45">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45">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45">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45">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45">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45">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45">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45">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45">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45">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45">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45">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45">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45">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45">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45">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45">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45">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45">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45">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45">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45">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45">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45">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45">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45">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45">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45">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45">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45">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45">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45">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45">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45">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45">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45">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45">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45">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45">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45">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45">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45">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45">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45">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45">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45">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45">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45">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45">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45">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45">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45">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45">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45">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45">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45">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45">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45">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45">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45">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45">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45">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45">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45">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45">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45">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45">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45">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45">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45">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45">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45">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45">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45">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45">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45">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45">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45">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45">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45">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45">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45">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45">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45">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45">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45">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45">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45">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45">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45">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45">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45">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45">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45">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45">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45">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45">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45">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45">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45">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45">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45">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45">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45">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45">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45">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45">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45">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45">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45">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45">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45">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45">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45">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45">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45">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45">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45">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45">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45">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45">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45">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45">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45">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45">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45">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45">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45">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45">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45">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45">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45">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45">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45">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45">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45">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45">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45">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45">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45">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45">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45">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45">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45">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45">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45">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45">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45">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45">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45">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45">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45">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45">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45">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45">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45">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45">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45">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45">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45">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45">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45">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45">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45">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45">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45">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45">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45">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45">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45">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45">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45">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45">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45">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45">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45">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45">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45">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45">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45">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45">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45">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45">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45">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45">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45">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45">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45">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45">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45">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45">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45">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45">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45">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45">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45">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45">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45">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45">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45">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45">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45">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45">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45">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45">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45">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45">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45">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45">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45">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45">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45">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45">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45">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45">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45">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45">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45">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45">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45">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45">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45">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45">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45">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45">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45">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45">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45">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45">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45">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45">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45">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45">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45">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45">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45">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45">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45">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45">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45">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45">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45">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45">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45">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45">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45">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45">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45">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45">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45">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45">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45">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45">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45">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45">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45">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45">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45">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45">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45">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45">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45">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45">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45">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45">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45">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45">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45">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45">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45">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45">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45">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45">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45">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45">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45">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45">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45">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45">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45">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45">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45">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45">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45">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45">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45">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45">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45">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45">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45">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45">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45">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45">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45">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45">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45">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45">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45">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45">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45">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45">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45">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45">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45">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45">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45">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45">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45">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45">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45">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45">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45">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45">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45">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45">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45">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45">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45">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45">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45">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45">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45">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45">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45">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45">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45">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45">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45">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45">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45">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45">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45">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45">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45">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45">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45">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45">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45">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45">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45">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45">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45">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45">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45">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45">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45">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45">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45">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45">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45">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45">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45">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45">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45">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45">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45">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45">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45">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45">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45">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45">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45">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45">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45">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45">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45">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45">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45">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45">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45">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45">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45">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45">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45">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45">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45">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45">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45">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45">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45">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45">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45">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45">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45">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45">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45">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45">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45">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45">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45">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45">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45">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45">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45">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45">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45">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45">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45">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45">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45">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45">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45">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45">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45">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45">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45">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45">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45">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45">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45">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45">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45">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45">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45">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45">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34375" defaultRowHeight="15" customHeight="1" x14ac:dyDescent="0.45"/>
  <cols>
    <col min="1" max="4" width="1.6640625" customWidth="1"/>
    <col min="5" max="6" width="4.6640625" customWidth="1"/>
    <col min="7" max="7" width="26.6640625" customWidth="1"/>
    <col min="8" max="8" width="7.5703125" customWidth="1"/>
    <col min="9" max="10" width="10.94921875" customWidth="1"/>
    <col min="11" max="26" width="10.42578125" customWidth="1"/>
  </cols>
  <sheetData>
    <row r="1" spans="1:26" ht="7.5" customHeight="1" x14ac:dyDescent="0.4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45">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45">
      <c r="A3" s="143"/>
      <c r="B3" s="19"/>
      <c r="C3" s="19"/>
      <c r="D3" s="19"/>
      <c r="E3" s="234" t="s">
        <v>164</v>
      </c>
      <c r="F3" s="174"/>
      <c r="G3" s="174"/>
      <c r="H3" s="174"/>
      <c r="I3" s="174"/>
      <c r="J3" s="143"/>
      <c r="K3" s="143"/>
      <c r="L3" s="143"/>
      <c r="M3" s="143"/>
      <c r="N3" s="143"/>
      <c r="O3" s="143"/>
      <c r="P3" s="143"/>
      <c r="Q3" s="143"/>
      <c r="R3" s="143"/>
      <c r="S3" s="143"/>
      <c r="T3" s="143"/>
      <c r="U3" s="143"/>
      <c r="V3" s="143"/>
      <c r="W3" s="143"/>
      <c r="X3" s="143"/>
      <c r="Y3" s="143"/>
      <c r="Z3" s="143"/>
    </row>
    <row r="4" spans="1:26" ht="6.75" customHeight="1" x14ac:dyDescent="0.45">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45">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45">
      <c r="A6" s="143"/>
      <c r="B6" s="144" t="s">
        <v>8</v>
      </c>
      <c r="C6" s="19"/>
      <c r="D6" s="19"/>
      <c r="E6" s="19"/>
      <c r="F6" s="19"/>
      <c r="G6" s="19" t="str">
        <f>CARÁTULA!$C$15</f>
        <v>Instituto Tecnico Humanistico Jauzel Arrieta</v>
      </c>
      <c r="H6" s="144" t="s">
        <v>19</v>
      </c>
      <c r="I6" s="40">
        <f>CARÁTULA!$C$25</f>
        <v>0</v>
      </c>
      <c r="J6" s="143"/>
      <c r="K6" s="143"/>
      <c r="L6" s="143"/>
      <c r="M6" s="143"/>
      <c r="N6" s="143"/>
      <c r="O6" s="143"/>
      <c r="P6" s="143"/>
      <c r="Q6" s="143"/>
      <c r="R6" s="143"/>
      <c r="S6" s="143"/>
      <c r="T6" s="143"/>
      <c r="U6" s="143"/>
      <c r="V6" s="143"/>
      <c r="W6" s="143"/>
      <c r="X6" s="143"/>
      <c r="Y6" s="143"/>
      <c r="Z6" s="143"/>
    </row>
    <row r="7" spans="1:26" ht="12.75" customHeight="1" x14ac:dyDescent="0.45">
      <c r="A7" s="143"/>
      <c r="B7" s="144" t="s">
        <v>14</v>
      </c>
      <c r="C7" s="19"/>
      <c r="D7" s="19"/>
      <c r="E7" s="19"/>
      <c r="F7" s="19"/>
      <c r="G7" s="40" t="str">
        <f>CARÁTULA!$C$21</f>
        <v>Secundaria</v>
      </c>
      <c r="H7" s="144" t="s">
        <v>51</v>
      </c>
      <c r="I7" s="19">
        <f>CARÁTULA!$C$19</f>
        <v>0</v>
      </c>
      <c r="J7" s="143"/>
      <c r="K7" s="143"/>
      <c r="L7" s="143"/>
      <c r="M7" s="143"/>
      <c r="N7" s="143"/>
      <c r="O7" s="143"/>
      <c r="P7" s="143"/>
      <c r="Q7" s="143"/>
      <c r="R7" s="143"/>
      <c r="S7" s="143"/>
      <c r="T7" s="143"/>
      <c r="U7" s="143"/>
      <c r="V7" s="143"/>
      <c r="W7" s="143"/>
      <c r="X7" s="143"/>
      <c r="Y7" s="143"/>
      <c r="Z7" s="143"/>
    </row>
    <row r="8" spans="1:26" ht="12.75" customHeight="1" x14ac:dyDescent="0.45">
      <c r="A8" s="143"/>
      <c r="B8" s="144" t="s">
        <v>22</v>
      </c>
      <c r="C8" s="19"/>
      <c r="D8" s="19"/>
      <c r="E8" s="19"/>
      <c r="F8" s="19"/>
      <c r="G8" s="40" t="str">
        <f>CARÁTULA!$C$23</f>
        <v>2do de Secundaria</v>
      </c>
      <c r="H8" s="144" t="s">
        <v>23</v>
      </c>
      <c r="I8" s="134">
        <f ca="1">TODAY()</f>
        <v>44413</v>
      </c>
      <c r="J8" s="143"/>
      <c r="K8" s="143"/>
      <c r="L8" s="143"/>
      <c r="M8" s="143"/>
      <c r="N8" s="143"/>
      <c r="O8" s="143"/>
      <c r="P8" s="143"/>
      <c r="Q8" s="143"/>
      <c r="R8" s="143"/>
      <c r="S8" s="143"/>
      <c r="T8" s="143"/>
      <c r="U8" s="143"/>
      <c r="V8" s="143"/>
      <c r="W8" s="143"/>
      <c r="X8" s="143"/>
      <c r="Y8" s="143"/>
      <c r="Z8" s="143"/>
    </row>
    <row r="9" spans="1:26" ht="6.75" customHeight="1" x14ac:dyDescent="0.45">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4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45">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4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45">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45">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45">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45">
      <c r="A16" s="143"/>
      <c r="B16" s="143"/>
      <c r="C16" s="143"/>
      <c r="D16" s="143"/>
      <c r="E16" s="235" t="s">
        <v>165</v>
      </c>
      <c r="F16" s="236"/>
      <c r="G16" s="146" t="s">
        <v>24</v>
      </c>
      <c r="H16" s="147" t="s">
        <v>166</v>
      </c>
      <c r="I16" s="148"/>
      <c r="J16" s="143"/>
      <c r="K16" s="143"/>
      <c r="L16" s="143"/>
      <c r="M16" s="143"/>
      <c r="N16" s="143"/>
      <c r="O16" s="143"/>
      <c r="P16" s="143"/>
      <c r="Q16" s="143"/>
      <c r="R16" s="143"/>
      <c r="S16" s="143"/>
      <c r="T16" s="143"/>
      <c r="U16" s="143"/>
      <c r="V16" s="143"/>
      <c r="W16" s="143"/>
      <c r="X16" s="143"/>
      <c r="Y16" s="143"/>
      <c r="Z16" s="143"/>
    </row>
    <row r="17" spans="1:26" ht="12.75" customHeight="1" x14ac:dyDescent="0.45">
      <c r="A17" s="143"/>
      <c r="B17" s="143"/>
      <c r="C17" s="143"/>
      <c r="D17" s="143"/>
      <c r="E17" s="237"/>
      <c r="F17" s="197"/>
      <c r="G17" s="149" t="str">
        <f>'C. FILIACION'!B8</f>
        <v>ALARCON CHURA PRISCILA</v>
      </c>
      <c r="H17" s="150">
        <f>'CENTRAL 2'!F9</f>
        <v>77</v>
      </c>
      <c r="I17" s="143"/>
      <c r="J17" s="143"/>
      <c r="K17" s="143"/>
      <c r="L17" s="143"/>
      <c r="M17" s="143"/>
      <c r="N17" s="143"/>
      <c r="O17" s="143"/>
      <c r="P17" s="143"/>
      <c r="Q17" s="143"/>
      <c r="R17" s="143"/>
      <c r="S17" s="143"/>
      <c r="T17" s="143"/>
      <c r="U17" s="143"/>
      <c r="V17" s="143"/>
      <c r="W17" s="143"/>
      <c r="X17" s="143"/>
      <c r="Y17" s="143"/>
      <c r="Z17" s="143"/>
    </row>
    <row r="18" spans="1:26" ht="12.75" customHeight="1" x14ac:dyDescent="0.45">
      <c r="A18" s="143"/>
      <c r="B18" s="143"/>
      <c r="C18" s="143"/>
      <c r="D18" s="143"/>
      <c r="E18" s="237"/>
      <c r="F18" s="197"/>
      <c r="G18" s="149" t="str">
        <f>'C. FILIACION'!B9</f>
        <v>ARCE CHOQUE LUCERO CORAL</v>
      </c>
      <c r="H18" s="150">
        <f>'CENTRAL 2'!F10</f>
        <v>77</v>
      </c>
      <c r="I18" s="143"/>
      <c r="J18" s="143"/>
      <c r="K18" s="143"/>
      <c r="L18" s="143"/>
      <c r="M18" s="143"/>
      <c r="N18" s="143"/>
      <c r="O18" s="143"/>
      <c r="P18" s="143"/>
      <c r="Q18" s="143"/>
      <c r="R18" s="143"/>
      <c r="S18" s="143"/>
      <c r="T18" s="143"/>
      <c r="U18" s="143"/>
      <c r="V18" s="143"/>
      <c r="W18" s="143"/>
      <c r="X18" s="143"/>
      <c r="Y18" s="143"/>
      <c r="Z18" s="143"/>
    </row>
    <row r="19" spans="1:26" ht="12.75" customHeight="1" x14ac:dyDescent="0.45">
      <c r="A19" s="143"/>
      <c r="B19" s="143"/>
      <c r="C19" s="143"/>
      <c r="D19" s="143"/>
      <c r="E19" s="237"/>
      <c r="F19" s="197"/>
      <c r="G19" s="149" t="str">
        <f>'C. FILIACION'!B10</f>
        <v>AREQUIPA CALCINA FABIAN JHON</v>
      </c>
      <c r="H19" s="150">
        <f>'CENTRAL 2'!F11</f>
        <v>82</v>
      </c>
      <c r="I19" s="143"/>
      <c r="J19" s="143"/>
      <c r="K19" s="143"/>
      <c r="L19" s="143"/>
      <c r="M19" s="143"/>
      <c r="N19" s="143"/>
      <c r="O19" s="143"/>
      <c r="P19" s="143"/>
      <c r="Q19" s="143"/>
      <c r="R19" s="143"/>
      <c r="S19" s="143"/>
      <c r="T19" s="143"/>
      <c r="U19" s="143"/>
      <c r="V19" s="143"/>
      <c r="W19" s="143"/>
      <c r="X19" s="143"/>
      <c r="Y19" s="143"/>
      <c r="Z19" s="143"/>
    </row>
    <row r="20" spans="1:26" ht="12.75" customHeight="1" x14ac:dyDescent="0.45">
      <c r="A20" s="143"/>
      <c r="B20" s="143"/>
      <c r="C20" s="143"/>
      <c r="D20" s="143"/>
      <c r="E20" s="237"/>
      <c r="F20" s="197"/>
      <c r="G20" s="149" t="str">
        <f>'C. FILIACION'!B11</f>
        <v>CLAURE PARAVICINI RASHEL ROSALY</v>
      </c>
      <c r="H20" s="150">
        <f>'CENTRAL 2'!F12</f>
        <v>77</v>
      </c>
      <c r="I20" s="143"/>
      <c r="J20" s="143"/>
      <c r="K20" s="143"/>
      <c r="L20" s="143"/>
      <c r="M20" s="143"/>
      <c r="N20" s="143"/>
      <c r="O20" s="143"/>
      <c r="P20" s="143"/>
      <c r="Q20" s="143"/>
      <c r="R20" s="143"/>
      <c r="S20" s="143"/>
      <c r="T20" s="143"/>
      <c r="U20" s="143"/>
      <c r="V20" s="143"/>
      <c r="W20" s="143"/>
      <c r="X20" s="143"/>
      <c r="Y20" s="143"/>
      <c r="Z20" s="143"/>
    </row>
    <row r="21" spans="1:26" ht="12.75" customHeight="1" x14ac:dyDescent="0.45">
      <c r="A21" s="143"/>
      <c r="B21" s="143"/>
      <c r="C21" s="143"/>
      <c r="D21" s="143"/>
      <c r="E21" s="237"/>
      <c r="F21" s="197"/>
      <c r="G21" s="149" t="str">
        <f>'C. FILIACION'!B12</f>
        <v>CONDORI FLORES ALEJANDRO BRYAN</v>
      </c>
      <c r="H21" s="150">
        <f>'CENTRAL 2'!F13</f>
        <v>83.333333333333329</v>
      </c>
      <c r="I21" s="143"/>
      <c r="J21" s="143"/>
      <c r="K21" s="143"/>
      <c r="L21" s="143"/>
      <c r="M21" s="143"/>
      <c r="N21" s="143"/>
      <c r="O21" s="143"/>
      <c r="P21" s="143"/>
      <c r="Q21" s="143"/>
      <c r="R21" s="143"/>
      <c r="S21" s="143"/>
      <c r="T21" s="143"/>
      <c r="U21" s="143"/>
      <c r="V21" s="143"/>
      <c r="W21" s="143"/>
      <c r="X21" s="143"/>
      <c r="Y21" s="143"/>
      <c r="Z21" s="143"/>
    </row>
    <row r="22" spans="1:26" ht="12.75" customHeight="1" x14ac:dyDescent="0.45">
      <c r="A22" s="143"/>
      <c r="B22" s="143"/>
      <c r="C22" s="143"/>
      <c r="D22" s="143"/>
      <c r="E22" s="237"/>
      <c r="F22" s="197"/>
      <c r="G22" s="149" t="str">
        <f>'C. FILIACION'!B13</f>
        <v>DE LA CRUZ SANDOVAL JHON MARCO</v>
      </c>
      <c r="H22" s="150">
        <f>'CENTRAL 2'!F14</f>
        <v>84.666666666666671</v>
      </c>
      <c r="I22" s="143"/>
      <c r="J22" s="143"/>
      <c r="K22" s="143"/>
      <c r="L22" s="143"/>
      <c r="M22" s="143"/>
      <c r="N22" s="143"/>
      <c r="O22" s="143"/>
      <c r="P22" s="143"/>
      <c r="Q22" s="143"/>
      <c r="R22" s="143"/>
      <c r="S22" s="143"/>
      <c r="T22" s="143"/>
      <c r="U22" s="143"/>
      <c r="V22" s="143"/>
      <c r="W22" s="143"/>
      <c r="X22" s="143"/>
      <c r="Y22" s="143"/>
      <c r="Z22" s="143"/>
    </row>
    <row r="23" spans="1:26" ht="12.75" customHeight="1" x14ac:dyDescent="0.45">
      <c r="A23" s="143"/>
      <c r="B23" s="143"/>
      <c r="C23" s="143"/>
      <c r="D23" s="143"/>
      <c r="E23" s="237"/>
      <c r="F23" s="197"/>
      <c r="G23" s="149" t="str">
        <f>'C. FILIACION'!B14</f>
        <v>GARCÍA IGNACIO MISHEL MAYA</v>
      </c>
      <c r="H23" s="150">
        <f>'CENTRAL 2'!F15</f>
        <v>85.333333333333329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45">
      <c r="A24" s="143"/>
      <c r="B24" s="143"/>
      <c r="C24" s="143"/>
      <c r="D24" s="143"/>
      <c r="E24" s="237"/>
      <c r="F24" s="197"/>
      <c r="G24" s="149" t="str">
        <f>'C. FILIACION'!B15</f>
        <v>HELGUERO SANCHEZ JHOYSI CAMIL</v>
      </c>
      <c r="H24" s="150">
        <f>'CENTRAL 2'!F16</f>
        <v>84.333333333333329</v>
      </c>
      <c r="I24" s="143"/>
      <c r="J24" s="143"/>
      <c r="K24" s="143"/>
      <c r="L24" s="143"/>
      <c r="M24" s="143"/>
      <c r="N24" s="143"/>
      <c r="O24" s="143"/>
      <c r="P24" s="143"/>
      <c r="Q24" s="143"/>
      <c r="R24" s="143"/>
      <c r="S24" s="143"/>
      <c r="T24" s="143"/>
      <c r="U24" s="143"/>
      <c r="V24" s="143"/>
      <c r="W24" s="143"/>
      <c r="X24" s="143"/>
      <c r="Y24" s="143"/>
      <c r="Z24" s="143"/>
    </row>
    <row r="25" spans="1:26" ht="12.75" customHeight="1" x14ac:dyDescent="0.45">
      <c r="A25" s="143"/>
      <c r="B25" s="143"/>
      <c r="C25" s="143"/>
      <c r="D25" s="143"/>
      <c r="E25" s="237"/>
      <c r="F25" s="197"/>
      <c r="G25" s="149" t="str">
        <f>'C. FILIACION'!B16</f>
        <v>LEDEZMA ORELLANA RICARDO ERIK</v>
      </c>
      <c r="H25" s="150">
        <f>'CENTRAL 2'!F17</f>
        <v>85.333333333333329</v>
      </c>
      <c r="I25" s="143"/>
      <c r="J25" s="143"/>
      <c r="K25" s="143"/>
      <c r="L25" s="143"/>
      <c r="M25" s="143"/>
      <c r="N25" s="143"/>
      <c r="O25" s="143"/>
      <c r="P25" s="143"/>
      <c r="Q25" s="143"/>
      <c r="R25" s="143"/>
      <c r="S25" s="143"/>
      <c r="T25" s="143"/>
      <c r="U25" s="143"/>
      <c r="V25" s="143"/>
      <c r="W25" s="143"/>
      <c r="X25" s="143"/>
      <c r="Y25" s="143"/>
      <c r="Z25" s="143"/>
    </row>
    <row r="26" spans="1:26" ht="12.75" customHeight="1" x14ac:dyDescent="0.45">
      <c r="A26" s="143"/>
      <c r="B26" s="143"/>
      <c r="C26" s="143"/>
      <c r="D26" s="143"/>
      <c r="E26" s="237"/>
      <c r="F26" s="197"/>
      <c r="G26" s="149" t="str">
        <f>'C. FILIACION'!B17</f>
        <v>MAMANI LOPEZ ELIZABETH MILDRED</v>
      </c>
      <c r="H26" s="150">
        <f>'CENTRAL 2'!F18</f>
        <v>85</v>
      </c>
      <c r="I26" s="143"/>
      <c r="J26" s="143"/>
      <c r="K26" s="143"/>
      <c r="L26" s="143"/>
      <c r="M26" s="143"/>
      <c r="N26" s="143"/>
      <c r="O26" s="143"/>
      <c r="P26" s="143"/>
      <c r="Q26" s="143"/>
      <c r="R26" s="143"/>
      <c r="S26" s="143"/>
      <c r="T26" s="143"/>
      <c r="U26" s="143"/>
      <c r="V26" s="143"/>
      <c r="W26" s="143"/>
      <c r="X26" s="143"/>
      <c r="Y26" s="143"/>
      <c r="Z26" s="143"/>
    </row>
    <row r="27" spans="1:26" ht="12.75" customHeight="1" x14ac:dyDescent="0.45">
      <c r="A27" s="143"/>
      <c r="B27" s="143"/>
      <c r="C27" s="143"/>
      <c r="D27" s="143"/>
      <c r="E27" s="237"/>
      <c r="F27" s="197"/>
      <c r="G27" s="149" t="str">
        <f>'C. FILIACION'!B18</f>
        <v>MEDINA CHOQUE JUAN JOSE</v>
      </c>
      <c r="H27" s="150">
        <f>'CENTRAL 2'!F19</f>
        <v>77</v>
      </c>
      <c r="I27" s="143"/>
      <c r="J27" s="143"/>
      <c r="K27" s="143"/>
      <c r="L27" s="143"/>
      <c r="M27" s="143"/>
      <c r="N27" s="143"/>
      <c r="O27" s="143"/>
      <c r="P27" s="143"/>
      <c r="Q27" s="143"/>
      <c r="R27" s="143"/>
      <c r="S27" s="143"/>
      <c r="T27" s="143"/>
      <c r="U27" s="143"/>
      <c r="V27" s="143"/>
      <c r="W27" s="143"/>
      <c r="X27" s="143"/>
      <c r="Y27" s="143"/>
      <c r="Z27" s="143"/>
    </row>
    <row r="28" spans="1:26" ht="12.75" customHeight="1" x14ac:dyDescent="0.45">
      <c r="A28" s="143"/>
      <c r="B28" s="143"/>
      <c r="C28" s="143"/>
      <c r="D28" s="143"/>
      <c r="E28" s="237"/>
      <c r="F28" s="197"/>
      <c r="G28" s="149" t="str">
        <f>'C. FILIACION'!B19</f>
        <v>NINA RUEDA SEBASTIAN CARLOS</v>
      </c>
      <c r="H28" s="150">
        <f>'CENTRAL 2'!F20</f>
        <v>93.666666666666671</v>
      </c>
      <c r="I28" s="143"/>
      <c r="J28" s="143"/>
      <c r="K28" s="143"/>
      <c r="L28" s="143"/>
      <c r="M28" s="143"/>
      <c r="N28" s="143"/>
      <c r="O28" s="143"/>
      <c r="P28" s="143"/>
      <c r="Q28" s="143"/>
      <c r="R28" s="143"/>
      <c r="S28" s="143"/>
      <c r="T28" s="143"/>
      <c r="U28" s="143"/>
      <c r="V28" s="143"/>
      <c r="W28" s="143"/>
      <c r="X28" s="143"/>
      <c r="Y28" s="143"/>
      <c r="Z28" s="143"/>
    </row>
    <row r="29" spans="1:26" ht="12.75" customHeight="1" x14ac:dyDescent="0.45">
      <c r="A29" s="143"/>
      <c r="B29" s="143"/>
      <c r="C29" s="143"/>
      <c r="D29" s="143"/>
      <c r="E29" s="237"/>
      <c r="F29" s="197"/>
      <c r="G29" s="149" t="str">
        <f>'C. FILIACION'!B20</f>
        <v>RODRIGUEZ RAMIREZ NATALY ARIANA</v>
      </c>
      <c r="H29" s="150">
        <f>'CENTRAL 2'!F21</f>
        <v>85</v>
      </c>
      <c r="I29" s="143"/>
      <c r="J29" s="143"/>
      <c r="K29" s="143"/>
      <c r="L29" s="143"/>
      <c r="M29" s="143"/>
      <c r="N29" s="143"/>
      <c r="O29" s="143"/>
      <c r="P29" s="143"/>
      <c r="Q29" s="143"/>
      <c r="R29" s="143"/>
      <c r="S29" s="143"/>
      <c r="T29" s="143"/>
      <c r="U29" s="143"/>
      <c r="V29" s="143"/>
      <c r="W29" s="143"/>
      <c r="X29" s="143"/>
      <c r="Y29" s="143"/>
      <c r="Z29" s="143"/>
    </row>
    <row r="30" spans="1:26" ht="12.75" customHeight="1" x14ac:dyDescent="0.45">
      <c r="A30" s="143"/>
      <c r="B30" s="143"/>
      <c r="C30" s="143"/>
      <c r="D30" s="143"/>
      <c r="E30" s="237"/>
      <c r="F30" s="197"/>
      <c r="G30" s="149" t="str">
        <f>'C. FILIACION'!B21</f>
        <v>SALAZAR CANAZA CRISTINA MAYRA</v>
      </c>
      <c r="H30" s="150">
        <f>'CENTRAL 2'!F22</f>
        <v>95.666666666666671</v>
      </c>
      <c r="I30" s="143"/>
      <c r="J30" s="143"/>
      <c r="K30" s="143"/>
      <c r="L30" s="143"/>
      <c r="M30" s="143"/>
      <c r="N30" s="143"/>
      <c r="O30" s="143"/>
      <c r="P30" s="143"/>
      <c r="Q30" s="143"/>
      <c r="R30" s="143"/>
      <c r="S30" s="143"/>
      <c r="T30" s="143"/>
      <c r="U30" s="143"/>
      <c r="V30" s="143"/>
      <c r="W30" s="143"/>
      <c r="X30" s="143"/>
      <c r="Y30" s="143"/>
      <c r="Z30" s="143"/>
    </row>
    <row r="31" spans="1:26" ht="12.75" customHeight="1" x14ac:dyDescent="0.45">
      <c r="A31" s="143"/>
      <c r="B31" s="143"/>
      <c r="C31" s="143"/>
      <c r="D31" s="143"/>
      <c r="E31" s="237"/>
      <c r="F31" s="197"/>
      <c r="G31" s="149" t="str">
        <f>'C. FILIACION'!B22</f>
        <v>SEVILLANO BALTAZAR AGNESE</v>
      </c>
      <c r="H31" s="150">
        <f>'CENTRAL 2'!F23</f>
        <v>93.333333333333329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45">
      <c r="A32" s="143"/>
      <c r="B32" s="143"/>
      <c r="C32" s="143"/>
      <c r="D32" s="143"/>
      <c r="E32" s="237"/>
      <c r="F32" s="197"/>
      <c r="G32" s="149" t="str">
        <f>'C. FILIACION'!B23</f>
        <v>TOCONAS HUAYGUA VICTORIA FERNANDA</v>
      </c>
      <c r="H32" s="150">
        <f>'CENTRAL 2'!F24</f>
        <v>82</v>
      </c>
      <c r="I32" s="143"/>
      <c r="J32" s="143"/>
      <c r="K32" s="143"/>
      <c r="L32" s="143"/>
      <c r="M32" s="143"/>
      <c r="N32" s="143"/>
      <c r="O32" s="143"/>
      <c r="P32" s="143"/>
      <c r="Q32" s="143"/>
      <c r="R32" s="143"/>
      <c r="S32" s="143"/>
      <c r="T32" s="143"/>
      <c r="U32" s="143"/>
      <c r="V32" s="143"/>
      <c r="W32" s="143"/>
      <c r="X32" s="143"/>
      <c r="Y32" s="143"/>
      <c r="Z32" s="143"/>
    </row>
    <row r="33" spans="1:26" ht="12.75" customHeight="1" x14ac:dyDescent="0.45">
      <c r="A33" s="143"/>
      <c r="B33" s="143"/>
      <c r="C33" s="143"/>
      <c r="D33" s="143"/>
      <c r="E33" s="237"/>
      <c r="F33" s="197"/>
      <c r="G33" s="149">
        <f>'C. FILIACION'!B24</f>
        <v>0</v>
      </c>
      <c r="H33" s="150">
        <f>'CENTRAL 2'!F25</f>
        <v>100</v>
      </c>
      <c r="I33" s="143"/>
      <c r="J33" s="143"/>
      <c r="K33" s="143"/>
      <c r="L33" s="143"/>
      <c r="M33" s="143"/>
      <c r="N33" s="143"/>
      <c r="O33" s="143"/>
      <c r="P33" s="143"/>
      <c r="Q33" s="143"/>
      <c r="R33" s="143"/>
      <c r="S33" s="143"/>
      <c r="T33" s="143"/>
      <c r="U33" s="143"/>
      <c r="V33" s="143"/>
      <c r="W33" s="143"/>
      <c r="X33" s="143"/>
      <c r="Y33" s="143"/>
      <c r="Z33" s="143"/>
    </row>
    <row r="34" spans="1:26" ht="12.75" customHeight="1" x14ac:dyDescent="0.45">
      <c r="A34" s="143"/>
      <c r="B34" s="143"/>
      <c r="C34" s="143"/>
      <c r="D34" s="143"/>
      <c r="E34" s="237"/>
      <c r="F34" s="197"/>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45">
      <c r="A35" s="143"/>
      <c r="B35" s="143"/>
      <c r="C35" s="143"/>
      <c r="D35" s="143"/>
      <c r="E35" s="238"/>
      <c r="F35" s="197"/>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45">
      <c r="A36" s="143"/>
      <c r="B36" s="143"/>
      <c r="C36" s="143"/>
      <c r="D36" s="143"/>
      <c r="E36" s="237"/>
      <c r="F36" s="197"/>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45">
      <c r="A37" s="143"/>
      <c r="B37" s="143"/>
      <c r="C37" s="143"/>
      <c r="D37" s="143"/>
      <c r="E37" s="237"/>
      <c r="F37" s="197"/>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45">
      <c r="A38" s="143"/>
      <c r="B38" s="143"/>
      <c r="C38" s="143"/>
      <c r="D38" s="143"/>
      <c r="E38" s="237"/>
      <c r="F38" s="197"/>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45">
      <c r="A39" s="143"/>
      <c r="B39" s="143"/>
      <c r="C39" s="143"/>
      <c r="D39" s="143"/>
      <c r="E39" s="237"/>
      <c r="F39" s="197"/>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45">
      <c r="A40" s="143"/>
      <c r="B40" s="143"/>
      <c r="C40" s="143"/>
      <c r="D40" s="143"/>
      <c r="E40" s="237"/>
      <c r="F40" s="197"/>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45">
      <c r="A41" s="143"/>
      <c r="B41" s="143"/>
      <c r="C41" s="143"/>
      <c r="D41" s="143"/>
      <c r="E41" s="237"/>
      <c r="F41" s="197"/>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45">
      <c r="A42" s="143"/>
      <c r="B42" s="143"/>
      <c r="C42" s="143"/>
      <c r="D42" s="143"/>
      <c r="E42" s="237"/>
      <c r="F42" s="197"/>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45">
      <c r="A43" s="143"/>
      <c r="B43" s="143"/>
      <c r="C43" s="143"/>
      <c r="D43" s="143"/>
      <c r="E43" s="237"/>
      <c r="F43" s="197"/>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45">
      <c r="A44" s="143"/>
      <c r="B44" s="143"/>
      <c r="C44" s="143"/>
      <c r="D44" s="143"/>
      <c r="E44" s="237"/>
      <c r="F44" s="197"/>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45">
      <c r="A45" s="143"/>
      <c r="B45" s="143"/>
      <c r="C45" s="143"/>
      <c r="D45" s="143"/>
      <c r="E45" s="237"/>
      <c r="F45" s="197"/>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45">
      <c r="A46" s="143"/>
      <c r="B46" s="143"/>
      <c r="C46" s="143"/>
      <c r="D46" s="143"/>
      <c r="E46" s="237"/>
      <c r="F46" s="197"/>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45">
      <c r="A47" s="143"/>
      <c r="B47" s="143"/>
      <c r="C47" s="143"/>
      <c r="D47" s="143"/>
      <c r="E47" s="237"/>
      <c r="F47" s="197"/>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45">
      <c r="A48" s="143"/>
      <c r="B48" s="143"/>
      <c r="C48" s="143"/>
      <c r="D48" s="143"/>
      <c r="E48" s="237"/>
      <c r="F48" s="197"/>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45">
      <c r="A49" s="143"/>
      <c r="B49" s="143"/>
      <c r="C49" s="143"/>
      <c r="D49" s="143"/>
      <c r="E49" s="237"/>
      <c r="F49" s="197"/>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45">
      <c r="A50" s="143"/>
      <c r="B50" s="143"/>
      <c r="C50" s="143"/>
      <c r="D50" s="143"/>
      <c r="E50" s="237"/>
      <c r="F50" s="197"/>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45">
      <c r="A51" s="143"/>
      <c r="B51" s="143"/>
      <c r="C51" s="143"/>
      <c r="D51" s="143"/>
      <c r="E51" s="237"/>
      <c r="F51" s="197"/>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45">
      <c r="A52" s="143"/>
      <c r="B52" s="143"/>
      <c r="C52" s="143"/>
      <c r="D52" s="143"/>
      <c r="E52" s="237"/>
      <c r="F52" s="197"/>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45">
      <c r="A53" s="143"/>
      <c r="B53" s="143"/>
      <c r="C53" s="143"/>
      <c r="D53" s="143"/>
      <c r="E53" s="237"/>
      <c r="F53" s="197"/>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45">
      <c r="A54" s="143"/>
      <c r="B54" s="143"/>
      <c r="C54" s="143"/>
      <c r="D54" s="143"/>
      <c r="E54" s="237"/>
      <c r="F54" s="197"/>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45">
      <c r="A55" s="143"/>
      <c r="B55" s="143"/>
      <c r="C55" s="143"/>
      <c r="D55" s="143"/>
      <c r="E55" s="237"/>
      <c r="F55" s="197"/>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45">
      <c r="A56" s="143"/>
      <c r="B56" s="143"/>
      <c r="C56" s="143"/>
      <c r="D56" s="143"/>
      <c r="E56" s="237"/>
      <c r="F56" s="197"/>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45">
      <c r="A57" s="143"/>
      <c r="B57" s="143"/>
      <c r="C57" s="143"/>
      <c r="D57" s="143"/>
      <c r="E57" s="237"/>
      <c r="F57" s="197"/>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45">
      <c r="A58" s="143"/>
      <c r="B58" s="143"/>
      <c r="C58" s="143"/>
      <c r="D58" s="143"/>
      <c r="E58" s="237"/>
      <c r="F58" s="197"/>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45">
      <c r="A59" s="143"/>
      <c r="B59" s="143"/>
      <c r="C59" s="143"/>
      <c r="D59" s="143"/>
      <c r="E59" s="237"/>
      <c r="F59" s="197"/>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45">
      <c r="A60" s="143"/>
      <c r="B60" s="143"/>
      <c r="C60" s="143"/>
      <c r="D60" s="143"/>
      <c r="E60" s="239"/>
      <c r="F60" s="240"/>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4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4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4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4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4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4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4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4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4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4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4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4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4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4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4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4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4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4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4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4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4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4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4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4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4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4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4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4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4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4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4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4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4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4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4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4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4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4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4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4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4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4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4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4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4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4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4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4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4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4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4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4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4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4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4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4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4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4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4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4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4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4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4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4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4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4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4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4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4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4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4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4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4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4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4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4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4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4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4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4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4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4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4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4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4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4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4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4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4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4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4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4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4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4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4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4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4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4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4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4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4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4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4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4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4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4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4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4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4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4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4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4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4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4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4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4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4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4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4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4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4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4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4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4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4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4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4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4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4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4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4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4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4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4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4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4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4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4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4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4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4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4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4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4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4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4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4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4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4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4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4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4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4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4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4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4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4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4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4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4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4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4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4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4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4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4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4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4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4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4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4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4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4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4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4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4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4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4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4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4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4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4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4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4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4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4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4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4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4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4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4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4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4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4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4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4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4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4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4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4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4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4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4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4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4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4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4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4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4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4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4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4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4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4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4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4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4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4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4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4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4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4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4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4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4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4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4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4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4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4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4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4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4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4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4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4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4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4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4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4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4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4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4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4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4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4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4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4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4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4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4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4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4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4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4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4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4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4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4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4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4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4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4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4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4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4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4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4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4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4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4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4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4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4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4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4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4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4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4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4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4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4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4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4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4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4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4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4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4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4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4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4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4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4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4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4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4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4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4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4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4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4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4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4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4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4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4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4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4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4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4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4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4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4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4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4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4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4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4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4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4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4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4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4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4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4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4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4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4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4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4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4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4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4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4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4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4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4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4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4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4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4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4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4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4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4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4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4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4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4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4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4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4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4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4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4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4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4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4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4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4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4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4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4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4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4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4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4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4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4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4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4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4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4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4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4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4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4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4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4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4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4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4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4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4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4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4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4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4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4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4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4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4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4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4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4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4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4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4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4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4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4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4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4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4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4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4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4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4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4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4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4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4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4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4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4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4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4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4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4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4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4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4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4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4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4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4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4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4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4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4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4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4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4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4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4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4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4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4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4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4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4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4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4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4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4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4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4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4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4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4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45">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45">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45">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45">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45">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45">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45">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45">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45">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45">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45">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45">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45">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45">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45">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45">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45">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45">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45">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45">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45">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45">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45">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45">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45">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45">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45">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45">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45">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45">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45">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45">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45">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45">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45">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45">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45">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45">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45">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45">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45">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45">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45">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45">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45">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45">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45">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45">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45">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45">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45">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45">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45">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45">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45">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45">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45">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45">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45">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45">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45">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45">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45">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45">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45">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45">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45">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45">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45">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45">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45">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45">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45">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45">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45">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45">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45">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45">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45">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45">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45">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45">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45">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45">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45">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45">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45">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45">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45">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45">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45">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45">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45">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45">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45">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45">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45">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45">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45">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45">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45">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45">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45">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45">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45">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45">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45">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45">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45">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45">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45">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45">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45">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45">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45">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45">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45">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45">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45">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45">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45">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45">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45">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45">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45">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45">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45">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45">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45">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45">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45">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45">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45">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45">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45">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45">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45">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45">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45">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45">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45">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45">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45">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45">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45">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45">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45">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45">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45">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45">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45">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45">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45">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45">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45">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45">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45">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45">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45">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45">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45">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45">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45">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45">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45">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45">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45">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45">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45">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45">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45">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45">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45">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45">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45">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45">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45">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45">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45">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45">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45">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45">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45">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45">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45">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45">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45">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45">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45">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45">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45">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45">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45">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45">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45">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45">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45">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45">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45">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45">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45">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45">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45">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45">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45">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45">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45">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45">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45">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45">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45">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45">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45">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45">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45">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45">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45">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45">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45">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45">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45">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45">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45">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45">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45">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45">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45">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45">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45">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45">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45">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45">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45">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45">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45">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45">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45">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45">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45">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4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45">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45">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45">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45">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45">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45">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45">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45">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45">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45">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45">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45">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45">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45">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45">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45">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45">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45">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45">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45">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45">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45">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45">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45">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45">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45">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45">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45">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45">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45">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45">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45">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45">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45">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45">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45">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45">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45">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45">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45">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45">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45">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45">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45">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45">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45">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45">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45">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45">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45">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45">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45">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45">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45">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45">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45">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45">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45">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45">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45">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45">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45">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45">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45">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45">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45">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45">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45">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45">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45">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45">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45">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45">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45">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45">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45">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45">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45">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45">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45">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45">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45">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45">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45">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45">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45">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45">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45">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45">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45">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45">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45">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45">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45">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45">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45">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45">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45">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45">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45">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45">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45">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45">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45">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45">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45">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45">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45">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45">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45">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45">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45">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45">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45">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45">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45">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45">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45">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45">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45">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45">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45">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45">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45">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45">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45">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45">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45">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45">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45">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45">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45">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45">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45">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45">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45">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45">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45">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45">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45">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45">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45">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45">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45">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45">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45">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45">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45">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45">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45">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45">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45">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45">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45">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45">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45">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45">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45">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45">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45">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45">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45">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45">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45">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45">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45">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45">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45">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45">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45">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45">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45">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45">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45">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45">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45">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45">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45">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45">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45">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45">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45">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45">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45">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45">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45">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45">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45">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45">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45">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45">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45">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45">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45">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45">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45">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45">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45">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45">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45">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45">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45">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45">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45">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45">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45">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45">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45">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45">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45">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45">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45">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45">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45">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45">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45">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45">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45">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45">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45">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45">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45">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45">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45">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45">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45">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45">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45">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45">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45">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45">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45">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45">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45">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45">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45">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45">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45">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45">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45">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45">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45">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45">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45">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45">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45">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45">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45">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45">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CARÁTULA</vt:lpstr>
      <vt:lpstr>C. FILIACION</vt:lpstr>
      <vt:lpstr>ASIS 1 TRIM</vt:lpstr>
      <vt:lpstr>ASIS 2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2021-08-06T20:42:23Z</dcterms:modified>
</cp:coreProperties>
</file>