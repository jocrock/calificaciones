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mc:AlternateContent xmlns:mc="http://schemas.openxmlformats.org/markup-compatibility/2006">
    <mc:Choice Requires="x15">
      <x15ac:absPath xmlns:x15ac="http://schemas.microsoft.com/office/spreadsheetml/2010/11/ac" url="D:\Calificaciones\"/>
    </mc:Choice>
  </mc:AlternateContent>
  <xr:revisionPtr revIDLastSave="0" documentId="13_ncr:1_{5E62A225-52FD-4513-B1D2-CBA8E3DB89FF}" xr6:coauthVersionLast="47" xr6:coauthVersionMax="47" xr10:uidLastSave="{00000000-0000-0000-0000-000000000000}"/>
  <bookViews>
    <workbookView xWindow="-23148" yWindow="-108" windowWidth="23256" windowHeight="12576" firstSheet="3" activeTab="5"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13" i="5" l="1"/>
  <c r="O10" i="18"/>
  <c r="AD25" i="18"/>
  <c r="R4" i="18"/>
  <c r="BB9" i="4"/>
  <c r="BB10" i="4"/>
  <c r="BB11" i="4"/>
  <c r="BB12" i="4"/>
  <c r="BB13" i="4"/>
  <c r="BB14" i="4"/>
  <c r="BB15" i="4"/>
  <c r="BB16" i="4"/>
  <c r="BB17" i="4"/>
  <c r="BB18" i="4"/>
  <c r="BB19" i="4"/>
  <c r="BB20" i="4"/>
  <c r="BB21" i="4"/>
  <c r="BB22" i="4"/>
  <c r="BB23" i="4"/>
  <c r="BB8" i="4"/>
  <c r="BD9" i="4"/>
  <c r="BD10" i="4"/>
  <c r="BD11" i="4"/>
  <c r="BD12" i="4"/>
  <c r="BD13" i="4"/>
  <c r="BD14" i="4"/>
  <c r="BD15" i="4"/>
  <c r="BD16" i="4"/>
  <c r="BD17" i="4"/>
  <c r="BD18" i="4"/>
  <c r="BD19" i="4"/>
  <c r="BD20" i="4"/>
  <c r="BD21" i="4"/>
  <c r="BD22" i="4"/>
  <c r="BD23" i="4"/>
  <c r="BC9" i="4"/>
  <c r="BC10" i="4"/>
  <c r="BC11" i="4"/>
  <c r="BC12" i="4"/>
  <c r="BC13" i="4"/>
  <c r="BC14" i="4"/>
  <c r="BC15" i="4"/>
  <c r="BC16" i="4"/>
  <c r="BC17" i="4"/>
  <c r="BC18" i="4"/>
  <c r="BC19" i="4"/>
  <c r="BC20" i="4"/>
  <c r="BC21" i="4"/>
  <c r="BC22" i="4"/>
  <c r="BC23" i="4"/>
  <c r="BD8" i="4"/>
  <c r="BC8" i="4"/>
  <c r="T10" i="18" l="1"/>
  <c r="S10" i="18"/>
  <c r="R10" i="18"/>
  <c r="Q10" i="18"/>
  <c r="P10" i="18"/>
  <c r="N10" i="18"/>
  <c r="M10" i="18"/>
  <c r="L10" i="18"/>
  <c r="K10" i="18"/>
  <c r="J10" i="18"/>
  <c r="I10" i="18"/>
  <c r="H10" i="18"/>
  <c r="G10" i="18"/>
  <c r="F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F33" i="15"/>
  <c r="E33" i="15"/>
  <c r="H32" i="15"/>
  <c r="H31" i="15"/>
  <c r="G26" i="15"/>
  <c r="H25" i="15" s="1"/>
  <c r="F26" i="15"/>
  <c r="E26" i="15"/>
  <c r="G19" i="15"/>
  <c r="H16" i="15" s="1"/>
  <c r="F19" i="15"/>
  <c r="E19" i="15"/>
  <c r="H18" i="15"/>
  <c r="H17"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G37" i="8"/>
  <c r="AF37" i="8" s="1"/>
  <c r="AE37" i="8"/>
  <c r="S37" i="9" s="1"/>
  <c r="AB37" i="8"/>
  <c r="Q37" i="9" s="1"/>
  <c r="O37" i="8"/>
  <c r="P37" i="9" s="1"/>
  <c r="B37"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B24" i="8"/>
  <c r="AE23" i="8"/>
  <c r="S23" i="9" s="1"/>
  <c r="AB23" i="8"/>
  <c r="Q23" i="9" s="1"/>
  <c r="O23" i="8"/>
  <c r="P23" i="9" s="1"/>
  <c r="B23" i="8"/>
  <c r="AE22" i="8"/>
  <c r="S22" i="9" s="1"/>
  <c r="AB22" i="8"/>
  <c r="Q22" i="9" s="1"/>
  <c r="O22" i="8"/>
  <c r="P22" i="9" s="1"/>
  <c r="B22" i="8"/>
  <c r="AE21" i="8"/>
  <c r="S21" i="9" s="1"/>
  <c r="AB21" i="8"/>
  <c r="Q21" i="9" s="1"/>
  <c r="O21" i="8"/>
  <c r="P21" i="9" s="1"/>
  <c r="B21" i="8"/>
  <c r="AE20" i="8"/>
  <c r="S20" i="9" s="1"/>
  <c r="AB20" i="8"/>
  <c r="Q20" i="9" s="1"/>
  <c r="O20" i="8"/>
  <c r="P20" i="9" s="1"/>
  <c r="B20" i="8"/>
  <c r="AE19" i="8"/>
  <c r="S19" i="9" s="1"/>
  <c r="AB19" i="8"/>
  <c r="Q19" i="9" s="1"/>
  <c r="O19" i="8"/>
  <c r="B19" i="8"/>
  <c r="AE18" i="8"/>
  <c r="S18" i="9" s="1"/>
  <c r="AB18" i="8"/>
  <c r="Q18" i="9" s="1"/>
  <c r="O18" i="8"/>
  <c r="P18" i="9" s="1"/>
  <c r="B18" i="8"/>
  <c r="AE17" i="8"/>
  <c r="S17" i="9" s="1"/>
  <c r="AB17" i="8"/>
  <c r="Q17" i="9" s="1"/>
  <c r="O17" i="8"/>
  <c r="P17" i="9" s="1"/>
  <c r="B17" i="8"/>
  <c r="AE16" i="8"/>
  <c r="S16" i="9" s="1"/>
  <c r="AB16" i="8"/>
  <c r="Q16" i="9" s="1"/>
  <c r="O16" i="8"/>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E33" i="6"/>
  <c r="AG33" i="6" s="1"/>
  <c r="AH33" i="6" s="1"/>
  <c r="AB33" i="6"/>
  <c r="E33" i="9" s="1"/>
  <c r="O33" i="6"/>
  <c r="D33" i="9" s="1"/>
  <c r="B33" i="6"/>
  <c r="AG32" i="6"/>
  <c r="AH32" i="6" s="1"/>
  <c r="AF32" i="6"/>
  <c r="AE32" i="6"/>
  <c r="AB32" i="6"/>
  <c r="E32" i="9" s="1"/>
  <c r="O32" i="6"/>
  <c r="D32" i="9" s="1"/>
  <c r="B32"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E19" i="6"/>
  <c r="AG19" i="6" s="1"/>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E13" i="6"/>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23" i="4"/>
  <c r="BA22" i="4"/>
  <c r="B22" i="4"/>
  <c r="BA21" i="4"/>
  <c r="B21" i="4"/>
  <c r="BA20" i="4"/>
  <c r="B20" i="4"/>
  <c r="BA19" i="4"/>
  <c r="B19" i="4"/>
  <c r="BA18" i="4"/>
  <c r="B18" i="4"/>
  <c r="BA17" i="4"/>
  <c r="B17" i="4"/>
  <c r="BA16" i="4"/>
  <c r="B16" i="4"/>
  <c r="BA15" i="4"/>
  <c r="B15" i="4"/>
  <c r="BA14" i="4"/>
  <c r="B14" i="4"/>
  <c r="BA13" i="4"/>
  <c r="B13" i="4"/>
  <c r="BA12" i="4"/>
  <c r="B12" i="4"/>
  <c r="BA11" i="4"/>
  <c r="B11" i="4"/>
  <c r="BA10" i="4"/>
  <c r="B10" i="4"/>
  <c r="BA9" i="4"/>
  <c r="B9"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15" i="4" l="1"/>
  <c r="BJ15" i="4"/>
  <c r="O11" i="18"/>
  <c r="G11" i="18"/>
  <c r="F11" i="18"/>
  <c r="N11" i="18"/>
  <c r="M11" i="18"/>
  <c r="L11" i="18"/>
  <c r="K11" i="18"/>
  <c r="J11" i="18"/>
  <c r="I11" i="18"/>
  <c r="I16" i="18"/>
  <c r="AC16" i="18" s="1"/>
  <c r="I15" i="18"/>
  <c r="I23" i="18"/>
  <c r="AC23" i="18" s="1"/>
  <c r="I17" i="18"/>
  <c r="AC17" i="18" s="1"/>
  <c r="I24" i="18"/>
  <c r="AC24" i="18" s="1"/>
  <c r="I22" i="18"/>
  <c r="AG26" i="7"/>
  <c r="D26" i="10" s="1"/>
  <c r="AG35" i="7"/>
  <c r="AG12" i="8"/>
  <c r="AH37" i="8"/>
  <c r="BE8" i="4"/>
  <c r="BJ8" i="4"/>
  <c r="BE12" i="4"/>
  <c r="BJ12" i="4" s="1"/>
  <c r="BE16" i="4"/>
  <c r="BJ16" i="4" s="1"/>
  <c r="BE20" i="4"/>
  <c r="BJ20" i="4" s="1"/>
  <c r="AG41" i="6"/>
  <c r="AH41" i="6" s="1"/>
  <c r="AG16" i="8"/>
  <c r="E16" i="10" s="1"/>
  <c r="AG21" i="8"/>
  <c r="BE19" i="4"/>
  <c r="BJ19" i="4"/>
  <c r="AG31" i="6"/>
  <c r="AF31" i="6" s="1"/>
  <c r="AG11" i="8"/>
  <c r="AG36" i="8"/>
  <c r="E36" i="10" s="1"/>
  <c r="BE23" i="4"/>
  <c r="BJ23" i="4"/>
  <c r="BJ9" i="4"/>
  <c r="BE13" i="4"/>
  <c r="BJ13" i="4"/>
  <c r="BE17" i="4"/>
  <c r="BJ17" i="4"/>
  <c r="AG34" i="7"/>
  <c r="AG43" i="7"/>
  <c r="H23" i="15"/>
  <c r="BE11" i="4"/>
  <c r="BJ11" i="4" s="1"/>
  <c r="AG40" i="6"/>
  <c r="AF40" i="6" s="1"/>
  <c r="AG10" i="8"/>
  <c r="AG20" i="8"/>
  <c r="E20" i="10" s="1"/>
  <c r="AG24" i="8"/>
  <c r="AG29" i="8"/>
  <c r="H24" i="15"/>
  <c r="R11" i="18"/>
  <c r="BE10" i="4"/>
  <c r="BJ10" i="4"/>
  <c r="BE14" i="4"/>
  <c r="BJ14" i="4"/>
  <c r="BE18" i="4"/>
  <c r="BJ18" i="4"/>
  <c r="BE22" i="4"/>
  <c r="BJ22" i="4"/>
  <c r="AG11" i="6"/>
  <c r="AG27" i="7"/>
  <c r="AG19" i="8"/>
  <c r="AG44" i="8"/>
  <c r="E44" i="10" s="1"/>
  <c r="H33" i="15"/>
  <c r="Q11" i="18"/>
  <c r="AG13" i="6"/>
  <c r="C13" i="10" s="1"/>
  <c r="S11" i="18"/>
  <c r="BE21" i="4"/>
  <c r="BJ21" i="4"/>
  <c r="BE9" i="4"/>
  <c r="T11" i="18" s="1"/>
  <c r="P11" i="18"/>
  <c r="AG18" i="7"/>
  <c r="AF18" i="7" s="1"/>
  <c r="AG9" i="7"/>
  <c r="AH9" i="7" s="1"/>
  <c r="AG11" i="7"/>
  <c r="AH11" i="7" s="1"/>
  <c r="AG13" i="7"/>
  <c r="D13" i="10" s="1"/>
  <c r="AG21" i="7"/>
  <c r="D21" i="10" s="1"/>
  <c r="AC15" i="18"/>
  <c r="AG19" i="7"/>
  <c r="AF19" i="7" s="1"/>
  <c r="BA4" i="3"/>
  <c r="AN4" i="8"/>
  <c r="BA4" i="4"/>
  <c r="BA4" i="5"/>
  <c r="AN4" i="6"/>
  <c r="G10" i="9"/>
  <c r="F10" i="9"/>
  <c r="AG28" i="6"/>
  <c r="D28" i="9"/>
  <c r="AG29" i="6"/>
  <c r="H33" i="9"/>
  <c r="AF33" i="6"/>
  <c r="C33" i="10"/>
  <c r="D35" i="9"/>
  <c r="AG35" i="6"/>
  <c r="G38" i="9"/>
  <c r="F38" i="9"/>
  <c r="H41" i="9"/>
  <c r="AF41" i="6"/>
  <c r="C41" i="10"/>
  <c r="AG14" i="7"/>
  <c r="J14"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H17" i="9"/>
  <c r="AF17" i="6"/>
  <c r="C17" i="10"/>
  <c r="E30" i="9"/>
  <c r="AG30" i="6"/>
  <c r="F37" i="9"/>
  <c r="G37" i="9"/>
  <c r="H40" i="9"/>
  <c r="AH40" i="6"/>
  <c r="G12" i="9"/>
  <c r="F12" i="9"/>
  <c r="AH17" i="6"/>
  <c r="G23" i="9"/>
  <c r="F23" i="9"/>
  <c r="AG24" i="6"/>
  <c r="G30" i="9"/>
  <c r="F30" i="9"/>
  <c r="C31" i="10"/>
  <c r="H31" i="9"/>
  <c r="AH31" i="6"/>
  <c r="AG36" i="6"/>
  <c r="D36" i="9"/>
  <c r="AG37" i="6"/>
  <c r="G39" i="9"/>
  <c r="F39" i="9"/>
  <c r="AG39" i="6"/>
  <c r="D44" i="9"/>
  <c r="AG44" i="6"/>
  <c r="AN4"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AG18" i="6"/>
  <c r="AG26" i="6"/>
  <c r="G32" i="9"/>
  <c r="F32" i="9"/>
  <c r="AG34" i="6"/>
  <c r="G40" i="9"/>
  <c r="F40" i="9"/>
  <c r="AG42" i="6"/>
  <c r="AG20" i="7"/>
  <c r="AG28" i="7"/>
  <c r="AG36" i="7"/>
  <c r="AG44" i="7"/>
  <c r="AF9" i="8"/>
  <c r="AF10" i="8"/>
  <c r="AF11" i="8"/>
  <c r="AF12" i="8"/>
  <c r="AF13" i="8"/>
  <c r="AG22" i="8"/>
  <c r="AG30" i="8"/>
  <c r="AG38" i="8"/>
  <c r="T13" i="9"/>
  <c r="T28" i="9"/>
  <c r="H26" i="15"/>
  <c r="N27" i="9"/>
  <c r="D35" i="10"/>
  <c r="N35" i="9"/>
  <c r="D43" i="10"/>
  <c r="N43" i="9"/>
  <c r="AF20" i="8"/>
  <c r="T21" i="9"/>
  <c r="AF28" i="8"/>
  <c r="T29" i="9"/>
  <c r="E29" i="10"/>
  <c r="AF36" i="8"/>
  <c r="T37" i="9"/>
  <c r="E37" i="10"/>
  <c r="AF44" i="8"/>
  <c r="T10" i="9"/>
  <c r="T20" i="9"/>
  <c r="F42" i="9"/>
  <c r="H19" i="15"/>
  <c r="H37" i="15"/>
  <c r="H38" i="15"/>
  <c r="AF21" i="8" l="1"/>
  <c r="AH21" i="8"/>
  <c r="AF29" i="8"/>
  <c r="AH29" i="8"/>
  <c r="AF43" i="7"/>
  <c r="AH43" i="7"/>
  <c r="C40" i="10"/>
  <c r="AF13" i="6"/>
  <c r="H40" i="15"/>
  <c r="H13" i="9"/>
  <c r="N26" i="9"/>
  <c r="I18" i="18"/>
  <c r="AF16" i="8"/>
  <c r="AH13" i="6"/>
  <c r="AF26" i="7"/>
  <c r="E11" i="10"/>
  <c r="AH11" i="8"/>
  <c r="E12" i="10"/>
  <c r="AH12" i="8"/>
  <c r="AH16" i="8"/>
  <c r="E10" i="10"/>
  <c r="AH10" i="8"/>
  <c r="AF35" i="7"/>
  <c r="AH35" i="7"/>
  <c r="AC18" i="18"/>
  <c r="AC26" i="18" s="1"/>
  <c r="A26" i="18" s="1"/>
  <c r="AF27" i="7"/>
  <c r="AH27" i="7"/>
  <c r="T16" i="9"/>
  <c r="E21" i="10"/>
  <c r="D27" i="10"/>
  <c r="H47" i="15"/>
  <c r="I25" i="18"/>
  <c r="AC22" i="18"/>
  <c r="AC25" i="18" s="1"/>
  <c r="AH18" i="7"/>
  <c r="N19" i="9"/>
  <c r="D18" i="10"/>
  <c r="N13" i="9"/>
  <c r="U13" i="9" s="1"/>
  <c r="AH13" i="7"/>
  <c r="AF21" i="7"/>
  <c r="AF9" i="7"/>
  <c r="D9" i="10"/>
  <c r="AH21" i="7"/>
  <c r="N21" i="9"/>
  <c r="AF13" i="7"/>
  <c r="N9" i="9"/>
  <c r="AF11" i="7"/>
  <c r="N18" i="9"/>
  <c r="N11" i="9"/>
  <c r="U11" i="9" s="1"/>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C43" i="10"/>
  <c r="AH43" i="6"/>
  <c r="AF43" i="6"/>
  <c r="T34" i="9"/>
  <c r="E34" i="10"/>
  <c r="AH34" i="8"/>
  <c r="AF34" i="8"/>
  <c r="N41" i="9"/>
  <c r="D41" i="10"/>
  <c r="AH41" i="7"/>
  <c r="AF41" i="7"/>
  <c r="C15" i="10"/>
  <c r="H15" i="9"/>
  <c r="AH15" i="6"/>
  <c r="AF15" i="6"/>
  <c r="C39" i="10"/>
  <c r="H39" i="9"/>
  <c r="AH39" i="6"/>
  <c r="AF39" i="6"/>
  <c r="D14" i="10"/>
  <c r="N14" i="9"/>
  <c r="AH14" i="7"/>
  <c r="AF14" i="7"/>
  <c r="AH22" i="8"/>
  <c r="AF22" i="8"/>
  <c r="E22" i="10"/>
  <c r="T22" i="9"/>
  <c r="D28" i="10"/>
  <c r="N28" i="9"/>
  <c r="AH28" i="7"/>
  <c r="AF28" i="7"/>
  <c r="T31" i="9"/>
  <c r="U31" i="9" s="1"/>
  <c r="E31" i="10"/>
  <c r="AH31" i="8"/>
  <c r="AF31" i="8"/>
  <c r="D23" i="10"/>
  <c r="N23" i="9"/>
  <c r="AH23" i="7"/>
  <c r="AF23" i="7"/>
  <c r="T26" i="9"/>
  <c r="AH26" i="8"/>
  <c r="E26" i="10"/>
  <c r="AF26" i="8"/>
  <c r="N33" i="9"/>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D16" i="10"/>
  <c r="N16" i="9"/>
  <c r="AH16" i="7"/>
  <c r="AF16" i="7"/>
  <c r="C18" i="10"/>
  <c r="H18" i="9"/>
  <c r="AH18" i="6"/>
  <c r="AF18" i="6"/>
  <c r="E15" i="10"/>
  <c r="AH15" i="8"/>
  <c r="AF15" i="8"/>
  <c r="AO11" i="8" s="1"/>
  <c r="H9" i="13" s="1"/>
  <c r="T15" i="9"/>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C25" i="10"/>
  <c r="AF25" i="6"/>
  <c r="AH25" i="6"/>
  <c r="C20" i="10"/>
  <c r="H20" i="9"/>
  <c r="AH20" i="6"/>
  <c r="AF20" i="6"/>
  <c r="H28" i="9"/>
  <c r="C28" i="10"/>
  <c r="AH28" i="6"/>
  <c r="AF28" i="6"/>
  <c r="E17" i="10"/>
  <c r="AH17" i="8"/>
  <c r="T17" i="9"/>
  <c r="AF17" i="8"/>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U33" i="9" l="1"/>
  <c r="AO12" i="8"/>
  <c r="H10" i="13" s="1"/>
  <c r="U28" i="9"/>
  <c r="U25" i="9"/>
  <c r="AO10" i="8"/>
  <c r="H8" i="13" s="1"/>
  <c r="U41" i="9"/>
  <c r="U43" i="9"/>
  <c r="V43" i="9" s="1"/>
  <c r="U17" i="9"/>
  <c r="F17" i="10" s="1"/>
  <c r="AO11" i="7"/>
  <c r="H9" i="12" s="1"/>
  <c r="U18" i="9"/>
  <c r="V18" i="9" s="1"/>
  <c r="U21" i="9"/>
  <c r="V21" i="9" s="1"/>
  <c r="U9" i="9"/>
  <c r="F9" i="10" s="1"/>
  <c r="U14" i="9"/>
  <c r="V14" i="9" s="1"/>
  <c r="U23" i="9"/>
  <c r="V23" i="9" s="1"/>
  <c r="AO12" i="7"/>
  <c r="H10" i="12" s="1"/>
  <c r="J13" i="10"/>
  <c r="E25" i="14" s="1"/>
  <c r="U22" i="9"/>
  <c r="V22" i="9" s="1"/>
  <c r="U12" i="9"/>
  <c r="F12" i="10" s="1"/>
  <c r="F33" i="10"/>
  <c r="V33" i="9"/>
  <c r="F41" i="10"/>
  <c r="V41" i="9"/>
  <c r="V40" i="9"/>
  <c r="F40" i="10"/>
  <c r="U42" i="9"/>
  <c r="AO12" i="6"/>
  <c r="H10" i="11" s="1"/>
  <c r="AO9" i="6"/>
  <c r="H7" i="11" s="1"/>
  <c r="AO10" i="6"/>
  <c r="H8" i="11" s="1"/>
  <c r="AO11" i="6"/>
  <c r="H9" i="11" s="1"/>
  <c r="AO9" i="8"/>
  <c r="H7" i="13" s="1"/>
  <c r="F36" i="10"/>
  <c r="V36" i="9"/>
  <c r="F13" i="10"/>
  <c r="V13" i="9"/>
  <c r="F34" i="10"/>
  <c r="V34" i="9"/>
  <c r="I9" i="10"/>
  <c r="E11" i="14" s="1"/>
  <c r="I13" i="10"/>
  <c r="E12" i="14" s="1"/>
  <c r="U37" i="9"/>
  <c r="U35" i="9"/>
  <c r="U39" i="9"/>
  <c r="V32" i="9"/>
  <c r="F32" i="10"/>
  <c r="U44" i="9"/>
  <c r="AO10" i="7"/>
  <c r="H8" i="12" s="1"/>
  <c r="F28" i="10"/>
  <c r="V28" i="9"/>
  <c r="J9" i="10"/>
  <c r="E24" i="14" s="1"/>
  <c r="AO9" i="7"/>
  <c r="H7" i="12" s="1"/>
  <c r="F19" i="10"/>
  <c r="V19" i="9"/>
  <c r="U29" i="9"/>
  <c r="U24" i="9"/>
  <c r="U26" i="9"/>
  <c r="U38" i="9"/>
  <c r="U10" i="9"/>
  <c r="F25" i="10"/>
  <c r="V25" i="9"/>
  <c r="U20" i="9"/>
  <c r="F27" i="10"/>
  <c r="V27" i="9"/>
  <c r="U16" i="9"/>
  <c r="U15" i="9"/>
  <c r="U30" i="9"/>
  <c r="F31" i="10"/>
  <c r="V31" i="9"/>
  <c r="F11" i="10"/>
  <c r="V11" i="9"/>
  <c r="K13" i="10"/>
  <c r="E37" i="14" s="1"/>
  <c r="K9" i="10"/>
  <c r="E36" i="14" s="1"/>
  <c r="F43" i="10" l="1"/>
  <c r="F18" i="10"/>
  <c r="H26" i="16" s="1"/>
  <c r="V17" i="9"/>
  <c r="F21" i="10"/>
  <c r="G21" i="10" s="1"/>
  <c r="F14" i="10"/>
  <c r="G14" i="10" s="1"/>
  <c r="V9" i="9"/>
  <c r="F23" i="10"/>
  <c r="G23" i="10" s="1"/>
  <c r="V12" i="9"/>
  <c r="F22" i="10"/>
  <c r="H30" i="16" s="1"/>
  <c r="F15" i="10"/>
  <c r="V15" i="9"/>
  <c r="G25" i="10"/>
  <c r="H33" i="16"/>
  <c r="F16" i="10"/>
  <c r="V16" i="9"/>
  <c r="H40" i="16"/>
  <c r="G32"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21" i="16"/>
  <c r="G13" i="10"/>
  <c r="F42" i="10"/>
  <c r="V42" i="9"/>
  <c r="G41" i="10"/>
  <c r="H49" i="16"/>
  <c r="E38" i="14"/>
  <c r="V30" i="9"/>
  <c r="F30" i="10"/>
  <c r="H27" i="16"/>
  <c r="G19" i="10"/>
  <c r="H42" i="16"/>
  <c r="G34" i="10"/>
  <c r="H11" i="12"/>
  <c r="I8" i="12" s="1"/>
  <c r="F35" i="10"/>
  <c r="V35" i="9"/>
  <c r="H44" i="16"/>
  <c r="G36" i="10"/>
  <c r="H48" i="16"/>
  <c r="G40" i="10"/>
  <c r="E26" i="14"/>
  <c r="G25" i="14" s="1"/>
  <c r="H51" i="16"/>
  <c r="G43" i="10"/>
  <c r="H11" i="13"/>
  <c r="I7" i="13" s="1"/>
  <c r="G33" i="10"/>
  <c r="H41" i="16"/>
  <c r="I9" i="11" l="1"/>
  <c r="G18" i="10"/>
  <c r="H31" i="16"/>
  <c r="H29" i="16"/>
  <c r="H22" i="16"/>
  <c r="G22" i="10"/>
  <c r="H28" i="16"/>
  <c r="G20" i="10"/>
  <c r="I7" i="12"/>
  <c r="H50" i="16"/>
  <c r="G42" i="10"/>
  <c r="H38" i="16"/>
  <c r="G30" i="10"/>
  <c r="H32" i="16"/>
  <c r="G24" i="10"/>
  <c r="I10" i="11"/>
  <c r="G13" i="14"/>
  <c r="G24" i="14"/>
  <c r="G26" i="14" s="1"/>
  <c r="I9" i="13"/>
  <c r="I8" i="13"/>
  <c r="I10" i="13"/>
  <c r="G37" i="10"/>
  <c r="H45" i="16"/>
  <c r="H24" i="16"/>
  <c r="G16" i="10"/>
  <c r="H43" i="16"/>
  <c r="G35" i="10"/>
  <c r="H47" i="16"/>
  <c r="G39" i="10"/>
  <c r="G10" i="10"/>
  <c r="H18" i="16"/>
  <c r="H46" i="16"/>
  <c r="G38" i="10"/>
  <c r="G36" i="14"/>
  <c r="H34" i="16"/>
  <c r="G26" i="10"/>
  <c r="I8" i="11"/>
  <c r="H52" i="16"/>
  <c r="G44" i="10"/>
  <c r="G37" i="14"/>
  <c r="G29" i="10"/>
  <c r="H37" i="16"/>
  <c r="I9" i="12"/>
  <c r="I10" i="12"/>
  <c r="H23" i="16"/>
  <c r="G15" i="10"/>
  <c r="I11" i="11" l="1"/>
  <c r="I11" i="13"/>
  <c r="G38" i="14"/>
  <c r="I11" i="12"/>
</calcChain>
</file>

<file path=xl/sharedStrings.xml><?xml version="1.0" encoding="utf-8"?>
<sst xmlns="http://schemas.openxmlformats.org/spreadsheetml/2006/main" count="916" uniqueCount="247">
  <si>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</si>
  <si>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</si>
  <si>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</si>
  <si>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</si>
  <si>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</si>
  <si>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</si>
  <si>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</si>
  <si>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</si>
  <si>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</si>
  <si>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</si>
  <si>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</si>
  <si>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</si>
  <si>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</si>
  <si>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</si>
  <si>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</si>
  <si>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</si>
  <si>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</si>
  <si>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</si>
  <si>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</si>
  <si>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</si>
  <si>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</si>
  <si>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</si>
  <si>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</si>
  <si>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</si>
  <si>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</si>
  <si>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</si>
  <si>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</si>
  <si>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</si>
  <si>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</si>
  <si>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</si>
  <si>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</si>
  <si>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</si>
  <si>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</si>
  <si>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</si>
  <si>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</si>
  <si>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</si>
  <si>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</si>
  <si>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</si>
  <si>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</si>
  <si>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</si>
  <si>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</si>
  <si>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</si>
  <si>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</si>
  <si>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</si>
  <si>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</si>
  <si>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</si>
  <si>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</si>
  <si>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</si>
  <si>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</si>
  <si>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</si>
  <si>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</si>
  <si>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</si>
  <si>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</si>
  <si>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</si>
  <si>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</si>
  <si>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</si>
  <si>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</si>
  <si>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</si>
  <si>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</si>
  <si>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</si>
  <si>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</si>
  <si>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l</t>
  </si>
  <si>
    <t>a</t>
  </si>
  <si>
    <t>f</t>
  </si>
  <si>
    <t>CONTROL DE ASISTENCIA 2º TRIMESTRE</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</si>
  <si>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</si>
  <si>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</si>
  <si>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</si>
  <si>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</si>
  <si>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</si>
  <si>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</si>
  <si>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</si>
  <si>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</si>
  <si>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</si>
  <si>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</si>
  <si>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</si>
  <si>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</si>
  <si>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</si>
  <si>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</si>
  <si>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</si>
  <si>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</si>
  <si>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</si>
  <si>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</si>
  <si>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</si>
  <si>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</si>
  <si>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</si>
  <si>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</si>
  <si>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</si>
  <si>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</si>
  <si>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</si>
  <si>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</si>
  <si>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</si>
  <si>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</si>
  <si>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</si>
  <si>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</si>
  <si>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</si>
  <si>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</si>
  <si>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</si>
  <si>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</si>
  <si>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</si>
  <si>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</si>
  <si>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</si>
  <si>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</si>
  <si>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</si>
  <si>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</si>
  <si>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</si>
  <si>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</si>
  <si>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</si>
  <si>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</si>
  <si>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</si>
  <si>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</si>
  <si>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</si>
  <si>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</si>
  <si>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</si>
  <si>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</si>
  <si>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</si>
  <si>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</si>
  <si>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</si>
  <si>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</si>
  <si>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</si>
  <si>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</si>
  <si>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</si>
  <si>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</si>
  <si>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</si>
  <si>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</si>
  <si>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</si>
  <si>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</si>
  <si>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</si>
  <si>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</si>
  <si>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</si>
  <si>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</si>
  <si>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</si>
  <si>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</si>
  <si>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</si>
  <si>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</si>
  <si>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</si>
  <si>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</si>
  <si>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</si>
  <si>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</si>
  <si>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</si>
  <si>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</si>
  <si>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</si>
  <si>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</si>
  <si>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</si>
  <si>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</si>
  <si>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</si>
  <si>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</si>
  <si>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</si>
  <si>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</si>
  <si>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</si>
  <si>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</si>
  <si>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</si>
  <si>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</si>
  <si>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</si>
  <si>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</si>
  <si>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</si>
  <si>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</si>
  <si>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</si>
  <si>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</si>
  <si>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</si>
  <si>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</si>
  <si>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</si>
  <si>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</si>
  <si>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</si>
  <si>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</si>
  <si>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</si>
  <si>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</si>
  <si>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</si>
  <si>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</si>
  <si>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</si>
  <si>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</si>
  <si>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</si>
  <si>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</si>
  <si>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</si>
  <si>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</si>
  <si>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</si>
  <si>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</si>
  <si>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</si>
  <si>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</si>
  <si>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</si>
  <si>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</si>
  <si>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</si>
  <si>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</si>
  <si>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</si>
  <si>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</si>
  <si>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</si>
  <si>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</si>
  <si>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</si>
  <si>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</si>
  <si>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</si>
  <si>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</si>
  <si>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</si>
  <si>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</si>
  <si>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</si>
  <si>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</si>
  <si>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</si>
  <si>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</si>
  <si>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</si>
  <si>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</si>
  <si>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</si>
  <si>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</si>
  <si>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</si>
  <si>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</si>
  <si>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</si>
  <si>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</si>
  <si>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</si>
  <si>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</si>
  <si>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</si>
  <si>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</si>
  <si>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</si>
  <si>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</si>
  <si>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</si>
  <si>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</si>
  <si>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</si>
  <si>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</si>
  <si>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</si>
  <si>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</si>
  <si>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</si>
  <si>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</si>
  <si>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</si>
  <si>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</si>
  <si>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</si>
  <si>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</si>
  <si>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</si>
  <si>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</si>
  <si>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</si>
  <si>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</si>
  <si>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</si>
  <si>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</si>
  <si>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</si>
  <si>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</si>
  <si>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</si>
  <si>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</si>
  <si>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</si>
  <si>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</si>
  <si>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</si>
  <si>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</si>
  <si>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</si>
  <si>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</si>
  <si>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</si>
  <si>
    <t>12/8/2021</t>
  </si>
  <si>
    <t>19/08/2021 (1er Examen Parcial)</t>
  </si>
  <si>
    <t>19/8/2021</t>
  </si>
  <si>
    <t>26/8/2021</t>
  </si>
  <si>
    <t>2/9/2021</t>
  </si>
  <si>
    <t>9/9/2021</t>
  </si>
  <si>
    <t>16/09/2021 (2do 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</si>
</sst>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amily val="2"/>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
      <sz val="8"/>
      <color theme="1"/>
      <name val="Arial"/>
      <family val="2"/>
    </font>
  </fonts>
  <fills count="20">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FF00"/>
        <bgColor rgb="FFD6DCE4"/>
      </patternFill>
    </fill>
    <fill>
      <patternFill patternType="solid">
        <fgColor rgb="FFFFFF00"/>
        <bgColor rgb="FFFBE4D5"/>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EEAF6"/>
      </patternFill>
    </fill>
    <fill>
      <patternFill patternType="solid">
        <fgColor rgb="FF92D050"/>
        <bgColor indexed="64"/>
      </patternFill>
    </fill>
    <fill>
      <patternFill patternType="solid">
        <fgColor theme="0"/>
        <bgColor indexed="6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359">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0" applyNumberFormat="1" applyBorder="1"/>
    <xf numFmtId="0" fontId="9" fillId="0" borderId="27" xfId="0" applyFont="1" applyBorder="1" applyAlignment="1">
      <alignment horizontal="center" vertical="center"/>
    </xf>
    <xf numFmtId="0" fontId="38"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0" fillId="0" borderId="0" xfId="0" applyFont="1" applyAlignment="1"/>
    <xf numFmtId="0" fontId="9" fillId="0" borderId="41" xfId="0" applyFont="1" applyBorder="1" applyAlignment="1">
      <alignment horizontal="center" vertical="center"/>
    </xf>
    <xf numFmtId="0" fontId="19" fillId="0" borderId="41" xfId="0" applyFont="1" applyBorder="1" applyAlignment="1">
      <alignment horizontal="center" vertical="center"/>
    </xf>
    <xf numFmtId="0" fontId="60" fillId="9" borderId="39" xfId="0" applyFont="1" applyFill="1" applyBorder="1" applyAlignment="1">
      <alignment horizontal="center" vertical="center"/>
    </xf>
    <xf numFmtId="0" fontId="60" fillId="9" borderId="41" xfId="0" applyFont="1" applyFill="1" applyBorder="1" applyAlignment="1">
      <alignment horizontal="center" vertical="center"/>
    </xf>
    <xf numFmtId="0" fontId="60" fillId="9" borderId="19" xfId="0" applyFont="1" applyFill="1" applyBorder="1" applyAlignment="1">
      <alignment horizontal="center" vertical="center"/>
    </xf>
    <xf numFmtId="0" fontId="8" fillId="9" borderId="19" xfId="0" applyFont="1" applyFill="1" applyBorder="1" applyAlignment="1">
      <alignment horizontal="center" vertical="center"/>
    </xf>
    <xf numFmtId="0" fontId="8" fillId="0" borderId="19" xfId="0" applyFont="1" applyBorder="1" applyAlignment="1">
      <alignment horizontal="center" vertical="center"/>
    </xf>
    <xf numFmtId="0" fontId="8" fillId="0" borderId="39" xfId="0" applyFont="1" applyBorder="1" applyAlignment="1">
      <alignment horizontal="center" vertical="center"/>
    </xf>
    <xf numFmtId="0" fontId="8" fillId="0" borderId="41" xfId="0" applyFont="1" applyBorder="1" applyAlignment="1">
      <alignment horizontal="center" vertical="center"/>
    </xf>
    <xf numFmtId="0" fontId="60" fillId="0" borderId="19" xfId="0" applyFont="1" applyBorder="1" applyAlignment="1">
      <alignment horizontal="center" vertical="center"/>
    </xf>
    <xf numFmtId="0" fontId="60" fillId="0" borderId="41" xfId="0" applyFont="1" applyBorder="1" applyAlignment="1">
      <alignment horizontal="center" vertical="center"/>
    </xf>
    <xf numFmtId="0" fontId="60" fillId="9" borderId="57" xfId="0" applyFont="1" applyFill="1" applyBorder="1" applyAlignment="1">
      <alignment horizontal="center" vertical="center"/>
    </xf>
    <xf numFmtId="0" fontId="60" fillId="0" borderId="57" xfId="0" applyFont="1" applyBorder="1" applyAlignment="1">
      <alignment horizontal="center" vertical="center"/>
    </xf>
    <xf numFmtId="0" fontId="60" fillId="0" borderId="39" xfId="0" applyFont="1" applyBorder="1" applyAlignment="1">
      <alignment horizontal="center" vertical="center"/>
    </xf>
    <xf numFmtId="14" fontId="38" fillId="0" borderId="29" xfId="0" applyNumberFormat="1" applyFont="1" applyBorder="1" applyAlignment="1">
      <alignment horizontal="center" vertical="center" textRotation="90"/>
    </xf>
    <xf numFmtId="14" fontId="60" fillId="0" borderId="15" xfId="0" applyNumberFormat="1" applyFont="1" applyBorder="1" applyAlignment="1">
      <alignment textRotation="90"/>
    </xf>
    <xf numFmtId="0" fontId="60" fillId="0" borderId="57" xfId="0" applyFont="1" applyBorder="1" applyAlignment="1">
      <alignment horizontal="center"/>
    </xf>
    <xf numFmtId="0" fontId="9" fillId="11" borderId="19" xfId="0" applyFont="1" applyFill="1" applyBorder="1" applyAlignment="1">
      <alignment horizontal="left" vertical="center"/>
    </xf>
    <xf numFmtId="0" fontId="8" fillId="11" borderId="39" xfId="0" applyFont="1" applyFill="1" applyBorder="1" applyAlignment="1">
      <alignment horizontal="center" vertical="center"/>
    </xf>
    <xf numFmtId="0" fontId="60" fillId="11" borderId="57" xfId="0" applyFont="1" applyFill="1" applyBorder="1" applyAlignment="1">
      <alignment horizontal="center" vertical="center"/>
    </xf>
    <xf numFmtId="0" fontId="8" fillId="11" borderId="41" xfId="0" applyFont="1" applyFill="1" applyBorder="1" applyAlignment="1">
      <alignment horizontal="center" vertical="center"/>
    </xf>
    <xf numFmtId="0" fontId="8" fillId="11" borderId="19" xfId="0" applyFont="1" applyFill="1" applyBorder="1" applyAlignment="1">
      <alignment horizontal="center" vertical="center"/>
    </xf>
    <xf numFmtId="0" fontId="60" fillId="11" borderId="57" xfId="0" applyFont="1" applyFill="1" applyBorder="1" applyAlignment="1">
      <alignment horizontal="center"/>
    </xf>
    <xf numFmtId="0" fontId="9" fillId="11" borderId="41" xfId="0" applyFont="1" applyFill="1" applyBorder="1" applyAlignment="1">
      <alignment horizontal="center" vertical="center"/>
    </xf>
    <xf numFmtId="0" fontId="9" fillId="11" borderId="19" xfId="0" applyFont="1" applyFill="1" applyBorder="1" applyAlignment="1">
      <alignment horizontal="center" vertical="center"/>
    </xf>
    <xf numFmtId="0" fontId="0" fillId="11" borderId="0" xfId="0" applyFont="1" applyFill="1" applyAlignment="1"/>
    <xf numFmtId="0" fontId="10" fillId="9" borderId="19" xfId="0" applyFont="1" applyFill="1" applyBorder="1" applyAlignment="1">
      <alignment horizontal="center" vertical="center"/>
    </xf>
    <xf numFmtId="0" fontId="38" fillId="9"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8" fillId="9" borderId="39" xfId="0" applyFont="1" applyFill="1" applyBorder="1" applyAlignment="1">
      <alignment horizontal="center" vertical="center"/>
    </xf>
    <xf numFmtId="0" fontId="8" fillId="9" borderId="41" xfId="0" applyFont="1" applyFill="1" applyBorder="1" applyAlignment="1">
      <alignment horizontal="center" vertical="center"/>
    </xf>
    <xf numFmtId="0" fontId="60" fillId="9" borderId="57" xfId="0" applyFont="1" applyFill="1" applyBorder="1" applyAlignment="1">
      <alignment horizontal="center"/>
    </xf>
    <xf numFmtId="0" fontId="9" fillId="9" borderId="41" xfId="0" applyFont="1" applyFill="1" applyBorder="1" applyAlignment="1">
      <alignment horizontal="center" vertical="center"/>
    </xf>
    <xf numFmtId="0" fontId="9" fillId="9" borderId="19" xfId="0" applyFont="1" applyFill="1" applyBorder="1" applyAlignment="1">
      <alignment horizontal="center" vertical="center"/>
    </xf>
    <xf numFmtId="0" fontId="20" fillId="11" borderId="19" xfId="0" applyFont="1" applyFill="1" applyBorder="1" applyAlignment="1">
      <alignment horizontal="center" vertic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38" fillId="11"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20" fillId="9" borderId="19" xfId="0" applyFont="1" applyFill="1" applyBorder="1" applyAlignment="1">
      <alignment horizontal="center" vertical="center"/>
    </xf>
    <xf numFmtId="0" fontId="9" fillId="17" borderId="1" xfId="0" applyFont="1" applyFill="1" applyBorder="1" applyAlignment="1">
      <alignment horizontal="center" vertical="center"/>
    </xf>
    <xf numFmtId="0" fontId="10" fillId="18" borderId="19" xfId="0" applyFont="1" applyFill="1" applyBorder="1" applyAlignment="1">
      <alignment horizontal="center" vertical="center"/>
    </xf>
    <xf numFmtId="1" fontId="0" fillId="0" borderId="0" xfId="0" applyNumberFormat="1" applyFont="1" applyAlignment="1"/>
    <xf numFmtId="0" fontId="10" fillId="19" borderId="19" xfId="0" applyFont="1" applyFill="1" applyBorder="1" applyAlignment="1">
      <alignment horizontal="center" vertical="center"/>
    </xf>
    <xf numFmtId="1" fontId="25" fillId="5" borderId="19" xfId="0" applyNumberFormat="1" applyFont="1" applyFill="1" applyBorder="1" applyAlignment="1">
      <alignment horizontal="center" vertical="center"/>
    </xf>
    <xf numFmtId="1" fontId="25" fillId="12" borderId="19" xfId="0" applyNumberFormat="1" applyFont="1" applyFill="1" applyBorder="1" applyAlignment="1">
      <alignment horizontal="center" vertical="center"/>
    </xf>
    <xf numFmtId="1" fontId="25" fillId="14" borderId="19" xfId="0" applyNumberFormat="1"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9" fillId="11" borderId="28" xfId="0" applyFont="1" applyFill="1" applyBorder="1" applyAlignment="1">
      <alignment horizontal="center" vertical="center"/>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9" borderId="28"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46" fillId="0" borderId="15" xfId="0" applyFont="1" applyBorder="1" applyAlignment="1">
      <alignment horizontal="center"/>
    </xf>
    <xf numFmtId="0" fontId="46" fillId="0" borderId="57" xfId="0" applyFont="1" applyBorder="1" applyAlignment="1">
      <alignment horizontal="center" vertic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1" fillId="0" borderId="57" xfId="0" applyFont="1" applyBorder="1" applyAlignment="1">
      <alignment horizontal="left" vertical="center"/>
    </xf>
    <xf numFmtId="0" fontId="52" fillId="0" borderId="57" xfId="0" applyFont="1" applyBorder="1" applyAlignment="1">
      <alignment horizontal="left"/>
    </xf>
    <xf numFmtId="0" fontId="50" fillId="0" borderId="57" xfId="0" applyFont="1" applyBorder="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57" xfId="0" applyNumberFormat="1" applyFont="1" applyBorder="1" applyAlignment="1">
      <alignment horizont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dxf>
    <dxf>
      <font>
        <b val="0"/>
        <strike val="0"/>
        <outline val="0"/>
        <shadow val="0"/>
        <u val="none"/>
        <vertAlign val="baseline"/>
        <sz val="8"/>
        <color theme="1"/>
        <name val="Arial"/>
        <scheme val="none"/>
      </font>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Arial"/>
        <family val="2"/>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outline="0">
        <left style="thin">
          <color rgb="FF000000"/>
        </left>
        <right/>
        <top style="thin">
          <color rgb="FF000000"/>
        </top>
        <bottom style="thin">
          <color rgb="FF000000"/>
        </bottom>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0.89189189189189189</c:v>
                </c:pt>
                <c:pt idx="1">
                  <c:v>0.10810810810810811</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0.97297297297297303</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L7" t="str">
            <v>12/8/2021</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9" dataDxfId="58" tableBorderDxfId="57">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6"/>
    <tableColumn id="2" xr3:uid="{E7CFB337-346E-4134-9052-6A8F126DF70E}" name="NÓMINA DE ESTUDIANTES" dataDxfId="55">
      <calculatedColumnFormula>'C. FILIACION'!B8</calculatedColumnFormula>
    </tableColumn>
    <tableColumn id="3" xr3:uid="{D8D6787D-C877-4322-8BAB-6844889DB05D}" name="13/5/2020" dataDxfId="54"/>
    <tableColumn id="4" xr3:uid="{275E4CD2-72A9-4610-9D2E-FA4CAC9EADB2}" name="20/5/2020" dataDxfId="53"/>
    <tableColumn id="5" xr3:uid="{65FC0861-6DF1-42FE-B411-35A0B12DD120}" name="27/5/2021" dataDxfId="52"/>
    <tableColumn id="6" xr3:uid="{13D0A423-3CAC-4729-B630-A808642AACCF}" name="1/7/2021" dataDxfId="51"/>
    <tableColumn id="7" xr3:uid="{A4079921-06AB-4CB4-A865-59FBAAA73ADF}" name="8/7/2021" dataDxfId="50"/>
    <tableColumn id="8" xr3:uid="{FC51B49F-9310-41A8-A7FA-1B99D2B84995}" name="15/8/2021" dataDxfId="49"/>
    <tableColumn id="9" xr3:uid="{EAF594B6-62DA-4E24-8356-2EE2B716B6A8}" name="22/7/2021" dataDxfId="48"/>
    <tableColumn id="10" xr3:uid="{B06AB357-2726-4BE3-8231-E0FABBA57954}" name="29/7/2021" dataDxfId="47"/>
    <tableColumn id="11" xr3:uid="{93C43CF8-689D-49CD-8568-CB95AD651014}" name="5/8/2021" dataDxfId="46"/>
    <tableColumn id="12" xr3:uid="{9907FC53-8D25-429E-9451-2BDB3F5743F6}" name="12/8/2021" dataDxfId="45"/>
    <tableColumn id="13" xr3:uid="{60B649E6-FE44-447C-949C-234B246F9541}" name="19/8/2021" dataDxfId="44"/>
    <tableColumn id="14" xr3:uid="{D2A08EAC-576F-46B3-BBA0-50DFE80A5020}" name="26/8/2021" dataDxfId="43"/>
    <tableColumn id="15" xr3:uid="{06BC330A-979B-4580-8DBF-BB1582623520}" name="2/9/2021" dataDxfId="42"/>
    <tableColumn id="16" xr3:uid="{4E1B9E96-80C4-43E0-AAB2-F1A80D27EAD9}" name="9/9/2021" dataDxfId="41"/>
    <tableColumn id="17" xr3:uid="{0EC559DC-AF72-418D-8320-B1FF9345548E}" name="Columna5" dataDxfId="40"/>
    <tableColumn id="18" xr3:uid="{6C8CC09C-A80D-4ECF-BDB9-1EE51FA49280}" name="Columna6" dataDxfId="39"/>
    <tableColumn id="19" xr3:uid="{C7FAE198-A39E-4BAC-A943-EC4C1188816E}" name="Columna7" dataDxfId="38"/>
    <tableColumn id="20" xr3:uid="{DDF2C3C5-055C-4B88-BD17-F7AEEB76722E}" name="Columna8" dataDxfId="37"/>
    <tableColumn id="21" xr3:uid="{88122AB3-D0E3-41CB-A0AF-F7D302864B16}" name="Columna9" dataDxfId="36"/>
    <tableColumn id="22" xr3:uid="{836B2141-6D9F-4F60-ACE0-C4B969824E0B}" name="Columna10" dataDxfId="35"/>
    <tableColumn id="23" xr3:uid="{19CE5DE8-4CEE-4326-B65B-8CB02EAF9F22}" name="Columna11" dataDxfId="34"/>
    <tableColumn id="24" xr3:uid="{F1B29937-DC75-4D29-A390-E538EEEDBDF6}" name="Columna12" dataDxfId="33"/>
    <tableColumn id="25" xr3:uid="{C84CB0A4-C28E-4B1B-8D25-94A8CC797EA2}" name="Columna13" dataDxfId="32"/>
    <tableColumn id="26" xr3:uid="{9BAD6B54-A02A-4EDC-B463-FE8E49D2C86D}" name="Columna14" dataDxfId="31"/>
    <tableColumn id="27" xr3:uid="{3C77FFF1-DB8A-4A89-9874-FDFBF4BA9E95}" name="Columna15" dataDxfId="30"/>
    <tableColumn id="28" xr3:uid="{7A00A336-01D0-4B3F-AD71-360AC24F01DA}" name="Columna16" dataDxfId="29"/>
    <tableColumn id="29" xr3:uid="{719E103C-2D68-4DED-BBE4-45627A2C389F}" name="Columna17" dataDxfId="28"/>
    <tableColumn id="30" xr3:uid="{606F076F-2134-4ACB-93F1-D17DEA610001}" name="Columna18" dataDxfId="27"/>
    <tableColumn id="31" xr3:uid="{81B12908-D86F-4542-91CD-8195CBE0BDAB}" name="Columna19" dataDxfId="26"/>
    <tableColumn id="32" xr3:uid="{B29ADAAF-7ACC-40FD-A4DD-B0CED287094C}" name="Columna20" dataDxfId="25"/>
    <tableColumn id="33" xr3:uid="{B0F220D9-3258-4410-A6C7-22CA846B63AD}" name="Columna21" dataDxfId="24"/>
    <tableColumn id="34" xr3:uid="{8582C91F-B614-4D8E-BEB5-57D1C6EA93B2}" name="Columna22" dataDxfId="23"/>
    <tableColumn id="35" xr3:uid="{285BB9DD-C5F5-425D-9CF6-66D88F9676CB}" name="Columna23" dataDxfId="22"/>
    <tableColumn id="36" xr3:uid="{DCD82BEA-2D86-4AA5-81ED-24E2AFA6786D}" name="Columna24" dataDxfId="21"/>
    <tableColumn id="37" xr3:uid="{318C598A-0ED5-46AC-94C5-DCC2BB8D4879}" name="Columna25" dataDxfId="20"/>
    <tableColumn id="38" xr3:uid="{25691E89-C659-45A1-88F3-E774626C13FA}" name="Columna26" dataDxfId="19"/>
    <tableColumn id="39" xr3:uid="{44A2638F-E92B-4B28-84EE-10E4C4BD48E6}" name="Columna27" dataDxfId="18"/>
    <tableColumn id="40" xr3:uid="{6273CDE2-D2A4-4005-B745-0AA9F61476C8}" name="Columna28" dataDxfId="17"/>
    <tableColumn id="41" xr3:uid="{D97F225B-B419-40B5-8309-39A1EAADAB97}" name="Columna29" dataDxfId="16"/>
    <tableColumn id="42" xr3:uid="{86DA8312-331E-4C77-9D27-2200C5A4052D}" name="Columna30" dataDxfId="15"/>
    <tableColumn id="43" xr3:uid="{3C9579D1-912E-4733-9CA4-37D3AF41D93C}" name="Columna31" dataDxfId="14"/>
    <tableColumn id="44" xr3:uid="{0B1C25FE-6120-4733-A57A-F60321B2B1E8}" name="Columna32" dataDxfId="13"/>
    <tableColumn id="45" xr3:uid="{AD9F59EA-92F5-438C-8C01-F4A82718DB59}" name="Columna33" dataDxfId="12"/>
    <tableColumn id="46" xr3:uid="{FB589FE7-0D78-4566-8E64-CA075301D252}" name="Columna34" dataDxfId="11"/>
    <tableColumn id="47" xr3:uid="{66590F63-4CA9-408F-8379-F2CA5BDDC4EE}" name="Columna35" dataDxfId="10"/>
    <tableColumn id="48" xr3:uid="{83C87A69-3D02-41BD-819E-352D6E99AE4E}" name="Columna36" dataDxfId="9"/>
    <tableColumn id="49" xr3:uid="{CA750092-2AC5-4995-8D65-E739E645608E}" name="Columna37" dataDxfId="8"/>
    <tableColumn id="50" xr3:uid="{70785364-FDD3-455E-957B-E2C9A886F147}" name="Columna38" dataDxfId="7"/>
    <tableColumn id="51" xr3:uid="{F8EE1E61-BFE9-47B9-9FFE-562B4B99832C}" name="Columna39" dataDxfId="6"/>
    <tableColumn id="52" xr3:uid="{318FBD1B-E2FB-44B2-81BA-574C436D8C5A}" name="Columna40" dataDxfId="5"/>
    <tableColumn id="53" xr3:uid="{4C9AF3FA-029F-4A20-9775-BA896B30F5B4}" name="Asist. (A)" dataDxfId="4">
      <calculatedColumnFormula>IF(COUNTIF(C8:AZ8,"A")=0,"",COUNTIF(C8:AZ8,"A"))</calculatedColumnFormula>
    </tableColumn>
    <tableColumn id="54" xr3:uid="{570B89E2-FFA9-4258-BE49-7E3F175424D4}" name="Faltas (F)" dataDxfId="3">
      <calculatedColumnFormula>IF(COUNTIF(C8:AZ8,"F")=0,"0",COUNTIF(C8:AZ8,"F"))</calculatedColumnFormula>
    </tableColumn>
    <tableColumn id="55" xr3:uid="{7E882827-AF09-4CA8-A0BD-1872CE064857}" name="Retrasos (R)" dataDxfId="2">
      <calculatedColumnFormula>IF(COUNTIF(C8:AZ8,"R")=0,"0",COUNTIF(C8:AZ8,"R"))</calculatedColumnFormula>
    </tableColumn>
    <tableColumn id="56" xr3:uid="{03955F37-EADA-4F70-BA5A-9C1B4D56DF51}" name="Licencias (L)" dataDxfId="1">
      <calculatedColumnFormula>IF(COUNTIF(C8:AZ8,"L")=0,"0",COUNTIF(C8:AZ8,"L"))</calculatedColumnFormula>
    </tableColumn>
    <tableColumn id="57" xr3:uid="{E6F78E24-3013-435E-AF49-B66DCB3D99F5}" name="DÍAS TRABAJADOS" dataDxfId="0">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42" t="s">
        <v>0</v>
      </c>
      <c r="D8" s="243"/>
      <c r="E8" s="244"/>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45" t="s">
        <v>1</v>
      </c>
      <c r="I9" s="246"/>
      <c r="J9" s="247"/>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48"/>
      <c r="I10" s="249"/>
      <c r="J10" s="250"/>
      <c r="K10" s="7"/>
      <c r="L10" s="1"/>
      <c r="M10" s="1"/>
      <c r="N10" s="1"/>
      <c r="O10" s="1"/>
      <c r="P10" s="1"/>
      <c r="Q10" s="1"/>
      <c r="R10" s="1"/>
      <c r="S10" s="1"/>
      <c r="T10" s="1"/>
      <c r="U10" s="1"/>
      <c r="V10" s="1"/>
      <c r="W10" s="1"/>
      <c r="X10" s="1"/>
      <c r="Y10" s="1"/>
      <c r="Z10" s="1"/>
    </row>
    <row r="11" spans="1:26" ht="15" customHeight="1" x14ac:dyDescent="0.35">
      <c r="A11" s="1"/>
      <c r="B11" s="8" t="s">
        <v>2</v>
      </c>
      <c r="C11" s="239" t="s">
        <v>3</v>
      </c>
      <c r="D11" s="240"/>
      <c r="E11" s="241"/>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51" t="s">
        <v>4</v>
      </c>
      <c r="I12" s="252"/>
      <c r="J12" s="252"/>
      <c r="K12" s="7"/>
      <c r="L12" s="1"/>
      <c r="M12" s="1"/>
      <c r="N12" s="1"/>
      <c r="O12" s="1"/>
      <c r="P12" s="1"/>
      <c r="Q12" s="1"/>
      <c r="R12" s="1"/>
      <c r="S12" s="1"/>
      <c r="T12" s="1"/>
      <c r="U12" s="1"/>
      <c r="V12" s="1"/>
      <c r="W12" s="1"/>
      <c r="X12" s="1"/>
      <c r="Y12" s="1"/>
      <c r="Z12" s="1"/>
    </row>
    <row r="13" spans="1:26" ht="20.399999999999999" x14ac:dyDescent="0.35">
      <c r="A13" s="1"/>
      <c r="B13" s="8" t="s">
        <v>5</v>
      </c>
      <c r="C13" s="239"/>
      <c r="D13" s="240"/>
      <c r="E13" s="241"/>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39" t="s">
        <v>9</v>
      </c>
      <c r="D15" s="240"/>
      <c r="E15" s="241"/>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53" t="s">
        <v>10</v>
      </c>
      <c r="I16" s="252"/>
      <c r="J16" s="252"/>
      <c r="K16" s="7"/>
      <c r="L16" s="1"/>
      <c r="M16" s="1"/>
      <c r="N16" s="1"/>
      <c r="O16" s="1"/>
      <c r="P16" s="1"/>
      <c r="Q16" s="1"/>
      <c r="R16" s="1"/>
      <c r="S16" s="1"/>
      <c r="T16" s="1"/>
      <c r="U16" s="1"/>
      <c r="V16" s="1"/>
      <c r="W16" s="1"/>
      <c r="X16" s="1"/>
      <c r="Y16" s="1"/>
      <c r="Z16" s="1"/>
    </row>
    <row r="17" spans="1:26" ht="20.399999999999999" x14ac:dyDescent="0.35">
      <c r="A17" s="1"/>
      <c r="B17" s="8" t="s">
        <v>11</v>
      </c>
      <c r="C17" s="239" t="s">
        <v>12</v>
      </c>
      <c r="D17" s="240"/>
      <c r="E17" s="241"/>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39"/>
      <c r="D19" s="240"/>
      <c r="E19" s="241"/>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39" t="s">
        <v>15</v>
      </c>
      <c r="D21" s="240"/>
      <c r="E21" s="241"/>
      <c r="F21" s="9"/>
      <c r="G21" s="6"/>
      <c r="H21" s="253" t="s">
        <v>16</v>
      </c>
      <c r="I21" s="252"/>
      <c r="J21" s="252"/>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39" t="s">
        <v>18</v>
      </c>
      <c r="D23" s="240"/>
      <c r="E23" s="241"/>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39"/>
      <c r="D25" s="240"/>
      <c r="E25" s="241"/>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39">
        <v>2021</v>
      </c>
      <c r="D27" s="240"/>
      <c r="E27" s="241"/>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65625" defaultRowHeight="15" customHeight="1" x14ac:dyDescent="0.35"/>
  <cols>
    <col min="1" max="1" width="2" customWidth="1"/>
    <col min="2" max="2" width="23.7304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56" t="s">
        <v>21</v>
      </c>
      <c r="C2" s="252"/>
      <c r="D2" s="252"/>
      <c r="E2" s="252"/>
      <c r="F2" s="252"/>
      <c r="G2" s="252"/>
      <c r="H2" s="252"/>
      <c r="I2" s="252"/>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54" t="str">
        <f>CARÁTULA!$C$15</f>
        <v>Instituto Tecnico Humanistico Jauzel Arrieta</v>
      </c>
      <c r="D4" s="252"/>
      <c r="E4" s="252"/>
      <c r="F4" s="22" t="s">
        <v>19</v>
      </c>
      <c r="G4" s="254">
        <f>CARÁTULA!$C$25</f>
        <v>0</v>
      </c>
      <c r="H4" s="252"/>
      <c r="I4" s="252"/>
      <c r="J4" s="19"/>
      <c r="K4" s="19"/>
      <c r="L4" s="19"/>
      <c r="M4" s="19"/>
      <c r="N4" s="19"/>
      <c r="O4" s="19"/>
      <c r="P4" s="19"/>
      <c r="Q4" s="19"/>
      <c r="R4" s="19"/>
      <c r="S4" s="19"/>
      <c r="T4" s="19"/>
      <c r="U4" s="19"/>
      <c r="V4" s="19"/>
      <c r="W4" s="19"/>
      <c r="X4" s="19"/>
      <c r="Y4" s="19"/>
      <c r="Z4" s="19"/>
    </row>
    <row r="5" spans="1:26" ht="12" customHeight="1" x14ac:dyDescent="0.35">
      <c r="A5" s="20"/>
      <c r="B5" s="21" t="s">
        <v>14</v>
      </c>
      <c r="C5" s="254" t="str">
        <f>CARÁTULA!$C$21</f>
        <v>Secundaria</v>
      </c>
      <c r="D5" s="252"/>
      <c r="E5" s="252"/>
      <c r="F5" s="22" t="s">
        <v>13</v>
      </c>
      <c r="G5" s="254">
        <f>CARÁTULA!$C$19</f>
        <v>0</v>
      </c>
      <c r="H5" s="252"/>
      <c r="I5" s="252"/>
      <c r="J5" s="19"/>
      <c r="K5" s="19"/>
      <c r="L5" s="19"/>
      <c r="M5" s="19"/>
      <c r="N5" s="19"/>
      <c r="O5" s="19"/>
      <c r="P5" s="19"/>
      <c r="Q5" s="19"/>
      <c r="R5" s="19"/>
      <c r="S5" s="19"/>
      <c r="T5" s="19"/>
      <c r="U5" s="19"/>
      <c r="V5" s="19"/>
      <c r="W5" s="19"/>
      <c r="X5" s="19"/>
      <c r="Y5" s="19"/>
      <c r="Z5" s="19"/>
    </row>
    <row r="6" spans="1:26" ht="12" customHeight="1" x14ac:dyDescent="0.35">
      <c r="A6" s="20"/>
      <c r="B6" s="21" t="s">
        <v>22</v>
      </c>
      <c r="C6" s="254" t="str">
        <f>CARÁTULA!$C$23</f>
        <v>2do de Secundaria</v>
      </c>
      <c r="D6" s="252"/>
      <c r="E6" s="252"/>
      <c r="F6" s="22" t="s">
        <v>23</v>
      </c>
      <c r="G6" s="255">
        <f ca="1">TODAY()</f>
        <v>44497</v>
      </c>
      <c r="H6" s="252"/>
      <c r="I6" s="252"/>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44497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44497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44497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44497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44497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44497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44497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44497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44497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44497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44497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44497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44497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44497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44497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44497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36"/>
      <c r="C24" s="35"/>
      <c r="D24" s="30">
        <f t="shared" ca="1" si="0"/>
        <v>44497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36"/>
      <c r="C25" s="35"/>
      <c r="D25" s="30">
        <f t="shared" ca="1" si="0"/>
        <v>44497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44497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44497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44497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44497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44497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44497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44497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44497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44497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44497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44497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44497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44497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44497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44497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44497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44497</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44497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56" t="s">
        <v>48</v>
      </c>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2"/>
      <c r="AJ2" s="252"/>
      <c r="AK2" s="252"/>
      <c r="AL2" s="252"/>
      <c r="AM2" s="252"/>
      <c r="AN2" s="252"/>
      <c r="AO2" s="252"/>
      <c r="AP2" s="252"/>
      <c r="AQ2" s="252"/>
      <c r="AR2" s="252"/>
      <c r="AS2" s="252"/>
      <c r="AT2" s="252"/>
      <c r="AU2" s="252"/>
      <c r="AV2" s="252"/>
      <c r="AW2" s="252"/>
      <c r="AX2" s="252"/>
      <c r="AY2" s="252"/>
      <c r="AZ2" s="252"/>
      <c r="BA2" s="252"/>
      <c r="BB2" s="252"/>
      <c r="BC2" s="252"/>
      <c r="BD2" s="252"/>
      <c r="BE2" s="252"/>
      <c r="BF2" s="252"/>
      <c r="BG2" s="252"/>
      <c r="BH2" s="252"/>
      <c r="BI2" s="252"/>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57">
        <f>CARÁTULA!$H$14</f>
        <v>44228</v>
      </c>
      <c r="AU3" s="252"/>
      <c r="AV3" s="252"/>
      <c r="AW3" s="252"/>
      <c r="AX3" s="252"/>
      <c r="AY3" s="252"/>
      <c r="AZ3" s="252"/>
      <c r="BA3" s="258" t="s">
        <v>50</v>
      </c>
      <c r="BB3" s="259"/>
      <c r="BC3" s="259"/>
      <c r="BD3" s="259"/>
      <c r="BE3" s="260"/>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57">
        <f>CARÁTULA!$J$14</f>
        <v>44323</v>
      </c>
      <c r="AU4" s="252"/>
      <c r="AV4" s="252"/>
      <c r="AW4" s="252"/>
      <c r="AX4" s="252"/>
      <c r="AY4" s="252"/>
      <c r="AZ4" s="252"/>
      <c r="BA4" s="261">
        <f ca="1">AT4-AT5</f>
        <v>-174</v>
      </c>
      <c r="BB4" s="262"/>
      <c r="BC4" s="262"/>
      <c r="BD4" s="262"/>
      <c r="BE4" s="263"/>
    </row>
    <row r="5" spans="1:61" ht="12.75" customHeight="1" x14ac:dyDescent="0.3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67">
        <f ca="1">TODAY()</f>
        <v>44497</v>
      </c>
      <c r="Y5" s="252"/>
      <c r="Z5" s="252"/>
      <c r="AA5" s="252"/>
      <c r="AB5" s="252"/>
      <c r="AC5" s="252"/>
      <c r="AD5" s="40"/>
      <c r="AE5" s="40"/>
      <c r="AF5" s="40"/>
      <c r="AG5" s="40"/>
      <c r="AH5" s="40"/>
      <c r="AI5" s="40"/>
      <c r="AJ5" s="40"/>
      <c r="AK5" s="45" t="s">
        <v>53</v>
      </c>
      <c r="AL5" s="46"/>
      <c r="AM5" s="46"/>
      <c r="AN5" s="46"/>
      <c r="AO5" s="46"/>
      <c r="AP5" s="46"/>
      <c r="AQ5" s="46"/>
      <c r="AR5" s="40"/>
      <c r="AS5" s="40"/>
      <c r="AT5" s="268">
        <f ca="1">TODAY()</f>
        <v>44497</v>
      </c>
      <c r="AU5" s="252"/>
      <c r="AV5" s="252"/>
      <c r="AW5" s="252"/>
      <c r="AX5" s="252"/>
      <c r="AY5" s="252"/>
      <c r="AZ5" s="252"/>
      <c r="BA5" s="264"/>
      <c r="BB5" s="265"/>
      <c r="BC5" s="265"/>
      <c r="BD5" s="265"/>
      <c r="BE5" s="266"/>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5">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5">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5">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5">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5">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5">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5">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5">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5">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5">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5">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5">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5">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5">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5">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5">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workbookViewId="0">
      <selection activeCell="H9" sqref="H9"/>
    </sheetView>
  </sheetViews>
  <sheetFormatPr baseColWidth="10" defaultColWidth="9.265625" defaultRowHeight="15" customHeight="1" x14ac:dyDescent="0.35"/>
  <cols>
    <col min="1" max="1" width="2.9296875" customWidth="1"/>
    <col min="2" max="2" width="20.6640625" customWidth="1"/>
    <col min="3" max="57" width="1.59765625" customWidth="1"/>
    <col min="58" max="61" width="1.6640625" customWidth="1"/>
  </cols>
  <sheetData>
    <row r="1" spans="1:62" ht="4.5" customHeight="1" x14ac:dyDescent="0.35"/>
    <row r="2" spans="1:62" ht="12.75" customHeight="1" x14ac:dyDescent="0.35">
      <c r="B2" s="256" t="s">
        <v>64</v>
      </c>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2"/>
      <c r="AJ2" s="252"/>
      <c r="AK2" s="252"/>
      <c r="AL2" s="252"/>
      <c r="AM2" s="252"/>
      <c r="AN2" s="252"/>
      <c r="AO2" s="252"/>
      <c r="AP2" s="252"/>
      <c r="AQ2" s="252"/>
      <c r="AR2" s="252"/>
      <c r="AS2" s="252"/>
      <c r="AT2" s="252"/>
      <c r="AU2" s="252"/>
      <c r="AV2" s="252"/>
      <c r="AW2" s="252"/>
      <c r="AX2" s="252"/>
      <c r="AY2" s="252"/>
      <c r="AZ2" s="252"/>
      <c r="BA2" s="252"/>
      <c r="BB2" s="252"/>
      <c r="BC2" s="252"/>
      <c r="BD2" s="252"/>
      <c r="BE2" s="252"/>
      <c r="BF2" s="252"/>
      <c r="BG2" s="252"/>
      <c r="BH2" s="252"/>
      <c r="BI2" s="252"/>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57">
        <f>CARÁTULA!$H$19</f>
        <v>44326</v>
      </c>
      <c r="AU3" s="252"/>
      <c r="AV3" s="252"/>
      <c r="AW3" s="252"/>
      <c r="AX3" s="252"/>
      <c r="AY3" s="252"/>
      <c r="AZ3" s="252"/>
      <c r="BA3" s="258" t="s">
        <v>50</v>
      </c>
      <c r="BB3" s="259"/>
      <c r="BC3" s="259"/>
      <c r="BD3" s="259"/>
      <c r="BE3" s="260"/>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57">
        <f>CARÁTULA!$J$19</f>
        <v>44439</v>
      </c>
      <c r="AU4" s="252"/>
      <c r="AV4" s="252"/>
      <c r="AW4" s="252"/>
      <c r="AX4" s="252"/>
      <c r="AY4" s="252"/>
      <c r="AZ4" s="252"/>
      <c r="BA4" s="269">
        <f ca="1">AT4-AT5</f>
        <v>-58</v>
      </c>
      <c r="BB4" s="262"/>
      <c r="BC4" s="262"/>
      <c r="BD4" s="262"/>
      <c r="BE4" s="263"/>
    </row>
    <row r="5" spans="1:62" ht="12.75" customHeight="1" x14ac:dyDescent="0.3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70">
        <f ca="1">TODAY()</f>
        <v>44497</v>
      </c>
      <c r="Y5" s="252"/>
      <c r="Z5" s="252"/>
      <c r="AA5" s="252"/>
      <c r="AB5" s="252"/>
      <c r="AC5" s="252"/>
      <c r="AD5" s="40"/>
      <c r="AE5" s="40"/>
      <c r="AF5" s="40"/>
      <c r="AG5" s="40"/>
      <c r="AH5" s="40"/>
      <c r="AI5" s="40"/>
      <c r="AJ5" s="40"/>
      <c r="AK5" s="45" t="s">
        <v>53</v>
      </c>
      <c r="AL5" s="46"/>
      <c r="AM5" s="46"/>
      <c r="AN5" s="46"/>
      <c r="AO5" s="46"/>
      <c r="AP5" s="46"/>
      <c r="AQ5" s="46"/>
      <c r="AR5" s="40"/>
      <c r="AS5" s="40"/>
      <c r="AT5" s="268">
        <f ca="1">TODAY()</f>
        <v>44497</v>
      </c>
      <c r="AU5" s="252"/>
      <c r="AV5" s="252"/>
      <c r="AW5" s="252"/>
      <c r="AX5" s="252"/>
      <c r="AY5" s="252"/>
      <c r="AZ5" s="252"/>
      <c r="BA5" s="264"/>
      <c r="BB5" s="265"/>
      <c r="BC5" s="265"/>
      <c r="BD5" s="265"/>
      <c r="BE5" s="266"/>
    </row>
    <row r="6" spans="1:62" ht="3" customHeight="1" thickBo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2" ht="67.5" customHeight="1" x14ac:dyDescent="0.35">
      <c r="A7" s="168" t="s">
        <v>54</v>
      </c>
      <c r="B7" s="171" t="s">
        <v>55</v>
      </c>
      <c r="C7" s="172" t="s">
        <v>179</v>
      </c>
      <c r="D7" s="173" t="s">
        <v>180</v>
      </c>
      <c r="E7" s="172" t="s">
        <v>181</v>
      </c>
      <c r="F7" s="172" t="s">
        <v>182</v>
      </c>
      <c r="G7" s="174" t="s">
        <v>183</v>
      </c>
      <c r="H7" s="174" t="s">
        <v>191</v>
      </c>
      <c r="I7" s="174" t="s">
        <v>184</v>
      </c>
      <c r="J7" s="174" t="s">
        <v>185</v>
      </c>
      <c r="K7" s="174" t="s">
        <v>186</v>
      </c>
      <c r="L7" s="174" t="s">
        <v>240</v>
      </c>
      <c r="M7" s="197" t="s">
        <v>242</v>
      </c>
      <c r="N7" s="198" t="s">
        <v>243</v>
      </c>
      <c r="O7" s="174" t="s">
        <v>244</v>
      </c>
      <c r="P7" s="174" t="s">
        <v>245</v>
      </c>
      <c r="Q7" s="175" t="s">
        <v>192</v>
      </c>
      <c r="R7" s="175" t="s">
        <v>193</v>
      </c>
      <c r="S7" s="175" t="s">
        <v>194</v>
      </c>
      <c r="T7" s="175" t="s">
        <v>195</v>
      </c>
      <c r="U7" s="175" t="s">
        <v>196</v>
      </c>
      <c r="V7" s="175" t="s">
        <v>197</v>
      </c>
      <c r="W7" s="175" t="s">
        <v>198</v>
      </c>
      <c r="X7" s="175" t="s">
        <v>199</v>
      </c>
      <c r="Y7" s="175" t="s">
        <v>200</v>
      </c>
      <c r="Z7" s="175" t="s">
        <v>201</v>
      </c>
      <c r="AA7" s="175" t="s">
        <v>202</v>
      </c>
      <c r="AB7" s="175" t="s">
        <v>203</v>
      </c>
      <c r="AC7" s="175" t="s">
        <v>204</v>
      </c>
      <c r="AD7" s="175" t="s">
        <v>205</v>
      </c>
      <c r="AE7" s="175" t="s">
        <v>206</v>
      </c>
      <c r="AF7" s="175" t="s">
        <v>207</v>
      </c>
      <c r="AG7" s="175" t="s">
        <v>208</v>
      </c>
      <c r="AH7" s="175" t="s">
        <v>209</v>
      </c>
      <c r="AI7" s="175" t="s">
        <v>210</v>
      </c>
      <c r="AJ7" s="175" t="s">
        <v>211</v>
      </c>
      <c r="AK7" s="175" t="s">
        <v>212</v>
      </c>
      <c r="AL7" s="175" t="s">
        <v>213</v>
      </c>
      <c r="AM7" s="175" t="s">
        <v>214</v>
      </c>
      <c r="AN7" s="175" t="s">
        <v>215</v>
      </c>
      <c r="AO7" s="175" t="s">
        <v>216</v>
      </c>
      <c r="AP7" s="175" t="s">
        <v>217</v>
      </c>
      <c r="AQ7" s="175" t="s">
        <v>218</v>
      </c>
      <c r="AR7" s="175" t="s">
        <v>219</v>
      </c>
      <c r="AS7" s="175" t="s">
        <v>220</v>
      </c>
      <c r="AT7" s="175" t="s">
        <v>221</v>
      </c>
      <c r="AU7" s="175" t="s">
        <v>222</v>
      </c>
      <c r="AV7" s="175" t="s">
        <v>223</v>
      </c>
      <c r="AW7" s="175" t="s">
        <v>224</v>
      </c>
      <c r="AX7" s="175" t="s">
        <v>225</v>
      </c>
      <c r="AY7" s="175" t="s">
        <v>226</v>
      </c>
      <c r="AZ7" s="176" t="s">
        <v>227</v>
      </c>
      <c r="BA7" s="177" t="s">
        <v>187</v>
      </c>
      <c r="BB7" s="178" t="s">
        <v>188</v>
      </c>
      <c r="BC7" s="178" t="s">
        <v>189</v>
      </c>
      <c r="BD7" s="178" t="s">
        <v>190</v>
      </c>
      <c r="BE7" s="179" t="s">
        <v>60</v>
      </c>
    </row>
    <row r="8" spans="1:62" ht="12" customHeight="1" x14ac:dyDescent="0.35">
      <c r="A8" s="170">
        <v>1</v>
      </c>
      <c r="B8" s="155" t="str">
        <f>'C. FILIACION'!B8</f>
        <v>ALARCON CHURA PRISCILA</v>
      </c>
      <c r="C8" s="185" t="s">
        <v>63</v>
      </c>
      <c r="D8" s="194" t="s">
        <v>63</v>
      </c>
      <c r="E8" s="186"/>
      <c r="F8" s="187" t="s">
        <v>62</v>
      </c>
      <c r="G8" s="188" t="s">
        <v>63</v>
      </c>
      <c r="H8" s="188" t="s">
        <v>62</v>
      </c>
      <c r="I8" s="188" t="s">
        <v>63</v>
      </c>
      <c r="J8" s="188" t="s">
        <v>62</v>
      </c>
      <c r="K8" s="188" t="s">
        <v>62</v>
      </c>
      <c r="L8" s="213" t="s">
        <v>62</v>
      </c>
      <c r="M8" s="215" t="s">
        <v>63</v>
      </c>
      <c r="N8" s="215" t="s">
        <v>63</v>
      </c>
      <c r="O8" s="216" t="s">
        <v>62</v>
      </c>
      <c r="P8" s="217" t="s">
        <v>63</v>
      </c>
      <c r="Q8" s="48"/>
      <c r="R8" s="182"/>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6</v>
      </c>
      <c r="BB8" s="48">
        <f>IF(COUNTIF(C8:AZ8,"F")=0,"0",COUNTIF(C8:AZ8,"F"))</f>
        <v>7</v>
      </c>
      <c r="BC8" s="48" t="str">
        <f>IF(COUNTIF(C8:AZ8,"R")=0,"0",COUNTIF(C8:AZ8,"R"))</f>
        <v>0</v>
      </c>
      <c r="BD8" s="48" t="str">
        <f>IF(COUNTIF(C8:AZ8,"L")=0,"0",COUNTIF(C8:AZ8,"L"))</f>
        <v>0</v>
      </c>
      <c r="BE8" s="158">
        <f>BA8+BB8+BC8+BD8</f>
        <v>13</v>
      </c>
      <c r="BJ8" s="228">
        <f>(Tabla1[[#This Row],[Asist. (A)]]+Tabla1[[#This Row],[Retrasos (R)]]+Tabla1[[#This Row],[Licencias (L)]])*10/Tabla1[[#This Row],[DÍAS TRABAJADOS]]</f>
        <v>4.615384615384615</v>
      </c>
    </row>
    <row r="9" spans="1:62" ht="12" customHeight="1" x14ac:dyDescent="0.35">
      <c r="A9" s="170">
        <v>2</v>
      </c>
      <c r="B9" s="155" t="str">
        <f>'C. FILIACION'!B9</f>
        <v>ARCE CHOQUE LUCERO CORAL</v>
      </c>
      <c r="C9" s="213" t="s">
        <v>63</v>
      </c>
      <c r="D9" s="194" t="s">
        <v>63</v>
      </c>
      <c r="E9" s="214"/>
      <c r="F9" s="188" t="s">
        <v>62</v>
      </c>
      <c r="G9" s="188" t="s">
        <v>62</v>
      </c>
      <c r="H9" s="188" t="s">
        <v>63</v>
      </c>
      <c r="I9" s="188" t="s">
        <v>63</v>
      </c>
      <c r="J9" s="187" t="s">
        <v>63</v>
      </c>
      <c r="K9" s="188" t="s">
        <v>62</v>
      </c>
      <c r="L9" s="213" t="s">
        <v>63</v>
      </c>
      <c r="M9" s="215" t="s">
        <v>62</v>
      </c>
      <c r="N9" s="215" t="s">
        <v>62</v>
      </c>
      <c r="O9" s="216" t="s">
        <v>62</v>
      </c>
      <c r="P9" s="217" t="s">
        <v>62</v>
      </c>
      <c r="Q9" s="48"/>
      <c r="R9" s="182"/>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7</v>
      </c>
      <c r="BB9" s="48">
        <f t="shared" ref="BB9:BB23" si="1">IF(COUNTIF(C9:AZ9,"F")=0,"0",COUNTIF(C9:AZ9,"F"))</f>
        <v>6</v>
      </c>
      <c r="BC9" s="48" t="str">
        <f t="shared" ref="BC9:BC23" si="2">IF(COUNTIF(C9:AZ9,"R")=0,"0",COUNTIF(C9:AZ9,"R"))</f>
        <v>0</v>
      </c>
      <c r="BD9" s="48" t="str">
        <f t="shared" ref="BD9:BD23" si="3">IF(COUNTIF(C9:AZ9,"L")=0,"0",COUNTIF(C9:AZ9,"L"))</f>
        <v>0</v>
      </c>
      <c r="BE9" s="158">
        <f t="shared" ref="BE9:BE23" si="4">BA9+BB9+BC9+BD9</f>
        <v>13</v>
      </c>
      <c r="BJ9" s="228">
        <f>(Tabla1[[#This Row],[Asist. (A)]]+Tabla1[[#This Row],[Retrasos (R)]]+Tabla1[[#This Row],[Licencias (L)]])*10/Tabla1[[#This Row],[DÍAS TRABAJADOS]]</f>
        <v>5.384615384615385</v>
      </c>
    </row>
    <row r="10" spans="1:62" ht="12" customHeight="1" x14ac:dyDescent="0.35">
      <c r="A10" s="170">
        <v>3</v>
      </c>
      <c r="B10" s="59" t="str">
        <f>'C. FILIACION'!B10</f>
        <v>AREQUIPA CALCINA FABIAN JHON</v>
      </c>
      <c r="C10" s="190" t="s">
        <v>62</v>
      </c>
      <c r="D10" s="195" t="s">
        <v>62</v>
      </c>
      <c r="E10" s="193"/>
      <c r="F10" s="192" t="s">
        <v>63</v>
      </c>
      <c r="G10" s="192" t="s">
        <v>160</v>
      </c>
      <c r="H10" s="192" t="s">
        <v>63</v>
      </c>
      <c r="I10" s="192" t="s">
        <v>62</v>
      </c>
      <c r="J10" s="192" t="s">
        <v>62</v>
      </c>
      <c r="K10" s="192" t="s">
        <v>160</v>
      </c>
      <c r="L10" s="196" t="s">
        <v>62</v>
      </c>
      <c r="M10" s="199" t="s">
        <v>62</v>
      </c>
      <c r="N10" s="199" t="s">
        <v>62</v>
      </c>
      <c r="O10" s="184" t="s">
        <v>62</v>
      </c>
      <c r="P10" s="192" t="s">
        <v>62</v>
      </c>
      <c r="Q10" s="68"/>
      <c r="R10" s="182"/>
      <c r="S10" s="6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9</v>
      </c>
      <c r="BB10" s="48">
        <f t="shared" si="1"/>
        <v>2</v>
      </c>
      <c r="BC10" s="48">
        <f t="shared" si="2"/>
        <v>2</v>
      </c>
      <c r="BD10" s="48" t="str">
        <f t="shared" si="3"/>
        <v>0</v>
      </c>
      <c r="BE10" s="158">
        <f t="shared" si="4"/>
        <v>13</v>
      </c>
      <c r="BJ10" s="228">
        <f>(Tabla1[[#This Row],[Asist. (A)]]+Tabla1[[#This Row],[Retrasos (R)]]+Tabla1[[#This Row],[Licencias (L)]])*10/Tabla1[[#This Row],[DÍAS TRABAJADOS]]</f>
        <v>8.4615384615384617</v>
      </c>
    </row>
    <row r="11" spans="1:62" ht="12" customHeight="1" x14ac:dyDescent="0.35">
      <c r="A11" s="170">
        <v>4</v>
      </c>
      <c r="B11" s="155" t="str">
        <f>'C. FILIACION'!B11</f>
        <v>CLAURE PARAVICINI RASHEL ROSALY</v>
      </c>
      <c r="C11" s="213" t="s">
        <v>62</v>
      </c>
      <c r="D11" s="194" t="s">
        <v>62</v>
      </c>
      <c r="E11" s="214"/>
      <c r="F11" s="188" t="s">
        <v>63</v>
      </c>
      <c r="G11" s="188" t="s">
        <v>62</v>
      </c>
      <c r="H11" s="188" t="s">
        <v>63</v>
      </c>
      <c r="I11" s="188" t="s">
        <v>63</v>
      </c>
      <c r="J11" s="188" t="s">
        <v>63</v>
      </c>
      <c r="K11" s="188" t="s">
        <v>62</v>
      </c>
      <c r="L11" s="213" t="s">
        <v>62</v>
      </c>
      <c r="M11" s="215" t="s">
        <v>63</v>
      </c>
      <c r="N11" s="215" t="s">
        <v>63</v>
      </c>
      <c r="O11" s="216" t="s">
        <v>62</v>
      </c>
      <c r="P11" s="217" t="s">
        <v>63</v>
      </c>
      <c r="Q11" s="48"/>
      <c r="R11" s="182"/>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7</v>
      </c>
      <c r="BC11" s="48" t="str">
        <f t="shared" si="2"/>
        <v>0</v>
      </c>
      <c r="BD11" s="48" t="str">
        <f t="shared" si="3"/>
        <v>0</v>
      </c>
      <c r="BE11" s="158">
        <f t="shared" si="4"/>
        <v>13</v>
      </c>
      <c r="BJ11" s="228">
        <f>(Tabla1[[#This Row],[Asist. (A)]]+Tabla1[[#This Row],[Retrasos (R)]]+Tabla1[[#This Row],[Licencias (L)]])*10/Tabla1[[#This Row],[DÍAS TRABAJADOS]]</f>
        <v>4.615384615384615</v>
      </c>
    </row>
    <row r="12" spans="1:62" ht="12" customHeight="1" x14ac:dyDescent="0.35">
      <c r="A12" s="170">
        <v>5</v>
      </c>
      <c r="B12" s="59" t="str">
        <f>'C. FILIACION'!B12</f>
        <v>CONDORI FLORES ALEJANDRO BRYAN</v>
      </c>
      <c r="C12" s="190" t="s">
        <v>62</v>
      </c>
      <c r="D12" s="195" t="s">
        <v>62</v>
      </c>
      <c r="E12" s="191"/>
      <c r="F12" s="189" t="s">
        <v>62</v>
      </c>
      <c r="G12" s="189" t="s">
        <v>62</v>
      </c>
      <c r="H12" s="189" t="s">
        <v>62</v>
      </c>
      <c r="I12" s="189" t="s">
        <v>62</v>
      </c>
      <c r="J12" s="189" t="s">
        <v>62</v>
      </c>
      <c r="K12" s="189" t="s">
        <v>62</v>
      </c>
      <c r="L12" s="190" t="s">
        <v>62</v>
      </c>
      <c r="M12" s="199" t="s">
        <v>62</v>
      </c>
      <c r="N12" s="199" t="s">
        <v>63</v>
      </c>
      <c r="O12" s="183" t="s">
        <v>62</v>
      </c>
      <c r="P12" s="48" t="s">
        <v>62</v>
      </c>
      <c r="Q12" s="48"/>
      <c r="R12" s="182"/>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12</v>
      </c>
      <c r="BB12" s="48">
        <f t="shared" si="1"/>
        <v>1</v>
      </c>
      <c r="BC12" s="48" t="str">
        <f t="shared" si="2"/>
        <v>0</v>
      </c>
      <c r="BD12" s="48" t="str">
        <f t="shared" si="3"/>
        <v>0</v>
      </c>
      <c r="BE12" s="158">
        <f t="shared" si="4"/>
        <v>13</v>
      </c>
      <c r="BJ12" s="228">
        <f>(Tabla1[[#This Row],[Asist. (A)]]+Tabla1[[#This Row],[Retrasos (R)]]+Tabla1[[#This Row],[Licencias (L)]])*10/Tabla1[[#This Row],[DÍAS TRABAJADOS]]</f>
        <v>9.2307692307692299</v>
      </c>
    </row>
    <row r="13" spans="1:62" ht="12" customHeight="1" x14ac:dyDescent="0.35">
      <c r="A13" s="170">
        <v>6</v>
      </c>
      <c r="B13" s="59" t="str">
        <f>'C. FILIACION'!B13</f>
        <v>DE LA CRUZ SANDOVAL JHON MARCO</v>
      </c>
      <c r="C13" s="190" t="s">
        <v>62</v>
      </c>
      <c r="D13" s="195" t="s">
        <v>62</v>
      </c>
      <c r="E13" s="191"/>
      <c r="F13" s="189" t="s">
        <v>62</v>
      </c>
      <c r="G13" s="189" t="s">
        <v>62</v>
      </c>
      <c r="H13" s="189" t="s">
        <v>62</v>
      </c>
      <c r="I13" s="189" t="s">
        <v>62</v>
      </c>
      <c r="J13" s="189" t="s">
        <v>62</v>
      </c>
      <c r="K13" s="189" t="s">
        <v>62</v>
      </c>
      <c r="L13" s="190" t="s">
        <v>62</v>
      </c>
      <c r="M13" s="199" t="s">
        <v>62</v>
      </c>
      <c r="N13" s="199" t="s">
        <v>62</v>
      </c>
      <c r="O13" s="183" t="s">
        <v>62</v>
      </c>
      <c r="P13" s="48" t="s">
        <v>62</v>
      </c>
      <c r="Q13" s="48"/>
      <c r="R13" s="182"/>
      <c r="S13" s="48">
        <v>35</v>
      </c>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13</v>
      </c>
      <c r="BB13" s="48" t="str">
        <f t="shared" si="1"/>
        <v>0</v>
      </c>
      <c r="BC13" s="48" t="str">
        <f t="shared" si="2"/>
        <v>0</v>
      </c>
      <c r="BD13" s="48" t="str">
        <f t="shared" si="3"/>
        <v>0</v>
      </c>
      <c r="BE13" s="158">
        <f t="shared" si="4"/>
        <v>13</v>
      </c>
      <c r="BJ13" s="228">
        <f>(Tabla1[[#This Row],[Asist. (A)]]+Tabla1[[#This Row],[Retrasos (R)]]+Tabla1[[#This Row],[Licencias (L)]])*10/Tabla1[[#This Row],[DÍAS TRABAJADOS]]</f>
        <v>10</v>
      </c>
    </row>
    <row r="14" spans="1:62" ht="12" customHeight="1" x14ac:dyDescent="0.35">
      <c r="A14" s="170">
        <v>7</v>
      </c>
      <c r="B14" s="59" t="str">
        <f>'C. FILIACION'!B14</f>
        <v>GARCÍA IGNACIO MISHEL MAYA</v>
      </c>
      <c r="C14" s="190" t="s">
        <v>62</v>
      </c>
      <c r="D14" s="195" t="s">
        <v>62</v>
      </c>
      <c r="E14" s="191"/>
      <c r="F14" s="189" t="s">
        <v>62</v>
      </c>
      <c r="G14" s="189" t="s">
        <v>62</v>
      </c>
      <c r="H14" s="189" t="s">
        <v>62</v>
      </c>
      <c r="I14" s="189" t="s">
        <v>62</v>
      </c>
      <c r="J14" s="189" t="s">
        <v>62</v>
      </c>
      <c r="K14" s="189" t="s">
        <v>62</v>
      </c>
      <c r="L14" s="190" t="s">
        <v>62</v>
      </c>
      <c r="M14" s="199" t="s">
        <v>62</v>
      </c>
      <c r="N14" s="199" t="s">
        <v>62</v>
      </c>
      <c r="O14" s="183" t="s">
        <v>62</v>
      </c>
      <c r="P14" s="48" t="s">
        <v>62</v>
      </c>
      <c r="Q14" s="48"/>
      <c r="R14" s="182"/>
      <c r="S14" s="48">
        <v>35</v>
      </c>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13</v>
      </c>
      <c r="BB14" s="48" t="str">
        <f t="shared" si="1"/>
        <v>0</v>
      </c>
      <c r="BC14" s="48" t="str">
        <f t="shared" si="2"/>
        <v>0</v>
      </c>
      <c r="BD14" s="48" t="str">
        <f t="shared" si="3"/>
        <v>0</v>
      </c>
      <c r="BE14" s="158">
        <f t="shared" si="4"/>
        <v>13</v>
      </c>
      <c r="BJ14" s="228">
        <f>(Tabla1[[#This Row],[Asist. (A)]]+Tabla1[[#This Row],[Retrasos (R)]]+Tabla1[[#This Row],[Licencias (L)]])*10/Tabla1[[#This Row],[DÍAS TRABAJADOS]]</f>
        <v>10</v>
      </c>
    </row>
    <row r="15" spans="1:62" ht="12" customHeight="1" x14ac:dyDescent="0.35">
      <c r="A15" s="170">
        <v>8</v>
      </c>
      <c r="B15" s="59" t="str">
        <f>'C. FILIACION'!B15</f>
        <v>HELGUERO SANCHEZ JHOYSI CAMIL</v>
      </c>
      <c r="C15" s="190" t="s">
        <v>62</v>
      </c>
      <c r="D15" s="195" t="s">
        <v>62</v>
      </c>
      <c r="E15" s="191"/>
      <c r="F15" s="189" t="s">
        <v>62</v>
      </c>
      <c r="G15" s="189" t="s">
        <v>62</v>
      </c>
      <c r="H15" s="189" t="s">
        <v>62</v>
      </c>
      <c r="I15" s="189" t="s">
        <v>62</v>
      </c>
      <c r="J15" s="189" t="s">
        <v>62</v>
      </c>
      <c r="K15" s="189" t="s">
        <v>62</v>
      </c>
      <c r="L15" s="190" t="s">
        <v>62</v>
      </c>
      <c r="M15" s="199" t="s">
        <v>62</v>
      </c>
      <c r="N15" s="199" t="s">
        <v>63</v>
      </c>
      <c r="O15" s="183" t="s">
        <v>62</v>
      </c>
      <c r="P15" s="48" t="s">
        <v>62</v>
      </c>
      <c r="Q15" s="48">
        <v>35</v>
      </c>
      <c r="R15" s="182"/>
      <c r="S15" s="48">
        <v>30</v>
      </c>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8">
        <f t="shared" si="4"/>
        <v>13</v>
      </c>
      <c r="BJ15" s="228">
        <f>(Tabla1[[#This Row],[Asist. (A)]]+Tabla1[[#This Row],[Retrasos (R)]]+Tabla1[[#This Row],[Licencias (L)]])*10/Tabla1[[#This Row],[DÍAS TRABAJADOS]]</f>
        <v>9.2307692307692299</v>
      </c>
    </row>
    <row r="16" spans="1:62" ht="12" customHeight="1" x14ac:dyDescent="0.35">
      <c r="A16" s="170">
        <v>9</v>
      </c>
      <c r="B16" s="59" t="str">
        <f>'C. FILIACION'!B16</f>
        <v>LEDEZMA ORELLANA RICARDO ERIK</v>
      </c>
      <c r="C16" s="190" t="s">
        <v>62</v>
      </c>
      <c r="D16" s="195" t="s">
        <v>62</v>
      </c>
      <c r="E16" s="191"/>
      <c r="F16" s="189" t="s">
        <v>62</v>
      </c>
      <c r="G16" s="189" t="s">
        <v>62</v>
      </c>
      <c r="H16" s="189" t="s">
        <v>62</v>
      </c>
      <c r="I16" s="189" t="s">
        <v>62</v>
      </c>
      <c r="J16" s="189" t="s">
        <v>62</v>
      </c>
      <c r="K16" s="189" t="s">
        <v>62</v>
      </c>
      <c r="L16" s="190" t="s">
        <v>62</v>
      </c>
      <c r="M16" s="199" t="s">
        <v>62</v>
      </c>
      <c r="N16" s="199" t="s">
        <v>62</v>
      </c>
      <c r="O16" s="183" t="s">
        <v>62</v>
      </c>
      <c r="P16" s="48" t="s">
        <v>62</v>
      </c>
      <c r="Q16" s="48"/>
      <c r="R16" s="182"/>
      <c r="S16" s="48">
        <v>35</v>
      </c>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13</v>
      </c>
      <c r="BB16" s="48" t="str">
        <f t="shared" si="1"/>
        <v>0</v>
      </c>
      <c r="BC16" s="48" t="str">
        <f t="shared" si="2"/>
        <v>0</v>
      </c>
      <c r="BD16" s="48" t="str">
        <f t="shared" si="3"/>
        <v>0</v>
      </c>
      <c r="BE16" s="158">
        <f t="shared" si="4"/>
        <v>13</v>
      </c>
      <c r="BJ16" s="228">
        <f>(Tabla1[[#This Row],[Asist. (A)]]+Tabla1[[#This Row],[Retrasos (R)]]+Tabla1[[#This Row],[Licencias (L)]])*10/Tabla1[[#This Row],[DÍAS TRABAJADOS]]</f>
        <v>10</v>
      </c>
    </row>
    <row r="17" spans="1:62" ht="12" customHeight="1" x14ac:dyDescent="0.35">
      <c r="A17" s="170">
        <v>10</v>
      </c>
      <c r="B17" s="155" t="str">
        <f>'C. FILIACION'!B17</f>
        <v>MAMANI LOPEZ ELIZABETH MILDRED</v>
      </c>
      <c r="C17" s="213" t="s">
        <v>62</v>
      </c>
      <c r="D17" s="194" t="s">
        <v>63</v>
      </c>
      <c r="E17" s="214"/>
      <c r="F17" s="188" t="s">
        <v>62</v>
      </c>
      <c r="G17" s="188" t="s">
        <v>63</v>
      </c>
      <c r="H17" s="188" t="s">
        <v>63</v>
      </c>
      <c r="I17" s="188" t="s">
        <v>63</v>
      </c>
      <c r="J17" s="188" t="s">
        <v>63</v>
      </c>
      <c r="K17" s="188" t="s">
        <v>62</v>
      </c>
      <c r="L17" s="213" t="s">
        <v>62</v>
      </c>
      <c r="M17" s="215" t="s">
        <v>63</v>
      </c>
      <c r="N17" s="215" t="s">
        <v>63</v>
      </c>
      <c r="O17" s="216" t="s">
        <v>63</v>
      </c>
      <c r="P17" s="217" t="s">
        <v>63</v>
      </c>
      <c r="Q17" s="48"/>
      <c r="R17" s="182"/>
      <c r="S17" s="48">
        <v>30</v>
      </c>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4</v>
      </c>
      <c r="BB17" s="48">
        <f t="shared" si="1"/>
        <v>9</v>
      </c>
      <c r="BC17" s="48" t="str">
        <f t="shared" si="2"/>
        <v>0</v>
      </c>
      <c r="BD17" s="48" t="str">
        <f t="shared" si="3"/>
        <v>0</v>
      </c>
      <c r="BE17" s="158">
        <f t="shared" si="4"/>
        <v>13</v>
      </c>
      <c r="BJ17" s="228">
        <f>(Tabla1[[#This Row],[Asist. (A)]]+Tabla1[[#This Row],[Retrasos (R)]]+Tabla1[[#This Row],[Licencias (L)]])*10/Tabla1[[#This Row],[DÍAS TRABAJADOS]]</f>
        <v>3.0769230769230771</v>
      </c>
    </row>
    <row r="18" spans="1:62" ht="12" customHeight="1" x14ac:dyDescent="0.35">
      <c r="A18" s="170">
        <v>11</v>
      </c>
      <c r="B18" s="200" t="str">
        <f>'C. FILIACION'!B18</f>
        <v>MEDINA CHOQUE JUAN JOSE</v>
      </c>
      <c r="C18" s="201" t="s">
        <v>62</v>
      </c>
      <c r="D18" s="202" t="s">
        <v>62</v>
      </c>
      <c r="E18" s="203"/>
      <c r="F18" s="204" t="s">
        <v>62</v>
      </c>
      <c r="G18" s="204" t="s">
        <v>63</v>
      </c>
      <c r="H18" s="204" t="s">
        <v>63</v>
      </c>
      <c r="I18" s="204" t="s">
        <v>63</v>
      </c>
      <c r="J18" s="204" t="s">
        <v>63</v>
      </c>
      <c r="K18" s="204" t="s">
        <v>63</v>
      </c>
      <c r="L18" s="201" t="s">
        <v>63</v>
      </c>
      <c r="M18" s="205" t="s">
        <v>63</v>
      </c>
      <c r="N18" s="205" t="s">
        <v>63</v>
      </c>
      <c r="O18" s="206" t="s">
        <v>63</v>
      </c>
      <c r="P18" s="207" t="s">
        <v>63</v>
      </c>
      <c r="Q18" s="207"/>
      <c r="R18" s="208"/>
      <c r="S18" s="207"/>
      <c r="T18" s="207"/>
      <c r="U18" s="207"/>
      <c r="V18" s="207"/>
      <c r="W18" s="207"/>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10</v>
      </c>
      <c r="BC18" s="48" t="str">
        <f t="shared" si="2"/>
        <v>0</v>
      </c>
      <c r="BD18" s="48" t="str">
        <f t="shared" si="3"/>
        <v>0</v>
      </c>
      <c r="BE18" s="158">
        <f t="shared" si="4"/>
        <v>13</v>
      </c>
      <c r="BJ18" s="228">
        <f>(Tabla1[[#This Row],[Asist. (A)]]+Tabla1[[#This Row],[Retrasos (R)]]+Tabla1[[#This Row],[Licencias (L)]])*10/Tabla1[[#This Row],[DÍAS TRABAJADOS]]</f>
        <v>2.3076923076923075</v>
      </c>
    </row>
    <row r="19" spans="1:62" ht="12" customHeight="1" x14ac:dyDescent="0.35">
      <c r="A19" s="170">
        <v>12</v>
      </c>
      <c r="B19" s="59" t="str">
        <f>'C. FILIACION'!B19</f>
        <v>NINA RUEDA SEBASTIAN CARLOS</v>
      </c>
      <c r="C19" s="190" t="s">
        <v>62</v>
      </c>
      <c r="D19" s="195" t="s">
        <v>62</v>
      </c>
      <c r="E19" s="191"/>
      <c r="F19" s="189" t="s">
        <v>62</v>
      </c>
      <c r="G19" s="189" t="s">
        <v>160</v>
      </c>
      <c r="H19" s="189" t="s">
        <v>62</v>
      </c>
      <c r="I19" s="189" t="s">
        <v>62</v>
      </c>
      <c r="J19" s="189" t="s">
        <v>62</v>
      </c>
      <c r="K19" s="189" t="s">
        <v>62</v>
      </c>
      <c r="L19" s="190" t="s">
        <v>62</v>
      </c>
      <c r="M19" s="199" t="s">
        <v>63</v>
      </c>
      <c r="N19" s="199" t="s">
        <v>62</v>
      </c>
      <c r="O19" s="183" t="s">
        <v>62</v>
      </c>
      <c r="P19" s="48" t="s">
        <v>62</v>
      </c>
      <c r="Q19" s="48"/>
      <c r="R19" s="182"/>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11</v>
      </c>
      <c r="BB19" s="48">
        <f t="shared" si="1"/>
        <v>1</v>
      </c>
      <c r="BC19" s="48">
        <f t="shared" si="2"/>
        <v>1</v>
      </c>
      <c r="BD19" s="48" t="str">
        <f t="shared" si="3"/>
        <v>0</v>
      </c>
      <c r="BE19" s="158">
        <f t="shared" si="4"/>
        <v>13</v>
      </c>
      <c r="BJ19" s="228">
        <f>(Tabla1[[#This Row],[Asist. (A)]]+Tabla1[[#This Row],[Retrasos (R)]]+Tabla1[[#This Row],[Licencias (L)]])*10/Tabla1[[#This Row],[DÍAS TRABAJADOS]]</f>
        <v>9.2307692307692299</v>
      </c>
    </row>
    <row r="20" spans="1:62" ht="12" customHeight="1" x14ac:dyDescent="0.35">
      <c r="A20" s="170">
        <v>13</v>
      </c>
      <c r="B20" s="59" t="str">
        <f>'C. FILIACION'!B20</f>
        <v>RODRIGUEZ RAMIREZ NATALY ARIANA</v>
      </c>
      <c r="C20" s="190" t="s">
        <v>62</v>
      </c>
      <c r="D20" s="195" t="s">
        <v>62</v>
      </c>
      <c r="E20" s="191"/>
      <c r="F20" s="189" t="s">
        <v>62</v>
      </c>
      <c r="G20" s="189" t="s">
        <v>62</v>
      </c>
      <c r="H20" s="189" t="s">
        <v>62</v>
      </c>
      <c r="I20" s="189" t="s">
        <v>62</v>
      </c>
      <c r="J20" s="189" t="s">
        <v>62</v>
      </c>
      <c r="K20" s="189" t="s">
        <v>160</v>
      </c>
      <c r="L20" s="190" t="s">
        <v>62</v>
      </c>
      <c r="M20" s="199" t="s">
        <v>62</v>
      </c>
      <c r="N20" s="199" t="s">
        <v>62</v>
      </c>
      <c r="O20" s="183" t="s">
        <v>62</v>
      </c>
      <c r="P20" s="48" t="s">
        <v>62</v>
      </c>
      <c r="Q20" s="48"/>
      <c r="R20" s="182"/>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t="str">
        <f t="shared" si="1"/>
        <v>0</v>
      </c>
      <c r="BC20" s="48">
        <f t="shared" si="2"/>
        <v>1</v>
      </c>
      <c r="BD20" s="48" t="str">
        <f t="shared" si="3"/>
        <v>0</v>
      </c>
      <c r="BE20" s="158">
        <f t="shared" si="4"/>
        <v>13</v>
      </c>
      <c r="BJ20" s="228">
        <f>(Tabla1[[#This Row],[Asist. (A)]]+Tabla1[[#This Row],[Retrasos (R)]]+Tabla1[[#This Row],[Licencias (L)]])*10/Tabla1[[#This Row],[DÍAS TRABAJADOS]]</f>
        <v>10</v>
      </c>
    </row>
    <row r="21" spans="1:62" ht="14.4" customHeight="1" x14ac:dyDescent="0.35">
      <c r="A21" s="170">
        <v>14</v>
      </c>
      <c r="B21" s="155" t="str">
        <f>'C. FILIACION'!B21</f>
        <v>SALAZAR CANAZA CRISTINA MAYRA</v>
      </c>
      <c r="C21" s="213" t="s">
        <v>62</v>
      </c>
      <c r="D21" s="194" t="s">
        <v>62</v>
      </c>
      <c r="E21" s="214"/>
      <c r="F21" s="188" t="s">
        <v>63</v>
      </c>
      <c r="G21" s="188" t="s">
        <v>62</v>
      </c>
      <c r="H21" s="188" t="s">
        <v>62</v>
      </c>
      <c r="I21" s="188" t="s">
        <v>63</v>
      </c>
      <c r="J21" s="188" t="s">
        <v>63</v>
      </c>
      <c r="K21" s="188" t="s">
        <v>62</v>
      </c>
      <c r="L21" s="213" t="s">
        <v>61</v>
      </c>
      <c r="M21" s="215" t="s">
        <v>61</v>
      </c>
      <c r="N21" s="215" t="s">
        <v>63</v>
      </c>
      <c r="O21" s="216" t="s">
        <v>61</v>
      </c>
      <c r="P21" s="217" t="s">
        <v>63</v>
      </c>
      <c r="Q21" s="48"/>
      <c r="R21" s="182"/>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5</v>
      </c>
      <c r="BB21" s="48">
        <f t="shared" si="1"/>
        <v>5</v>
      </c>
      <c r="BC21" s="48" t="str">
        <f t="shared" si="2"/>
        <v>0</v>
      </c>
      <c r="BD21" s="48">
        <f t="shared" si="3"/>
        <v>3</v>
      </c>
      <c r="BE21" s="158">
        <f t="shared" si="4"/>
        <v>13</v>
      </c>
      <c r="BJ21" s="228">
        <f>(Tabla1[[#This Row],[Asist. (A)]]+Tabla1[[#This Row],[Retrasos (R)]]+Tabla1[[#This Row],[Licencias (L)]])*10/Tabla1[[#This Row],[DÍAS TRABAJADOS]]</f>
        <v>6.1538461538461542</v>
      </c>
    </row>
    <row r="22" spans="1:62" ht="12" customHeight="1" x14ac:dyDescent="0.35">
      <c r="A22" s="170">
        <v>15</v>
      </c>
      <c r="B22" s="59" t="str">
        <f>'C. FILIACION'!B22</f>
        <v>SEVILLANO BALTAZAR AGNESE</v>
      </c>
      <c r="C22" s="190" t="s">
        <v>62</v>
      </c>
      <c r="D22" s="195" t="s">
        <v>62</v>
      </c>
      <c r="E22" s="191"/>
      <c r="F22" s="189" t="s">
        <v>62</v>
      </c>
      <c r="G22" s="189" t="s">
        <v>62</v>
      </c>
      <c r="H22" s="189" t="s">
        <v>62</v>
      </c>
      <c r="I22" s="189" t="s">
        <v>62</v>
      </c>
      <c r="J22" s="189" t="s">
        <v>62</v>
      </c>
      <c r="K22" s="189" t="s">
        <v>62</v>
      </c>
      <c r="L22" s="190" t="s">
        <v>62</v>
      </c>
      <c r="M22" s="199" t="s">
        <v>62</v>
      </c>
      <c r="N22" s="199" t="s">
        <v>62</v>
      </c>
      <c r="O22" s="183" t="s">
        <v>62</v>
      </c>
      <c r="P22" s="48" t="s">
        <v>62</v>
      </c>
      <c r="Q22" s="48"/>
      <c r="R22" s="182"/>
      <c r="S22" s="48">
        <v>35</v>
      </c>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13</v>
      </c>
      <c r="BB22" s="48" t="str">
        <f t="shared" si="1"/>
        <v>0</v>
      </c>
      <c r="BC22" s="48" t="str">
        <f t="shared" si="2"/>
        <v>0</v>
      </c>
      <c r="BD22" s="48" t="str">
        <f t="shared" si="3"/>
        <v>0</v>
      </c>
      <c r="BE22" s="158">
        <f t="shared" si="4"/>
        <v>13</v>
      </c>
      <c r="BJ22" s="228">
        <f>(Tabla1[[#This Row],[Asist. (A)]]+Tabla1[[#This Row],[Retrasos (R)]]+Tabla1[[#This Row],[Licencias (L)]])*10/Tabla1[[#This Row],[DÍAS TRABAJADOS]]</f>
        <v>10</v>
      </c>
    </row>
    <row r="23" spans="1:62" ht="12" customHeight="1" x14ac:dyDescent="0.35">
      <c r="A23" s="170">
        <v>16</v>
      </c>
      <c r="B23" s="59" t="str">
        <f>'C. FILIACION'!B23</f>
        <v>TOCONAS HUAYGUA VICTORIA FERNANDA</v>
      </c>
      <c r="C23" s="190" t="s">
        <v>62</v>
      </c>
      <c r="D23" s="195" t="s">
        <v>62</v>
      </c>
      <c r="E23" s="191"/>
      <c r="F23" s="189" t="s">
        <v>62</v>
      </c>
      <c r="G23" s="189" t="s">
        <v>62</v>
      </c>
      <c r="H23" s="189" t="s">
        <v>62</v>
      </c>
      <c r="I23" s="189" t="s">
        <v>62</v>
      </c>
      <c r="J23" s="189" t="s">
        <v>62</v>
      </c>
      <c r="K23" s="189" t="s">
        <v>62</v>
      </c>
      <c r="L23" s="190" t="s">
        <v>62</v>
      </c>
      <c r="M23" s="199" t="s">
        <v>63</v>
      </c>
      <c r="N23" s="199" t="s">
        <v>61</v>
      </c>
      <c r="O23" s="183" t="s">
        <v>62</v>
      </c>
      <c r="P23" s="48" t="s">
        <v>62</v>
      </c>
      <c r="Q23" s="48"/>
      <c r="R23" s="182"/>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11</v>
      </c>
      <c r="BB23" s="48">
        <f t="shared" si="1"/>
        <v>1</v>
      </c>
      <c r="BC23" s="48" t="str">
        <f t="shared" si="2"/>
        <v>0</v>
      </c>
      <c r="BD23" s="48">
        <f t="shared" si="3"/>
        <v>1</v>
      </c>
      <c r="BE23" s="158">
        <f t="shared" si="4"/>
        <v>13</v>
      </c>
      <c r="BJ23" s="228">
        <f>(Tabla1[[#This Row],[Asist. (A)]]+Tabla1[[#This Row],[Retrasos (R)]]+Tabla1[[#This Row],[Licencias (L)]])*10/Tabla1[[#This Row],[DÍAS TRABAJADOS]]</f>
        <v>9.2307692307692299</v>
      </c>
    </row>
    <row r="24" spans="1:62" ht="12" customHeight="1" x14ac:dyDescent="0.35">
      <c r="A24" s="58">
        <v>17</v>
      </c>
      <c r="B24" s="59">
        <f>'C. FILIACION'!B24</f>
        <v>0</v>
      </c>
      <c r="C24" s="48"/>
      <c r="D24" s="167"/>
      <c r="E24" s="48"/>
      <c r="F24" s="48"/>
      <c r="G24" s="48"/>
      <c r="H24" s="48"/>
      <c r="I24" s="48"/>
      <c r="J24" s="48"/>
      <c r="K24" s="48"/>
      <c r="L24" s="48"/>
      <c r="M24" s="167"/>
      <c r="N24" s="167"/>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62"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62"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62"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62"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62"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62"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62"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62"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pageSetUpPr fitToPage="1"/>
  </sheetPr>
  <dimension ref="A1:AD31"/>
  <sheetViews>
    <sheetView workbookViewId="0">
      <selection activeCell="AB34" sqref="A1:AB34"/>
    </sheetView>
  </sheetViews>
  <sheetFormatPr baseColWidth="10" defaultRowHeight="20.399999999999999" x14ac:dyDescent="0.35"/>
  <cols>
    <col min="1" max="26" width="2.3984375" customWidth="1"/>
    <col min="27" max="27" width="9.265625" customWidth="1"/>
    <col min="28" max="28" width="5.33203125" customWidth="1"/>
    <col min="29" max="30" width="2.3984375" customWidth="1"/>
  </cols>
  <sheetData>
    <row r="1" spans="1:30" ht="15.9" customHeight="1" x14ac:dyDescent="0.35">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row>
    <row r="2" spans="1:30" ht="15.9" customHeight="1" x14ac:dyDescent="0.35">
      <c r="A2" s="273" t="s">
        <v>161</v>
      </c>
      <c r="B2" s="273"/>
      <c r="C2" s="273"/>
      <c r="D2" s="273"/>
      <c r="E2" s="273"/>
      <c r="F2" s="273"/>
      <c r="G2" s="273"/>
      <c r="H2" s="273"/>
      <c r="I2" s="273"/>
      <c r="J2" s="273"/>
      <c r="K2" s="273"/>
      <c r="L2" s="273"/>
      <c r="M2" s="273"/>
      <c r="N2" s="273"/>
      <c r="O2" s="273"/>
      <c r="P2" s="273"/>
      <c r="Q2" s="273"/>
      <c r="R2" s="273"/>
      <c r="S2" s="273"/>
      <c r="T2" s="273"/>
      <c r="U2" s="273"/>
      <c r="V2" s="273"/>
      <c r="W2" s="273"/>
      <c r="X2" s="273"/>
      <c r="Y2" s="273"/>
      <c r="Z2" s="273"/>
      <c r="AA2" s="273"/>
      <c r="AB2" s="273"/>
      <c r="AC2" s="159"/>
      <c r="AD2" s="159"/>
    </row>
    <row r="3" spans="1:30" ht="15.9" customHeight="1" x14ac:dyDescent="0.35">
      <c r="A3" s="159"/>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c r="AB3" s="159"/>
      <c r="AC3" s="159"/>
      <c r="AD3" s="159"/>
    </row>
    <row r="4" spans="1:30" ht="15.9" customHeight="1" x14ac:dyDescent="0.35">
      <c r="A4" s="271" t="s">
        <v>162</v>
      </c>
      <c r="B4" s="271"/>
      <c r="C4" s="271"/>
      <c r="D4" s="271"/>
      <c r="E4" s="271"/>
      <c r="F4" s="274" t="str">
        <f>[1]CARÁTULA!C25</f>
        <v>Tecnica Tecnologica (Programacion)</v>
      </c>
      <c r="G4" s="274"/>
      <c r="H4" s="274"/>
      <c r="I4" s="274"/>
      <c r="J4" s="274"/>
      <c r="K4" s="274"/>
      <c r="L4" s="274"/>
      <c r="M4" s="274"/>
      <c r="N4" s="274"/>
      <c r="O4" s="275" t="s">
        <v>176</v>
      </c>
      <c r="P4" s="275"/>
      <c r="Q4" s="275"/>
      <c r="R4" s="276" t="str">
        <f>CARÁTULA!C23</f>
        <v>2do de Secundaria</v>
      </c>
      <c r="S4" s="277"/>
      <c r="T4" s="277"/>
      <c r="U4" s="277"/>
      <c r="V4" s="277"/>
      <c r="W4" s="277"/>
      <c r="X4" s="277"/>
      <c r="Y4" s="277"/>
      <c r="Z4" s="278"/>
      <c r="AA4" s="160" t="s">
        <v>177</v>
      </c>
      <c r="AB4" s="181" t="s">
        <v>235</v>
      </c>
      <c r="AC4" s="159"/>
      <c r="AD4" s="159"/>
    </row>
    <row r="5" spans="1:30" ht="15.9" customHeight="1" x14ac:dyDescent="0.35">
      <c r="A5" s="271" t="s">
        <v>163</v>
      </c>
      <c r="B5" s="271"/>
      <c r="C5" s="271"/>
      <c r="D5" s="271"/>
      <c r="E5" s="271"/>
      <c r="F5" s="272" t="s">
        <v>41</v>
      </c>
      <c r="G5" s="272"/>
      <c r="H5" s="272"/>
      <c r="I5" s="272"/>
      <c r="J5" s="272"/>
      <c r="K5" s="272"/>
      <c r="L5" s="272"/>
      <c r="M5" s="272"/>
      <c r="N5" s="272"/>
      <c r="O5" s="272"/>
      <c r="P5" s="272"/>
      <c r="Q5" s="272"/>
      <c r="R5" s="272"/>
      <c r="S5" s="272"/>
      <c r="T5" s="272"/>
      <c r="U5" s="272"/>
      <c r="V5" s="272"/>
      <c r="W5" s="272"/>
      <c r="X5" s="272"/>
      <c r="Y5" s="272"/>
      <c r="Z5" s="272"/>
      <c r="AA5" s="160" t="s">
        <v>178</v>
      </c>
      <c r="AB5" s="181" t="s">
        <v>236</v>
      </c>
      <c r="AC5" s="159"/>
      <c r="AD5" s="159"/>
    </row>
    <row r="6" spans="1:30" ht="15.9" customHeight="1" x14ac:dyDescent="0.35">
      <c r="A6" s="271" t="s">
        <v>164</v>
      </c>
      <c r="B6" s="271"/>
      <c r="C6" s="271"/>
      <c r="D6" s="271"/>
      <c r="E6" s="271"/>
      <c r="F6" s="272" t="s">
        <v>173</v>
      </c>
      <c r="G6" s="272"/>
      <c r="H6" s="272"/>
      <c r="I6" s="272"/>
      <c r="J6" s="272"/>
      <c r="K6" s="272"/>
      <c r="L6" s="272"/>
      <c r="M6" s="272"/>
      <c r="N6" s="272"/>
      <c r="O6" s="272"/>
      <c r="P6" s="272"/>
      <c r="Q6" s="272"/>
      <c r="R6" s="272"/>
      <c r="S6" s="272"/>
      <c r="T6" s="272"/>
      <c r="U6" s="272"/>
      <c r="V6" s="272"/>
      <c r="W6" s="272"/>
      <c r="X6" s="272"/>
      <c r="Y6" s="272"/>
      <c r="Z6" s="272"/>
      <c r="AA6" s="159"/>
      <c r="AB6" s="159"/>
      <c r="AC6" s="159"/>
      <c r="AD6" s="159"/>
    </row>
    <row r="7" spans="1:30" ht="3" customHeight="1" x14ac:dyDescent="0.35">
      <c r="A7" s="159"/>
      <c r="B7" s="159"/>
      <c r="C7" s="159"/>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row>
    <row r="8" spans="1:30" ht="15.9" customHeight="1" x14ac:dyDescent="0.35">
      <c r="A8" s="279" t="s">
        <v>165</v>
      </c>
      <c r="B8" s="279"/>
      <c r="C8" s="279"/>
      <c r="D8" s="279"/>
      <c r="E8" s="279"/>
      <c r="F8" s="279"/>
      <c r="G8" s="279"/>
      <c r="H8" s="279"/>
      <c r="I8" s="279"/>
      <c r="J8" s="279"/>
      <c r="K8" s="279"/>
      <c r="L8" s="279"/>
      <c r="M8" s="279"/>
      <c r="N8" s="279"/>
      <c r="O8" s="279"/>
      <c r="P8" s="279"/>
      <c r="Q8" s="279"/>
      <c r="R8" s="279"/>
      <c r="S8" s="279"/>
      <c r="T8" s="279"/>
      <c r="U8" s="279"/>
      <c r="V8" s="279"/>
      <c r="W8" s="279"/>
      <c r="X8" s="279"/>
      <c r="Y8" s="279"/>
      <c r="Z8" s="279"/>
      <c r="AA8" s="279"/>
      <c r="AB8" s="279"/>
      <c r="AC8" s="159"/>
      <c r="AD8" s="159"/>
    </row>
    <row r="9" spans="1:30" ht="4.5" customHeight="1" x14ac:dyDescent="0.35">
      <c r="A9" s="159"/>
      <c r="B9" s="159"/>
      <c r="C9" s="159"/>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row>
    <row r="10" spans="1:30" ht="76.5" customHeight="1" x14ac:dyDescent="0.35">
      <c r="A10" s="159"/>
      <c r="B10" s="159"/>
      <c r="C10" s="159"/>
      <c r="D10" s="159"/>
      <c r="E10" s="159"/>
      <c r="F10" s="161" t="str">
        <f>'[1]ASIS 2 TRIM'!C7</f>
        <v>13/5/2020</v>
      </c>
      <c r="G10" s="161" t="str">
        <f>'[1]ASIS 2 TRIM'!D7</f>
        <v>20/5/2020</v>
      </c>
      <c r="H10" s="161" t="str">
        <f>'[1]ASIS 2 TRIM'!E7</f>
        <v>27/5/2021</v>
      </c>
      <c r="I10" s="161" t="str">
        <f>'[1]ASIS 2 TRIM'!F7</f>
        <v>1/7/2021</v>
      </c>
      <c r="J10" s="161" t="str">
        <f>'[1]ASIS 2 TRIM'!G7</f>
        <v>8/7/2021</v>
      </c>
      <c r="K10" s="161" t="str">
        <f>'[1]ASIS 2 TRIM'!H7</f>
        <v>15/7/2021</v>
      </c>
      <c r="L10" s="161" t="str">
        <f>'[1]ASIS 2 TRIM'!I7</f>
        <v>22/7/2021</v>
      </c>
      <c r="M10" s="161" t="str">
        <f>'[1]ASIS 2 TRIM'!J7</f>
        <v>29/7/2021</v>
      </c>
      <c r="N10" s="161" t="str">
        <f>'[1]ASIS 2 TRIM'!K7</f>
        <v>5/8/2021</v>
      </c>
      <c r="O10" s="161" t="str">
        <f>'[1]ASIS 2 TRIM'!L7</f>
        <v>12/8/2021</v>
      </c>
      <c r="P10" s="161" t="str">
        <f>'[1]ASIS 2 TRIM'!BA7</f>
        <v>Asist. (A)</v>
      </c>
      <c r="Q10" s="161" t="str">
        <f>'[1]ASIS 2 TRIM'!BB7</f>
        <v>Faltas (F)</v>
      </c>
      <c r="R10" s="161" t="str">
        <f>'[1]ASIS 2 TRIM'!BC7</f>
        <v>Retrasos (R)</v>
      </c>
      <c r="S10" s="161" t="str">
        <f>'[1]ASIS 2 TRIM'!BD7</f>
        <v>Licencias (L)</v>
      </c>
      <c r="T10" s="162" t="str">
        <f>'[1]ASIS 2 TRIM'!BE7</f>
        <v>DÍAS TRABAJADOS</v>
      </c>
      <c r="U10" s="159"/>
      <c r="V10" s="159"/>
      <c r="W10" s="159"/>
      <c r="X10" s="159"/>
      <c r="Y10" s="159"/>
      <c r="Z10" s="159"/>
      <c r="AA10" s="159"/>
      <c r="AB10" s="159"/>
      <c r="AC10" s="159"/>
      <c r="AD10" s="159"/>
    </row>
    <row r="11" spans="1:30" ht="15.9" customHeight="1" x14ac:dyDescent="0.35">
      <c r="A11" s="159"/>
      <c r="B11" s="159"/>
      <c r="C11" s="159"/>
      <c r="D11" s="159"/>
      <c r="E11" s="159"/>
      <c r="F11" s="163" t="str">
        <f>VLOOKUP($F$5,Tabla1[[NÓMINA DE ESTUDIANTES]:[DÍAS TRABAJADOS]],2,FALSE)</f>
        <v>a</v>
      </c>
      <c r="G11" s="163" t="str">
        <f>VLOOKUP($F$5,Tabla1[[NÓMINA DE ESTUDIANTES]:[DÍAS TRABAJADOS]],3,FALSE)</f>
        <v>f</v>
      </c>
      <c r="H11" s="163"/>
      <c r="I11" s="163" t="str">
        <f>VLOOKUP($F$5,Tabla1[[NÓMINA DE ESTUDIANTES]:[DÍAS TRABAJADOS]],5,FALSE)</f>
        <v>a</v>
      </c>
      <c r="J11" s="163" t="str">
        <f>VLOOKUP($F$5,Tabla1[[NÓMINA DE ESTUDIANTES]:[DÍAS TRABAJADOS]],6,FALSE)</f>
        <v>f</v>
      </c>
      <c r="K11" s="163" t="str">
        <f>VLOOKUP($F$5,Tabla1[[NÓMINA DE ESTUDIANTES]:[DÍAS TRABAJADOS]],7,FALSE)</f>
        <v>f</v>
      </c>
      <c r="L11" s="163" t="str">
        <f>VLOOKUP($F$5,Tabla1[[NÓMINA DE ESTUDIANTES]:[DÍAS TRABAJADOS]],8,FALSE)</f>
        <v>f</v>
      </c>
      <c r="M11" s="163" t="str">
        <f>VLOOKUP($F$5,Tabla1[[NÓMINA DE ESTUDIANTES]:[DÍAS TRABAJADOS]],9,FALSE)</f>
        <v>f</v>
      </c>
      <c r="N11" s="163" t="str">
        <f>VLOOKUP($F$5,Tabla1[[NÓMINA DE ESTUDIANTES]:[DÍAS TRABAJADOS]],10,FALSE)</f>
        <v>a</v>
      </c>
      <c r="O11" s="163" t="str">
        <f>VLOOKUP($F$5,Tabla1[[NÓMINA DE ESTUDIANTES]:[DÍAS TRABAJADOS]],11,FALSE)</f>
        <v>a</v>
      </c>
      <c r="P11" s="163">
        <f>VLOOKUP($F$5,Tabla1[[NÓMINA DE ESTUDIANTES]:[DÍAS TRABAJADOS]],52,FALSE)</f>
        <v>4</v>
      </c>
      <c r="Q11" s="163">
        <f>VLOOKUP($F$5,Tabla1[[NÓMINA DE ESTUDIANTES]:[DÍAS TRABAJADOS]],53,FALSE)</f>
        <v>9</v>
      </c>
      <c r="R11" s="163" t="str">
        <f>VLOOKUP($F$5,Tabla1[[NÓMINA DE ESTUDIANTES]:[DÍAS TRABAJADOS]],54,FALSE)</f>
        <v>0</v>
      </c>
      <c r="S11" s="163" t="str">
        <f>VLOOKUP($F$5,Tabla1[[NÓMINA DE ESTUDIANTES]:[DÍAS TRABAJADOS]],55,FALSE)</f>
        <v>0</v>
      </c>
      <c r="T11" s="163">
        <f>VLOOKUP($F$5,Tabla1[[NÓMINA DE ESTUDIANTES]:[DÍAS TRABAJADOS]],56,FALSE)</f>
        <v>13</v>
      </c>
      <c r="U11" s="159"/>
      <c r="V11" s="159"/>
      <c r="W11" s="159"/>
      <c r="X11" s="159"/>
      <c r="Y11" s="159"/>
      <c r="Z11" s="159"/>
      <c r="AA11" s="159"/>
      <c r="AB11" s="159"/>
      <c r="AC11" s="159"/>
      <c r="AD11" s="159"/>
    </row>
    <row r="12" spans="1:30" ht="5.25" customHeight="1" x14ac:dyDescent="0.35">
      <c r="A12" s="159"/>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row>
    <row r="13" spans="1:30" ht="15.9" customHeight="1" x14ac:dyDescent="0.35">
      <c r="A13" s="280" t="s">
        <v>233</v>
      </c>
      <c r="B13" s="280"/>
      <c r="C13" s="280"/>
      <c r="D13" s="280"/>
      <c r="E13" s="280"/>
      <c r="F13" s="280"/>
      <c r="G13" s="280"/>
      <c r="H13" s="280"/>
      <c r="I13" s="280"/>
      <c r="J13" s="280"/>
      <c r="K13" s="280"/>
      <c r="L13" s="280"/>
      <c r="M13" s="280"/>
      <c r="N13" s="280"/>
      <c r="O13" s="280"/>
      <c r="P13" s="280"/>
      <c r="Q13" s="280"/>
      <c r="R13" s="280"/>
      <c r="S13" s="280"/>
      <c r="T13" s="280"/>
      <c r="U13" s="280"/>
      <c r="V13" s="280"/>
      <c r="W13" s="280"/>
      <c r="X13" s="280"/>
      <c r="Y13" s="280"/>
      <c r="Z13" s="280"/>
      <c r="AA13" s="280"/>
      <c r="AB13" s="280"/>
      <c r="AC13" s="159"/>
      <c r="AD13" s="159"/>
    </row>
    <row r="14" spans="1:30" ht="15.9" customHeight="1" x14ac:dyDescent="0.35">
      <c r="A14" s="280" t="s">
        <v>166</v>
      </c>
      <c r="B14" s="280"/>
      <c r="C14" s="280"/>
      <c r="D14" s="280"/>
      <c r="E14" s="280"/>
      <c r="F14" s="280"/>
      <c r="G14" s="280"/>
      <c r="H14" s="280"/>
      <c r="I14" s="280" t="s">
        <v>174</v>
      </c>
      <c r="J14" s="280"/>
      <c r="K14" s="280" t="s">
        <v>175</v>
      </c>
      <c r="L14" s="280"/>
      <c r="M14" s="280"/>
      <c r="N14" s="280"/>
      <c r="O14" s="280"/>
      <c r="P14" s="280"/>
      <c r="Q14" s="280"/>
      <c r="R14" s="280"/>
      <c r="S14" s="280"/>
      <c r="T14" s="280"/>
      <c r="U14" s="280"/>
      <c r="V14" s="280"/>
      <c r="W14" s="280"/>
      <c r="X14" s="280"/>
      <c r="Y14" s="280"/>
      <c r="Z14" s="280"/>
      <c r="AA14" s="280"/>
      <c r="AB14" s="280"/>
      <c r="AC14" s="159"/>
      <c r="AD14" s="164"/>
    </row>
    <row r="15" spans="1:30" ht="15.9" customHeight="1" x14ac:dyDescent="0.35">
      <c r="A15" s="281" t="s">
        <v>167</v>
      </c>
      <c r="B15" s="282"/>
      <c r="C15" s="282"/>
      <c r="D15" s="282"/>
      <c r="E15" s="282"/>
      <c r="F15" s="282"/>
      <c r="G15" s="282"/>
      <c r="H15" s="282"/>
      <c r="I15" s="283">
        <f>VLOOKUP($F$5,'VAL 2 TRIM'!B9:AM24,3,FALSE)</f>
        <v>18</v>
      </c>
      <c r="J15" s="283"/>
      <c r="K15" s="284" t="s">
        <v>230</v>
      </c>
      <c r="L15" s="285"/>
      <c r="M15" s="285"/>
      <c r="N15" s="285"/>
      <c r="O15" s="285"/>
      <c r="P15" s="285"/>
      <c r="Q15" s="285"/>
      <c r="R15" s="285"/>
      <c r="S15" s="285"/>
      <c r="T15" s="285"/>
      <c r="U15" s="285"/>
      <c r="V15" s="285"/>
      <c r="W15" s="285"/>
      <c r="X15" s="285"/>
      <c r="Y15" s="285"/>
      <c r="Z15" s="285"/>
      <c r="AA15" s="285"/>
      <c r="AB15" s="285"/>
      <c r="AC15" s="159">
        <f>IF(I15=0,1,0)</f>
        <v>0</v>
      </c>
      <c r="AD15" s="165">
        <v>1</v>
      </c>
    </row>
    <row r="16" spans="1:30" ht="15.9" customHeight="1" x14ac:dyDescent="0.35">
      <c r="A16" s="286" t="s">
        <v>168</v>
      </c>
      <c r="B16" s="286"/>
      <c r="C16" s="286"/>
      <c r="D16" s="286"/>
      <c r="E16" s="286"/>
      <c r="F16" s="286"/>
      <c r="G16" s="286"/>
      <c r="H16" s="286"/>
      <c r="I16" s="283">
        <f>VLOOKUP($F$5,'VAL 2 TRIM'!B9:AM24,4,FALSE)</f>
        <v>18</v>
      </c>
      <c r="J16" s="283"/>
      <c r="K16" s="287"/>
      <c r="L16" s="287"/>
      <c r="M16" s="287"/>
      <c r="N16" s="287"/>
      <c r="O16" s="287"/>
      <c r="P16" s="287"/>
      <c r="Q16" s="287"/>
      <c r="R16" s="287"/>
      <c r="S16" s="287"/>
      <c r="T16" s="287"/>
      <c r="U16" s="287"/>
      <c r="V16" s="287"/>
      <c r="W16" s="287"/>
      <c r="X16" s="287"/>
      <c r="Y16" s="287"/>
      <c r="Z16" s="287"/>
      <c r="AA16" s="287"/>
      <c r="AB16" s="287"/>
      <c r="AC16" s="159">
        <f>IF(I16=0,1,0)</f>
        <v>0</v>
      </c>
      <c r="AD16" s="165">
        <v>1</v>
      </c>
    </row>
    <row r="17" spans="1:30" ht="15.9" customHeight="1" x14ac:dyDescent="0.35">
      <c r="A17" s="288" t="s">
        <v>169</v>
      </c>
      <c r="B17" s="286"/>
      <c r="C17" s="286"/>
      <c r="D17" s="286"/>
      <c r="E17" s="286"/>
      <c r="F17" s="286"/>
      <c r="G17" s="286"/>
      <c r="H17" s="286"/>
      <c r="I17" s="283">
        <f>VLOOKUP($F$5,'VAL 2 TRIM'!B9:AM24,5,FALSE)</f>
        <v>30</v>
      </c>
      <c r="J17" s="283"/>
      <c r="K17" s="287"/>
      <c r="L17" s="287"/>
      <c r="M17" s="287"/>
      <c r="N17" s="287"/>
      <c r="O17" s="287"/>
      <c r="P17" s="287"/>
      <c r="Q17" s="287"/>
      <c r="R17" s="287"/>
      <c r="S17" s="287"/>
      <c r="T17" s="287"/>
      <c r="U17" s="287"/>
      <c r="V17" s="287"/>
      <c r="W17" s="287"/>
      <c r="X17" s="287"/>
      <c r="Y17" s="287"/>
      <c r="Z17" s="287"/>
      <c r="AA17" s="287"/>
      <c r="AB17" s="287"/>
      <c r="AC17" s="159">
        <f>IF(I17=0,1,0)</f>
        <v>0</v>
      </c>
      <c r="AD17" s="165">
        <v>1</v>
      </c>
    </row>
    <row r="18" spans="1:30" ht="15.9" customHeight="1" x14ac:dyDescent="0.35">
      <c r="A18" s="289" t="s">
        <v>76</v>
      </c>
      <c r="B18" s="290"/>
      <c r="C18" s="290"/>
      <c r="D18" s="290"/>
      <c r="E18" s="290"/>
      <c r="F18" s="290"/>
      <c r="G18" s="290"/>
      <c r="H18" s="290"/>
      <c r="I18" s="291">
        <f>SUM(I15:J17)/3</f>
        <v>22</v>
      </c>
      <c r="J18" s="291"/>
      <c r="K18" s="283"/>
      <c r="L18" s="283"/>
      <c r="M18" s="283"/>
      <c r="N18" s="283"/>
      <c r="O18" s="283"/>
      <c r="P18" s="283"/>
      <c r="Q18" s="283"/>
      <c r="R18" s="283"/>
      <c r="S18" s="283"/>
      <c r="T18" s="283"/>
      <c r="U18" s="283"/>
      <c r="V18" s="283"/>
      <c r="W18" s="283"/>
      <c r="X18" s="283"/>
      <c r="Y18" s="283"/>
      <c r="Z18" s="283"/>
      <c r="AA18" s="283"/>
      <c r="AB18" s="283"/>
      <c r="AC18" s="159">
        <f>SUM(AC15:AC17)</f>
        <v>0</v>
      </c>
      <c r="AD18" s="159"/>
    </row>
    <row r="19" spans="1:30" ht="5.25" customHeight="1" x14ac:dyDescent="0.35">
      <c r="A19" s="159"/>
      <c r="B19" s="159"/>
      <c r="C19" s="159"/>
      <c r="D19" s="159"/>
      <c r="E19" s="159"/>
      <c r="F19" s="159"/>
      <c r="G19" s="159"/>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row>
    <row r="20" spans="1:30" ht="15.9" customHeight="1" x14ac:dyDescent="0.35">
      <c r="A20" s="280" t="s">
        <v>234</v>
      </c>
      <c r="B20" s="280"/>
      <c r="C20" s="280"/>
      <c r="D20" s="280"/>
      <c r="E20" s="280"/>
      <c r="F20" s="280"/>
      <c r="G20" s="280"/>
      <c r="H20" s="280"/>
      <c r="I20" s="280"/>
      <c r="J20" s="280"/>
      <c r="K20" s="280"/>
      <c r="L20" s="280"/>
      <c r="M20" s="280"/>
      <c r="N20" s="280"/>
      <c r="O20" s="280"/>
      <c r="P20" s="280"/>
      <c r="Q20" s="280"/>
      <c r="R20" s="280"/>
      <c r="S20" s="280"/>
      <c r="T20" s="280"/>
      <c r="U20" s="280"/>
      <c r="V20" s="280"/>
      <c r="W20" s="280"/>
      <c r="X20" s="280"/>
      <c r="Y20" s="280"/>
      <c r="Z20" s="280"/>
      <c r="AA20" s="280"/>
      <c r="AB20" s="280"/>
      <c r="AC20" s="159"/>
      <c r="AD20" s="159"/>
    </row>
    <row r="21" spans="1:30" ht="15.9" customHeight="1" x14ac:dyDescent="0.35">
      <c r="A21" s="280" t="s">
        <v>166</v>
      </c>
      <c r="B21" s="280"/>
      <c r="C21" s="280"/>
      <c r="D21" s="280"/>
      <c r="E21" s="280"/>
      <c r="F21" s="280"/>
      <c r="G21" s="280"/>
      <c r="H21" s="280"/>
      <c r="I21" s="280" t="s">
        <v>174</v>
      </c>
      <c r="J21" s="280"/>
      <c r="K21" s="280" t="s">
        <v>175</v>
      </c>
      <c r="L21" s="280"/>
      <c r="M21" s="280"/>
      <c r="N21" s="280"/>
      <c r="O21" s="280"/>
      <c r="P21" s="280"/>
      <c r="Q21" s="280"/>
      <c r="R21" s="280"/>
      <c r="S21" s="280"/>
      <c r="T21" s="280"/>
      <c r="U21" s="280"/>
      <c r="V21" s="280"/>
      <c r="W21" s="280"/>
      <c r="X21" s="280"/>
      <c r="Y21" s="280"/>
      <c r="Z21" s="280"/>
      <c r="AA21" s="280"/>
      <c r="AB21" s="280"/>
      <c r="AC21" s="159"/>
      <c r="AD21" s="159"/>
    </row>
    <row r="22" spans="1:30" ht="15.9" customHeight="1" x14ac:dyDescent="0.35">
      <c r="A22" s="292" t="s">
        <v>170</v>
      </c>
      <c r="B22" s="293"/>
      <c r="C22" s="293"/>
      <c r="D22" s="293"/>
      <c r="E22" s="293"/>
      <c r="F22" s="293"/>
      <c r="G22" s="293"/>
      <c r="H22" s="294"/>
      <c r="I22" s="283">
        <f>VLOOKUP($F$5,'VAL 2 TRIM'!$B$9:$AM$24,16,FALSE)</f>
        <v>18</v>
      </c>
      <c r="J22" s="283"/>
      <c r="K22" s="284" t="s">
        <v>237</v>
      </c>
      <c r="L22" s="285"/>
      <c r="M22" s="285"/>
      <c r="N22" s="285"/>
      <c r="O22" s="285"/>
      <c r="P22" s="285"/>
      <c r="Q22" s="285"/>
      <c r="R22" s="285"/>
      <c r="S22" s="285"/>
      <c r="T22" s="285"/>
      <c r="U22" s="285"/>
      <c r="V22" s="285"/>
      <c r="W22" s="285"/>
      <c r="X22" s="285"/>
      <c r="Y22" s="285"/>
      <c r="Z22" s="285"/>
      <c r="AA22" s="285"/>
      <c r="AB22" s="285"/>
      <c r="AC22" s="159">
        <f>IF(I22=0,1,0)</f>
        <v>0</v>
      </c>
      <c r="AD22" s="159">
        <v>1</v>
      </c>
    </row>
    <row r="23" spans="1:30" ht="15.9" customHeight="1" x14ac:dyDescent="0.35">
      <c r="A23" s="299" t="s">
        <v>171</v>
      </c>
      <c r="B23" s="300"/>
      <c r="C23" s="300"/>
      <c r="D23" s="300"/>
      <c r="E23" s="300"/>
      <c r="F23" s="300"/>
      <c r="G23" s="300"/>
      <c r="H23" s="301"/>
      <c r="I23" s="283">
        <f>VLOOKUP($F$5,'VAL 2 TRIM'!$B$9:$AM$24,16,FALSE)</f>
        <v>18</v>
      </c>
      <c r="J23" s="283"/>
      <c r="K23" s="284" t="s">
        <v>238</v>
      </c>
      <c r="L23" s="285"/>
      <c r="M23" s="285"/>
      <c r="N23" s="285"/>
      <c r="O23" s="285"/>
      <c r="P23" s="285"/>
      <c r="Q23" s="285"/>
      <c r="R23" s="285"/>
      <c r="S23" s="285"/>
      <c r="T23" s="285"/>
      <c r="U23" s="285"/>
      <c r="V23" s="285"/>
      <c r="W23" s="285"/>
      <c r="X23" s="285"/>
      <c r="Y23" s="285"/>
      <c r="Z23" s="285"/>
      <c r="AA23" s="285"/>
      <c r="AB23" s="285"/>
      <c r="AC23" s="159">
        <f>IF(I23=0,1,0)</f>
        <v>0</v>
      </c>
      <c r="AD23" s="159">
        <v>1</v>
      </c>
    </row>
    <row r="24" spans="1:30" ht="15.9" customHeight="1" x14ac:dyDescent="0.35">
      <c r="A24" s="302" t="s">
        <v>172</v>
      </c>
      <c r="B24" s="303"/>
      <c r="C24" s="303"/>
      <c r="D24" s="303"/>
      <c r="E24" s="303"/>
      <c r="F24" s="303"/>
      <c r="G24" s="303"/>
      <c r="H24" s="304"/>
      <c r="I24" s="283">
        <f>VLOOKUP($F$5,'VAL 2 TRIM'!$B$9:$AM$24,16,FALSE)</f>
        <v>18</v>
      </c>
      <c r="J24" s="283"/>
      <c r="K24" s="284" t="s">
        <v>239</v>
      </c>
      <c r="L24" s="285"/>
      <c r="M24" s="285"/>
      <c r="N24" s="285"/>
      <c r="O24" s="285"/>
      <c r="P24" s="285"/>
      <c r="Q24" s="285"/>
      <c r="R24" s="285"/>
      <c r="S24" s="285"/>
      <c r="T24" s="285"/>
      <c r="U24" s="285"/>
      <c r="V24" s="285"/>
      <c r="W24" s="285"/>
      <c r="X24" s="285"/>
      <c r="Y24" s="285"/>
      <c r="Z24" s="285"/>
      <c r="AA24" s="285"/>
      <c r="AB24" s="285"/>
      <c r="AC24" s="159">
        <f>IF(I24=0,1,0)</f>
        <v>0</v>
      </c>
      <c r="AD24" s="159">
        <v>1</v>
      </c>
    </row>
    <row r="25" spans="1:30" ht="15.9" customHeight="1" x14ac:dyDescent="0.35">
      <c r="A25" s="289" t="s">
        <v>76</v>
      </c>
      <c r="B25" s="290"/>
      <c r="C25" s="290"/>
      <c r="D25" s="290"/>
      <c r="E25" s="290"/>
      <c r="F25" s="290"/>
      <c r="G25" s="290"/>
      <c r="H25" s="290"/>
      <c r="I25" s="295">
        <f>SUM(I22:J24)/3</f>
        <v>18</v>
      </c>
      <c r="J25" s="295"/>
      <c r="K25" s="296"/>
      <c r="L25" s="296"/>
      <c r="M25" s="296"/>
      <c r="N25" s="296"/>
      <c r="O25" s="296"/>
      <c r="P25" s="296"/>
      <c r="Q25" s="296"/>
      <c r="R25" s="296"/>
      <c r="S25" s="296"/>
      <c r="T25" s="296"/>
      <c r="U25" s="296"/>
      <c r="V25" s="296"/>
      <c r="W25" s="296"/>
      <c r="X25" s="296"/>
      <c r="Y25" s="296"/>
      <c r="Z25" s="296"/>
      <c r="AA25" s="296"/>
      <c r="AB25" s="296"/>
      <c r="AC25" s="159">
        <f>SUM(AC22:AC24)</f>
        <v>0</v>
      </c>
      <c r="AD25" s="166">
        <f>SUM(AD15:AD24)</f>
        <v>6</v>
      </c>
    </row>
    <row r="26" spans="1:30" ht="15.9" customHeight="1" x14ac:dyDescent="0.35">
      <c r="A26" s="29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 Ninguna</v>
      </c>
      <c r="B26" s="297"/>
      <c r="C26" s="297"/>
      <c r="D26" s="297"/>
      <c r="E26" s="297"/>
      <c r="F26" s="297"/>
      <c r="G26" s="297"/>
      <c r="H26" s="297"/>
      <c r="I26" s="297"/>
      <c r="J26" s="297"/>
      <c r="K26" s="297"/>
      <c r="L26" s="297"/>
      <c r="M26" s="297"/>
      <c r="N26" s="297"/>
      <c r="O26" s="297"/>
      <c r="P26" s="297"/>
      <c r="Q26" s="297"/>
      <c r="R26" s="297"/>
      <c r="S26" s="297"/>
      <c r="T26" s="297"/>
      <c r="U26" s="297"/>
      <c r="V26" s="297"/>
      <c r="W26" s="297"/>
      <c r="X26" s="297"/>
      <c r="Y26" s="297"/>
      <c r="Z26" s="297"/>
      <c r="AA26" s="297"/>
      <c r="AB26" s="297"/>
      <c r="AC26" s="159">
        <f>AC18+AC25</f>
        <v>0</v>
      </c>
      <c r="AD26" s="159"/>
    </row>
    <row r="27" spans="1:30" ht="15.9" customHeight="1" x14ac:dyDescent="0.35">
      <c r="A27" s="298"/>
      <c r="B27" s="298"/>
      <c r="C27" s="298"/>
      <c r="D27" s="298"/>
      <c r="E27" s="298"/>
      <c r="F27" s="298"/>
      <c r="G27" s="298"/>
      <c r="H27" s="298"/>
      <c r="I27" s="298"/>
      <c r="J27" s="298"/>
      <c r="K27" s="298"/>
      <c r="L27" s="298"/>
      <c r="M27" s="298"/>
      <c r="N27" s="298"/>
      <c r="O27" s="298"/>
      <c r="P27" s="298"/>
      <c r="Q27" s="298"/>
      <c r="R27" s="298"/>
      <c r="S27" s="298"/>
      <c r="T27" s="298"/>
      <c r="U27" s="298"/>
      <c r="V27" s="298"/>
      <c r="W27" s="298"/>
      <c r="X27" s="298"/>
      <c r="Y27" s="298"/>
      <c r="Z27" s="298"/>
      <c r="AA27" s="298"/>
      <c r="AB27" s="298"/>
      <c r="AC27" s="159"/>
      <c r="AD27" s="159"/>
    </row>
    <row r="28" spans="1:30" ht="15.9" customHeight="1" x14ac:dyDescent="0.35">
      <c r="A28" s="159"/>
      <c r="B28" s="159"/>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row>
    <row r="29" spans="1:30" ht="15.9" customHeight="1" x14ac:dyDescent="0.35">
      <c r="A29" s="159"/>
      <c r="B29" s="159"/>
      <c r="C29" s="159"/>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row>
    <row r="30" spans="1:30" ht="15.9" customHeight="1" x14ac:dyDescent="0.35">
      <c r="A30" s="159"/>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row>
    <row r="31" spans="1:30" ht="15.9" customHeight="1" x14ac:dyDescent="0.35">
      <c r="A31" s="159"/>
      <c r="B31" s="159"/>
      <c r="C31" s="159"/>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row>
  </sheetData>
  <mergeCells count="43">
    <mergeCell ref="A25:H25"/>
    <mergeCell ref="I25:J25"/>
    <mergeCell ref="K25:AB25"/>
    <mergeCell ref="A26:AB27"/>
    <mergeCell ref="A23:H23"/>
    <mergeCell ref="I23:J23"/>
    <mergeCell ref="K23:AB23"/>
    <mergeCell ref="A24:H24"/>
    <mergeCell ref="I24:J24"/>
    <mergeCell ref="K24:AB24"/>
    <mergeCell ref="A20:AB20"/>
    <mergeCell ref="A21:H21"/>
    <mergeCell ref="I21:J21"/>
    <mergeCell ref="K21:AB21"/>
    <mergeCell ref="A22:H22"/>
    <mergeCell ref="I22:J22"/>
    <mergeCell ref="K22:AB22"/>
    <mergeCell ref="A17:H17"/>
    <mergeCell ref="I17:J17"/>
    <mergeCell ref="K17:AB17"/>
    <mergeCell ref="A18:H18"/>
    <mergeCell ref="I18:J18"/>
    <mergeCell ref="K18:AB18"/>
    <mergeCell ref="A15:H15"/>
    <mergeCell ref="I15:J15"/>
    <mergeCell ref="K15:AB15"/>
    <mergeCell ref="A16:H16"/>
    <mergeCell ref="I16:J16"/>
    <mergeCell ref="K16:AB16"/>
    <mergeCell ref="A6:E6"/>
    <mergeCell ref="F6:Z6"/>
    <mergeCell ref="A8:AB8"/>
    <mergeCell ref="A13:AB13"/>
    <mergeCell ref="A14:H14"/>
    <mergeCell ref="I14:J14"/>
    <mergeCell ref="K14:AB14"/>
    <mergeCell ref="A5:E5"/>
    <mergeCell ref="F5:Z5"/>
    <mergeCell ref="A2:AB2"/>
    <mergeCell ref="A4:E4"/>
    <mergeCell ref="F4:N4"/>
    <mergeCell ref="O4:Q4"/>
    <mergeCell ref="R4:Z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scale="95"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tabSelected="1" workbookViewId="0">
      <selection activeCell="H17" sqref="H17"/>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56" t="s">
        <v>65</v>
      </c>
      <c r="C2" s="252"/>
      <c r="D2" s="252"/>
      <c r="E2" s="252"/>
      <c r="F2" s="252"/>
      <c r="G2" s="252"/>
      <c r="H2" s="252"/>
      <c r="I2" s="252"/>
      <c r="J2" s="252"/>
      <c r="K2" s="252"/>
      <c r="L2" s="252"/>
      <c r="M2" s="252"/>
      <c r="N2" s="252"/>
      <c r="O2" s="252"/>
      <c r="P2" s="252"/>
      <c r="Q2" s="252"/>
      <c r="R2" s="252"/>
      <c r="S2" s="252"/>
      <c r="T2" s="252"/>
      <c r="U2" s="252"/>
      <c r="V2" s="252"/>
      <c r="W2" s="252"/>
      <c r="X2" s="252"/>
      <c r="Y2" s="252"/>
      <c r="Z2" s="252"/>
      <c r="AA2" s="252"/>
      <c r="AB2" s="252"/>
      <c r="AC2" s="252"/>
      <c r="AD2" s="252"/>
      <c r="AE2" s="252"/>
      <c r="AF2" s="252"/>
      <c r="AG2" s="252"/>
      <c r="AH2" s="252"/>
      <c r="AI2" s="252"/>
      <c r="AJ2" s="252"/>
      <c r="AK2" s="252"/>
      <c r="AL2" s="252"/>
      <c r="AM2" s="252"/>
      <c r="AN2" s="252"/>
      <c r="AO2" s="252"/>
      <c r="AP2" s="252"/>
      <c r="AQ2" s="252"/>
      <c r="AR2" s="252"/>
      <c r="AS2" s="252"/>
      <c r="AT2" s="252"/>
      <c r="AU2" s="252"/>
      <c r="AV2" s="252"/>
      <c r="AW2" s="252"/>
      <c r="AX2" s="252"/>
      <c r="AY2" s="252"/>
      <c r="AZ2" s="252"/>
      <c r="BA2" s="252"/>
      <c r="BB2" s="252"/>
      <c r="BC2" s="252"/>
      <c r="BD2" s="252"/>
      <c r="BE2" s="252"/>
      <c r="BF2" s="252"/>
      <c r="BG2" s="252"/>
      <c r="BH2" s="252"/>
      <c r="BI2" s="252"/>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57">
        <f>CARÁTULA!$H$24</f>
        <v>44440</v>
      </c>
      <c r="AU3" s="252"/>
      <c r="AV3" s="252"/>
      <c r="AW3" s="252"/>
      <c r="AX3" s="252"/>
      <c r="AY3" s="252"/>
      <c r="AZ3" s="252"/>
      <c r="BA3" s="305"/>
      <c r="BB3" s="252"/>
      <c r="BC3" s="252"/>
      <c r="BD3" s="252"/>
      <c r="BE3" s="25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57">
        <f>CARÁTULA!$J$24</f>
        <v>44531</v>
      </c>
      <c r="AU4" s="252"/>
      <c r="AV4" s="252"/>
      <c r="AW4" s="252"/>
      <c r="AX4" s="252"/>
      <c r="AY4" s="252"/>
      <c r="AZ4" s="252"/>
      <c r="BA4" s="306">
        <f ca="1">AT4-AT5</f>
        <v>34</v>
      </c>
      <c r="BB4" s="262"/>
      <c r="BC4" s="262"/>
      <c r="BD4" s="262"/>
      <c r="BE4" s="263"/>
    </row>
    <row r="5" spans="1:61" ht="12.75" customHeight="1" x14ac:dyDescent="0.35">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70">
        <f ca="1">TODAY()</f>
        <v>44497</v>
      </c>
      <c r="Y5" s="252"/>
      <c r="Z5" s="252"/>
      <c r="AA5" s="252"/>
      <c r="AB5" s="252"/>
      <c r="AC5" s="252"/>
      <c r="AD5" s="40"/>
      <c r="AE5" s="40"/>
      <c r="AF5" s="40"/>
      <c r="AG5" s="40"/>
      <c r="AH5" s="40"/>
      <c r="AI5" s="40"/>
      <c r="AJ5" s="40"/>
      <c r="AK5" s="45" t="s">
        <v>53</v>
      </c>
      <c r="AL5" s="46"/>
      <c r="AM5" s="46"/>
      <c r="AN5" s="46"/>
      <c r="AO5" s="46"/>
      <c r="AP5" s="46"/>
      <c r="AQ5" s="46"/>
      <c r="AR5" s="40"/>
      <c r="AS5" s="40"/>
      <c r="AT5" s="268">
        <f ca="1">TODAY()</f>
        <v>44497</v>
      </c>
      <c r="AU5" s="252"/>
      <c r="AV5" s="252"/>
      <c r="AW5" s="252"/>
      <c r="AX5" s="252"/>
      <c r="AY5" s="252"/>
      <c r="AZ5" s="252"/>
      <c r="BA5" s="264"/>
      <c r="BB5" s="265"/>
      <c r="BC5" s="265"/>
      <c r="BD5" s="265"/>
      <c r="BE5" s="266"/>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5">
      <c r="A7" s="48" t="s">
        <v>54</v>
      </c>
      <c r="B7" s="49" t="s">
        <v>55</v>
      </c>
      <c r="C7" s="50">
        <v>44462</v>
      </c>
      <c r="D7" s="50">
        <v>44469</v>
      </c>
      <c r="E7" s="50">
        <v>44446</v>
      </c>
      <c r="F7" s="50">
        <v>44483</v>
      </c>
      <c r="G7" s="50">
        <v>44490</v>
      </c>
      <c r="H7" s="50">
        <v>44497</v>
      </c>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1" ht="12" customHeight="1" x14ac:dyDescent="0.35">
      <c r="A8" s="58">
        <v>1</v>
      </c>
      <c r="B8" s="155" t="str">
        <f>'C. FILIACION'!B8</f>
        <v>ALARCON CHURA PRISCILA</v>
      </c>
      <c r="C8" s="217" t="s">
        <v>63</v>
      </c>
      <c r="D8" s="217" t="s">
        <v>160</v>
      </c>
      <c r="E8" s="217" t="s">
        <v>63</v>
      </c>
      <c r="F8" s="217" t="s">
        <v>160</v>
      </c>
      <c r="G8" s="217" t="s">
        <v>62</v>
      </c>
      <c r="H8" s="217" t="s">
        <v>63</v>
      </c>
      <c r="I8" s="217"/>
      <c r="J8" s="217"/>
      <c r="K8" s="217"/>
      <c r="L8" s="217"/>
      <c r="M8" s="217"/>
      <c r="N8" s="217"/>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c r="AN8" s="217"/>
      <c r="AO8" s="217"/>
      <c r="AP8" s="217"/>
      <c r="AQ8" s="217"/>
      <c r="AR8" s="217"/>
      <c r="AS8" s="217"/>
      <c r="AT8" s="217"/>
      <c r="AU8" s="217"/>
      <c r="AV8" s="217"/>
      <c r="AW8" s="217"/>
      <c r="AX8" s="217"/>
      <c r="AY8" s="217"/>
      <c r="AZ8" s="236" t="s">
        <v>70</v>
      </c>
      <c r="BA8" s="237">
        <f t="shared" ref="BA8:BA43" si="0">IF(COUNTIF(C8:AZ8,"A")=0,"",COUNTIF(C8:AZ8,"A"))</f>
        <v>1</v>
      </c>
      <c r="BB8" s="217">
        <f t="shared" ref="BB8:BB43" si="1">IF(COUNTIF(C8:AZ8,"F")=0,"",COUNTIF(C8:AZ8,"F"))</f>
        <v>3</v>
      </c>
      <c r="BC8" s="217">
        <f t="shared" ref="BC8:BC43" si="2">IF(COUNTIF(C8:AZ8,"R")=0,"",COUNTIF(C8:AZ8,"R"))</f>
        <v>2</v>
      </c>
      <c r="BD8" s="217">
        <f t="shared" ref="BD8:BD43" si="3">IF(COUNTIF(C8:AZ8,"L")=0,"",COUNTIF(C8:AZ8,"L"))</f>
        <v>1</v>
      </c>
      <c r="BE8" s="238">
        <f t="shared" ref="BE8:BE43" si="4">IF(COUNTIF(C8:AZ8,"L")=0,"",COUNTIF(C8:AZ8,"L"))</f>
        <v>1</v>
      </c>
    </row>
    <row r="9" spans="1:61" ht="12" customHeight="1" x14ac:dyDescent="0.35">
      <c r="A9" s="58">
        <v>2</v>
      </c>
      <c r="B9" s="59" t="str">
        <f>'C. FILIACION'!B9</f>
        <v>ARCE CHOQUE LUCERO CORAL</v>
      </c>
      <c r="C9" s="48" t="s">
        <v>160</v>
      </c>
      <c r="D9" s="48" t="s">
        <v>62</v>
      </c>
      <c r="E9" s="48" t="s">
        <v>63</v>
      </c>
      <c r="F9" s="48" t="s">
        <v>62</v>
      </c>
      <c r="G9" s="48" t="s">
        <v>62</v>
      </c>
      <c r="H9" s="48" t="s">
        <v>63</v>
      </c>
      <c r="I9" s="48"/>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3</v>
      </c>
      <c r="BB9" s="48">
        <f t="shared" si="1"/>
        <v>2</v>
      </c>
      <c r="BC9" s="48">
        <f t="shared" si="2"/>
        <v>1</v>
      </c>
      <c r="BD9" s="48" t="str">
        <f t="shared" si="3"/>
        <v/>
      </c>
      <c r="BE9" s="63" t="str">
        <f t="shared" si="4"/>
        <v/>
      </c>
    </row>
    <row r="10" spans="1:61" ht="12" customHeight="1" x14ac:dyDescent="0.35">
      <c r="A10" s="58">
        <v>3</v>
      </c>
      <c r="B10" s="59" t="str">
        <f>'C. FILIACION'!B10</f>
        <v>AREQUIPA CALCINA FABIAN JHON</v>
      </c>
      <c r="C10" s="48" t="s">
        <v>62</v>
      </c>
      <c r="D10" s="48" t="s">
        <v>62</v>
      </c>
      <c r="E10" s="48" t="s">
        <v>160</v>
      </c>
      <c r="F10" s="48" t="s">
        <v>62</v>
      </c>
      <c r="G10" s="48" t="s">
        <v>160</v>
      </c>
      <c r="H10" s="48" t="s">
        <v>62</v>
      </c>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4</v>
      </c>
      <c r="BB10" s="48" t="str">
        <f t="shared" si="1"/>
        <v/>
      </c>
      <c r="BC10" s="48">
        <f t="shared" si="2"/>
        <v>2</v>
      </c>
      <c r="BD10" s="48" t="str">
        <f t="shared" si="3"/>
        <v/>
      </c>
      <c r="BE10" s="63" t="str">
        <f t="shared" si="4"/>
        <v/>
      </c>
    </row>
    <row r="11" spans="1:61" ht="12" customHeight="1" x14ac:dyDescent="0.35">
      <c r="A11" s="58">
        <v>4</v>
      </c>
      <c r="B11" s="59" t="str">
        <f>'C. FILIACION'!B11</f>
        <v>CLAURE PARAVICINI RASHEL ROSALY</v>
      </c>
      <c r="C11" s="48" t="s">
        <v>160</v>
      </c>
      <c r="D11" s="48" t="s">
        <v>63</v>
      </c>
      <c r="E11" s="48" t="s">
        <v>63</v>
      </c>
      <c r="F11" s="48" t="s">
        <v>63</v>
      </c>
      <c r="G11" s="48" t="s">
        <v>63</v>
      </c>
      <c r="H11" s="48" t="s">
        <v>63</v>
      </c>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f t="shared" si="1"/>
        <v>5</v>
      </c>
      <c r="BC11" s="48">
        <f t="shared" si="2"/>
        <v>1</v>
      </c>
      <c r="BD11" s="48" t="str">
        <f t="shared" si="3"/>
        <v/>
      </c>
      <c r="BE11" s="63" t="str">
        <f t="shared" si="4"/>
        <v/>
      </c>
    </row>
    <row r="12" spans="1:61" ht="12" customHeight="1" x14ac:dyDescent="0.35">
      <c r="A12" s="58">
        <v>5</v>
      </c>
      <c r="B12" s="59" t="str">
        <f>'C. FILIACION'!B12</f>
        <v>CONDORI FLORES ALEJANDRO BRYAN</v>
      </c>
      <c r="C12" s="48" t="s">
        <v>160</v>
      </c>
      <c r="D12" s="48" t="s">
        <v>63</v>
      </c>
      <c r="E12" s="48" t="s">
        <v>62</v>
      </c>
      <c r="F12" s="48" t="s">
        <v>62</v>
      </c>
      <c r="G12" s="48" t="s">
        <v>62</v>
      </c>
      <c r="H12" s="48" t="s">
        <v>62</v>
      </c>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4</v>
      </c>
      <c r="BB12" s="48">
        <f t="shared" si="1"/>
        <v>1</v>
      </c>
      <c r="BC12" s="48">
        <f t="shared" si="2"/>
        <v>1</v>
      </c>
      <c r="BD12" s="48" t="str">
        <f t="shared" si="3"/>
        <v/>
      </c>
      <c r="BE12" s="63" t="str">
        <f t="shared" si="4"/>
        <v/>
      </c>
    </row>
    <row r="13" spans="1:61" ht="12" customHeight="1" x14ac:dyDescent="0.35">
      <c r="A13" s="58">
        <v>6</v>
      </c>
      <c r="B13" s="59" t="str">
        <f>'C. FILIACION'!B13</f>
        <v>DE LA CRUZ SANDOVAL JHON MARCO</v>
      </c>
      <c r="C13" s="48" t="s">
        <v>62</v>
      </c>
      <c r="D13" s="48" t="s">
        <v>62</v>
      </c>
      <c r="E13" s="48" t="s">
        <v>160</v>
      </c>
      <c r="F13" s="48" t="s">
        <v>160</v>
      </c>
      <c r="G13" s="48" t="s">
        <v>62</v>
      </c>
      <c r="H13" s="48" t="s">
        <v>160</v>
      </c>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f t="shared" si="2"/>
        <v>3</v>
      </c>
      <c r="BD13" s="48" t="str">
        <f t="shared" si="3"/>
        <v/>
      </c>
      <c r="BE13" s="63" t="str">
        <f t="shared" si="4"/>
        <v/>
      </c>
    </row>
    <row r="14" spans="1:61" ht="12" customHeight="1" x14ac:dyDescent="0.35">
      <c r="A14" s="58">
        <v>7</v>
      </c>
      <c r="B14" s="59" t="str">
        <f>'C. FILIACION'!B14</f>
        <v>GARCÍA IGNACIO MISHEL MAYA</v>
      </c>
      <c r="C14" s="48" t="s">
        <v>62</v>
      </c>
      <c r="D14" s="48" t="s">
        <v>62</v>
      </c>
      <c r="E14" s="48" t="s">
        <v>62</v>
      </c>
      <c r="F14" s="48" t="s">
        <v>62</v>
      </c>
      <c r="G14" s="48" t="s">
        <v>62</v>
      </c>
      <c r="H14" s="48" t="s">
        <v>62</v>
      </c>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6</v>
      </c>
      <c r="BB14" s="48" t="str">
        <f t="shared" si="1"/>
        <v/>
      </c>
      <c r="BC14" s="48" t="str">
        <f t="shared" si="2"/>
        <v/>
      </c>
      <c r="BD14" s="48" t="str">
        <f t="shared" si="3"/>
        <v/>
      </c>
      <c r="BE14" s="63" t="str">
        <f t="shared" si="4"/>
        <v/>
      </c>
    </row>
    <row r="15" spans="1:61" ht="12" customHeight="1" x14ac:dyDescent="0.35">
      <c r="A15" s="58">
        <v>8</v>
      </c>
      <c r="B15" s="59" t="str">
        <f>'C. FILIACION'!B15</f>
        <v>HELGUERO SANCHEZ JHOYSI CAMIL</v>
      </c>
      <c r="C15" s="48" t="s">
        <v>160</v>
      </c>
      <c r="D15" s="48" t="s">
        <v>62</v>
      </c>
      <c r="E15" s="48" t="s">
        <v>62</v>
      </c>
      <c r="F15" s="48" t="s">
        <v>62</v>
      </c>
      <c r="G15" s="48" t="s">
        <v>62</v>
      </c>
      <c r="H15" s="48" t="s">
        <v>62</v>
      </c>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5</v>
      </c>
      <c r="BB15" s="48" t="str">
        <f t="shared" si="1"/>
        <v/>
      </c>
      <c r="BC15" s="48">
        <f t="shared" si="2"/>
        <v>1</v>
      </c>
      <c r="BD15" s="48" t="str">
        <f t="shared" si="3"/>
        <v/>
      </c>
      <c r="BE15" s="63" t="str">
        <f t="shared" si="4"/>
        <v/>
      </c>
    </row>
    <row r="16" spans="1:61" ht="12" customHeight="1" x14ac:dyDescent="0.35">
      <c r="A16" s="58">
        <v>9</v>
      </c>
      <c r="B16" s="59" t="str">
        <f>'C. FILIACION'!B16</f>
        <v>LEDEZMA ORELLANA RICARDO ERIK</v>
      </c>
      <c r="C16" s="48" t="s">
        <v>62</v>
      </c>
      <c r="D16" s="48" t="s">
        <v>62</v>
      </c>
      <c r="E16" s="48" t="s">
        <v>62</v>
      </c>
      <c r="F16" s="48" t="s">
        <v>62</v>
      </c>
      <c r="G16" s="48" t="s">
        <v>62</v>
      </c>
      <c r="H16" s="48" t="s">
        <v>62</v>
      </c>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6</v>
      </c>
      <c r="BB16" s="48" t="str">
        <f t="shared" si="1"/>
        <v/>
      </c>
      <c r="BC16" s="48" t="str">
        <f t="shared" si="2"/>
        <v/>
      </c>
      <c r="BD16" s="48" t="str">
        <f t="shared" si="3"/>
        <v/>
      </c>
      <c r="BE16" s="63" t="str">
        <f t="shared" si="4"/>
        <v/>
      </c>
    </row>
    <row r="17" spans="1:57" ht="12" customHeight="1" x14ac:dyDescent="0.35">
      <c r="A17" s="58">
        <v>10</v>
      </c>
      <c r="B17" s="59" t="str">
        <f>'C. FILIACION'!B17</f>
        <v>MAMANI LOPEZ ELIZABETH MILDRED</v>
      </c>
      <c r="C17" s="48" t="s">
        <v>63</v>
      </c>
      <c r="D17" s="48" t="s">
        <v>63</v>
      </c>
      <c r="E17" s="48" t="s">
        <v>63</v>
      </c>
      <c r="F17" s="48" t="s">
        <v>160</v>
      </c>
      <c r="G17" s="48" t="s">
        <v>63</v>
      </c>
      <c r="H17" s="48" t="s">
        <v>63</v>
      </c>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f t="shared" si="1"/>
        <v>5</v>
      </c>
      <c r="BC17" s="48">
        <f t="shared" si="2"/>
        <v>1</v>
      </c>
      <c r="BD17" s="48" t="str">
        <f t="shared" si="3"/>
        <v/>
      </c>
      <c r="BE17" s="63" t="str">
        <f t="shared" si="4"/>
        <v/>
      </c>
    </row>
    <row r="18" spans="1:57" ht="12" customHeight="1" x14ac:dyDescent="0.35">
      <c r="A18" s="58">
        <v>11</v>
      </c>
      <c r="B18" s="200" t="str">
        <f>'C. FILIACION'!B18</f>
        <v>MEDINA CHOQUE JUAN JOSE</v>
      </c>
      <c r="C18" s="207" t="s">
        <v>63</v>
      </c>
      <c r="D18" s="207"/>
      <c r="E18" s="207"/>
      <c r="F18" s="207"/>
      <c r="G18" s="207"/>
      <c r="H18" s="207"/>
      <c r="I18" s="207"/>
      <c r="J18" s="207"/>
      <c r="K18" s="207"/>
      <c r="L18" s="207"/>
      <c r="M18" s="207"/>
      <c r="N18" s="207"/>
      <c r="O18" s="207"/>
      <c r="P18" s="207"/>
      <c r="Q18" s="207"/>
      <c r="R18" s="207"/>
      <c r="S18" s="207"/>
      <c r="T18" s="207"/>
      <c r="U18" s="207"/>
      <c r="V18" s="207"/>
      <c r="W18" s="207"/>
      <c r="X18" s="207"/>
      <c r="Y18" s="207"/>
      <c r="Z18" s="207"/>
      <c r="AA18" s="207"/>
      <c r="AB18" s="207"/>
      <c r="AC18" s="207"/>
      <c r="AD18" s="207"/>
      <c r="AE18" s="207"/>
      <c r="AF18" s="207"/>
      <c r="AG18" s="207"/>
      <c r="AH18" s="207"/>
      <c r="AI18" s="207"/>
      <c r="AJ18" s="207"/>
      <c r="AK18" s="207"/>
      <c r="AL18" s="207"/>
      <c r="AM18" s="207"/>
      <c r="AN18" s="207"/>
      <c r="AO18" s="207"/>
      <c r="AP18" s="207"/>
      <c r="AQ18" s="207"/>
      <c r="AR18" s="207"/>
      <c r="AS18" s="207"/>
      <c r="AT18" s="207"/>
      <c r="AU18" s="207"/>
      <c r="AV18" s="207"/>
      <c r="AW18" s="207"/>
      <c r="AX18" s="207"/>
      <c r="AY18" s="207"/>
      <c r="AZ18" s="233"/>
      <c r="BA18" s="234" t="str">
        <f t="shared" si="0"/>
        <v/>
      </c>
      <c r="BB18" s="207">
        <f t="shared" si="1"/>
        <v>1</v>
      </c>
      <c r="BC18" s="207" t="str">
        <f t="shared" si="2"/>
        <v/>
      </c>
      <c r="BD18" s="207" t="str">
        <f t="shared" si="3"/>
        <v/>
      </c>
      <c r="BE18" s="235" t="str">
        <f t="shared" si="4"/>
        <v/>
      </c>
    </row>
    <row r="19" spans="1:57" ht="12" customHeight="1" x14ac:dyDescent="0.35">
      <c r="A19" s="58">
        <v>12</v>
      </c>
      <c r="B19" s="59" t="str">
        <f>'C. FILIACION'!B19</f>
        <v>NINA RUEDA SEBASTIAN CARLOS</v>
      </c>
      <c r="C19" s="48" t="s">
        <v>62</v>
      </c>
      <c r="D19" s="48" t="s">
        <v>62</v>
      </c>
      <c r="E19" s="48" t="s">
        <v>160</v>
      </c>
      <c r="F19" s="48" t="s">
        <v>62</v>
      </c>
      <c r="G19" s="48" t="s">
        <v>62</v>
      </c>
      <c r="H19" s="48" t="s">
        <v>62</v>
      </c>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5</v>
      </c>
      <c r="BB19" s="48" t="str">
        <f t="shared" si="1"/>
        <v/>
      </c>
      <c r="BC19" s="48">
        <f t="shared" si="2"/>
        <v>1</v>
      </c>
      <c r="BD19" s="48" t="str">
        <f t="shared" si="3"/>
        <v/>
      </c>
      <c r="BE19" s="63" t="str">
        <f t="shared" si="4"/>
        <v/>
      </c>
    </row>
    <row r="20" spans="1:57" ht="12" customHeight="1" x14ac:dyDescent="0.35">
      <c r="A20" s="58">
        <v>13</v>
      </c>
      <c r="B20" s="59" t="str">
        <f>'C. FILIACION'!B20</f>
        <v>RODRIGUEZ RAMIREZ NATALY ARIANA</v>
      </c>
      <c r="C20" s="48" t="s">
        <v>62</v>
      </c>
      <c r="D20" s="48" t="s">
        <v>63</v>
      </c>
      <c r="E20" s="48" t="s">
        <v>63</v>
      </c>
      <c r="F20" s="48" t="s">
        <v>62</v>
      </c>
      <c r="G20" s="48" t="s">
        <v>62</v>
      </c>
      <c r="H20" s="48" t="s">
        <v>62</v>
      </c>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4</v>
      </c>
      <c r="BB20" s="48">
        <f t="shared" si="1"/>
        <v>2</v>
      </c>
      <c r="BC20" s="48" t="str">
        <f t="shared" si="2"/>
        <v/>
      </c>
      <c r="BD20" s="48" t="str">
        <f t="shared" si="3"/>
        <v/>
      </c>
      <c r="BE20" s="63" t="str">
        <f t="shared" si="4"/>
        <v/>
      </c>
    </row>
    <row r="21" spans="1:57" ht="12" customHeight="1" x14ac:dyDescent="0.35">
      <c r="A21" s="58">
        <v>14</v>
      </c>
      <c r="B21" s="59" t="str">
        <f>'C. FILIACION'!B21</f>
        <v>SALAZAR CANAZA CRISTINA MAYRA</v>
      </c>
      <c r="C21" s="48" t="s">
        <v>160</v>
      </c>
      <c r="D21" s="48" t="s">
        <v>63</v>
      </c>
      <c r="E21" s="48" t="s">
        <v>63</v>
      </c>
      <c r="F21" s="48" t="s">
        <v>63</v>
      </c>
      <c r="G21" s="48" t="s">
        <v>63</v>
      </c>
      <c r="H21" s="48" t="s">
        <v>62</v>
      </c>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1</v>
      </c>
      <c r="BB21" s="48">
        <f t="shared" si="1"/>
        <v>4</v>
      </c>
      <c r="BC21" s="48">
        <f t="shared" si="2"/>
        <v>1</v>
      </c>
      <c r="BD21" s="48" t="str">
        <f t="shared" si="3"/>
        <v/>
      </c>
      <c r="BE21" s="63" t="str">
        <f t="shared" si="4"/>
        <v/>
      </c>
    </row>
    <row r="22" spans="1:57" ht="12" customHeight="1" x14ac:dyDescent="0.35">
      <c r="A22" s="58">
        <v>15</v>
      </c>
      <c r="B22" s="59" t="str">
        <f>'C. FILIACION'!B22</f>
        <v>SEVILLANO BALTAZAR AGNESE</v>
      </c>
      <c r="C22" s="48" t="s">
        <v>62</v>
      </c>
      <c r="D22" s="48" t="s">
        <v>62</v>
      </c>
      <c r="E22" s="48" t="s">
        <v>62</v>
      </c>
      <c r="F22" s="48" t="s">
        <v>62</v>
      </c>
      <c r="G22" s="48" t="s">
        <v>62</v>
      </c>
      <c r="H22" s="48" t="s">
        <v>62</v>
      </c>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6</v>
      </c>
      <c r="BB22" s="48" t="str">
        <f t="shared" si="1"/>
        <v/>
      </c>
      <c r="BC22" s="48" t="str">
        <f t="shared" si="2"/>
        <v/>
      </c>
      <c r="BD22" s="48" t="str">
        <f t="shared" si="3"/>
        <v/>
      </c>
      <c r="BE22" s="63" t="str">
        <f t="shared" si="4"/>
        <v/>
      </c>
    </row>
    <row r="23" spans="1:57" ht="12" customHeight="1" x14ac:dyDescent="0.35">
      <c r="A23" s="58">
        <v>16</v>
      </c>
      <c r="B23" s="59" t="str">
        <f>'C. FILIACION'!B23</f>
        <v>TOCONAS HUAYGUA VICTORIA FERNANDA</v>
      </c>
      <c r="C23" s="48" t="s">
        <v>62</v>
      </c>
      <c r="D23" s="48" t="s">
        <v>160</v>
      </c>
      <c r="E23" s="48" t="s">
        <v>62</v>
      </c>
      <c r="F23" s="48" t="s">
        <v>62</v>
      </c>
      <c r="G23" s="48" t="s">
        <v>160</v>
      </c>
      <c r="H23" s="48" t="s">
        <v>62</v>
      </c>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4</v>
      </c>
      <c r="BB23" s="48" t="str">
        <f t="shared" si="1"/>
        <v/>
      </c>
      <c r="BC23" s="48">
        <f t="shared" si="2"/>
        <v>2</v>
      </c>
      <c r="BD23" s="48" t="str">
        <f t="shared" si="3"/>
        <v/>
      </c>
      <c r="BE23" s="63" t="str">
        <f t="shared" si="4"/>
        <v/>
      </c>
    </row>
    <row r="24" spans="1:57" ht="12" customHeight="1" x14ac:dyDescent="0.3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election activeCell="T37" sqref="T37"/>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26" t="s">
        <v>71</v>
      </c>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4"/>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24" t="s">
        <v>49</v>
      </c>
      <c r="AD3" s="308"/>
      <c r="AE3" s="308"/>
      <c r="AF3" s="308"/>
      <c r="AG3" s="308"/>
      <c r="AH3" s="309"/>
      <c r="AI3" s="270">
        <f>CARÁTULA!$H$14</f>
        <v>44228</v>
      </c>
      <c r="AJ3" s="252"/>
      <c r="AK3" s="252"/>
      <c r="AL3" s="252"/>
      <c r="AM3" s="252"/>
      <c r="AN3" s="327" t="s">
        <v>50</v>
      </c>
      <c r="AO3" s="243"/>
      <c r="AP3" s="243"/>
      <c r="AQ3" s="243"/>
      <c r="AR3" s="244"/>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24" t="s">
        <v>52</v>
      </c>
      <c r="AD4" s="308"/>
      <c r="AE4" s="308"/>
      <c r="AF4" s="308"/>
      <c r="AG4" s="308"/>
      <c r="AH4" s="309"/>
      <c r="AI4" s="270">
        <f>CARÁTULA!$J$14</f>
        <v>44323</v>
      </c>
      <c r="AJ4" s="252"/>
      <c r="AK4" s="252"/>
      <c r="AL4" s="252"/>
      <c r="AM4" s="252"/>
      <c r="AN4" s="306">
        <f ca="1">AI4-AI5</f>
        <v>-174</v>
      </c>
      <c r="AO4" s="262"/>
      <c r="AP4" s="262"/>
      <c r="AQ4" s="262"/>
      <c r="AR4" s="263"/>
    </row>
    <row r="5" spans="1:48" ht="12.75" customHeight="1" x14ac:dyDescent="0.4">
      <c r="A5" s="71"/>
      <c r="B5" s="74" t="s">
        <v>22</v>
      </c>
      <c r="C5" s="75" t="str">
        <f>CARÁTULA!$C$23</f>
        <v>2do de Secundaria</v>
      </c>
      <c r="D5" s="76"/>
      <c r="E5" s="76"/>
      <c r="F5" s="76"/>
      <c r="G5" s="74"/>
      <c r="H5" s="74"/>
      <c r="I5" s="74"/>
      <c r="J5" s="74"/>
      <c r="K5" s="74"/>
      <c r="L5" s="74"/>
      <c r="M5" s="74"/>
      <c r="N5" s="74"/>
      <c r="O5" s="77" t="s">
        <v>23</v>
      </c>
      <c r="P5" s="79"/>
      <c r="Q5" s="79"/>
      <c r="R5" s="79"/>
      <c r="S5" s="320">
        <f ca="1">TODAY()</f>
        <v>44497</v>
      </c>
      <c r="T5" s="243"/>
      <c r="U5" s="243"/>
      <c r="V5" s="243"/>
      <c r="W5" s="243"/>
      <c r="X5" s="243"/>
      <c r="Y5" s="243"/>
      <c r="Z5" s="243"/>
      <c r="AA5" s="244"/>
      <c r="AB5" s="76"/>
      <c r="AC5" s="325" t="s">
        <v>53</v>
      </c>
      <c r="AD5" s="308"/>
      <c r="AE5" s="308"/>
      <c r="AF5" s="308"/>
      <c r="AG5" s="308"/>
      <c r="AH5" s="309"/>
      <c r="AI5" s="328">
        <f ca="1">TODAY()</f>
        <v>44497</v>
      </c>
      <c r="AJ5" s="252"/>
      <c r="AK5" s="252"/>
      <c r="AL5" s="252"/>
      <c r="AM5" s="252"/>
      <c r="AN5" s="264"/>
      <c r="AO5" s="265"/>
      <c r="AP5" s="265"/>
      <c r="AQ5" s="265"/>
      <c r="AR5" s="266"/>
    </row>
    <row r="6" spans="1:48" ht="12.75" customHeight="1" x14ac:dyDescent="0.4">
      <c r="A6" s="71"/>
      <c r="B6" s="74"/>
      <c r="C6" s="258" t="s">
        <v>72</v>
      </c>
      <c r="D6" s="259"/>
      <c r="E6" s="259"/>
      <c r="F6" s="259"/>
      <c r="G6" s="259"/>
      <c r="H6" s="259"/>
      <c r="I6" s="259"/>
      <c r="J6" s="259"/>
      <c r="K6" s="259"/>
      <c r="L6" s="259"/>
      <c r="M6" s="259"/>
      <c r="N6" s="259"/>
      <c r="O6" s="259"/>
      <c r="P6" s="259"/>
      <c r="Q6" s="259"/>
      <c r="R6" s="259"/>
      <c r="S6" s="259"/>
      <c r="T6" s="259"/>
      <c r="U6" s="259"/>
      <c r="V6" s="259"/>
      <c r="W6" s="259"/>
      <c r="X6" s="259"/>
      <c r="Y6" s="259"/>
      <c r="Z6" s="259"/>
      <c r="AA6" s="260"/>
      <c r="AB6" s="321" t="s">
        <v>73</v>
      </c>
      <c r="AC6" s="308"/>
      <c r="AD6" s="308"/>
      <c r="AE6" s="309"/>
      <c r="AF6" s="80"/>
      <c r="AG6" s="81"/>
      <c r="AH6" s="81"/>
      <c r="AI6" s="82"/>
      <c r="AJ6" s="83"/>
      <c r="AK6" s="83"/>
      <c r="AL6" s="83"/>
      <c r="AM6" s="83"/>
      <c r="AN6" s="84"/>
      <c r="AO6" s="84"/>
      <c r="AP6" s="84"/>
      <c r="AQ6" s="84"/>
      <c r="AR6" s="84"/>
    </row>
    <row r="7" spans="1:48" ht="12" customHeight="1" x14ac:dyDescent="0.4">
      <c r="A7" s="71"/>
      <c r="B7" s="85"/>
      <c r="C7" s="322" t="s">
        <v>74</v>
      </c>
      <c r="D7" s="323" t="s">
        <v>75</v>
      </c>
      <c r="E7" s="308"/>
      <c r="F7" s="308"/>
      <c r="G7" s="308"/>
      <c r="H7" s="308"/>
      <c r="I7" s="308"/>
      <c r="J7" s="308"/>
      <c r="K7" s="308"/>
      <c r="L7" s="308"/>
      <c r="M7" s="308"/>
      <c r="N7" s="308"/>
      <c r="O7" s="319" t="s">
        <v>76</v>
      </c>
      <c r="P7" s="323" t="s">
        <v>77</v>
      </c>
      <c r="Q7" s="308"/>
      <c r="R7" s="308"/>
      <c r="S7" s="308"/>
      <c r="T7" s="308"/>
      <c r="U7" s="308"/>
      <c r="V7" s="308"/>
      <c r="W7" s="308"/>
      <c r="X7" s="308"/>
      <c r="Y7" s="308"/>
      <c r="Z7" s="308"/>
      <c r="AA7" s="318" t="s">
        <v>78</v>
      </c>
      <c r="AB7" s="319" t="s">
        <v>76</v>
      </c>
      <c r="AC7" s="318" t="s">
        <v>79</v>
      </c>
      <c r="AD7" s="318" t="s">
        <v>80</v>
      </c>
      <c r="AE7" s="319" t="s">
        <v>76</v>
      </c>
      <c r="AF7" s="311" t="s">
        <v>81</v>
      </c>
      <c r="AG7" s="313" t="s">
        <v>82</v>
      </c>
      <c r="AH7" s="314" t="s">
        <v>83</v>
      </c>
      <c r="AI7" s="259"/>
      <c r="AJ7" s="259"/>
      <c r="AK7" s="259"/>
      <c r="AL7" s="259"/>
      <c r="AM7" s="260"/>
      <c r="AN7" s="86"/>
      <c r="AO7" s="76"/>
      <c r="AP7" s="76"/>
      <c r="AQ7" s="76"/>
      <c r="AR7" s="71"/>
    </row>
    <row r="8" spans="1:48" ht="141" x14ac:dyDescent="0.35">
      <c r="A8" s="48" t="s">
        <v>54</v>
      </c>
      <c r="B8" s="49" t="s">
        <v>55</v>
      </c>
      <c r="C8" s="312"/>
      <c r="D8" s="87" t="s">
        <v>84</v>
      </c>
      <c r="E8" s="87" t="s">
        <v>85</v>
      </c>
      <c r="F8" s="52"/>
      <c r="G8" s="53"/>
      <c r="H8" s="53"/>
      <c r="I8" s="53"/>
      <c r="J8" s="53"/>
      <c r="K8" s="53"/>
      <c r="L8" s="53"/>
      <c r="M8" s="53"/>
      <c r="N8" s="54"/>
      <c r="O8" s="312"/>
      <c r="P8" s="87" t="s">
        <v>86</v>
      </c>
      <c r="Q8" s="87" t="s">
        <v>87</v>
      </c>
      <c r="R8" s="52"/>
      <c r="S8" s="53"/>
      <c r="T8" s="53"/>
      <c r="U8" s="53"/>
      <c r="V8" s="53"/>
      <c r="W8" s="53"/>
      <c r="X8" s="53"/>
      <c r="Y8" s="53"/>
      <c r="Z8" s="53"/>
      <c r="AA8" s="312"/>
      <c r="AB8" s="312"/>
      <c r="AC8" s="312"/>
      <c r="AD8" s="312"/>
      <c r="AE8" s="312"/>
      <c r="AF8" s="312"/>
      <c r="AG8" s="312"/>
      <c r="AH8" s="315"/>
      <c r="AI8" s="316"/>
      <c r="AJ8" s="316"/>
      <c r="AK8" s="316"/>
      <c r="AL8" s="316"/>
      <c r="AM8" s="317"/>
      <c r="AN8" s="88"/>
      <c r="AO8" s="88"/>
      <c r="AP8" s="88"/>
      <c r="AQ8" s="88"/>
      <c r="AR8" s="89"/>
    </row>
    <row r="9" spans="1:48" ht="12" customHeight="1" x14ac:dyDescent="0.35">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307" t="str">
        <f t="shared" ref="AH9:AH44" si="5">IF(AG9="","",(IF(AND(AG9&gt;=1,AG9&lt;=50.499),"REPROBADO",IF(AND(AG9&gt;=50.5,AG9&lt;=100),"APROBADO"))))</f>
        <v>APROBADO</v>
      </c>
      <c r="AI9" s="308"/>
      <c r="AJ9" s="308"/>
      <c r="AK9" s="308"/>
      <c r="AL9" s="308"/>
      <c r="AM9" s="309"/>
      <c r="AN9" s="94" t="s">
        <v>88</v>
      </c>
      <c r="AO9" s="310">
        <f>COUNTIF(AF9:AF44,"ED")</f>
        <v>0</v>
      </c>
      <c r="AP9" s="309"/>
      <c r="AQ9" s="95"/>
      <c r="AR9" s="95"/>
    </row>
    <row r="10" spans="1:48" ht="12" customHeight="1" x14ac:dyDescent="0.35">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307" t="str">
        <f t="shared" si="5"/>
        <v>APROBADO</v>
      </c>
      <c r="AI10" s="308"/>
      <c r="AJ10" s="308"/>
      <c r="AK10" s="308"/>
      <c r="AL10" s="308"/>
      <c r="AM10" s="309"/>
      <c r="AN10" s="48" t="s">
        <v>89</v>
      </c>
      <c r="AO10" s="310">
        <f>COUNTIF(AF9:AF44,"DA")</f>
        <v>11</v>
      </c>
      <c r="AP10" s="309"/>
      <c r="AQ10" s="95"/>
      <c r="AR10" s="95"/>
    </row>
    <row r="11" spans="1:48" ht="12" customHeight="1" x14ac:dyDescent="0.35">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307" t="str">
        <f t="shared" si="5"/>
        <v>APROBADO</v>
      </c>
      <c r="AI11" s="308"/>
      <c r="AJ11" s="308"/>
      <c r="AK11" s="308"/>
      <c r="AL11" s="308"/>
      <c r="AM11" s="309"/>
      <c r="AN11" s="48" t="s">
        <v>90</v>
      </c>
      <c r="AO11" s="310">
        <f>COUNTIF(AF9:AF44,"DO")</f>
        <v>0</v>
      </c>
      <c r="AP11" s="309"/>
      <c r="AQ11" s="95"/>
      <c r="AR11" s="95"/>
    </row>
    <row r="12" spans="1:48" ht="12" customHeight="1" x14ac:dyDescent="0.35">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307" t="str">
        <f t="shared" si="5"/>
        <v>APROBADO</v>
      </c>
      <c r="AI12" s="308"/>
      <c r="AJ12" s="308"/>
      <c r="AK12" s="308"/>
      <c r="AL12" s="308"/>
      <c r="AM12" s="309"/>
      <c r="AN12" s="48" t="s">
        <v>91</v>
      </c>
      <c r="AO12" s="310">
        <f>COUNTIF(AF9:AF44,"DP")</f>
        <v>25</v>
      </c>
      <c r="AP12" s="309"/>
      <c r="AQ12" s="95"/>
      <c r="AR12" s="95"/>
    </row>
    <row r="13" spans="1:48" ht="12" customHeight="1" x14ac:dyDescent="0.35">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307" t="str">
        <f t="shared" si="5"/>
        <v>APROBADO</v>
      </c>
      <c r="AI13" s="308"/>
      <c r="AJ13" s="308"/>
      <c r="AK13" s="308"/>
      <c r="AL13" s="308"/>
      <c r="AM13" s="309"/>
      <c r="AN13" s="95"/>
      <c r="AO13" s="95"/>
      <c r="AP13" s="95"/>
      <c r="AQ13" s="95"/>
      <c r="AR13" s="95"/>
    </row>
    <row r="14" spans="1:48" ht="12" customHeight="1" x14ac:dyDescent="0.35">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307" t="str">
        <f t="shared" si="5"/>
        <v>APROBADO</v>
      </c>
      <c r="AI14" s="308"/>
      <c r="AJ14" s="308"/>
      <c r="AK14" s="308"/>
      <c r="AL14" s="308"/>
      <c r="AM14" s="309"/>
      <c r="AN14" s="95"/>
      <c r="AO14" s="95"/>
      <c r="AP14" s="95"/>
      <c r="AQ14" s="95"/>
      <c r="AR14" s="95"/>
    </row>
    <row r="15" spans="1:48" ht="12" customHeight="1" x14ac:dyDescent="0.35">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307" t="str">
        <f t="shared" si="5"/>
        <v>APROBADO</v>
      </c>
      <c r="AI15" s="308"/>
      <c r="AJ15" s="308"/>
      <c r="AK15" s="308"/>
      <c r="AL15" s="308"/>
      <c r="AM15" s="309"/>
      <c r="AN15" s="95"/>
      <c r="AO15" s="95"/>
      <c r="AP15" s="95"/>
      <c r="AQ15" s="95"/>
      <c r="AR15" s="95"/>
    </row>
    <row r="16" spans="1:48" ht="12" customHeight="1" x14ac:dyDescent="0.35">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307" t="str">
        <f t="shared" si="5"/>
        <v>APROBADO</v>
      </c>
      <c r="AI16" s="308"/>
      <c r="AJ16" s="308"/>
      <c r="AK16" s="308"/>
      <c r="AL16" s="308"/>
      <c r="AM16" s="309"/>
      <c r="AN16" s="95"/>
      <c r="AO16" s="95"/>
      <c r="AP16" s="95"/>
      <c r="AQ16" s="95"/>
      <c r="AR16" s="95"/>
    </row>
    <row r="17" spans="1:44" ht="12" customHeight="1" x14ac:dyDescent="0.35">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307" t="str">
        <f t="shared" si="5"/>
        <v>APROBADO</v>
      </c>
      <c r="AI17" s="308"/>
      <c r="AJ17" s="308"/>
      <c r="AK17" s="308"/>
      <c r="AL17" s="308"/>
      <c r="AM17" s="309"/>
      <c r="AN17" s="95"/>
      <c r="AO17" s="95"/>
      <c r="AP17" s="95"/>
      <c r="AQ17" s="95"/>
      <c r="AR17" s="95"/>
    </row>
    <row r="18" spans="1:44" ht="12" customHeight="1" x14ac:dyDescent="0.35">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307" t="str">
        <f t="shared" si="5"/>
        <v>APROBADO</v>
      </c>
      <c r="AI18" s="308"/>
      <c r="AJ18" s="308"/>
      <c r="AK18" s="308"/>
      <c r="AL18" s="308"/>
      <c r="AM18" s="309"/>
      <c r="AN18" s="95"/>
      <c r="AO18" s="95"/>
      <c r="AP18" s="95"/>
      <c r="AQ18" s="95"/>
      <c r="AR18" s="95"/>
    </row>
    <row r="19" spans="1:44" ht="12" customHeight="1" x14ac:dyDescent="0.35">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307" t="str">
        <f t="shared" si="5"/>
        <v>APROBADO</v>
      </c>
      <c r="AI19" s="308"/>
      <c r="AJ19" s="308"/>
      <c r="AK19" s="308"/>
      <c r="AL19" s="308"/>
      <c r="AM19" s="309"/>
      <c r="AN19" s="95"/>
      <c r="AO19" s="95"/>
      <c r="AP19" s="95"/>
      <c r="AQ19" s="95"/>
      <c r="AR19" s="95"/>
    </row>
    <row r="20" spans="1:44" ht="12" customHeight="1" x14ac:dyDescent="0.35">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307" t="str">
        <f t="shared" si="5"/>
        <v>APROBADO</v>
      </c>
      <c r="AI20" s="308"/>
      <c r="AJ20" s="308"/>
      <c r="AK20" s="308"/>
      <c r="AL20" s="308"/>
      <c r="AM20" s="309"/>
      <c r="AN20" s="95"/>
      <c r="AO20" s="95"/>
      <c r="AP20" s="95"/>
      <c r="AQ20" s="95"/>
      <c r="AR20" s="95"/>
    </row>
    <row r="21" spans="1:44" ht="12" customHeight="1" x14ac:dyDescent="0.35">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307" t="str">
        <f t="shared" si="5"/>
        <v>APROBADO</v>
      </c>
      <c r="AI21" s="308"/>
      <c r="AJ21" s="308"/>
      <c r="AK21" s="308"/>
      <c r="AL21" s="308"/>
      <c r="AM21" s="309"/>
      <c r="AN21" s="95"/>
      <c r="AO21" s="95"/>
      <c r="AP21" s="95"/>
      <c r="AQ21" s="95"/>
      <c r="AR21" s="95"/>
    </row>
    <row r="22" spans="1:44" ht="12" customHeight="1" x14ac:dyDescent="0.35">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307" t="str">
        <f t="shared" si="5"/>
        <v>APROBADO</v>
      </c>
      <c r="AI22" s="308"/>
      <c r="AJ22" s="308"/>
      <c r="AK22" s="308"/>
      <c r="AL22" s="308"/>
      <c r="AM22" s="309"/>
      <c r="AN22" s="95"/>
      <c r="AO22" s="95"/>
      <c r="AP22" s="95"/>
      <c r="AQ22" s="95"/>
      <c r="AR22" s="95"/>
    </row>
    <row r="23" spans="1:44" ht="12" customHeight="1" x14ac:dyDescent="0.35">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307" t="str">
        <f t="shared" si="5"/>
        <v>APROBADO</v>
      </c>
      <c r="AI23" s="308"/>
      <c r="AJ23" s="308"/>
      <c r="AK23" s="308"/>
      <c r="AL23" s="308"/>
      <c r="AM23" s="309"/>
      <c r="AN23" s="95"/>
      <c r="AO23" s="95"/>
      <c r="AP23" s="95"/>
      <c r="AQ23" s="95"/>
      <c r="AR23" s="95"/>
    </row>
    <row r="24" spans="1:44" ht="12" customHeight="1" x14ac:dyDescent="0.35">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307" t="str">
        <f t="shared" si="5"/>
        <v>APROBADO</v>
      </c>
      <c r="AI24" s="308"/>
      <c r="AJ24" s="308"/>
      <c r="AK24" s="308"/>
      <c r="AL24" s="308"/>
      <c r="AM24" s="309"/>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307" t="str">
        <f t="shared" si="5"/>
        <v>APROBADO</v>
      </c>
      <c r="AI25" s="308"/>
      <c r="AJ25" s="308"/>
      <c r="AK25" s="308"/>
      <c r="AL25" s="308"/>
      <c r="AM25" s="309"/>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307" t="str">
        <f t="shared" si="5"/>
        <v>APROBADO</v>
      </c>
      <c r="AI26" s="308"/>
      <c r="AJ26" s="308"/>
      <c r="AK26" s="308"/>
      <c r="AL26" s="308"/>
      <c r="AM26" s="309"/>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307" t="str">
        <f t="shared" si="5"/>
        <v>APROBADO</v>
      </c>
      <c r="AI27" s="308"/>
      <c r="AJ27" s="308"/>
      <c r="AK27" s="308"/>
      <c r="AL27" s="308"/>
      <c r="AM27" s="309"/>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307" t="str">
        <f t="shared" si="5"/>
        <v>APROBADO</v>
      </c>
      <c r="AI28" s="308"/>
      <c r="AJ28" s="308"/>
      <c r="AK28" s="308"/>
      <c r="AL28" s="308"/>
      <c r="AM28" s="309"/>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307" t="str">
        <f t="shared" si="5"/>
        <v>APROBADO</v>
      </c>
      <c r="AI29" s="308"/>
      <c r="AJ29" s="308"/>
      <c r="AK29" s="308"/>
      <c r="AL29" s="308"/>
      <c r="AM29" s="309"/>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307" t="str">
        <f t="shared" si="5"/>
        <v>APROBADO</v>
      </c>
      <c r="AI30" s="308"/>
      <c r="AJ30" s="308"/>
      <c r="AK30" s="308"/>
      <c r="AL30" s="308"/>
      <c r="AM30" s="309"/>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307" t="str">
        <f t="shared" si="5"/>
        <v>APROBADO</v>
      </c>
      <c r="AI31" s="308"/>
      <c r="AJ31" s="308"/>
      <c r="AK31" s="308"/>
      <c r="AL31" s="308"/>
      <c r="AM31" s="309"/>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307" t="str">
        <f t="shared" si="5"/>
        <v>APROBADO</v>
      </c>
      <c r="AI32" s="308"/>
      <c r="AJ32" s="308"/>
      <c r="AK32" s="308"/>
      <c r="AL32" s="308"/>
      <c r="AM32" s="309"/>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307" t="str">
        <f t="shared" si="5"/>
        <v>APROBADO</v>
      </c>
      <c r="AI33" s="308"/>
      <c r="AJ33" s="308"/>
      <c r="AK33" s="308"/>
      <c r="AL33" s="308"/>
      <c r="AM33" s="309"/>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307" t="str">
        <f t="shared" si="5"/>
        <v>APROBADO</v>
      </c>
      <c r="AI34" s="308"/>
      <c r="AJ34" s="308"/>
      <c r="AK34" s="308"/>
      <c r="AL34" s="308"/>
      <c r="AM34" s="309"/>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307" t="str">
        <f t="shared" si="5"/>
        <v>APROBADO</v>
      </c>
      <c r="AI35" s="308"/>
      <c r="AJ35" s="308"/>
      <c r="AK35" s="308"/>
      <c r="AL35" s="308"/>
      <c r="AM35" s="309"/>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307" t="str">
        <f t="shared" si="5"/>
        <v>APROBADO</v>
      </c>
      <c r="AI36" s="308"/>
      <c r="AJ36" s="308"/>
      <c r="AK36" s="308"/>
      <c r="AL36" s="308"/>
      <c r="AM36" s="309"/>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307" t="str">
        <f t="shared" si="5"/>
        <v>APROBADO</v>
      </c>
      <c r="AI37" s="308"/>
      <c r="AJ37" s="308"/>
      <c r="AK37" s="308"/>
      <c r="AL37" s="308"/>
      <c r="AM37" s="309"/>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307" t="str">
        <f t="shared" si="5"/>
        <v>APROBADO</v>
      </c>
      <c r="AI38" s="308"/>
      <c r="AJ38" s="308"/>
      <c r="AK38" s="308"/>
      <c r="AL38" s="308"/>
      <c r="AM38" s="309"/>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307" t="str">
        <f t="shared" si="5"/>
        <v>APROBADO</v>
      </c>
      <c r="AI39" s="308"/>
      <c r="AJ39" s="308"/>
      <c r="AK39" s="308"/>
      <c r="AL39" s="308"/>
      <c r="AM39" s="309"/>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307" t="str">
        <f t="shared" si="5"/>
        <v>APROBADO</v>
      </c>
      <c r="AI40" s="308"/>
      <c r="AJ40" s="308"/>
      <c r="AK40" s="308"/>
      <c r="AL40" s="308"/>
      <c r="AM40" s="309"/>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307" t="str">
        <f t="shared" si="5"/>
        <v>APROBADO</v>
      </c>
      <c r="AI41" s="308"/>
      <c r="AJ41" s="308"/>
      <c r="AK41" s="308"/>
      <c r="AL41" s="308"/>
      <c r="AM41" s="309"/>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307" t="str">
        <f t="shared" si="5"/>
        <v>APROBADO</v>
      </c>
      <c r="AI42" s="308"/>
      <c r="AJ42" s="308"/>
      <c r="AK42" s="308"/>
      <c r="AL42" s="308"/>
      <c r="AM42" s="309"/>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307" t="str">
        <f t="shared" si="5"/>
        <v>APROBADO</v>
      </c>
      <c r="AI43" s="308"/>
      <c r="AJ43" s="308"/>
      <c r="AK43" s="308"/>
      <c r="AL43" s="308"/>
      <c r="AM43" s="309"/>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307" t="str">
        <f t="shared" si="5"/>
        <v>APROBADO</v>
      </c>
      <c r="AI44" s="308"/>
      <c r="AJ44" s="308"/>
      <c r="AK44" s="308"/>
      <c r="AL44" s="308"/>
      <c r="AM44" s="309"/>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AG22" sqref="AG22"/>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26" t="s">
        <v>92</v>
      </c>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4"/>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24" t="s">
        <v>49</v>
      </c>
      <c r="AD3" s="308"/>
      <c r="AE3" s="308"/>
      <c r="AF3" s="308"/>
      <c r="AG3" s="308"/>
      <c r="AH3" s="309"/>
      <c r="AI3" s="270">
        <f>CARÁTULA!$H$19</f>
        <v>44326</v>
      </c>
      <c r="AJ3" s="252"/>
      <c r="AK3" s="252"/>
      <c r="AL3" s="252"/>
      <c r="AM3" s="252"/>
      <c r="AN3" s="327" t="s">
        <v>50</v>
      </c>
      <c r="AO3" s="243"/>
      <c r="AP3" s="243"/>
      <c r="AQ3" s="243"/>
      <c r="AR3" s="244"/>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24" t="s">
        <v>52</v>
      </c>
      <c r="AD4" s="308"/>
      <c r="AE4" s="308"/>
      <c r="AF4" s="308"/>
      <c r="AG4" s="308"/>
      <c r="AH4" s="309"/>
      <c r="AI4" s="270">
        <f>CARÁTULA!$J$19</f>
        <v>44439</v>
      </c>
      <c r="AJ4" s="252"/>
      <c r="AK4" s="252"/>
      <c r="AL4" s="252"/>
      <c r="AM4" s="252"/>
      <c r="AN4" s="306">
        <f ca="1">AI4-AI5</f>
        <v>-58</v>
      </c>
      <c r="AO4" s="262"/>
      <c r="AP4" s="262"/>
      <c r="AQ4" s="262"/>
      <c r="AR4" s="263"/>
    </row>
    <row r="5" spans="1:48" ht="12.75" customHeight="1" x14ac:dyDescent="0.4">
      <c r="A5" s="71"/>
      <c r="B5" s="74" t="s">
        <v>22</v>
      </c>
      <c r="C5" s="75" t="str">
        <f>CARÁTULA!$C$23</f>
        <v>2do de Secundaria</v>
      </c>
      <c r="D5" s="76"/>
      <c r="E5" s="76"/>
      <c r="F5" s="76"/>
      <c r="G5" s="74"/>
      <c r="H5" s="74"/>
      <c r="I5" s="74"/>
      <c r="J5" s="74"/>
      <c r="K5" s="74"/>
      <c r="L5" s="74"/>
      <c r="M5" s="74"/>
      <c r="N5" s="74"/>
      <c r="O5" s="74" t="s">
        <v>23</v>
      </c>
      <c r="P5" s="79"/>
      <c r="Q5" s="79"/>
      <c r="R5" s="79"/>
      <c r="S5" s="320">
        <f ca="1">TODAY()</f>
        <v>44497</v>
      </c>
      <c r="T5" s="243"/>
      <c r="U5" s="243"/>
      <c r="V5" s="243"/>
      <c r="W5" s="243"/>
      <c r="X5" s="243"/>
      <c r="Y5" s="243"/>
      <c r="Z5" s="243"/>
      <c r="AA5" s="244"/>
      <c r="AB5" s="76"/>
      <c r="AC5" s="325" t="s">
        <v>53</v>
      </c>
      <c r="AD5" s="308"/>
      <c r="AE5" s="308"/>
      <c r="AF5" s="308"/>
      <c r="AG5" s="308"/>
      <c r="AH5" s="309"/>
      <c r="AI5" s="328">
        <f ca="1">TODAY()</f>
        <v>44497</v>
      </c>
      <c r="AJ5" s="252"/>
      <c r="AK5" s="252"/>
      <c r="AL5" s="252"/>
      <c r="AM5" s="252"/>
      <c r="AN5" s="264"/>
      <c r="AO5" s="265"/>
      <c r="AP5" s="265"/>
      <c r="AQ5" s="265"/>
      <c r="AR5" s="266"/>
    </row>
    <row r="6" spans="1:48" ht="12.75" customHeight="1" x14ac:dyDescent="0.4">
      <c r="A6" s="71"/>
      <c r="B6" s="74"/>
      <c r="C6" s="258" t="s">
        <v>72</v>
      </c>
      <c r="D6" s="259"/>
      <c r="E6" s="259"/>
      <c r="F6" s="259"/>
      <c r="G6" s="259"/>
      <c r="H6" s="259"/>
      <c r="I6" s="259"/>
      <c r="J6" s="259"/>
      <c r="K6" s="259"/>
      <c r="L6" s="259"/>
      <c r="M6" s="259"/>
      <c r="N6" s="259"/>
      <c r="O6" s="259"/>
      <c r="P6" s="259"/>
      <c r="Q6" s="259"/>
      <c r="R6" s="259"/>
      <c r="S6" s="259"/>
      <c r="T6" s="259"/>
      <c r="U6" s="259"/>
      <c r="V6" s="259"/>
      <c r="W6" s="259"/>
      <c r="X6" s="259"/>
      <c r="Y6" s="259"/>
      <c r="Z6" s="259"/>
      <c r="AA6" s="260"/>
      <c r="AB6" s="321" t="s">
        <v>73</v>
      </c>
      <c r="AC6" s="308"/>
      <c r="AD6" s="308"/>
      <c r="AE6" s="309"/>
      <c r="AF6" s="80"/>
      <c r="AG6" s="81"/>
      <c r="AH6" s="81"/>
      <c r="AI6" s="82"/>
      <c r="AJ6" s="83"/>
      <c r="AK6" s="83"/>
      <c r="AL6" s="83"/>
      <c r="AM6" s="83"/>
      <c r="AN6" s="84"/>
      <c r="AO6" s="84"/>
      <c r="AP6" s="84"/>
      <c r="AQ6" s="84"/>
      <c r="AR6" s="84"/>
    </row>
    <row r="7" spans="1:48" ht="12" customHeight="1" x14ac:dyDescent="0.4">
      <c r="A7" s="71"/>
      <c r="B7" s="85"/>
      <c r="C7" s="322" t="s">
        <v>74</v>
      </c>
      <c r="D7" s="323" t="s">
        <v>75</v>
      </c>
      <c r="E7" s="308"/>
      <c r="F7" s="308"/>
      <c r="G7" s="308"/>
      <c r="H7" s="308"/>
      <c r="I7" s="308"/>
      <c r="J7" s="308"/>
      <c r="K7" s="308"/>
      <c r="L7" s="308"/>
      <c r="M7" s="308"/>
      <c r="N7" s="308"/>
      <c r="O7" s="319" t="s">
        <v>76</v>
      </c>
      <c r="P7" s="323" t="s">
        <v>77</v>
      </c>
      <c r="Q7" s="308"/>
      <c r="R7" s="308"/>
      <c r="S7" s="308"/>
      <c r="T7" s="308"/>
      <c r="U7" s="308"/>
      <c r="V7" s="308"/>
      <c r="W7" s="308"/>
      <c r="X7" s="308"/>
      <c r="Y7" s="308"/>
      <c r="Z7" s="308"/>
      <c r="AA7" s="318" t="s">
        <v>78</v>
      </c>
      <c r="AB7" s="319" t="s">
        <v>76</v>
      </c>
      <c r="AC7" s="318" t="s">
        <v>79</v>
      </c>
      <c r="AD7" s="318" t="s">
        <v>80</v>
      </c>
      <c r="AE7" s="319" t="s">
        <v>76</v>
      </c>
      <c r="AF7" s="311" t="s">
        <v>81</v>
      </c>
      <c r="AG7" s="313" t="s">
        <v>82</v>
      </c>
      <c r="AH7" s="314" t="s">
        <v>83</v>
      </c>
      <c r="AI7" s="259"/>
      <c r="AJ7" s="259"/>
      <c r="AK7" s="259"/>
      <c r="AL7" s="259"/>
      <c r="AM7" s="260"/>
      <c r="AN7" s="86"/>
      <c r="AO7" s="76"/>
      <c r="AP7" s="76"/>
      <c r="AQ7" s="76"/>
      <c r="AR7" s="71"/>
    </row>
    <row r="8" spans="1:48" ht="114.6" customHeight="1" x14ac:dyDescent="0.35">
      <c r="A8" s="48" t="s">
        <v>54</v>
      </c>
      <c r="B8" s="49" t="s">
        <v>55</v>
      </c>
      <c r="C8" s="312"/>
      <c r="D8" s="174" t="s">
        <v>228</v>
      </c>
      <c r="E8" s="53" t="s">
        <v>168</v>
      </c>
      <c r="F8" s="175" t="s">
        <v>169</v>
      </c>
      <c r="G8" s="53" t="s">
        <v>241</v>
      </c>
      <c r="H8" s="53" t="s">
        <v>246</v>
      </c>
      <c r="I8" s="53"/>
      <c r="J8" s="53"/>
      <c r="K8" s="53"/>
      <c r="L8" s="53"/>
      <c r="M8" s="53"/>
      <c r="N8" s="54"/>
      <c r="O8" s="312"/>
      <c r="P8" s="180" t="s">
        <v>229</v>
      </c>
      <c r="Q8" s="175" t="s">
        <v>231</v>
      </c>
      <c r="R8" s="174" t="s">
        <v>232</v>
      </c>
      <c r="S8" s="53"/>
      <c r="T8" s="53"/>
      <c r="U8" s="53"/>
      <c r="V8" s="53"/>
      <c r="W8" s="53"/>
      <c r="X8" s="53"/>
      <c r="Y8" s="53"/>
      <c r="Z8" s="53"/>
      <c r="AA8" s="312"/>
      <c r="AB8" s="312"/>
      <c r="AC8" s="312"/>
      <c r="AD8" s="312"/>
      <c r="AE8" s="312"/>
      <c r="AF8" s="312"/>
      <c r="AG8" s="312"/>
      <c r="AH8" s="315"/>
      <c r="AI8" s="316"/>
      <c r="AJ8" s="316"/>
      <c r="AK8" s="316"/>
      <c r="AL8" s="316"/>
      <c r="AM8" s="317"/>
      <c r="AN8" s="88"/>
      <c r="AO8" s="88"/>
      <c r="AP8" s="88"/>
      <c r="AQ8" s="88"/>
      <c r="AR8" s="89"/>
    </row>
    <row r="9" spans="1:48" ht="12" customHeight="1" x14ac:dyDescent="0.35">
      <c r="A9" s="58">
        <v>1</v>
      </c>
      <c r="B9" s="156" t="str">
        <f>'C. FILIACION'!B8</f>
        <v>ALARCON CHURA PRISCILA</v>
      </c>
      <c r="C9" s="209">
        <v>4.615384615384615</v>
      </c>
      <c r="D9" s="209">
        <v>10</v>
      </c>
      <c r="E9" s="210">
        <v>17</v>
      </c>
      <c r="F9" s="210">
        <v>10</v>
      </c>
      <c r="G9" s="209">
        <v>8</v>
      </c>
      <c r="H9" s="209">
        <v>10</v>
      </c>
      <c r="I9" s="209"/>
      <c r="J9" s="209"/>
      <c r="K9" s="209"/>
      <c r="L9" s="209"/>
      <c r="M9" s="209"/>
      <c r="N9" s="209"/>
      <c r="O9" s="211">
        <f t="shared" ref="O9:O44" si="0">IFERROR(ROUND(AVERAGE(D9:N9),0),"")</f>
        <v>11</v>
      </c>
      <c r="P9" s="209">
        <v>10</v>
      </c>
      <c r="Q9" s="209">
        <v>0</v>
      </c>
      <c r="R9" s="210">
        <v>0</v>
      </c>
      <c r="S9" s="209"/>
      <c r="T9" s="209"/>
      <c r="U9" s="209"/>
      <c r="V9" s="209"/>
      <c r="W9" s="209"/>
      <c r="X9" s="209"/>
      <c r="Y9" s="209"/>
      <c r="Z9" s="209"/>
      <c r="AA9" s="209">
        <v>5</v>
      </c>
      <c r="AB9" s="211">
        <f t="shared" ref="AB9:AB44" si="1">IFERROR(ROUND(AVERAGE(P9:Z9),0),"")</f>
        <v>3</v>
      </c>
      <c r="AC9" s="227">
        <v>3</v>
      </c>
      <c r="AD9" s="227">
        <v>3</v>
      </c>
      <c r="AE9" s="211">
        <f t="shared" ref="AE9:AE44" si="2">IFERROR((SUM(AC9,AD9)),"")</f>
        <v>6</v>
      </c>
      <c r="AF9" s="212" t="str">
        <f t="shared" ref="AF9:AF44" si="3">IF(AG9&lt;51,"ED",IF(AG9&lt;67,"DA",IF(AG9&lt;85,"DO","DP")))</f>
        <v>ED</v>
      </c>
      <c r="AG9" s="231">
        <f t="shared" ref="AG9:AG44" si="4">IFERROR((SUM(C9,O9,AA9,AB9,AE9)),"")</f>
        <v>29.615384615384613</v>
      </c>
      <c r="AH9" s="329" t="str">
        <f t="shared" ref="AH9:AH44" si="5">IF(AG9="","",(IF(AND(AG9&gt;=1,AG9&lt;=50.499),"REPROBADO",IF(AND(AG9&gt;=50.5,AG9&lt;=100),"APROBADO"))))</f>
        <v>REPROBADO</v>
      </c>
      <c r="AI9" s="330"/>
      <c r="AJ9" s="330"/>
      <c r="AK9" s="330"/>
      <c r="AL9" s="330"/>
      <c r="AM9" s="331"/>
      <c r="AN9" s="94" t="s">
        <v>88</v>
      </c>
      <c r="AO9" s="310">
        <f>COUNTIF(AF9:AF44,"ED")</f>
        <v>3</v>
      </c>
      <c r="AP9" s="309"/>
      <c r="AQ9" s="95"/>
      <c r="AR9" s="95"/>
    </row>
    <row r="10" spans="1:48" ht="12" customHeight="1" x14ac:dyDescent="0.35">
      <c r="A10" s="58">
        <v>2</v>
      </c>
      <c r="B10" s="156" t="str">
        <f>'C. FILIACION'!B9</f>
        <v>ARCE CHOQUE LUCERO CORAL</v>
      </c>
      <c r="C10" s="209">
        <v>7</v>
      </c>
      <c r="D10" s="209">
        <v>10</v>
      </c>
      <c r="E10" s="210">
        <v>22</v>
      </c>
      <c r="F10" s="210">
        <v>10</v>
      </c>
      <c r="G10" s="209">
        <v>19</v>
      </c>
      <c r="H10" s="209">
        <v>35</v>
      </c>
      <c r="I10" s="209"/>
      <c r="J10" s="209"/>
      <c r="K10" s="209"/>
      <c r="L10" s="209"/>
      <c r="M10" s="209"/>
      <c r="N10" s="209"/>
      <c r="O10" s="211">
        <f t="shared" si="0"/>
        <v>19</v>
      </c>
      <c r="P10" s="209">
        <v>11</v>
      </c>
      <c r="Q10" s="209">
        <v>12</v>
      </c>
      <c r="R10" s="210">
        <v>13</v>
      </c>
      <c r="S10" s="209"/>
      <c r="T10" s="209"/>
      <c r="U10" s="209"/>
      <c r="V10" s="209"/>
      <c r="W10" s="209"/>
      <c r="X10" s="209"/>
      <c r="Y10" s="209"/>
      <c r="Z10" s="209"/>
      <c r="AA10" s="209">
        <v>7</v>
      </c>
      <c r="AB10" s="211">
        <f t="shared" si="1"/>
        <v>12</v>
      </c>
      <c r="AC10" s="227">
        <v>3</v>
      </c>
      <c r="AD10" s="227">
        <v>3</v>
      </c>
      <c r="AE10" s="211">
        <f t="shared" si="2"/>
        <v>6</v>
      </c>
      <c r="AF10" s="212" t="str">
        <f t="shared" si="3"/>
        <v>DA</v>
      </c>
      <c r="AG10" s="231">
        <f t="shared" si="4"/>
        <v>51</v>
      </c>
      <c r="AH10" s="329" t="str">
        <f t="shared" si="5"/>
        <v>APROBADO</v>
      </c>
      <c r="AI10" s="330"/>
      <c r="AJ10" s="330"/>
      <c r="AK10" s="330"/>
      <c r="AL10" s="330"/>
      <c r="AM10" s="331"/>
      <c r="AN10" s="48" t="s">
        <v>89</v>
      </c>
      <c r="AO10" s="310">
        <f>COUNTIF(AF9:AF44,"DA")</f>
        <v>8</v>
      </c>
      <c r="AP10" s="309"/>
      <c r="AQ10" s="95"/>
      <c r="AR10" s="95"/>
    </row>
    <row r="11" spans="1:48" ht="12" customHeight="1" x14ac:dyDescent="0.35">
      <c r="A11" s="58">
        <v>3</v>
      </c>
      <c r="B11" s="90" t="str">
        <f>'C. FILIACION'!B10</f>
        <v>AREQUIPA CALCINA FABIAN JHON</v>
      </c>
      <c r="C11" s="31">
        <v>8.4615384615384617</v>
      </c>
      <c r="D11" s="31">
        <v>15</v>
      </c>
      <c r="E11" s="169">
        <v>25</v>
      </c>
      <c r="F11" s="169">
        <v>10</v>
      </c>
      <c r="G11" s="31">
        <v>17</v>
      </c>
      <c r="H11" s="31">
        <v>18</v>
      </c>
      <c r="I11" s="31"/>
      <c r="J11" s="31"/>
      <c r="K11" s="31"/>
      <c r="L11" s="31"/>
      <c r="M11" s="31"/>
      <c r="N11" s="31"/>
      <c r="O11" s="92">
        <f t="shared" si="0"/>
        <v>17</v>
      </c>
      <c r="P11" s="31">
        <v>13</v>
      </c>
      <c r="Q11" s="31">
        <v>28</v>
      </c>
      <c r="R11" s="169">
        <v>20</v>
      </c>
      <c r="S11" s="31"/>
      <c r="T11" s="31"/>
      <c r="U11" s="31"/>
      <c r="V11" s="31"/>
      <c r="W11" s="31"/>
      <c r="X11" s="31"/>
      <c r="Y11" s="31"/>
      <c r="Z11" s="31"/>
      <c r="AA11" s="31">
        <v>6</v>
      </c>
      <c r="AB11" s="92">
        <f t="shared" si="1"/>
        <v>20</v>
      </c>
      <c r="AC11" s="31">
        <v>3</v>
      </c>
      <c r="AD11" s="31">
        <v>4</v>
      </c>
      <c r="AE11" s="92">
        <f t="shared" si="2"/>
        <v>7</v>
      </c>
      <c r="AF11" s="93" t="str">
        <f t="shared" si="3"/>
        <v>DA</v>
      </c>
      <c r="AG11" s="230">
        <f t="shared" si="4"/>
        <v>58.46153846153846</v>
      </c>
      <c r="AH11" s="307" t="str">
        <f t="shared" si="5"/>
        <v>APROBADO</v>
      </c>
      <c r="AI11" s="308"/>
      <c r="AJ11" s="308"/>
      <c r="AK11" s="308"/>
      <c r="AL11" s="308"/>
      <c r="AM11" s="309"/>
      <c r="AN11" s="48" t="s">
        <v>90</v>
      </c>
      <c r="AO11" s="310">
        <f>COUNTIF(AF9:AF44,"DO")</f>
        <v>4</v>
      </c>
      <c r="AP11" s="309"/>
      <c r="AQ11" s="95"/>
      <c r="AR11" s="95"/>
    </row>
    <row r="12" spans="1:48" ht="12" customHeight="1" x14ac:dyDescent="0.35">
      <c r="A12" s="58">
        <v>4</v>
      </c>
      <c r="B12" s="156" t="str">
        <f>'C. FILIACION'!B11</f>
        <v>CLAURE PARAVICINI RASHEL ROSALY</v>
      </c>
      <c r="C12" s="209">
        <v>4.615384615384615</v>
      </c>
      <c r="D12" s="209">
        <v>10</v>
      </c>
      <c r="E12" s="210">
        <v>17</v>
      </c>
      <c r="F12" s="210">
        <v>30</v>
      </c>
      <c r="G12" s="209">
        <v>35</v>
      </c>
      <c r="H12" s="209">
        <v>10</v>
      </c>
      <c r="I12" s="209"/>
      <c r="J12" s="209"/>
      <c r="K12" s="209"/>
      <c r="L12" s="209"/>
      <c r="M12" s="209"/>
      <c r="N12" s="209"/>
      <c r="O12" s="211">
        <f t="shared" si="0"/>
        <v>20</v>
      </c>
      <c r="P12" s="209">
        <v>12</v>
      </c>
      <c r="Q12" s="209">
        <v>12</v>
      </c>
      <c r="R12" s="210">
        <v>13</v>
      </c>
      <c r="S12" s="209"/>
      <c r="T12" s="209"/>
      <c r="U12" s="209"/>
      <c r="V12" s="209"/>
      <c r="W12" s="209"/>
      <c r="X12" s="209"/>
      <c r="Y12" s="209"/>
      <c r="Z12" s="209"/>
      <c r="AA12" s="209">
        <v>8</v>
      </c>
      <c r="AB12" s="211">
        <f t="shared" si="1"/>
        <v>12</v>
      </c>
      <c r="AC12" s="227">
        <v>3</v>
      </c>
      <c r="AD12" s="227">
        <v>3</v>
      </c>
      <c r="AE12" s="211">
        <f t="shared" si="2"/>
        <v>6</v>
      </c>
      <c r="AF12" s="212" t="str">
        <f t="shared" si="3"/>
        <v>ED</v>
      </c>
      <c r="AG12" s="231">
        <f t="shared" si="4"/>
        <v>50.615384615384613</v>
      </c>
      <c r="AH12" s="329" t="str">
        <f t="shared" si="5"/>
        <v>APROBADO</v>
      </c>
      <c r="AI12" s="330"/>
      <c r="AJ12" s="330"/>
      <c r="AK12" s="330"/>
      <c r="AL12" s="330"/>
      <c r="AM12" s="331"/>
      <c r="AN12" s="48" t="s">
        <v>91</v>
      </c>
      <c r="AO12" s="310">
        <f>COUNTIF(AF9:AF44,"DP")</f>
        <v>21</v>
      </c>
      <c r="AP12" s="309"/>
      <c r="AQ12" s="95"/>
      <c r="AR12" s="95"/>
    </row>
    <row r="13" spans="1:48" ht="12" customHeight="1" x14ac:dyDescent="0.35">
      <c r="A13" s="58">
        <v>5</v>
      </c>
      <c r="B13" s="90" t="str">
        <f>'C. FILIACION'!B12</f>
        <v>CONDORI FLORES ALEJANDRO BRYAN</v>
      </c>
      <c r="C13" s="31">
        <v>9.2307692307692299</v>
      </c>
      <c r="D13" s="31">
        <v>19</v>
      </c>
      <c r="E13" s="157">
        <v>25</v>
      </c>
      <c r="F13" s="157">
        <v>10</v>
      </c>
      <c r="G13" s="31">
        <v>23</v>
      </c>
      <c r="H13" s="31">
        <v>29</v>
      </c>
      <c r="I13" s="31"/>
      <c r="J13" s="31"/>
      <c r="K13" s="31"/>
      <c r="L13" s="31"/>
      <c r="M13" s="31"/>
      <c r="N13" s="31"/>
      <c r="O13" s="92">
        <f t="shared" si="0"/>
        <v>21</v>
      </c>
      <c r="P13" s="31">
        <v>10</v>
      </c>
      <c r="Q13" s="31">
        <v>18</v>
      </c>
      <c r="R13" s="157">
        <v>20</v>
      </c>
      <c r="S13" s="31"/>
      <c r="T13" s="31"/>
      <c r="U13" s="31"/>
      <c r="V13" s="31"/>
      <c r="W13" s="31"/>
      <c r="X13" s="31"/>
      <c r="Y13" s="31"/>
      <c r="Z13" s="31"/>
      <c r="AA13" s="31">
        <v>6</v>
      </c>
      <c r="AB13" s="92">
        <f t="shared" si="1"/>
        <v>16</v>
      </c>
      <c r="AC13" s="227">
        <v>5</v>
      </c>
      <c r="AD13" s="227">
        <v>5</v>
      </c>
      <c r="AE13" s="92">
        <f t="shared" si="2"/>
        <v>10</v>
      </c>
      <c r="AF13" s="93" t="str">
        <f t="shared" si="3"/>
        <v>DA</v>
      </c>
      <c r="AG13" s="230">
        <f t="shared" si="4"/>
        <v>62.230769230769226</v>
      </c>
      <c r="AH13" s="307" t="str">
        <f t="shared" si="5"/>
        <v>APROBADO</v>
      </c>
      <c r="AI13" s="308"/>
      <c r="AJ13" s="308"/>
      <c r="AK13" s="308"/>
      <c r="AL13" s="308"/>
      <c r="AM13" s="309"/>
      <c r="AN13" s="95"/>
      <c r="AO13" s="95"/>
      <c r="AP13" s="95"/>
      <c r="AQ13" s="95"/>
      <c r="AR13" s="95"/>
    </row>
    <row r="14" spans="1:48" ht="12" customHeight="1" x14ac:dyDescent="0.35">
      <c r="A14" s="58">
        <v>6</v>
      </c>
      <c r="B14" s="90" t="str">
        <f>'C. FILIACION'!B13</f>
        <v>DE LA CRUZ SANDOVAL JHON MARCO</v>
      </c>
      <c r="C14" s="31">
        <v>10</v>
      </c>
      <c r="D14" s="31">
        <v>23</v>
      </c>
      <c r="E14" s="157">
        <v>27</v>
      </c>
      <c r="F14" s="157">
        <v>35</v>
      </c>
      <c r="G14" s="31">
        <v>18</v>
      </c>
      <c r="H14" s="31">
        <v>18</v>
      </c>
      <c r="I14" s="31"/>
      <c r="J14" s="31"/>
      <c r="K14" s="31"/>
      <c r="L14" s="31"/>
      <c r="M14" s="31"/>
      <c r="N14" s="31"/>
      <c r="O14" s="92">
        <f t="shared" si="0"/>
        <v>24</v>
      </c>
      <c r="P14" s="31">
        <v>10</v>
      </c>
      <c r="Q14" s="31">
        <v>28</v>
      </c>
      <c r="R14" s="157">
        <v>18</v>
      </c>
      <c r="S14" s="31"/>
      <c r="T14" s="31"/>
      <c r="U14" s="31"/>
      <c r="V14" s="31"/>
      <c r="W14" s="31"/>
      <c r="X14" s="31"/>
      <c r="Y14" s="31"/>
      <c r="Z14" s="31"/>
      <c r="AA14" s="31">
        <v>8</v>
      </c>
      <c r="AB14" s="92">
        <f t="shared" si="1"/>
        <v>19</v>
      </c>
      <c r="AC14" s="31">
        <v>3</v>
      </c>
      <c r="AD14" s="31">
        <v>4</v>
      </c>
      <c r="AE14" s="92">
        <f t="shared" si="2"/>
        <v>7</v>
      </c>
      <c r="AF14" s="93" t="str">
        <f t="shared" si="3"/>
        <v>DO</v>
      </c>
      <c r="AG14" s="230">
        <f t="shared" si="4"/>
        <v>68</v>
      </c>
      <c r="AH14" s="307" t="str">
        <f t="shared" si="5"/>
        <v>APROBADO</v>
      </c>
      <c r="AI14" s="308"/>
      <c r="AJ14" s="308"/>
      <c r="AK14" s="308"/>
      <c r="AL14" s="308"/>
      <c r="AM14" s="309"/>
      <c r="AN14" s="95"/>
      <c r="AO14" s="95"/>
      <c r="AP14" s="95"/>
      <c r="AQ14" s="95"/>
      <c r="AR14" s="95"/>
    </row>
    <row r="15" spans="1:48" ht="12" customHeight="1" x14ac:dyDescent="0.35">
      <c r="A15" s="58">
        <v>7</v>
      </c>
      <c r="B15" s="90" t="str">
        <f>'C. FILIACION'!B14</f>
        <v>GARCÍA IGNACIO MISHEL MAYA</v>
      </c>
      <c r="C15" s="31">
        <v>10</v>
      </c>
      <c r="D15" s="31">
        <v>25</v>
      </c>
      <c r="E15" s="157">
        <v>23</v>
      </c>
      <c r="F15" s="157">
        <v>35</v>
      </c>
      <c r="G15" s="31">
        <v>25</v>
      </c>
      <c r="H15" s="31">
        <v>20</v>
      </c>
      <c r="I15" s="31"/>
      <c r="J15" s="31"/>
      <c r="K15" s="31"/>
      <c r="L15" s="31"/>
      <c r="M15" s="31"/>
      <c r="N15" s="31"/>
      <c r="O15" s="92">
        <f t="shared" si="0"/>
        <v>26</v>
      </c>
      <c r="P15" s="31">
        <v>15</v>
      </c>
      <c r="Q15" s="31">
        <v>31</v>
      </c>
      <c r="R15" s="157">
        <v>17</v>
      </c>
      <c r="S15" s="31"/>
      <c r="T15" s="31"/>
      <c r="U15" s="31"/>
      <c r="V15" s="31"/>
      <c r="W15" s="31"/>
      <c r="X15" s="31"/>
      <c r="Y15" s="31"/>
      <c r="Z15" s="31"/>
      <c r="AA15" s="31">
        <v>8</v>
      </c>
      <c r="AB15" s="92">
        <f t="shared" si="1"/>
        <v>21</v>
      </c>
      <c r="AC15" s="31">
        <v>3</v>
      </c>
      <c r="AD15" s="31">
        <v>4</v>
      </c>
      <c r="AE15" s="92">
        <f t="shared" si="2"/>
        <v>7</v>
      </c>
      <c r="AF15" s="93" t="str">
        <f t="shared" si="3"/>
        <v>DO</v>
      </c>
      <c r="AG15" s="230">
        <f t="shared" si="4"/>
        <v>72</v>
      </c>
      <c r="AH15" s="307" t="str">
        <f t="shared" si="5"/>
        <v>APROBADO</v>
      </c>
      <c r="AI15" s="308"/>
      <c r="AJ15" s="308"/>
      <c r="AK15" s="308"/>
      <c r="AL15" s="308"/>
      <c r="AM15" s="309"/>
      <c r="AN15" s="95"/>
      <c r="AO15" s="95"/>
      <c r="AP15" s="95"/>
      <c r="AQ15" s="95"/>
      <c r="AR15" s="95"/>
    </row>
    <row r="16" spans="1:48" ht="12" customHeight="1" x14ac:dyDescent="0.35">
      <c r="A16" s="58">
        <v>8</v>
      </c>
      <c r="B16" s="90" t="str">
        <f>'C. FILIACION'!B15</f>
        <v>HELGUERO SANCHEZ JHOYSI CAMIL</v>
      </c>
      <c r="C16" s="31">
        <v>9.2307692307692299</v>
      </c>
      <c r="D16" s="31">
        <v>22</v>
      </c>
      <c r="E16" s="157">
        <v>26</v>
      </c>
      <c r="F16" s="157">
        <v>30</v>
      </c>
      <c r="G16" s="31">
        <v>24</v>
      </c>
      <c r="H16" s="31">
        <v>18</v>
      </c>
      <c r="I16" s="31"/>
      <c r="J16" s="31"/>
      <c r="K16" s="31"/>
      <c r="L16" s="31"/>
      <c r="M16" s="31"/>
      <c r="N16" s="31"/>
      <c r="O16" s="92">
        <f t="shared" si="0"/>
        <v>24</v>
      </c>
      <c r="P16" s="31">
        <v>15</v>
      </c>
      <c r="Q16" s="31">
        <v>25</v>
      </c>
      <c r="R16" s="157">
        <v>15</v>
      </c>
      <c r="S16" s="31"/>
      <c r="T16" s="31"/>
      <c r="U16" s="31"/>
      <c r="V16" s="31"/>
      <c r="W16" s="31"/>
      <c r="X16" s="31"/>
      <c r="Y16" s="31"/>
      <c r="Z16" s="31"/>
      <c r="AA16" s="31">
        <v>9</v>
      </c>
      <c r="AB16" s="92">
        <f t="shared" si="1"/>
        <v>18</v>
      </c>
      <c r="AC16" s="227">
        <v>3</v>
      </c>
      <c r="AD16" s="227">
        <v>3</v>
      </c>
      <c r="AE16" s="92">
        <f t="shared" si="2"/>
        <v>6</v>
      </c>
      <c r="AF16" s="93" t="str">
        <f t="shared" si="3"/>
        <v>DA</v>
      </c>
      <c r="AG16" s="230">
        <f t="shared" si="4"/>
        <v>66.230769230769226</v>
      </c>
      <c r="AH16" s="307" t="str">
        <f t="shared" si="5"/>
        <v>APROBADO</v>
      </c>
      <c r="AI16" s="308"/>
      <c r="AJ16" s="308"/>
      <c r="AK16" s="308"/>
      <c r="AL16" s="308"/>
      <c r="AM16" s="309"/>
      <c r="AN16" s="95"/>
      <c r="AO16" s="95"/>
      <c r="AP16" s="95"/>
      <c r="AQ16" s="95"/>
      <c r="AR16" s="95"/>
    </row>
    <row r="17" spans="1:44" ht="12" customHeight="1" x14ac:dyDescent="0.35">
      <c r="A17" s="58">
        <v>9</v>
      </c>
      <c r="B17" s="90" t="str">
        <f>'C. FILIACION'!B16</f>
        <v>LEDEZMA ORELLANA RICARDO ERIK</v>
      </c>
      <c r="C17" s="31">
        <v>10</v>
      </c>
      <c r="D17" s="31">
        <v>25</v>
      </c>
      <c r="E17" s="157">
        <v>28</v>
      </c>
      <c r="F17" s="157">
        <v>35</v>
      </c>
      <c r="G17" s="31">
        <v>23</v>
      </c>
      <c r="H17" s="31">
        <v>23</v>
      </c>
      <c r="I17" s="31"/>
      <c r="J17" s="31"/>
      <c r="K17" s="31"/>
      <c r="L17" s="31"/>
      <c r="M17" s="31"/>
      <c r="N17" s="31"/>
      <c r="O17" s="92">
        <f t="shared" si="0"/>
        <v>27</v>
      </c>
      <c r="P17" s="31">
        <v>20</v>
      </c>
      <c r="Q17" s="31">
        <v>18</v>
      </c>
      <c r="R17" s="157">
        <v>25</v>
      </c>
      <c r="S17" s="31"/>
      <c r="T17" s="31"/>
      <c r="U17" s="31"/>
      <c r="V17" s="31"/>
      <c r="W17" s="31"/>
      <c r="X17" s="31"/>
      <c r="Y17" s="31"/>
      <c r="Z17" s="31"/>
      <c r="AA17" s="31">
        <v>8</v>
      </c>
      <c r="AB17" s="92">
        <f t="shared" si="1"/>
        <v>21</v>
      </c>
      <c r="AC17" s="31">
        <v>3</v>
      </c>
      <c r="AD17" s="31">
        <v>4</v>
      </c>
      <c r="AE17" s="92">
        <f t="shared" si="2"/>
        <v>7</v>
      </c>
      <c r="AF17" s="93" t="str">
        <f t="shared" si="3"/>
        <v>DO</v>
      </c>
      <c r="AG17" s="230">
        <f t="shared" si="4"/>
        <v>73</v>
      </c>
      <c r="AH17" s="307" t="str">
        <f t="shared" si="5"/>
        <v>APROBADO</v>
      </c>
      <c r="AI17" s="308"/>
      <c r="AJ17" s="308"/>
      <c r="AK17" s="308"/>
      <c r="AL17" s="308"/>
      <c r="AM17" s="309"/>
      <c r="AN17" s="95"/>
      <c r="AO17" s="95"/>
      <c r="AP17" s="95"/>
      <c r="AQ17" s="95"/>
      <c r="AR17" s="95"/>
    </row>
    <row r="18" spans="1:44" ht="12" customHeight="1" x14ac:dyDescent="0.35">
      <c r="A18" s="225">
        <v>10</v>
      </c>
      <c r="B18" s="156" t="str">
        <f>'C. FILIACION'!B17</f>
        <v>MAMANI LOPEZ ELIZABETH MILDRED</v>
      </c>
      <c r="C18" s="209">
        <v>3.0769230769230771</v>
      </c>
      <c r="D18" s="209">
        <v>18</v>
      </c>
      <c r="E18" s="210">
        <v>18</v>
      </c>
      <c r="F18" s="210">
        <v>30</v>
      </c>
      <c r="G18" s="209">
        <v>23</v>
      </c>
      <c r="H18" s="209">
        <v>31</v>
      </c>
      <c r="I18" s="209"/>
      <c r="J18" s="209"/>
      <c r="K18" s="209"/>
      <c r="L18" s="209"/>
      <c r="M18" s="209"/>
      <c r="N18" s="209"/>
      <c r="O18" s="211">
        <f t="shared" si="0"/>
        <v>24</v>
      </c>
      <c r="P18" s="209">
        <v>18</v>
      </c>
      <c r="Q18" s="209">
        <v>18</v>
      </c>
      <c r="R18" s="210">
        <v>20</v>
      </c>
      <c r="S18" s="209"/>
      <c r="T18" s="209"/>
      <c r="U18" s="209"/>
      <c r="V18" s="209"/>
      <c r="W18" s="209"/>
      <c r="X18" s="209"/>
      <c r="Y18" s="209"/>
      <c r="Z18" s="209"/>
      <c r="AA18" s="209">
        <v>7</v>
      </c>
      <c r="AB18" s="211">
        <f t="shared" si="1"/>
        <v>19</v>
      </c>
      <c r="AC18" s="209">
        <v>3</v>
      </c>
      <c r="AD18" s="209">
        <v>3</v>
      </c>
      <c r="AE18" s="211">
        <f t="shared" si="2"/>
        <v>6</v>
      </c>
      <c r="AF18" s="212" t="str">
        <f t="shared" si="3"/>
        <v>DA</v>
      </c>
      <c r="AG18" s="231">
        <f t="shared" si="4"/>
        <v>59.07692307692308</v>
      </c>
      <c r="AH18" s="329" t="str">
        <f t="shared" si="5"/>
        <v>APROBADO</v>
      </c>
      <c r="AI18" s="330"/>
      <c r="AJ18" s="330"/>
      <c r="AK18" s="330"/>
      <c r="AL18" s="330"/>
      <c r="AM18" s="331"/>
      <c r="AN18" s="226"/>
      <c r="AO18" s="226"/>
      <c r="AP18" s="95"/>
      <c r="AQ18" s="95"/>
      <c r="AR18" s="95"/>
    </row>
    <row r="19" spans="1:44" ht="12" customHeight="1" x14ac:dyDescent="0.35">
      <c r="A19" s="218">
        <v>11</v>
      </c>
      <c r="B19" s="219" t="str">
        <f>'C. FILIACION'!B18</f>
        <v>MEDINA CHOQUE JUAN JOSE</v>
      </c>
      <c r="C19" s="220">
        <v>2.3076923076923075</v>
      </c>
      <c r="D19" s="220">
        <v>0</v>
      </c>
      <c r="E19" s="221">
        <v>0</v>
      </c>
      <c r="F19" s="221">
        <v>0</v>
      </c>
      <c r="G19" s="220">
        <v>0</v>
      </c>
      <c r="H19" s="220"/>
      <c r="I19" s="220"/>
      <c r="J19" s="220"/>
      <c r="K19" s="220"/>
      <c r="L19" s="220"/>
      <c r="M19" s="220"/>
      <c r="N19" s="220"/>
      <c r="O19" s="222">
        <f t="shared" si="0"/>
        <v>0</v>
      </c>
      <c r="P19" s="220">
        <v>0</v>
      </c>
      <c r="Q19" s="220">
        <v>0</v>
      </c>
      <c r="R19" s="221">
        <v>0</v>
      </c>
      <c r="S19" s="220"/>
      <c r="T19" s="220"/>
      <c r="U19" s="220"/>
      <c r="V19" s="220"/>
      <c r="W19" s="220"/>
      <c r="X19" s="220"/>
      <c r="Y19" s="220"/>
      <c r="Z19" s="220"/>
      <c r="AA19" s="220">
        <v>10</v>
      </c>
      <c r="AB19" s="222">
        <f t="shared" si="1"/>
        <v>0</v>
      </c>
      <c r="AC19" s="220">
        <v>5</v>
      </c>
      <c r="AD19" s="220">
        <v>5</v>
      </c>
      <c r="AE19" s="222">
        <f t="shared" si="2"/>
        <v>10</v>
      </c>
      <c r="AF19" s="223" t="str">
        <f t="shared" si="3"/>
        <v>ED</v>
      </c>
      <c r="AG19" s="232">
        <f t="shared" si="4"/>
        <v>22.307692307692307</v>
      </c>
      <c r="AH19" s="332" t="str">
        <f t="shared" si="5"/>
        <v>REPROBADO</v>
      </c>
      <c r="AI19" s="333"/>
      <c r="AJ19" s="333"/>
      <c r="AK19" s="333"/>
      <c r="AL19" s="333"/>
      <c r="AM19" s="334"/>
      <c r="AN19" s="224"/>
      <c r="AO19" s="224"/>
      <c r="AP19" s="224"/>
      <c r="AQ19" s="224"/>
      <c r="AR19" s="224"/>
    </row>
    <row r="20" spans="1:44" ht="12" customHeight="1" x14ac:dyDescent="0.35">
      <c r="A20" s="58">
        <v>12</v>
      </c>
      <c r="B20" s="90" t="str">
        <f>'C. FILIACION'!B19</f>
        <v>NINA RUEDA SEBASTIAN CARLOS</v>
      </c>
      <c r="C20" s="31">
        <v>9.2307692307692299</v>
      </c>
      <c r="D20" s="31">
        <v>26</v>
      </c>
      <c r="E20" s="157">
        <v>17</v>
      </c>
      <c r="F20" s="157">
        <v>17</v>
      </c>
      <c r="G20" s="31">
        <v>0</v>
      </c>
      <c r="H20" s="31">
        <v>32</v>
      </c>
      <c r="I20" s="31"/>
      <c r="J20" s="31"/>
      <c r="K20" s="31"/>
      <c r="L20" s="31"/>
      <c r="M20" s="31"/>
      <c r="N20" s="31"/>
      <c r="O20" s="92">
        <f t="shared" si="0"/>
        <v>18</v>
      </c>
      <c r="P20" s="31">
        <v>15</v>
      </c>
      <c r="Q20" s="31">
        <v>18</v>
      </c>
      <c r="R20" s="157">
        <v>15</v>
      </c>
      <c r="S20" s="31"/>
      <c r="T20" s="31"/>
      <c r="U20" s="31"/>
      <c r="V20" s="31"/>
      <c r="W20" s="31"/>
      <c r="X20" s="31"/>
      <c r="Y20" s="31"/>
      <c r="Z20" s="31"/>
      <c r="AA20" s="31">
        <v>7</v>
      </c>
      <c r="AB20" s="92">
        <f t="shared" si="1"/>
        <v>16</v>
      </c>
      <c r="AC20" s="31">
        <v>4</v>
      </c>
      <c r="AD20" s="31">
        <v>4</v>
      </c>
      <c r="AE20" s="92">
        <f t="shared" si="2"/>
        <v>8</v>
      </c>
      <c r="AF20" s="93" t="str">
        <f t="shared" si="3"/>
        <v>DA</v>
      </c>
      <c r="AG20" s="230">
        <f t="shared" si="4"/>
        <v>58.230769230769226</v>
      </c>
      <c r="AH20" s="307" t="str">
        <f t="shared" si="5"/>
        <v>APROBADO</v>
      </c>
      <c r="AI20" s="308"/>
      <c r="AJ20" s="308"/>
      <c r="AK20" s="308"/>
      <c r="AL20" s="308"/>
      <c r="AM20" s="309"/>
      <c r="AN20" s="95"/>
      <c r="AO20" s="95"/>
      <c r="AP20" s="95"/>
      <c r="AQ20" s="95"/>
      <c r="AR20" s="95"/>
    </row>
    <row r="21" spans="1:44" ht="12" customHeight="1" x14ac:dyDescent="0.35">
      <c r="A21" s="58">
        <v>13</v>
      </c>
      <c r="B21" s="90" t="str">
        <f>'C. FILIACION'!B20</f>
        <v>RODRIGUEZ RAMIREZ NATALY ARIANA</v>
      </c>
      <c r="C21" s="31">
        <v>10</v>
      </c>
      <c r="D21" s="31">
        <v>15</v>
      </c>
      <c r="E21" s="157">
        <v>17</v>
      </c>
      <c r="F21" s="157">
        <v>15</v>
      </c>
      <c r="G21" s="31">
        <v>20</v>
      </c>
      <c r="H21" s="31">
        <v>32</v>
      </c>
      <c r="I21" s="31"/>
      <c r="J21" s="31"/>
      <c r="K21" s="31"/>
      <c r="L21" s="31"/>
      <c r="M21" s="31"/>
      <c r="N21" s="31"/>
      <c r="O21" s="92">
        <f t="shared" si="0"/>
        <v>20</v>
      </c>
      <c r="P21" s="31">
        <v>18</v>
      </c>
      <c r="Q21" s="31">
        <v>30</v>
      </c>
      <c r="R21" s="157">
        <v>15</v>
      </c>
      <c r="S21" s="31"/>
      <c r="T21" s="31"/>
      <c r="U21" s="31"/>
      <c r="V21" s="31"/>
      <c r="W21" s="31"/>
      <c r="X21" s="31"/>
      <c r="Y21" s="31"/>
      <c r="Z21" s="31"/>
      <c r="AA21" s="31">
        <v>9</v>
      </c>
      <c r="AB21" s="92">
        <f t="shared" si="1"/>
        <v>21</v>
      </c>
      <c r="AC21" s="229">
        <v>5</v>
      </c>
      <c r="AD21" s="229">
        <v>4</v>
      </c>
      <c r="AE21" s="92">
        <f t="shared" si="2"/>
        <v>9</v>
      </c>
      <c r="AF21" s="93" t="str">
        <f t="shared" si="3"/>
        <v>DO</v>
      </c>
      <c r="AG21" s="230">
        <f t="shared" si="4"/>
        <v>69</v>
      </c>
      <c r="AH21" s="307" t="str">
        <f t="shared" si="5"/>
        <v>APROBADO</v>
      </c>
      <c r="AI21" s="308"/>
      <c r="AJ21" s="308"/>
      <c r="AK21" s="308"/>
      <c r="AL21" s="308"/>
      <c r="AM21" s="309"/>
      <c r="AN21" s="95"/>
      <c r="AO21" s="95"/>
      <c r="AP21" s="95"/>
      <c r="AQ21" s="95"/>
      <c r="AR21" s="95"/>
    </row>
    <row r="22" spans="1:44" ht="12" customHeight="1" x14ac:dyDescent="0.35">
      <c r="A22" s="58">
        <v>14</v>
      </c>
      <c r="B22" s="90" t="str">
        <f>'C. FILIACION'!B21</f>
        <v>SALAZAR CANAZA CRISTINA MAYRA</v>
      </c>
      <c r="C22" s="31">
        <v>6</v>
      </c>
      <c r="D22" s="31">
        <v>32</v>
      </c>
      <c r="E22" s="157">
        <v>18</v>
      </c>
      <c r="F22" s="157">
        <v>15</v>
      </c>
      <c r="G22" s="31">
        <v>18</v>
      </c>
      <c r="H22" s="31">
        <v>34</v>
      </c>
      <c r="I22" s="31"/>
      <c r="J22" s="31"/>
      <c r="K22" s="31"/>
      <c r="L22" s="31"/>
      <c r="M22" s="31"/>
      <c r="N22" s="31"/>
      <c r="O22" s="92">
        <f t="shared" si="0"/>
        <v>23</v>
      </c>
      <c r="P22" s="31">
        <v>18</v>
      </c>
      <c r="Q22" s="31">
        <v>18</v>
      </c>
      <c r="R22" s="157">
        <v>18</v>
      </c>
      <c r="S22" s="31"/>
      <c r="T22" s="31"/>
      <c r="U22" s="31"/>
      <c r="V22" s="31"/>
      <c r="W22" s="31"/>
      <c r="X22" s="31"/>
      <c r="Y22" s="31"/>
      <c r="Z22" s="31"/>
      <c r="AA22" s="31">
        <v>7</v>
      </c>
      <c r="AB22" s="92">
        <f t="shared" si="1"/>
        <v>18</v>
      </c>
      <c r="AC22" s="229">
        <v>2</v>
      </c>
      <c r="AD22" s="229">
        <v>4</v>
      </c>
      <c r="AE22" s="92">
        <f t="shared" si="2"/>
        <v>6</v>
      </c>
      <c r="AF22" s="93" t="str">
        <f t="shared" si="3"/>
        <v>DA</v>
      </c>
      <c r="AG22" s="230">
        <f t="shared" si="4"/>
        <v>60</v>
      </c>
      <c r="AH22" s="307" t="str">
        <f t="shared" si="5"/>
        <v>APROBADO</v>
      </c>
      <c r="AI22" s="308"/>
      <c r="AJ22" s="308"/>
      <c r="AK22" s="308"/>
      <c r="AL22" s="308"/>
      <c r="AM22" s="309"/>
      <c r="AN22" s="95"/>
      <c r="AO22" s="95"/>
      <c r="AP22" s="95"/>
      <c r="AQ22" s="95"/>
      <c r="AR22" s="95"/>
    </row>
    <row r="23" spans="1:44" ht="12" customHeight="1" x14ac:dyDescent="0.35">
      <c r="A23" s="58">
        <v>15</v>
      </c>
      <c r="B23" s="90" t="str">
        <f>'C. FILIACION'!B22</f>
        <v>SEVILLANO BALTAZAR AGNESE</v>
      </c>
      <c r="C23" s="31">
        <v>10</v>
      </c>
      <c r="D23" s="31">
        <v>25</v>
      </c>
      <c r="E23" s="157">
        <v>35</v>
      </c>
      <c r="F23" s="157">
        <v>35</v>
      </c>
      <c r="G23" s="31">
        <v>25</v>
      </c>
      <c r="H23" s="31">
        <v>27</v>
      </c>
      <c r="I23" s="31"/>
      <c r="J23" s="31"/>
      <c r="K23" s="31"/>
      <c r="L23" s="31"/>
      <c r="M23" s="31"/>
      <c r="N23" s="31"/>
      <c r="O23" s="92">
        <f t="shared" si="0"/>
        <v>29</v>
      </c>
      <c r="P23" s="31">
        <v>35</v>
      </c>
      <c r="Q23" s="31">
        <v>32</v>
      </c>
      <c r="R23" s="157">
        <v>32</v>
      </c>
      <c r="S23" s="31"/>
      <c r="T23" s="31"/>
      <c r="U23" s="31"/>
      <c r="V23" s="31"/>
      <c r="W23" s="31"/>
      <c r="X23" s="31"/>
      <c r="Y23" s="31"/>
      <c r="Z23" s="31"/>
      <c r="AA23" s="31">
        <v>10</v>
      </c>
      <c r="AB23" s="92">
        <f t="shared" si="1"/>
        <v>33</v>
      </c>
      <c r="AC23" s="31">
        <v>4</v>
      </c>
      <c r="AD23" s="31">
        <v>4</v>
      </c>
      <c r="AE23" s="92">
        <f t="shared" si="2"/>
        <v>8</v>
      </c>
      <c r="AF23" s="93" t="str">
        <f t="shared" si="3"/>
        <v>DP</v>
      </c>
      <c r="AG23" s="230">
        <f t="shared" si="4"/>
        <v>90</v>
      </c>
      <c r="AH23" s="307" t="str">
        <f t="shared" si="5"/>
        <v>APROBADO</v>
      </c>
      <c r="AI23" s="308"/>
      <c r="AJ23" s="308"/>
      <c r="AK23" s="308"/>
      <c r="AL23" s="308"/>
      <c r="AM23" s="309"/>
      <c r="AN23" s="95"/>
      <c r="AO23" s="95"/>
      <c r="AP23" s="95"/>
      <c r="AQ23" s="95"/>
      <c r="AR23" s="95"/>
    </row>
    <row r="24" spans="1:44" ht="12" customHeight="1" x14ac:dyDescent="0.35">
      <c r="A24" s="58">
        <v>16</v>
      </c>
      <c r="B24" s="90" t="str">
        <f>'C. FILIACION'!B23</f>
        <v>TOCONAS HUAYGUA VICTORIA FERNANDA</v>
      </c>
      <c r="C24" s="31">
        <v>9.2307692307692299</v>
      </c>
      <c r="D24" s="31">
        <v>15</v>
      </c>
      <c r="E24" s="157">
        <v>14</v>
      </c>
      <c r="F24" s="157">
        <v>20</v>
      </c>
      <c r="G24" s="31">
        <v>0</v>
      </c>
      <c r="H24" s="31">
        <v>18</v>
      </c>
      <c r="I24" s="31"/>
      <c r="J24" s="31"/>
      <c r="K24" s="31"/>
      <c r="L24" s="31"/>
      <c r="M24" s="31"/>
      <c r="N24" s="31"/>
      <c r="O24" s="92">
        <f t="shared" si="0"/>
        <v>13</v>
      </c>
      <c r="P24" s="31">
        <v>15</v>
      </c>
      <c r="Q24" s="31">
        <v>16</v>
      </c>
      <c r="R24" s="157">
        <v>20</v>
      </c>
      <c r="S24" s="31"/>
      <c r="T24" s="31"/>
      <c r="U24" s="31"/>
      <c r="V24" s="31"/>
      <c r="W24" s="31"/>
      <c r="X24" s="31"/>
      <c r="Y24" s="31"/>
      <c r="Z24" s="31"/>
      <c r="AA24" s="31">
        <v>7</v>
      </c>
      <c r="AB24" s="92">
        <f t="shared" si="1"/>
        <v>17</v>
      </c>
      <c r="AC24" s="227">
        <v>3</v>
      </c>
      <c r="AD24" s="227">
        <v>3</v>
      </c>
      <c r="AE24" s="92">
        <f t="shared" si="2"/>
        <v>6</v>
      </c>
      <c r="AF24" s="93" t="str">
        <f t="shared" si="3"/>
        <v>DA</v>
      </c>
      <c r="AG24" s="230">
        <f t="shared" si="4"/>
        <v>52.230769230769226</v>
      </c>
      <c r="AH24" s="307" t="str">
        <f t="shared" si="5"/>
        <v>APROBADO</v>
      </c>
      <c r="AI24" s="308"/>
      <c r="AJ24" s="308"/>
      <c r="AK24" s="308"/>
      <c r="AL24" s="308"/>
      <c r="AM24" s="309"/>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307" t="str">
        <f t="shared" si="5"/>
        <v>APROBADO</v>
      </c>
      <c r="AI25" s="308"/>
      <c r="AJ25" s="308"/>
      <c r="AK25" s="308"/>
      <c r="AL25" s="308"/>
      <c r="AM25" s="309"/>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307" t="str">
        <f t="shared" si="5"/>
        <v>APROBADO</v>
      </c>
      <c r="AI26" s="308"/>
      <c r="AJ26" s="308"/>
      <c r="AK26" s="308"/>
      <c r="AL26" s="308"/>
      <c r="AM26" s="309"/>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307" t="str">
        <f t="shared" si="5"/>
        <v>APROBADO</v>
      </c>
      <c r="AI27" s="308"/>
      <c r="AJ27" s="308"/>
      <c r="AK27" s="308"/>
      <c r="AL27" s="308"/>
      <c r="AM27" s="309"/>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307" t="str">
        <f t="shared" si="5"/>
        <v>APROBADO</v>
      </c>
      <c r="AI28" s="308"/>
      <c r="AJ28" s="308"/>
      <c r="AK28" s="308"/>
      <c r="AL28" s="308"/>
      <c r="AM28" s="309"/>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307" t="str">
        <f t="shared" si="5"/>
        <v>APROBADO</v>
      </c>
      <c r="AI29" s="308"/>
      <c r="AJ29" s="308"/>
      <c r="AK29" s="308"/>
      <c r="AL29" s="308"/>
      <c r="AM29" s="309"/>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307" t="str">
        <f t="shared" si="5"/>
        <v>APROBADO</v>
      </c>
      <c r="AI30" s="308"/>
      <c r="AJ30" s="308"/>
      <c r="AK30" s="308"/>
      <c r="AL30" s="308"/>
      <c r="AM30" s="309"/>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307" t="str">
        <f t="shared" si="5"/>
        <v>APROBADO</v>
      </c>
      <c r="AI31" s="308"/>
      <c r="AJ31" s="308"/>
      <c r="AK31" s="308"/>
      <c r="AL31" s="308"/>
      <c r="AM31" s="309"/>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307" t="str">
        <f t="shared" si="5"/>
        <v>APROBADO</v>
      </c>
      <c r="AI32" s="308"/>
      <c r="AJ32" s="308"/>
      <c r="AK32" s="308"/>
      <c r="AL32" s="308"/>
      <c r="AM32" s="309"/>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307" t="str">
        <f t="shared" si="5"/>
        <v>APROBADO</v>
      </c>
      <c r="AI33" s="308"/>
      <c r="AJ33" s="308"/>
      <c r="AK33" s="308"/>
      <c r="AL33" s="308"/>
      <c r="AM33" s="309"/>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307" t="str">
        <f t="shared" si="5"/>
        <v>APROBADO</v>
      </c>
      <c r="AI34" s="308"/>
      <c r="AJ34" s="308"/>
      <c r="AK34" s="308"/>
      <c r="AL34" s="308"/>
      <c r="AM34" s="309"/>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307" t="str">
        <f t="shared" si="5"/>
        <v>APROBADO</v>
      </c>
      <c r="AI35" s="308"/>
      <c r="AJ35" s="308"/>
      <c r="AK35" s="308"/>
      <c r="AL35" s="308"/>
      <c r="AM35" s="309"/>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307" t="str">
        <f t="shared" si="5"/>
        <v>APROBADO</v>
      </c>
      <c r="AI36" s="308"/>
      <c r="AJ36" s="308"/>
      <c r="AK36" s="308"/>
      <c r="AL36" s="308"/>
      <c r="AM36" s="309"/>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307" t="str">
        <f t="shared" si="5"/>
        <v>APROBADO</v>
      </c>
      <c r="AI37" s="308"/>
      <c r="AJ37" s="308"/>
      <c r="AK37" s="308"/>
      <c r="AL37" s="308"/>
      <c r="AM37" s="309"/>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307" t="str">
        <f t="shared" si="5"/>
        <v>APROBADO</v>
      </c>
      <c r="AI38" s="308"/>
      <c r="AJ38" s="308"/>
      <c r="AK38" s="308"/>
      <c r="AL38" s="308"/>
      <c r="AM38" s="309"/>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307" t="str">
        <f t="shared" si="5"/>
        <v>APROBADO</v>
      </c>
      <c r="AI39" s="308"/>
      <c r="AJ39" s="308"/>
      <c r="AK39" s="308"/>
      <c r="AL39" s="308"/>
      <c r="AM39" s="309"/>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307" t="str">
        <f t="shared" si="5"/>
        <v>APROBADO</v>
      </c>
      <c r="AI40" s="308"/>
      <c r="AJ40" s="308"/>
      <c r="AK40" s="308"/>
      <c r="AL40" s="308"/>
      <c r="AM40" s="309"/>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307" t="str">
        <f t="shared" si="5"/>
        <v>APROBADO</v>
      </c>
      <c r="AI41" s="308"/>
      <c r="AJ41" s="308"/>
      <c r="AK41" s="308"/>
      <c r="AL41" s="308"/>
      <c r="AM41" s="309"/>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307" t="str">
        <f t="shared" si="5"/>
        <v>APROBADO</v>
      </c>
      <c r="AI42" s="308"/>
      <c r="AJ42" s="308"/>
      <c r="AK42" s="308"/>
      <c r="AL42" s="308"/>
      <c r="AM42" s="309"/>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307" t="str">
        <f t="shared" si="5"/>
        <v>APROBADO</v>
      </c>
      <c r="AI43" s="308"/>
      <c r="AJ43" s="308"/>
      <c r="AK43" s="308"/>
      <c r="AL43" s="308"/>
      <c r="AM43" s="309"/>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307" t="str">
        <f t="shared" si="5"/>
        <v>APROBADO</v>
      </c>
      <c r="AI44" s="308"/>
      <c r="AJ44" s="308"/>
      <c r="AK44" s="308"/>
      <c r="AL44" s="308"/>
      <c r="AM44" s="309"/>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election activeCell="T37" sqref="T37"/>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26" t="s">
        <v>93</v>
      </c>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4"/>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24" t="s">
        <v>49</v>
      </c>
      <c r="AD3" s="308"/>
      <c r="AE3" s="308"/>
      <c r="AF3" s="308"/>
      <c r="AG3" s="308"/>
      <c r="AH3" s="309"/>
      <c r="AI3" s="270">
        <f>CARÁTULA!$H$24</f>
        <v>44440</v>
      </c>
      <c r="AJ3" s="252"/>
      <c r="AK3" s="252"/>
      <c r="AL3" s="252"/>
      <c r="AM3" s="252"/>
      <c r="AN3" s="327" t="s">
        <v>50</v>
      </c>
      <c r="AO3" s="243"/>
      <c r="AP3" s="243"/>
      <c r="AQ3" s="243"/>
      <c r="AR3" s="244"/>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24" t="s">
        <v>52</v>
      </c>
      <c r="AD4" s="308"/>
      <c r="AE4" s="308"/>
      <c r="AF4" s="308"/>
      <c r="AG4" s="308"/>
      <c r="AH4" s="309"/>
      <c r="AI4" s="270">
        <f>CARÁTULA!$J$24</f>
        <v>44531</v>
      </c>
      <c r="AJ4" s="252"/>
      <c r="AK4" s="252"/>
      <c r="AL4" s="252"/>
      <c r="AM4" s="252"/>
      <c r="AN4" s="306">
        <f ca="1">AI4-AI5</f>
        <v>34</v>
      </c>
      <c r="AO4" s="262"/>
      <c r="AP4" s="262"/>
      <c r="AQ4" s="262"/>
      <c r="AR4" s="263"/>
    </row>
    <row r="5" spans="1:48" ht="12.75" customHeight="1" x14ac:dyDescent="0.4">
      <c r="A5" s="71"/>
      <c r="B5" s="74" t="s">
        <v>22</v>
      </c>
      <c r="C5" s="75" t="str">
        <f>CARÁTULA!$C$23</f>
        <v>2do de Secundaria</v>
      </c>
      <c r="D5" s="76"/>
      <c r="E5" s="76"/>
      <c r="F5" s="76"/>
      <c r="G5" s="74"/>
      <c r="H5" s="74"/>
      <c r="I5" s="74"/>
      <c r="J5" s="74"/>
      <c r="K5" s="74"/>
      <c r="L5" s="74"/>
      <c r="M5" s="74"/>
      <c r="N5" s="74"/>
      <c r="O5" s="77" t="s">
        <v>23</v>
      </c>
      <c r="P5" s="79"/>
      <c r="Q5" s="79"/>
      <c r="R5" s="79"/>
      <c r="S5" s="320">
        <f ca="1">TODAY()</f>
        <v>44497</v>
      </c>
      <c r="T5" s="243"/>
      <c r="U5" s="243"/>
      <c r="V5" s="243"/>
      <c r="W5" s="243"/>
      <c r="X5" s="243"/>
      <c r="Y5" s="243"/>
      <c r="Z5" s="243"/>
      <c r="AA5" s="244"/>
      <c r="AB5" s="76"/>
      <c r="AC5" s="325" t="s">
        <v>53</v>
      </c>
      <c r="AD5" s="308"/>
      <c r="AE5" s="308"/>
      <c r="AF5" s="308"/>
      <c r="AG5" s="308"/>
      <c r="AH5" s="309"/>
      <c r="AI5" s="328">
        <f ca="1">TODAY()</f>
        <v>44497</v>
      </c>
      <c r="AJ5" s="252"/>
      <c r="AK5" s="252"/>
      <c r="AL5" s="252"/>
      <c r="AM5" s="252"/>
      <c r="AN5" s="264"/>
      <c r="AO5" s="265"/>
      <c r="AP5" s="265"/>
      <c r="AQ5" s="265"/>
      <c r="AR5" s="266"/>
    </row>
    <row r="6" spans="1:48" ht="12.75" customHeight="1" x14ac:dyDescent="0.4">
      <c r="A6" s="71"/>
      <c r="B6" s="74"/>
      <c r="C6" s="258" t="s">
        <v>72</v>
      </c>
      <c r="D6" s="259"/>
      <c r="E6" s="259"/>
      <c r="F6" s="259"/>
      <c r="G6" s="259"/>
      <c r="H6" s="259"/>
      <c r="I6" s="259"/>
      <c r="J6" s="259"/>
      <c r="K6" s="259"/>
      <c r="L6" s="259"/>
      <c r="M6" s="259"/>
      <c r="N6" s="259"/>
      <c r="O6" s="259"/>
      <c r="P6" s="259"/>
      <c r="Q6" s="259"/>
      <c r="R6" s="259"/>
      <c r="S6" s="259"/>
      <c r="T6" s="259"/>
      <c r="U6" s="259"/>
      <c r="V6" s="259"/>
      <c r="W6" s="259"/>
      <c r="X6" s="259"/>
      <c r="Y6" s="259"/>
      <c r="Z6" s="259"/>
      <c r="AA6" s="260"/>
      <c r="AB6" s="321" t="s">
        <v>73</v>
      </c>
      <c r="AC6" s="308"/>
      <c r="AD6" s="308"/>
      <c r="AE6" s="309"/>
      <c r="AF6" s="80"/>
      <c r="AG6" s="81"/>
      <c r="AH6" s="81"/>
      <c r="AI6" s="82"/>
      <c r="AJ6" s="83"/>
      <c r="AK6" s="83"/>
      <c r="AL6" s="83"/>
      <c r="AM6" s="83"/>
      <c r="AN6" s="84"/>
      <c r="AO6" s="84"/>
      <c r="AP6" s="84"/>
      <c r="AQ6" s="84"/>
      <c r="AR6" s="84"/>
    </row>
    <row r="7" spans="1:48" ht="12" customHeight="1" x14ac:dyDescent="0.4">
      <c r="A7" s="71"/>
      <c r="B7" s="85"/>
      <c r="C7" s="322" t="s">
        <v>74</v>
      </c>
      <c r="D7" s="323" t="s">
        <v>75</v>
      </c>
      <c r="E7" s="308"/>
      <c r="F7" s="308"/>
      <c r="G7" s="308"/>
      <c r="H7" s="308"/>
      <c r="I7" s="308"/>
      <c r="J7" s="308"/>
      <c r="K7" s="308"/>
      <c r="L7" s="308"/>
      <c r="M7" s="308"/>
      <c r="N7" s="308"/>
      <c r="O7" s="319" t="s">
        <v>76</v>
      </c>
      <c r="P7" s="323" t="s">
        <v>77</v>
      </c>
      <c r="Q7" s="308"/>
      <c r="R7" s="308"/>
      <c r="S7" s="308"/>
      <c r="T7" s="308"/>
      <c r="U7" s="308"/>
      <c r="V7" s="308"/>
      <c r="W7" s="308"/>
      <c r="X7" s="308"/>
      <c r="Y7" s="308"/>
      <c r="Z7" s="308"/>
      <c r="AA7" s="318" t="s">
        <v>78</v>
      </c>
      <c r="AB7" s="319" t="s">
        <v>76</v>
      </c>
      <c r="AC7" s="318" t="s">
        <v>79</v>
      </c>
      <c r="AD7" s="318" t="s">
        <v>80</v>
      </c>
      <c r="AE7" s="319" t="s">
        <v>76</v>
      </c>
      <c r="AF7" s="311" t="s">
        <v>81</v>
      </c>
      <c r="AG7" s="313" t="s">
        <v>82</v>
      </c>
      <c r="AH7" s="314" t="s">
        <v>83</v>
      </c>
      <c r="AI7" s="259"/>
      <c r="AJ7" s="259"/>
      <c r="AK7" s="259"/>
      <c r="AL7" s="259"/>
      <c r="AM7" s="260"/>
      <c r="AN7" s="86"/>
      <c r="AO7" s="76"/>
      <c r="AP7" s="76"/>
      <c r="AQ7" s="76"/>
      <c r="AR7" s="71"/>
    </row>
    <row r="8" spans="1:48" ht="67.5" customHeight="1" x14ac:dyDescent="0.35">
      <c r="A8" s="48" t="s">
        <v>54</v>
      </c>
      <c r="B8" s="49" t="s">
        <v>55</v>
      </c>
      <c r="C8" s="312"/>
      <c r="D8" s="53"/>
      <c r="E8" s="53"/>
      <c r="F8" s="53"/>
      <c r="G8" s="53"/>
      <c r="H8" s="53"/>
      <c r="I8" s="53"/>
      <c r="J8" s="53"/>
      <c r="K8" s="53"/>
      <c r="L8" s="53"/>
      <c r="M8" s="53"/>
      <c r="N8" s="54"/>
      <c r="O8" s="312"/>
      <c r="P8" s="96"/>
      <c r="Q8" s="53"/>
      <c r="R8" s="53"/>
      <c r="S8" s="53"/>
      <c r="T8" s="53"/>
      <c r="U8" s="53"/>
      <c r="V8" s="53"/>
      <c r="W8" s="53"/>
      <c r="X8" s="53"/>
      <c r="Y8" s="53"/>
      <c r="Z8" s="53"/>
      <c r="AA8" s="312"/>
      <c r="AB8" s="312"/>
      <c r="AC8" s="312"/>
      <c r="AD8" s="312"/>
      <c r="AE8" s="312"/>
      <c r="AF8" s="312"/>
      <c r="AG8" s="312"/>
      <c r="AH8" s="315"/>
      <c r="AI8" s="316"/>
      <c r="AJ8" s="316"/>
      <c r="AK8" s="316"/>
      <c r="AL8" s="316"/>
      <c r="AM8" s="317"/>
      <c r="AN8" s="88"/>
      <c r="AO8" s="88"/>
      <c r="AP8" s="88"/>
      <c r="AQ8" s="88"/>
      <c r="AR8" s="89"/>
    </row>
    <row r="9" spans="1:48" ht="12" customHeight="1" x14ac:dyDescent="0.35">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307" t="str">
        <f t="shared" ref="AH9:AH44" si="5">IF(AG9="","",(IF(AND(AG9&gt;=1,AG9&lt;=50.499),"REPROBADO",IF(AND(AG9&gt;=50.5,AG9&lt;=100),"APROBADO"))))</f>
        <v>APROBADO</v>
      </c>
      <c r="AI9" s="308"/>
      <c r="AJ9" s="308"/>
      <c r="AK9" s="308"/>
      <c r="AL9" s="308"/>
      <c r="AM9" s="309"/>
      <c r="AN9" s="94" t="s">
        <v>88</v>
      </c>
      <c r="AO9" s="310">
        <f>COUNTIF(AF9:AF44,"ED")</f>
        <v>0</v>
      </c>
      <c r="AP9" s="309"/>
      <c r="AQ9" s="95"/>
      <c r="AR9" s="95"/>
    </row>
    <row r="10" spans="1:48" ht="12" customHeight="1" x14ac:dyDescent="0.35">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307" t="str">
        <f t="shared" si="5"/>
        <v>APROBADO</v>
      </c>
      <c r="AI10" s="308"/>
      <c r="AJ10" s="308"/>
      <c r="AK10" s="308"/>
      <c r="AL10" s="308"/>
      <c r="AM10" s="309"/>
      <c r="AN10" s="48" t="s">
        <v>89</v>
      </c>
      <c r="AO10" s="310">
        <f>COUNTIF(AF9:AF44,"DA")</f>
        <v>0</v>
      </c>
      <c r="AP10" s="309"/>
      <c r="AQ10" s="95"/>
      <c r="AR10" s="95"/>
    </row>
    <row r="11" spans="1:48" ht="12" customHeight="1" x14ac:dyDescent="0.35">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307" t="str">
        <f t="shared" si="5"/>
        <v>APROBADO</v>
      </c>
      <c r="AI11" s="308"/>
      <c r="AJ11" s="308"/>
      <c r="AK11" s="308"/>
      <c r="AL11" s="308"/>
      <c r="AM11" s="309"/>
      <c r="AN11" s="48" t="s">
        <v>90</v>
      </c>
      <c r="AO11" s="310">
        <f>COUNTIF(AF9:AF44,"DO")</f>
        <v>0</v>
      </c>
      <c r="AP11" s="309"/>
      <c r="AQ11" s="95"/>
      <c r="AR11" s="95"/>
    </row>
    <row r="12" spans="1:48" ht="12" customHeight="1" x14ac:dyDescent="0.35">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307" t="str">
        <f t="shared" si="5"/>
        <v>APROBADO</v>
      </c>
      <c r="AI12" s="308"/>
      <c r="AJ12" s="308"/>
      <c r="AK12" s="308"/>
      <c r="AL12" s="308"/>
      <c r="AM12" s="309"/>
      <c r="AN12" s="48" t="s">
        <v>91</v>
      </c>
      <c r="AO12" s="310">
        <f>COUNTIF(AF9:AF44,"DP")</f>
        <v>36</v>
      </c>
      <c r="AP12" s="309"/>
      <c r="AQ12" s="95"/>
      <c r="AR12" s="95"/>
    </row>
    <row r="13" spans="1:48" ht="12" customHeight="1" x14ac:dyDescent="0.35">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307" t="str">
        <f t="shared" si="5"/>
        <v>APROBADO</v>
      </c>
      <c r="AI13" s="308"/>
      <c r="AJ13" s="308"/>
      <c r="AK13" s="308"/>
      <c r="AL13" s="308"/>
      <c r="AM13" s="309"/>
      <c r="AN13" s="95"/>
      <c r="AO13" s="95"/>
      <c r="AP13" s="95"/>
      <c r="AQ13" s="95"/>
      <c r="AR13" s="95"/>
    </row>
    <row r="14" spans="1:48" ht="12" customHeight="1" x14ac:dyDescent="0.35">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307" t="str">
        <f t="shared" si="5"/>
        <v>APROBADO</v>
      </c>
      <c r="AI14" s="308"/>
      <c r="AJ14" s="308"/>
      <c r="AK14" s="308"/>
      <c r="AL14" s="308"/>
      <c r="AM14" s="309"/>
      <c r="AN14" s="95"/>
      <c r="AO14" s="95"/>
      <c r="AP14" s="95"/>
      <c r="AQ14" s="95"/>
      <c r="AR14" s="95"/>
    </row>
    <row r="15" spans="1:48" ht="12" customHeight="1" x14ac:dyDescent="0.35">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307" t="str">
        <f t="shared" si="5"/>
        <v>APROBADO</v>
      </c>
      <c r="AI15" s="308"/>
      <c r="AJ15" s="308"/>
      <c r="AK15" s="308"/>
      <c r="AL15" s="308"/>
      <c r="AM15" s="309"/>
      <c r="AN15" s="95"/>
      <c r="AO15" s="95"/>
      <c r="AP15" s="95"/>
      <c r="AQ15" s="95"/>
      <c r="AR15" s="95"/>
    </row>
    <row r="16" spans="1:48" ht="12" customHeight="1" x14ac:dyDescent="0.35">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307" t="str">
        <f t="shared" si="5"/>
        <v>APROBADO</v>
      </c>
      <c r="AI16" s="308"/>
      <c r="AJ16" s="308"/>
      <c r="AK16" s="308"/>
      <c r="AL16" s="308"/>
      <c r="AM16" s="309"/>
      <c r="AN16" s="95"/>
      <c r="AO16" s="95"/>
      <c r="AP16" s="95"/>
      <c r="AQ16" s="95"/>
      <c r="AR16" s="95"/>
    </row>
    <row r="17" spans="1:44" ht="12" customHeight="1" x14ac:dyDescent="0.35">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307" t="str">
        <f t="shared" si="5"/>
        <v>APROBADO</v>
      </c>
      <c r="AI17" s="308"/>
      <c r="AJ17" s="308"/>
      <c r="AK17" s="308"/>
      <c r="AL17" s="308"/>
      <c r="AM17" s="309"/>
      <c r="AN17" s="95"/>
      <c r="AO17" s="95"/>
      <c r="AP17" s="95"/>
      <c r="AQ17" s="95"/>
      <c r="AR17" s="95"/>
    </row>
    <row r="18" spans="1:44" ht="12" customHeight="1" x14ac:dyDescent="0.35">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307" t="str">
        <f t="shared" si="5"/>
        <v>APROBADO</v>
      </c>
      <c r="AI18" s="308"/>
      <c r="AJ18" s="308"/>
      <c r="AK18" s="308"/>
      <c r="AL18" s="308"/>
      <c r="AM18" s="309"/>
      <c r="AN18" s="95"/>
      <c r="AO18" s="95"/>
      <c r="AP18" s="95"/>
      <c r="AQ18" s="95"/>
      <c r="AR18" s="95"/>
    </row>
    <row r="19" spans="1:44" ht="12" customHeight="1" x14ac:dyDescent="0.35">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307" t="str">
        <f t="shared" si="5"/>
        <v>APROBADO</v>
      </c>
      <c r="AI19" s="308"/>
      <c r="AJ19" s="308"/>
      <c r="AK19" s="308"/>
      <c r="AL19" s="308"/>
      <c r="AM19" s="309"/>
      <c r="AN19" s="95"/>
      <c r="AO19" s="95"/>
      <c r="AP19" s="95"/>
      <c r="AQ19" s="95"/>
      <c r="AR19" s="95"/>
    </row>
    <row r="20" spans="1:44" ht="12" customHeight="1" x14ac:dyDescent="0.35">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307" t="str">
        <f t="shared" si="5"/>
        <v>APROBADO</v>
      </c>
      <c r="AI20" s="308"/>
      <c r="AJ20" s="308"/>
      <c r="AK20" s="308"/>
      <c r="AL20" s="308"/>
      <c r="AM20" s="309"/>
      <c r="AN20" s="95"/>
      <c r="AO20" s="95"/>
      <c r="AP20" s="95"/>
      <c r="AQ20" s="95"/>
      <c r="AR20" s="95"/>
    </row>
    <row r="21" spans="1:44" ht="12" customHeight="1" x14ac:dyDescent="0.35">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307" t="str">
        <f t="shared" si="5"/>
        <v>APROBADO</v>
      </c>
      <c r="AI21" s="308"/>
      <c r="AJ21" s="308"/>
      <c r="AK21" s="308"/>
      <c r="AL21" s="308"/>
      <c r="AM21" s="309"/>
      <c r="AN21" s="95"/>
      <c r="AO21" s="95"/>
      <c r="AP21" s="95"/>
      <c r="AQ21" s="95"/>
      <c r="AR21" s="95"/>
    </row>
    <row r="22" spans="1:44" ht="12" customHeight="1" x14ac:dyDescent="0.35">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307" t="str">
        <f t="shared" si="5"/>
        <v>APROBADO</v>
      </c>
      <c r="AI22" s="308"/>
      <c r="AJ22" s="308"/>
      <c r="AK22" s="308"/>
      <c r="AL22" s="308"/>
      <c r="AM22" s="309"/>
      <c r="AN22" s="95"/>
      <c r="AO22" s="95"/>
      <c r="AP22" s="95"/>
      <c r="AQ22" s="95"/>
      <c r="AR22" s="95"/>
    </row>
    <row r="23" spans="1:44" ht="12" customHeight="1" x14ac:dyDescent="0.35">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307" t="str">
        <f t="shared" si="5"/>
        <v>APROBADO</v>
      </c>
      <c r="AI23" s="308"/>
      <c r="AJ23" s="308"/>
      <c r="AK23" s="308"/>
      <c r="AL23" s="308"/>
      <c r="AM23" s="309"/>
      <c r="AN23" s="95"/>
      <c r="AO23" s="95"/>
      <c r="AP23" s="95"/>
      <c r="AQ23" s="95"/>
      <c r="AR23" s="95"/>
    </row>
    <row r="24" spans="1:44" ht="12" customHeight="1" x14ac:dyDescent="0.35">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307" t="str">
        <f t="shared" si="5"/>
        <v>APROBADO</v>
      </c>
      <c r="AI24" s="308"/>
      <c r="AJ24" s="308"/>
      <c r="AK24" s="308"/>
      <c r="AL24" s="308"/>
      <c r="AM24" s="309"/>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307" t="str">
        <f t="shared" si="5"/>
        <v>APROBADO</v>
      </c>
      <c r="AI25" s="308"/>
      <c r="AJ25" s="308"/>
      <c r="AK25" s="308"/>
      <c r="AL25" s="308"/>
      <c r="AM25" s="309"/>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307" t="str">
        <f t="shared" si="5"/>
        <v>APROBADO</v>
      </c>
      <c r="AI26" s="308"/>
      <c r="AJ26" s="308"/>
      <c r="AK26" s="308"/>
      <c r="AL26" s="308"/>
      <c r="AM26" s="309"/>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307" t="str">
        <f t="shared" si="5"/>
        <v>APROBADO</v>
      </c>
      <c r="AI27" s="308"/>
      <c r="AJ27" s="308"/>
      <c r="AK27" s="308"/>
      <c r="AL27" s="308"/>
      <c r="AM27" s="309"/>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307" t="str">
        <f t="shared" si="5"/>
        <v>APROBADO</v>
      </c>
      <c r="AI28" s="308"/>
      <c r="AJ28" s="308"/>
      <c r="AK28" s="308"/>
      <c r="AL28" s="308"/>
      <c r="AM28" s="309"/>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307" t="str">
        <f t="shared" si="5"/>
        <v>APROBADO</v>
      </c>
      <c r="AI29" s="308"/>
      <c r="AJ29" s="308"/>
      <c r="AK29" s="308"/>
      <c r="AL29" s="308"/>
      <c r="AM29" s="309"/>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307" t="str">
        <f t="shared" si="5"/>
        <v>APROBADO</v>
      </c>
      <c r="AI30" s="308"/>
      <c r="AJ30" s="308"/>
      <c r="AK30" s="308"/>
      <c r="AL30" s="308"/>
      <c r="AM30" s="309"/>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307" t="str">
        <f t="shared" si="5"/>
        <v>APROBADO</v>
      </c>
      <c r="AI31" s="308"/>
      <c r="AJ31" s="308"/>
      <c r="AK31" s="308"/>
      <c r="AL31" s="308"/>
      <c r="AM31" s="309"/>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307" t="str">
        <f t="shared" si="5"/>
        <v>APROBADO</v>
      </c>
      <c r="AI32" s="308"/>
      <c r="AJ32" s="308"/>
      <c r="AK32" s="308"/>
      <c r="AL32" s="308"/>
      <c r="AM32" s="309"/>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307" t="str">
        <f t="shared" si="5"/>
        <v>APROBADO</v>
      </c>
      <c r="AI33" s="308"/>
      <c r="AJ33" s="308"/>
      <c r="AK33" s="308"/>
      <c r="AL33" s="308"/>
      <c r="AM33" s="309"/>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307" t="str">
        <f t="shared" si="5"/>
        <v>APROBADO</v>
      </c>
      <c r="AI34" s="308"/>
      <c r="AJ34" s="308"/>
      <c r="AK34" s="308"/>
      <c r="AL34" s="308"/>
      <c r="AM34" s="309"/>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307" t="str">
        <f t="shared" si="5"/>
        <v>APROBADO</v>
      </c>
      <c r="AI35" s="308"/>
      <c r="AJ35" s="308"/>
      <c r="AK35" s="308"/>
      <c r="AL35" s="308"/>
      <c r="AM35" s="309"/>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307" t="str">
        <f t="shared" si="5"/>
        <v>APROBADO</v>
      </c>
      <c r="AI36" s="308"/>
      <c r="AJ36" s="308"/>
      <c r="AK36" s="308"/>
      <c r="AL36" s="308"/>
      <c r="AM36" s="309"/>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307" t="str">
        <f t="shared" si="5"/>
        <v>APROBADO</v>
      </c>
      <c r="AI37" s="308"/>
      <c r="AJ37" s="308"/>
      <c r="AK37" s="308"/>
      <c r="AL37" s="308"/>
      <c r="AM37" s="309"/>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307" t="str">
        <f t="shared" si="5"/>
        <v>APROBADO</v>
      </c>
      <c r="AI38" s="308"/>
      <c r="AJ38" s="308"/>
      <c r="AK38" s="308"/>
      <c r="AL38" s="308"/>
      <c r="AM38" s="309"/>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307" t="str">
        <f t="shared" si="5"/>
        <v>APROBADO</v>
      </c>
      <c r="AI39" s="308"/>
      <c r="AJ39" s="308"/>
      <c r="AK39" s="308"/>
      <c r="AL39" s="308"/>
      <c r="AM39" s="309"/>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307" t="str">
        <f t="shared" si="5"/>
        <v>APROBADO</v>
      </c>
      <c r="AI40" s="308"/>
      <c r="AJ40" s="308"/>
      <c r="AK40" s="308"/>
      <c r="AL40" s="308"/>
      <c r="AM40" s="309"/>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307" t="str">
        <f t="shared" si="5"/>
        <v>APROBADO</v>
      </c>
      <c r="AI41" s="308"/>
      <c r="AJ41" s="308"/>
      <c r="AK41" s="308"/>
      <c r="AL41" s="308"/>
      <c r="AM41" s="309"/>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307" t="str">
        <f t="shared" si="5"/>
        <v>APROBADO</v>
      </c>
      <c r="AI42" s="308"/>
      <c r="AJ42" s="308"/>
      <c r="AK42" s="308"/>
      <c r="AL42" s="308"/>
      <c r="AM42" s="309"/>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307" t="str">
        <f t="shared" si="5"/>
        <v>APROBADO</v>
      </c>
      <c r="AI43" s="308"/>
      <c r="AJ43" s="308"/>
      <c r="AK43" s="308"/>
      <c r="AL43" s="308"/>
      <c r="AM43" s="309"/>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307" t="str">
        <f t="shared" si="5"/>
        <v>APROBADO</v>
      </c>
      <c r="AI44" s="308"/>
      <c r="AJ44" s="308"/>
      <c r="AK44" s="308"/>
      <c r="AL44" s="308"/>
      <c r="AM44" s="309"/>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56" t="s">
        <v>94</v>
      </c>
      <c r="C2" s="252"/>
      <c r="D2" s="252"/>
      <c r="E2" s="252"/>
      <c r="F2" s="252"/>
      <c r="G2" s="252"/>
      <c r="H2" s="252"/>
      <c r="I2" s="252"/>
      <c r="J2" s="252"/>
      <c r="K2" s="252"/>
      <c r="L2" s="252"/>
      <c r="M2" s="252"/>
      <c r="N2" s="252"/>
      <c r="O2" s="252"/>
      <c r="P2" s="252"/>
      <c r="Q2" s="252"/>
      <c r="R2" s="252"/>
      <c r="S2" s="252"/>
      <c r="T2" s="252"/>
      <c r="U2" s="252"/>
      <c r="V2" s="252"/>
      <c r="W2" s="252"/>
      <c r="X2" s="252"/>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5">
      <c r="B5" s="38" t="s">
        <v>22</v>
      </c>
      <c r="C5" s="97" t="str">
        <f>CARÁTULA!$C$23</f>
        <v>2do de Secundaria</v>
      </c>
      <c r="D5" s="40"/>
      <c r="E5" s="40"/>
      <c r="F5" s="40"/>
      <c r="G5" s="40"/>
      <c r="H5" s="40"/>
      <c r="I5" s="40"/>
      <c r="J5" s="40"/>
      <c r="K5" s="40"/>
      <c r="L5" s="40"/>
      <c r="M5" s="40"/>
      <c r="N5" s="38"/>
      <c r="O5" s="38"/>
      <c r="P5" s="38"/>
      <c r="Q5" s="38"/>
      <c r="R5" s="43" t="s">
        <v>23</v>
      </c>
      <c r="S5" s="44"/>
      <c r="T5" s="44"/>
      <c r="U5" s="270">
        <f ca="1">TODAY()</f>
        <v>44497</v>
      </c>
      <c r="V5" s="252"/>
      <c r="W5" s="252"/>
      <c r="X5" s="252"/>
    </row>
    <row r="6" spans="1:28" ht="12.75" customHeight="1" x14ac:dyDescent="0.35">
      <c r="B6" s="38"/>
      <c r="C6" s="335" t="s">
        <v>4</v>
      </c>
      <c r="D6" s="308"/>
      <c r="E6" s="308"/>
      <c r="F6" s="308"/>
      <c r="G6" s="308"/>
      <c r="H6" s="309"/>
      <c r="I6" s="335" t="s">
        <v>10</v>
      </c>
      <c r="J6" s="308"/>
      <c r="K6" s="308"/>
      <c r="L6" s="308"/>
      <c r="M6" s="308"/>
      <c r="N6" s="309"/>
      <c r="O6" s="335" t="s">
        <v>16</v>
      </c>
      <c r="P6" s="308"/>
      <c r="Q6" s="308"/>
      <c r="R6" s="308"/>
      <c r="S6" s="308"/>
      <c r="T6" s="309"/>
      <c r="U6" s="340" t="s">
        <v>95</v>
      </c>
      <c r="V6" s="336" t="s">
        <v>96</v>
      </c>
      <c r="W6" s="66"/>
      <c r="X6" s="66"/>
    </row>
    <row r="7" spans="1:28" ht="12" customHeight="1" x14ac:dyDescent="0.35">
      <c r="B7" s="47"/>
      <c r="C7" s="338"/>
      <c r="D7" s="308"/>
      <c r="E7" s="308"/>
      <c r="F7" s="308"/>
      <c r="G7" s="309"/>
      <c r="H7" s="339" t="s">
        <v>97</v>
      </c>
      <c r="I7" s="338"/>
      <c r="J7" s="308"/>
      <c r="K7" s="308"/>
      <c r="L7" s="308"/>
      <c r="M7" s="309"/>
      <c r="N7" s="339" t="s">
        <v>97</v>
      </c>
      <c r="O7" s="338"/>
      <c r="P7" s="308"/>
      <c r="Q7" s="308"/>
      <c r="R7" s="308"/>
      <c r="S7" s="309"/>
      <c r="T7" s="322" t="s">
        <v>97</v>
      </c>
      <c r="U7" s="337"/>
      <c r="V7" s="337"/>
      <c r="W7" s="40"/>
      <c r="X7" s="40"/>
    </row>
    <row r="8" spans="1:28" ht="67.5" customHeight="1" x14ac:dyDescent="0.35">
      <c r="A8" s="48" t="s">
        <v>54</v>
      </c>
      <c r="B8" s="49" t="s">
        <v>55</v>
      </c>
      <c r="C8" s="98" t="s">
        <v>74</v>
      </c>
      <c r="D8" s="99" t="s">
        <v>75</v>
      </c>
      <c r="E8" s="99" t="s">
        <v>77</v>
      </c>
      <c r="F8" s="99" t="s">
        <v>78</v>
      </c>
      <c r="G8" s="99" t="s">
        <v>98</v>
      </c>
      <c r="H8" s="312"/>
      <c r="I8" s="98" t="s">
        <v>74</v>
      </c>
      <c r="J8" s="99" t="s">
        <v>75</v>
      </c>
      <c r="K8" s="99" t="s">
        <v>77</v>
      </c>
      <c r="L8" s="99" t="s">
        <v>78</v>
      </c>
      <c r="M8" s="99" t="s">
        <v>98</v>
      </c>
      <c r="N8" s="312"/>
      <c r="O8" s="98" t="s">
        <v>74</v>
      </c>
      <c r="P8" s="99" t="s">
        <v>75</v>
      </c>
      <c r="Q8" s="99" t="s">
        <v>77</v>
      </c>
      <c r="R8" s="99" t="s">
        <v>78</v>
      </c>
      <c r="S8" s="99" t="s">
        <v>98</v>
      </c>
      <c r="T8" s="312"/>
      <c r="U8" s="312"/>
      <c r="V8" s="312"/>
      <c r="W8" s="100"/>
      <c r="X8" s="100"/>
    </row>
    <row r="9" spans="1:28" ht="12" customHeight="1" x14ac:dyDescent="0.35">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4.615384615384615</v>
      </c>
      <c r="J9" s="31">
        <f>'VAL 2 TRIM'!O9</f>
        <v>11</v>
      </c>
      <c r="K9" s="31">
        <f>'VAL 2 TRIM'!AB9</f>
        <v>3</v>
      </c>
      <c r="L9" s="31">
        <f>'VAL 2 TRIM'!AA9</f>
        <v>5</v>
      </c>
      <c r="M9" s="31">
        <f>'VAL 2 TRIM'!AE9</f>
        <v>6</v>
      </c>
      <c r="N9" s="101">
        <f>'VAL 2 TRIM'!AG9</f>
        <v>29.615384615384613</v>
      </c>
      <c r="O9" s="31">
        <f>'VAL 3 TRIM'!C9</f>
        <v>10</v>
      </c>
      <c r="P9" s="31">
        <f>'VAL 3 TRIM'!O9</f>
        <v>35</v>
      </c>
      <c r="Q9" s="31">
        <f>'VAL 3 TRIM'!AB9</f>
        <v>35</v>
      </c>
      <c r="R9" s="31">
        <f>'VAL 3 TRIM'!AA9</f>
        <v>10</v>
      </c>
      <c r="S9" s="31">
        <f>'VAL 3 TRIM'!AE9</f>
        <v>10</v>
      </c>
      <c r="T9" s="101">
        <f>'VAL 3 TRIM'!AG9</f>
        <v>100</v>
      </c>
      <c r="U9" s="102">
        <f t="shared" ref="U9:U44" si="0">AVERAGE(H9,N9,T9)</f>
        <v>65.205128205128204</v>
      </c>
      <c r="V9" s="103" t="str">
        <f t="shared" ref="V9:V44" si="1">IF(U9="","",(IF(AND(U9&gt;=1,U9&lt;=50.499),"REPROBADO",IF(AND(U9&gt;=50.5,U9&lt;=100),"APROBADO"))))</f>
        <v>APROBADO</v>
      </c>
      <c r="W9" s="104"/>
      <c r="X9" s="104"/>
    </row>
    <row r="10" spans="1:28" ht="12" customHeight="1" x14ac:dyDescent="0.35">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7</v>
      </c>
      <c r="J10" s="31">
        <f>'VAL 2 TRIM'!O10</f>
        <v>19</v>
      </c>
      <c r="K10" s="31">
        <f>'VAL 2 TRIM'!AB10</f>
        <v>12</v>
      </c>
      <c r="L10" s="31">
        <f>'VAL 2 TRIM'!AA10</f>
        <v>7</v>
      </c>
      <c r="M10" s="31">
        <f>'VAL 2 TRIM'!AE10</f>
        <v>6</v>
      </c>
      <c r="N10" s="101">
        <f>'VAL 2 TRIM'!AG10</f>
        <v>51</v>
      </c>
      <c r="O10" s="31">
        <f>'VAL 3 TRIM'!C10</f>
        <v>10</v>
      </c>
      <c r="P10" s="31">
        <f>'VAL 3 TRIM'!O10</f>
        <v>35</v>
      </c>
      <c r="Q10" s="31">
        <f>'VAL 3 TRIM'!AB10</f>
        <v>35</v>
      </c>
      <c r="R10" s="31">
        <f>'VAL 3 TRIM'!AA10</f>
        <v>10</v>
      </c>
      <c r="S10" s="48">
        <f>'VAL 3 TRIM'!AE10</f>
        <v>10</v>
      </c>
      <c r="T10" s="101">
        <f>'VAL 3 TRIM'!AG10</f>
        <v>100</v>
      </c>
      <c r="U10" s="102">
        <f t="shared" si="0"/>
        <v>72.333333333333329</v>
      </c>
      <c r="V10" s="103" t="str">
        <f t="shared" si="1"/>
        <v>APROBADO</v>
      </c>
      <c r="W10" s="104"/>
      <c r="X10" s="104"/>
    </row>
    <row r="11" spans="1:28" ht="12" customHeight="1" x14ac:dyDescent="0.35">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8.4615384615384617</v>
      </c>
      <c r="J11" s="31">
        <f>'VAL 2 TRIM'!O11</f>
        <v>17</v>
      </c>
      <c r="K11" s="31">
        <f>'VAL 2 TRIM'!AB11</f>
        <v>20</v>
      </c>
      <c r="L11" s="31">
        <f>'VAL 2 TRIM'!AA11</f>
        <v>6</v>
      </c>
      <c r="M11" s="31">
        <f>'VAL 2 TRIM'!AE11</f>
        <v>7</v>
      </c>
      <c r="N11" s="101">
        <f>'VAL 2 TRIM'!AG11</f>
        <v>58.46153846153846</v>
      </c>
      <c r="O11" s="31">
        <f>'VAL 3 TRIM'!C11</f>
        <v>10</v>
      </c>
      <c r="P11" s="31">
        <f>'VAL 3 TRIM'!O11</f>
        <v>35</v>
      </c>
      <c r="Q11" s="31">
        <f>'VAL 3 TRIM'!AB11</f>
        <v>35</v>
      </c>
      <c r="R11" s="31">
        <f>'VAL 3 TRIM'!AA11</f>
        <v>10</v>
      </c>
      <c r="S11" s="48">
        <f>'VAL 3 TRIM'!AE11</f>
        <v>10</v>
      </c>
      <c r="T11" s="101">
        <f>'VAL 3 TRIM'!AG11</f>
        <v>100</v>
      </c>
      <c r="U11" s="102">
        <f t="shared" si="0"/>
        <v>74.820512820512818</v>
      </c>
      <c r="V11" s="103" t="str">
        <f t="shared" si="1"/>
        <v>APROBADO</v>
      </c>
      <c r="W11" s="104"/>
      <c r="X11" s="104"/>
    </row>
    <row r="12" spans="1:28" ht="12" customHeight="1" x14ac:dyDescent="0.35">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4.615384615384615</v>
      </c>
      <c r="J12" s="31">
        <f>'VAL 2 TRIM'!O12</f>
        <v>20</v>
      </c>
      <c r="K12" s="31">
        <f>'VAL 2 TRIM'!AB12</f>
        <v>12</v>
      </c>
      <c r="L12" s="31">
        <f>'VAL 2 TRIM'!AA12</f>
        <v>8</v>
      </c>
      <c r="M12" s="31">
        <f>'VAL 2 TRIM'!AE12</f>
        <v>6</v>
      </c>
      <c r="N12" s="101">
        <f>'VAL 2 TRIM'!AG12</f>
        <v>50.615384615384613</v>
      </c>
      <c r="O12" s="31">
        <f>'VAL 3 TRIM'!C12</f>
        <v>10</v>
      </c>
      <c r="P12" s="31">
        <f>'VAL 3 TRIM'!O12</f>
        <v>35</v>
      </c>
      <c r="Q12" s="31">
        <f>'VAL 3 TRIM'!AB12</f>
        <v>35</v>
      </c>
      <c r="R12" s="31">
        <f>'VAL 3 TRIM'!AA12</f>
        <v>10</v>
      </c>
      <c r="S12" s="48">
        <f>'VAL 3 TRIM'!AE12</f>
        <v>10</v>
      </c>
      <c r="T12" s="101">
        <f>'VAL 3 TRIM'!AG12</f>
        <v>100</v>
      </c>
      <c r="U12" s="102">
        <f t="shared" si="0"/>
        <v>72.205128205128204</v>
      </c>
      <c r="V12" s="103" t="str">
        <f t="shared" si="1"/>
        <v>APROBADO</v>
      </c>
      <c r="W12" s="104"/>
      <c r="X12" s="104"/>
    </row>
    <row r="13" spans="1:28" ht="12" customHeight="1" x14ac:dyDescent="0.35">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9.2307692307692299</v>
      </c>
      <c r="J13" s="31">
        <f>'VAL 2 TRIM'!O13</f>
        <v>21</v>
      </c>
      <c r="K13" s="31">
        <f>'VAL 2 TRIM'!AB13</f>
        <v>16</v>
      </c>
      <c r="L13" s="31">
        <f>'VAL 2 TRIM'!AA13</f>
        <v>6</v>
      </c>
      <c r="M13" s="31">
        <f>'VAL 2 TRIM'!AE13</f>
        <v>10</v>
      </c>
      <c r="N13" s="101">
        <f>'VAL 2 TRIM'!AG13</f>
        <v>62.230769230769226</v>
      </c>
      <c r="O13" s="31">
        <f>'VAL 3 TRIM'!C13</f>
        <v>10</v>
      </c>
      <c r="P13" s="31">
        <f>'VAL 3 TRIM'!O13</f>
        <v>35</v>
      </c>
      <c r="Q13" s="31">
        <f>'VAL 3 TRIM'!AB13</f>
        <v>35</v>
      </c>
      <c r="R13" s="31">
        <f>'VAL 3 TRIM'!AA13</f>
        <v>10</v>
      </c>
      <c r="S13" s="48">
        <f>'VAL 3 TRIM'!AE13</f>
        <v>10</v>
      </c>
      <c r="T13" s="101">
        <f>'VAL 3 TRIM'!AG13</f>
        <v>100</v>
      </c>
      <c r="U13" s="102">
        <f t="shared" si="0"/>
        <v>76.07692307692308</v>
      </c>
      <c r="V13" s="103" t="str">
        <f t="shared" si="1"/>
        <v>APROBADO</v>
      </c>
      <c r="W13" s="104"/>
      <c r="X13" s="104"/>
    </row>
    <row r="14" spans="1:28" ht="12" customHeight="1" x14ac:dyDescent="0.35">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24</v>
      </c>
      <c r="K14" s="31">
        <f>'VAL 2 TRIM'!AB14</f>
        <v>19</v>
      </c>
      <c r="L14" s="31">
        <f>'VAL 2 TRIM'!AA14</f>
        <v>8</v>
      </c>
      <c r="M14" s="31">
        <f>'VAL 2 TRIM'!AE14</f>
        <v>7</v>
      </c>
      <c r="N14" s="101">
        <f>'VAL 2 TRIM'!AG14</f>
        <v>68</v>
      </c>
      <c r="O14" s="31">
        <f>'VAL 3 TRIM'!C14</f>
        <v>10</v>
      </c>
      <c r="P14" s="31">
        <f>'VAL 3 TRIM'!O14</f>
        <v>35</v>
      </c>
      <c r="Q14" s="31">
        <f>'VAL 3 TRIM'!AB14</f>
        <v>35</v>
      </c>
      <c r="R14" s="31">
        <f>'VAL 3 TRIM'!AA14</f>
        <v>10</v>
      </c>
      <c r="S14" s="48">
        <f>'VAL 3 TRIM'!AE14</f>
        <v>10</v>
      </c>
      <c r="T14" s="101">
        <f>'VAL 3 TRIM'!AG14</f>
        <v>100</v>
      </c>
      <c r="U14" s="102">
        <f t="shared" si="0"/>
        <v>78</v>
      </c>
      <c r="V14" s="103" t="str">
        <f t="shared" si="1"/>
        <v>APROBADO</v>
      </c>
      <c r="W14" s="104"/>
      <c r="X14" s="104"/>
    </row>
    <row r="15" spans="1:28" ht="12" customHeight="1" x14ac:dyDescent="0.35">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26</v>
      </c>
      <c r="K15" s="31">
        <f>'VAL 2 TRIM'!AB15</f>
        <v>21</v>
      </c>
      <c r="L15" s="31">
        <f>'VAL 2 TRIM'!AA15</f>
        <v>8</v>
      </c>
      <c r="M15" s="31">
        <f>'VAL 2 TRIM'!AE15</f>
        <v>7</v>
      </c>
      <c r="N15" s="101">
        <f>'VAL 2 TRIM'!AG15</f>
        <v>72</v>
      </c>
      <c r="O15" s="31">
        <f>'VAL 3 TRIM'!C15</f>
        <v>10</v>
      </c>
      <c r="P15" s="31">
        <f>'VAL 3 TRIM'!O15</f>
        <v>35</v>
      </c>
      <c r="Q15" s="31">
        <f>'VAL 3 TRIM'!AB15</f>
        <v>35</v>
      </c>
      <c r="R15" s="31">
        <f>'VAL 3 TRIM'!AA15</f>
        <v>10</v>
      </c>
      <c r="S15" s="48">
        <f>'VAL 3 TRIM'!AE15</f>
        <v>10</v>
      </c>
      <c r="T15" s="101">
        <f>'VAL 3 TRIM'!AG15</f>
        <v>100</v>
      </c>
      <c r="U15" s="102">
        <f t="shared" si="0"/>
        <v>79.333333333333329</v>
      </c>
      <c r="V15" s="103" t="str">
        <f t="shared" si="1"/>
        <v>APROBADO</v>
      </c>
      <c r="W15" s="104"/>
      <c r="X15" s="104"/>
    </row>
    <row r="16" spans="1:28" ht="12" customHeight="1" x14ac:dyDescent="0.35">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9.2307692307692299</v>
      </c>
      <c r="J16" s="31">
        <f>'VAL 2 TRIM'!O16</f>
        <v>24</v>
      </c>
      <c r="K16" s="31">
        <f>'VAL 2 TRIM'!AB16</f>
        <v>18</v>
      </c>
      <c r="L16" s="31">
        <f>'VAL 2 TRIM'!AA16</f>
        <v>9</v>
      </c>
      <c r="M16" s="31">
        <f>'VAL 2 TRIM'!AE16</f>
        <v>6</v>
      </c>
      <c r="N16" s="101">
        <f>'VAL 2 TRIM'!AG16</f>
        <v>66.230769230769226</v>
      </c>
      <c r="O16" s="31">
        <f>'VAL 3 TRIM'!C16</f>
        <v>10</v>
      </c>
      <c r="P16" s="31">
        <f>'VAL 3 TRIM'!O16</f>
        <v>35</v>
      </c>
      <c r="Q16" s="31">
        <f>'VAL 3 TRIM'!AB16</f>
        <v>35</v>
      </c>
      <c r="R16" s="31">
        <f>'VAL 3 TRIM'!AA16</f>
        <v>10</v>
      </c>
      <c r="S16" s="48">
        <f>'VAL 3 TRIM'!AE16</f>
        <v>10</v>
      </c>
      <c r="T16" s="101">
        <f>'VAL 3 TRIM'!AG16</f>
        <v>100</v>
      </c>
      <c r="U16" s="102">
        <f t="shared" si="0"/>
        <v>77.410256410256409</v>
      </c>
      <c r="V16" s="103" t="str">
        <f t="shared" si="1"/>
        <v>APROBADO</v>
      </c>
      <c r="W16" s="104"/>
      <c r="X16" s="104"/>
    </row>
    <row r="17" spans="1:24" ht="12" customHeight="1" x14ac:dyDescent="0.35">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27</v>
      </c>
      <c r="K17" s="31">
        <f>'VAL 2 TRIM'!AB17</f>
        <v>21</v>
      </c>
      <c r="L17" s="31">
        <f>'VAL 2 TRIM'!AA17</f>
        <v>8</v>
      </c>
      <c r="M17" s="31">
        <f>'VAL 2 TRIM'!AE17</f>
        <v>7</v>
      </c>
      <c r="N17" s="101">
        <f>'VAL 2 TRIM'!AG17</f>
        <v>73</v>
      </c>
      <c r="O17" s="31">
        <f>'VAL 3 TRIM'!C17</f>
        <v>10</v>
      </c>
      <c r="P17" s="31">
        <f>'VAL 3 TRIM'!O17</f>
        <v>35</v>
      </c>
      <c r="Q17" s="31">
        <f>'VAL 3 TRIM'!AB17</f>
        <v>35</v>
      </c>
      <c r="R17" s="31">
        <f>'VAL 3 TRIM'!AA17</f>
        <v>10</v>
      </c>
      <c r="S17" s="48">
        <f>'VAL 3 TRIM'!AE17</f>
        <v>10</v>
      </c>
      <c r="T17" s="101">
        <f>'VAL 3 TRIM'!AG17</f>
        <v>100</v>
      </c>
      <c r="U17" s="102">
        <f t="shared" si="0"/>
        <v>79.666666666666671</v>
      </c>
      <c r="V17" s="103" t="str">
        <f t="shared" si="1"/>
        <v>APROBADO</v>
      </c>
      <c r="W17" s="104"/>
      <c r="X17" s="104"/>
    </row>
    <row r="18" spans="1:24" ht="12" customHeight="1" x14ac:dyDescent="0.35">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3.0769230769230771</v>
      </c>
      <c r="J18" s="31">
        <f>'VAL 2 TRIM'!O18</f>
        <v>24</v>
      </c>
      <c r="K18" s="31">
        <f>'VAL 2 TRIM'!AB18</f>
        <v>19</v>
      </c>
      <c r="L18" s="31">
        <f>'VAL 2 TRIM'!AA18</f>
        <v>7</v>
      </c>
      <c r="M18" s="31">
        <f>'VAL 2 TRIM'!AE18</f>
        <v>6</v>
      </c>
      <c r="N18" s="101">
        <f>'VAL 2 TRIM'!AG18</f>
        <v>59.07692307692308</v>
      </c>
      <c r="O18" s="31">
        <f>'VAL 3 TRIM'!C18</f>
        <v>10</v>
      </c>
      <c r="P18" s="31">
        <f>'VAL 3 TRIM'!O18</f>
        <v>35</v>
      </c>
      <c r="Q18" s="31">
        <f>'VAL 3 TRIM'!AB18</f>
        <v>35</v>
      </c>
      <c r="R18" s="31">
        <f>'VAL 3 TRIM'!AA18</f>
        <v>10</v>
      </c>
      <c r="S18" s="48">
        <f>'VAL 3 TRIM'!AE18</f>
        <v>10</v>
      </c>
      <c r="T18" s="101">
        <f>'VAL 3 TRIM'!AG18</f>
        <v>100</v>
      </c>
      <c r="U18" s="102">
        <f t="shared" si="0"/>
        <v>83.025641025641036</v>
      </c>
      <c r="V18" s="103" t="str">
        <f t="shared" si="1"/>
        <v>APROBADO</v>
      </c>
      <c r="W18" s="104"/>
      <c r="X18" s="104"/>
    </row>
    <row r="19" spans="1:24" ht="12" customHeight="1" x14ac:dyDescent="0.35">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2.3076923076923075</v>
      </c>
      <c r="J19" s="31">
        <f>'VAL 2 TRIM'!O19</f>
        <v>0</v>
      </c>
      <c r="K19" s="31">
        <f>'VAL 2 TRIM'!AB19</f>
        <v>0</v>
      </c>
      <c r="L19" s="31">
        <f>'VAL 2 TRIM'!AA19</f>
        <v>10</v>
      </c>
      <c r="M19" s="31">
        <f>'VAL 2 TRIM'!AE19</f>
        <v>10</v>
      </c>
      <c r="N19" s="101">
        <f>'VAL 2 TRIM'!AG19</f>
        <v>22.307692307692307</v>
      </c>
      <c r="O19" s="31">
        <f>'VAL 3 TRIM'!C19</f>
        <v>10</v>
      </c>
      <c r="P19" s="31">
        <f>'VAL 3 TRIM'!O19</f>
        <v>35</v>
      </c>
      <c r="Q19" s="31">
        <f>'VAL 3 TRIM'!AB19</f>
        <v>35</v>
      </c>
      <c r="R19" s="31">
        <f>'VAL 3 TRIM'!AA19</f>
        <v>10</v>
      </c>
      <c r="S19" s="48">
        <f>'VAL 3 TRIM'!AE19</f>
        <v>10</v>
      </c>
      <c r="T19" s="101">
        <f>'VAL 3 TRIM'!AG19</f>
        <v>100</v>
      </c>
      <c r="U19" s="102">
        <f t="shared" si="0"/>
        <v>62.769230769230774</v>
      </c>
      <c r="V19" s="103" t="str">
        <f t="shared" si="1"/>
        <v>APROBADO</v>
      </c>
      <c r="W19" s="104"/>
      <c r="X19" s="104"/>
    </row>
    <row r="20" spans="1:24" ht="12" customHeight="1" x14ac:dyDescent="0.35">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9.2307692307692299</v>
      </c>
      <c r="J20" s="31">
        <f>'VAL 2 TRIM'!O20</f>
        <v>18</v>
      </c>
      <c r="K20" s="31">
        <f>'VAL 2 TRIM'!AB20</f>
        <v>16</v>
      </c>
      <c r="L20" s="31">
        <f>'VAL 2 TRIM'!AA20</f>
        <v>7</v>
      </c>
      <c r="M20" s="31">
        <f>'VAL 2 TRIM'!AE20</f>
        <v>8</v>
      </c>
      <c r="N20" s="101">
        <f>'VAL 2 TRIM'!AG20</f>
        <v>58.230769230769226</v>
      </c>
      <c r="O20" s="31">
        <f>'VAL 3 TRIM'!C20</f>
        <v>10</v>
      </c>
      <c r="P20" s="31">
        <f>'VAL 3 TRIM'!O20</f>
        <v>35</v>
      </c>
      <c r="Q20" s="31">
        <f>'VAL 3 TRIM'!AB20</f>
        <v>35</v>
      </c>
      <c r="R20" s="31">
        <f>'VAL 3 TRIM'!AA20</f>
        <v>10</v>
      </c>
      <c r="S20" s="48">
        <f>'VAL 3 TRIM'!AE20</f>
        <v>10</v>
      </c>
      <c r="T20" s="101">
        <f>'VAL 3 TRIM'!AG20</f>
        <v>100</v>
      </c>
      <c r="U20" s="102">
        <f t="shared" si="0"/>
        <v>82.743589743589737</v>
      </c>
      <c r="V20" s="103" t="str">
        <f t="shared" si="1"/>
        <v>APROBADO</v>
      </c>
      <c r="W20" s="104"/>
      <c r="X20" s="104"/>
    </row>
    <row r="21" spans="1:24" ht="12" customHeight="1" x14ac:dyDescent="0.35">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20</v>
      </c>
      <c r="K21" s="31">
        <f>'VAL 2 TRIM'!AB21</f>
        <v>21</v>
      </c>
      <c r="L21" s="31">
        <f>'VAL 2 TRIM'!AA21</f>
        <v>9</v>
      </c>
      <c r="M21" s="31">
        <f>'VAL 2 TRIM'!AE21</f>
        <v>9</v>
      </c>
      <c r="N21" s="101">
        <f>'VAL 2 TRIM'!AG21</f>
        <v>69</v>
      </c>
      <c r="O21" s="31">
        <f>'VAL 3 TRIM'!C21</f>
        <v>10</v>
      </c>
      <c r="P21" s="31">
        <f>'VAL 3 TRIM'!O21</f>
        <v>35</v>
      </c>
      <c r="Q21" s="31">
        <f>'VAL 3 TRIM'!AB21</f>
        <v>35</v>
      </c>
      <c r="R21" s="31">
        <f>'VAL 3 TRIM'!AA21</f>
        <v>10</v>
      </c>
      <c r="S21" s="48">
        <f>'VAL 3 TRIM'!AE21</f>
        <v>10</v>
      </c>
      <c r="T21" s="101">
        <f>'VAL 3 TRIM'!AG21</f>
        <v>100</v>
      </c>
      <c r="U21" s="102">
        <f t="shared" si="0"/>
        <v>86.333333333333329</v>
      </c>
      <c r="V21" s="103" t="str">
        <f t="shared" si="1"/>
        <v>APROBADO</v>
      </c>
      <c r="W21" s="104"/>
      <c r="X21" s="104"/>
    </row>
    <row r="22" spans="1:24" ht="12" customHeight="1" x14ac:dyDescent="0.35">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6</v>
      </c>
      <c r="J22" s="31">
        <f>'VAL 2 TRIM'!O22</f>
        <v>23</v>
      </c>
      <c r="K22" s="31">
        <f>'VAL 2 TRIM'!AB22</f>
        <v>18</v>
      </c>
      <c r="L22" s="31">
        <f>'VAL 2 TRIM'!AA22</f>
        <v>7</v>
      </c>
      <c r="M22" s="31">
        <f>'VAL 2 TRIM'!AE22</f>
        <v>6</v>
      </c>
      <c r="N22" s="101">
        <f>'VAL 2 TRIM'!AG22</f>
        <v>60</v>
      </c>
      <c r="O22" s="31">
        <f>'VAL 3 TRIM'!C22</f>
        <v>10</v>
      </c>
      <c r="P22" s="31">
        <f>'VAL 3 TRIM'!O22</f>
        <v>35</v>
      </c>
      <c r="Q22" s="31">
        <f>'VAL 3 TRIM'!AB22</f>
        <v>35</v>
      </c>
      <c r="R22" s="31">
        <f>'VAL 3 TRIM'!AA22</f>
        <v>10</v>
      </c>
      <c r="S22" s="48">
        <f>'VAL 3 TRIM'!AE22</f>
        <v>10</v>
      </c>
      <c r="T22" s="101">
        <f>'VAL 3 TRIM'!AG22</f>
        <v>100</v>
      </c>
      <c r="U22" s="102">
        <f t="shared" si="0"/>
        <v>83.333333333333329</v>
      </c>
      <c r="V22" s="103" t="str">
        <f t="shared" si="1"/>
        <v>APROBADO</v>
      </c>
      <c r="W22" s="104"/>
      <c r="X22" s="104"/>
    </row>
    <row r="23" spans="1:24" ht="12" customHeight="1" x14ac:dyDescent="0.35">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29</v>
      </c>
      <c r="K23" s="31">
        <f>'VAL 2 TRIM'!AB23</f>
        <v>33</v>
      </c>
      <c r="L23" s="31">
        <f>'VAL 2 TRIM'!AA23</f>
        <v>10</v>
      </c>
      <c r="M23" s="31">
        <f>'VAL 2 TRIM'!AE23</f>
        <v>8</v>
      </c>
      <c r="N23" s="101">
        <f>'VAL 2 TRIM'!AG23</f>
        <v>90</v>
      </c>
      <c r="O23" s="31">
        <f>'VAL 3 TRIM'!C23</f>
        <v>10</v>
      </c>
      <c r="P23" s="31">
        <f>'VAL 3 TRIM'!O23</f>
        <v>35</v>
      </c>
      <c r="Q23" s="31">
        <f>'VAL 3 TRIM'!AB23</f>
        <v>35</v>
      </c>
      <c r="R23" s="31">
        <f>'VAL 3 TRIM'!AA23</f>
        <v>10</v>
      </c>
      <c r="S23" s="48">
        <f>'VAL 3 TRIM'!AE23</f>
        <v>10</v>
      </c>
      <c r="T23" s="101">
        <f>'VAL 3 TRIM'!AG23</f>
        <v>100</v>
      </c>
      <c r="U23" s="102">
        <f t="shared" si="0"/>
        <v>93.333333333333329</v>
      </c>
      <c r="V23" s="103" t="str">
        <f t="shared" si="1"/>
        <v>APROBADO</v>
      </c>
      <c r="W23" s="104"/>
      <c r="X23" s="104"/>
    </row>
    <row r="24" spans="1:24" ht="12" customHeight="1" x14ac:dyDescent="0.35">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9.2307692307692299</v>
      </c>
      <c r="J24" s="31">
        <f>'VAL 2 TRIM'!O24</f>
        <v>13</v>
      </c>
      <c r="K24" s="31">
        <f>'VAL 2 TRIM'!AB24</f>
        <v>17</v>
      </c>
      <c r="L24" s="31">
        <f>'VAL 2 TRIM'!AA24</f>
        <v>7</v>
      </c>
      <c r="M24" s="31">
        <f>'VAL 2 TRIM'!AE24</f>
        <v>6</v>
      </c>
      <c r="N24" s="101">
        <f>'VAL 2 TRIM'!AG24</f>
        <v>52.230769230769226</v>
      </c>
      <c r="O24" s="31">
        <f>'VAL 3 TRIM'!C24</f>
        <v>10</v>
      </c>
      <c r="P24" s="31">
        <f>'VAL 3 TRIM'!O24</f>
        <v>35</v>
      </c>
      <c r="Q24" s="31">
        <f>'VAL 3 TRIM'!AB24</f>
        <v>35</v>
      </c>
      <c r="R24" s="31">
        <f>'VAL 3 TRIM'!AA24</f>
        <v>10</v>
      </c>
      <c r="S24" s="48">
        <f>'VAL 3 TRIM'!AE24</f>
        <v>10</v>
      </c>
      <c r="T24" s="101">
        <f>'VAL 3 TRIM'!AG24</f>
        <v>100</v>
      </c>
      <c r="U24" s="102">
        <f t="shared" si="0"/>
        <v>72.743589743589737</v>
      </c>
      <c r="V24" s="103" t="str">
        <f t="shared" si="1"/>
        <v>APROBADO</v>
      </c>
      <c r="W24" s="104"/>
      <c r="X24" s="104"/>
    </row>
    <row r="25" spans="1:24" ht="12" customHeight="1" x14ac:dyDescent="0.35">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5">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56" t="s">
        <v>94</v>
      </c>
      <c r="C2" s="252"/>
      <c r="D2" s="252"/>
      <c r="E2" s="252"/>
      <c r="F2" s="252"/>
      <c r="G2" s="252"/>
      <c r="H2" s="252"/>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5">
      <c r="B4" s="38" t="s">
        <v>14</v>
      </c>
      <c r="C4" s="39" t="str">
        <f>CARÁTULA!$C$21</f>
        <v>Secundaria</v>
      </c>
      <c r="D4" s="41"/>
      <c r="E4" s="40"/>
      <c r="F4" s="39"/>
      <c r="G4" s="40"/>
      <c r="H4" s="40"/>
      <c r="I4" s="40"/>
      <c r="J4" s="38" t="s">
        <v>51</v>
      </c>
      <c r="K4" s="106"/>
      <c r="L4" s="39">
        <f>CARÁTULA!$C$19</f>
        <v>0</v>
      </c>
      <c r="M4" s="106"/>
    </row>
    <row r="5" spans="1:13" ht="12.75" customHeight="1" x14ac:dyDescent="0.35">
      <c r="B5" s="38" t="s">
        <v>22</v>
      </c>
      <c r="C5" s="39" t="str">
        <f>CARÁTULA!$C$23</f>
        <v>2do de Secundaria</v>
      </c>
      <c r="D5" s="38"/>
      <c r="E5" s="44"/>
      <c r="F5" s="343"/>
      <c r="G5" s="316"/>
      <c r="H5" s="44"/>
      <c r="I5" s="44"/>
      <c r="J5" s="38" t="s">
        <v>23</v>
      </c>
      <c r="K5" s="106"/>
      <c r="L5" s="270">
        <f ca="1">TODAY()</f>
        <v>44497</v>
      </c>
      <c r="M5" s="252"/>
    </row>
    <row r="6" spans="1:13" ht="12.75" customHeight="1" x14ac:dyDescent="0.35">
      <c r="B6" s="38"/>
      <c r="C6" s="344" t="s">
        <v>99</v>
      </c>
      <c r="D6" s="308"/>
      <c r="E6" s="309"/>
      <c r="F6" s="340" t="s">
        <v>95</v>
      </c>
      <c r="G6" s="336" t="s">
        <v>96</v>
      </c>
      <c r="H6" s="66"/>
      <c r="I6" s="66"/>
    </row>
    <row r="7" spans="1:13" ht="12" customHeight="1" x14ac:dyDescent="0.35">
      <c r="B7" s="47"/>
      <c r="C7" s="341" t="s">
        <v>4</v>
      </c>
      <c r="D7" s="341" t="s">
        <v>100</v>
      </c>
      <c r="E7" s="342" t="s">
        <v>16</v>
      </c>
      <c r="F7" s="337"/>
      <c r="G7" s="337"/>
      <c r="H7" s="40"/>
      <c r="I7" s="40"/>
    </row>
    <row r="8" spans="1:13" ht="67.5" customHeight="1" x14ac:dyDescent="0.35">
      <c r="A8" s="48" t="s">
        <v>54</v>
      </c>
      <c r="B8" s="49" t="s">
        <v>55</v>
      </c>
      <c r="C8" s="312"/>
      <c r="D8" s="312"/>
      <c r="E8" s="312"/>
      <c r="F8" s="312"/>
      <c r="G8" s="312"/>
      <c r="H8" s="100"/>
      <c r="I8" s="100" t="s">
        <v>101</v>
      </c>
      <c r="J8" s="100" t="s">
        <v>102</v>
      </c>
      <c r="K8" s="100" t="s">
        <v>103</v>
      </c>
    </row>
    <row r="9" spans="1:13" ht="12" customHeight="1" x14ac:dyDescent="0.35">
      <c r="A9" s="58">
        <v>1</v>
      </c>
      <c r="B9" s="59" t="str">
        <f>'C. FILIACION'!B8</f>
        <v>ALARCON CHURA PRISCILA</v>
      </c>
      <c r="C9" s="101">
        <f>'VAL 1 TRIM '!AG9</f>
        <v>66</v>
      </c>
      <c r="D9" s="101">
        <f>'VAL 2 TRIM'!AG9</f>
        <v>29.615384615384613</v>
      </c>
      <c r="E9" s="101">
        <f>'VAL 3 TRIM'!AG9</f>
        <v>100</v>
      </c>
      <c r="F9" s="102">
        <f>'CENTRAL 1'!U9</f>
        <v>65.205128205128204</v>
      </c>
      <c r="G9" s="103" t="str">
        <f t="shared" ref="G9:G44" si="0">IF(F9="","",(IF(AND(F9&gt;=1,F9&lt;=50.499),"REPROBADO",IF(AND(F9&gt;=50.5,F9&lt;=100),"APROBADO"))))</f>
        <v>APROBADO</v>
      </c>
      <c r="H9" s="104"/>
      <c r="I9" s="31">
        <f>COUNTIF(C9:C44,"&gt;=51")</f>
        <v>36</v>
      </c>
      <c r="J9" s="107">
        <f>COUNTIF(D9:D44,"&gt;=51")</f>
        <v>33</v>
      </c>
      <c r="K9" s="107">
        <f>COUNTIF(E9:E44,"&gt;=51")</f>
        <v>36</v>
      </c>
    </row>
    <row r="10" spans="1:13" ht="12" customHeight="1" x14ac:dyDescent="0.35">
      <c r="A10" s="58">
        <v>2</v>
      </c>
      <c r="B10" s="59" t="str">
        <f>'C. FILIACION'!B9</f>
        <v>ARCE CHOQUE LUCERO CORAL</v>
      </c>
      <c r="C10" s="101">
        <f>'VAL 1 TRIM '!AG10</f>
        <v>66</v>
      </c>
      <c r="D10" s="101">
        <f>'VAL 2 TRIM'!AG10</f>
        <v>51</v>
      </c>
      <c r="E10" s="101">
        <f>'VAL 3 TRIM'!AG10</f>
        <v>100</v>
      </c>
      <c r="F10" s="102">
        <f>'CENTRAL 1'!U10</f>
        <v>72.333333333333329</v>
      </c>
      <c r="G10" s="103" t="str">
        <f t="shared" si="0"/>
        <v>APROBADO</v>
      </c>
      <c r="H10" s="104"/>
      <c r="I10" s="108" t="s">
        <v>104</v>
      </c>
      <c r="J10" s="109"/>
    </row>
    <row r="11" spans="1:13" ht="12" customHeight="1" x14ac:dyDescent="0.35">
      <c r="A11" s="58">
        <v>3</v>
      </c>
      <c r="B11" s="59" t="str">
        <f>'C. FILIACION'!B10</f>
        <v>AREQUIPA CALCINA FABIAN JHON</v>
      </c>
      <c r="C11" s="101">
        <f>'VAL 1 TRIM '!AG11</f>
        <v>66</v>
      </c>
      <c r="D11" s="101">
        <f>'VAL 2 TRIM'!AG11</f>
        <v>58.46153846153846</v>
      </c>
      <c r="E11" s="101">
        <f>'VAL 3 TRIM'!AG11</f>
        <v>100</v>
      </c>
      <c r="F11" s="102">
        <f>'CENTRAL 1'!U11</f>
        <v>74.820512820512818</v>
      </c>
      <c r="G11" s="103" t="str">
        <f t="shared" si="0"/>
        <v>APROBADO</v>
      </c>
      <c r="H11" s="104"/>
      <c r="I11" s="104"/>
    </row>
    <row r="12" spans="1:13" ht="12" customHeight="1" x14ac:dyDescent="0.35">
      <c r="A12" s="58">
        <v>4</v>
      </c>
      <c r="B12" s="59" t="str">
        <f>'C. FILIACION'!B11</f>
        <v>CLAURE PARAVICINI RASHEL ROSALY</v>
      </c>
      <c r="C12" s="101">
        <f>'VAL 1 TRIM '!AG12</f>
        <v>66</v>
      </c>
      <c r="D12" s="101">
        <f>'VAL 2 TRIM'!AG12</f>
        <v>50.615384615384613</v>
      </c>
      <c r="E12" s="101">
        <f>'VAL 3 TRIM'!AG12</f>
        <v>100</v>
      </c>
      <c r="F12" s="102">
        <f>'CENTRAL 1'!U12</f>
        <v>72.205128205128204</v>
      </c>
      <c r="G12" s="103" t="str">
        <f t="shared" si="0"/>
        <v>APROBADO</v>
      </c>
      <c r="H12" s="104"/>
      <c r="I12" s="104"/>
    </row>
    <row r="13" spans="1:13" ht="12" customHeight="1" x14ac:dyDescent="0.35">
      <c r="A13" s="58">
        <v>5</v>
      </c>
      <c r="B13" s="59" t="str">
        <f>'C. FILIACION'!B12</f>
        <v>CONDORI FLORES ALEJANDRO BRYAN</v>
      </c>
      <c r="C13" s="101">
        <f>'VAL 1 TRIM '!AG13</f>
        <v>66</v>
      </c>
      <c r="D13" s="101">
        <f>'VAL 2 TRIM'!AG13</f>
        <v>62.230769230769226</v>
      </c>
      <c r="E13" s="101">
        <f>'VAL 3 TRIM'!AG13</f>
        <v>100</v>
      </c>
      <c r="F13" s="102">
        <f>'CENTRAL 1'!U13</f>
        <v>76.07692307692308</v>
      </c>
      <c r="G13" s="103" t="str">
        <f t="shared" si="0"/>
        <v>APROBADO</v>
      </c>
      <c r="H13" s="104"/>
      <c r="I13" s="107">
        <f>COUNTIF(C9:C44,"&lt;=51")</f>
        <v>0</v>
      </c>
      <c r="J13" s="107">
        <f>COUNTIF(D9:D44,"&lt;=51")</f>
        <v>4</v>
      </c>
      <c r="K13" s="107">
        <f>COUNTIF(E9:E44,"&lt;=51")</f>
        <v>0</v>
      </c>
    </row>
    <row r="14" spans="1:13" ht="12" customHeight="1" x14ac:dyDescent="0.35">
      <c r="A14" s="58">
        <v>6</v>
      </c>
      <c r="B14" s="59" t="str">
        <f>'C. FILIACION'!B13</f>
        <v>DE LA CRUZ SANDOVAL JHON MARCO</v>
      </c>
      <c r="C14" s="101">
        <f>'VAL 1 TRIM '!AG14</f>
        <v>66</v>
      </c>
      <c r="D14" s="101">
        <f>'VAL 2 TRIM'!AG14</f>
        <v>68</v>
      </c>
      <c r="E14" s="101">
        <f>'VAL 3 TRIM'!AG14</f>
        <v>100</v>
      </c>
      <c r="F14" s="102">
        <f>'CENTRAL 1'!U14</f>
        <v>78</v>
      </c>
      <c r="G14" s="103" t="str">
        <f t="shared" si="0"/>
        <v>APROBADO</v>
      </c>
      <c r="H14" s="104"/>
      <c r="I14" s="108" t="s">
        <v>105</v>
      </c>
    </row>
    <row r="15" spans="1:13" ht="12" customHeight="1" x14ac:dyDescent="0.35">
      <c r="A15" s="58">
        <v>7</v>
      </c>
      <c r="B15" s="59" t="str">
        <f>'C. FILIACION'!B14</f>
        <v>GARCÍA IGNACIO MISHEL MAYA</v>
      </c>
      <c r="C15" s="101">
        <f>'VAL 1 TRIM '!AG15</f>
        <v>66</v>
      </c>
      <c r="D15" s="101">
        <f>'VAL 2 TRIM'!AG15</f>
        <v>72</v>
      </c>
      <c r="E15" s="101">
        <f>'VAL 3 TRIM'!AG15</f>
        <v>100</v>
      </c>
      <c r="F15" s="102">
        <f>'CENTRAL 1'!U15</f>
        <v>79.333333333333329</v>
      </c>
      <c r="G15" s="103" t="str">
        <f t="shared" si="0"/>
        <v>APROBADO</v>
      </c>
      <c r="H15" s="104"/>
      <c r="I15" s="104"/>
    </row>
    <row r="16" spans="1:13" ht="12" customHeight="1" x14ac:dyDescent="0.35">
      <c r="A16" s="58">
        <v>8</v>
      </c>
      <c r="B16" s="59" t="str">
        <f>'C. FILIACION'!B15</f>
        <v>HELGUERO SANCHEZ JHOYSI CAMIL</v>
      </c>
      <c r="C16" s="101">
        <f>'VAL 1 TRIM '!AG16</f>
        <v>66</v>
      </c>
      <c r="D16" s="101">
        <f>'VAL 2 TRIM'!AG16</f>
        <v>66.230769230769226</v>
      </c>
      <c r="E16" s="101">
        <f>'VAL 3 TRIM'!AG16</f>
        <v>100</v>
      </c>
      <c r="F16" s="102">
        <f>'CENTRAL 1'!U16</f>
        <v>77.410256410256409</v>
      </c>
      <c r="G16" s="103" t="str">
        <f t="shared" si="0"/>
        <v>APROBADO</v>
      </c>
      <c r="H16" s="104"/>
      <c r="I16" s="104"/>
    </row>
    <row r="17" spans="1:9" ht="12" customHeight="1" x14ac:dyDescent="0.35">
      <c r="A17" s="58">
        <v>9</v>
      </c>
      <c r="B17" s="59" t="str">
        <f>'C. FILIACION'!B16</f>
        <v>LEDEZMA ORELLANA RICARDO ERIK</v>
      </c>
      <c r="C17" s="101">
        <f>'VAL 1 TRIM '!AG17</f>
        <v>66</v>
      </c>
      <c r="D17" s="101">
        <f>'VAL 2 TRIM'!AG17</f>
        <v>73</v>
      </c>
      <c r="E17" s="101">
        <f>'VAL 3 TRIM'!AG17</f>
        <v>100</v>
      </c>
      <c r="F17" s="102">
        <f>'CENTRAL 1'!U17</f>
        <v>79.666666666666671</v>
      </c>
      <c r="G17" s="103" t="str">
        <f t="shared" si="0"/>
        <v>APROBADO</v>
      </c>
      <c r="H17" s="104"/>
      <c r="I17" s="104"/>
    </row>
    <row r="18" spans="1:9" ht="12" customHeight="1" x14ac:dyDescent="0.35">
      <c r="A18" s="58">
        <v>10</v>
      </c>
      <c r="B18" s="59" t="str">
        <f>'C. FILIACION'!B17</f>
        <v>MAMANI LOPEZ ELIZABETH MILDRED</v>
      </c>
      <c r="C18" s="101">
        <f>'VAL 1 TRIM '!AG18</f>
        <v>90</v>
      </c>
      <c r="D18" s="101">
        <f>'VAL 2 TRIM'!AG18</f>
        <v>59.07692307692308</v>
      </c>
      <c r="E18" s="101">
        <f>'VAL 3 TRIM'!AG18</f>
        <v>100</v>
      </c>
      <c r="F18" s="102">
        <f>'CENTRAL 1'!U18</f>
        <v>83.025641025641036</v>
      </c>
      <c r="G18" s="103" t="str">
        <f t="shared" si="0"/>
        <v>APROBADO</v>
      </c>
      <c r="H18" s="104"/>
      <c r="I18" s="104"/>
    </row>
    <row r="19" spans="1:9" ht="12" customHeight="1" x14ac:dyDescent="0.35">
      <c r="A19" s="58">
        <v>11</v>
      </c>
      <c r="B19" s="59" t="str">
        <f>'C. FILIACION'!B18</f>
        <v>MEDINA CHOQUE JUAN JOSE</v>
      </c>
      <c r="C19" s="101">
        <f>'VAL 1 TRIM '!AG19</f>
        <v>66</v>
      </c>
      <c r="D19" s="101">
        <f>'VAL 2 TRIM'!AG19</f>
        <v>22.307692307692307</v>
      </c>
      <c r="E19" s="101">
        <f>'VAL 3 TRIM'!AG19</f>
        <v>100</v>
      </c>
      <c r="F19" s="102">
        <f>'CENTRAL 1'!U19</f>
        <v>62.769230769230774</v>
      </c>
      <c r="G19" s="103" t="str">
        <f t="shared" si="0"/>
        <v>APROBADO</v>
      </c>
      <c r="H19" s="104"/>
      <c r="I19" s="104"/>
    </row>
    <row r="20" spans="1:9" ht="12" customHeight="1" x14ac:dyDescent="0.35">
      <c r="A20" s="58">
        <v>12</v>
      </c>
      <c r="B20" s="59" t="str">
        <f>'C. FILIACION'!B19</f>
        <v>NINA RUEDA SEBASTIAN CARLOS</v>
      </c>
      <c r="C20" s="101">
        <f>'VAL 1 TRIM '!AG20</f>
        <v>90</v>
      </c>
      <c r="D20" s="101">
        <f>'VAL 2 TRIM'!AG20</f>
        <v>58.230769230769226</v>
      </c>
      <c r="E20" s="101">
        <f>'VAL 3 TRIM'!AG20</f>
        <v>100</v>
      </c>
      <c r="F20" s="102">
        <f>'CENTRAL 1'!U20</f>
        <v>82.743589743589737</v>
      </c>
      <c r="G20" s="103" t="str">
        <f t="shared" si="0"/>
        <v>APROBADO</v>
      </c>
      <c r="H20" s="104"/>
      <c r="I20" s="104"/>
    </row>
    <row r="21" spans="1:9" ht="12" customHeight="1" x14ac:dyDescent="0.35">
      <c r="A21" s="58">
        <v>13</v>
      </c>
      <c r="B21" s="59" t="str">
        <f>'C. FILIACION'!B20</f>
        <v>RODRIGUEZ RAMIREZ NATALY ARIANA</v>
      </c>
      <c r="C21" s="101">
        <f>'VAL 1 TRIM '!AG21</f>
        <v>90</v>
      </c>
      <c r="D21" s="101">
        <f>'VAL 2 TRIM'!AG21</f>
        <v>69</v>
      </c>
      <c r="E21" s="101">
        <f>'VAL 3 TRIM'!AG21</f>
        <v>100</v>
      </c>
      <c r="F21" s="102">
        <f>'CENTRAL 1'!U21</f>
        <v>86.333333333333329</v>
      </c>
      <c r="G21" s="103" t="str">
        <f t="shared" si="0"/>
        <v>APROBADO</v>
      </c>
      <c r="H21" s="104"/>
      <c r="I21" s="104"/>
    </row>
    <row r="22" spans="1:9" ht="12" customHeight="1" x14ac:dyDescent="0.35">
      <c r="A22" s="58">
        <v>14</v>
      </c>
      <c r="B22" s="59" t="str">
        <f>'C. FILIACION'!B21</f>
        <v>SALAZAR CANAZA CRISTINA MAYRA</v>
      </c>
      <c r="C22" s="101">
        <f>'VAL 1 TRIM '!AG22</f>
        <v>90</v>
      </c>
      <c r="D22" s="101">
        <f>'VAL 2 TRIM'!AG22</f>
        <v>60</v>
      </c>
      <c r="E22" s="101">
        <f>'VAL 3 TRIM'!AG22</f>
        <v>100</v>
      </c>
      <c r="F22" s="102">
        <f>'CENTRAL 1'!U22</f>
        <v>83.333333333333329</v>
      </c>
      <c r="G22" s="103" t="str">
        <f t="shared" si="0"/>
        <v>APROBADO</v>
      </c>
      <c r="H22" s="104"/>
      <c r="I22" s="104"/>
    </row>
    <row r="23" spans="1:9" ht="12" customHeight="1" x14ac:dyDescent="0.35">
      <c r="A23" s="58">
        <v>15</v>
      </c>
      <c r="B23" s="59" t="str">
        <f>'C. FILIACION'!B22</f>
        <v>SEVILLANO BALTAZAR AGNESE</v>
      </c>
      <c r="C23" s="101">
        <f>'VAL 1 TRIM '!AG23</f>
        <v>90</v>
      </c>
      <c r="D23" s="101">
        <f>'VAL 2 TRIM'!AG23</f>
        <v>90</v>
      </c>
      <c r="E23" s="101">
        <f>'VAL 3 TRIM'!AG23</f>
        <v>100</v>
      </c>
      <c r="F23" s="102">
        <f>'CENTRAL 1'!U23</f>
        <v>93.333333333333329</v>
      </c>
      <c r="G23" s="103" t="str">
        <f t="shared" si="0"/>
        <v>APROBADO</v>
      </c>
      <c r="H23" s="104"/>
      <c r="I23" s="104"/>
    </row>
    <row r="24" spans="1:9" ht="12" customHeight="1" x14ac:dyDescent="0.35">
      <c r="A24" s="58">
        <v>16</v>
      </c>
      <c r="B24" s="59" t="str">
        <f>'C. FILIACION'!B23</f>
        <v>TOCONAS HUAYGUA VICTORIA FERNANDA</v>
      </c>
      <c r="C24" s="101">
        <f>'VAL 1 TRIM '!AG24</f>
        <v>66</v>
      </c>
      <c r="D24" s="101">
        <f>'VAL 2 TRIM'!AG24</f>
        <v>52.230769230769226</v>
      </c>
      <c r="E24" s="101">
        <f>'VAL 3 TRIM'!AG24</f>
        <v>100</v>
      </c>
      <c r="F24" s="102">
        <f>'CENTRAL 1'!U24</f>
        <v>72.743589743589737</v>
      </c>
      <c r="G24" s="103" t="str">
        <f t="shared" si="0"/>
        <v>APROBADO</v>
      </c>
      <c r="H24" s="104"/>
      <c r="I24" s="104"/>
    </row>
    <row r="25" spans="1:9" ht="12" customHeight="1" x14ac:dyDescent="0.35">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5">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5">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5">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48" t="s">
        <v>106</v>
      </c>
      <c r="C2" s="252"/>
      <c r="D2" s="252"/>
      <c r="E2" s="252"/>
      <c r="F2" s="252"/>
      <c r="G2" s="252"/>
      <c r="H2" s="252"/>
      <c r="I2" s="252"/>
      <c r="J2" s="252"/>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44497</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107</v>
      </c>
      <c r="J6" s="110"/>
      <c r="K6" s="110"/>
      <c r="L6" s="110"/>
      <c r="M6" s="110"/>
      <c r="N6" s="110"/>
      <c r="O6" s="110"/>
      <c r="P6" s="110"/>
      <c r="Q6" s="110"/>
      <c r="R6" s="110"/>
      <c r="S6" s="110"/>
      <c r="T6" s="110"/>
      <c r="U6" s="110"/>
      <c r="V6" s="110"/>
      <c r="W6" s="110"/>
      <c r="X6" s="110"/>
      <c r="Y6" s="110"/>
      <c r="Z6" s="110"/>
    </row>
    <row r="7" spans="1:26" ht="20.399999999999999" x14ac:dyDescent="0.35">
      <c r="A7" s="110"/>
      <c r="B7" s="115" t="s">
        <v>88</v>
      </c>
      <c r="C7" s="114" t="s">
        <v>108</v>
      </c>
      <c r="D7" s="115" t="s">
        <v>109</v>
      </c>
      <c r="E7" s="116" t="s">
        <v>110</v>
      </c>
      <c r="F7" s="110"/>
      <c r="G7" s="117" t="s">
        <v>111</v>
      </c>
      <c r="H7" s="115">
        <f>'VAL 1 TRIM '!$AO$9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89</v>
      </c>
      <c r="C8" s="114" t="s">
        <v>112</v>
      </c>
      <c r="D8" s="115" t="s">
        <v>113</v>
      </c>
      <c r="E8" s="116" t="s">
        <v>114</v>
      </c>
      <c r="F8" s="110"/>
      <c r="G8" s="117" t="s">
        <v>115</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399999999999999" x14ac:dyDescent="0.35">
      <c r="A9" s="110"/>
      <c r="B9" s="115" t="s">
        <v>90</v>
      </c>
      <c r="C9" s="114" t="s">
        <v>116</v>
      </c>
      <c r="D9" s="115" t="s">
        <v>117</v>
      </c>
      <c r="E9" s="116" t="s">
        <v>114</v>
      </c>
      <c r="F9" s="110"/>
      <c r="G9" s="119" t="s">
        <v>118</v>
      </c>
      <c r="H9" s="115">
        <f>'VAL 1 TRIM '!$AO$11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91</v>
      </c>
      <c r="C10" s="114" t="s">
        <v>119</v>
      </c>
      <c r="D10" s="115" t="s">
        <v>120</v>
      </c>
      <c r="E10" s="116" t="s">
        <v>114</v>
      </c>
      <c r="F10" s="110"/>
      <c r="G10" s="119" t="s">
        <v>121</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49" t="s">
        <v>123</v>
      </c>
      <c r="C13" s="252"/>
      <c r="D13" s="252"/>
      <c r="E13" s="252"/>
      <c r="F13" s="252"/>
      <c r="G13" s="252"/>
      <c r="H13" s="252"/>
      <c r="I13" s="252"/>
      <c r="J13" s="252"/>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45" t="s">
        <v>124</v>
      </c>
      <c r="C15" s="259"/>
      <c r="D15" s="259"/>
      <c r="E15" s="259"/>
      <c r="F15" s="259"/>
      <c r="G15" s="259"/>
      <c r="H15" s="259"/>
      <c r="I15" s="259"/>
      <c r="J15" s="260"/>
      <c r="K15" s="110"/>
      <c r="L15" s="110"/>
      <c r="M15" s="110"/>
      <c r="N15" s="110"/>
      <c r="O15" s="110"/>
      <c r="P15" s="110"/>
      <c r="Q15" s="110"/>
      <c r="R15" s="110"/>
      <c r="S15" s="110"/>
      <c r="T15" s="110"/>
      <c r="U15" s="110"/>
      <c r="V15" s="110"/>
      <c r="W15" s="110"/>
      <c r="X15" s="110"/>
      <c r="Y15" s="110"/>
      <c r="Z15" s="110"/>
    </row>
    <row r="16" spans="1:26" ht="16.5" customHeight="1" x14ac:dyDescent="0.35">
      <c r="A16" s="110"/>
      <c r="B16" s="346"/>
      <c r="C16" s="252"/>
      <c r="D16" s="252"/>
      <c r="E16" s="252"/>
      <c r="F16" s="252"/>
      <c r="G16" s="252"/>
      <c r="H16" s="252"/>
      <c r="I16" s="252"/>
      <c r="J16" s="347"/>
      <c r="K16" s="110"/>
      <c r="L16" s="110"/>
      <c r="M16" s="110"/>
      <c r="N16" s="110"/>
      <c r="O16" s="110"/>
      <c r="P16" s="110"/>
      <c r="Q16" s="110"/>
      <c r="R16" s="110"/>
      <c r="S16" s="110"/>
      <c r="T16" s="110"/>
      <c r="U16" s="110"/>
      <c r="V16" s="110"/>
      <c r="W16" s="110"/>
      <c r="X16" s="110"/>
      <c r="Y16" s="110"/>
      <c r="Z16" s="110"/>
    </row>
    <row r="17" spans="1:26" ht="16.5" customHeight="1" x14ac:dyDescent="0.35">
      <c r="A17" s="110"/>
      <c r="B17" s="315"/>
      <c r="C17" s="316"/>
      <c r="D17" s="316"/>
      <c r="E17" s="316"/>
      <c r="F17" s="316"/>
      <c r="G17" s="316"/>
      <c r="H17" s="316"/>
      <c r="I17" s="316"/>
      <c r="J17" s="317"/>
      <c r="K17" s="110"/>
      <c r="L17" s="110"/>
      <c r="M17" s="110"/>
      <c r="N17" s="110"/>
      <c r="O17" s="110"/>
      <c r="P17" s="110"/>
      <c r="Q17" s="110"/>
      <c r="R17" s="110"/>
      <c r="S17" s="110"/>
      <c r="T17" s="110"/>
      <c r="U17" s="110"/>
      <c r="V17" s="110"/>
      <c r="W17" s="110"/>
      <c r="X17" s="110"/>
      <c r="Y17" s="110"/>
      <c r="Z17" s="110"/>
    </row>
    <row r="18" spans="1:26" ht="16.5" customHeight="1" x14ac:dyDescent="0.35">
      <c r="A18" s="110"/>
      <c r="B18" s="345" t="s">
        <v>125</v>
      </c>
      <c r="C18" s="259"/>
      <c r="D18" s="259"/>
      <c r="E18" s="259"/>
      <c r="F18" s="259"/>
      <c r="G18" s="259"/>
      <c r="H18" s="259"/>
      <c r="I18" s="259"/>
      <c r="J18" s="260"/>
      <c r="K18" s="110"/>
      <c r="L18" s="110"/>
      <c r="M18" s="110"/>
      <c r="N18" s="110"/>
      <c r="O18" s="110"/>
      <c r="P18" s="110"/>
      <c r="Q18" s="110"/>
      <c r="R18" s="110"/>
      <c r="S18" s="110"/>
      <c r="T18" s="110"/>
      <c r="U18" s="110"/>
      <c r="V18" s="110"/>
      <c r="W18" s="110"/>
      <c r="X18" s="110"/>
      <c r="Y18" s="110"/>
      <c r="Z18" s="110"/>
    </row>
    <row r="19" spans="1:26" ht="16.5" customHeight="1" x14ac:dyDescent="0.35">
      <c r="A19" s="110"/>
      <c r="B19" s="346"/>
      <c r="C19" s="252"/>
      <c r="D19" s="252"/>
      <c r="E19" s="252"/>
      <c r="F19" s="252"/>
      <c r="G19" s="252"/>
      <c r="H19" s="252"/>
      <c r="I19" s="252"/>
      <c r="J19" s="347"/>
      <c r="K19" s="110"/>
      <c r="L19" s="110"/>
      <c r="M19" s="110"/>
      <c r="N19" s="110"/>
      <c r="O19" s="110"/>
      <c r="P19" s="110"/>
      <c r="Q19" s="110"/>
      <c r="R19" s="110"/>
      <c r="S19" s="110"/>
      <c r="T19" s="110"/>
      <c r="U19" s="110"/>
      <c r="V19" s="110"/>
      <c r="W19" s="110"/>
      <c r="X19" s="110"/>
      <c r="Y19" s="110"/>
      <c r="Z19" s="110"/>
    </row>
    <row r="20" spans="1:26" ht="16.5" customHeight="1" x14ac:dyDescent="0.35">
      <c r="A20" s="110"/>
      <c r="B20" s="315"/>
      <c r="C20" s="316"/>
      <c r="D20" s="316"/>
      <c r="E20" s="316"/>
      <c r="F20" s="316"/>
      <c r="G20" s="316"/>
      <c r="H20" s="316"/>
      <c r="I20" s="316"/>
      <c r="J20" s="317"/>
      <c r="K20" s="110"/>
      <c r="L20" s="110"/>
      <c r="M20" s="110"/>
      <c r="N20" s="110"/>
      <c r="O20" s="110"/>
      <c r="P20" s="110"/>
      <c r="Q20" s="110"/>
      <c r="R20" s="110"/>
      <c r="S20" s="110"/>
      <c r="T20" s="110"/>
      <c r="U20" s="110"/>
      <c r="V20" s="110"/>
      <c r="W20" s="110"/>
      <c r="X20" s="110"/>
      <c r="Y20" s="110"/>
      <c r="Z20" s="110"/>
    </row>
    <row r="21" spans="1:26" ht="16.5" customHeight="1" x14ac:dyDescent="0.35">
      <c r="A21" s="110"/>
      <c r="B21" s="345" t="s">
        <v>126</v>
      </c>
      <c r="C21" s="259"/>
      <c r="D21" s="259"/>
      <c r="E21" s="259"/>
      <c r="F21" s="259"/>
      <c r="G21" s="259"/>
      <c r="H21" s="259"/>
      <c r="I21" s="259"/>
      <c r="J21" s="260"/>
      <c r="K21" s="110"/>
      <c r="L21" s="110"/>
      <c r="M21" s="110"/>
      <c r="N21" s="110"/>
      <c r="O21" s="110"/>
      <c r="P21" s="110"/>
      <c r="Q21" s="110"/>
      <c r="R21" s="110"/>
      <c r="S21" s="110"/>
      <c r="T21" s="110"/>
      <c r="U21" s="110"/>
      <c r="V21" s="110"/>
      <c r="W21" s="110"/>
      <c r="X21" s="110"/>
      <c r="Y21" s="110"/>
      <c r="Z21" s="110"/>
    </row>
    <row r="22" spans="1:26" ht="16.5" customHeight="1" x14ac:dyDescent="0.35">
      <c r="A22" s="110"/>
      <c r="B22" s="346"/>
      <c r="C22" s="252"/>
      <c r="D22" s="252"/>
      <c r="E22" s="252"/>
      <c r="F22" s="252"/>
      <c r="G22" s="252"/>
      <c r="H22" s="252"/>
      <c r="I22" s="252"/>
      <c r="J22" s="347"/>
      <c r="K22" s="110"/>
      <c r="L22" s="110"/>
      <c r="M22" s="110"/>
      <c r="N22" s="110"/>
      <c r="O22" s="110"/>
      <c r="P22" s="110"/>
      <c r="Q22" s="110"/>
      <c r="R22" s="110"/>
      <c r="S22" s="110"/>
      <c r="T22" s="110"/>
      <c r="U22" s="110"/>
      <c r="V22" s="110"/>
      <c r="W22" s="110"/>
      <c r="X22" s="110"/>
      <c r="Y22" s="110"/>
      <c r="Z22" s="110"/>
    </row>
    <row r="23" spans="1:26" ht="16.5" customHeight="1" x14ac:dyDescent="0.35">
      <c r="A23" s="110"/>
      <c r="B23" s="315"/>
      <c r="C23" s="316"/>
      <c r="D23" s="316"/>
      <c r="E23" s="316"/>
      <c r="F23" s="316"/>
      <c r="G23" s="316"/>
      <c r="H23" s="316"/>
      <c r="I23" s="316"/>
      <c r="J23" s="317"/>
      <c r="K23" s="110"/>
      <c r="L23" s="110"/>
      <c r="M23" s="110"/>
      <c r="N23" s="110"/>
      <c r="O23" s="110"/>
      <c r="P23" s="110"/>
      <c r="Q23" s="110"/>
      <c r="R23" s="110"/>
      <c r="S23" s="110"/>
      <c r="T23" s="110"/>
      <c r="U23" s="110"/>
      <c r="V23" s="110"/>
      <c r="W23" s="110"/>
      <c r="X23" s="110"/>
      <c r="Y23" s="110"/>
      <c r="Z23" s="110"/>
    </row>
    <row r="24" spans="1:26" ht="16.5" customHeight="1" x14ac:dyDescent="0.35">
      <c r="A24" s="110"/>
      <c r="B24" s="345" t="s">
        <v>127</v>
      </c>
      <c r="C24" s="259"/>
      <c r="D24" s="259"/>
      <c r="E24" s="259"/>
      <c r="F24" s="259"/>
      <c r="G24" s="259"/>
      <c r="H24" s="259"/>
      <c r="I24" s="259"/>
      <c r="J24" s="260"/>
      <c r="K24" s="110"/>
      <c r="L24" s="110"/>
      <c r="M24" s="110"/>
      <c r="N24" s="110"/>
      <c r="O24" s="110"/>
      <c r="P24" s="110"/>
      <c r="Q24" s="110"/>
      <c r="R24" s="110"/>
      <c r="S24" s="110"/>
      <c r="T24" s="110"/>
      <c r="U24" s="110"/>
      <c r="V24" s="110"/>
      <c r="W24" s="110"/>
      <c r="X24" s="110"/>
      <c r="Y24" s="110"/>
      <c r="Z24" s="110"/>
    </row>
    <row r="25" spans="1:26" ht="16.5" customHeight="1" x14ac:dyDescent="0.35">
      <c r="A25" s="110"/>
      <c r="B25" s="346"/>
      <c r="C25" s="252"/>
      <c r="D25" s="252"/>
      <c r="E25" s="252"/>
      <c r="F25" s="252"/>
      <c r="G25" s="252"/>
      <c r="H25" s="252"/>
      <c r="I25" s="252"/>
      <c r="J25" s="347"/>
      <c r="K25" s="110"/>
      <c r="L25" s="110"/>
      <c r="M25" s="110"/>
      <c r="N25" s="110"/>
      <c r="O25" s="110"/>
      <c r="P25" s="110"/>
      <c r="Q25" s="110"/>
      <c r="R25" s="110"/>
      <c r="S25" s="110"/>
      <c r="T25" s="110"/>
      <c r="U25" s="110"/>
      <c r="V25" s="110"/>
      <c r="W25" s="110"/>
      <c r="X25" s="110"/>
      <c r="Y25" s="110"/>
      <c r="Z25" s="110"/>
    </row>
    <row r="26" spans="1:26" ht="16.5" customHeight="1" x14ac:dyDescent="0.35">
      <c r="A26" s="110"/>
      <c r="B26" s="315"/>
      <c r="C26" s="316"/>
      <c r="D26" s="316"/>
      <c r="E26" s="316"/>
      <c r="F26" s="316"/>
      <c r="G26" s="316"/>
      <c r="H26" s="316"/>
      <c r="I26" s="316"/>
      <c r="J26" s="317"/>
      <c r="K26" s="110"/>
      <c r="L26" s="110"/>
      <c r="M26" s="110"/>
      <c r="N26" s="110"/>
      <c r="O26" s="110"/>
      <c r="P26" s="110"/>
      <c r="Q26" s="110"/>
      <c r="R26" s="110"/>
      <c r="S26" s="110"/>
      <c r="T26" s="110"/>
      <c r="U26" s="110"/>
      <c r="V26" s="110"/>
      <c r="W26" s="110"/>
      <c r="X26" s="110"/>
      <c r="Y26" s="110"/>
      <c r="Z26" s="110"/>
    </row>
    <row r="27" spans="1:26" ht="16.5" customHeight="1" x14ac:dyDescent="0.35">
      <c r="A27" s="110"/>
      <c r="B27" s="345" t="s">
        <v>128</v>
      </c>
      <c r="C27" s="259"/>
      <c r="D27" s="259"/>
      <c r="E27" s="259"/>
      <c r="F27" s="259"/>
      <c r="G27" s="259"/>
      <c r="H27" s="259"/>
      <c r="I27" s="259"/>
      <c r="J27" s="260"/>
      <c r="K27" s="110"/>
      <c r="L27" s="110"/>
      <c r="M27" s="110"/>
      <c r="N27" s="110"/>
      <c r="O27" s="110"/>
      <c r="P27" s="110"/>
      <c r="Q27" s="110"/>
      <c r="R27" s="110"/>
      <c r="S27" s="110"/>
      <c r="T27" s="110"/>
      <c r="U27" s="110"/>
      <c r="V27" s="110"/>
      <c r="W27" s="110"/>
      <c r="X27" s="110"/>
      <c r="Y27" s="110"/>
      <c r="Z27" s="110"/>
    </row>
    <row r="28" spans="1:26" ht="16.5" customHeight="1" x14ac:dyDescent="0.35">
      <c r="A28" s="110"/>
      <c r="B28" s="346"/>
      <c r="C28" s="252"/>
      <c r="D28" s="252"/>
      <c r="E28" s="252"/>
      <c r="F28" s="252"/>
      <c r="G28" s="252"/>
      <c r="H28" s="252"/>
      <c r="I28" s="252"/>
      <c r="J28" s="347"/>
      <c r="K28" s="110"/>
      <c r="L28" s="110"/>
      <c r="M28" s="110"/>
      <c r="N28" s="110"/>
      <c r="O28" s="110"/>
      <c r="P28" s="110"/>
      <c r="Q28" s="110"/>
      <c r="R28" s="110"/>
      <c r="S28" s="110"/>
      <c r="T28" s="110"/>
      <c r="U28" s="110"/>
      <c r="V28" s="110"/>
      <c r="W28" s="110"/>
      <c r="X28" s="110"/>
      <c r="Y28" s="110"/>
      <c r="Z28" s="110"/>
    </row>
    <row r="29" spans="1:26" ht="16.5" customHeight="1" x14ac:dyDescent="0.35">
      <c r="A29" s="110"/>
      <c r="B29" s="315"/>
      <c r="C29" s="316"/>
      <c r="D29" s="316"/>
      <c r="E29" s="316"/>
      <c r="F29" s="316"/>
      <c r="G29" s="316"/>
      <c r="H29" s="316"/>
      <c r="I29" s="316"/>
      <c r="J29" s="31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129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48" t="s">
        <v>130</v>
      </c>
      <c r="C2" s="252"/>
      <c r="D2" s="252"/>
      <c r="E2" s="252"/>
      <c r="F2" s="252"/>
      <c r="G2" s="252"/>
      <c r="H2" s="252"/>
      <c r="I2" s="252"/>
      <c r="J2" s="252"/>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44497</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107</v>
      </c>
      <c r="J6" s="110"/>
      <c r="K6" s="110"/>
      <c r="L6" s="110"/>
      <c r="M6" s="110"/>
      <c r="N6" s="110"/>
      <c r="O6" s="110"/>
      <c r="P6" s="110"/>
      <c r="Q6" s="110"/>
      <c r="R6" s="110"/>
      <c r="S6" s="110"/>
      <c r="T6" s="110"/>
      <c r="U6" s="110"/>
      <c r="V6" s="110"/>
      <c r="W6" s="110"/>
      <c r="X6" s="110"/>
      <c r="Y6" s="110"/>
      <c r="Z6" s="110"/>
    </row>
    <row r="7" spans="1:26" ht="20.399999999999999" x14ac:dyDescent="0.35">
      <c r="A7" s="110"/>
      <c r="B7" s="115" t="s">
        <v>88</v>
      </c>
      <c r="C7" s="114" t="s">
        <v>108</v>
      </c>
      <c r="D7" s="115" t="s">
        <v>109</v>
      </c>
      <c r="E7" s="116" t="s">
        <v>110</v>
      </c>
      <c r="F7" s="110"/>
      <c r="G7" s="117" t="s">
        <v>111</v>
      </c>
      <c r="H7" s="115">
        <f>'VAL 2 TRIM'!$AO$9</f>
        <v>3</v>
      </c>
      <c r="I7" s="118">
        <f>H7/H11</f>
        <v>8.3333333333333329E-2</v>
      </c>
      <c r="J7" s="110"/>
      <c r="K7" s="110"/>
      <c r="L7" s="110"/>
      <c r="M7" s="110"/>
      <c r="N7" s="110"/>
      <c r="O7" s="110"/>
      <c r="P7" s="110"/>
      <c r="Q7" s="110"/>
      <c r="R7" s="110"/>
      <c r="S7" s="110"/>
      <c r="T7" s="110"/>
      <c r="U7" s="110"/>
      <c r="V7" s="110"/>
      <c r="W7" s="110"/>
      <c r="X7" s="110"/>
      <c r="Y7" s="110"/>
      <c r="Z7" s="110"/>
    </row>
    <row r="8" spans="1:26" ht="20.399999999999999" x14ac:dyDescent="0.35">
      <c r="A8" s="110"/>
      <c r="B8" s="115" t="s">
        <v>89</v>
      </c>
      <c r="C8" s="114" t="s">
        <v>112</v>
      </c>
      <c r="D8" s="115" t="s">
        <v>113</v>
      </c>
      <c r="E8" s="116" t="s">
        <v>114</v>
      </c>
      <c r="F8" s="110"/>
      <c r="G8" s="117" t="s">
        <v>115</v>
      </c>
      <c r="H8" s="115">
        <f>'VAL 2 TRIM'!$AO$10</f>
        <v>8</v>
      </c>
      <c r="I8" s="118">
        <f>H8/H11</f>
        <v>0.22222222222222221</v>
      </c>
      <c r="J8" s="110"/>
      <c r="K8" s="110"/>
      <c r="L8" s="110"/>
      <c r="M8" s="110"/>
      <c r="N8" s="110"/>
      <c r="O8" s="110"/>
      <c r="P8" s="110"/>
      <c r="Q8" s="110"/>
      <c r="R8" s="110"/>
      <c r="S8" s="110"/>
      <c r="T8" s="110"/>
      <c r="U8" s="110"/>
      <c r="V8" s="110"/>
      <c r="W8" s="110"/>
      <c r="X8" s="110"/>
      <c r="Y8" s="110"/>
      <c r="Z8" s="110"/>
    </row>
    <row r="9" spans="1:26" ht="20.399999999999999" x14ac:dyDescent="0.35">
      <c r="A9" s="110"/>
      <c r="B9" s="115" t="s">
        <v>90</v>
      </c>
      <c r="C9" s="114" t="s">
        <v>116</v>
      </c>
      <c r="D9" s="115" t="s">
        <v>117</v>
      </c>
      <c r="E9" s="116" t="s">
        <v>114</v>
      </c>
      <c r="F9" s="110"/>
      <c r="G9" s="119" t="s">
        <v>118</v>
      </c>
      <c r="H9" s="115">
        <f>'VAL 2 TRIM'!$AO$11</f>
        <v>4</v>
      </c>
      <c r="I9" s="118">
        <f>H9/H11</f>
        <v>0.1111111111111111</v>
      </c>
      <c r="J9" s="110"/>
      <c r="K9" s="110"/>
      <c r="L9" s="110"/>
      <c r="M9" s="110"/>
      <c r="N9" s="110"/>
      <c r="O9" s="110"/>
      <c r="P9" s="110"/>
      <c r="Q9" s="110"/>
      <c r="R9" s="110"/>
      <c r="S9" s="110"/>
      <c r="T9" s="110"/>
      <c r="U9" s="110"/>
      <c r="V9" s="110"/>
      <c r="W9" s="110"/>
      <c r="X9" s="110"/>
      <c r="Y9" s="110"/>
      <c r="Z9" s="110"/>
    </row>
    <row r="10" spans="1:26" ht="20.399999999999999" x14ac:dyDescent="0.35">
      <c r="A10" s="110"/>
      <c r="B10" s="115" t="s">
        <v>91</v>
      </c>
      <c r="C10" s="114" t="s">
        <v>119</v>
      </c>
      <c r="D10" s="115" t="s">
        <v>120</v>
      </c>
      <c r="E10" s="116" t="s">
        <v>114</v>
      </c>
      <c r="F10" s="110"/>
      <c r="G10" s="119" t="s">
        <v>121</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49" t="s">
        <v>123</v>
      </c>
      <c r="C13" s="252"/>
      <c r="D13" s="252"/>
      <c r="E13" s="252"/>
      <c r="F13" s="252"/>
      <c r="G13" s="252"/>
      <c r="H13" s="252"/>
      <c r="I13" s="252"/>
      <c r="J13" s="252"/>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45" t="s">
        <v>124</v>
      </c>
      <c r="C15" s="259"/>
      <c r="D15" s="259"/>
      <c r="E15" s="259"/>
      <c r="F15" s="259"/>
      <c r="G15" s="259"/>
      <c r="H15" s="259"/>
      <c r="I15" s="259"/>
      <c r="J15" s="260"/>
      <c r="K15" s="110"/>
      <c r="L15" s="110"/>
      <c r="M15" s="110"/>
      <c r="N15" s="110"/>
      <c r="O15" s="110"/>
      <c r="P15" s="110"/>
      <c r="Q15" s="110"/>
      <c r="R15" s="110"/>
      <c r="S15" s="110"/>
      <c r="T15" s="110"/>
      <c r="U15" s="110"/>
      <c r="V15" s="110"/>
      <c r="W15" s="110"/>
      <c r="X15" s="110"/>
      <c r="Y15" s="110"/>
      <c r="Z15" s="110"/>
    </row>
    <row r="16" spans="1:26" ht="16.5" customHeight="1" x14ac:dyDescent="0.35">
      <c r="A16" s="110"/>
      <c r="B16" s="346"/>
      <c r="C16" s="252"/>
      <c r="D16" s="252"/>
      <c r="E16" s="252"/>
      <c r="F16" s="252"/>
      <c r="G16" s="252"/>
      <c r="H16" s="252"/>
      <c r="I16" s="252"/>
      <c r="J16" s="347"/>
      <c r="K16" s="110"/>
      <c r="L16" s="110"/>
      <c r="M16" s="110"/>
      <c r="N16" s="110"/>
      <c r="O16" s="110"/>
      <c r="P16" s="110"/>
      <c r="Q16" s="110"/>
      <c r="R16" s="110"/>
      <c r="S16" s="110"/>
      <c r="T16" s="110"/>
      <c r="U16" s="110"/>
      <c r="V16" s="110"/>
      <c r="W16" s="110"/>
      <c r="X16" s="110"/>
      <c r="Y16" s="110"/>
      <c r="Z16" s="110"/>
    </row>
    <row r="17" spans="1:26" ht="16.5" customHeight="1" x14ac:dyDescent="0.35">
      <c r="A17" s="110"/>
      <c r="B17" s="315"/>
      <c r="C17" s="316"/>
      <c r="D17" s="316"/>
      <c r="E17" s="316"/>
      <c r="F17" s="316"/>
      <c r="G17" s="316"/>
      <c r="H17" s="316"/>
      <c r="I17" s="316"/>
      <c r="J17" s="317"/>
      <c r="K17" s="110"/>
      <c r="L17" s="110"/>
      <c r="M17" s="110"/>
      <c r="N17" s="110"/>
      <c r="O17" s="110"/>
      <c r="P17" s="110"/>
      <c r="Q17" s="110"/>
      <c r="R17" s="110"/>
      <c r="S17" s="110"/>
      <c r="T17" s="110"/>
      <c r="U17" s="110"/>
      <c r="V17" s="110"/>
      <c r="W17" s="110"/>
      <c r="X17" s="110"/>
      <c r="Y17" s="110"/>
      <c r="Z17" s="110"/>
    </row>
    <row r="18" spans="1:26" ht="16.5" customHeight="1" x14ac:dyDescent="0.35">
      <c r="A18" s="110"/>
      <c r="B18" s="345" t="s">
        <v>125</v>
      </c>
      <c r="C18" s="259"/>
      <c r="D18" s="259"/>
      <c r="E18" s="259"/>
      <c r="F18" s="259"/>
      <c r="G18" s="259"/>
      <c r="H18" s="259"/>
      <c r="I18" s="259"/>
      <c r="J18" s="260"/>
      <c r="K18" s="110"/>
      <c r="L18" s="110"/>
      <c r="M18" s="110"/>
      <c r="N18" s="110"/>
      <c r="O18" s="110"/>
      <c r="P18" s="110"/>
      <c r="Q18" s="110"/>
      <c r="R18" s="110"/>
      <c r="S18" s="110"/>
      <c r="T18" s="110"/>
      <c r="U18" s="110"/>
      <c r="V18" s="110"/>
      <c r="W18" s="110"/>
      <c r="X18" s="110"/>
      <c r="Y18" s="110"/>
      <c r="Z18" s="110"/>
    </row>
    <row r="19" spans="1:26" ht="16.5" customHeight="1" x14ac:dyDescent="0.35">
      <c r="A19" s="110"/>
      <c r="B19" s="346"/>
      <c r="C19" s="252"/>
      <c r="D19" s="252"/>
      <c r="E19" s="252"/>
      <c r="F19" s="252"/>
      <c r="G19" s="252"/>
      <c r="H19" s="252"/>
      <c r="I19" s="252"/>
      <c r="J19" s="347"/>
      <c r="K19" s="110"/>
      <c r="L19" s="110"/>
      <c r="M19" s="110"/>
      <c r="N19" s="110"/>
      <c r="O19" s="110"/>
      <c r="P19" s="110"/>
      <c r="Q19" s="110"/>
      <c r="R19" s="110"/>
      <c r="S19" s="110"/>
      <c r="T19" s="110"/>
      <c r="U19" s="110"/>
      <c r="V19" s="110"/>
      <c r="W19" s="110"/>
      <c r="X19" s="110"/>
      <c r="Y19" s="110"/>
      <c r="Z19" s="110"/>
    </row>
    <row r="20" spans="1:26" ht="16.5" customHeight="1" x14ac:dyDescent="0.35">
      <c r="A20" s="110"/>
      <c r="B20" s="315"/>
      <c r="C20" s="316"/>
      <c r="D20" s="316"/>
      <c r="E20" s="316"/>
      <c r="F20" s="316"/>
      <c r="G20" s="316"/>
      <c r="H20" s="316"/>
      <c r="I20" s="316"/>
      <c r="J20" s="317"/>
      <c r="K20" s="110"/>
      <c r="L20" s="110"/>
      <c r="M20" s="110"/>
      <c r="N20" s="110"/>
      <c r="O20" s="110"/>
      <c r="P20" s="110"/>
      <c r="Q20" s="110"/>
      <c r="R20" s="110"/>
      <c r="S20" s="110"/>
      <c r="T20" s="110"/>
      <c r="U20" s="110"/>
      <c r="V20" s="110"/>
      <c r="W20" s="110"/>
      <c r="X20" s="110"/>
      <c r="Y20" s="110"/>
      <c r="Z20" s="110"/>
    </row>
    <row r="21" spans="1:26" ht="16.5" customHeight="1" x14ac:dyDescent="0.35">
      <c r="A21" s="110"/>
      <c r="B21" s="345" t="s">
        <v>126</v>
      </c>
      <c r="C21" s="259"/>
      <c r="D21" s="259"/>
      <c r="E21" s="259"/>
      <c r="F21" s="259"/>
      <c r="G21" s="259"/>
      <c r="H21" s="259"/>
      <c r="I21" s="259"/>
      <c r="J21" s="260"/>
      <c r="K21" s="110"/>
      <c r="L21" s="110"/>
      <c r="M21" s="110"/>
      <c r="N21" s="110"/>
      <c r="O21" s="110"/>
      <c r="P21" s="110"/>
      <c r="Q21" s="110"/>
      <c r="R21" s="110"/>
      <c r="S21" s="110"/>
      <c r="T21" s="110"/>
      <c r="U21" s="110"/>
      <c r="V21" s="110"/>
      <c r="W21" s="110"/>
      <c r="X21" s="110"/>
      <c r="Y21" s="110"/>
      <c r="Z21" s="110"/>
    </row>
    <row r="22" spans="1:26" ht="16.5" customHeight="1" x14ac:dyDescent="0.35">
      <c r="A22" s="110"/>
      <c r="B22" s="346"/>
      <c r="C22" s="252"/>
      <c r="D22" s="252"/>
      <c r="E22" s="252"/>
      <c r="F22" s="252"/>
      <c r="G22" s="252"/>
      <c r="H22" s="252"/>
      <c r="I22" s="252"/>
      <c r="J22" s="347"/>
      <c r="K22" s="110"/>
      <c r="L22" s="110"/>
      <c r="M22" s="110"/>
      <c r="N22" s="110"/>
      <c r="O22" s="110"/>
      <c r="P22" s="110"/>
      <c r="Q22" s="110"/>
      <c r="R22" s="110"/>
      <c r="S22" s="110"/>
      <c r="T22" s="110"/>
      <c r="U22" s="110"/>
      <c r="V22" s="110"/>
      <c r="W22" s="110"/>
      <c r="X22" s="110"/>
      <c r="Y22" s="110"/>
      <c r="Z22" s="110"/>
    </row>
    <row r="23" spans="1:26" ht="16.5" customHeight="1" x14ac:dyDescent="0.35">
      <c r="A23" s="110"/>
      <c r="B23" s="315"/>
      <c r="C23" s="316"/>
      <c r="D23" s="316"/>
      <c r="E23" s="316"/>
      <c r="F23" s="316"/>
      <c r="G23" s="316"/>
      <c r="H23" s="316"/>
      <c r="I23" s="316"/>
      <c r="J23" s="317"/>
      <c r="K23" s="110"/>
      <c r="L23" s="110"/>
      <c r="M23" s="110"/>
      <c r="N23" s="110"/>
      <c r="O23" s="110"/>
      <c r="P23" s="110"/>
      <c r="Q23" s="110"/>
      <c r="R23" s="110"/>
      <c r="S23" s="110"/>
      <c r="T23" s="110"/>
      <c r="U23" s="110"/>
      <c r="V23" s="110"/>
      <c r="W23" s="110"/>
      <c r="X23" s="110"/>
      <c r="Y23" s="110"/>
      <c r="Z23" s="110"/>
    </row>
    <row r="24" spans="1:26" ht="16.5" customHeight="1" x14ac:dyDescent="0.35">
      <c r="A24" s="110"/>
      <c r="B24" s="345" t="s">
        <v>127</v>
      </c>
      <c r="C24" s="259"/>
      <c r="D24" s="259"/>
      <c r="E24" s="259"/>
      <c r="F24" s="259"/>
      <c r="G24" s="259"/>
      <c r="H24" s="259"/>
      <c r="I24" s="259"/>
      <c r="J24" s="260"/>
      <c r="K24" s="110"/>
      <c r="L24" s="110"/>
      <c r="M24" s="110"/>
      <c r="N24" s="110"/>
      <c r="O24" s="110"/>
      <c r="P24" s="110"/>
      <c r="Q24" s="110"/>
      <c r="R24" s="110"/>
      <c r="S24" s="110"/>
      <c r="T24" s="110"/>
      <c r="U24" s="110"/>
      <c r="V24" s="110"/>
      <c r="W24" s="110"/>
      <c r="X24" s="110"/>
      <c r="Y24" s="110"/>
      <c r="Z24" s="110"/>
    </row>
    <row r="25" spans="1:26" ht="16.5" customHeight="1" x14ac:dyDescent="0.35">
      <c r="A25" s="110"/>
      <c r="B25" s="346"/>
      <c r="C25" s="252"/>
      <c r="D25" s="252"/>
      <c r="E25" s="252"/>
      <c r="F25" s="252"/>
      <c r="G25" s="252"/>
      <c r="H25" s="252"/>
      <c r="I25" s="252"/>
      <c r="J25" s="347"/>
      <c r="K25" s="110"/>
      <c r="L25" s="110"/>
      <c r="M25" s="110"/>
      <c r="N25" s="110"/>
      <c r="O25" s="110"/>
      <c r="P25" s="110"/>
      <c r="Q25" s="110"/>
      <c r="R25" s="110"/>
      <c r="S25" s="110"/>
      <c r="T25" s="110"/>
      <c r="U25" s="110"/>
      <c r="V25" s="110"/>
      <c r="W25" s="110"/>
      <c r="X25" s="110"/>
      <c r="Y25" s="110"/>
      <c r="Z25" s="110"/>
    </row>
    <row r="26" spans="1:26" ht="16.5" customHeight="1" x14ac:dyDescent="0.35">
      <c r="A26" s="110"/>
      <c r="B26" s="315"/>
      <c r="C26" s="316"/>
      <c r="D26" s="316"/>
      <c r="E26" s="316"/>
      <c r="F26" s="316"/>
      <c r="G26" s="316"/>
      <c r="H26" s="316"/>
      <c r="I26" s="316"/>
      <c r="J26" s="317"/>
      <c r="K26" s="110"/>
      <c r="L26" s="110"/>
      <c r="M26" s="110"/>
      <c r="N26" s="110"/>
      <c r="O26" s="110"/>
      <c r="P26" s="110"/>
      <c r="Q26" s="110"/>
      <c r="R26" s="110"/>
      <c r="S26" s="110"/>
      <c r="T26" s="110"/>
      <c r="U26" s="110"/>
      <c r="V26" s="110"/>
      <c r="W26" s="110"/>
      <c r="X26" s="110"/>
      <c r="Y26" s="110"/>
      <c r="Z26" s="110"/>
    </row>
    <row r="27" spans="1:26" ht="16.5" customHeight="1" x14ac:dyDescent="0.35">
      <c r="A27" s="110"/>
      <c r="B27" s="345" t="s">
        <v>128</v>
      </c>
      <c r="C27" s="259"/>
      <c r="D27" s="259"/>
      <c r="E27" s="259"/>
      <c r="F27" s="259"/>
      <c r="G27" s="259"/>
      <c r="H27" s="259"/>
      <c r="I27" s="259"/>
      <c r="J27" s="260"/>
      <c r="K27" s="110"/>
      <c r="L27" s="110"/>
      <c r="M27" s="110"/>
      <c r="N27" s="110"/>
      <c r="O27" s="110"/>
      <c r="P27" s="110"/>
      <c r="Q27" s="110"/>
      <c r="R27" s="110"/>
      <c r="S27" s="110"/>
      <c r="T27" s="110"/>
      <c r="U27" s="110"/>
      <c r="V27" s="110"/>
      <c r="W27" s="110"/>
      <c r="X27" s="110"/>
      <c r="Y27" s="110"/>
      <c r="Z27" s="110"/>
    </row>
    <row r="28" spans="1:26" ht="16.5" customHeight="1" x14ac:dyDescent="0.35">
      <c r="A28" s="110"/>
      <c r="B28" s="346"/>
      <c r="C28" s="252"/>
      <c r="D28" s="252"/>
      <c r="E28" s="252"/>
      <c r="F28" s="252"/>
      <c r="G28" s="252"/>
      <c r="H28" s="252"/>
      <c r="I28" s="252"/>
      <c r="J28" s="347"/>
      <c r="K28" s="110"/>
      <c r="L28" s="110"/>
      <c r="M28" s="110"/>
      <c r="N28" s="110"/>
      <c r="O28" s="110"/>
      <c r="P28" s="110"/>
      <c r="Q28" s="110"/>
      <c r="R28" s="110"/>
      <c r="S28" s="110"/>
      <c r="T28" s="110"/>
      <c r="U28" s="110"/>
      <c r="V28" s="110"/>
      <c r="W28" s="110"/>
      <c r="X28" s="110"/>
      <c r="Y28" s="110"/>
      <c r="Z28" s="110"/>
    </row>
    <row r="29" spans="1:26" ht="16.5" customHeight="1" x14ac:dyDescent="0.35">
      <c r="A29" s="110"/>
      <c r="B29" s="315"/>
      <c r="C29" s="316"/>
      <c r="D29" s="316"/>
      <c r="E29" s="316"/>
      <c r="F29" s="316"/>
      <c r="G29" s="316"/>
      <c r="H29" s="316"/>
      <c r="I29" s="316"/>
      <c r="J29" s="31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129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48" t="s">
        <v>131</v>
      </c>
      <c r="C2" s="252"/>
      <c r="D2" s="252"/>
      <c r="E2" s="252"/>
      <c r="F2" s="252"/>
      <c r="G2" s="252"/>
      <c r="H2" s="252"/>
      <c r="I2" s="252"/>
      <c r="J2" s="252"/>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44497</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107</v>
      </c>
      <c r="J6" s="110"/>
      <c r="K6" s="110"/>
      <c r="L6" s="110"/>
      <c r="M6" s="110"/>
      <c r="N6" s="110"/>
      <c r="O6" s="110"/>
      <c r="P6" s="110"/>
      <c r="Q6" s="110"/>
      <c r="R6" s="110"/>
      <c r="S6" s="110"/>
      <c r="T6" s="110"/>
      <c r="U6" s="110"/>
      <c r="V6" s="110"/>
      <c r="W6" s="110"/>
      <c r="X6" s="110"/>
      <c r="Y6" s="110"/>
      <c r="Z6" s="110"/>
    </row>
    <row r="7" spans="1:26" ht="20.399999999999999" x14ac:dyDescent="0.35">
      <c r="A7" s="110"/>
      <c r="B7" s="115" t="s">
        <v>88</v>
      </c>
      <c r="C7" s="114" t="s">
        <v>108</v>
      </c>
      <c r="D7" s="115" t="s">
        <v>109</v>
      </c>
      <c r="E7" s="116" t="s">
        <v>110</v>
      </c>
      <c r="F7" s="110"/>
      <c r="G7" s="117" t="s">
        <v>111</v>
      </c>
      <c r="H7" s="115">
        <f>'VAL 3 TRIM'!$AO$9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89</v>
      </c>
      <c r="C8" s="114" t="s">
        <v>112</v>
      </c>
      <c r="D8" s="115" t="s">
        <v>113</v>
      </c>
      <c r="E8" s="116" t="s">
        <v>114</v>
      </c>
      <c r="F8" s="110"/>
      <c r="G8" s="117" t="s">
        <v>115</v>
      </c>
      <c r="H8" s="115">
        <f>'VAL 3 TRIM'!$AO$10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90</v>
      </c>
      <c r="C9" s="114" t="s">
        <v>116</v>
      </c>
      <c r="D9" s="115" t="s">
        <v>117</v>
      </c>
      <c r="E9" s="116" t="s">
        <v>114</v>
      </c>
      <c r="F9" s="110"/>
      <c r="G9" s="119" t="s">
        <v>118</v>
      </c>
      <c r="H9" s="115">
        <f>'VAL 3 TRIM'!$AO$11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91</v>
      </c>
      <c r="C10" s="114" t="s">
        <v>119</v>
      </c>
      <c r="D10" s="115" t="s">
        <v>120</v>
      </c>
      <c r="E10" s="116" t="s">
        <v>114</v>
      </c>
      <c r="F10" s="110"/>
      <c r="G10" s="119" t="s">
        <v>121</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122</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49" t="s">
        <v>123</v>
      </c>
      <c r="C13" s="252"/>
      <c r="D13" s="252"/>
      <c r="E13" s="252"/>
      <c r="F13" s="252"/>
      <c r="G13" s="252"/>
      <c r="H13" s="252"/>
      <c r="I13" s="252"/>
      <c r="J13" s="252"/>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45" t="s">
        <v>124</v>
      </c>
      <c r="C15" s="259"/>
      <c r="D15" s="259"/>
      <c r="E15" s="259"/>
      <c r="F15" s="259"/>
      <c r="G15" s="259"/>
      <c r="H15" s="259"/>
      <c r="I15" s="259"/>
      <c r="J15" s="260"/>
      <c r="K15" s="110"/>
      <c r="L15" s="110"/>
      <c r="M15" s="110"/>
      <c r="N15" s="110"/>
      <c r="O15" s="110"/>
      <c r="P15" s="110"/>
      <c r="Q15" s="110"/>
      <c r="R15" s="110"/>
      <c r="S15" s="110"/>
      <c r="T15" s="110"/>
      <c r="U15" s="110"/>
      <c r="V15" s="110"/>
      <c r="W15" s="110"/>
      <c r="X15" s="110"/>
      <c r="Y15" s="110"/>
      <c r="Z15" s="110"/>
    </row>
    <row r="16" spans="1:26" ht="16.5" customHeight="1" x14ac:dyDescent="0.35">
      <c r="A16" s="110"/>
      <c r="B16" s="346"/>
      <c r="C16" s="252"/>
      <c r="D16" s="252"/>
      <c r="E16" s="252"/>
      <c r="F16" s="252"/>
      <c r="G16" s="252"/>
      <c r="H16" s="252"/>
      <c r="I16" s="252"/>
      <c r="J16" s="347"/>
      <c r="K16" s="110"/>
      <c r="L16" s="110"/>
      <c r="M16" s="110"/>
      <c r="N16" s="110"/>
      <c r="O16" s="110"/>
      <c r="P16" s="110"/>
      <c r="Q16" s="110"/>
      <c r="R16" s="110"/>
      <c r="S16" s="110"/>
      <c r="T16" s="110"/>
      <c r="U16" s="110"/>
      <c r="V16" s="110"/>
      <c r="W16" s="110"/>
      <c r="X16" s="110"/>
      <c r="Y16" s="110"/>
      <c r="Z16" s="110"/>
    </row>
    <row r="17" spans="1:26" ht="16.5" customHeight="1" x14ac:dyDescent="0.35">
      <c r="A17" s="110"/>
      <c r="B17" s="315"/>
      <c r="C17" s="316"/>
      <c r="D17" s="316"/>
      <c r="E17" s="316"/>
      <c r="F17" s="316"/>
      <c r="G17" s="316"/>
      <c r="H17" s="316"/>
      <c r="I17" s="316"/>
      <c r="J17" s="317"/>
      <c r="K17" s="110"/>
      <c r="L17" s="110"/>
      <c r="M17" s="110"/>
      <c r="N17" s="110"/>
      <c r="O17" s="110"/>
      <c r="P17" s="110"/>
      <c r="Q17" s="110"/>
      <c r="R17" s="110"/>
      <c r="S17" s="110"/>
      <c r="T17" s="110"/>
      <c r="U17" s="110"/>
      <c r="V17" s="110"/>
      <c r="W17" s="110"/>
      <c r="X17" s="110"/>
      <c r="Y17" s="110"/>
      <c r="Z17" s="110"/>
    </row>
    <row r="18" spans="1:26" ht="16.5" customHeight="1" x14ac:dyDescent="0.35">
      <c r="A18" s="110"/>
      <c r="B18" s="345" t="s">
        <v>125</v>
      </c>
      <c r="C18" s="259"/>
      <c r="D18" s="259"/>
      <c r="E18" s="259"/>
      <c r="F18" s="259"/>
      <c r="G18" s="259"/>
      <c r="H18" s="259"/>
      <c r="I18" s="259"/>
      <c r="J18" s="260"/>
      <c r="K18" s="110"/>
      <c r="L18" s="110"/>
      <c r="M18" s="110"/>
      <c r="N18" s="110"/>
      <c r="O18" s="110"/>
      <c r="P18" s="110"/>
      <c r="Q18" s="110"/>
      <c r="R18" s="110"/>
      <c r="S18" s="110"/>
      <c r="T18" s="110"/>
      <c r="U18" s="110"/>
      <c r="V18" s="110"/>
      <c r="W18" s="110"/>
      <c r="X18" s="110"/>
      <c r="Y18" s="110"/>
      <c r="Z18" s="110"/>
    </row>
    <row r="19" spans="1:26" ht="16.5" customHeight="1" x14ac:dyDescent="0.35">
      <c r="A19" s="110"/>
      <c r="B19" s="346"/>
      <c r="C19" s="252"/>
      <c r="D19" s="252"/>
      <c r="E19" s="252"/>
      <c r="F19" s="252"/>
      <c r="G19" s="252"/>
      <c r="H19" s="252"/>
      <c r="I19" s="252"/>
      <c r="J19" s="347"/>
      <c r="K19" s="110"/>
      <c r="L19" s="110"/>
      <c r="M19" s="110"/>
      <c r="N19" s="110"/>
      <c r="O19" s="110"/>
      <c r="P19" s="110"/>
      <c r="Q19" s="110"/>
      <c r="R19" s="110"/>
      <c r="S19" s="110"/>
      <c r="T19" s="110"/>
      <c r="U19" s="110"/>
      <c r="V19" s="110"/>
      <c r="W19" s="110"/>
      <c r="X19" s="110"/>
      <c r="Y19" s="110"/>
      <c r="Z19" s="110"/>
    </row>
    <row r="20" spans="1:26" ht="16.5" customHeight="1" x14ac:dyDescent="0.35">
      <c r="A20" s="110"/>
      <c r="B20" s="315"/>
      <c r="C20" s="316"/>
      <c r="D20" s="316"/>
      <c r="E20" s="316"/>
      <c r="F20" s="316"/>
      <c r="G20" s="316"/>
      <c r="H20" s="316"/>
      <c r="I20" s="316"/>
      <c r="J20" s="317"/>
      <c r="K20" s="110"/>
      <c r="L20" s="110"/>
      <c r="M20" s="110"/>
      <c r="N20" s="110"/>
      <c r="O20" s="110"/>
      <c r="P20" s="110"/>
      <c r="Q20" s="110"/>
      <c r="R20" s="110"/>
      <c r="S20" s="110"/>
      <c r="T20" s="110"/>
      <c r="U20" s="110"/>
      <c r="V20" s="110"/>
      <c r="W20" s="110"/>
      <c r="X20" s="110"/>
      <c r="Y20" s="110"/>
      <c r="Z20" s="110"/>
    </row>
    <row r="21" spans="1:26" ht="16.5" customHeight="1" x14ac:dyDescent="0.35">
      <c r="A21" s="110"/>
      <c r="B21" s="345" t="s">
        <v>126</v>
      </c>
      <c r="C21" s="259"/>
      <c r="D21" s="259"/>
      <c r="E21" s="259"/>
      <c r="F21" s="259"/>
      <c r="G21" s="259"/>
      <c r="H21" s="259"/>
      <c r="I21" s="259"/>
      <c r="J21" s="260"/>
      <c r="K21" s="110"/>
      <c r="L21" s="110"/>
      <c r="M21" s="110"/>
      <c r="N21" s="110"/>
      <c r="O21" s="110"/>
      <c r="P21" s="110"/>
      <c r="Q21" s="110"/>
      <c r="R21" s="110"/>
      <c r="S21" s="110"/>
      <c r="T21" s="110"/>
      <c r="U21" s="110"/>
      <c r="V21" s="110"/>
      <c r="W21" s="110"/>
      <c r="X21" s="110"/>
      <c r="Y21" s="110"/>
      <c r="Z21" s="110"/>
    </row>
    <row r="22" spans="1:26" ht="16.5" customHeight="1" x14ac:dyDescent="0.35">
      <c r="A22" s="110"/>
      <c r="B22" s="346"/>
      <c r="C22" s="252"/>
      <c r="D22" s="252"/>
      <c r="E22" s="252"/>
      <c r="F22" s="252"/>
      <c r="G22" s="252"/>
      <c r="H22" s="252"/>
      <c r="I22" s="252"/>
      <c r="J22" s="347"/>
      <c r="K22" s="110"/>
      <c r="L22" s="110"/>
      <c r="M22" s="110"/>
      <c r="N22" s="110"/>
      <c r="O22" s="110"/>
      <c r="P22" s="110"/>
      <c r="Q22" s="110"/>
      <c r="R22" s="110"/>
      <c r="S22" s="110"/>
      <c r="T22" s="110"/>
      <c r="U22" s="110"/>
      <c r="V22" s="110"/>
      <c r="W22" s="110"/>
      <c r="X22" s="110"/>
      <c r="Y22" s="110"/>
      <c r="Z22" s="110"/>
    </row>
    <row r="23" spans="1:26" ht="16.5" customHeight="1" x14ac:dyDescent="0.35">
      <c r="A23" s="110"/>
      <c r="B23" s="315"/>
      <c r="C23" s="316"/>
      <c r="D23" s="316"/>
      <c r="E23" s="316"/>
      <c r="F23" s="316"/>
      <c r="G23" s="316"/>
      <c r="H23" s="316"/>
      <c r="I23" s="316"/>
      <c r="J23" s="317"/>
      <c r="K23" s="110"/>
      <c r="L23" s="110"/>
      <c r="M23" s="110"/>
      <c r="N23" s="110"/>
      <c r="O23" s="110"/>
      <c r="P23" s="110"/>
      <c r="Q23" s="110"/>
      <c r="R23" s="110"/>
      <c r="S23" s="110"/>
      <c r="T23" s="110"/>
      <c r="U23" s="110"/>
      <c r="V23" s="110"/>
      <c r="W23" s="110"/>
      <c r="X23" s="110"/>
      <c r="Y23" s="110"/>
      <c r="Z23" s="110"/>
    </row>
    <row r="24" spans="1:26" ht="16.5" customHeight="1" x14ac:dyDescent="0.35">
      <c r="A24" s="110"/>
      <c r="B24" s="345" t="s">
        <v>127</v>
      </c>
      <c r="C24" s="259"/>
      <c r="D24" s="259"/>
      <c r="E24" s="259"/>
      <c r="F24" s="259"/>
      <c r="G24" s="259"/>
      <c r="H24" s="259"/>
      <c r="I24" s="259"/>
      <c r="J24" s="260"/>
      <c r="K24" s="110"/>
      <c r="L24" s="110"/>
      <c r="M24" s="110"/>
      <c r="N24" s="110"/>
      <c r="O24" s="110"/>
      <c r="P24" s="110"/>
      <c r="Q24" s="110"/>
      <c r="R24" s="110"/>
      <c r="S24" s="110"/>
      <c r="T24" s="110"/>
      <c r="U24" s="110"/>
      <c r="V24" s="110"/>
      <c r="W24" s="110"/>
      <c r="X24" s="110"/>
      <c r="Y24" s="110"/>
      <c r="Z24" s="110"/>
    </row>
    <row r="25" spans="1:26" ht="16.5" customHeight="1" x14ac:dyDescent="0.35">
      <c r="A25" s="110"/>
      <c r="B25" s="346"/>
      <c r="C25" s="252"/>
      <c r="D25" s="252"/>
      <c r="E25" s="252"/>
      <c r="F25" s="252"/>
      <c r="G25" s="252"/>
      <c r="H25" s="252"/>
      <c r="I25" s="252"/>
      <c r="J25" s="347"/>
      <c r="K25" s="110"/>
      <c r="L25" s="110"/>
      <c r="M25" s="110"/>
      <c r="N25" s="110"/>
      <c r="O25" s="110"/>
      <c r="P25" s="110"/>
      <c r="Q25" s="110"/>
      <c r="R25" s="110"/>
      <c r="S25" s="110"/>
      <c r="T25" s="110"/>
      <c r="U25" s="110"/>
      <c r="V25" s="110"/>
      <c r="W25" s="110"/>
      <c r="X25" s="110"/>
      <c r="Y25" s="110"/>
      <c r="Z25" s="110"/>
    </row>
    <row r="26" spans="1:26" ht="16.5" customHeight="1" x14ac:dyDescent="0.35">
      <c r="A26" s="110"/>
      <c r="B26" s="315"/>
      <c r="C26" s="316"/>
      <c r="D26" s="316"/>
      <c r="E26" s="316"/>
      <c r="F26" s="316"/>
      <c r="G26" s="316"/>
      <c r="H26" s="316"/>
      <c r="I26" s="316"/>
      <c r="J26" s="317"/>
      <c r="K26" s="110"/>
      <c r="L26" s="110"/>
      <c r="M26" s="110"/>
      <c r="N26" s="110"/>
      <c r="O26" s="110"/>
      <c r="P26" s="110"/>
      <c r="Q26" s="110"/>
      <c r="R26" s="110"/>
      <c r="S26" s="110"/>
      <c r="T26" s="110"/>
      <c r="U26" s="110"/>
      <c r="V26" s="110"/>
      <c r="W26" s="110"/>
      <c r="X26" s="110"/>
      <c r="Y26" s="110"/>
      <c r="Z26" s="110"/>
    </row>
    <row r="27" spans="1:26" ht="16.5" customHeight="1" x14ac:dyDescent="0.35">
      <c r="A27" s="110"/>
      <c r="B27" s="345" t="s">
        <v>128</v>
      </c>
      <c r="C27" s="259"/>
      <c r="D27" s="259"/>
      <c r="E27" s="259"/>
      <c r="F27" s="259"/>
      <c r="G27" s="259"/>
      <c r="H27" s="259"/>
      <c r="I27" s="259"/>
      <c r="J27" s="260"/>
      <c r="K27" s="110"/>
      <c r="L27" s="110"/>
      <c r="M27" s="110"/>
      <c r="N27" s="110"/>
      <c r="O27" s="110"/>
      <c r="P27" s="110"/>
      <c r="Q27" s="110"/>
      <c r="R27" s="110"/>
      <c r="S27" s="110"/>
      <c r="T27" s="110"/>
      <c r="U27" s="110"/>
      <c r="V27" s="110"/>
      <c r="W27" s="110"/>
      <c r="X27" s="110"/>
      <c r="Y27" s="110"/>
      <c r="Z27" s="110"/>
    </row>
    <row r="28" spans="1:26" ht="16.5" customHeight="1" x14ac:dyDescent="0.35">
      <c r="A28" s="110"/>
      <c r="B28" s="346"/>
      <c r="C28" s="252"/>
      <c r="D28" s="252"/>
      <c r="E28" s="252"/>
      <c r="F28" s="252"/>
      <c r="G28" s="252"/>
      <c r="H28" s="252"/>
      <c r="I28" s="252"/>
      <c r="J28" s="347"/>
      <c r="K28" s="110"/>
      <c r="L28" s="110"/>
      <c r="M28" s="110"/>
      <c r="N28" s="110"/>
      <c r="O28" s="110"/>
      <c r="P28" s="110"/>
      <c r="Q28" s="110"/>
      <c r="R28" s="110"/>
      <c r="S28" s="110"/>
      <c r="T28" s="110"/>
      <c r="U28" s="110"/>
      <c r="V28" s="110"/>
      <c r="W28" s="110"/>
      <c r="X28" s="110"/>
      <c r="Y28" s="110"/>
      <c r="Z28" s="110"/>
    </row>
    <row r="29" spans="1:26" ht="16.5" customHeight="1" x14ac:dyDescent="0.35">
      <c r="A29" s="110"/>
      <c r="B29" s="315"/>
      <c r="C29" s="316"/>
      <c r="D29" s="316"/>
      <c r="E29" s="316"/>
      <c r="F29" s="316"/>
      <c r="G29" s="316"/>
      <c r="H29" s="316"/>
      <c r="I29" s="316"/>
      <c r="J29" s="317"/>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129</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56" t="s">
        <v>132</v>
      </c>
      <c r="D2" s="252"/>
      <c r="E2" s="252"/>
      <c r="F2" s="252"/>
      <c r="G2" s="252"/>
      <c r="H2" s="252"/>
      <c r="I2" s="252"/>
      <c r="J2" s="252"/>
      <c r="K2" s="252"/>
      <c r="L2" s="252"/>
      <c r="M2" s="252"/>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2do de Secundaria</v>
      </c>
      <c r="F5" s="40"/>
      <c r="G5" s="40"/>
      <c r="H5" s="40"/>
      <c r="I5" s="40"/>
      <c r="J5" s="43" t="s">
        <v>23</v>
      </c>
      <c r="K5" s="66">
        <f ca="1">TODAY()</f>
        <v>44497</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305" t="s">
        <v>133</v>
      </c>
      <c r="D10" s="252"/>
      <c r="E10" s="124"/>
      <c r="F10" s="40"/>
      <c r="G10" s="43" t="s">
        <v>134</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135</v>
      </c>
      <c r="D11" s="40"/>
      <c r="E11" s="126">
        <f>'CENTRAL 2'!$I$9</f>
        <v>36</v>
      </c>
      <c r="F11" s="124"/>
      <c r="G11" s="127">
        <f>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7" t="s">
        <v>136</v>
      </c>
      <c r="D12" s="40"/>
      <c r="E12" s="129">
        <f>'CENTRAL 2'!$I$13</f>
        <v>0</v>
      </c>
      <c r="F12" s="124"/>
      <c r="G12" s="127">
        <f>E12/$E$13</f>
        <v>0</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137</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305" t="s">
        <v>138</v>
      </c>
      <c r="D23" s="252"/>
      <c r="E23" s="40"/>
      <c r="F23" s="40"/>
      <c r="G23" s="43" t="s">
        <v>139</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135</v>
      </c>
      <c r="D24" s="40"/>
      <c r="E24" s="126">
        <f>'CENTRAL 2'!$J$9</f>
        <v>33</v>
      </c>
      <c r="F24" s="40"/>
      <c r="G24" s="127">
        <f>E24/$E$26</f>
        <v>0.89189189189189189</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7" t="s">
        <v>136</v>
      </c>
      <c r="D25" s="40"/>
      <c r="E25" s="129">
        <f>'CENTRAL 2'!$J$13</f>
        <v>4</v>
      </c>
      <c r="F25" s="40"/>
      <c r="G25" s="127">
        <f>E25/$E$26</f>
        <v>0.10810810810810811</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137</v>
      </c>
      <c r="D26" s="40"/>
      <c r="E26" s="131">
        <f>SUM(E24:E25)</f>
        <v>37</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305" t="s">
        <v>140</v>
      </c>
      <c r="D35" s="252"/>
      <c r="E35" s="40"/>
      <c r="F35" s="40"/>
      <c r="G35" s="123" t="s">
        <v>141</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135</v>
      </c>
      <c r="D36" s="40"/>
      <c r="E36" s="126">
        <f>'CENTRAL 2'!$K$9</f>
        <v>36</v>
      </c>
      <c r="F36" s="40"/>
      <c r="G36" s="127">
        <f>E36/$E$26</f>
        <v>0.97297297297297303</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7" t="s">
        <v>136</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137</v>
      </c>
      <c r="D38" s="40"/>
      <c r="E38" s="131">
        <f>SUM(E36:E37)</f>
        <v>36</v>
      </c>
      <c r="F38" s="40"/>
      <c r="G38" s="127">
        <f>SUM(G36:G37)</f>
        <v>0.97297297297297303</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351" t="s">
        <v>142</v>
      </c>
      <c r="D2" s="252"/>
      <c r="E2" s="252"/>
      <c r="F2" s="252"/>
      <c r="G2" s="252"/>
      <c r="H2" s="252"/>
      <c r="I2" s="252"/>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2do de Secundaria</v>
      </c>
      <c r="F5" s="133"/>
      <c r="G5" s="132" t="s">
        <v>23</v>
      </c>
      <c r="H5" s="134">
        <f ca="1">TODAY()</f>
        <v>44497</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350" t="s">
        <v>143</v>
      </c>
      <c r="D8" s="136" t="s">
        <v>144</v>
      </c>
      <c r="E8" s="136" t="s">
        <v>145</v>
      </c>
      <c r="F8" s="137" t="s">
        <v>146</v>
      </c>
      <c r="G8" s="136" t="s">
        <v>147</v>
      </c>
      <c r="H8" s="136" t="s">
        <v>148</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337"/>
      <c r="D9" s="138" t="s">
        <v>149</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337"/>
      <c r="D10" s="138" t="s">
        <v>150</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337"/>
      <c r="D11" s="138" t="s">
        <v>151</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312"/>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350" t="s">
        <v>152</v>
      </c>
      <c r="D15" s="136" t="s">
        <v>144</v>
      </c>
      <c r="E15" s="136" t="s">
        <v>145</v>
      </c>
      <c r="F15" s="137" t="s">
        <v>146</v>
      </c>
      <c r="G15" s="136" t="s">
        <v>147</v>
      </c>
      <c r="H15" s="136" t="s">
        <v>148</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337"/>
      <c r="D16" s="138" t="s">
        <v>149</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337"/>
      <c r="D17" s="138" t="s">
        <v>150</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337"/>
      <c r="D18" s="138" t="s">
        <v>151</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312"/>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350" t="s">
        <v>153</v>
      </c>
      <c r="D22" s="136" t="s">
        <v>144</v>
      </c>
      <c r="E22" s="136" t="s">
        <v>145</v>
      </c>
      <c r="F22" s="137" t="s">
        <v>146</v>
      </c>
      <c r="G22" s="136" t="s">
        <v>147</v>
      </c>
      <c r="H22" s="136" t="s">
        <v>148</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337"/>
      <c r="D23" s="138" t="s">
        <v>149</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337"/>
      <c r="D24" s="138" t="s">
        <v>150</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337"/>
      <c r="D25" s="138" t="s">
        <v>151</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312"/>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350" t="s">
        <v>154</v>
      </c>
      <c r="D29" s="136" t="s">
        <v>144</v>
      </c>
      <c r="E29" s="136" t="s">
        <v>145</v>
      </c>
      <c r="F29" s="137" t="s">
        <v>146</v>
      </c>
      <c r="G29" s="136" t="s">
        <v>147</v>
      </c>
      <c r="H29" s="136" t="s">
        <v>148</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337"/>
      <c r="D30" s="138" t="s">
        <v>149</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337"/>
      <c r="D31" s="138" t="s">
        <v>150</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337"/>
      <c r="D32" s="138" t="s">
        <v>151</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312"/>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350" t="s">
        <v>155</v>
      </c>
      <c r="D36" s="136" t="s">
        <v>144</v>
      </c>
      <c r="E36" s="136" t="s">
        <v>145</v>
      </c>
      <c r="F36" s="137" t="s">
        <v>146</v>
      </c>
      <c r="G36" s="136" t="s">
        <v>147</v>
      </c>
      <c r="H36" s="136" t="s">
        <v>148</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337"/>
      <c r="D37" s="138" t="s">
        <v>149</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337"/>
      <c r="D38" s="138" t="s">
        <v>150</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337"/>
      <c r="D39" s="138" t="s">
        <v>151</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312"/>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350" t="s">
        <v>156</v>
      </c>
      <c r="D43" s="136" t="s">
        <v>144</v>
      </c>
      <c r="E43" s="136" t="s">
        <v>145</v>
      </c>
      <c r="F43" s="137" t="s">
        <v>146</v>
      </c>
      <c r="G43" s="136" t="s">
        <v>147</v>
      </c>
      <c r="H43" s="136" t="s">
        <v>148</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337"/>
      <c r="D44" s="138" t="s">
        <v>149</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337"/>
      <c r="D45" s="138" t="s">
        <v>150</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337"/>
      <c r="D46" s="138" t="s">
        <v>151</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312"/>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356" t="s">
        <v>157</v>
      </c>
      <c r="F3" s="252"/>
      <c r="G3" s="252"/>
      <c r="H3" s="252"/>
      <c r="I3" s="252"/>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2do de Secundaria</v>
      </c>
      <c r="H8" s="144" t="s">
        <v>23</v>
      </c>
      <c r="I8" s="134">
        <f ca="1">TODAY()</f>
        <v>44497</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357" t="s">
        <v>158</v>
      </c>
      <c r="F16" s="358"/>
      <c r="G16" s="146" t="s">
        <v>24</v>
      </c>
      <c r="H16" s="147" t="s">
        <v>159</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352"/>
      <c r="F17" s="309"/>
      <c r="G17" s="149" t="str">
        <f>'C. FILIACION'!B8</f>
        <v>ALARCON CHURA PRISCILA</v>
      </c>
      <c r="H17" s="150">
        <f>'CENTRAL 2'!F9</f>
        <v>65.205128205128204</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352"/>
      <c r="F18" s="309"/>
      <c r="G18" s="149" t="str">
        <f>'C. FILIACION'!B9</f>
        <v>ARCE CHOQUE LUCERO CORAL</v>
      </c>
      <c r="H18" s="150">
        <f>'CENTRAL 2'!F10</f>
        <v>72.333333333333329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352"/>
      <c r="F19" s="309"/>
      <c r="G19" s="149" t="str">
        <f>'C. FILIACION'!B10</f>
        <v>AREQUIPA CALCINA FABIAN JHON</v>
      </c>
      <c r="H19" s="150">
        <f>'CENTRAL 2'!F11</f>
        <v>74.820512820512818</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352"/>
      <c r="F20" s="309"/>
      <c r="G20" s="149" t="str">
        <f>'C. FILIACION'!B11</f>
        <v>CLAURE PARAVICINI RASHEL ROSALY</v>
      </c>
      <c r="H20" s="150">
        <f>'CENTRAL 2'!F12</f>
        <v>72.205128205128204</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352"/>
      <c r="F21" s="309"/>
      <c r="G21" s="149" t="str">
        <f>'C. FILIACION'!B12</f>
        <v>CONDORI FLORES ALEJANDRO BRYAN</v>
      </c>
      <c r="H21" s="150">
        <f>'CENTRAL 2'!F13</f>
        <v>76.07692307692308</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352"/>
      <c r="F22" s="309"/>
      <c r="G22" s="149" t="str">
        <f>'C. FILIACION'!B13</f>
        <v>DE LA CRUZ SANDOVAL JHON MARCO</v>
      </c>
      <c r="H22" s="150">
        <f>'CENTRAL 2'!F14</f>
        <v>78</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352"/>
      <c r="F23" s="309"/>
      <c r="G23" s="149" t="str">
        <f>'C. FILIACION'!B14</f>
        <v>GARCÍA IGNACIO MISHEL MAYA</v>
      </c>
      <c r="H23" s="150">
        <f>'CENTRAL 2'!F15</f>
        <v>79.333333333333329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352"/>
      <c r="F24" s="309"/>
      <c r="G24" s="149" t="str">
        <f>'C. FILIACION'!B15</f>
        <v>HELGUERO SANCHEZ JHOYSI CAMIL</v>
      </c>
      <c r="H24" s="150">
        <f>'CENTRAL 2'!F16</f>
        <v>77.410256410256409</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352"/>
      <c r="F25" s="309"/>
      <c r="G25" s="149" t="str">
        <f>'C. FILIACION'!B16</f>
        <v>LEDEZMA ORELLANA RICARDO ERIK</v>
      </c>
      <c r="H25" s="150">
        <f>'CENTRAL 2'!F17</f>
        <v>79.666666666666671</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352"/>
      <c r="F26" s="309"/>
      <c r="G26" s="149" t="str">
        <f>'C. FILIACION'!B17</f>
        <v>MAMANI LOPEZ ELIZABETH MILDRED</v>
      </c>
      <c r="H26" s="150">
        <f>'CENTRAL 2'!F18</f>
        <v>83.025641025641036</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352"/>
      <c r="F27" s="309"/>
      <c r="G27" s="149" t="str">
        <f>'C. FILIACION'!B18</f>
        <v>MEDINA CHOQUE JUAN JOSE</v>
      </c>
      <c r="H27" s="150">
        <f>'CENTRAL 2'!F19</f>
        <v>62.769230769230774</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352"/>
      <c r="F28" s="309"/>
      <c r="G28" s="149" t="str">
        <f>'C. FILIACION'!B19</f>
        <v>NINA RUEDA SEBASTIAN CARLOS</v>
      </c>
      <c r="H28" s="150">
        <f>'CENTRAL 2'!F20</f>
        <v>82.743589743589737</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352"/>
      <c r="F29" s="309"/>
      <c r="G29" s="149" t="str">
        <f>'C. FILIACION'!B20</f>
        <v>RODRIGUEZ RAMIREZ NATALY ARIANA</v>
      </c>
      <c r="H29" s="150">
        <f>'CENTRAL 2'!F21</f>
        <v>86.333333333333329</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352"/>
      <c r="F30" s="309"/>
      <c r="G30" s="149" t="str">
        <f>'C. FILIACION'!B21</f>
        <v>SALAZAR CANAZA CRISTINA MAYRA</v>
      </c>
      <c r="H30" s="150">
        <f>'CENTRAL 2'!F22</f>
        <v>83.333333333333329</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352"/>
      <c r="F31" s="309"/>
      <c r="G31" s="149" t="str">
        <f>'C. FILIACION'!B22</f>
        <v>SEVILLANO BALTAZAR AGNESE</v>
      </c>
      <c r="H31" s="150">
        <f>'CENTRAL 2'!F23</f>
        <v>93.333333333333329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352"/>
      <c r="F32" s="309"/>
      <c r="G32" s="149" t="str">
        <f>'C. FILIACION'!B23</f>
        <v>TOCONAS HUAYGUA VICTORIA FERNANDA</v>
      </c>
      <c r="H32" s="150">
        <f>'CENTRAL 2'!F24</f>
        <v>72.743589743589737</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352"/>
      <c r="F33" s="309"/>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352"/>
      <c r="F34" s="309"/>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355"/>
      <c r="F35" s="309"/>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352"/>
      <c r="F36" s="309"/>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352"/>
      <c r="F37" s="309"/>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352"/>
      <c r="F38" s="309"/>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352"/>
      <c r="F39" s="309"/>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352"/>
      <c r="F40" s="309"/>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352"/>
      <c r="F41" s="309"/>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352"/>
      <c r="F42" s="309"/>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352"/>
      <c r="F43" s="309"/>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352"/>
      <c r="F44" s="309"/>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352"/>
      <c r="F45" s="309"/>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352"/>
      <c r="F46" s="309"/>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352"/>
      <c r="F47" s="309"/>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352"/>
      <c r="F48" s="309"/>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352"/>
      <c r="F49" s="309"/>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352"/>
      <c r="F50" s="309"/>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352"/>
      <c r="F51" s="309"/>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352"/>
      <c r="F52" s="309"/>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352"/>
      <c r="F53" s="309"/>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352"/>
      <c r="F54" s="309"/>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352"/>
      <c r="F55" s="309"/>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352"/>
      <c r="F56" s="309"/>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352"/>
      <c r="F57" s="309"/>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352"/>
      <c r="F58" s="309"/>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352"/>
      <c r="F59" s="309"/>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353"/>
      <c r="F60" s="354"/>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399999999999999"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2021-08-13T20:58:45Z</cp:lastPrinted>
  <dcterms:created xsi:type="dcterms:W3CDTF">2020-01-23T13:58:13Z</dcterms:created>
  <dcterms:modified xsi:type="dcterms:W3CDTF">2021-10-28T15:09:17Z</dcterms:modified>
</cp:coreProperties>
</file>