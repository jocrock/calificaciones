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FE455FE0-6424-405E-928D-F8E1A9D0382A}" xr6:coauthVersionLast="47" xr6:coauthVersionMax="47" xr10:uidLastSave="{00000000-0000-0000-0000-000000000000}"/>
  <bookViews>
    <workbookView xWindow="-120" yWindow="-120" windowWidth="29040" windowHeight="17640" firstSheet="1" activeTab="4" xr2:uid="{00000000-000D-0000-FFFF-FFFF00000000}"/>
  </bookViews>
  <sheets>
    <sheet name="CARÁTULA" sheetId="1" r:id="rId1"/>
    <sheet name="C. FILIACION" sheetId="2" r:id="rId2"/>
    <sheet name="ASIS 1 TRIM" sheetId="3" r:id="rId3"/>
    <sheet name="ASIS 2 TRIM" sheetId="4" r:id="rId4"/>
    <sheet name="Calif Estudiante 2do trim" sheetId="18"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 name="Hoja1" sheetId="17" r:id="rId18"/>
  </sheets>
  <externalReferences>
    <externalReference r:id="rId19"/>
  </externalReferences>
  <definedNames>
    <definedName name="_xlnm._FilterDatabase" localSheetId="16" hidden="1">EST_DEST!$E$16:$H$60</definedName>
  </definedNames>
  <calcPr calcId="181029"/>
  <fileRecoveryPr repairLoad="1"/>
</workbook>
</file>

<file path=xl/calcChain.xml><?xml version="1.0" encoding="utf-8"?>
<calcChain xmlns="http://schemas.openxmlformats.org/spreadsheetml/2006/main">
  <c r="R4" i="18" l="1"/>
  <c r="I23" i="18"/>
  <c r="I24" i="18"/>
  <c r="I22" i="18"/>
  <c r="I17" i="18"/>
  <c r="I16" i="18"/>
  <c r="I15" i="18"/>
  <c r="T11" i="18"/>
  <c r="S11" i="18"/>
  <c r="R11" i="18"/>
  <c r="Q11" i="18"/>
  <c r="P11" i="18"/>
  <c r="O11" i="18"/>
  <c r="N11" i="18"/>
  <c r="M11" i="18"/>
  <c r="L11" i="18"/>
  <c r="K11" i="18"/>
  <c r="J11" i="18"/>
  <c r="I11" i="18"/>
  <c r="H11" i="18"/>
  <c r="G11" i="18"/>
  <c r="BE9" i="4"/>
  <c r="BE10" i="4"/>
  <c r="BE11" i="4"/>
  <c r="BE12" i="4"/>
  <c r="BE13" i="4"/>
  <c r="BE14" i="4"/>
  <c r="BE15" i="4"/>
  <c r="BE16" i="4"/>
  <c r="BE17" i="4"/>
  <c r="BE18" i="4"/>
  <c r="BE19" i="4"/>
  <c r="BE20" i="4"/>
  <c r="BE21" i="4"/>
  <c r="BE22" i="4"/>
  <c r="BE23" i="4"/>
  <c r="BB9" i="4"/>
  <c r="BB10" i="4"/>
  <c r="BB11" i="4"/>
  <c r="BB12" i="4"/>
  <c r="BB13" i="4"/>
  <c r="BB14" i="4"/>
  <c r="BB15" i="4"/>
  <c r="BB16" i="4"/>
  <c r="BB17" i="4"/>
  <c r="BB18" i="4"/>
  <c r="BB19" i="4"/>
  <c r="BB20" i="4"/>
  <c r="BB21" i="4"/>
  <c r="BB22" i="4"/>
  <c r="BB23" i="4"/>
  <c r="BB8" i="4"/>
  <c r="BD9" i="4"/>
  <c r="BD10" i="4"/>
  <c r="BD11" i="4"/>
  <c r="BD12" i="4"/>
  <c r="BD13" i="4"/>
  <c r="BD14" i="4"/>
  <c r="BD15" i="4"/>
  <c r="BD16" i="4"/>
  <c r="BD17" i="4"/>
  <c r="BD18" i="4"/>
  <c r="BD19" i="4"/>
  <c r="BD20" i="4"/>
  <c r="BD21" i="4"/>
  <c r="BD22" i="4"/>
  <c r="BD23" i="4"/>
  <c r="BC9" i="4"/>
  <c r="BC10" i="4"/>
  <c r="BC11" i="4"/>
  <c r="BC12" i="4"/>
  <c r="BC13" i="4"/>
  <c r="BC14" i="4"/>
  <c r="BC15" i="4"/>
  <c r="BC16" i="4"/>
  <c r="BC17" i="4"/>
  <c r="BC18" i="4"/>
  <c r="BC19" i="4"/>
  <c r="BC20" i="4"/>
  <c r="BC21" i="4"/>
  <c r="BC22" i="4"/>
  <c r="BC23" i="4"/>
  <c r="BD8" i="4"/>
  <c r="BC8" i="4"/>
  <c r="BE8" i="4" l="1"/>
  <c r="AD25" i="18" l="1"/>
  <c r="AC24" i="18"/>
  <c r="AC23" i="18"/>
  <c r="AC22" i="18"/>
  <c r="AC17" i="18"/>
  <c r="AC16" i="18"/>
  <c r="I18" i="18"/>
  <c r="T10" i="18"/>
  <c r="S10" i="18"/>
  <c r="R10" i="18"/>
  <c r="Q10" i="18"/>
  <c r="P10" i="18"/>
  <c r="O10" i="18"/>
  <c r="N10" i="18"/>
  <c r="M10" i="18"/>
  <c r="L10" i="18"/>
  <c r="K10" i="18"/>
  <c r="J10" i="18"/>
  <c r="I10" i="18"/>
  <c r="H10" i="18"/>
  <c r="G10" i="18"/>
  <c r="F4" i="18"/>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G40" i="15"/>
  <c r="H39" i="15" s="1"/>
  <c r="F40" i="15"/>
  <c r="E40" i="15"/>
  <c r="G33" i="15"/>
  <c r="H30" i="15" s="1"/>
  <c r="H33" i="15" s="1"/>
  <c r="F33" i="15"/>
  <c r="E33" i="15"/>
  <c r="H32" i="15"/>
  <c r="H31" i="15"/>
  <c r="G26" i="15"/>
  <c r="F26" i="15"/>
  <c r="E26" i="15"/>
  <c r="H25" i="15"/>
  <c r="H24" i="15"/>
  <c r="H23" i="15"/>
  <c r="G19" i="15"/>
  <c r="F19" i="15"/>
  <c r="E19" i="15"/>
  <c r="H18" i="15"/>
  <c r="H17" i="15"/>
  <c r="H16" i="15"/>
  <c r="G12" i="15"/>
  <c r="F12" i="15"/>
  <c r="E12" i="15"/>
  <c r="H11" i="15"/>
  <c r="H10" i="15"/>
  <c r="H9" i="15"/>
  <c r="H12" i="15" s="1"/>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G44" i="8"/>
  <c r="E44" i="10" s="1"/>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H37" i="8"/>
  <c r="AG37" i="8"/>
  <c r="AF37" i="8" s="1"/>
  <c r="AE37" i="8"/>
  <c r="S37" i="9" s="1"/>
  <c r="AB37" i="8"/>
  <c r="Q37" i="9" s="1"/>
  <c r="O37" i="8"/>
  <c r="P37" i="9" s="1"/>
  <c r="B37" i="8"/>
  <c r="AG36" i="8"/>
  <c r="E36" i="10" s="1"/>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Q31" i="9" s="1"/>
  <c r="O31" i="8"/>
  <c r="P31" i="9" s="1"/>
  <c r="B31" i="8"/>
  <c r="AE30" i="8"/>
  <c r="S30" i="9" s="1"/>
  <c r="AB30" i="8"/>
  <c r="Q30" i="9" s="1"/>
  <c r="O30" i="8"/>
  <c r="P30" i="9" s="1"/>
  <c r="B30" i="8"/>
  <c r="AH29" i="8"/>
  <c r="AG29" i="8"/>
  <c r="AF29" i="8" s="1"/>
  <c r="AE29" i="8"/>
  <c r="S29" i="9" s="1"/>
  <c r="AB29" i="8"/>
  <c r="Q29" i="9" s="1"/>
  <c r="O29" i="8"/>
  <c r="P29" i="9" s="1"/>
  <c r="B29" i="8"/>
  <c r="AG28" i="8"/>
  <c r="E28" i="10" s="1"/>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P22" i="9" s="1"/>
  <c r="B22" i="8"/>
  <c r="AH21" i="8"/>
  <c r="AG21" i="8"/>
  <c r="AF21" i="8" s="1"/>
  <c r="AE21" i="8"/>
  <c r="S21" i="9" s="1"/>
  <c r="AB21" i="8"/>
  <c r="Q21" i="9" s="1"/>
  <c r="O21" i="8"/>
  <c r="P21" i="9" s="1"/>
  <c r="B21" i="8"/>
  <c r="AG20" i="8"/>
  <c r="E20" i="10" s="1"/>
  <c r="AE20" i="8"/>
  <c r="S20" i="9" s="1"/>
  <c r="AB20" i="8"/>
  <c r="Q20" i="9" s="1"/>
  <c r="O20" i="8"/>
  <c r="P20" i="9" s="1"/>
  <c r="B20" i="8"/>
  <c r="AE19" i="8"/>
  <c r="S19" i="9" s="1"/>
  <c r="AB19" i="8"/>
  <c r="Q19" i="9" s="1"/>
  <c r="O19" i="8"/>
  <c r="AG19" i="8" s="1"/>
  <c r="B19" i="8"/>
  <c r="AE18" i="8"/>
  <c r="S18" i="9" s="1"/>
  <c r="AB18" i="8"/>
  <c r="Q18" i="9" s="1"/>
  <c r="O18" i="8"/>
  <c r="P18" i="9" s="1"/>
  <c r="B18" i="8"/>
  <c r="AE17" i="8"/>
  <c r="S17" i="9" s="1"/>
  <c r="AB17" i="8"/>
  <c r="Q17" i="9" s="1"/>
  <c r="O17" i="8"/>
  <c r="P17" i="9" s="1"/>
  <c r="B17" i="8"/>
  <c r="AE16" i="8"/>
  <c r="S16" i="9" s="1"/>
  <c r="AB16" i="8"/>
  <c r="Q16" i="9" s="1"/>
  <c r="O16" i="8"/>
  <c r="AG16" i="8" s="1"/>
  <c r="B16" i="8"/>
  <c r="AE15" i="8"/>
  <c r="S15" i="9" s="1"/>
  <c r="AB15" i="8"/>
  <c r="Q15" i="9" s="1"/>
  <c r="O15" i="8"/>
  <c r="P15" i="9" s="1"/>
  <c r="B15" i="8"/>
  <c r="AE14" i="8"/>
  <c r="S14" i="9" s="1"/>
  <c r="AB14" i="8"/>
  <c r="AG14" i="8" s="1"/>
  <c r="O14" i="8"/>
  <c r="P14" i="9" s="1"/>
  <c r="B14" i="8"/>
  <c r="AH13" i="8"/>
  <c r="AG13" i="8"/>
  <c r="E13" i="10" s="1"/>
  <c r="AE13" i="8"/>
  <c r="S13" i="9" s="1"/>
  <c r="AB13" i="8"/>
  <c r="Q13" i="9" s="1"/>
  <c r="O13" i="8"/>
  <c r="P13" i="9" s="1"/>
  <c r="B13" i="8"/>
  <c r="AH12" i="8"/>
  <c r="AG12" i="8"/>
  <c r="E12" i="10" s="1"/>
  <c r="AE12" i="8"/>
  <c r="S12" i="9" s="1"/>
  <c r="AB12" i="8"/>
  <c r="Q12" i="9" s="1"/>
  <c r="O12" i="8"/>
  <c r="P12" i="9" s="1"/>
  <c r="B12" i="8"/>
  <c r="AH11" i="8"/>
  <c r="AG11" i="8"/>
  <c r="E11" i="10" s="1"/>
  <c r="AE11" i="8"/>
  <c r="S11" i="9" s="1"/>
  <c r="AB11" i="8"/>
  <c r="Q11" i="9" s="1"/>
  <c r="O11" i="8"/>
  <c r="P11" i="9" s="1"/>
  <c r="B11" i="8"/>
  <c r="AH10" i="8"/>
  <c r="AG10" i="8"/>
  <c r="E10" i="10" s="1"/>
  <c r="AE10" i="8"/>
  <c r="S10" i="9" s="1"/>
  <c r="AB10" i="8"/>
  <c r="Q10" i="9" s="1"/>
  <c r="O10" i="8"/>
  <c r="P10" i="9" s="1"/>
  <c r="B10" i="8"/>
  <c r="AH9" i="8"/>
  <c r="AG9" i="8"/>
  <c r="E9" i="10" s="1"/>
  <c r="AE9" i="8"/>
  <c r="S9" i="9" s="1"/>
  <c r="AB9" i="8"/>
  <c r="Q9" i="9" s="1"/>
  <c r="O9" i="8"/>
  <c r="P9" i="9" s="1"/>
  <c r="B9" i="8"/>
  <c r="AI5" i="8"/>
  <c r="S5" i="8"/>
  <c r="C5" i="8"/>
  <c r="AI4" i="8"/>
  <c r="S4" i="8"/>
  <c r="C4" i="8"/>
  <c r="AI3" i="8"/>
  <c r="S3" i="8"/>
  <c r="C3" i="8"/>
  <c r="AE44" i="7"/>
  <c r="M44" i="9" s="1"/>
  <c r="AB44" i="7"/>
  <c r="K44" i="9" s="1"/>
  <c r="O44" i="7"/>
  <c r="J44" i="9" s="1"/>
  <c r="B44" i="7"/>
  <c r="AH43" i="7"/>
  <c r="AG43" i="7"/>
  <c r="AF43" i="7" s="1"/>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H35" i="7"/>
  <c r="AG35" i="7"/>
  <c r="AF35" i="7" s="1"/>
  <c r="AE35" i="7"/>
  <c r="M35" i="9" s="1"/>
  <c r="AB35" i="7"/>
  <c r="K35" i="9" s="1"/>
  <c r="O35" i="7"/>
  <c r="J35" i="9" s="1"/>
  <c r="B35" i="7"/>
  <c r="AG34"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B30" i="7"/>
  <c r="AE29" i="7"/>
  <c r="M29" i="9" s="1"/>
  <c r="AB29" i="7"/>
  <c r="K29" i="9" s="1"/>
  <c r="O29" i="7"/>
  <c r="J29" i="9" s="1"/>
  <c r="B29" i="7"/>
  <c r="AE28" i="7"/>
  <c r="M28" i="9" s="1"/>
  <c r="AB28" i="7"/>
  <c r="K28" i="9" s="1"/>
  <c r="O28" i="7"/>
  <c r="J28" i="9" s="1"/>
  <c r="B28" i="7"/>
  <c r="AH27" i="7"/>
  <c r="AG27" i="7"/>
  <c r="AF27" i="7" s="1"/>
  <c r="AE27" i="7"/>
  <c r="M27" i="9" s="1"/>
  <c r="AB27" i="7"/>
  <c r="K27" i="9" s="1"/>
  <c r="O27" i="7"/>
  <c r="J27" i="9" s="1"/>
  <c r="B27" i="7"/>
  <c r="AG26"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B14" i="7"/>
  <c r="AE13" i="7"/>
  <c r="M13" i="9" s="1"/>
  <c r="AB13" i="7"/>
  <c r="K13" i="9" s="1"/>
  <c r="O13" i="7"/>
  <c r="B13" i="7"/>
  <c r="AE12" i="7"/>
  <c r="M12" i="9" s="1"/>
  <c r="AB12" i="7"/>
  <c r="K12" i="9" s="1"/>
  <c r="O12" i="7"/>
  <c r="J12" i="9" s="1"/>
  <c r="B12" i="7"/>
  <c r="AE11" i="7"/>
  <c r="M11" i="9" s="1"/>
  <c r="AB11" i="7"/>
  <c r="K11" i="9" s="1"/>
  <c r="O11" i="7"/>
  <c r="B11" i="7"/>
  <c r="AE10" i="7"/>
  <c r="M10" i="9" s="1"/>
  <c r="AB10" i="7"/>
  <c r="K10" i="9" s="1"/>
  <c r="O10" i="7"/>
  <c r="J10" i="9" s="1"/>
  <c r="B10" i="7"/>
  <c r="AE9" i="7"/>
  <c r="M9" i="9" s="1"/>
  <c r="AB9" i="7"/>
  <c r="K9" i="9" s="1"/>
  <c r="O9" i="7"/>
  <c r="B9" i="7"/>
  <c r="AI5" i="7"/>
  <c r="S5" i="7"/>
  <c r="C5" i="7"/>
  <c r="AI4" i="7"/>
  <c r="S4" i="7"/>
  <c r="C4" i="7"/>
  <c r="AI3" i="7"/>
  <c r="S3" i="7"/>
  <c r="C3" i="7"/>
  <c r="AE44" i="6"/>
  <c r="AB44" i="6"/>
  <c r="E44" i="9" s="1"/>
  <c r="O44" i="6"/>
  <c r="B44" i="6"/>
  <c r="AE43" i="6"/>
  <c r="AB43" i="6"/>
  <c r="E43" i="9" s="1"/>
  <c r="O43" i="6"/>
  <c r="D43" i="9" s="1"/>
  <c r="B43" i="6"/>
  <c r="AE42" i="6"/>
  <c r="G42" i="9" s="1"/>
  <c r="AB42" i="6"/>
  <c r="E42" i="9" s="1"/>
  <c r="O42" i="6"/>
  <c r="D42" i="9" s="1"/>
  <c r="B42" i="6"/>
  <c r="AH41" i="6"/>
  <c r="AG41" i="6"/>
  <c r="AE41" i="6"/>
  <c r="AB41" i="6"/>
  <c r="E41" i="9" s="1"/>
  <c r="O41" i="6"/>
  <c r="D41" i="9" s="1"/>
  <c r="B41" i="6"/>
  <c r="AG40" i="6"/>
  <c r="AF40" i="6" s="1"/>
  <c r="AE40" i="6"/>
  <c r="AB40" i="6"/>
  <c r="E40" i="9" s="1"/>
  <c r="O40" i="6"/>
  <c r="D40" i="9" s="1"/>
  <c r="B40" i="6"/>
  <c r="AE39" i="6"/>
  <c r="AB39" i="6"/>
  <c r="E39" i="9" s="1"/>
  <c r="O39" i="6"/>
  <c r="D39" i="9" s="1"/>
  <c r="B39" i="6"/>
  <c r="AE38" i="6"/>
  <c r="AB38" i="6"/>
  <c r="O38" i="6"/>
  <c r="D38" i="9" s="1"/>
  <c r="B38" i="6"/>
  <c r="AE37" i="6"/>
  <c r="AB37" i="6"/>
  <c r="E37" i="9" s="1"/>
  <c r="O37" i="6"/>
  <c r="D37" i="9" s="1"/>
  <c r="B37" i="6"/>
  <c r="AE36" i="6"/>
  <c r="AB36" i="6"/>
  <c r="E36" i="9" s="1"/>
  <c r="O36" i="6"/>
  <c r="B36" i="6"/>
  <c r="AE35" i="6"/>
  <c r="AB35" i="6"/>
  <c r="E35" i="9" s="1"/>
  <c r="O35" i="6"/>
  <c r="B35" i="6"/>
  <c r="AE34" i="6"/>
  <c r="G34" i="9" s="1"/>
  <c r="AB34" i="6"/>
  <c r="E34" i="9" s="1"/>
  <c r="O34" i="6"/>
  <c r="D34" i="9" s="1"/>
  <c r="B34" i="6"/>
  <c r="AH33" i="6"/>
  <c r="AG33" i="6"/>
  <c r="AE33" i="6"/>
  <c r="AB33" i="6"/>
  <c r="E33" i="9" s="1"/>
  <c r="O33" i="6"/>
  <c r="D33" i="9" s="1"/>
  <c r="B33" i="6"/>
  <c r="AH32" i="6"/>
  <c r="AG32" i="6"/>
  <c r="AF32" i="6"/>
  <c r="AE32" i="6"/>
  <c r="AB32" i="6"/>
  <c r="E32" i="9" s="1"/>
  <c r="O32" i="6"/>
  <c r="D32" i="9" s="1"/>
  <c r="B32" i="6"/>
  <c r="AG31" i="6"/>
  <c r="AF31" i="6"/>
  <c r="AE31" i="6"/>
  <c r="AB31" i="6"/>
  <c r="E31" i="9" s="1"/>
  <c r="O31" i="6"/>
  <c r="D31" i="9" s="1"/>
  <c r="B31" i="6"/>
  <c r="AE30" i="6"/>
  <c r="AB30" i="6"/>
  <c r="O30" i="6"/>
  <c r="D30" i="9" s="1"/>
  <c r="B30" i="6"/>
  <c r="AE29" i="6"/>
  <c r="AB29" i="6"/>
  <c r="E29" i="9" s="1"/>
  <c r="O29" i="6"/>
  <c r="D29" i="9" s="1"/>
  <c r="B29" i="6"/>
  <c r="AE28" i="6"/>
  <c r="AB28" i="6"/>
  <c r="E28" i="9" s="1"/>
  <c r="O28" i="6"/>
  <c r="B28" i="6"/>
  <c r="AE27" i="6"/>
  <c r="AB27" i="6"/>
  <c r="E27" i="9" s="1"/>
  <c r="O27" i="6"/>
  <c r="D27" i="9" s="1"/>
  <c r="B27" i="6"/>
  <c r="AE26" i="6"/>
  <c r="G26" i="9" s="1"/>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AB22" i="6"/>
  <c r="O22" i="6"/>
  <c r="D22" i="9" s="1"/>
  <c r="B22" i="6"/>
  <c r="AE21" i="6"/>
  <c r="AB21" i="6"/>
  <c r="E21" i="9" s="1"/>
  <c r="O21" i="6"/>
  <c r="D21" i="9" s="1"/>
  <c r="B21" i="6"/>
  <c r="AE20" i="6"/>
  <c r="G20" i="9" s="1"/>
  <c r="AB20" i="6"/>
  <c r="E20" i="9" s="1"/>
  <c r="O20" i="6"/>
  <c r="B20" i="6"/>
  <c r="AG19" i="6"/>
  <c r="AE19" i="6"/>
  <c r="AB19" i="6"/>
  <c r="E19" i="9" s="1"/>
  <c r="O19" i="6"/>
  <c r="D19" i="9" s="1"/>
  <c r="B19" i="6"/>
  <c r="AE18" i="6"/>
  <c r="G18" i="9" s="1"/>
  <c r="AB18" i="6"/>
  <c r="E18" i="9" s="1"/>
  <c r="O18" i="6"/>
  <c r="D18" i="9" s="1"/>
  <c r="B18" i="6"/>
  <c r="AG17" i="6"/>
  <c r="AE17" i="6"/>
  <c r="AB17" i="6"/>
  <c r="E17" i="9" s="1"/>
  <c r="O17" i="6"/>
  <c r="D17" i="9" s="1"/>
  <c r="B17" i="6"/>
  <c r="AE16" i="6"/>
  <c r="F16" i="9" s="1"/>
  <c r="AB16" i="6"/>
  <c r="E16" i="9" s="1"/>
  <c r="O16" i="6"/>
  <c r="D16" i="9" s="1"/>
  <c r="B16" i="6"/>
  <c r="AE15" i="6"/>
  <c r="AB15" i="6"/>
  <c r="E15" i="9" s="1"/>
  <c r="O15" i="6"/>
  <c r="D15" i="9" s="1"/>
  <c r="B15" i="6"/>
  <c r="AE14" i="6"/>
  <c r="AB14" i="6"/>
  <c r="O14" i="6"/>
  <c r="D14" i="9" s="1"/>
  <c r="B14" i="6"/>
  <c r="AG13" i="6"/>
  <c r="AE13" i="6"/>
  <c r="AB13" i="6"/>
  <c r="E13" i="9" s="1"/>
  <c r="O13" i="6"/>
  <c r="D13" i="9" s="1"/>
  <c r="B13" i="6"/>
  <c r="AE12" i="6"/>
  <c r="AB12" i="6"/>
  <c r="E12" i="9" s="1"/>
  <c r="O12" i="6"/>
  <c r="D12" i="9" s="1"/>
  <c r="B12" i="6"/>
  <c r="AG11"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A23" i="4"/>
  <c r="B23" i="4"/>
  <c r="BA22" i="4"/>
  <c r="B22" i="4"/>
  <c r="BA21" i="4"/>
  <c r="B21" i="4"/>
  <c r="BA20" i="4"/>
  <c r="B20" i="4"/>
  <c r="BA19" i="4"/>
  <c r="B19" i="4"/>
  <c r="BA18" i="4"/>
  <c r="B18" i="4"/>
  <c r="BA17" i="4"/>
  <c r="B17" i="4"/>
  <c r="BA16" i="4"/>
  <c r="B16" i="4"/>
  <c r="BA15" i="4"/>
  <c r="B15" i="4"/>
  <c r="BA14" i="4"/>
  <c r="B14" i="4"/>
  <c r="BA13" i="4"/>
  <c r="B13" i="4"/>
  <c r="BA12" i="4"/>
  <c r="B12" i="4"/>
  <c r="BA11" i="4"/>
  <c r="B11" i="4"/>
  <c r="BA10" i="4"/>
  <c r="B10" i="4"/>
  <c r="BA9" i="4"/>
  <c r="B9" i="4"/>
  <c r="BA8"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18" i="7" l="1"/>
  <c r="AF18" i="7" s="1"/>
  <c r="AG9" i="7"/>
  <c r="AH9" i="7" s="1"/>
  <c r="AG11" i="7"/>
  <c r="AH11" i="7" s="1"/>
  <c r="AG13" i="7"/>
  <c r="D13" i="10" s="1"/>
  <c r="AG21" i="7"/>
  <c r="D21" i="10" s="1"/>
  <c r="AC15" i="18"/>
  <c r="AC18" i="18" s="1"/>
  <c r="I25" i="18"/>
  <c r="AC25" i="18"/>
  <c r="AG19" i="7"/>
  <c r="AF19" i="7" s="1"/>
  <c r="BA4" i="3"/>
  <c r="AN4" i="8"/>
  <c r="BA4" i="4"/>
  <c r="BA4" i="5"/>
  <c r="AN4" i="6"/>
  <c r="G10" i="9"/>
  <c r="F10" i="9"/>
  <c r="AG28" i="6"/>
  <c r="D28" i="9"/>
  <c r="AG29" i="6"/>
  <c r="H33" i="9"/>
  <c r="AF33" i="6"/>
  <c r="C33" i="10"/>
  <c r="D35" i="9"/>
  <c r="AG35" i="6"/>
  <c r="G38" i="9"/>
  <c r="F38" i="9"/>
  <c r="H41" i="9"/>
  <c r="AF41" i="6"/>
  <c r="C41" i="10"/>
  <c r="AG14" i="7"/>
  <c r="J14" i="9"/>
  <c r="D26" i="10"/>
  <c r="AF26" i="7"/>
  <c r="N26" i="9"/>
  <c r="AH26" i="7"/>
  <c r="AG30" i="7"/>
  <c r="J30" i="9"/>
  <c r="D42" i="10"/>
  <c r="AF42" i="7"/>
  <c r="N42" i="9"/>
  <c r="AH42" i="7"/>
  <c r="G9" i="9"/>
  <c r="F9" i="9"/>
  <c r="AG10" i="6"/>
  <c r="AG20" i="6"/>
  <c r="D20" i="9"/>
  <c r="G21" i="9"/>
  <c r="F21" i="9"/>
  <c r="G25" i="9"/>
  <c r="F25" i="9"/>
  <c r="AG9" i="6"/>
  <c r="G13" i="9"/>
  <c r="F13" i="9"/>
  <c r="G17" i="9"/>
  <c r="F17" i="9"/>
  <c r="AG21" i="6"/>
  <c r="AG25" i="6"/>
  <c r="G31" i="9"/>
  <c r="F31" i="9"/>
  <c r="C32" i="10"/>
  <c r="H32" i="9"/>
  <c r="G35" i="9"/>
  <c r="F35" i="9"/>
  <c r="C13" i="10"/>
  <c r="AH13" i="6"/>
  <c r="H13" i="9"/>
  <c r="AF13" i="6"/>
  <c r="H17" i="9"/>
  <c r="AF17" i="6"/>
  <c r="C17" i="10"/>
  <c r="E30" i="9"/>
  <c r="AG30" i="6"/>
  <c r="F37" i="9"/>
  <c r="G37" i="9"/>
  <c r="C40" i="10"/>
  <c r="H40" i="9"/>
  <c r="AH40" i="6"/>
  <c r="E16" i="10"/>
  <c r="T16" i="9"/>
  <c r="AH16" i="8"/>
  <c r="AF16" i="8"/>
  <c r="G12" i="9"/>
  <c r="F12" i="9"/>
  <c r="AH17" i="6"/>
  <c r="G23" i="9"/>
  <c r="F23" i="9"/>
  <c r="AG24" i="6"/>
  <c r="G30" i="9"/>
  <c r="F30" i="9"/>
  <c r="C31" i="10"/>
  <c r="H31" i="9"/>
  <c r="AH31" i="6"/>
  <c r="AG36" i="6"/>
  <c r="D36" i="9"/>
  <c r="AG37" i="6"/>
  <c r="G39" i="9"/>
  <c r="F39" i="9"/>
  <c r="AG39" i="6"/>
  <c r="D44" i="9"/>
  <c r="AG44" i="6"/>
  <c r="AN4" i="7"/>
  <c r="AG22" i="7"/>
  <c r="J22" i="9"/>
  <c r="D34" i="10"/>
  <c r="AF34" i="7"/>
  <c r="N34" i="9"/>
  <c r="AH34" i="7"/>
  <c r="AG38" i="7"/>
  <c r="J38" i="9"/>
  <c r="AH14" i="8"/>
  <c r="AF14" i="8"/>
  <c r="E14" i="10"/>
  <c r="T14" i="9"/>
  <c r="E40" i="10"/>
  <c r="T40" i="9"/>
  <c r="AH40" i="8"/>
  <c r="AF40" i="8"/>
  <c r="AG12" i="6"/>
  <c r="G15" i="9"/>
  <c r="F15" i="9"/>
  <c r="AG16" i="6"/>
  <c r="E22" i="9"/>
  <c r="AG22" i="6"/>
  <c r="G27" i="9"/>
  <c r="F27" i="9"/>
  <c r="G11" i="9"/>
  <c r="F11" i="9"/>
  <c r="E14" i="9"/>
  <c r="AG14" i="6"/>
  <c r="G19" i="9"/>
  <c r="F19" i="9"/>
  <c r="G22" i="9"/>
  <c r="F22" i="9"/>
  <c r="AG23" i="6"/>
  <c r="AG27" i="6"/>
  <c r="E24" i="10"/>
  <c r="AH24" i="8"/>
  <c r="T24" i="9"/>
  <c r="AF24" i="8"/>
  <c r="C11" i="10"/>
  <c r="AH11" i="6"/>
  <c r="AF11" i="6"/>
  <c r="H11" i="9"/>
  <c r="G14" i="9"/>
  <c r="F14" i="9"/>
  <c r="AG15" i="6"/>
  <c r="C19" i="10"/>
  <c r="AH19" i="6"/>
  <c r="AF19" i="6"/>
  <c r="H19" i="9"/>
  <c r="F29" i="9"/>
  <c r="G29" i="9"/>
  <c r="E38" i="9"/>
  <c r="AG38" i="6"/>
  <c r="E19" i="10"/>
  <c r="T19" i="9"/>
  <c r="AH19" i="8"/>
  <c r="AF19" i="8"/>
  <c r="J9" i="9"/>
  <c r="Q14" i="9"/>
  <c r="G16" i="9"/>
  <c r="P19" i="9"/>
  <c r="J21" i="9"/>
  <c r="P24" i="9"/>
  <c r="F26" i="9"/>
  <c r="F34" i="9"/>
  <c r="AG17" i="7"/>
  <c r="AG25" i="7"/>
  <c r="AG33" i="7"/>
  <c r="AG41" i="7"/>
  <c r="AH20" i="8"/>
  <c r="AG27" i="8"/>
  <c r="AH28" i="8"/>
  <c r="AG35" i="8"/>
  <c r="AH36" i="8"/>
  <c r="AG43" i="8"/>
  <c r="AH44" i="8"/>
  <c r="T12" i="9"/>
  <c r="P16" i="9"/>
  <c r="F18" i="9"/>
  <c r="G24" i="9"/>
  <c r="G28" i="9"/>
  <c r="F28" i="9"/>
  <c r="G36" i="9"/>
  <c r="F36" i="9"/>
  <c r="G44" i="9"/>
  <c r="F44" i="9"/>
  <c r="AG16" i="7"/>
  <c r="AG24" i="7"/>
  <c r="AG32" i="7"/>
  <c r="AG40" i="7"/>
  <c r="AG18" i="8"/>
  <c r="AG26" i="8"/>
  <c r="AG34" i="8"/>
  <c r="AG42" i="8"/>
  <c r="T9" i="9"/>
  <c r="J11" i="9"/>
  <c r="G43" i="9"/>
  <c r="F43" i="9"/>
  <c r="AG15" i="7"/>
  <c r="AG23" i="7"/>
  <c r="AG31" i="7"/>
  <c r="AG39" i="7"/>
  <c r="AG17" i="8"/>
  <c r="AG25" i="8"/>
  <c r="AG33" i="8"/>
  <c r="AG41" i="8"/>
  <c r="F20" i="9"/>
  <c r="P40" i="9"/>
  <c r="AG32" i="8"/>
  <c r="T11" i="9"/>
  <c r="J13" i="9"/>
  <c r="T44" i="9"/>
  <c r="G33" i="9"/>
  <c r="F33" i="9"/>
  <c r="G41" i="9"/>
  <c r="F41" i="9"/>
  <c r="AG43" i="6"/>
  <c r="AG10" i="7"/>
  <c r="AG12" i="7"/>
  <c r="AG29" i="7"/>
  <c r="AG37" i="7"/>
  <c r="AG15" i="8"/>
  <c r="AG23" i="8"/>
  <c r="AG31" i="8"/>
  <c r="AG39" i="8"/>
  <c r="T36" i="9"/>
  <c r="H46" i="15"/>
  <c r="H45" i="15"/>
  <c r="H44" i="15"/>
  <c r="H47" i="15" s="1"/>
  <c r="AG18" i="6"/>
  <c r="AG26" i="6"/>
  <c r="G32" i="9"/>
  <c r="F32" i="9"/>
  <c r="AG34" i="6"/>
  <c r="G40" i="9"/>
  <c r="F40" i="9"/>
  <c r="AG42" i="6"/>
  <c r="AG20" i="7"/>
  <c r="AG28" i="7"/>
  <c r="AG36" i="7"/>
  <c r="AG44" i="7"/>
  <c r="AF9" i="8"/>
  <c r="AF10" i="8"/>
  <c r="AF11" i="8"/>
  <c r="AF12" i="8"/>
  <c r="AF13" i="8"/>
  <c r="AG22" i="8"/>
  <c r="AG30" i="8"/>
  <c r="AG38" i="8"/>
  <c r="T13" i="9"/>
  <c r="T28" i="9"/>
  <c r="H26" i="15"/>
  <c r="D27" i="10"/>
  <c r="N27" i="9"/>
  <c r="D35" i="10"/>
  <c r="N35" i="9"/>
  <c r="D43" i="10"/>
  <c r="N43" i="9"/>
  <c r="AF20" i="8"/>
  <c r="T21" i="9"/>
  <c r="E21" i="10"/>
  <c r="AF28" i="8"/>
  <c r="T29" i="9"/>
  <c r="E29" i="10"/>
  <c r="AF36" i="8"/>
  <c r="T37" i="9"/>
  <c r="E37" i="10"/>
  <c r="AF44" i="8"/>
  <c r="T10" i="9"/>
  <c r="T20" i="9"/>
  <c r="F42" i="9"/>
  <c r="H19" i="15"/>
  <c r="H37" i="15"/>
  <c r="H40" i="15" s="1"/>
  <c r="H38" i="15"/>
  <c r="AC26" i="18" l="1"/>
  <c r="A26" i="18" s="1"/>
  <c r="AH18" i="7"/>
  <c r="N19" i="9"/>
  <c r="D18" i="10"/>
  <c r="N13" i="9"/>
  <c r="U13" i="9" s="1"/>
  <c r="AH13" i="7"/>
  <c r="AF21" i="7"/>
  <c r="AF9" i="7"/>
  <c r="D9" i="10"/>
  <c r="AH21" i="7"/>
  <c r="N21" i="9"/>
  <c r="AF13" i="7"/>
  <c r="N9" i="9"/>
  <c r="AF11" i="7"/>
  <c r="N18" i="9"/>
  <c r="N11" i="9"/>
  <c r="U11" i="9" s="1"/>
  <c r="D11" i="10"/>
  <c r="D19" i="10"/>
  <c r="AH19" i="7"/>
  <c r="AH12" i="7"/>
  <c r="AF12" i="7"/>
  <c r="N12" i="9"/>
  <c r="D12" i="10"/>
  <c r="E27" i="10"/>
  <c r="T27" i="9"/>
  <c r="AH27" i="8"/>
  <c r="AF27" i="8"/>
  <c r="D38" i="10"/>
  <c r="N38" i="9"/>
  <c r="AH38" i="7"/>
  <c r="AF38" i="7"/>
  <c r="H44" i="9"/>
  <c r="C44" i="10"/>
  <c r="AH44" i="6"/>
  <c r="AF44" i="6"/>
  <c r="C30" i="10"/>
  <c r="H30" i="9"/>
  <c r="AH30" i="6"/>
  <c r="AF30" i="6"/>
  <c r="H21" i="9"/>
  <c r="AH21" i="6"/>
  <c r="AF21" i="6"/>
  <c r="C21" i="10"/>
  <c r="C10" i="10"/>
  <c r="AH10" i="6"/>
  <c r="H10" i="9"/>
  <c r="AF10" i="6"/>
  <c r="D30" i="10"/>
  <c r="N30" i="9"/>
  <c r="AH30" i="7"/>
  <c r="AF30" i="7"/>
  <c r="D36" i="10"/>
  <c r="N36" i="9"/>
  <c r="AH36" i="7"/>
  <c r="AF36" i="7"/>
  <c r="H43" i="9"/>
  <c r="U43" i="9" s="1"/>
  <c r="C43" i="10"/>
  <c r="AH43" i="6"/>
  <c r="AF43" i="6"/>
  <c r="T34" i="9"/>
  <c r="E34" i="10"/>
  <c r="AH34" i="8"/>
  <c r="AF34" i="8"/>
  <c r="N41" i="9"/>
  <c r="U41" i="9" s="1"/>
  <c r="D41" i="10"/>
  <c r="AH41" i="7"/>
  <c r="AF41" i="7"/>
  <c r="C15" i="10"/>
  <c r="H15" i="9"/>
  <c r="AH15" i="6"/>
  <c r="AF15" i="6"/>
  <c r="C39" i="10"/>
  <c r="H39" i="9"/>
  <c r="AH39" i="6"/>
  <c r="AF39" i="6"/>
  <c r="D14" i="10"/>
  <c r="N14" i="9"/>
  <c r="AH14" i="7"/>
  <c r="AF14" i="7"/>
  <c r="AH22" i="8"/>
  <c r="AF22" i="8"/>
  <c r="E22" i="10"/>
  <c r="T22" i="9"/>
  <c r="D28" i="10"/>
  <c r="N28" i="9"/>
  <c r="AH28" i="7"/>
  <c r="AF28" i="7"/>
  <c r="T31" i="9"/>
  <c r="E31" i="10"/>
  <c r="AH31" i="8"/>
  <c r="AF31" i="8"/>
  <c r="D23" i="10"/>
  <c r="N23" i="9"/>
  <c r="AH23" i="7"/>
  <c r="AF23" i="7"/>
  <c r="T26" i="9"/>
  <c r="AH26" i="8"/>
  <c r="E26" i="10"/>
  <c r="AF26" i="8"/>
  <c r="N33" i="9"/>
  <c r="U33" i="9" s="1"/>
  <c r="D33" i="10"/>
  <c r="AH33" i="7"/>
  <c r="AF33" i="7"/>
  <c r="C14" i="10"/>
  <c r="H14" i="9"/>
  <c r="AH14" i="6"/>
  <c r="AF14" i="6"/>
  <c r="C16" i="10"/>
  <c r="H16" i="9"/>
  <c r="AH16" i="6"/>
  <c r="AF16" i="6"/>
  <c r="U32" i="9"/>
  <c r="H35" i="9"/>
  <c r="C35" i="10"/>
  <c r="AH35" i="6"/>
  <c r="AF35" i="6"/>
  <c r="T30" i="9"/>
  <c r="AH30" i="8"/>
  <c r="AF30" i="8"/>
  <c r="E30" i="10"/>
  <c r="T39" i="9"/>
  <c r="E39" i="10"/>
  <c r="AH39" i="8"/>
  <c r="AF39" i="8"/>
  <c r="E32" i="10"/>
  <c r="T32" i="9"/>
  <c r="AH32" i="8"/>
  <c r="AF32" i="8"/>
  <c r="D31" i="10"/>
  <c r="N31" i="9"/>
  <c r="AH31" i="7"/>
  <c r="AF31" i="7"/>
  <c r="C38" i="10"/>
  <c r="H38" i="9"/>
  <c r="AH38" i="6"/>
  <c r="AF38" i="6"/>
  <c r="D20" i="10"/>
  <c r="AH20" i="7"/>
  <c r="AF20" i="7"/>
  <c r="N20" i="9"/>
  <c r="C26" i="10"/>
  <c r="H26" i="9"/>
  <c r="AH26" i="6"/>
  <c r="AF26" i="6"/>
  <c r="E23" i="10"/>
  <c r="AH23" i="8"/>
  <c r="AF23" i="8"/>
  <c r="T23" i="9"/>
  <c r="D15" i="10"/>
  <c r="AH15" i="7"/>
  <c r="N15" i="9"/>
  <c r="AF15" i="7"/>
  <c r="T18" i="9"/>
  <c r="E18" i="10"/>
  <c r="AH18" i="8"/>
  <c r="AF18" i="8"/>
  <c r="E43" i="10"/>
  <c r="T43" i="9"/>
  <c r="AH43" i="8"/>
  <c r="AF43" i="8"/>
  <c r="D25" i="10"/>
  <c r="N25" i="9"/>
  <c r="AH25" i="7"/>
  <c r="AF25" i="7"/>
  <c r="AO12" i="8"/>
  <c r="H10" i="13" s="1"/>
  <c r="D16" i="10"/>
  <c r="N16" i="9"/>
  <c r="AH16" i="7"/>
  <c r="AF16" i="7"/>
  <c r="C18" i="10"/>
  <c r="H18" i="9"/>
  <c r="AH18" i="6"/>
  <c r="AF18" i="6"/>
  <c r="E15" i="10"/>
  <c r="AH15" i="8"/>
  <c r="AF15" i="8"/>
  <c r="AO11" i="8" s="1"/>
  <c r="H9" i="13" s="1"/>
  <c r="T15" i="9"/>
  <c r="E41" i="10"/>
  <c r="T41" i="9"/>
  <c r="AH41" i="8"/>
  <c r="AF41" i="8"/>
  <c r="N40" i="9"/>
  <c r="U40" i="9" s="1"/>
  <c r="D40" i="10"/>
  <c r="AH40" i="7"/>
  <c r="AF40" i="7"/>
  <c r="D17" i="10"/>
  <c r="N17" i="9"/>
  <c r="AH17" i="7"/>
  <c r="AF17" i="7"/>
  <c r="H27" i="9"/>
  <c r="U27" i="9" s="1"/>
  <c r="C27" i="10"/>
  <c r="AH27" i="6"/>
  <c r="AF27" i="6"/>
  <c r="H37" i="9"/>
  <c r="C37" i="10"/>
  <c r="AH37" i="6"/>
  <c r="AF37" i="6"/>
  <c r="C24" i="10"/>
  <c r="H24" i="9"/>
  <c r="AH24" i="6"/>
  <c r="AF24" i="6"/>
  <c r="C9" i="10"/>
  <c r="H9" i="9"/>
  <c r="AF9" i="6"/>
  <c r="AH9" i="6"/>
  <c r="H29" i="9"/>
  <c r="C29" i="10"/>
  <c r="AH29" i="6"/>
  <c r="AF29" i="6"/>
  <c r="C42" i="10"/>
  <c r="H42" i="9"/>
  <c r="AF42" i="6"/>
  <c r="AH42" i="6"/>
  <c r="N37" i="9"/>
  <c r="D37" i="10"/>
  <c r="AH37" i="7"/>
  <c r="AF37" i="7"/>
  <c r="E33" i="10"/>
  <c r="T33" i="9"/>
  <c r="AH33" i="8"/>
  <c r="AF33" i="8"/>
  <c r="N32" i="9"/>
  <c r="D32" i="10"/>
  <c r="AH32" i="7"/>
  <c r="AF32" i="7"/>
  <c r="E35" i="10"/>
  <c r="T35" i="9"/>
  <c r="AH35" i="8"/>
  <c r="AF35" i="8"/>
  <c r="U19" i="9"/>
  <c r="C23" i="10"/>
  <c r="H23" i="9"/>
  <c r="AH23" i="6"/>
  <c r="AF23" i="6"/>
  <c r="C12" i="10"/>
  <c r="H12" i="9"/>
  <c r="AH12" i="6"/>
  <c r="AF12" i="6"/>
  <c r="D22" i="10"/>
  <c r="AH22" i="7"/>
  <c r="N22" i="9"/>
  <c r="AF22" i="7"/>
  <c r="N29" i="9"/>
  <c r="D29" i="10"/>
  <c r="AH29" i="7"/>
  <c r="AF29" i="7"/>
  <c r="E25" i="10"/>
  <c r="AH25" i="8"/>
  <c r="T25" i="9"/>
  <c r="AF25" i="8"/>
  <c r="N24" i="9"/>
  <c r="D24" i="10"/>
  <c r="AH24" i="7"/>
  <c r="AF24" i="7"/>
  <c r="H36" i="9"/>
  <c r="U36" i="9" s="1"/>
  <c r="C36" i="10"/>
  <c r="AH36" i="6"/>
  <c r="AF36" i="6"/>
  <c r="H25" i="9"/>
  <c r="U25" i="9" s="1"/>
  <c r="C25" i="10"/>
  <c r="AF25" i="6"/>
  <c r="AH25" i="6"/>
  <c r="C20" i="10"/>
  <c r="H20" i="9"/>
  <c r="AH20" i="6"/>
  <c r="AF20" i="6"/>
  <c r="H28" i="9"/>
  <c r="U28" i="9" s="1"/>
  <c r="C28" i="10"/>
  <c r="AH28" i="6"/>
  <c r="AF28" i="6"/>
  <c r="E17" i="10"/>
  <c r="AH17" i="8"/>
  <c r="T17" i="9"/>
  <c r="AF17" i="8"/>
  <c r="AO10" i="8" s="1"/>
  <c r="H8" i="13" s="1"/>
  <c r="T38" i="9"/>
  <c r="AH38" i="8"/>
  <c r="E38" i="10"/>
  <c r="AF38" i="8"/>
  <c r="D44" i="10"/>
  <c r="N44" i="9"/>
  <c r="AH44" i="7"/>
  <c r="AF44" i="7"/>
  <c r="C34" i="10"/>
  <c r="H34" i="9"/>
  <c r="U34" i="9" s="1"/>
  <c r="AF34" i="6"/>
  <c r="AH34" i="6"/>
  <c r="D10" i="10"/>
  <c r="AH10" i="7"/>
  <c r="AF10" i="7"/>
  <c r="N10" i="9"/>
  <c r="D39" i="10"/>
  <c r="N39" i="9"/>
  <c r="AH39" i="7"/>
  <c r="AF39" i="7"/>
  <c r="T42" i="9"/>
  <c r="E42" i="10"/>
  <c r="AH42" i="8"/>
  <c r="AF42" i="8"/>
  <c r="C22" i="10"/>
  <c r="H22" i="9"/>
  <c r="AF22" i="6"/>
  <c r="AH22" i="6"/>
  <c r="U31" i="9"/>
  <c r="U17" i="9" l="1"/>
  <c r="F17" i="10" s="1"/>
  <c r="AO11" i="7"/>
  <c r="H9" i="12" s="1"/>
  <c r="U18" i="9"/>
  <c r="V18" i="9" s="1"/>
  <c r="U21" i="9"/>
  <c r="V21" i="9" s="1"/>
  <c r="U9" i="9"/>
  <c r="F9" i="10" s="1"/>
  <c r="U14" i="9"/>
  <c r="V14" i="9" s="1"/>
  <c r="U23" i="9"/>
  <c r="V23" i="9" s="1"/>
  <c r="AO12" i="7"/>
  <c r="H10" i="12" s="1"/>
  <c r="J13" i="10"/>
  <c r="E25" i="14" s="1"/>
  <c r="U22" i="9"/>
  <c r="V22" i="9" s="1"/>
  <c r="U12" i="9"/>
  <c r="F12" i="10" s="1"/>
  <c r="F33" i="10"/>
  <c r="V33" i="9"/>
  <c r="F41" i="10"/>
  <c r="V41" i="9"/>
  <c r="V17" i="9"/>
  <c r="V40" i="9"/>
  <c r="F40" i="10"/>
  <c r="U42" i="9"/>
  <c r="AO12" i="6"/>
  <c r="H10" i="11" s="1"/>
  <c r="AO9" i="6"/>
  <c r="H7" i="11" s="1"/>
  <c r="AO10" i="6"/>
  <c r="H8" i="11" s="1"/>
  <c r="AO11" i="6"/>
  <c r="H9" i="11" s="1"/>
  <c r="AO9" i="8"/>
  <c r="H7" i="13" s="1"/>
  <c r="F36" i="10"/>
  <c r="V36" i="9"/>
  <c r="F13" i="10"/>
  <c r="V13" i="9"/>
  <c r="F34" i="10"/>
  <c r="V34" i="9"/>
  <c r="I9" i="10"/>
  <c r="E11" i="14" s="1"/>
  <c r="I13" i="10"/>
  <c r="E12" i="14" s="1"/>
  <c r="U37" i="9"/>
  <c r="F18" i="10"/>
  <c r="U35" i="9"/>
  <c r="U39" i="9"/>
  <c r="V32" i="9"/>
  <c r="F32" i="10"/>
  <c r="F43" i="10"/>
  <c r="V43" i="9"/>
  <c r="U44" i="9"/>
  <c r="AO10" i="7"/>
  <c r="H8" i="12" s="1"/>
  <c r="F28" i="10"/>
  <c r="V28" i="9"/>
  <c r="J9" i="10"/>
  <c r="E24" i="14" s="1"/>
  <c r="AO9" i="7"/>
  <c r="H7" i="12" s="1"/>
  <c r="F19" i="10"/>
  <c r="V19" i="9"/>
  <c r="U29" i="9"/>
  <c r="U24" i="9"/>
  <c r="U26" i="9"/>
  <c r="U38" i="9"/>
  <c r="U10" i="9"/>
  <c r="F25" i="10"/>
  <c r="V25" i="9"/>
  <c r="U20" i="9"/>
  <c r="F27" i="10"/>
  <c r="V27" i="9"/>
  <c r="U16" i="9"/>
  <c r="U15" i="9"/>
  <c r="U30" i="9"/>
  <c r="F31" i="10"/>
  <c r="V31" i="9"/>
  <c r="F11" i="10"/>
  <c r="V11" i="9"/>
  <c r="K13" i="10"/>
  <c r="E37" i="14" s="1"/>
  <c r="K9" i="10"/>
  <c r="E36" i="14" s="1"/>
  <c r="F21" i="10" l="1"/>
  <c r="G21" i="10" s="1"/>
  <c r="F14" i="10"/>
  <c r="G14" i="10" s="1"/>
  <c r="V9" i="9"/>
  <c r="F23" i="10"/>
  <c r="G23" i="10" s="1"/>
  <c r="V12" i="9"/>
  <c r="F22" i="10"/>
  <c r="H30" i="16" s="1"/>
  <c r="F15" i="10"/>
  <c r="V15" i="9"/>
  <c r="G25" i="10"/>
  <c r="H33" i="16"/>
  <c r="F16" i="10"/>
  <c r="V16" i="9"/>
  <c r="H40" i="16"/>
  <c r="G32" i="10"/>
  <c r="H26" i="16"/>
  <c r="G18" i="10"/>
  <c r="F26" i="10"/>
  <c r="V26" i="9"/>
  <c r="H36" i="16"/>
  <c r="G28" i="10"/>
  <c r="G9" i="10"/>
  <c r="H17" i="16"/>
  <c r="H11" i="11"/>
  <c r="I7" i="11" s="1"/>
  <c r="F10" i="10"/>
  <c r="V10" i="9"/>
  <c r="H19" i="16"/>
  <c r="G11" i="10"/>
  <c r="V38" i="9"/>
  <c r="F38" i="10"/>
  <c r="H35" i="16"/>
  <c r="G27" i="10"/>
  <c r="V37" i="9"/>
  <c r="F37" i="10"/>
  <c r="G17" i="10"/>
  <c r="H25" i="16"/>
  <c r="F20" i="10"/>
  <c r="V20" i="9"/>
  <c r="F44" i="10"/>
  <c r="V44" i="9"/>
  <c r="F39" i="10"/>
  <c r="V39" i="9"/>
  <c r="V29" i="9"/>
  <c r="F29" i="10"/>
  <c r="H20" i="16"/>
  <c r="G12" i="10"/>
  <c r="V24" i="9"/>
  <c r="F24" i="10"/>
  <c r="E13" i="14"/>
  <c r="G12" i="14" s="1"/>
  <c r="G11" i="14"/>
  <c r="H39" i="16"/>
  <c r="G31" i="10"/>
  <c r="H31" i="16"/>
  <c r="H21" i="16"/>
  <c r="G13" i="10"/>
  <c r="F42" i="10"/>
  <c r="V42" i="9"/>
  <c r="G41" i="10"/>
  <c r="H49" i="16"/>
  <c r="E38" i="14"/>
  <c r="V30" i="9"/>
  <c r="F30" i="10"/>
  <c r="H27" i="16"/>
  <c r="G19" i="10"/>
  <c r="H42" i="16"/>
  <c r="G34" i="10"/>
  <c r="H11" i="12"/>
  <c r="I8" i="12" s="1"/>
  <c r="F35" i="10"/>
  <c r="V35" i="9"/>
  <c r="H44" i="16"/>
  <c r="G36" i="10"/>
  <c r="H48" i="16"/>
  <c r="G40" i="10"/>
  <c r="E26" i="14"/>
  <c r="G25" i="14" s="1"/>
  <c r="H51" i="16"/>
  <c r="G43" i="10"/>
  <c r="H11" i="13"/>
  <c r="I7" i="13" s="1"/>
  <c r="G33" i="10"/>
  <c r="H41" i="16"/>
  <c r="I9" i="11"/>
  <c r="H29" i="16" l="1"/>
  <c r="H22" i="16"/>
  <c r="G22" i="10"/>
  <c r="H28" i="16"/>
  <c r="G20" i="10"/>
  <c r="I7" i="12"/>
  <c r="H50" i="16"/>
  <c r="G42" i="10"/>
  <c r="H38" i="16"/>
  <c r="G30" i="10"/>
  <c r="H32" i="16"/>
  <c r="G24" i="10"/>
  <c r="I10" i="11"/>
  <c r="G13" i="14"/>
  <c r="G24" i="14"/>
  <c r="G26" i="14" s="1"/>
  <c r="I9" i="13"/>
  <c r="I8" i="13"/>
  <c r="I11" i="13" s="1"/>
  <c r="I10" i="13"/>
  <c r="G37" i="10"/>
  <c r="H45" i="16"/>
  <c r="H24" i="16"/>
  <c r="G16" i="10"/>
  <c r="H43" i="16"/>
  <c r="G35" i="10"/>
  <c r="H47" i="16"/>
  <c r="G39" i="10"/>
  <c r="G10" i="10"/>
  <c r="H18" i="16"/>
  <c r="H46" i="16"/>
  <c r="G38" i="10"/>
  <c r="G36" i="14"/>
  <c r="H34" i="16"/>
  <c r="G26" i="10"/>
  <c r="I8" i="11"/>
  <c r="I11" i="11" s="1"/>
  <c r="H52" i="16"/>
  <c r="G44" i="10"/>
  <c r="G37" i="14"/>
  <c r="G29" i="10"/>
  <c r="H37" i="16"/>
  <c r="I9" i="12"/>
  <c r="I10" i="12"/>
  <c r="H23" i="16"/>
  <c r="G15" i="10"/>
  <c r="G38" i="14" l="1"/>
  <c r="I11" i="12"/>
</calcChain>
</file>

<file path=xl/sharedStrings.xml><?xml version="1.0" encoding="utf-8"?>
<sst xmlns="http://schemas.openxmlformats.org/spreadsheetml/2006/main" count="778" uniqueCount="248">
  <si>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</si>
  <si>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</si>
  <si>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</si>
  <si>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</si>
  <si>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</si>
  <si>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</si>
  <si>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</si>
  <si>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</si>
  <si>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</si>
  <si>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</si>
  <si>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</si>
  <si>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</si>
  <si>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</si>
  <si>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</si>
  <si>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</si>
  <si>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</si>
  <si>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</si>
  <si>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</si>
  <si>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2do de Secundaria</t>
  </si>
  <si>
    <t>ÁREA</t>
  </si>
  <si>
    <t>GESTIÓN</t>
  </si>
  <si>
    <t>REGISTRO DE FILIACIÓN</t>
  </si>
  <si>
    <t>GRADO</t>
  </si>
  <si>
    <t>FECHA</t>
  </si>
  <si>
    <t>APELLIDOS Y NOMBRES</t>
  </si>
  <si>
    <t>NACIMIENTO</t>
  </si>
  <si>
    <t>EDAD</t>
  </si>
  <si>
    <t>LUGAR NACIMIENTO</t>
  </si>
  <si>
    <t>C.I.</t>
  </si>
  <si>
    <t>BARRIO/CALLE</t>
  </si>
  <si>
    <t>PADRE/MADRE</t>
  </si>
  <si>
    <t>TELF./ CELULAR</t>
  </si>
  <si>
    <t>ALARCON CHURA PRISCILA</t>
  </si>
  <si>
    <t>ARCE CHOQUE LUCERO CORAL</t>
  </si>
  <si>
    <t>AREQUIPA CALCINA FABIAN JHON</t>
  </si>
  <si>
    <t>CLAURE PARAVICINI RASHEL ROSALY</t>
  </si>
  <si>
    <t>CONDORI FLORES ALEJANDRO BRYAN</t>
  </si>
  <si>
    <t>DE LA CRUZ SANDOVAL JHON MARCO</t>
  </si>
  <si>
    <t>GARCÍA IGNACIO MISHEL MAYA</t>
  </si>
  <si>
    <t>HELGUERO SANCHEZ JHOYSI CAMIL</t>
  </si>
  <si>
    <t>LEDEZMA ORELLANA RICARDO ERIK</t>
  </si>
  <si>
    <t>MAMANI LOPEZ ELIZABETH MILDRED</t>
  </si>
  <si>
    <t>MEDINA CHOQUE JUAN JOSE</t>
  </si>
  <si>
    <t>NINA RUEDA SEBASTIAN CARLOS</t>
  </si>
  <si>
    <t>RODRIGUEZ RAMIREZ NATALY ARIANA</t>
  </si>
  <si>
    <t>SALAZAR CANAZA CRISTINA MAYRA</t>
  </si>
  <si>
    <t>SEVILLANO BALTAZAR AGNESE</t>
  </si>
  <si>
    <t>TOCONAS HUAYGUA VICTORIA FERNANDA</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</si>
  <si>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</si>
  <si>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</si>
  <si>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</si>
  <si>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</si>
  <si>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</si>
  <si>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</si>
  <si>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</si>
  <si>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</si>
  <si>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</si>
  <si>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</si>
  <si>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</si>
  <si>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</si>
  <si>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</si>
  <si>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l</t>
  </si>
  <si>
    <t>a</t>
  </si>
  <si>
    <t>f</t>
  </si>
  <si>
    <t>CONTROL DE ASISTENCIA 2º TRIMESTRE</t>
  </si>
  <si>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</si>
  <si>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</si>
  <si>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</si>
  <si>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</si>
  <si>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</si>
  <si>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</si>
  <si>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</si>
  <si>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</si>
  <si>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</si>
  <si>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</si>
  <si>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</si>
  <si>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</si>
  <si>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</si>
  <si>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</si>
  <si>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</si>
  <si>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</si>
  <si>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</si>
  <si>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</si>
  <si>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</si>
  <si>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</si>
  <si>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</si>
  <si>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</si>
  <si>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17/02/2021 (preguntas Generales)</t>
  </si>
  <si>
    <t>25/02/2021 (preguntas de practica)</t>
  </si>
  <si>
    <t>17/02/2021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</si>
  <si>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</si>
  <si>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</si>
  <si>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</si>
  <si>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</si>
  <si>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</si>
  <si>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</si>
  <si>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</si>
  <si>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</si>
  <si>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</si>
  <si>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</si>
  <si>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</si>
  <si>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</si>
  <si>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</si>
  <si>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</si>
  <si>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</si>
  <si>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</si>
  <si>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</si>
  <si>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</si>
  <si>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</si>
  <si>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</si>
  <si>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</si>
  <si>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</si>
  <si>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</si>
  <si>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</si>
  <si>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</si>
  <si>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</si>
  <si>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</si>
  <si>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</si>
  <si>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</si>
  <si>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</si>
  <si>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</si>
  <si>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</si>
  <si>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</si>
  <si>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</si>
  <si>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</si>
  <si>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</si>
  <si>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</si>
  <si>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</si>
  <si>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</si>
  <si>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</si>
  <si>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</si>
  <si>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</si>
  <si>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</si>
  <si>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</si>
  <si>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</si>
  <si>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</si>
  <si>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</si>
  <si>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</si>
  <si>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</si>
  <si>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</si>
  <si>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</si>
  <si>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</si>
  <si>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</si>
  <si>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</si>
  <si>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</si>
  <si>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</si>
  <si>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</si>
  <si>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</si>
  <si>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</si>
  <si>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</si>
  <si>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</si>
  <si>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</si>
  <si>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</si>
  <si>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</si>
  <si>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</si>
  <si>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</si>
  <si>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</si>
  <si>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</si>
  <si>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</si>
  <si>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</si>
  <si>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</si>
  <si>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</si>
  <si>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</si>
  <si>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</si>
  <si>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ganado</t>
  </si>
  <si>
    <t>INFORME RESUMIDO SOBRE RENDIMIENTO</t>
  </si>
  <si>
    <t>Area:</t>
  </si>
  <si>
    <t>Alumno:</t>
  </si>
  <si>
    <t>Profesor:</t>
  </si>
  <si>
    <t>ASISTENCIA SEGUNDO TRIMESTRE</t>
  </si>
  <si>
    <t>DETALLE</t>
  </si>
  <si>
    <t>1/7/2021(Repaso estructuras repetitivas)</t>
  </si>
  <si>
    <t>22/7/2021(Practica en clase)</t>
  </si>
  <si>
    <t>5/8/2021(practica en clase pseint)</t>
  </si>
  <si>
    <t>20/5/2021(Ejercicio ciclo repetitivos para)</t>
  </si>
  <si>
    <t>27/5/2021(Ej. Repetitiva Mientras</t>
  </si>
  <si>
    <t>15/7/2021(Ej. Hacer Mientras)</t>
  </si>
  <si>
    <t>JOSE COAQUIRA COPA</t>
  </si>
  <si>
    <t>Calif.</t>
  </si>
  <si>
    <t>Link Tarea</t>
  </si>
  <si>
    <t>Curso:</t>
  </si>
  <si>
    <t>Codigo Classroom</t>
  </si>
  <si>
    <t>Codigo Classroom 2</t>
  </si>
  <si>
    <t>13/5/2020</t>
  </si>
  <si>
    <t>20/5/2020</t>
  </si>
  <si>
    <t>27/5/2021</t>
  </si>
  <si>
    <t>1/7/2021</t>
  </si>
  <si>
    <t>8/7/2021</t>
  </si>
  <si>
    <t>22/7/2021</t>
  </si>
  <si>
    <t>29/7/2021</t>
  </si>
  <si>
    <t>5/8/2021</t>
  </si>
  <si>
    <t>Asist. (A)</t>
  </si>
  <si>
    <t>Faltas (F)</t>
  </si>
  <si>
    <t>Retrasos (R)</t>
  </si>
  <si>
    <t>Licencias (L)</t>
  </si>
  <si>
    <t>15/8/2021</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</si>
  <si>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</si>
  <si>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</si>
  <si>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</si>
  <si>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</si>
  <si>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</si>
  <si>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</si>
  <si>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</si>
  <si>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</si>
  <si>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</si>
  <si>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</si>
  <si>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</si>
  <si>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</si>
  <si>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</si>
  <si>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</si>
  <si>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</si>
  <si>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</si>
  <si>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</si>
  <si>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</si>
  <si>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</si>
  <si>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</si>
  <si>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</si>
  <si>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</si>
  <si>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</si>
  <si>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</si>
  <si>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</si>
  <si>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</si>
  <si>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</si>
  <si>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</si>
  <si>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</si>
  <si>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</si>
  <si>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</si>
  <si>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</si>
  <si>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</si>
  <si>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</si>
  <si>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</si>
  <si>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</si>
  <si>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</si>
  <si>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</si>
  <si>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</si>
  <si>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</si>
  <si>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1/7/2021(Repaso Funciones Repetitivas)</t>
  </si>
  <si>
    <t>13/5/2021(Repetitivas Mientras)</t>
  </si>
  <si>
    <t>https://classroom.google.com/c/MzA4MjI0NTUwNDg2/a/MzY3NTI4Mzg3OTQx/details</t>
  </si>
  <si>
    <t>20/05/2021 (Pract. Repetitivas Para)</t>
  </si>
  <si>
    <t>22/7/2021(Pract. Repetitivas Hacer Mientras)</t>
  </si>
  <si>
    <t>CALIFICACIONES DE TRABAJOS (SABER/35)</t>
  </si>
  <si>
    <t>CALIFICACIONES DE TRABAJOS (HACER/35)</t>
  </si>
  <si>
    <t>p7ruaoo</t>
  </si>
  <si>
    <t>biakfle</t>
  </si>
  <si>
    <t>https://classroom.google.com/c/MzQxMjA4Nzc3ODQ2/a/MzQxMjA4Nzc4NTA0/details</t>
  </si>
  <si>
    <t>https://classroom.google.com/c/MzQxMjA4Nzc3ODQ2/a/MzQxMjA4Nzc3OTIw/details</t>
  </si>
  <si>
    <t>https://classroom.google.com/c/MzQxMjA4Nzc3ODQ2/a/MzcwOTM0NzAwODc5/details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</si>
</sst>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0" x14ac:knownFonts="1">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sz val="9"/>
      <color theme="1"/>
      <name val="Arial"/>
    </font>
    <font>
      <b/>
      <sz val="8"/>
      <color theme="1"/>
      <name val="Calibri"/>
    </font>
    <font>
      <b/>
      <sz val="22"/>
      <color rgb="FFC00000"/>
      <name val="Calibri"/>
    </font>
    <font>
      <b/>
      <sz val="24"/>
      <color rgb="FFC00000"/>
      <name val="Calibri"/>
    </font>
    <font>
      <sz val="16"/>
      <color theme="1"/>
      <name val="Calibri"/>
    </font>
    <font>
      <sz val="10"/>
      <color rgb="FFC00000"/>
      <name val="Calibri"/>
    </font>
    <font>
      <b/>
      <sz val="10"/>
      <color rgb="FFC00000"/>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
      <sz val="9"/>
      <color theme="1"/>
      <name val="Calibri"/>
      <family val="2"/>
    </font>
    <font>
      <sz val="16"/>
      <color theme="1"/>
      <name val="Arial"/>
    </font>
    <font>
      <sz val="11"/>
      <color rgb="FF5F6368"/>
      <name val="Roboto"/>
    </font>
    <font>
      <u/>
      <sz val="16"/>
      <color theme="10"/>
      <name val="Arial"/>
      <family val="2"/>
    </font>
    <font>
      <u/>
      <sz val="11"/>
      <color theme="10"/>
      <name val="Arial"/>
      <family val="2"/>
    </font>
    <font>
      <b/>
      <sz val="12"/>
      <color rgb="FF000000"/>
      <name val="Arial"/>
      <family val="2"/>
    </font>
    <font>
      <sz val="12"/>
      <color rgb="FF000000"/>
      <name val="Arial"/>
      <family val="2"/>
    </font>
    <font>
      <b/>
      <sz val="9"/>
      <color rgb="FF000000"/>
      <name val="Arial"/>
      <family val="2"/>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9"/>
      <color rgb="FF000000"/>
      <name val="Calibri"/>
    </font>
    <font>
      <sz val="10"/>
      <color rgb="FF000000"/>
      <name val="Arial"/>
      <family val="2"/>
    </font>
    <font>
      <b/>
      <sz val="9"/>
      <color rgb="FF000000"/>
      <name val="Calibri"/>
      <family val="2"/>
    </font>
    <font>
      <b/>
      <sz val="10"/>
      <color rgb="FF000000"/>
      <name val="Arial"/>
      <family val="2"/>
    </font>
    <font>
      <sz val="9"/>
      <color theme="1"/>
      <name val="Arial"/>
      <family val="2"/>
    </font>
    <font>
      <b/>
      <sz val="9"/>
      <color theme="0"/>
      <name val="Calibri"/>
      <family val="2"/>
    </font>
    <font>
      <b/>
      <sz val="14"/>
      <color rgb="FF7030A0"/>
      <name val="Calibri"/>
      <family val="2"/>
    </font>
    <font>
      <sz val="10"/>
      <color theme="1"/>
      <name val="Calibri"/>
      <family val="2"/>
    </font>
    <font>
      <sz val="8"/>
      <color theme="1"/>
      <name val="Calibri"/>
      <family val="2"/>
    </font>
  </fonts>
  <fills count="11">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39" fillId="0" borderId="0" applyFont="0" applyFill="0" applyBorder="0" applyAlignment="0" applyProtection="0"/>
    <xf numFmtId="0" fontId="41" fillId="0" borderId="15" applyNumberFormat="0" applyFill="0" applyBorder="0" applyAlignment="0" applyProtection="0"/>
  </cellStyleXfs>
  <cellXfs count="30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19" fillId="0" borderId="19" xfId="0" applyFont="1" applyBorder="1" applyAlignment="1">
      <alignment horizontal="center" vertical="center"/>
    </xf>
    <xf numFmtId="0" fontId="19" fillId="0" borderId="39" xfId="0" applyFont="1" applyBorder="1" applyAlignment="1">
      <alignment horizontal="center" vertical="center"/>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19" fillId="9" borderId="19" xfId="0" applyFont="1" applyFill="1" applyBorder="1" applyAlignment="1">
      <alignment horizontal="center" vertical="center"/>
    </xf>
    <xf numFmtId="0" fontId="9" fillId="9" borderId="19" xfId="0" applyFont="1" applyFill="1" applyBorder="1" applyAlignment="1">
      <alignment horizontal="center" vertical="center"/>
    </xf>
    <xf numFmtId="0" fontId="10" fillId="9" borderId="19" xfId="0" applyFont="1" applyFill="1" applyBorder="1" applyAlignment="1">
      <alignment horizontal="left" vertical="center"/>
    </xf>
    <xf numFmtId="0" fontId="38" fillId="0" borderId="19" xfId="0"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0" fontId="45" fillId="0" borderId="57" xfId="0" applyFont="1" applyBorder="1"/>
    <xf numFmtId="14" fontId="47" fillId="0" borderId="57" xfId="0" applyNumberFormat="1" applyFont="1" applyBorder="1" applyAlignment="1">
      <alignment horizontal="center" textRotation="90"/>
    </xf>
    <xf numFmtId="14" fontId="48" fillId="0" borderId="57" xfId="0" applyNumberFormat="1" applyFont="1" applyBorder="1" applyAlignment="1">
      <alignment horizontal="center" textRotation="90"/>
    </xf>
    <xf numFmtId="0" fontId="49" fillId="0" borderId="57" xfId="0" applyFont="1" applyBorder="1" applyAlignment="1">
      <alignment horizontal="center" vertical="center"/>
    </xf>
    <xf numFmtId="0" fontId="51" fillId="0" borderId="19" xfId="0" applyFont="1" applyBorder="1" applyAlignment="1">
      <alignment horizontal="left" vertical="center"/>
    </xf>
    <xf numFmtId="166" fontId="51" fillId="0" borderId="19" xfId="1" applyNumberFormat="1" applyFont="1" applyFill="1" applyBorder="1" applyAlignment="1">
      <alignment horizontal="left" vertical="center"/>
    </xf>
    <xf numFmtId="166" fontId="0" fillId="0" borderId="15" xfId="1" applyNumberFormat="1" applyFont="1" applyFill="1" applyBorder="1" applyAlignment="1"/>
    <xf numFmtId="166" fontId="0" fillId="0" borderId="15" xfId="0" applyNumberFormat="1" applyBorder="1"/>
    <xf numFmtId="0" fontId="19" fillId="9" borderId="39" xfId="0" applyFont="1" applyFill="1" applyBorder="1" applyAlignment="1">
      <alignment horizontal="center" vertical="center"/>
    </xf>
    <xf numFmtId="0" fontId="19" fillId="9" borderId="41" xfId="0" applyFont="1" applyFill="1" applyBorder="1" applyAlignment="1">
      <alignment horizontal="center" vertical="center"/>
    </xf>
    <xf numFmtId="0" fontId="9" fillId="0" borderId="27" xfId="0" applyFont="1" applyBorder="1" applyAlignment="1">
      <alignment horizontal="center" vertical="center"/>
    </xf>
    <xf numFmtId="0" fontId="55" fillId="9" borderId="57" xfId="0" applyFont="1" applyFill="1" applyBorder="1" applyAlignment="1">
      <alignment vertical="center"/>
    </xf>
    <xf numFmtId="0" fontId="55" fillId="0" borderId="57" xfId="0" applyFont="1" applyBorder="1" applyAlignment="1">
      <alignment vertical="center"/>
    </xf>
    <xf numFmtId="0" fontId="38" fillId="0" borderId="39" xfId="0" applyFont="1" applyBorder="1" applyAlignment="1">
      <alignment horizontal="center" vertical="center"/>
    </xf>
    <xf numFmtId="0" fontId="38" fillId="0" borderId="41" xfId="0" applyFont="1" applyBorder="1" applyAlignment="1">
      <alignment horizontal="center" vertical="center"/>
    </xf>
    <xf numFmtId="0" fontId="55" fillId="0" borderId="41" xfId="0" applyFont="1" applyBorder="1" applyAlignment="1">
      <alignment horizontal="center" vertical="center"/>
    </xf>
    <xf numFmtId="0" fontId="55" fillId="0" borderId="19" xfId="0" applyFont="1" applyBorder="1" applyAlignment="1">
      <alignment horizontal="center" vertical="center"/>
    </xf>
    <xf numFmtId="0" fontId="20" fillId="0" borderId="41" xfId="0" applyFont="1" applyBorder="1" applyAlignment="1">
      <alignment horizontal="center" vertical="center"/>
    </xf>
    <xf numFmtId="0" fontId="57" fillId="0" borderId="19" xfId="0" applyFont="1" applyBorder="1" applyAlignment="1">
      <alignment horizontal="center" vertical="center"/>
    </xf>
    <xf numFmtId="14" fontId="56" fillId="10" borderId="19" xfId="0" applyNumberFormat="1" applyFont="1" applyFill="1" applyBorder="1" applyAlignment="1">
      <alignment horizontal="center" vertical="center" textRotation="90"/>
    </xf>
    <xf numFmtId="14" fontId="56" fillId="10" borderId="29" xfId="0" applyNumberFormat="1" applyFont="1" applyFill="1" applyBorder="1" applyAlignment="1">
      <alignment horizontal="center" vertical="center" textRotation="90"/>
    </xf>
    <xf numFmtId="14" fontId="38" fillId="0" borderId="19" xfId="0" applyNumberFormat="1" applyFont="1" applyBorder="1" applyAlignment="1">
      <alignment horizontal="center" vertical="center" textRotation="90"/>
    </xf>
    <xf numFmtId="0" fontId="38" fillId="0" borderId="19" xfId="0" applyFont="1" applyBorder="1" applyAlignment="1">
      <alignment horizontal="center" vertical="center" textRotation="90"/>
    </xf>
    <xf numFmtId="0" fontId="38" fillId="0" borderId="39" xfId="0" applyFont="1" applyBorder="1" applyAlignment="1">
      <alignment horizontal="center" vertical="center" textRotation="90"/>
    </xf>
    <xf numFmtId="0" fontId="58" fillId="0" borderId="23" xfId="0" applyFont="1" applyBorder="1" applyAlignment="1">
      <alignment horizontal="center" textRotation="90"/>
    </xf>
    <xf numFmtId="0" fontId="58" fillId="0" borderId="24" xfId="0" applyFont="1" applyBorder="1" applyAlignment="1">
      <alignment horizontal="center" textRotation="90"/>
    </xf>
    <xf numFmtId="0" fontId="59" fillId="0" borderId="51" xfId="0" applyFont="1" applyBorder="1" applyAlignment="1">
      <alignment horizontal="center" vertical="center" textRotation="90"/>
    </xf>
    <xf numFmtId="0" fontId="38" fillId="0" borderId="41" xfId="0" applyFont="1" applyBorder="1" applyAlignment="1">
      <alignment horizontal="center" vertical="center" textRotation="90"/>
    </xf>
    <xf numFmtId="0" fontId="40" fillId="0" borderId="57" xfId="0" applyFont="1" applyBorder="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61" xfId="0" applyNumberFormat="1" applyFont="1" applyBorder="1" applyAlignment="1">
      <alignment horizontal="center"/>
    </xf>
    <xf numFmtId="0" fontId="49" fillId="0" borderId="61" xfId="0" applyFont="1" applyBorder="1" applyAlignment="1">
      <alignment horizontal="center"/>
    </xf>
    <xf numFmtId="0" fontId="53" fillId="0" borderId="62" xfId="0" applyFont="1" applyBorder="1" applyAlignment="1">
      <alignment horizontal="left" vertical="center" wrapText="1"/>
    </xf>
    <xf numFmtId="0" fontId="53" fillId="0" borderId="15" xfId="0" applyFont="1" applyBorder="1" applyAlignment="1">
      <alignment horizontal="left" vertical="center" wrapText="1"/>
    </xf>
    <xf numFmtId="0" fontId="51" fillId="0" borderId="58" xfId="0" applyFont="1" applyBorder="1" applyAlignment="1">
      <alignment horizontal="center" vertical="center"/>
    </xf>
    <xf numFmtId="0" fontId="51" fillId="0" borderId="59" xfId="0" applyFont="1" applyBorder="1" applyAlignment="1">
      <alignment horizontal="center" vertical="center"/>
    </xf>
    <xf numFmtId="0" fontId="51" fillId="0" borderId="60" xfId="0" applyFont="1" applyBorder="1" applyAlignment="1">
      <alignment horizontal="center" vertical="center"/>
    </xf>
    <xf numFmtId="0" fontId="52" fillId="0" borderId="57" xfId="0" applyFont="1" applyBorder="1" applyAlignment="1">
      <alignment horizontal="center"/>
    </xf>
    <xf numFmtId="0" fontId="42" fillId="0" borderId="57" xfId="2" applyFont="1" applyFill="1" applyBorder="1" applyAlignment="1">
      <alignment horizontal="left"/>
    </xf>
    <xf numFmtId="0" fontId="49" fillId="0" borderId="57" xfId="0" applyFont="1" applyBorder="1" applyAlignment="1">
      <alignment horizontal="left"/>
    </xf>
    <xf numFmtId="0" fontId="50" fillId="0" borderId="58" xfId="0" applyFont="1" applyBorder="1" applyAlignment="1">
      <alignment horizontal="center" vertical="center"/>
    </xf>
    <xf numFmtId="0" fontId="50" fillId="0" borderId="59" xfId="0" applyFont="1" applyBorder="1" applyAlignment="1">
      <alignment horizontal="center" vertical="center"/>
    </xf>
    <xf numFmtId="0" fontId="50" fillId="0" borderId="60" xfId="0" applyFont="1" applyBorder="1" applyAlignment="1">
      <alignment horizontal="center" vertical="center"/>
    </xf>
    <xf numFmtId="0" fontId="46" fillId="0" borderId="57" xfId="0" applyFont="1" applyBorder="1" applyAlignment="1">
      <alignment horizontal="center" vertical="center"/>
    </xf>
    <xf numFmtId="14" fontId="50" fillId="0" borderId="58" xfId="0" applyNumberFormat="1" applyFont="1" applyBorder="1" applyAlignment="1">
      <alignment horizontal="center" vertical="center"/>
    </xf>
    <xf numFmtId="14" fontId="50" fillId="0" borderId="59" xfId="0" applyNumberFormat="1" applyFont="1" applyBorder="1" applyAlignment="1">
      <alignment horizontal="center" vertical="center"/>
    </xf>
    <xf numFmtId="14" fontId="50" fillId="0" borderId="60" xfId="0" applyNumberFormat="1" applyFont="1" applyBorder="1" applyAlignment="1">
      <alignment horizontal="center" vertical="center"/>
    </xf>
    <xf numFmtId="0" fontId="50" fillId="0" borderId="57" xfId="0" applyFont="1" applyBorder="1" applyAlignment="1">
      <alignment horizontal="left" vertical="center"/>
    </xf>
    <xf numFmtId="0" fontId="51" fillId="0" borderId="57" xfId="0" applyFont="1" applyBorder="1" applyAlignment="1">
      <alignment horizontal="left" vertical="center"/>
    </xf>
    <xf numFmtId="0" fontId="52" fillId="0" borderId="57" xfId="0" applyFont="1" applyBorder="1" applyAlignment="1">
      <alignment horizontal="left"/>
    </xf>
    <xf numFmtId="1" fontId="54" fillId="0" borderId="57" xfId="0" applyNumberFormat="1" applyFont="1" applyBorder="1" applyAlignment="1">
      <alignment horizontal="center"/>
    </xf>
    <xf numFmtId="14" fontId="50" fillId="0" borderId="57" xfId="0" applyNumberFormat="1" applyFont="1" applyBorder="1" applyAlignment="1">
      <alignment horizontal="left" vertical="center"/>
    </xf>
    <xf numFmtId="14" fontId="51" fillId="0" borderId="57" xfId="0" applyNumberFormat="1" applyFont="1" applyBorder="1" applyAlignment="1">
      <alignment horizontal="left" vertical="center"/>
    </xf>
    <xf numFmtId="0" fontId="43" fillId="0" borderId="57" xfId="0" applyFont="1" applyBorder="1" applyAlignment="1">
      <alignment horizontal="left"/>
    </xf>
    <xf numFmtId="0" fontId="44" fillId="0" borderId="57" xfId="0" applyFont="1" applyBorder="1" applyAlignment="1">
      <alignment horizontal="left"/>
    </xf>
    <xf numFmtId="0" fontId="46" fillId="0" borderId="15" xfId="0" applyFont="1" applyBorder="1" applyAlignment="1">
      <alignment horizontal="center"/>
    </xf>
    <xf numFmtId="0" fontId="0" fillId="0" borderId="15" xfId="0" applyBorder="1" applyAlignment="1">
      <alignment horizontal="center"/>
    </xf>
    <xf numFmtId="0" fontId="44" fillId="0" borderId="57" xfId="0" applyFont="1" applyBorder="1" applyAlignment="1">
      <alignment horizontal="center"/>
    </xf>
    <xf numFmtId="0" fontId="43" fillId="0" borderId="57" xfId="0" applyFont="1" applyBorder="1" applyAlignment="1">
      <alignment horizontal="center"/>
    </xf>
    <xf numFmtId="0" fontId="44" fillId="0" borderId="58" xfId="0" applyFont="1" applyBorder="1" applyAlignment="1">
      <alignment horizontal="center"/>
    </xf>
    <xf numFmtId="0" fontId="44" fillId="0" borderId="59" xfId="0" applyFont="1" applyBorder="1" applyAlignment="1">
      <alignment horizontal="center"/>
    </xf>
    <xf numFmtId="0" fontId="44"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58">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C3F-4D4A-952A-93A762D205FB}"/>
              </c:ext>
            </c:extLst>
          </c:dPt>
          <c:dPt>
            <c:idx val="1"/>
            <c:bubble3D val="0"/>
            <c:spPr>
              <a:solidFill>
                <a:schemeClr val="accent2"/>
              </a:solidFill>
            </c:spPr>
            <c:extLst>
              <c:ext xmlns:c16="http://schemas.microsoft.com/office/drawing/2014/chart" uri="{C3380CC4-5D6E-409C-BE32-E72D297353CC}">
                <c16:uniqueId val="{00000003-BC3F-4D4A-952A-93A762D205FB}"/>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C3F-4D4A-952A-93A762D205FB}"/>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B67-40AA-A816-B54098CFD81C}"/>
              </c:ext>
            </c:extLst>
          </c:dPt>
          <c:dPt>
            <c:idx val="1"/>
            <c:bubble3D val="0"/>
            <c:spPr>
              <a:solidFill>
                <a:schemeClr val="accent2"/>
              </a:solidFill>
            </c:spPr>
            <c:extLst>
              <c:ext xmlns:c16="http://schemas.microsoft.com/office/drawing/2014/chart" uri="{C3380CC4-5D6E-409C-BE32-E72D297353CC}">
                <c16:uniqueId val="{00000003-3B67-40AA-A816-B54098CFD8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0.86111111111111116</c:v>
                </c:pt>
                <c:pt idx="1">
                  <c:v>0.1388888888888889</c:v>
                </c:pt>
              </c:numCache>
            </c:numRef>
          </c:val>
          <c:extLst>
            <c:ext xmlns:c16="http://schemas.microsoft.com/office/drawing/2014/chart" uri="{C3380CC4-5D6E-409C-BE32-E72D297353CC}">
              <c16:uniqueId val="{00000004-3B67-40AA-A816-B54098CFD8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5C0-43C7-9F1A-5ECB4CB0E4B4}"/>
              </c:ext>
            </c:extLst>
          </c:dPt>
          <c:dPt>
            <c:idx val="1"/>
            <c:bubble3D val="0"/>
            <c:spPr>
              <a:solidFill>
                <a:schemeClr val="accent2"/>
              </a:solidFill>
            </c:spPr>
            <c:extLst>
              <c:ext xmlns:c16="http://schemas.microsoft.com/office/drawing/2014/chart" uri="{C3380CC4-5D6E-409C-BE32-E72D297353CC}">
                <c16:uniqueId val="{00000003-45C0-43C7-9F1A-5ECB4CB0E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5C0-43C7-9F1A-5ECB4CB0E4B4}"/>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12</xdr:col>
      <xdr:colOff>71838</xdr:colOff>
      <xdr:row>31</xdr:row>
      <xdr:rowOff>82562</xdr:rowOff>
    </xdr:from>
    <xdr:to>
      <xdr:col>16</xdr:col>
      <xdr:colOff>81998</xdr:colOff>
      <xdr:row>32</xdr:row>
      <xdr:rowOff>237918</xdr:rowOff>
    </xdr:to>
    <xdr:sp macro="" textlink="">
      <xdr:nvSpPr>
        <xdr:cNvPr id="28" name="Cuadro de texto 2">
          <a:extLst>
            <a:ext uri="{FF2B5EF4-FFF2-40B4-BE49-F238E27FC236}">
              <a16:creationId xmlns:a16="http://schemas.microsoft.com/office/drawing/2014/main" id="{1F1A439E-706F-42D8-A6F9-3BC140F6751A}"/>
            </a:ext>
          </a:extLst>
        </xdr:cNvPr>
        <xdr:cNvSpPr txBox="1">
          <a:spLocks noChangeArrowheads="1"/>
        </xdr:cNvSpPr>
      </xdr:nvSpPr>
      <xdr:spPr bwMode="auto">
        <a:xfrm>
          <a:off x="3386538" y="6483362"/>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190501</xdr:rowOff>
    </xdr:to>
    <xdr:pic>
      <xdr:nvPicPr>
        <xdr:cNvPr id="29" name="Imagen 28">
          <a:extLst>
            <a:ext uri="{FF2B5EF4-FFF2-40B4-BE49-F238E27FC236}">
              <a16:creationId xmlns:a16="http://schemas.microsoft.com/office/drawing/2014/main" id="{BBE0291B-E32C-4980-BDA2-B3EF46C6DBD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032116868" name="Chart 1">
          <a:extLst>
            <a:ext uri="{FF2B5EF4-FFF2-40B4-BE49-F238E27FC236}">
              <a16:creationId xmlns:a16="http://schemas.microsoft.com/office/drawing/2014/main" id="{00000000-0008-0000-0D00-000084A41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633649475" name="Chart 2">
          <a:extLst>
            <a:ext uri="{FF2B5EF4-FFF2-40B4-BE49-F238E27FC236}">
              <a16:creationId xmlns:a16="http://schemas.microsoft.com/office/drawing/2014/main" id="{00000000-0008-0000-0D00-000043835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83646916" name="Chart 3">
          <a:extLst>
            <a:ext uri="{FF2B5EF4-FFF2-40B4-BE49-F238E27FC236}">
              <a16:creationId xmlns:a16="http://schemas.microsoft.com/office/drawing/2014/main" id="{00000000-0008-0000-0D00-0000C4886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3">
          <cell r="C23" t="str">
            <v>1ro de Secundaria</v>
          </cell>
        </row>
        <row r="25">
          <cell r="C25" t="str">
            <v>Tecnica Tecnologica (Programacion)</v>
          </cell>
        </row>
      </sheetData>
      <sheetData sheetId="1"/>
      <sheetData sheetId="2"/>
      <sheetData sheetId="3">
        <row r="7">
          <cell r="C7" t="str">
            <v>13/5/2020</v>
          </cell>
          <cell r="D7" t="str">
            <v>20/5/2020</v>
          </cell>
          <cell r="E7" t="str">
            <v>27/5/2021</v>
          </cell>
          <cell r="F7" t="str">
            <v>1/7/2021</v>
          </cell>
          <cell r="G7" t="str">
            <v>8/7/2021</v>
          </cell>
          <cell r="H7" t="str">
            <v>15/7/2021</v>
          </cell>
          <cell r="I7" t="str">
            <v>22/7/2021</v>
          </cell>
          <cell r="J7" t="str">
            <v>29/7/2021</v>
          </cell>
          <cell r="K7" t="str">
            <v>5/8/2021</v>
          </cell>
          <cell r="BA7" t="str">
            <v>Asist. (A)</v>
          </cell>
          <cell r="BB7" t="str">
            <v>Faltas (F)</v>
          </cell>
          <cell r="BC7" t="str">
            <v>Retrasos (R)</v>
          </cell>
          <cell r="BD7" t="str">
            <v>Licencias (L)</v>
          </cell>
          <cell r="BE7" t="str">
            <v>DÍAS TRABAJADOS</v>
          </cell>
        </row>
      </sheetData>
      <sheetData sheetId="4"/>
      <sheetData sheetId="5"/>
      <sheetData sheetId="6"/>
      <sheetData sheetId="7">
        <row r="9">
          <cell r="B9" t="str">
            <v>ARANCIBIA ARRAYA LUIS ANDRES</v>
          </cell>
        </row>
      </sheetData>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1D22AA-3676-4247-B10D-75ACD45CEE0A}" name="Tabla1" displayName="Tabla1" ref="A7:BE23" totalsRowShown="0" headerRowDxfId="57" dataDxfId="56" tableBorderDxfId="55">
  <autoFilter ref="A7:BE23" xr:uid="{C01D22AA-3676-4247-B10D-75ACD45CEE0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2A5B5B86-ECFC-43CB-B5FB-3198C24C3566}" name="Nº" dataDxfId="54"/>
    <tableColumn id="2" xr3:uid="{E7CFB337-346E-4134-9052-6A8F126DF70E}" name="NÓMINA DE ESTUDIANTES" dataDxfId="53">
      <calculatedColumnFormula>'C. FILIACION'!B8</calculatedColumnFormula>
    </tableColumn>
    <tableColumn id="3" xr3:uid="{D8D6787D-C877-4322-8BAB-6844889DB05D}" name="13/5/2020" dataDxfId="52"/>
    <tableColumn id="4" xr3:uid="{275E4CD2-72A9-4610-9D2E-FA4CAC9EADB2}" name="20/5/2020" dataDxfId="51"/>
    <tableColumn id="5" xr3:uid="{65FC0861-6DF1-42FE-B411-35A0B12DD120}" name="27/5/2021" dataDxfId="50"/>
    <tableColumn id="6" xr3:uid="{13D0A423-3CAC-4729-B630-A808642AACCF}" name="1/7/2021" dataDxfId="49"/>
    <tableColumn id="7" xr3:uid="{A4079921-06AB-4CB4-A865-59FBAAA73ADF}" name="8/7/2021" dataDxfId="48"/>
    <tableColumn id="8" xr3:uid="{FC51B49F-9310-41A8-A7FA-1B99D2B84995}" name="15/8/2021" dataDxfId="47"/>
    <tableColumn id="9" xr3:uid="{EAF594B6-62DA-4E24-8356-2EE2B716B6A8}" name="22/7/2021" dataDxfId="46"/>
    <tableColumn id="10" xr3:uid="{B06AB357-2726-4BE3-8231-E0FABBA57954}" name="29/7/2021" dataDxfId="45"/>
    <tableColumn id="11" xr3:uid="{93C43CF8-689D-49CD-8568-CB95AD651014}" name="5/8/2021" dataDxfId="44"/>
    <tableColumn id="12" xr3:uid="{9907FC53-8D25-429E-9451-2BDB3F5743F6}" name="Columna1"/>
    <tableColumn id="13" xr3:uid="{60B649E6-FE44-447C-949C-234B246F9541}" name="ganado" dataDxfId="43"/>
    <tableColumn id="14" xr3:uid="{D2A08EAC-576F-46B3-BBA0-50DFE80A5020}" name="Columna2"/>
    <tableColumn id="15" xr3:uid="{06BC330A-979B-4580-8DBF-BB1582623520}" name="Columna3" dataDxfId="42"/>
    <tableColumn id="16" xr3:uid="{4E1B9E96-80C4-43E0-AAB2-F1A80D27EAD9}" name="Columna4" dataDxfId="41"/>
    <tableColumn id="17" xr3:uid="{0EC559DC-AF72-418D-8320-B1FF9345548E}" name="Columna5" dataDxfId="40"/>
    <tableColumn id="18" xr3:uid="{6C8CC09C-A80D-4ECF-BDB9-1EE51FA49280}" name="Columna6" dataDxfId="39"/>
    <tableColumn id="19" xr3:uid="{C7FAE198-A39E-4BAC-A943-EC4C1188816E}" name="Columna7" dataDxfId="38"/>
    <tableColumn id="20" xr3:uid="{DDF2C3C5-055C-4B88-BD17-F7AEEB76722E}" name="Columna8" dataDxfId="37"/>
    <tableColumn id="21" xr3:uid="{88122AB3-D0E3-41CB-A0AF-F7D302864B16}" name="Columna9" dataDxfId="36"/>
    <tableColumn id="22" xr3:uid="{836B2141-6D9F-4F60-ACE0-C4B969824E0B}" name="Columna10" dataDxfId="35"/>
    <tableColumn id="23" xr3:uid="{19CE5DE8-4CEE-4326-B65B-8CB02EAF9F22}" name="Columna11" dataDxfId="34"/>
    <tableColumn id="24" xr3:uid="{F1B29937-DC75-4D29-A390-E538EEEDBDF6}" name="Columna12" dataDxfId="33"/>
    <tableColumn id="25" xr3:uid="{C84CB0A4-C28E-4B1B-8D25-94A8CC797EA2}" name="Columna13" dataDxfId="32"/>
    <tableColumn id="26" xr3:uid="{9BAD6B54-A02A-4EDC-B463-FE8E49D2C86D}" name="Columna14" dataDxfId="31"/>
    <tableColumn id="27" xr3:uid="{3C77FFF1-DB8A-4A89-9874-FDFBF4BA9E95}" name="Columna15" dataDxfId="30"/>
    <tableColumn id="28" xr3:uid="{7A00A336-01D0-4B3F-AD71-360AC24F01DA}" name="Columna16" dataDxfId="29"/>
    <tableColumn id="29" xr3:uid="{719E103C-2D68-4DED-BBE4-45627A2C389F}" name="Columna17" dataDxfId="28"/>
    <tableColumn id="30" xr3:uid="{606F076F-2134-4ACB-93F1-D17DEA610001}" name="Columna18" dataDxfId="27"/>
    <tableColumn id="31" xr3:uid="{81B12908-D86F-4542-91CD-8195CBE0BDAB}" name="Columna19" dataDxfId="26"/>
    <tableColumn id="32" xr3:uid="{B29ADAAF-7ACC-40FD-A4DD-B0CED287094C}" name="Columna20" dataDxfId="25"/>
    <tableColumn id="33" xr3:uid="{B0F220D9-3258-4410-A6C7-22CA846B63AD}" name="Columna21" dataDxfId="24"/>
    <tableColumn id="34" xr3:uid="{8582C91F-B614-4D8E-BEB5-57D1C6EA93B2}" name="Columna22" dataDxfId="23"/>
    <tableColumn id="35" xr3:uid="{285BB9DD-C5F5-425D-9CF6-66D88F9676CB}" name="Columna23" dataDxfId="22"/>
    <tableColumn id="36" xr3:uid="{DCD82BEA-2D86-4AA5-81ED-24E2AFA6786D}" name="Columna24" dataDxfId="21"/>
    <tableColumn id="37" xr3:uid="{318C598A-0ED5-46AC-94C5-DCC2BB8D4879}" name="Columna25" dataDxfId="20"/>
    <tableColumn id="38" xr3:uid="{25691E89-C659-45A1-88F3-E774626C13FA}" name="Columna26" dataDxfId="19"/>
    <tableColumn id="39" xr3:uid="{44A2638F-E92B-4B28-84EE-10E4C4BD48E6}" name="Columna27" dataDxfId="18"/>
    <tableColumn id="40" xr3:uid="{6273CDE2-D2A4-4005-B745-0AA9F61476C8}" name="Columna28" dataDxfId="17"/>
    <tableColumn id="41" xr3:uid="{D97F225B-B419-40B5-8309-39A1EAADAB97}" name="Columna29" dataDxfId="16"/>
    <tableColumn id="42" xr3:uid="{86DA8312-331E-4C77-9D27-2200C5A4052D}" name="Columna30" dataDxfId="15"/>
    <tableColumn id="43" xr3:uid="{3C9579D1-912E-4733-9CA4-37D3AF41D93C}" name="Columna31" dataDxfId="14"/>
    <tableColumn id="44" xr3:uid="{0B1C25FE-6120-4733-A57A-F60321B2B1E8}" name="Columna32" dataDxfId="13"/>
    <tableColumn id="45" xr3:uid="{AD9F59EA-92F5-438C-8C01-F4A82718DB59}" name="Columna33" dataDxfId="12"/>
    <tableColumn id="46" xr3:uid="{FB589FE7-0D78-4566-8E64-CA075301D252}" name="Columna34" dataDxfId="11"/>
    <tableColumn id="47" xr3:uid="{66590F63-4CA9-408F-8379-F2CA5BDDC4EE}" name="Columna35" dataDxfId="10"/>
    <tableColumn id="48" xr3:uid="{83C87A69-3D02-41BD-819E-352D6E99AE4E}" name="Columna36" dataDxfId="9"/>
    <tableColumn id="49" xr3:uid="{CA750092-2AC5-4995-8D65-E739E645608E}" name="Columna37" dataDxfId="8"/>
    <tableColumn id="50" xr3:uid="{70785364-FDD3-455E-957B-E2C9A886F147}" name="Columna38" dataDxfId="7"/>
    <tableColumn id="51" xr3:uid="{F8EE1E61-BFE9-47B9-9FFE-562B4B99832C}" name="Columna39" dataDxfId="6"/>
    <tableColumn id="52" xr3:uid="{318FBD1B-E2FB-44B2-81BA-574C436D8C5A}" name="Columna40" dataDxfId="5"/>
    <tableColumn id="53" xr3:uid="{4C9AF3FA-029F-4A20-9775-BA896B30F5B4}" name="Asist. (A)" dataDxfId="4">
      <calculatedColumnFormula>IF(COUNTIF(C8:AZ8,"A")=0,"",COUNTIF(C8:AZ8,"A"))</calculatedColumnFormula>
    </tableColumn>
    <tableColumn id="54" xr3:uid="{570B89E2-FFA9-4258-BE49-7E3F175424D4}" name="Faltas (F)" dataDxfId="3">
      <calculatedColumnFormula>IF(COUNTIF(C8:AZ8,"F")=0,"0",COUNTIF(C8:AZ8,"F"))</calculatedColumnFormula>
    </tableColumn>
    <tableColumn id="55" xr3:uid="{7E882827-AF09-4CA8-A0BD-1872CE064857}" name="Retrasos (R)" dataDxfId="2">
      <calculatedColumnFormula>IF(COUNTIF(C8:AZ8,"R")=0,"0",COUNTIF(C8:AZ8,"R"))</calculatedColumnFormula>
    </tableColumn>
    <tableColumn id="56" xr3:uid="{03955F37-EADA-4F70-BA5A-9C1B4D56DF51}" name="Licencias (L)" dataDxfId="1">
      <calculatedColumnFormula>IF(COUNTIF(C8:AZ8,"L")=0,"0",COUNTIF(C8:AZ8,"L"))</calculatedColumnFormula>
    </tableColumn>
    <tableColumn id="57" xr3:uid="{E6F78E24-3013-435E-AF49-B66DCB3D99F5}" name="DÍAS TRABAJADOS" dataDxfId="0">
      <calculatedColumnFormula>BA8+BB8+BC8+BD8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jA4Nzc3ODQ2/a/MzQxMjA4Nzc3OTIw/details" TargetMode="External"/><Relationship Id="rId2" Type="http://schemas.openxmlformats.org/officeDocument/2006/relationships/hyperlink" Target="https://classroom.google.com/c/MzA4MjI0NTUwNDg2/a/MzY3NTI4Mzg3OTQx/details" TargetMode="External"/><Relationship Id="rId1" Type="http://schemas.openxmlformats.org/officeDocument/2006/relationships/hyperlink" Target="https://classroom.google.com/c/MzQxMjA4Nzc3ODQ2/a/MzQxMjA4Nzc4NTA0/details"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classroom.google.com/c/MzQxMjA4Nzc3ODQ2/a/MzcwOTM0NzAwODc5/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T37" sqref="T37"/>
    </sheetView>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94" t="s">
        <v>0</v>
      </c>
      <c r="D8" s="195"/>
      <c r="E8" s="196"/>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97" t="s">
        <v>1</v>
      </c>
      <c r="I9" s="198"/>
      <c r="J9" s="199"/>
      <c r="K9" s="7"/>
      <c r="L9" s="1"/>
      <c r="M9" s="1"/>
      <c r="N9" s="1"/>
      <c r="O9" s="1"/>
      <c r="P9" s="1"/>
      <c r="Q9" s="1"/>
      <c r="R9" s="1"/>
      <c r="S9" s="1"/>
      <c r="T9" s="1"/>
      <c r="U9" s="1"/>
      <c r="V9" s="1"/>
      <c r="W9" s="1"/>
      <c r="X9" s="1"/>
      <c r="Y9" s="1"/>
      <c r="Z9" s="1"/>
    </row>
    <row r="10" spans="1:26" ht="20.25" x14ac:dyDescent="0.3">
      <c r="A10" s="1"/>
      <c r="B10" s="1"/>
      <c r="C10" s="1"/>
      <c r="D10" s="1"/>
      <c r="E10" s="1"/>
      <c r="F10" s="1"/>
      <c r="G10" s="6"/>
      <c r="H10" s="200"/>
      <c r="I10" s="201"/>
      <c r="J10" s="202"/>
      <c r="K10" s="7"/>
      <c r="L10" s="1"/>
      <c r="M10" s="1"/>
      <c r="N10" s="1"/>
      <c r="O10" s="1"/>
      <c r="P10" s="1"/>
      <c r="Q10" s="1"/>
      <c r="R10" s="1"/>
      <c r="S10" s="1"/>
      <c r="T10" s="1"/>
      <c r="U10" s="1"/>
      <c r="V10" s="1"/>
      <c r="W10" s="1"/>
      <c r="X10" s="1"/>
      <c r="Y10" s="1"/>
      <c r="Z10" s="1"/>
    </row>
    <row r="11" spans="1:26" ht="15" customHeight="1" x14ac:dyDescent="0.3">
      <c r="A11" s="1"/>
      <c r="B11" s="8" t="s">
        <v>2</v>
      </c>
      <c r="C11" s="191" t="s">
        <v>3</v>
      </c>
      <c r="D11" s="192"/>
      <c r="E11" s="193"/>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03" t="s">
        <v>4</v>
      </c>
      <c r="I12" s="204"/>
      <c r="J12" s="204"/>
      <c r="K12" s="7"/>
      <c r="L12" s="1"/>
      <c r="M12" s="1"/>
      <c r="N12" s="1"/>
      <c r="O12" s="1"/>
      <c r="P12" s="1"/>
      <c r="Q12" s="1"/>
      <c r="R12" s="1"/>
      <c r="S12" s="1"/>
      <c r="T12" s="1"/>
      <c r="U12" s="1"/>
      <c r="V12" s="1"/>
      <c r="W12" s="1"/>
      <c r="X12" s="1"/>
      <c r="Y12" s="1"/>
      <c r="Z12" s="1"/>
    </row>
    <row r="13" spans="1:26" ht="20.25" x14ac:dyDescent="0.3">
      <c r="A13" s="1"/>
      <c r="B13" s="8" t="s">
        <v>5</v>
      </c>
      <c r="C13" s="191"/>
      <c r="D13" s="192"/>
      <c r="E13" s="19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91" t="s">
        <v>9</v>
      </c>
      <c r="D15" s="192"/>
      <c r="E15" s="193"/>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05" t="s">
        <v>10</v>
      </c>
      <c r="I16" s="204"/>
      <c r="J16" s="204"/>
      <c r="K16" s="7"/>
      <c r="L16" s="1"/>
      <c r="M16" s="1"/>
      <c r="N16" s="1"/>
      <c r="O16" s="1"/>
      <c r="P16" s="1"/>
      <c r="Q16" s="1"/>
      <c r="R16" s="1"/>
      <c r="S16" s="1"/>
      <c r="T16" s="1"/>
      <c r="U16" s="1"/>
      <c r="V16" s="1"/>
      <c r="W16" s="1"/>
      <c r="X16" s="1"/>
      <c r="Y16" s="1"/>
      <c r="Z16" s="1"/>
    </row>
    <row r="17" spans="1:26" ht="20.25" x14ac:dyDescent="0.3">
      <c r="A17" s="1"/>
      <c r="B17" s="8" t="s">
        <v>11</v>
      </c>
      <c r="C17" s="191" t="s">
        <v>12</v>
      </c>
      <c r="D17" s="192"/>
      <c r="E17" s="193"/>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91"/>
      <c r="D19" s="192"/>
      <c r="E19" s="193"/>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91" t="s">
        <v>15</v>
      </c>
      <c r="D21" s="192"/>
      <c r="E21" s="193"/>
      <c r="F21" s="9"/>
      <c r="G21" s="6"/>
      <c r="H21" s="205" t="s">
        <v>16</v>
      </c>
      <c r="I21" s="204"/>
      <c r="J21" s="204"/>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91" t="s">
        <v>18</v>
      </c>
      <c r="D23" s="192"/>
      <c r="E23" s="19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91"/>
      <c r="D25" s="192"/>
      <c r="E25" s="193"/>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91">
        <v>2021</v>
      </c>
      <c r="D27" s="192"/>
      <c r="E27" s="193"/>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T37" sqref="T37"/>
    </sheetView>
  </sheetViews>
  <sheetFormatPr baseColWidth="10" defaultColWidth="9.25" defaultRowHeight="15" customHeight="1" x14ac:dyDescent="0.3"/>
  <cols>
    <col min="1" max="1" width="2" customWidth="1"/>
    <col min="2" max="2" width="23.7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08" t="s">
        <v>21</v>
      </c>
      <c r="C2" s="204"/>
      <c r="D2" s="204"/>
      <c r="E2" s="204"/>
      <c r="F2" s="204"/>
      <c r="G2" s="204"/>
      <c r="H2" s="204"/>
      <c r="I2" s="204"/>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06" t="str">
        <f>CARÁTULA!$C$15</f>
        <v>Instituto Tecnico Humanistico Jauzel Arrieta</v>
      </c>
      <c r="D4" s="204"/>
      <c r="E4" s="204"/>
      <c r="F4" s="22" t="s">
        <v>19</v>
      </c>
      <c r="G4" s="206">
        <f>CARÁTULA!$C$25</f>
        <v>0</v>
      </c>
      <c r="H4" s="204"/>
      <c r="I4" s="204"/>
      <c r="J4" s="19"/>
      <c r="K4" s="19"/>
      <c r="L4" s="19"/>
      <c r="M4" s="19"/>
      <c r="N4" s="19"/>
      <c r="O4" s="19"/>
      <c r="P4" s="19"/>
      <c r="Q4" s="19"/>
      <c r="R4" s="19"/>
      <c r="S4" s="19"/>
      <c r="T4" s="19"/>
      <c r="U4" s="19"/>
      <c r="V4" s="19"/>
      <c r="W4" s="19"/>
      <c r="X4" s="19"/>
      <c r="Y4" s="19"/>
      <c r="Z4" s="19"/>
    </row>
    <row r="5" spans="1:26" ht="12" customHeight="1" x14ac:dyDescent="0.3">
      <c r="A5" s="20"/>
      <c r="B5" s="21" t="s">
        <v>14</v>
      </c>
      <c r="C5" s="206" t="str">
        <f>CARÁTULA!$C$21</f>
        <v>Secundaria</v>
      </c>
      <c r="D5" s="204"/>
      <c r="E5" s="204"/>
      <c r="F5" s="22" t="s">
        <v>13</v>
      </c>
      <c r="G5" s="206">
        <f>CARÁTULA!$C$19</f>
        <v>0</v>
      </c>
      <c r="H5" s="204"/>
      <c r="I5" s="204"/>
      <c r="J5" s="19"/>
      <c r="K5" s="19"/>
      <c r="L5" s="19"/>
      <c r="M5" s="19"/>
      <c r="N5" s="19"/>
      <c r="O5" s="19"/>
      <c r="P5" s="19"/>
      <c r="Q5" s="19"/>
      <c r="R5" s="19"/>
      <c r="S5" s="19"/>
      <c r="T5" s="19"/>
      <c r="U5" s="19"/>
      <c r="V5" s="19"/>
      <c r="W5" s="19"/>
      <c r="X5" s="19"/>
      <c r="Y5" s="19"/>
      <c r="Z5" s="19"/>
    </row>
    <row r="6" spans="1:26" ht="12" customHeight="1" x14ac:dyDescent="0.3">
      <c r="A6" s="20"/>
      <c r="B6" s="21" t="s">
        <v>22</v>
      </c>
      <c r="C6" s="206" t="str">
        <f>CARÁTULA!$C$23</f>
        <v>2do de Secundaria</v>
      </c>
      <c r="D6" s="204"/>
      <c r="E6" s="204"/>
      <c r="F6" s="22" t="s">
        <v>23</v>
      </c>
      <c r="G6" s="207">
        <f ca="1">TODAY()</f>
        <v>44418</v>
      </c>
      <c r="H6" s="204"/>
      <c r="I6" s="204"/>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44418</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44418</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44418</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44418</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44418</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44418</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44418</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44418</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44418</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44418</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44418</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44418</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44418</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44418</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44418</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44418</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36"/>
      <c r="C24" s="35"/>
      <c r="D24" s="30">
        <f t="shared" ca="1" si="0"/>
        <v>44418</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36"/>
      <c r="C25" s="35"/>
      <c r="D25" s="30">
        <f t="shared" ca="1" si="0"/>
        <v>44418</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c r="C26" s="35"/>
      <c r="D26" s="30">
        <f t="shared" ca="1" si="0"/>
        <v>44418</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44418</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44418</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44418</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44418</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44418</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44418</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44418</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44418</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44418</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44418</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44418</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44418</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44418</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44418</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44418</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44418</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44418</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8" t="s">
        <v>48</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9">
        <f>CARÁTULA!$H$14</f>
        <v>44228</v>
      </c>
      <c r="AU3" s="204"/>
      <c r="AV3" s="204"/>
      <c r="AW3" s="204"/>
      <c r="AX3" s="204"/>
      <c r="AY3" s="204"/>
      <c r="AZ3" s="204"/>
      <c r="BA3" s="210" t="s">
        <v>50</v>
      </c>
      <c r="BB3" s="211"/>
      <c r="BC3" s="211"/>
      <c r="BD3" s="211"/>
      <c r="BE3" s="21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9">
        <f>CARÁTULA!$J$14</f>
        <v>44323</v>
      </c>
      <c r="AU4" s="204"/>
      <c r="AV4" s="204"/>
      <c r="AW4" s="204"/>
      <c r="AX4" s="204"/>
      <c r="AY4" s="204"/>
      <c r="AZ4" s="204"/>
      <c r="BA4" s="213">
        <f ca="1">AT4-AT5</f>
        <v>-95</v>
      </c>
      <c r="BB4" s="214"/>
      <c r="BC4" s="214"/>
      <c r="BD4" s="214"/>
      <c r="BE4" s="215"/>
    </row>
    <row r="5" spans="1:61" ht="12.75" customHeight="1" x14ac:dyDescent="0.3">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19">
        <f ca="1">TODAY()</f>
        <v>44418</v>
      </c>
      <c r="Y5" s="204"/>
      <c r="Z5" s="204"/>
      <c r="AA5" s="204"/>
      <c r="AB5" s="204"/>
      <c r="AC5" s="204"/>
      <c r="AD5" s="40"/>
      <c r="AE5" s="40"/>
      <c r="AF5" s="40"/>
      <c r="AG5" s="40"/>
      <c r="AH5" s="40"/>
      <c r="AI5" s="40"/>
      <c r="AJ5" s="40"/>
      <c r="AK5" s="45" t="s">
        <v>53</v>
      </c>
      <c r="AL5" s="46"/>
      <c r="AM5" s="46"/>
      <c r="AN5" s="46"/>
      <c r="AO5" s="46"/>
      <c r="AP5" s="46"/>
      <c r="AQ5" s="46"/>
      <c r="AR5" s="40"/>
      <c r="AS5" s="40"/>
      <c r="AT5" s="220">
        <f ca="1">TODAY()</f>
        <v>44418</v>
      </c>
      <c r="AU5" s="204"/>
      <c r="AV5" s="204"/>
      <c r="AW5" s="204"/>
      <c r="AX5" s="204"/>
      <c r="AY5" s="204"/>
      <c r="AZ5" s="204"/>
      <c r="BA5" s="216"/>
      <c r="BB5" s="217"/>
      <c r="BC5" s="217"/>
      <c r="BD5" s="217"/>
      <c r="BE5" s="21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54</v>
      </c>
      <c r="B7" s="49" t="s">
        <v>55</v>
      </c>
      <c r="C7" s="50"/>
      <c r="D7" s="51">
        <v>44237</v>
      </c>
      <c r="E7" s="52">
        <v>44244</v>
      </c>
      <c r="F7" s="52">
        <v>44252</v>
      </c>
      <c r="G7" s="52">
        <v>44256</v>
      </c>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56</v>
      </c>
      <c r="BB7" s="56" t="s">
        <v>57</v>
      </c>
      <c r="BC7" s="56" t="s">
        <v>58</v>
      </c>
      <c r="BD7" s="56" t="s">
        <v>59</v>
      </c>
      <c r="BE7" s="57" t="s">
        <v>60</v>
      </c>
    </row>
    <row r="8" spans="1:61" ht="12" customHeight="1" x14ac:dyDescent="0.3">
      <c r="A8" s="58">
        <v>1</v>
      </c>
      <c r="B8" s="59" t="str">
        <f>'C. FILIACION'!B8</f>
        <v>ALARCON CHURA PRISCILA</v>
      </c>
      <c r="C8" s="48"/>
      <c r="D8" s="60" t="s">
        <v>61</v>
      </c>
      <c r="E8" s="60" t="s">
        <v>62</v>
      </c>
      <c r="F8" s="60" t="s">
        <v>63</v>
      </c>
      <c r="G8" s="60" t="s">
        <v>62</v>
      </c>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2</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3">
      <c r="A9" s="58">
        <v>2</v>
      </c>
      <c r="B9" s="59" t="str">
        <f>'C. FILIACION'!B9</f>
        <v>ARCE CHOQUE LUCERO CORAL</v>
      </c>
      <c r="C9" s="48"/>
      <c r="D9" s="60" t="s">
        <v>61</v>
      </c>
      <c r="E9" s="60" t="s">
        <v>62</v>
      </c>
      <c r="F9" s="60" t="s">
        <v>63</v>
      </c>
      <c r="G9" s="60" t="s">
        <v>62</v>
      </c>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1</v>
      </c>
      <c r="BC9" s="48" t="str">
        <f t="shared" si="2"/>
        <v/>
      </c>
      <c r="BD9" s="48">
        <f t="shared" si="3"/>
        <v>1</v>
      </c>
      <c r="BE9" s="63">
        <f t="shared" si="4"/>
        <v>1</v>
      </c>
    </row>
    <row r="10" spans="1:61" ht="12" customHeight="1" x14ac:dyDescent="0.3">
      <c r="A10" s="58">
        <v>3</v>
      </c>
      <c r="B10" s="59" t="str">
        <f>'C. FILIACION'!B10</f>
        <v>AREQUIPA CALCINA FABIAN JHON</v>
      </c>
      <c r="C10" s="48"/>
      <c r="D10" s="60" t="s">
        <v>61</v>
      </c>
      <c r="E10" s="60" t="s">
        <v>62</v>
      </c>
      <c r="F10" s="60" t="s">
        <v>62</v>
      </c>
      <c r="G10" s="60" t="s">
        <v>62</v>
      </c>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t="str">
        <f t="shared" si="1"/>
        <v/>
      </c>
      <c r="BC10" s="48" t="str">
        <f t="shared" si="2"/>
        <v/>
      </c>
      <c r="BD10" s="48">
        <f t="shared" si="3"/>
        <v>1</v>
      </c>
      <c r="BE10" s="63">
        <f t="shared" si="4"/>
        <v>1</v>
      </c>
    </row>
    <row r="11" spans="1:61" ht="12" customHeight="1" x14ac:dyDescent="0.3">
      <c r="A11" s="58">
        <v>4</v>
      </c>
      <c r="B11" s="59" t="str">
        <f>'C. FILIACION'!B11</f>
        <v>CLAURE PARAVICINI RASHEL ROSALY</v>
      </c>
      <c r="C11" s="48"/>
      <c r="D11" s="60" t="s">
        <v>61</v>
      </c>
      <c r="E11" s="60" t="s">
        <v>62</v>
      </c>
      <c r="F11" s="60" t="s">
        <v>62</v>
      </c>
      <c r="G11" s="60" t="s">
        <v>62</v>
      </c>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f t="shared" si="3"/>
        <v>1</v>
      </c>
      <c r="BE11" s="63">
        <f t="shared" si="4"/>
        <v>1</v>
      </c>
    </row>
    <row r="12" spans="1:61" ht="12" customHeight="1" x14ac:dyDescent="0.3">
      <c r="A12" s="58">
        <v>5</v>
      </c>
      <c r="B12" s="59" t="str">
        <f>'C. FILIACION'!B12</f>
        <v>CONDORI FLORES ALEJANDRO BRYAN</v>
      </c>
      <c r="C12" s="48"/>
      <c r="D12" s="60" t="s">
        <v>61</v>
      </c>
      <c r="E12" s="60" t="s">
        <v>62</v>
      </c>
      <c r="F12" s="60" t="s">
        <v>62</v>
      </c>
      <c r="G12" s="60" t="s">
        <v>62</v>
      </c>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f t="shared" si="3"/>
        <v>1</v>
      </c>
      <c r="BE12" s="63">
        <f t="shared" si="4"/>
        <v>1</v>
      </c>
    </row>
    <row r="13" spans="1:61" ht="12" customHeight="1" x14ac:dyDescent="0.3">
      <c r="A13" s="58">
        <v>6</v>
      </c>
      <c r="B13" s="59" t="str">
        <f>'C. FILIACION'!B13</f>
        <v>DE LA CRUZ SANDOVAL JHON MARCO</v>
      </c>
      <c r="C13" s="48"/>
      <c r="D13" s="60" t="s">
        <v>61</v>
      </c>
      <c r="E13" s="60" t="s">
        <v>62</v>
      </c>
      <c r="F13" s="60" t="s">
        <v>62</v>
      </c>
      <c r="G13" s="60" t="s">
        <v>62</v>
      </c>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f t="shared" si="3"/>
        <v>1</v>
      </c>
      <c r="BE13" s="63">
        <f t="shared" si="4"/>
        <v>1</v>
      </c>
    </row>
    <row r="14" spans="1:61" ht="12" customHeight="1" x14ac:dyDescent="0.3">
      <c r="A14" s="58">
        <v>7</v>
      </c>
      <c r="B14" s="59" t="str">
        <f>'C. FILIACION'!B14</f>
        <v>GARCÍA IGNACIO MISHEL MAYA</v>
      </c>
      <c r="C14" s="48"/>
      <c r="D14" s="60" t="s">
        <v>61</v>
      </c>
      <c r="E14" s="60" t="s">
        <v>62</v>
      </c>
      <c r="F14" s="60" t="s">
        <v>62</v>
      </c>
      <c r="G14" s="60" t="s">
        <v>62</v>
      </c>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f t="shared" si="3"/>
        <v>1</v>
      </c>
      <c r="BE14" s="63">
        <f t="shared" si="4"/>
        <v>1</v>
      </c>
    </row>
    <row r="15" spans="1:61" ht="12" customHeight="1" x14ac:dyDescent="0.3">
      <c r="A15" s="58">
        <v>8</v>
      </c>
      <c r="B15" s="59" t="str">
        <f>'C. FILIACION'!B15</f>
        <v>HELGUERO SANCHEZ JHOYSI CAMIL</v>
      </c>
      <c r="C15" s="48"/>
      <c r="D15" s="60" t="s">
        <v>61</v>
      </c>
      <c r="E15" s="60" t="s">
        <v>62</v>
      </c>
      <c r="F15" s="60" t="s">
        <v>62</v>
      </c>
      <c r="G15" s="60" t="s">
        <v>62</v>
      </c>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f t="shared" si="3"/>
        <v>1</v>
      </c>
      <c r="BE15" s="63">
        <f t="shared" si="4"/>
        <v>1</v>
      </c>
    </row>
    <row r="16" spans="1:61" ht="12" customHeight="1" x14ac:dyDescent="0.3">
      <c r="A16" s="58">
        <v>9</v>
      </c>
      <c r="B16" s="59" t="str">
        <f>'C. FILIACION'!B16</f>
        <v>LEDEZMA ORELLANA RICARDO ERIK</v>
      </c>
      <c r="C16" s="48"/>
      <c r="D16" s="60" t="s">
        <v>61</v>
      </c>
      <c r="E16" s="60" t="s">
        <v>62</v>
      </c>
      <c r="F16" s="60" t="s">
        <v>63</v>
      </c>
      <c r="G16" s="60" t="s">
        <v>62</v>
      </c>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f t="shared" si="1"/>
        <v>1</v>
      </c>
      <c r="BC16" s="48" t="str">
        <f t="shared" si="2"/>
        <v/>
      </c>
      <c r="BD16" s="48">
        <f t="shared" si="3"/>
        <v>1</v>
      </c>
      <c r="BE16" s="63">
        <f t="shared" si="4"/>
        <v>1</v>
      </c>
    </row>
    <row r="17" spans="1:57" ht="12" customHeight="1" x14ac:dyDescent="0.3">
      <c r="A17" s="58">
        <v>10</v>
      </c>
      <c r="B17" s="59" t="str">
        <f>'C. FILIACION'!B17</f>
        <v>MAMANI LOPEZ ELIZABETH MILDRED</v>
      </c>
      <c r="C17" s="48"/>
      <c r="D17" s="60" t="s">
        <v>61</v>
      </c>
      <c r="E17" s="60" t="s">
        <v>62</v>
      </c>
      <c r="F17" s="60" t="s">
        <v>62</v>
      </c>
      <c r="G17" s="60" t="s">
        <v>62</v>
      </c>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f t="shared" si="3"/>
        <v>1</v>
      </c>
      <c r="BE17" s="63">
        <f t="shared" si="4"/>
        <v>1</v>
      </c>
    </row>
    <row r="18" spans="1:57" ht="12" customHeight="1" x14ac:dyDescent="0.3">
      <c r="A18" s="58">
        <v>11</v>
      </c>
      <c r="B18" s="59" t="str">
        <f>'C. FILIACION'!B18</f>
        <v>MEDINA CHOQUE JUAN JOSE</v>
      </c>
      <c r="C18" s="48"/>
      <c r="D18" s="60" t="s">
        <v>61</v>
      </c>
      <c r="E18" s="60" t="s">
        <v>62</v>
      </c>
      <c r="F18" s="60" t="s">
        <v>62</v>
      </c>
      <c r="G18" s="60" t="s">
        <v>62</v>
      </c>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f t="shared" si="3"/>
        <v>1</v>
      </c>
      <c r="BE18" s="63">
        <f t="shared" si="4"/>
        <v>1</v>
      </c>
    </row>
    <row r="19" spans="1:57" ht="12" customHeight="1" x14ac:dyDescent="0.3">
      <c r="A19" s="58">
        <v>12</v>
      </c>
      <c r="B19" s="59" t="str">
        <f>'C. FILIACION'!B19</f>
        <v>NINA RUEDA SEBASTIAN CARLOS</v>
      </c>
      <c r="C19" s="48"/>
      <c r="D19" s="60" t="s">
        <v>61</v>
      </c>
      <c r="E19" s="60" t="s">
        <v>62</v>
      </c>
      <c r="F19" s="60" t="s">
        <v>62</v>
      </c>
      <c r="G19" s="60" t="s">
        <v>62</v>
      </c>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f t="shared" si="3"/>
        <v>1</v>
      </c>
      <c r="BE19" s="63">
        <f t="shared" si="4"/>
        <v>1</v>
      </c>
    </row>
    <row r="20" spans="1:57" ht="12" customHeight="1" x14ac:dyDescent="0.3">
      <c r="A20" s="58">
        <v>13</v>
      </c>
      <c r="B20" s="59" t="str">
        <f>'C. FILIACION'!B20</f>
        <v>RODRIGUEZ RAMIREZ NATALY ARIANA</v>
      </c>
      <c r="C20" s="48"/>
      <c r="D20" s="60" t="s">
        <v>61</v>
      </c>
      <c r="E20" s="60" t="s">
        <v>62</v>
      </c>
      <c r="F20" s="60" t="s">
        <v>62</v>
      </c>
      <c r="G20" s="60" t="s">
        <v>62</v>
      </c>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f t="shared" si="3"/>
        <v>1</v>
      </c>
      <c r="BE20" s="63">
        <f t="shared" si="4"/>
        <v>1</v>
      </c>
    </row>
    <row r="21" spans="1:57" ht="12" customHeight="1" x14ac:dyDescent="0.3">
      <c r="A21" s="58">
        <v>14</v>
      </c>
      <c r="B21" s="59" t="str">
        <f>'C. FILIACION'!B21</f>
        <v>SALAZAR CANAZA CRISTINA MAYRA</v>
      </c>
      <c r="C21" s="48"/>
      <c r="D21" s="60" t="s">
        <v>61</v>
      </c>
      <c r="E21" s="60" t="s">
        <v>62</v>
      </c>
      <c r="F21" s="60" t="s">
        <v>63</v>
      </c>
      <c r="G21" s="60" t="s">
        <v>62</v>
      </c>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f t="shared" si="1"/>
        <v>1</v>
      </c>
      <c r="BC21" s="48" t="str">
        <f t="shared" si="2"/>
        <v/>
      </c>
      <c r="BD21" s="48">
        <f t="shared" si="3"/>
        <v>1</v>
      </c>
      <c r="BE21" s="63">
        <f t="shared" si="4"/>
        <v>1</v>
      </c>
    </row>
    <row r="22" spans="1:57" ht="12" customHeight="1" x14ac:dyDescent="0.3">
      <c r="A22" s="58">
        <v>15</v>
      </c>
      <c r="B22" s="59" t="str">
        <f>'C. FILIACION'!B22</f>
        <v>SEVILLANO BALTAZAR AGNESE</v>
      </c>
      <c r="C22" s="48"/>
      <c r="D22" s="60" t="s">
        <v>61</v>
      </c>
      <c r="E22" s="60" t="s">
        <v>62</v>
      </c>
      <c r="F22" s="60" t="s">
        <v>62</v>
      </c>
      <c r="G22" s="60" t="s">
        <v>62</v>
      </c>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3</v>
      </c>
      <c r="BB22" s="48" t="str">
        <f t="shared" si="1"/>
        <v/>
      </c>
      <c r="BC22" s="48" t="str">
        <f t="shared" si="2"/>
        <v/>
      </c>
      <c r="BD22" s="48">
        <f t="shared" si="3"/>
        <v>1</v>
      </c>
      <c r="BE22" s="63">
        <f t="shared" si="4"/>
        <v>1</v>
      </c>
    </row>
    <row r="23" spans="1:57" ht="12" customHeight="1" x14ac:dyDescent="0.3">
      <c r="A23" s="58">
        <v>16</v>
      </c>
      <c r="B23" s="59" t="str">
        <f>'C. FILIACION'!B23</f>
        <v>TOCONAS HUAYGUA VICTORIA FERNANDA</v>
      </c>
      <c r="C23" s="48"/>
      <c r="D23" s="60" t="s">
        <v>61</v>
      </c>
      <c r="E23" s="60" t="s">
        <v>62</v>
      </c>
      <c r="F23" s="60" t="s">
        <v>62</v>
      </c>
      <c r="G23" s="60" t="s">
        <v>62</v>
      </c>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f t="shared" si="3"/>
        <v>1</v>
      </c>
      <c r="BE23" s="63">
        <f t="shared" si="4"/>
        <v>1</v>
      </c>
    </row>
    <row r="24" spans="1:57" ht="12" customHeight="1" x14ac:dyDescent="0.3">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workbookViewId="0">
      <selection activeCell="C7" sqref="C7:F7"/>
    </sheetView>
  </sheetViews>
  <sheetFormatPr baseColWidth="10" defaultColWidth="9.25" defaultRowHeight="15" customHeight="1" x14ac:dyDescent="0.3"/>
  <cols>
    <col min="1" max="1" width="2.9140625" customWidth="1"/>
    <col min="2" max="2" width="20.6640625" customWidth="1"/>
    <col min="3" max="57" width="1.58203125" customWidth="1"/>
    <col min="58" max="61" width="1.6640625" customWidth="1"/>
  </cols>
  <sheetData>
    <row r="1" spans="1:61" ht="4.5" customHeight="1" x14ac:dyDescent="0.3"/>
    <row r="2" spans="1:61" ht="12.75" customHeight="1" x14ac:dyDescent="0.3">
      <c r="B2" s="208" t="s">
        <v>64</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9">
        <f>CARÁTULA!$H$19</f>
        <v>44326</v>
      </c>
      <c r="AU3" s="204"/>
      <c r="AV3" s="204"/>
      <c r="AW3" s="204"/>
      <c r="AX3" s="204"/>
      <c r="AY3" s="204"/>
      <c r="AZ3" s="204"/>
      <c r="BA3" s="210" t="s">
        <v>50</v>
      </c>
      <c r="BB3" s="211"/>
      <c r="BC3" s="211"/>
      <c r="BD3" s="211"/>
      <c r="BE3" s="21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9">
        <f>CARÁTULA!$J$19</f>
        <v>44439</v>
      </c>
      <c r="AU4" s="204"/>
      <c r="AV4" s="204"/>
      <c r="AW4" s="204"/>
      <c r="AX4" s="204"/>
      <c r="AY4" s="204"/>
      <c r="AZ4" s="204"/>
      <c r="BA4" s="221">
        <f ca="1">AT4-AT5</f>
        <v>21</v>
      </c>
      <c r="BB4" s="214"/>
      <c r="BC4" s="214"/>
      <c r="BD4" s="214"/>
      <c r="BE4" s="215"/>
    </row>
    <row r="5" spans="1:61" ht="12.75" customHeight="1" x14ac:dyDescent="0.3">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22">
        <f ca="1">TODAY()</f>
        <v>44418</v>
      </c>
      <c r="Y5" s="204"/>
      <c r="Z5" s="204"/>
      <c r="AA5" s="204"/>
      <c r="AB5" s="204"/>
      <c r="AC5" s="204"/>
      <c r="AD5" s="40"/>
      <c r="AE5" s="40"/>
      <c r="AF5" s="40"/>
      <c r="AG5" s="40"/>
      <c r="AH5" s="40"/>
      <c r="AI5" s="40"/>
      <c r="AJ5" s="40"/>
      <c r="AK5" s="45" t="s">
        <v>53</v>
      </c>
      <c r="AL5" s="46"/>
      <c r="AM5" s="46"/>
      <c r="AN5" s="46"/>
      <c r="AO5" s="46"/>
      <c r="AP5" s="46"/>
      <c r="AQ5" s="46"/>
      <c r="AR5" s="40"/>
      <c r="AS5" s="40"/>
      <c r="AT5" s="220">
        <f ca="1">TODAY()</f>
        <v>44418</v>
      </c>
      <c r="AU5" s="204"/>
      <c r="AV5" s="204"/>
      <c r="AW5" s="204"/>
      <c r="AX5" s="204"/>
      <c r="AY5" s="204"/>
      <c r="AZ5" s="204"/>
      <c r="BA5" s="216"/>
      <c r="BB5" s="217"/>
      <c r="BC5" s="217"/>
      <c r="BD5" s="217"/>
      <c r="BE5" s="218"/>
    </row>
    <row r="6" spans="1:61" ht="3" customHeight="1" thickBo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3">
      <c r="A7" s="176" t="s">
        <v>54</v>
      </c>
      <c r="B7" s="180" t="s">
        <v>55</v>
      </c>
      <c r="C7" s="181" t="s">
        <v>183</v>
      </c>
      <c r="D7" s="182" t="s">
        <v>184</v>
      </c>
      <c r="E7" s="181" t="s">
        <v>185</v>
      </c>
      <c r="F7" s="181" t="s">
        <v>186</v>
      </c>
      <c r="G7" s="183" t="s">
        <v>187</v>
      </c>
      <c r="H7" s="183" t="s">
        <v>195</v>
      </c>
      <c r="I7" s="183" t="s">
        <v>188</v>
      </c>
      <c r="J7" s="183" t="s">
        <v>189</v>
      </c>
      <c r="K7" s="183" t="s">
        <v>190</v>
      </c>
      <c r="L7" t="s">
        <v>196</v>
      </c>
      <c r="M7" s="184" t="s">
        <v>164</v>
      </c>
      <c r="N7" t="s">
        <v>197</v>
      </c>
      <c r="O7" s="184" t="s">
        <v>198</v>
      </c>
      <c r="P7" s="184" t="s">
        <v>199</v>
      </c>
      <c r="Q7" s="184" t="s">
        <v>200</v>
      </c>
      <c r="R7" s="184" t="s">
        <v>201</v>
      </c>
      <c r="S7" s="184" t="s">
        <v>202</v>
      </c>
      <c r="T7" s="184" t="s">
        <v>203</v>
      </c>
      <c r="U7" s="184" t="s">
        <v>204</v>
      </c>
      <c r="V7" s="184" t="s">
        <v>205</v>
      </c>
      <c r="W7" s="184" t="s">
        <v>206</v>
      </c>
      <c r="X7" s="184" t="s">
        <v>207</v>
      </c>
      <c r="Y7" s="184" t="s">
        <v>208</v>
      </c>
      <c r="Z7" s="184" t="s">
        <v>209</v>
      </c>
      <c r="AA7" s="184" t="s">
        <v>210</v>
      </c>
      <c r="AB7" s="184" t="s">
        <v>211</v>
      </c>
      <c r="AC7" s="184" t="s">
        <v>212</v>
      </c>
      <c r="AD7" s="184" t="s">
        <v>213</v>
      </c>
      <c r="AE7" s="184" t="s">
        <v>214</v>
      </c>
      <c r="AF7" s="184" t="s">
        <v>215</v>
      </c>
      <c r="AG7" s="184" t="s">
        <v>216</v>
      </c>
      <c r="AH7" s="184" t="s">
        <v>217</v>
      </c>
      <c r="AI7" s="184" t="s">
        <v>218</v>
      </c>
      <c r="AJ7" s="184" t="s">
        <v>219</v>
      </c>
      <c r="AK7" s="184" t="s">
        <v>220</v>
      </c>
      <c r="AL7" s="184" t="s">
        <v>221</v>
      </c>
      <c r="AM7" s="184" t="s">
        <v>222</v>
      </c>
      <c r="AN7" s="184" t="s">
        <v>223</v>
      </c>
      <c r="AO7" s="184" t="s">
        <v>224</v>
      </c>
      <c r="AP7" s="184" t="s">
        <v>225</v>
      </c>
      <c r="AQ7" s="184" t="s">
        <v>226</v>
      </c>
      <c r="AR7" s="184" t="s">
        <v>227</v>
      </c>
      <c r="AS7" s="184" t="s">
        <v>228</v>
      </c>
      <c r="AT7" s="184" t="s">
        <v>229</v>
      </c>
      <c r="AU7" s="184" t="s">
        <v>230</v>
      </c>
      <c r="AV7" s="184" t="s">
        <v>231</v>
      </c>
      <c r="AW7" s="184" t="s">
        <v>232</v>
      </c>
      <c r="AX7" s="184" t="s">
        <v>233</v>
      </c>
      <c r="AY7" s="184" t="s">
        <v>234</v>
      </c>
      <c r="AZ7" s="185" t="s">
        <v>235</v>
      </c>
      <c r="BA7" s="186" t="s">
        <v>191</v>
      </c>
      <c r="BB7" s="187" t="s">
        <v>192</v>
      </c>
      <c r="BC7" s="187" t="s">
        <v>193</v>
      </c>
      <c r="BD7" s="187" t="s">
        <v>194</v>
      </c>
      <c r="BE7" s="188" t="s">
        <v>60</v>
      </c>
    </row>
    <row r="8" spans="1:61" ht="12" customHeight="1" x14ac:dyDescent="0.3">
      <c r="A8" s="179">
        <v>1</v>
      </c>
      <c r="B8" s="155" t="str">
        <f>'C. FILIACION'!B8</f>
        <v>ALARCON CHURA PRISCILA</v>
      </c>
      <c r="C8" s="170" t="s">
        <v>63</v>
      </c>
      <c r="D8" s="173" t="s">
        <v>63</v>
      </c>
      <c r="E8" s="171" t="s">
        <v>62</v>
      </c>
      <c r="F8" s="156" t="s">
        <v>62</v>
      </c>
      <c r="G8" s="157" t="s">
        <v>63</v>
      </c>
      <c r="H8" s="157" t="s">
        <v>62</v>
      </c>
      <c r="I8" s="48" t="s">
        <v>63</v>
      </c>
      <c r="J8" s="48" t="s">
        <v>62</v>
      </c>
      <c r="K8" s="48" t="s">
        <v>62</v>
      </c>
      <c r="M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9"/>
      <c r="BA8" s="62">
        <f t="shared" ref="BA8:BA43" si="0">IF(COUNTIF(C8:AZ8,"A")=0,"",COUNTIF(C8:AZ8,"A"))</f>
        <v>5</v>
      </c>
      <c r="BB8" s="48">
        <f>IF(COUNTIF(C8:AZ8,"F")=0,"0",COUNTIF(C8:AZ8,"F"))</f>
        <v>4</v>
      </c>
      <c r="BC8" s="48" t="str">
        <f>IF(COUNTIF(C8:AZ8,"R")=0,"0",COUNTIF(C8:AZ8,"R"))</f>
        <v>0</v>
      </c>
      <c r="BD8" s="48" t="str">
        <f>IF(COUNTIF(C8:AZ8,"L")=0,"0",COUNTIF(C8:AZ8,"L"))</f>
        <v>0</v>
      </c>
      <c r="BE8" s="160">
        <f>BA8+BB8+BC8+BD8</f>
        <v>9</v>
      </c>
    </row>
    <row r="9" spans="1:61" ht="12" customHeight="1" x14ac:dyDescent="0.3">
      <c r="A9" s="179">
        <v>2</v>
      </c>
      <c r="B9" s="59" t="str">
        <f>'C. FILIACION'!B9</f>
        <v>ARCE CHOQUE LUCERO CORAL</v>
      </c>
      <c r="C9" s="175" t="s">
        <v>63</v>
      </c>
      <c r="D9" s="174" t="s">
        <v>63</v>
      </c>
      <c r="E9" s="176" t="s">
        <v>62</v>
      </c>
      <c r="F9" s="159" t="s">
        <v>62</v>
      </c>
      <c r="G9" s="159" t="s">
        <v>62</v>
      </c>
      <c r="H9" s="48" t="s">
        <v>63</v>
      </c>
      <c r="I9" s="48" t="s">
        <v>63</v>
      </c>
      <c r="J9" s="68" t="s">
        <v>63</v>
      </c>
      <c r="K9" s="48" t="s">
        <v>62</v>
      </c>
      <c r="M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4</v>
      </c>
      <c r="BB9" s="48">
        <f t="shared" ref="BB9:BB23" si="1">IF(COUNTIF(C9:AZ9,"F")=0,"0",COUNTIF(C9:AZ9,"F"))</f>
        <v>5</v>
      </c>
      <c r="BC9" s="48" t="str">
        <f t="shared" ref="BC9:BC23" si="2">IF(COUNTIF(C9:AZ9,"R")=0,"0",COUNTIF(C9:AZ9,"R"))</f>
        <v>0</v>
      </c>
      <c r="BD9" s="48" t="str">
        <f t="shared" ref="BD9:BD23" si="3">IF(COUNTIF(C9:AZ9,"L")=0,"0",COUNTIF(C9:AZ9,"L"))</f>
        <v>0</v>
      </c>
      <c r="BE9" s="160">
        <f t="shared" ref="BE9:BE23" si="4">BA9+BB9+BC9+BD9</f>
        <v>9</v>
      </c>
    </row>
    <row r="10" spans="1:61" ht="12" customHeight="1" x14ac:dyDescent="0.3">
      <c r="A10" s="179">
        <v>3</v>
      </c>
      <c r="B10" s="59" t="str">
        <f>'C. FILIACION'!B10</f>
        <v>AREQUIPA CALCINA FABIAN JHON</v>
      </c>
      <c r="C10" s="175" t="s">
        <v>62</v>
      </c>
      <c r="D10" s="174" t="s">
        <v>62</v>
      </c>
      <c r="E10" s="177" t="s">
        <v>63</v>
      </c>
      <c r="F10" s="178" t="s">
        <v>63</v>
      </c>
      <c r="G10" s="68" t="s">
        <v>163</v>
      </c>
      <c r="H10" s="68" t="s">
        <v>63</v>
      </c>
      <c r="I10" s="68" t="s">
        <v>62</v>
      </c>
      <c r="J10" s="68" t="s">
        <v>62</v>
      </c>
      <c r="K10" s="68" t="s">
        <v>163</v>
      </c>
      <c r="M10" s="68"/>
      <c r="O10" s="68"/>
      <c r="P10" s="68"/>
      <c r="Q10" s="6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4</v>
      </c>
      <c r="BB10" s="48">
        <f t="shared" si="1"/>
        <v>3</v>
      </c>
      <c r="BC10" s="48">
        <f t="shared" si="2"/>
        <v>2</v>
      </c>
      <c r="BD10" s="48" t="str">
        <f t="shared" si="3"/>
        <v>0</v>
      </c>
      <c r="BE10" s="160">
        <f t="shared" si="4"/>
        <v>9</v>
      </c>
    </row>
    <row r="11" spans="1:61" ht="12" customHeight="1" x14ac:dyDescent="0.3">
      <c r="A11" s="179">
        <v>4</v>
      </c>
      <c r="B11" s="59" t="str">
        <f>'C. FILIACION'!B11</f>
        <v>CLAURE PARAVICINI RASHEL ROSALY</v>
      </c>
      <c r="C11" s="175" t="s">
        <v>62</v>
      </c>
      <c r="D11" s="174" t="s">
        <v>62</v>
      </c>
      <c r="E11" s="176" t="s">
        <v>63</v>
      </c>
      <c r="F11" s="159" t="s">
        <v>63</v>
      </c>
      <c r="G11" s="159" t="s">
        <v>62</v>
      </c>
      <c r="H11" s="48" t="s">
        <v>63</v>
      </c>
      <c r="I11" s="48" t="s">
        <v>63</v>
      </c>
      <c r="J11" s="48" t="s">
        <v>63</v>
      </c>
      <c r="K11" s="48" t="s">
        <v>62</v>
      </c>
      <c r="M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4</v>
      </c>
      <c r="BB11" s="48">
        <f t="shared" si="1"/>
        <v>5</v>
      </c>
      <c r="BC11" s="48" t="str">
        <f t="shared" si="2"/>
        <v>0</v>
      </c>
      <c r="BD11" s="48" t="str">
        <f t="shared" si="3"/>
        <v>0</v>
      </c>
      <c r="BE11" s="160">
        <f t="shared" si="4"/>
        <v>9</v>
      </c>
    </row>
    <row r="12" spans="1:61" ht="12" customHeight="1" x14ac:dyDescent="0.3">
      <c r="A12" s="179">
        <v>5</v>
      </c>
      <c r="B12" s="59" t="str">
        <f>'C. FILIACION'!B12</f>
        <v>CONDORI FLORES ALEJANDRO BRYAN</v>
      </c>
      <c r="C12" s="175" t="s">
        <v>62</v>
      </c>
      <c r="D12" s="174" t="s">
        <v>62</v>
      </c>
      <c r="E12" s="176" t="s">
        <v>62</v>
      </c>
      <c r="F12" s="159" t="s">
        <v>62</v>
      </c>
      <c r="G12" s="159" t="s">
        <v>62</v>
      </c>
      <c r="H12" s="48" t="s">
        <v>62</v>
      </c>
      <c r="I12" s="48" t="s">
        <v>62</v>
      </c>
      <c r="J12" s="48" t="s">
        <v>62</v>
      </c>
      <c r="K12" s="48" t="s">
        <v>62</v>
      </c>
      <c r="M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9</v>
      </c>
      <c r="BB12" s="48" t="str">
        <f t="shared" si="1"/>
        <v>0</v>
      </c>
      <c r="BC12" s="48" t="str">
        <f t="shared" si="2"/>
        <v>0</v>
      </c>
      <c r="BD12" s="48" t="str">
        <f t="shared" si="3"/>
        <v>0</v>
      </c>
      <c r="BE12" s="160">
        <f t="shared" si="4"/>
        <v>9</v>
      </c>
    </row>
    <row r="13" spans="1:61" ht="12" customHeight="1" x14ac:dyDescent="0.3">
      <c r="A13" s="179">
        <v>6</v>
      </c>
      <c r="B13" s="59" t="str">
        <f>'C. FILIACION'!B13</f>
        <v>DE LA CRUZ SANDOVAL JHON MARCO</v>
      </c>
      <c r="C13" s="175" t="s">
        <v>62</v>
      </c>
      <c r="D13" s="174" t="s">
        <v>62</v>
      </c>
      <c r="E13" s="176" t="s">
        <v>62</v>
      </c>
      <c r="F13" s="159" t="s">
        <v>62</v>
      </c>
      <c r="G13" s="48" t="s">
        <v>62</v>
      </c>
      <c r="H13" s="48" t="s">
        <v>62</v>
      </c>
      <c r="I13" s="48" t="s">
        <v>62</v>
      </c>
      <c r="J13" s="48" t="s">
        <v>62</v>
      </c>
      <c r="K13" s="48" t="s">
        <v>62</v>
      </c>
      <c r="M13" s="48"/>
      <c r="O13" s="48">
        <v>35</v>
      </c>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9</v>
      </c>
      <c r="BB13" s="48" t="str">
        <f t="shared" si="1"/>
        <v>0</v>
      </c>
      <c r="BC13" s="48" t="str">
        <f t="shared" si="2"/>
        <v>0</v>
      </c>
      <c r="BD13" s="48" t="str">
        <f t="shared" si="3"/>
        <v>0</v>
      </c>
      <c r="BE13" s="160">
        <f t="shared" si="4"/>
        <v>9</v>
      </c>
    </row>
    <row r="14" spans="1:61" ht="12" customHeight="1" x14ac:dyDescent="0.3">
      <c r="A14" s="179">
        <v>7</v>
      </c>
      <c r="B14" s="59" t="str">
        <f>'C. FILIACION'!B14</f>
        <v>GARCÍA IGNACIO MISHEL MAYA</v>
      </c>
      <c r="C14" s="175" t="s">
        <v>62</v>
      </c>
      <c r="D14" s="174" t="s">
        <v>62</v>
      </c>
      <c r="E14" s="176" t="s">
        <v>62</v>
      </c>
      <c r="F14" s="159" t="s">
        <v>62</v>
      </c>
      <c r="G14" s="48" t="s">
        <v>62</v>
      </c>
      <c r="H14" s="48" t="s">
        <v>62</v>
      </c>
      <c r="I14" s="48" t="s">
        <v>62</v>
      </c>
      <c r="J14" s="48" t="s">
        <v>62</v>
      </c>
      <c r="K14" s="48" t="s">
        <v>62</v>
      </c>
      <c r="M14" s="48"/>
      <c r="O14" s="48">
        <v>35</v>
      </c>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9</v>
      </c>
      <c r="BB14" s="48" t="str">
        <f t="shared" si="1"/>
        <v>0</v>
      </c>
      <c r="BC14" s="48" t="str">
        <f t="shared" si="2"/>
        <v>0</v>
      </c>
      <c r="BD14" s="48" t="str">
        <f t="shared" si="3"/>
        <v>0</v>
      </c>
      <c r="BE14" s="160">
        <f t="shared" si="4"/>
        <v>9</v>
      </c>
    </row>
    <row r="15" spans="1:61" ht="12" customHeight="1" x14ac:dyDescent="0.3">
      <c r="A15" s="179">
        <v>8</v>
      </c>
      <c r="B15" s="59" t="str">
        <f>'C. FILIACION'!B15</f>
        <v>HELGUERO SANCHEZ JHOYSI CAMIL</v>
      </c>
      <c r="C15" s="175" t="s">
        <v>62</v>
      </c>
      <c r="D15" s="174" t="s">
        <v>62</v>
      </c>
      <c r="E15" s="176" t="s">
        <v>62</v>
      </c>
      <c r="F15" s="159" t="s">
        <v>62</v>
      </c>
      <c r="G15" s="159" t="s">
        <v>62</v>
      </c>
      <c r="H15" s="159" t="s">
        <v>62</v>
      </c>
      <c r="I15" s="48" t="s">
        <v>62</v>
      </c>
      <c r="J15" s="48" t="s">
        <v>62</v>
      </c>
      <c r="K15" s="48" t="s">
        <v>62</v>
      </c>
      <c r="M15" s="48">
        <v>35</v>
      </c>
      <c r="O15" s="48">
        <v>30</v>
      </c>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9</v>
      </c>
      <c r="BB15" s="48" t="str">
        <f t="shared" si="1"/>
        <v>0</v>
      </c>
      <c r="BC15" s="48" t="str">
        <f t="shared" si="2"/>
        <v>0</v>
      </c>
      <c r="BD15" s="48" t="str">
        <f t="shared" si="3"/>
        <v>0</v>
      </c>
      <c r="BE15" s="160">
        <f t="shared" si="4"/>
        <v>9</v>
      </c>
    </row>
    <row r="16" spans="1:61" ht="12" customHeight="1" x14ac:dyDescent="0.3">
      <c r="A16" s="179">
        <v>9</v>
      </c>
      <c r="B16" s="59" t="str">
        <f>'C. FILIACION'!B16</f>
        <v>LEDEZMA ORELLANA RICARDO ERIK</v>
      </c>
      <c r="C16" s="175" t="s">
        <v>62</v>
      </c>
      <c r="D16" s="174" t="s">
        <v>62</v>
      </c>
      <c r="E16" s="176" t="s">
        <v>62</v>
      </c>
      <c r="F16" s="159" t="s">
        <v>62</v>
      </c>
      <c r="G16" s="48" t="s">
        <v>62</v>
      </c>
      <c r="H16" s="48" t="s">
        <v>62</v>
      </c>
      <c r="I16" s="48" t="s">
        <v>62</v>
      </c>
      <c r="J16" s="48" t="s">
        <v>62</v>
      </c>
      <c r="K16" s="48" t="s">
        <v>62</v>
      </c>
      <c r="M16" s="48"/>
      <c r="O16" s="48">
        <v>35</v>
      </c>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9</v>
      </c>
      <c r="BB16" s="48" t="str">
        <f t="shared" si="1"/>
        <v>0</v>
      </c>
      <c r="BC16" s="48" t="str">
        <f t="shared" si="2"/>
        <v>0</v>
      </c>
      <c r="BD16" s="48" t="str">
        <f t="shared" si="3"/>
        <v>0</v>
      </c>
      <c r="BE16" s="160">
        <f t="shared" si="4"/>
        <v>9</v>
      </c>
    </row>
    <row r="17" spans="1:57" ht="12" customHeight="1" x14ac:dyDescent="0.3">
      <c r="A17" s="179">
        <v>10</v>
      </c>
      <c r="B17" s="59" t="str">
        <f>'C. FILIACION'!B17</f>
        <v>MAMANI LOPEZ ELIZABETH MILDRED</v>
      </c>
      <c r="C17" s="175" t="s">
        <v>62</v>
      </c>
      <c r="D17" s="174" t="s">
        <v>63</v>
      </c>
      <c r="E17" s="176" t="s">
        <v>63</v>
      </c>
      <c r="F17" s="159" t="s">
        <v>62</v>
      </c>
      <c r="G17" s="159" t="s">
        <v>63</v>
      </c>
      <c r="H17" s="48" t="s">
        <v>63</v>
      </c>
      <c r="I17" s="48" t="s">
        <v>63</v>
      </c>
      <c r="J17" s="48" t="s">
        <v>63</v>
      </c>
      <c r="K17" s="48" t="s">
        <v>62</v>
      </c>
      <c r="M17" s="48"/>
      <c r="O17" s="48">
        <v>30</v>
      </c>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f t="shared" si="1"/>
        <v>6</v>
      </c>
      <c r="BC17" s="48" t="str">
        <f t="shared" si="2"/>
        <v>0</v>
      </c>
      <c r="BD17" s="48" t="str">
        <f t="shared" si="3"/>
        <v>0</v>
      </c>
      <c r="BE17" s="160">
        <f t="shared" si="4"/>
        <v>9</v>
      </c>
    </row>
    <row r="18" spans="1:57" ht="12" customHeight="1" x14ac:dyDescent="0.3">
      <c r="A18" s="179">
        <v>11</v>
      </c>
      <c r="B18" s="59" t="str">
        <f>'C. FILIACION'!B18</f>
        <v>MEDINA CHOQUE JUAN JOSE</v>
      </c>
      <c r="C18" s="175" t="s">
        <v>62</v>
      </c>
      <c r="D18" s="174" t="s">
        <v>62</v>
      </c>
      <c r="E18" s="176" t="s">
        <v>63</v>
      </c>
      <c r="F18" s="159" t="s">
        <v>62</v>
      </c>
      <c r="G18" s="159" t="s">
        <v>63</v>
      </c>
      <c r="H18" s="48" t="s">
        <v>63</v>
      </c>
      <c r="I18" s="48" t="s">
        <v>63</v>
      </c>
      <c r="J18" s="48" t="s">
        <v>63</v>
      </c>
      <c r="K18" s="48" t="s">
        <v>63</v>
      </c>
      <c r="M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f t="shared" si="1"/>
        <v>6</v>
      </c>
      <c r="BC18" s="48" t="str">
        <f t="shared" si="2"/>
        <v>0</v>
      </c>
      <c r="BD18" s="48" t="str">
        <f t="shared" si="3"/>
        <v>0</v>
      </c>
      <c r="BE18" s="160">
        <f t="shared" si="4"/>
        <v>9</v>
      </c>
    </row>
    <row r="19" spans="1:57" ht="12" customHeight="1" x14ac:dyDescent="0.3">
      <c r="A19" s="179">
        <v>12</v>
      </c>
      <c r="B19" s="59" t="str">
        <f>'C. FILIACION'!B19</f>
        <v>NINA RUEDA SEBASTIAN CARLOS</v>
      </c>
      <c r="C19" s="175" t="s">
        <v>62</v>
      </c>
      <c r="D19" s="174" t="s">
        <v>62</v>
      </c>
      <c r="E19" s="176" t="s">
        <v>62</v>
      </c>
      <c r="F19" s="159" t="s">
        <v>62</v>
      </c>
      <c r="G19" s="48" t="s">
        <v>163</v>
      </c>
      <c r="H19" s="48" t="s">
        <v>62</v>
      </c>
      <c r="I19" s="48" t="s">
        <v>62</v>
      </c>
      <c r="J19" s="48" t="s">
        <v>62</v>
      </c>
      <c r="K19" s="48" t="s">
        <v>62</v>
      </c>
      <c r="M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8</v>
      </c>
      <c r="BB19" s="48" t="str">
        <f t="shared" si="1"/>
        <v>0</v>
      </c>
      <c r="BC19" s="48">
        <f t="shared" si="2"/>
        <v>1</v>
      </c>
      <c r="BD19" s="48" t="str">
        <f t="shared" si="3"/>
        <v>0</v>
      </c>
      <c r="BE19" s="160">
        <f t="shared" si="4"/>
        <v>9</v>
      </c>
    </row>
    <row r="20" spans="1:57" ht="12" customHeight="1" x14ac:dyDescent="0.3">
      <c r="A20" s="179">
        <v>13</v>
      </c>
      <c r="B20" s="59" t="str">
        <f>'C. FILIACION'!B20</f>
        <v>RODRIGUEZ RAMIREZ NATALY ARIANA</v>
      </c>
      <c r="C20" s="175" t="s">
        <v>62</v>
      </c>
      <c r="D20" s="174" t="s">
        <v>62</v>
      </c>
      <c r="E20" s="176" t="s">
        <v>62</v>
      </c>
      <c r="F20" s="159" t="s">
        <v>62</v>
      </c>
      <c r="G20" s="159" t="s">
        <v>62</v>
      </c>
      <c r="H20" s="48" t="s">
        <v>62</v>
      </c>
      <c r="I20" s="48" t="s">
        <v>62</v>
      </c>
      <c r="J20" s="48" t="s">
        <v>62</v>
      </c>
      <c r="K20" s="48" t="s">
        <v>163</v>
      </c>
      <c r="M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8</v>
      </c>
      <c r="BB20" s="48" t="str">
        <f t="shared" si="1"/>
        <v>0</v>
      </c>
      <c r="BC20" s="48">
        <f t="shared" si="2"/>
        <v>1</v>
      </c>
      <c r="BD20" s="48" t="str">
        <f t="shared" si="3"/>
        <v>0</v>
      </c>
      <c r="BE20" s="160">
        <f t="shared" si="4"/>
        <v>9</v>
      </c>
    </row>
    <row r="21" spans="1:57" ht="12" customHeight="1" x14ac:dyDescent="0.3">
      <c r="A21" s="179">
        <v>14</v>
      </c>
      <c r="B21" s="59" t="str">
        <f>'C. FILIACION'!B21</f>
        <v>SALAZAR CANAZA CRISTINA MAYRA</v>
      </c>
      <c r="C21" s="175" t="s">
        <v>62</v>
      </c>
      <c r="D21" s="174" t="s">
        <v>62</v>
      </c>
      <c r="E21" s="176" t="s">
        <v>62</v>
      </c>
      <c r="F21" s="159" t="s">
        <v>63</v>
      </c>
      <c r="G21" s="48" t="s">
        <v>62</v>
      </c>
      <c r="H21" s="48" t="s">
        <v>62</v>
      </c>
      <c r="I21" s="48" t="s">
        <v>63</v>
      </c>
      <c r="J21" s="48" t="s">
        <v>63</v>
      </c>
      <c r="K21" s="48" t="s">
        <v>62</v>
      </c>
      <c r="M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6</v>
      </c>
      <c r="BB21" s="48">
        <f t="shared" si="1"/>
        <v>3</v>
      </c>
      <c r="BC21" s="48" t="str">
        <f t="shared" si="2"/>
        <v>0</v>
      </c>
      <c r="BD21" s="48" t="str">
        <f t="shared" si="3"/>
        <v>0</v>
      </c>
      <c r="BE21" s="160">
        <f t="shared" si="4"/>
        <v>9</v>
      </c>
    </row>
    <row r="22" spans="1:57" ht="12" customHeight="1" x14ac:dyDescent="0.3">
      <c r="A22" s="179">
        <v>15</v>
      </c>
      <c r="B22" s="59" t="str">
        <f>'C. FILIACION'!B22</f>
        <v>SEVILLANO BALTAZAR AGNESE</v>
      </c>
      <c r="C22" s="175" t="s">
        <v>62</v>
      </c>
      <c r="D22" s="174" t="s">
        <v>62</v>
      </c>
      <c r="E22" s="176" t="s">
        <v>62</v>
      </c>
      <c r="F22" s="159" t="s">
        <v>62</v>
      </c>
      <c r="G22" s="48" t="s">
        <v>62</v>
      </c>
      <c r="H22" s="48" t="s">
        <v>62</v>
      </c>
      <c r="I22" s="48" t="s">
        <v>62</v>
      </c>
      <c r="J22" s="48" t="s">
        <v>62</v>
      </c>
      <c r="K22" s="48" t="s">
        <v>62</v>
      </c>
      <c r="M22" s="48"/>
      <c r="O22" s="48">
        <v>35</v>
      </c>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9</v>
      </c>
      <c r="BB22" s="48" t="str">
        <f t="shared" si="1"/>
        <v>0</v>
      </c>
      <c r="BC22" s="48" t="str">
        <f t="shared" si="2"/>
        <v>0</v>
      </c>
      <c r="BD22" s="48" t="str">
        <f t="shared" si="3"/>
        <v>0</v>
      </c>
      <c r="BE22" s="160">
        <f t="shared" si="4"/>
        <v>9</v>
      </c>
    </row>
    <row r="23" spans="1:57" ht="12" customHeight="1" x14ac:dyDescent="0.3">
      <c r="A23" s="179">
        <v>16</v>
      </c>
      <c r="B23" s="59" t="str">
        <f>'C. FILIACION'!B23</f>
        <v>TOCONAS HUAYGUA VICTORIA FERNANDA</v>
      </c>
      <c r="C23" s="175" t="s">
        <v>62</v>
      </c>
      <c r="D23" s="174" t="s">
        <v>62</v>
      </c>
      <c r="E23" s="176" t="s">
        <v>62</v>
      </c>
      <c r="F23" s="159" t="s">
        <v>62</v>
      </c>
      <c r="G23" s="48" t="s">
        <v>62</v>
      </c>
      <c r="H23" s="159" t="s">
        <v>62</v>
      </c>
      <c r="I23" s="48" t="s">
        <v>62</v>
      </c>
      <c r="J23" s="48" t="s">
        <v>62</v>
      </c>
      <c r="K23" s="48" t="s">
        <v>62</v>
      </c>
      <c r="M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9</v>
      </c>
      <c r="BB23" s="48" t="str">
        <f t="shared" si="1"/>
        <v>0</v>
      </c>
      <c r="BC23" s="48" t="str">
        <f t="shared" si="2"/>
        <v>0</v>
      </c>
      <c r="BD23" s="48" t="str">
        <f t="shared" si="3"/>
        <v>0</v>
      </c>
      <c r="BE23" s="160">
        <f t="shared" si="4"/>
        <v>9</v>
      </c>
    </row>
    <row r="24" spans="1:57" ht="12" customHeight="1" x14ac:dyDescent="0.3">
      <c r="A24" s="58">
        <v>17</v>
      </c>
      <c r="B24" s="59">
        <f>'C. FILIACION'!B24</f>
        <v>0</v>
      </c>
      <c r="C24" s="48"/>
      <c r="D24" s="172"/>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ref="BB24:BB43" si="5">IF(COUNTIF(C24:AZ24,"F")=0,"",COUNTIF(C24:AZ24,"F"))</f>
        <v/>
      </c>
      <c r="BC24" s="48" t="str">
        <f t="shared" ref="BC24:BC43" si="6">IF(COUNTIF(C24:AZ24,"R")=0,"",COUNTIF(C24:AZ24,"R"))</f>
        <v/>
      </c>
      <c r="BD24" s="48" t="str">
        <f t="shared" ref="BD24:BD43" si="7">IF(COUNTIF(C24:AZ24,"L")=0,"",COUNTIF(C24:AZ24,"L"))</f>
        <v/>
      </c>
      <c r="BE24" s="63" t="str">
        <f t="shared" ref="BE24:BE43" si="8">IF(COUNTIF(C24:AZ24,"L")=0,"",COUNTIF(C24:AZ24,"L"))</f>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5"/>
        <v/>
      </c>
      <c r="BC25" s="48" t="str">
        <f t="shared" si="6"/>
        <v/>
      </c>
      <c r="BD25" s="48" t="str">
        <f t="shared" si="7"/>
        <v/>
      </c>
      <c r="BE25" s="63" t="str">
        <f t="shared" si="8"/>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5"/>
        <v/>
      </c>
      <c r="BC26" s="48" t="str">
        <f t="shared" si="6"/>
        <v/>
      </c>
      <c r="BD26" s="48" t="str">
        <f t="shared" si="7"/>
        <v/>
      </c>
      <c r="BE26" s="63" t="str">
        <f t="shared" si="8"/>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5"/>
        <v/>
      </c>
      <c r="BC27" s="48" t="str">
        <f t="shared" si="6"/>
        <v/>
      </c>
      <c r="BD27" s="48" t="str">
        <f t="shared" si="7"/>
        <v/>
      </c>
      <c r="BE27" s="63" t="str">
        <f t="shared" si="8"/>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5"/>
        <v/>
      </c>
      <c r="BC28" s="48" t="str">
        <f t="shared" si="6"/>
        <v/>
      </c>
      <c r="BD28" s="48" t="str">
        <f t="shared" si="7"/>
        <v/>
      </c>
      <c r="BE28" s="63" t="str">
        <f t="shared" si="8"/>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5"/>
        <v/>
      </c>
      <c r="BC29" s="48" t="str">
        <f t="shared" si="6"/>
        <v/>
      </c>
      <c r="BD29" s="48" t="str">
        <f t="shared" si="7"/>
        <v/>
      </c>
      <c r="BE29" s="63" t="str">
        <f t="shared" si="8"/>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5"/>
        <v/>
      </c>
      <c r="BC30" s="48" t="str">
        <f t="shared" si="6"/>
        <v/>
      </c>
      <c r="BD30" s="48" t="str">
        <f t="shared" si="7"/>
        <v/>
      </c>
      <c r="BE30" s="63" t="str">
        <f t="shared" si="8"/>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5"/>
        <v/>
      </c>
      <c r="BC31" s="48" t="str">
        <f t="shared" si="6"/>
        <v/>
      </c>
      <c r="BD31" s="48" t="str">
        <f t="shared" si="7"/>
        <v/>
      </c>
      <c r="BE31" s="63" t="str">
        <f t="shared" si="8"/>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5"/>
        <v/>
      </c>
      <c r="BC32" s="48" t="str">
        <f t="shared" si="6"/>
        <v/>
      </c>
      <c r="BD32" s="48" t="str">
        <f t="shared" si="7"/>
        <v/>
      </c>
      <c r="BE32" s="63" t="str">
        <f t="shared" si="8"/>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5"/>
        <v/>
      </c>
      <c r="BC33" s="48" t="str">
        <f t="shared" si="6"/>
        <v/>
      </c>
      <c r="BD33" s="48" t="str">
        <f t="shared" si="7"/>
        <v/>
      </c>
      <c r="BE33" s="63" t="str">
        <f t="shared" si="8"/>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5"/>
        <v/>
      </c>
      <c r="BC34" s="48" t="str">
        <f t="shared" si="6"/>
        <v/>
      </c>
      <c r="BD34" s="48" t="str">
        <f t="shared" si="7"/>
        <v/>
      </c>
      <c r="BE34" s="63" t="str">
        <f t="shared" si="8"/>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5"/>
        <v/>
      </c>
      <c r="BC35" s="48" t="str">
        <f t="shared" si="6"/>
        <v/>
      </c>
      <c r="BD35" s="48" t="str">
        <f t="shared" si="7"/>
        <v/>
      </c>
      <c r="BE35" s="63" t="str">
        <f t="shared" si="8"/>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5"/>
        <v/>
      </c>
      <c r="BC36" s="48" t="str">
        <f t="shared" si="6"/>
        <v/>
      </c>
      <c r="BD36" s="48" t="str">
        <f t="shared" si="7"/>
        <v/>
      </c>
      <c r="BE36" s="63" t="str">
        <f t="shared" si="8"/>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5"/>
        <v/>
      </c>
      <c r="BC37" s="48" t="str">
        <f t="shared" si="6"/>
        <v/>
      </c>
      <c r="BD37" s="48" t="str">
        <f t="shared" si="7"/>
        <v/>
      </c>
      <c r="BE37" s="63" t="str">
        <f t="shared" si="8"/>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5"/>
        <v/>
      </c>
      <c r="BC38" s="48" t="str">
        <f t="shared" si="6"/>
        <v/>
      </c>
      <c r="BD38" s="48" t="str">
        <f t="shared" si="7"/>
        <v/>
      </c>
      <c r="BE38" s="63" t="str">
        <f t="shared" si="8"/>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5"/>
        <v/>
      </c>
      <c r="BC39" s="48" t="str">
        <f t="shared" si="6"/>
        <v/>
      </c>
      <c r="BD39" s="48" t="str">
        <f t="shared" si="7"/>
        <v/>
      </c>
      <c r="BE39" s="63" t="str">
        <f t="shared" si="8"/>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5"/>
        <v/>
      </c>
      <c r="BC40" s="48" t="str">
        <f t="shared" si="6"/>
        <v/>
      </c>
      <c r="BD40" s="48" t="str">
        <f t="shared" si="7"/>
        <v/>
      </c>
      <c r="BE40" s="63" t="str">
        <f t="shared" si="8"/>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5"/>
        <v/>
      </c>
      <c r="BC41" s="48" t="str">
        <f t="shared" si="6"/>
        <v/>
      </c>
      <c r="BD41" s="48" t="str">
        <f t="shared" si="7"/>
        <v/>
      </c>
      <c r="BE41" s="63" t="str">
        <f t="shared" si="8"/>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5"/>
        <v/>
      </c>
      <c r="BC42" s="48" t="str">
        <f t="shared" si="6"/>
        <v/>
      </c>
      <c r="BD42" s="48" t="str">
        <f t="shared" si="7"/>
        <v/>
      </c>
      <c r="BE42" s="63" t="str">
        <f t="shared" si="8"/>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5"/>
        <v/>
      </c>
      <c r="BC43" s="48" t="str">
        <f t="shared" si="6"/>
        <v/>
      </c>
      <c r="BD43" s="48" t="str">
        <f t="shared" si="7"/>
        <v/>
      </c>
      <c r="BE43" s="63" t="str">
        <f t="shared" si="8"/>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48F8-853E-418D-94E2-43DCBC18AE9A}">
  <sheetPr codeName="Hoja6">
    <tabColor theme="8" tint="-0.249977111117893"/>
  </sheetPr>
  <dimension ref="A1:AD31"/>
  <sheetViews>
    <sheetView tabSelected="1" workbookViewId="0">
      <selection activeCell="F5" sqref="F5:Z5"/>
    </sheetView>
  </sheetViews>
  <sheetFormatPr baseColWidth="10" defaultRowHeight="20.25" x14ac:dyDescent="0.3"/>
  <cols>
    <col min="1" max="26" width="2.4140625" customWidth="1"/>
    <col min="27" max="27" width="9.25" customWidth="1"/>
    <col min="28" max="28" width="5.33203125" customWidth="1"/>
    <col min="29" max="30" width="2.4140625" customWidth="1"/>
  </cols>
  <sheetData>
    <row r="1" spans="1:30" ht="15.95" customHeight="1" x14ac:dyDescent="0.3">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row>
    <row r="2" spans="1:30" ht="15.95" customHeight="1" x14ac:dyDescent="0.3">
      <c r="A2" s="251" t="s">
        <v>165</v>
      </c>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161"/>
      <c r="AD2" s="161"/>
    </row>
    <row r="3" spans="1:30" ht="15.95" customHeight="1" x14ac:dyDescent="0.3">
      <c r="A3" s="161"/>
      <c r="B3" s="161"/>
      <c r="C3" s="161"/>
      <c r="D3" s="161"/>
      <c r="E3" s="161"/>
      <c r="F3" s="161"/>
      <c r="G3" s="161"/>
      <c r="H3" s="161"/>
      <c r="I3" s="161"/>
      <c r="J3" s="161"/>
      <c r="K3" s="161"/>
      <c r="L3" s="161"/>
      <c r="M3" s="161"/>
      <c r="N3" s="161"/>
      <c r="O3" s="161"/>
      <c r="P3" s="161"/>
      <c r="Q3" s="161"/>
      <c r="R3" s="161"/>
      <c r="S3" s="161"/>
      <c r="T3" s="161"/>
      <c r="U3" s="161"/>
      <c r="V3" s="161"/>
      <c r="W3" s="161"/>
      <c r="X3" s="161"/>
      <c r="Y3" s="161"/>
      <c r="Z3" s="161"/>
      <c r="AA3" s="161"/>
      <c r="AB3" s="161"/>
      <c r="AC3" s="161"/>
      <c r="AD3" s="161"/>
    </row>
    <row r="4" spans="1:30" ht="15.95" customHeight="1" x14ac:dyDescent="0.3">
      <c r="A4" s="248" t="s">
        <v>166</v>
      </c>
      <c r="B4" s="248"/>
      <c r="C4" s="248"/>
      <c r="D4" s="248"/>
      <c r="E4" s="248"/>
      <c r="F4" s="252" t="str">
        <f>[1]CARÁTULA!C25</f>
        <v>Tecnica Tecnologica (Programacion)</v>
      </c>
      <c r="G4" s="252"/>
      <c r="H4" s="252"/>
      <c r="I4" s="252"/>
      <c r="J4" s="252"/>
      <c r="K4" s="252"/>
      <c r="L4" s="252"/>
      <c r="M4" s="252"/>
      <c r="N4" s="252"/>
      <c r="O4" s="253" t="s">
        <v>180</v>
      </c>
      <c r="P4" s="253"/>
      <c r="Q4" s="253"/>
      <c r="R4" s="254" t="str">
        <f>CARÁTULA!C23</f>
        <v>2do de Secundaria</v>
      </c>
      <c r="S4" s="255"/>
      <c r="T4" s="255"/>
      <c r="U4" s="255"/>
      <c r="V4" s="255"/>
      <c r="W4" s="255"/>
      <c r="X4" s="255"/>
      <c r="Y4" s="255"/>
      <c r="Z4" s="256"/>
      <c r="AA4" s="162" t="s">
        <v>181</v>
      </c>
      <c r="AB4" s="190" t="s">
        <v>243</v>
      </c>
      <c r="AC4" s="161"/>
      <c r="AD4" s="161"/>
    </row>
    <row r="5" spans="1:30" ht="15.95" customHeight="1" x14ac:dyDescent="0.3">
      <c r="A5" s="248" t="s">
        <v>167</v>
      </c>
      <c r="B5" s="248"/>
      <c r="C5" s="248"/>
      <c r="D5" s="248"/>
      <c r="E5" s="248"/>
      <c r="F5" s="249" t="s">
        <v>33</v>
      </c>
      <c r="G5" s="249"/>
      <c r="H5" s="249"/>
      <c r="I5" s="249"/>
      <c r="J5" s="249"/>
      <c r="K5" s="249"/>
      <c r="L5" s="249"/>
      <c r="M5" s="249"/>
      <c r="N5" s="249"/>
      <c r="O5" s="249"/>
      <c r="P5" s="249"/>
      <c r="Q5" s="249"/>
      <c r="R5" s="249"/>
      <c r="S5" s="249"/>
      <c r="T5" s="249"/>
      <c r="U5" s="249"/>
      <c r="V5" s="249"/>
      <c r="W5" s="249"/>
      <c r="X5" s="249"/>
      <c r="Y5" s="249"/>
      <c r="Z5" s="249"/>
      <c r="AA5" s="162" t="s">
        <v>182</v>
      </c>
      <c r="AB5" s="190" t="s">
        <v>244</v>
      </c>
      <c r="AC5" s="161"/>
      <c r="AD5" s="161"/>
    </row>
    <row r="6" spans="1:30" ht="15.95" customHeight="1" x14ac:dyDescent="0.3">
      <c r="A6" s="248" t="s">
        <v>168</v>
      </c>
      <c r="B6" s="248"/>
      <c r="C6" s="248"/>
      <c r="D6" s="248"/>
      <c r="E6" s="248"/>
      <c r="F6" s="249" t="s">
        <v>177</v>
      </c>
      <c r="G6" s="249"/>
      <c r="H6" s="249"/>
      <c r="I6" s="249"/>
      <c r="J6" s="249"/>
      <c r="K6" s="249"/>
      <c r="L6" s="249"/>
      <c r="M6" s="249"/>
      <c r="N6" s="249"/>
      <c r="O6" s="249"/>
      <c r="P6" s="249"/>
      <c r="Q6" s="249"/>
      <c r="R6" s="249"/>
      <c r="S6" s="249"/>
      <c r="T6" s="249"/>
      <c r="U6" s="249"/>
      <c r="V6" s="249"/>
      <c r="W6" s="249"/>
      <c r="X6" s="249"/>
      <c r="Y6" s="249"/>
      <c r="Z6" s="249"/>
      <c r="AA6" s="161"/>
      <c r="AB6" s="161"/>
      <c r="AC6" s="161"/>
      <c r="AD6" s="161"/>
    </row>
    <row r="7" spans="1:30" ht="3" customHeight="1" x14ac:dyDescent="0.3">
      <c r="A7" s="161"/>
      <c r="B7" s="161"/>
      <c r="C7" s="161"/>
      <c r="D7" s="161"/>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row>
    <row r="8" spans="1:30" ht="15.95" customHeight="1" x14ac:dyDescent="0.3">
      <c r="A8" s="250" t="s">
        <v>169</v>
      </c>
      <c r="B8" s="250"/>
      <c r="C8" s="250"/>
      <c r="D8" s="250"/>
      <c r="E8" s="250"/>
      <c r="F8" s="250"/>
      <c r="G8" s="250"/>
      <c r="H8" s="250"/>
      <c r="I8" s="250"/>
      <c r="J8" s="250"/>
      <c r="K8" s="250"/>
      <c r="L8" s="250"/>
      <c r="M8" s="250"/>
      <c r="N8" s="250"/>
      <c r="O8" s="250"/>
      <c r="P8" s="250"/>
      <c r="Q8" s="250"/>
      <c r="R8" s="250"/>
      <c r="S8" s="250"/>
      <c r="T8" s="250"/>
      <c r="U8" s="250"/>
      <c r="V8" s="250"/>
      <c r="W8" s="250"/>
      <c r="X8" s="250"/>
      <c r="Y8" s="250"/>
      <c r="Z8" s="250"/>
      <c r="AA8" s="250"/>
      <c r="AB8" s="250"/>
      <c r="AC8" s="161"/>
      <c r="AD8" s="161"/>
    </row>
    <row r="9" spans="1:30" ht="4.5" customHeight="1" x14ac:dyDescent="0.3">
      <c r="A9" s="161"/>
      <c r="B9" s="161"/>
      <c r="C9" s="161"/>
      <c r="D9" s="161"/>
      <c r="E9" s="161"/>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row>
    <row r="10" spans="1:30" ht="76.5" customHeight="1" x14ac:dyDescent="0.3">
      <c r="A10" s="161"/>
      <c r="B10" s="161"/>
      <c r="C10" s="161"/>
      <c r="D10" s="161"/>
      <c r="E10" s="161"/>
      <c r="F10" s="161"/>
      <c r="G10" s="163" t="str">
        <f>'[1]ASIS 2 TRIM'!C7</f>
        <v>13/5/2020</v>
      </c>
      <c r="H10" s="163" t="str">
        <f>'[1]ASIS 2 TRIM'!D7</f>
        <v>20/5/2020</v>
      </c>
      <c r="I10" s="163" t="str">
        <f>'[1]ASIS 2 TRIM'!E7</f>
        <v>27/5/2021</v>
      </c>
      <c r="J10" s="163" t="str">
        <f>'[1]ASIS 2 TRIM'!F7</f>
        <v>1/7/2021</v>
      </c>
      <c r="K10" s="163" t="str">
        <f>'[1]ASIS 2 TRIM'!G7</f>
        <v>8/7/2021</v>
      </c>
      <c r="L10" s="163" t="str">
        <f>'[1]ASIS 2 TRIM'!H7</f>
        <v>15/7/2021</v>
      </c>
      <c r="M10" s="163" t="str">
        <f>'[1]ASIS 2 TRIM'!I7</f>
        <v>22/7/2021</v>
      </c>
      <c r="N10" s="163" t="str">
        <f>'[1]ASIS 2 TRIM'!J7</f>
        <v>29/7/2021</v>
      </c>
      <c r="O10" s="163" t="str">
        <f>'[1]ASIS 2 TRIM'!K7</f>
        <v>5/8/2021</v>
      </c>
      <c r="P10" s="163" t="str">
        <f>'[1]ASIS 2 TRIM'!BA7</f>
        <v>Asist. (A)</v>
      </c>
      <c r="Q10" s="163" t="str">
        <f>'[1]ASIS 2 TRIM'!BB7</f>
        <v>Faltas (F)</v>
      </c>
      <c r="R10" s="163" t="str">
        <f>'[1]ASIS 2 TRIM'!BC7</f>
        <v>Retrasos (R)</v>
      </c>
      <c r="S10" s="163" t="str">
        <f>'[1]ASIS 2 TRIM'!BD7</f>
        <v>Licencias (L)</v>
      </c>
      <c r="T10" s="164" t="str">
        <f>'[1]ASIS 2 TRIM'!BE7</f>
        <v>DÍAS TRABAJADOS</v>
      </c>
      <c r="U10" s="161"/>
      <c r="V10" s="161"/>
      <c r="W10" s="161"/>
      <c r="X10" s="161"/>
      <c r="Y10" s="161"/>
      <c r="Z10" s="161"/>
      <c r="AA10" s="161"/>
      <c r="AB10" s="161"/>
      <c r="AC10" s="161"/>
      <c r="AD10" s="161"/>
    </row>
    <row r="11" spans="1:30" ht="15.95" customHeight="1" x14ac:dyDescent="0.3">
      <c r="A11" s="161"/>
      <c r="B11" s="161"/>
      <c r="C11" s="161"/>
      <c r="D11" s="161"/>
      <c r="E11" s="161"/>
      <c r="F11" s="161"/>
      <c r="G11" s="165" t="str">
        <f>VLOOKUP($F$5,Tabla1[[NÓMINA DE ESTUDIANTES]:[DÍAS TRABAJADOS]],2,FALSE)</f>
        <v>f</v>
      </c>
      <c r="H11" s="165" t="str">
        <f>VLOOKUP($F$5,Tabla1[[NÓMINA DE ESTUDIANTES]:[DÍAS TRABAJADOS]],3,FALSE)</f>
        <v>f</v>
      </c>
      <c r="I11" s="165" t="str">
        <f>VLOOKUP($F$5,Tabla1[[NÓMINA DE ESTUDIANTES]:[DÍAS TRABAJADOS]],4,FALSE)</f>
        <v>a</v>
      </c>
      <c r="J11" s="165" t="str">
        <f>VLOOKUP($F$5,Tabla1[[NÓMINA DE ESTUDIANTES]:[DÍAS TRABAJADOS]],5,FALSE)</f>
        <v>a</v>
      </c>
      <c r="K11" s="165" t="str">
        <f>VLOOKUP($F$5,Tabla1[[NÓMINA DE ESTUDIANTES]:[DÍAS TRABAJADOS]],6,FALSE)</f>
        <v>a</v>
      </c>
      <c r="L11" s="165" t="str">
        <f>VLOOKUP($F$5,Tabla1[[NÓMINA DE ESTUDIANTES]:[DÍAS TRABAJADOS]],7,FALSE)</f>
        <v>f</v>
      </c>
      <c r="M11" s="165" t="str">
        <f>VLOOKUP($F$5,Tabla1[[NÓMINA DE ESTUDIANTES]:[DÍAS TRABAJADOS]],8,FALSE)</f>
        <v>f</v>
      </c>
      <c r="N11" s="165" t="str">
        <f>VLOOKUP($F$5,Tabla1[[NÓMINA DE ESTUDIANTES]:[DÍAS TRABAJADOS]],9,FALSE)</f>
        <v>f</v>
      </c>
      <c r="O11" s="165" t="str">
        <f>VLOOKUP($F$5,Tabla1[[NÓMINA DE ESTUDIANTES]:[DÍAS TRABAJADOS]],10,FALSE)</f>
        <v>a</v>
      </c>
      <c r="P11" s="165">
        <f>VLOOKUP($F$5,Tabla1[[NÓMINA DE ESTUDIANTES]:[DÍAS TRABAJADOS]],52,FALSE)</f>
        <v>4</v>
      </c>
      <c r="Q11" s="165">
        <f>VLOOKUP($F$5,Tabla1[[NÓMINA DE ESTUDIANTES]:[DÍAS TRABAJADOS]],53,FALSE)</f>
        <v>5</v>
      </c>
      <c r="R11" s="165" t="str">
        <f>VLOOKUP($F$5,Tabla1[[NÓMINA DE ESTUDIANTES]:[DÍAS TRABAJADOS]],54,FALSE)</f>
        <v>0</v>
      </c>
      <c r="S11" s="165" t="str">
        <f>VLOOKUP($F$5,Tabla1[[NÓMINA DE ESTUDIANTES]:[DÍAS TRABAJADOS]],55,FALSE)</f>
        <v>0</v>
      </c>
      <c r="T11" s="165">
        <f>VLOOKUP($F$5,Tabla1[[NÓMINA DE ESTUDIANTES]:[DÍAS TRABAJADOS]],56,FALSE)</f>
        <v>9</v>
      </c>
      <c r="U11" s="161"/>
      <c r="V11" s="161"/>
      <c r="W11" s="161"/>
      <c r="X11" s="161"/>
      <c r="Y11" s="161"/>
      <c r="Z11" s="161"/>
      <c r="AA11" s="161"/>
      <c r="AB11" s="161"/>
      <c r="AC11" s="161"/>
      <c r="AD11" s="161"/>
    </row>
    <row r="12" spans="1:30" ht="5.25" customHeight="1" x14ac:dyDescent="0.3">
      <c r="A12" s="161"/>
      <c r="B12" s="161"/>
      <c r="C12" s="161"/>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1"/>
      <c r="AB12" s="161"/>
      <c r="AC12" s="161"/>
      <c r="AD12" s="161"/>
    </row>
    <row r="13" spans="1:30" ht="15.95" customHeight="1" x14ac:dyDescent="0.3">
      <c r="A13" s="238" t="s">
        <v>241</v>
      </c>
      <c r="B13" s="238"/>
      <c r="C13" s="238"/>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161"/>
      <c r="AD13" s="161"/>
    </row>
    <row r="14" spans="1:30" ht="15.95" customHeight="1" x14ac:dyDescent="0.3">
      <c r="A14" s="238" t="s">
        <v>170</v>
      </c>
      <c r="B14" s="238"/>
      <c r="C14" s="238"/>
      <c r="D14" s="238"/>
      <c r="E14" s="238"/>
      <c r="F14" s="238"/>
      <c r="G14" s="238"/>
      <c r="H14" s="238"/>
      <c r="I14" s="238" t="s">
        <v>178</v>
      </c>
      <c r="J14" s="238"/>
      <c r="K14" s="238" t="s">
        <v>179</v>
      </c>
      <c r="L14" s="238"/>
      <c r="M14" s="238"/>
      <c r="N14" s="238"/>
      <c r="O14" s="238"/>
      <c r="P14" s="238"/>
      <c r="Q14" s="238"/>
      <c r="R14" s="238"/>
      <c r="S14" s="238"/>
      <c r="T14" s="238"/>
      <c r="U14" s="238"/>
      <c r="V14" s="238"/>
      <c r="W14" s="238"/>
      <c r="X14" s="238"/>
      <c r="Y14" s="238"/>
      <c r="Z14" s="238"/>
      <c r="AA14" s="238"/>
      <c r="AB14" s="238"/>
      <c r="AC14" s="161"/>
      <c r="AD14" s="166"/>
    </row>
    <row r="15" spans="1:30" ht="15.95" customHeight="1" x14ac:dyDescent="0.3">
      <c r="A15" s="246" t="s">
        <v>171</v>
      </c>
      <c r="B15" s="247"/>
      <c r="C15" s="247"/>
      <c r="D15" s="247"/>
      <c r="E15" s="247"/>
      <c r="F15" s="247"/>
      <c r="G15" s="247"/>
      <c r="H15" s="247"/>
      <c r="I15" s="232">
        <f>VLOOKUP($F$5,'VAL 2 TRIM'!B9:AM24,3,FALSE)</f>
        <v>0</v>
      </c>
      <c r="J15" s="232"/>
      <c r="K15" s="233" t="s">
        <v>238</v>
      </c>
      <c r="L15" s="234"/>
      <c r="M15" s="234"/>
      <c r="N15" s="234"/>
      <c r="O15" s="234"/>
      <c r="P15" s="234"/>
      <c r="Q15" s="234"/>
      <c r="R15" s="234"/>
      <c r="S15" s="234"/>
      <c r="T15" s="234"/>
      <c r="U15" s="234"/>
      <c r="V15" s="234"/>
      <c r="W15" s="234"/>
      <c r="X15" s="234"/>
      <c r="Y15" s="234"/>
      <c r="Z15" s="234"/>
      <c r="AA15" s="234"/>
      <c r="AB15" s="234"/>
      <c r="AC15" s="161">
        <f>IF(I15=0,1,0)</f>
        <v>1</v>
      </c>
      <c r="AD15" s="167">
        <v>1</v>
      </c>
    </row>
    <row r="16" spans="1:30" ht="15.95" customHeight="1" x14ac:dyDescent="0.3">
      <c r="A16" s="243" t="s">
        <v>172</v>
      </c>
      <c r="B16" s="243"/>
      <c r="C16" s="243"/>
      <c r="D16" s="243"/>
      <c r="E16" s="243"/>
      <c r="F16" s="243"/>
      <c r="G16" s="243"/>
      <c r="H16" s="243"/>
      <c r="I16" s="232">
        <f>VLOOKUP($F$5,'VAL 2 TRIM'!B9:AM24,4,FALSE)</f>
        <v>18</v>
      </c>
      <c r="J16" s="232"/>
      <c r="K16" s="244"/>
      <c r="L16" s="244"/>
      <c r="M16" s="244"/>
      <c r="N16" s="244"/>
      <c r="O16" s="244"/>
      <c r="P16" s="244"/>
      <c r="Q16" s="244"/>
      <c r="R16" s="244"/>
      <c r="S16" s="244"/>
      <c r="T16" s="244"/>
      <c r="U16" s="244"/>
      <c r="V16" s="244"/>
      <c r="W16" s="244"/>
      <c r="X16" s="244"/>
      <c r="Y16" s="244"/>
      <c r="Z16" s="244"/>
      <c r="AA16" s="244"/>
      <c r="AB16" s="244"/>
      <c r="AC16" s="161">
        <f>IF(I16=0,1,0)</f>
        <v>0</v>
      </c>
      <c r="AD16" s="167">
        <v>1</v>
      </c>
    </row>
    <row r="17" spans="1:30" ht="15.95" customHeight="1" x14ac:dyDescent="0.3">
      <c r="A17" s="242" t="s">
        <v>173</v>
      </c>
      <c r="B17" s="243"/>
      <c r="C17" s="243"/>
      <c r="D17" s="243"/>
      <c r="E17" s="243"/>
      <c r="F17" s="243"/>
      <c r="G17" s="243"/>
      <c r="H17" s="243"/>
      <c r="I17" s="232">
        <f>VLOOKUP($F$5,'VAL 2 TRIM'!B9:AM24,5,FALSE)</f>
        <v>0</v>
      </c>
      <c r="J17" s="232"/>
      <c r="K17" s="244"/>
      <c r="L17" s="244"/>
      <c r="M17" s="244"/>
      <c r="N17" s="244"/>
      <c r="O17" s="244"/>
      <c r="P17" s="244"/>
      <c r="Q17" s="244"/>
      <c r="R17" s="244"/>
      <c r="S17" s="244"/>
      <c r="T17" s="244"/>
      <c r="U17" s="244"/>
      <c r="V17" s="244"/>
      <c r="W17" s="244"/>
      <c r="X17" s="244"/>
      <c r="Y17" s="244"/>
      <c r="Z17" s="244"/>
      <c r="AA17" s="244"/>
      <c r="AB17" s="244"/>
      <c r="AC17" s="161">
        <f>IF(I17=0,1,0)</f>
        <v>1</v>
      </c>
      <c r="AD17" s="168">
        <v>1</v>
      </c>
    </row>
    <row r="18" spans="1:30" ht="15.95" customHeight="1" x14ac:dyDescent="0.3">
      <c r="A18" s="223" t="s">
        <v>79</v>
      </c>
      <c r="B18" s="224"/>
      <c r="C18" s="224"/>
      <c r="D18" s="224"/>
      <c r="E18" s="224"/>
      <c r="F18" s="224"/>
      <c r="G18" s="224"/>
      <c r="H18" s="224"/>
      <c r="I18" s="245">
        <f>SUM(I15:J17)/3</f>
        <v>6</v>
      </c>
      <c r="J18" s="245"/>
      <c r="K18" s="232"/>
      <c r="L18" s="232"/>
      <c r="M18" s="232"/>
      <c r="N18" s="232"/>
      <c r="O18" s="232"/>
      <c r="P18" s="232"/>
      <c r="Q18" s="232"/>
      <c r="R18" s="232"/>
      <c r="S18" s="232"/>
      <c r="T18" s="232"/>
      <c r="U18" s="232"/>
      <c r="V18" s="232"/>
      <c r="W18" s="232"/>
      <c r="X18" s="232"/>
      <c r="Y18" s="232"/>
      <c r="Z18" s="232"/>
      <c r="AA18" s="232"/>
      <c r="AB18" s="232"/>
      <c r="AC18" s="161">
        <f>SUM(AC15:AC17)</f>
        <v>2</v>
      </c>
      <c r="AD18" s="161"/>
    </row>
    <row r="19" spans="1:30" ht="5.25" customHeight="1" x14ac:dyDescent="0.3">
      <c r="A19" s="161"/>
      <c r="B19" s="161"/>
      <c r="C19" s="161"/>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row>
    <row r="20" spans="1:30" ht="15.95" customHeight="1" x14ac:dyDescent="0.3">
      <c r="A20" s="238" t="s">
        <v>242</v>
      </c>
      <c r="B20" s="238"/>
      <c r="C20" s="238"/>
      <c r="D20" s="238"/>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161"/>
      <c r="AD20" s="161"/>
    </row>
    <row r="21" spans="1:30" ht="15.95" customHeight="1" x14ac:dyDescent="0.3">
      <c r="A21" s="238" t="s">
        <v>170</v>
      </c>
      <c r="B21" s="238"/>
      <c r="C21" s="238"/>
      <c r="D21" s="238"/>
      <c r="E21" s="238"/>
      <c r="F21" s="238"/>
      <c r="G21" s="238"/>
      <c r="H21" s="238"/>
      <c r="I21" s="238" t="s">
        <v>178</v>
      </c>
      <c r="J21" s="238"/>
      <c r="K21" s="238" t="s">
        <v>179</v>
      </c>
      <c r="L21" s="238"/>
      <c r="M21" s="238"/>
      <c r="N21" s="238"/>
      <c r="O21" s="238"/>
      <c r="P21" s="238"/>
      <c r="Q21" s="238"/>
      <c r="R21" s="238"/>
      <c r="S21" s="238"/>
      <c r="T21" s="238"/>
      <c r="U21" s="238"/>
      <c r="V21" s="238"/>
      <c r="W21" s="238"/>
      <c r="X21" s="238"/>
      <c r="Y21" s="238"/>
      <c r="Z21" s="238"/>
      <c r="AA21" s="238"/>
      <c r="AB21" s="238"/>
      <c r="AC21" s="161"/>
      <c r="AD21" s="161"/>
    </row>
    <row r="22" spans="1:30" ht="15.95" customHeight="1" x14ac:dyDescent="0.3">
      <c r="A22" s="239" t="s">
        <v>174</v>
      </c>
      <c r="B22" s="240"/>
      <c r="C22" s="240"/>
      <c r="D22" s="240"/>
      <c r="E22" s="240"/>
      <c r="F22" s="240"/>
      <c r="G22" s="240"/>
      <c r="H22" s="241"/>
      <c r="I22" s="232">
        <f>VLOOKUP($F$5,'VAL 2 TRIM'!$B$9:$AM$24,16,FALSE)</f>
        <v>0</v>
      </c>
      <c r="J22" s="232"/>
      <c r="K22" s="233" t="s">
        <v>245</v>
      </c>
      <c r="L22" s="234"/>
      <c r="M22" s="234"/>
      <c r="N22" s="234"/>
      <c r="O22" s="234"/>
      <c r="P22" s="234"/>
      <c r="Q22" s="234"/>
      <c r="R22" s="234"/>
      <c r="S22" s="234"/>
      <c r="T22" s="234"/>
      <c r="U22" s="234"/>
      <c r="V22" s="234"/>
      <c r="W22" s="234"/>
      <c r="X22" s="234"/>
      <c r="Y22" s="234"/>
      <c r="Z22" s="234"/>
      <c r="AA22" s="234"/>
      <c r="AB22" s="234"/>
      <c r="AC22" s="161">
        <f>IF(I22=0,1,0)</f>
        <v>1</v>
      </c>
      <c r="AD22" s="161">
        <v>1</v>
      </c>
    </row>
    <row r="23" spans="1:30" ht="15.95" customHeight="1" x14ac:dyDescent="0.3">
      <c r="A23" s="229" t="s">
        <v>175</v>
      </c>
      <c r="B23" s="230"/>
      <c r="C23" s="230"/>
      <c r="D23" s="230"/>
      <c r="E23" s="230"/>
      <c r="F23" s="230"/>
      <c r="G23" s="230"/>
      <c r="H23" s="231"/>
      <c r="I23" s="232">
        <f>VLOOKUP($F$5,'VAL 2 TRIM'!$B$9:$AM$24,16,FALSE)</f>
        <v>0</v>
      </c>
      <c r="J23" s="232"/>
      <c r="K23" s="233" t="s">
        <v>246</v>
      </c>
      <c r="L23" s="234"/>
      <c r="M23" s="234"/>
      <c r="N23" s="234"/>
      <c r="O23" s="234"/>
      <c r="P23" s="234"/>
      <c r="Q23" s="234"/>
      <c r="R23" s="234"/>
      <c r="S23" s="234"/>
      <c r="T23" s="234"/>
      <c r="U23" s="234"/>
      <c r="V23" s="234"/>
      <c r="W23" s="234"/>
      <c r="X23" s="234"/>
      <c r="Y23" s="234"/>
      <c r="Z23" s="234"/>
      <c r="AA23" s="234"/>
      <c r="AB23" s="234"/>
      <c r="AC23" s="161">
        <f>IF(I23=0,1,0)</f>
        <v>1</v>
      </c>
      <c r="AD23" s="161">
        <v>1</v>
      </c>
    </row>
    <row r="24" spans="1:30" ht="15.95" customHeight="1" x14ac:dyDescent="0.3">
      <c r="A24" s="235" t="s">
        <v>176</v>
      </c>
      <c r="B24" s="236"/>
      <c r="C24" s="236"/>
      <c r="D24" s="236"/>
      <c r="E24" s="236"/>
      <c r="F24" s="236"/>
      <c r="G24" s="236"/>
      <c r="H24" s="237"/>
      <c r="I24" s="232">
        <f>VLOOKUP($F$5,'VAL 2 TRIM'!$B$9:$AM$24,16,FALSE)</f>
        <v>0</v>
      </c>
      <c r="J24" s="232"/>
      <c r="K24" s="233" t="s">
        <v>247</v>
      </c>
      <c r="L24" s="234"/>
      <c r="M24" s="234"/>
      <c r="N24" s="234"/>
      <c r="O24" s="234"/>
      <c r="P24" s="234"/>
      <c r="Q24" s="234"/>
      <c r="R24" s="234"/>
      <c r="S24" s="234"/>
      <c r="T24" s="234"/>
      <c r="U24" s="234"/>
      <c r="V24" s="234"/>
      <c r="W24" s="234"/>
      <c r="X24" s="234"/>
      <c r="Y24" s="234"/>
      <c r="Z24" s="234"/>
      <c r="AA24" s="234"/>
      <c r="AB24" s="234"/>
      <c r="AC24" s="161">
        <f>IF(I24=0,1,0)</f>
        <v>1</v>
      </c>
      <c r="AD24" s="161">
        <v>1</v>
      </c>
    </row>
    <row r="25" spans="1:30" ht="15.95" customHeight="1" x14ac:dyDescent="0.3">
      <c r="A25" s="223" t="s">
        <v>79</v>
      </c>
      <c r="B25" s="224"/>
      <c r="C25" s="224"/>
      <c r="D25" s="224"/>
      <c r="E25" s="224"/>
      <c r="F25" s="224"/>
      <c r="G25" s="224"/>
      <c r="H25" s="224"/>
      <c r="I25" s="225">
        <f>SUM(I22:J24)/3</f>
        <v>0</v>
      </c>
      <c r="J25" s="225"/>
      <c r="K25" s="226"/>
      <c r="L25" s="226"/>
      <c r="M25" s="226"/>
      <c r="N25" s="226"/>
      <c r="O25" s="226"/>
      <c r="P25" s="226"/>
      <c r="Q25" s="226"/>
      <c r="R25" s="226"/>
      <c r="S25" s="226"/>
      <c r="T25" s="226"/>
      <c r="U25" s="226"/>
      <c r="V25" s="226"/>
      <c r="W25" s="226"/>
      <c r="X25" s="226"/>
      <c r="Y25" s="226"/>
      <c r="Z25" s="226"/>
      <c r="AA25" s="226"/>
      <c r="AB25" s="226"/>
      <c r="AC25" s="161">
        <f>SUM(AC22:AC24)</f>
        <v>3</v>
      </c>
      <c r="AD25" s="169">
        <f>SUM(AD15:AD24)</f>
        <v>6</v>
      </c>
    </row>
    <row r="26" spans="1:30" ht="15.95" customHeight="1" x14ac:dyDescent="0.3">
      <c r="A26" s="227"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ARCE CHOQUE LUCERO CORAL  durante el segundo trimestre tuvo 4 Asistencias, 5 Faltas, 0 Retrasos, 0 Licencias,  Total de Dias Trabajados 9, en relacion a las practicas No presentó 5 Practicas de las 6  tareas (El estudiante puede presentar practicas por una ponderacion de 20 puntos)</v>
      </c>
      <c r="B26" s="227"/>
      <c r="C26" s="227"/>
      <c r="D26" s="227"/>
      <c r="E26" s="227"/>
      <c r="F26" s="227"/>
      <c r="G26" s="227"/>
      <c r="H26" s="227"/>
      <c r="I26" s="227"/>
      <c r="J26" s="227"/>
      <c r="K26" s="227"/>
      <c r="L26" s="227"/>
      <c r="M26" s="227"/>
      <c r="N26" s="227"/>
      <c r="O26" s="227"/>
      <c r="P26" s="227"/>
      <c r="Q26" s="227"/>
      <c r="R26" s="227"/>
      <c r="S26" s="227"/>
      <c r="T26" s="227"/>
      <c r="U26" s="227"/>
      <c r="V26" s="227"/>
      <c r="W26" s="227"/>
      <c r="X26" s="227"/>
      <c r="Y26" s="227"/>
      <c r="Z26" s="227"/>
      <c r="AA26" s="227"/>
      <c r="AB26" s="227"/>
      <c r="AC26" s="161">
        <f>AC18+AC25</f>
        <v>5</v>
      </c>
      <c r="AD26" s="161"/>
    </row>
    <row r="27" spans="1:30" ht="15.95" customHeight="1" x14ac:dyDescent="0.3">
      <c r="A27" s="228"/>
      <c r="B27" s="228"/>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161"/>
      <c r="AD27" s="161"/>
    </row>
    <row r="28" spans="1:30" ht="15.95" customHeight="1" x14ac:dyDescent="0.3">
      <c r="A28" s="161"/>
      <c r="B28" s="161"/>
      <c r="C28" s="161"/>
      <c r="D28" s="161"/>
      <c r="E28" s="161"/>
      <c r="F28" s="161"/>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row>
    <row r="29" spans="1:30" ht="15.95" customHeight="1" x14ac:dyDescent="0.3">
      <c r="A29" s="161"/>
      <c r="B29" s="161"/>
      <c r="C29" s="161"/>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row>
    <row r="30" spans="1:30" ht="15.95" customHeight="1" x14ac:dyDescent="0.3">
      <c r="A30" s="161"/>
      <c r="B30" s="161"/>
      <c r="C30" s="161"/>
      <c r="D30" s="161"/>
      <c r="E30" s="161"/>
      <c r="F30" s="16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row>
    <row r="31" spans="1:30" ht="15.95" customHeight="1" x14ac:dyDescent="0.3">
      <c r="A31" s="161"/>
      <c r="B31" s="161"/>
      <c r="C31" s="161"/>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row>
  </sheetData>
  <mergeCells count="43">
    <mergeCell ref="A5:E5"/>
    <mergeCell ref="F5:Z5"/>
    <mergeCell ref="A2:AB2"/>
    <mergeCell ref="A4:E4"/>
    <mergeCell ref="F4:N4"/>
    <mergeCell ref="O4:Q4"/>
    <mergeCell ref="R4:Z4"/>
    <mergeCell ref="A6:E6"/>
    <mergeCell ref="F6:Z6"/>
    <mergeCell ref="A8:AB8"/>
    <mergeCell ref="A13:AB13"/>
    <mergeCell ref="A14:H14"/>
    <mergeCell ref="I14:J14"/>
    <mergeCell ref="K14:AB14"/>
    <mergeCell ref="A15:H15"/>
    <mergeCell ref="I15:J15"/>
    <mergeCell ref="K15:AB15"/>
    <mergeCell ref="A16:H16"/>
    <mergeCell ref="I16:J16"/>
    <mergeCell ref="K16:AB16"/>
    <mergeCell ref="A17:H17"/>
    <mergeCell ref="I17:J17"/>
    <mergeCell ref="K17:AB17"/>
    <mergeCell ref="A18:H18"/>
    <mergeCell ref="I18:J18"/>
    <mergeCell ref="K18:AB18"/>
    <mergeCell ref="A20:AB20"/>
    <mergeCell ref="A21:H21"/>
    <mergeCell ref="I21:J21"/>
    <mergeCell ref="K21:AB21"/>
    <mergeCell ref="A22:H22"/>
    <mergeCell ref="I22:J22"/>
    <mergeCell ref="K22:AB22"/>
    <mergeCell ref="A25:H25"/>
    <mergeCell ref="I25:J25"/>
    <mergeCell ref="K25:AB25"/>
    <mergeCell ref="A26:AB27"/>
    <mergeCell ref="A23:H23"/>
    <mergeCell ref="I23:J23"/>
    <mergeCell ref="K23:AB23"/>
    <mergeCell ref="A24:H24"/>
    <mergeCell ref="I24:J24"/>
    <mergeCell ref="K24:AB24"/>
  </mergeCells>
  <hyperlinks>
    <hyperlink ref="K22" r:id="rId1" xr:uid="{09D51C6E-9CAE-4006-9CE2-EFBADB9FFC2F}"/>
    <hyperlink ref="K15" r:id="rId2" xr:uid="{4A3FCD7F-ABBF-4352-A65E-B15ECEB5BEC4}"/>
    <hyperlink ref="K23" r:id="rId3" xr:uid="{3F79C627-AE5B-467D-B2FA-D80C33C95376}"/>
    <hyperlink ref="K24" r:id="rId4" xr:uid="{C8D67DB7-8AA9-4F3B-B342-63399E58482B}"/>
  </hyperlinks>
  <pageMargins left="0.70866141732283472" right="0.70866141732283472" top="0.15748031496062992" bottom="0.74803149606299213" header="0" footer="0.31496062992125984"/>
  <pageSetup orientation="landscape" horizontalDpi="0" verticalDpi="0"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9B4FD0A8-5834-42E6-BD0B-ED3EAC55DE3F}">
          <x14:formula1>
            <xm:f>'VAL 2 TRIM'!$B$9:$B$24</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8" t="s">
        <v>65</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9">
        <f>CARÁTULA!$H$24</f>
        <v>44440</v>
      </c>
      <c r="AU3" s="204"/>
      <c r="AV3" s="204"/>
      <c r="AW3" s="204"/>
      <c r="AX3" s="204"/>
      <c r="AY3" s="204"/>
      <c r="AZ3" s="204"/>
      <c r="BA3" s="257"/>
      <c r="BB3" s="204"/>
      <c r="BC3" s="204"/>
      <c r="BD3" s="204"/>
      <c r="BE3" s="204"/>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9">
        <f>CARÁTULA!$J$24</f>
        <v>44531</v>
      </c>
      <c r="AU4" s="204"/>
      <c r="AV4" s="204"/>
      <c r="AW4" s="204"/>
      <c r="AX4" s="204"/>
      <c r="AY4" s="204"/>
      <c r="AZ4" s="204"/>
      <c r="BA4" s="258">
        <f ca="1">AT4-AT5</f>
        <v>113</v>
      </c>
      <c r="BB4" s="214"/>
      <c r="BC4" s="214"/>
      <c r="BD4" s="214"/>
      <c r="BE4" s="215"/>
    </row>
    <row r="5" spans="1:61" ht="12.75" customHeight="1" x14ac:dyDescent="0.3">
      <c r="B5" s="38" t="s">
        <v>22</v>
      </c>
      <c r="C5" s="39" t="str">
        <f>CARÁTULA!$C$23</f>
        <v>2do de Secundaria</v>
      </c>
      <c r="D5" s="40"/>
      <c r="E5" s="40"/>
      <c r="F5" s="40"/>
      <c r="G5" s="40"/>
      <c r="H5" s="40"/>
      <c r="I5" s="40"/>
      <c r="J5" s="40"/>
      <c r="K5" s="40"/>
      <c r="L5" s="40"/>
      <c r="M5" s="40"/>
      <c r="N5" s="40"/>
      <c r="O5" s="38"/>
      <c r="P5" s="38"/>
      <c r="Q5" s="38"/>
      <c r="R5" s="38"/>
      <c r="S5" s="43" t="s">
        <v>23</v>
      </c>
      <c r="T5" s="44"/>
      <c r="U5" s="44"/>
      <c r="V5" s="44"/>
      <c r="W5" s="44"/>
      <c r="X5" s="222">
        <f ca="1">TODAY()</f>
        <v>44418</v>
      </c>
      <c r="Y5" s="204"/>
      <c r="Z5" s="204"/>
      <c r="AA5" s="204"/>
      <c r="AB5" s="204"/>
      <c r="AC5" s="204"/>
      <c r="AD5" s="40"/>
      <c r="AE5" s="40"/>
      <c r="AF5" s="40"/>
      <c r="AG5" s="40"/>
      <c r="AH5" s="40"/>
      <c r="AI5" s="40"/>
      <c r="AJ5" s="40"/>
      <c r="AK5" s="45" t="s">
        <v>53</v>
      </c>
      <c r="AL5" s="46"/>
      <c r="AM5" s="46"/>
      <c r="AN5" s="46"/>
      <c r="AO5" s="46"/>
      <c r="AP5" s="46"/>
      <c r="AQ5" s="46"/>
      <c r="AR5" s="40"/>
      <c r="AS5" s="40"/>
      <c r="AT5" s="220">
        <f ca="1">TODAY()</f>
        <v>44418</v>
      </c>
      <c r="AU5" s="204"/>
      <c r="AV5" s="204"/>
      <c r="AW5" s="204"/>
      <c r="AX5" s="204"/>
      <c r="AY5" s="204"/>
      <c r="AZ5" s="204"/>
      <c r="BA5" s="216"/>
      <c r="BB5" s="217"/>
      <c r="BC5" s="217"/>
      <c r="BD5" s="217"/>
      <c r="BE5" s="21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54</v>
      </c>
      <c r="B7" s="49" t="s">
        <v>55</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66</v>
      </c>
      <c r="BB7" s="56" t="s">
        <v>67</v>
      </c>
      <c r="BC7" s="56" t="s">
        <v>68</v>
      </c>
      <c r="BD7" s="56" t="s">
        <v>69</v>
      </c>
      <c r="BE7" s="57" t="s">
        <v>60</v>
      </c>
    </row>
    <row r="8" spans="1:61" ht="12" customHeight="1" x14ac:dyDescent="0.3">
      <c r="A8" s="58">
        <v>1</v>
      </c>
      <c r="B8" s="59" t="str">
        <f>'C. FILIACION'!B8</f>
        <v>ALARCON CHURA PRISCILA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73</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
      <c r="A9" s="58">
        <v>2</v>
      </c>
      <c r="B9" s="59" t="str">
        <f>'C. FILIACION'!B9</f>
        <v>ARCE CHOQUE LUCERO CORAL</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
      <c r="A10" s="58">
        <v>3</v>
      </c>
      <c r="B10" s="59" t="str">
        <f>'C. FILIACION'!B10</f>
        <v>AREQUIPA CALCINA FABIAN JHON</v>
      </c>
      <c r="C10" s="48"/>
      <c r="D10" s="48" t="s">
        <v>71</v>
      </c>
      <c r="E10" s="48" t="s">
        <v>71</v>
      </c>
      <c r="F10" s="48" t="s">
        <v>71</v>
      </c>
      <c r="G10" s="48" t="s">
        <v>71</v>
      </c>
      <c r="H10" s="48" t="s">
        <v>71</v>
      </c>
      <c r="I10" s="48" t="s">
        <v>71</v>
      </c>
      <c r="J10" s="48" t="s">
        <v>71</v>
      </c>
      <c r="K10" s="48" t="s">
        <v>71</v>
      </c>
      <c r="L10" s="48" t="s">
        <v>71</v>
      </c>
      <c r="M10" s="48" t="s">
        <v>71</v>
      </c>
      <c r="N10" s="48" t="s">
        <v>71</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
      <c r="A11" s="58">
        <v>4</v>
      </c>
      <c r="B11" s="59" t="str">
        <f>'C. FILIACION'!B11</f>
        <v>CLAURE PARAVICINI RASHEL ROSALY</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
      <c r="A12" s="58">
        <v>5</v>
      </c>
      <c r="B12" s="59" t="str">
        <f>'C. FILIACION'!B12</f>
        <v>CONDORI FLORES ALEJANDRO BRYAN</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
      <c r="A13" s="58">
        <v>6</v>
      </c>
      <c r="B13" s="59" t="str">
        <f>'C. FILIACION'!B13</f>
        <v>DE LA CRUZ SANDOVAL JHON MARCO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
      <c r="A14" s="58">
        <v>7</v>
      </c>
      <c r="B14" s="59" t="str">
        <f>'C. FILIACION'!B14</f>
        <v>GARCÍA IGNACIO MISHEL MAYA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
      <c r="A15" s="58">
        <v>8</v>
      </c>
      <c r="B15" s="59" t="str">
        <f>'C. FILIACION'!B15</f>
        <v>HELGUERO SANCHEZ JHOYSI CAMIL</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
      <c r="A16" s="58">
        <v>9</v>
      </c>
      <c r="B16" s="59" t="str">
        <f>'C. FILIACION'!B16</f>
        <v>LEDEZMA ORELLANA RICARDO ERIK</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
      <c r="A17" s="58">
        <v>10</v>
      </c>
      <c r="B17" s="59" t="str">
        <f>'C. FILIACION'!B17</f>
        <v>MAMANI LOPEZ ELIZABETH MILDRED</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
      <c r="A18" s="58">
        <v>11</v>
      </c>
      <c r="B18" s="59" t="str">
        <f>'C. FILIACION'!B18</f>
        <v>MEDINA CHOQUE JUAN JOSE</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
      <c r="A19" s="58">
        <v>12</v>
      </c>
      <c r="B19" s="59" t="str">
        <f>'C. FILIACION'!B19</f>
        <v>NINA RUEDA SEBASTIAN CARLOS</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
      <c r="A20" s="58">
        <v>13</v>
      </c>
      <c r="B20" s="59" t="str">
        <f>'C. FILIACION'!B20</f>
        <v>RODRIGUEZ RAMIREZ NATALY ARIANA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
      <c r="A21" s="58">
        <v>14</v>
      </c>
      <c r="B21" s="59" t="str">
        <f>'C. FILIACION'!B21</f>
        <v>SALAZAR CANAZA CRISTINA MAYRA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
      <c r="A22" s="58">
        <v>15</v>
      </c>
      <c r="B22" s="59" t="str">
        <f>'C. FILIACION'!B22</f>
        <v>SEVILLANO BALTAZAR AGNESE</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
      <c r="A23" s="58">
        <v>16</v>
      </c>
      <c r="B23" s="59" t="str">
        <f>'C. FILIACION'!B23</f>
        <v>TOCONAS HUAYGUA VICTORIA FERNANDA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election activeCell="T37" sqref="T37"/>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64" t="s">
        <v>74</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62" t="s">
        <v>49</v>
      </c>
      <c r="AD3" s="260"/>
      <c r="AE3" s="260"/>
      <c r="AF3" s="260"/>
      <c r="AG3" s="260"/>
      <c r="AH3" s="261"/>
      <c r="AI3" s="222">
        <f>CARÁTULA!$H$14</f>
        <v>44228</v>
      </c>
      <c r="AJ3" s="204"/>
      <c r="AK3" s="204"/>
      <c r="AL3" s="204"/>
      <c r="AM3" s="204"/>
      <c r="AN3" s="265" t="s">
        <v>50</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62" t="s">
        <v>52</v>
      </c>
      <c r="AD4" s="260"/>
      <c r="AE4" s="260"/>
      <c r="AF4" s="260"/>
      <c r="AG4" s="260"/>
      <c r="AH4" s="261"/>
      <c r="AI4" s="222">
        <f>CARÁTULA!$J$14</f>
        <v>44323</v>
      </c>
      <c r="AJ4" s="204"/>
      <c r="AK4" s="204"/>
      <c r="AL4" s="204"/>
      <c r="AM4" s="204"/>
      <c r="AN4" s="258">
        <f ca="1">AI4-AI5</f>
        <v>-95</v>
      </c>
      <c r="AO4" s="214"/>
      <c r="AP4" s="214"/>
      <c r="AQ4" s="214"/>
      <c r="AR4" s="215"/>
    </row>
    <row r="5" spans="1:48" ht="12.75" customHeight="1" x14ac:dyDescent="0.35">
      <c r="A5" s="71"/>
      <c r="B5" s="74" t="s">
        <v>22</v>
      </c>
      <c r="C5" s="75" t="str">
        <f>CARÁTULA!$C$23</f>
        <v>2do de Secundaria</v>
      </c>
      <c r="D5" s="76"/>
      <c r="E5" s="76"/>
      <c r="F5" s="76"/>
      <c r="G5" s="74"/>
      <c r="H5" s="74"/>
      <c r="I5" s="74"/>
      <c r="J5" s="74"/>
      <c r="K5" s="74"/>
      <c r="L5" s="74"/>
      <c r="M5" s="74"/>
      <c r="N5" s="74"/>
      <c r="O5" s="77" t="s">
        <v>23</v>
      </c>
      <c r="P5" s="79"/>
      <c r="Q5" s="79"/>
      <c r="R5" s="79"/>
      <c r="S5" s="270">
        <f ca="1">TODAY()</f>
        <v>44418</v>
      </c>
      <c r="T5" s="195"/>
      <c r="U5" s="195"/>
      <c r="V5" s="195"/>
      <c r="W5" s="195"/>
      <c r="X5" s="195"/>
      <c r="Y5" s="195"/>
      <c r="Z5" s="195"/>
      <c r="AA5" s="196"/>
      <c r="AB5" s="76"/>
      <c r="AC5" s="263" t="s">
        <v>53</v>
      </c>
      <c r="AD5" s="260"/>
      <c r="AE5" s="260"/>
      <c r="AF5" s="260"/>
      <c r="AG5" s="260"/>
      <c r="AH5" s="261"/>
      <c r="AI5" s="266">
        <f ca="1">TODAY()</f>
        <v>44418</v>
      </c>
      <c r="AJ5" s="204"/>
      <c r="AK5" s="204"/>
      <c r="AL5" s="204"/>
      <c r="AM5" s="204"/>
      <c r="AN5" s="216"/>
      <c r="AO5" s="217"/>
      <c r="AP5" s="217"/>
      <c r="AQ5" s="217"/>
      <c r="AR5" s="218"/>
    </row>
    <row r="6" spans="1:48" ht="12.75" customHeight="1" x14ac:dyDescent="0.35">
      <c r="A6" s="71"/>
      <c r="B6" s="74"/>
      <c r="C6" s="210" t="s">
        <v>75</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76</v>
      </c>
      <c r="AC6" s="260"/>
      <c r="AD6" s="260"/>
      <c r="AE6" s="261"/>
      <c r="AF6" s="80"/>
      <c r="AG6" s="81"/>
      <c r="AH6" s="81"/>
      <c r="AI6" s="82"/>
      <c r="AJ6" s="83"/>
      <c r="AK6" s="83"/>
      <c r="AL6" s="83"/>
      <c r="AM6" s="83"/>
      <c r="AN6" s="84"/>
      <c r="AO6" s="84"/>
      <c r="AP6" s="84"/>
      <c r="AQ6" s="84"/>
      <c r="AR6" s="84"/>
    </row>
    <row r="7" spans="1:48" ht="12" customHeight="1" x14ac:dyDescent="0.35">
      <c r="A7" s="71"/>
      <c r="B7" s="85"/>
      <c r="C7" s="272" t="s">
        <v>77</v>
      </c>
      <c r="D7" s="273" t="s">
        <v>78</v>
      </c>
      <c r="E7" s="260"/>
      <c r="F7" s="260"/>
      <c r="G7" s="260"/>
      <c r="H7" s="260"/>
      <c r="I7" s="260"/>
      <c r="J7" s="260"/>
      <c r="K7" s="260"/>
      <c r="L7" s="260"/>
      <c r="M7" s="260"/>
      <c r="N7" s="260"/>
      <c r="O7" s="269" t="s">
        <v>79</v>
      </c>
      <c r="P7" s="273" t="s">
        <v>80</v>
      </c>
      <c r="Q7" s="260"/>
      <c r="R7" s="260"/>
      <c r="S7" s="260"/>
      <c r="T7" s="260"/>
      <c r="U7" s="260"/>
      <c r="V7" s="260"/>
      <c r="W7" s="260"/>
      <c r="X7" s="260"/>
      <c r="Y7" s="260"/>
      <c r="Z7" s="260"/>
      <c r="AA7" s="267" t="s">
        <v>81</v>
      </c>
      <c r="AB7" s="269" t="s">
        <v>79</v>
      </c>
      <c r="AC7" s="267" t="s">
        <v>82</v>
      </c>
      <c r="AD7" s="267" t="s">
        <v>83</v>
      </c>
      <c r="AE7" s="269" t="s">
        <v>79</v>
      </c>
      <c r="AF7" s="274" t="s">
        <v>84</v>
      </c>
      <c r="AG7" s="275" t="s">
        <v>85</v>
      </c>
      <c r="AH7" s="276" t="s">
        <v>86</v>
      </c>
      <c r="AI7" s="211"/>
      <c r="AJ7" s="211"/>
      <c r="AK7" s="211"/>
      <c r="AL7" s="211"/>
      <c r="AM7" s="212"/>
      <c r="AN7" s="86"/>
      <c r="AO7" s="76"/>
      <c r="AP7" s="76"/>
      <c r="AQ7" s="76"/>
      <c r="AR7" s="71"/>
    </row>
    <row r="8" spans="1:48" ht="150" x14ac:dyDescent="0.3">
      <c r="A8" s="48" t="s">
        <v>54</v>
      </c>
      <c r="B8" s="49" t="s">
        <v>55</v>
      </c>
      <c r="C8" s="268"/>
      <c r="D8" s="87" t="s">
        <v>87</v>
      </c>
      <c r="E8" s="87" t="s">
        <v>88</v>
      </c>
      <c r="F8" s="52"/>
      <c r="G8" s="53"/>
      <c r="H8" s="53"/>
      <c r="I8" s="53"/>
      <c r="J8" s="53"/>
      <c r="K8" s="53"/>
      <c r="L8" s="53"/>
      <c r="M8" s="53"/>
      <c r="N8" s="54"/>
      <c r="O8" s="268"/>
      <c r="P8" s="87" t="s">
        <v>89</v>
      </c>
      <c r="Q8" s="87" t="s">
        <v>90</v>
      </c>
      <c r="R8" s="52"/>
      <c r="S8" s="53"/>
      <c r="T8" s="53"/>
      <c r="U8" s="53"/>
      <c r="V8" s="53"/>
      <c r="W8" s="53"/>
      <c r="X8" s="53"/>
      <c r="Y8" s="53"/>
      <c r="Z8" s="53"/>
      <c r="AA8" s="268"/>
      <c r="AB8" s="268"/>
      <c r="AC8" s="268"/>
      <c r="AD8" s="268"/>
      <c r="AE8" s="268"/>
      <c r="AF8" s="268"/>
      <c r="AG8" s="268"/>
      <c r="AH8" s="277"/>
      <c r="AI8" s="278"/>
      <c r="AJ8" s="278"/>
      <c r="AK8" s="278"/>
      <c r="AL8" s="278"/>
      <c r="AM8" s="279"/>
      <c r="AN8" s="88"/>
      <c r="AO8" s="88"/>
      <c r="AP8" s="88"/>
      <c r="AQ8" s="88"/>
      <c r="AR8" s="89"/>
    </row>
    <row r="9" spans="1:48" ht="12" customHeight="1" x14ac:dyDescent="0.3">
      <c r="A9" s="58">
        <v>1</v>
      </c>
      <c r="B9" s="90" t="str">
        <f>'C. FILIACION'!B8</f>
        <v>ALARCON CHURA PRISCILA</v>
      </c>
      <c r="C9" s="31">
        <v>10</v>
      </c>
      <c r="D9" s="60">
        <v>30</v>
      </c>
      <c r="E9" s="91">
        <v>5</v>
      </c>
      <c r="F9" s="31"/>
      <c r="G9" s="31"/>
      <c r="H9" s="31"/>
      <c r="I9" s="31"/>
      <c r="J9" s="31"/>
      <c r="K9" s="31"/>
      <c r="L9" s="31"/>
      <c r="M9" s="31"/>
      <c r="N9" s="31"/>
      <c r="O9" s="92">
        <f t="shared" ref="O9:O44" si="0">IFERROR(ROUND(AVERAGE(D9:N9),0),"")</f>
        <v>18</v>
      </c>
      <c r="P9" s="91">
        <v>30</v>
      </c>
      <c r="Q9" s="91">
        <v>5</v>
      </c>
      <c r="R9" s="31"/>
      <c r="S9" s="31"/>
      <c r="T9" s="31"/>
      <c r="U9" s="31"/>
      <c r="V9" s="31"/>
      <c r="W9" s="31"/>
      <c r="X9" s="31"/>
      <c r="Y9" s="31"/>
      <c r="Z9" s="31"/>
      <c r="AA9" s="31">
        <v>10</v>
      </c>
      <c r="AB9" s="92">
        <f t="shared" ref="AB9:AB44" si="1">IFERROR(ROUND(AVERAGE(P9:Z9),0),"")</f>
        <v>18</v>
      </c>
      <c r="AC9" s="31">
        <v>5</v>
      </c>
      <c r="AD9" s="31">
        <v>5</v>
      </c>
      <c r="AE9" s="92">
        <f t="shared" ref="AE9:AE44" si="2">IFERROR((SUM(AC9,AD9)),"")</f>
        <v>10</v>
      </c>
      <c r="AF9" s="93" t="str">
        <f t="shared" ref="AF9:AF44" si="3">IF(AG9&lt;51,"ED",IF(AG9&lt;67,"DA",IF(AG9&lt;85,"DO","DP")))</f>
        <v>DA</v>
      </c>
      <c r="AG9" s="92">
        <f t="shared" ref="AG9:AG44" si="4">IFERROR((SUM(C9,O9,AA9,AB9,AE9)),"")</f>
        <v>66</v>
      </c>
      <c r="AH9" s="259" t="str">
        <f t="shared" ref="AH9:AH44" si="5">IF(AG9="","",(IF(AND(AG9&gt;=1,AG9&lt;=50.499),"REPROBADO",IF(AND(AG9&gt;=50.5,AG9&lt;=100),"APROBADO"))))</f>
        <v>APROBADO</v>
      </c>
      <c r="AI9" s="260"/>
      <c r="AJ9" s="260"/>
      <c r="AK9" s="260"/>
      <c r="AL9" s="260"/>
      <c r="AM9" s="261"/>
      <c r="AN9" s="94" t="s">
        <v>91</v>
      </c>
      <c r="AO9" s="280">
        <f>COUNTIF(AF9:AF44,"ED")</f>
        <v>0</v>
      </c>
      <c r="AP9" s="261"/>
      <c r="AQ9" s="95"/>
      <c r="AR9" s="95"/>
    </row>
    <row r="10" spans="1:48" ht="12" customHeight="1" x14ac:dyDescent="0.3">
      <c r="A10" s="58">
        <v>2</v>
      </c>
      <c r="B10" s="90" t="str">
        <f>'C. FILIACION'!B9</f>
        <v>ARCE CHOQUE LUCERO CORAL</v>
      </c>
      <c r="C10" s="31">
        <v>10</v>
      </c>
      <c r="D10" s="60">
        <v>30</v>
      </c>
      <c r="E10" s="91">
        <v>5</v>
      </c>
      <c r="F10" s="31"/>
      <c r="G10" s="31"/>
      <c r="H10" s="31"/>
      <c r="I10" s="31"/>
      <c r="J10" s="31"/>
      <c r="K10" s="31"/>
      <c r="L10" s="31"/>
      <c r="M10" s="31"/>
      <c r="N10" s="31"/>
      <c r="O10" s="92">
        <f t="shared" si="0"/>
        <v>18</v>
      </c>
      <c r="P10" s="91">
        <v>30</v>
      </c>
      <c r="Q10" s="91">
        <v>5</v>
      </c>
      <c r="R10" s="31"/>
      <c r="S10" s="31"/>
      <c r="T10" s="31"/>
      <c r="U10" s="31"/>
      <c r="V10" s="31"/>
      <c r="W10" s="31"/>
      <c r="X10" s="31"/>
      <c r="Y10" s="31"/>
      <c r="Z10" s="31"/>
      <c r="AA10" s="31">
        <v>10</v>
      </c>
      <c r="AB10" s="92">
        <f t="shared" si="1"/>
        <v>18</v>
      </c>
      <c r="AC10" s="31">
        <v>5</v>
      </c>
      <c r="AD10" s="31">
        <v>5</v>
      </c>
      <c r="AE10" s="92">
        <f t="shared" si="2"/>
        <v>10</v>
      </c>
      <c r="AF10" s="93" t="str">
        <f t="shared" si="3"/>
        <v>DA</v>
      </c>
      <c r="AG10" s="92">
        <f t="shared" si="4"/>
        <v>66</v>
      </c>
      <c r="AH10" s="259" t="str">
        <f t="shared" si="5"/>
        <v>APROBADO</v>
      </c>
      <c r="AI10" s="260"/>
      <c r="AJ10" s="260"/>
      <c r="AK10" s="260"/>
      <c r="AL10" s="260"/>
      <c r="AM10" s="261"/>
      <c r="AN10" s="48" t="s">
        <v>92</v>
      </c>
      <c r="AO10" s="280">
        <f>COUNTIF(AF9:AF44,"DA")</f>
        <v>11</v>
      </c>
      <c r="AP10" s="261"/>
      <c r="AQ10" s="95"/>
      <c r="AR10" s="95"/>
    </row>
    <row r="11" spans="1:48" ht="12" customHeight="1" x14ac:dyDescent="0.3">
      <c r="A11" s="58">
        <v>3</v>
      </c>
      <c r="B11" s="90" t="str">
        <f>'C. FILIACION'!B10</f>
        <v>AREQUIPA CALCINA FABIAN JHON</v>
      </c>
      <c r="C11" s="31">
        <v>10</v>
      </c>
      <c r="D11" s="60">
        <v>30</v>
      </c>
      <c r="E11" s="91">
        <v>5</v>
      </c>
      <c r="F11" s="31"/>
      <c r="G11" s="31"/>
      <c r="H11" s="31"/>
      <c r="I11" s="31"/>
      <c r="J11" s="31"/>
      <c r="K11" s="31"/>
      <c r="L11" s="31"/>
      <c r="M11" s="31"/>
      <c r="N11" s="31"/>
      <c r="O11" s="92">
        <f t="shared" si="0"/>
        <v>18</v>
      </c>
      <c r="P11" s="91">
        <v>30</v>
      </c>
      <c r="Q11" s="91">
        <v>5</v>
      </c>
      <c r="R11" s="31"/>
      <c r="S11" s="31"/>
      <c r="T11" s="31"/>
      <c r="U11" s="31"/>
      <c r="V11" s="31"/>
      <c r="W11" s="31"/>
      <c r="X11" s="31"/>
      <c r="Y11" s="31"/>
      <c r="Z11" s="31"/>
      <c r="AA11" s="31">
        <v>10</v>
      </c>
      <c r="AB11" s="92">
        <f t="shared" si="1"/>
        <v>18</v>
      </c>
      <c r="AC11" s="31">
        <v>5</v>
      </c>
      <c r="AD11" s="31">
        <v>5</v>
      </c>
      <c r="AE11" s="92">
        <f t="shared" si="2"/>
        <v>10</v>
      </c>
      <c r="AF11" s="93" t="str">
        <f t="shared" si="3"/>
        <v>DA</v>
      </c>
      <c r="AG11" s="92">
        <f t="shared" si="4"/>
        <v>66</v>
      </c>
      <c r="AH11" s="259" t="str">
        <f t="shared" si="5"/>
        <v>APROBADO</v>
      </c>
      <c r="AI11" s="260"/>
      <c r="AJ11" s="260"/>
      <c r="AK11" s="260"/>
      <c r="AL11" s="260"/>
      <c r="AM11" s="261"/>
      <c r="AN11" s="48" t="s">
        <v>93</v>
      </c>
      <c r="AO11" s="280">
        <f>COUNTIF(AF9:AF44,"DO")</f>
        <v>0</v>
      </c>
      <c r="AP11" s="261"/>
      <c r="AQ11" s="95"/>
      <c r="AR11" s="95"/>
    </row>
    <row r="12" spans="1:48" ht="12" customHeight="1" x14ac:dyDescent="0.3">
      <c r="A12" s="58">
        <v>4</v>
      </c>
      <c r="B12" s="90" t="str">
        <f>'C. FILIACION'!B11</f>
        <v>CLAURE PARAVICINI RASHEL ROSALY</v>
      </c>
      <c r="C12" s="31">
        <v>10</v>
      </c>
      <c r="D12" s="60">
        <v>30</v>
      </c>
      <c r="E12" s="91">
        <v>5</v>
      </c>
      <c r="F12" s="31"/>
      <c r="G12" s="31"/>
      <c r="H12" s="31"/>
      <c r="I12" s="31"/>
      <c r="J12" s="31"/>
      <c r="K12" s="31"/>
      <c r="L12" s="31"/>
      <c r="M12" s="31"/>
      <c r="N12" s="31"/>
      <c r="O12" s="92">
        <f t="shared" si="0"/>
        <v>18</v>
      </c>
      <c r="P12" s="91">
        <v>30</v>
      </c>
      <c r="Q12" s="91">
        <v>5</v>
      </c>
      <c r="R12" s="31"/>
      <c r="S12" s="31"/>
      <c r="T12" s="31"/>
      <c r="U12" s="31"/>
      <c r="V12" s="31"/>
      <c r="W12" s="31"/>
      <c r="X12" s="31"/>
      <c r="Y12" s="31"/>
      <c r="Z12" s="31"/>
      <c r="AA12" s="31">
        <v>10</v>
      </c>
      <c r="AB12" s="92">
        <f t="shared" si="1"/>
        <v>18</v>
      </c>
      <c r="AC12" s="31">
        <v>5</v>
      </c>
      <c r="AD12" s="31">
        <v>5</v>
      </c>
      <c r="AE12" s="92">
        <f t="shared" si="2"/>
        <v>10</v>
      </c>
      <c r="AF12" s="93" t="str">
        <f t="shared" si="3"/>
        <v>DA</v>
      </c>
      <c r="AG12" s="92">
        <f t="shared" si="4"/>
        <v>66</v>
      </c>
      <c r="AH12" s="259" t="str">
        <f t="shared" si="5"/>
        <v>APROBADO</v>
      </c>
      <c r="AI12" s="260"/>
      <c r="AJ12" s="260"/>
      <c r="AK12" s="260"/>
      <c r="AL12" s="260"/>
      <c r="AM12" s="261"/>
      <c r="AN12" s="48" t="s">
        <v>94</v>
      </c>
      <c r="AO12" s="280">
        <f>COUNTIF(AF9:AF44,"DP")</f>
        <v>25</v>
      </c>
      <c r="AP12" s="261"/>
      <c r="AQ12" s="95"/>
      <c r="AR12" s="95"/>
    </row>
    <row r="13" spans="1:48" ht="12" customHeight="1" x14ac:dyDescent="0.3">
      <c r="A13" s="58">
        <v>5</v>
      </c>
      <c r="B13" s="90" t="str">
        <f>'C. FILIACION'!B12</f>
        <v>CONDORI FLORES ALEJANDRO BRYAN</v>
      </c>
      <c r="C13" s="31">
        <v>10</v>
      </c>
      <c r="D13" s="60">
        <v>30</v>
      </c>
      <c r="E13" s="91">
        <v>5</v>
      </c>
      <c r="F13" s="31"/>
      <c r="G13" s="31"/>
      <c r="H13" s="31"/>
      <c r="I13" s="31"/>
      <c r="J13" s="31"/>
      <c r="K13" s="31"/>
      <c r="L13" s="31"/>
      <c r="M13" s="31"/>
      <c r="N13" s="31"/>
      <c r="O13" s="92">
        <f t="shared" si="0"/>
        <v>18</v>
      </c>
      <c r="P13" s="91">
        <v>30</v>
      </c>
      <c r="Q13" s="91">
        <v>5</v>
      </c>
      <c r="R13" s="31"/>
      <c r="S13" s="31"/>
      <c r="T13" s="31"/>
      <c r="U13" s="31"/>
      <c r="V13" s="31"/>
      <c r="W13" s="31"/>
      <c r="X13" s="31"/>
      <c r="Y13" s="31"/>
      <c r="Z13" s="31"/>
      <c r="AA13" s="31">
        <v>10</v>
      </c>
      <c r="AB13" s="92">
        <f t="shared" si="1"/>
        <v>18</v>
      </c>
      <c r="AC13" s="31">
        <v>5</v>
      </c>
      <c r="AD13" s="31">
        <v>5</v>
      </c>
      <c r="AE13" s="92">
        <f t="shared" si="2"/>
        <v>10</v>
      </c>
      <c r="AF13" s="93" t="str">
        <f t="shared" si="3"/>
        <v>DA</v>
      </c>
      <c r="AG13" s="92">
        <f t="shared" si="4"/>
        <v>66</v>
      </c>
      <c r="AH13" s="259" t="str">
        <f t="shared" si="5"/>
        <v>APROBADO</v>
      </c>
      <c r="AI13" s="260"/>
      <c r="AJ13" s="260"/>
      <c r="AK13" s="260"/>
      <c r="AL13" s="260"/>
      <c r="AM13" s="261"/>
      <c r="AN13" s="95"/>
      <c r="AO13" s="95"/>
      <c r="AP13" s="95"/>
      <c r="AQ13" s="95"/>
      <c r="AR13" s="95"/>
    </row>
    <row r="14" spans="1:48" ht="12" customHeight="1" x14ac:dyDescent="0.3">
      <c r="A14" s="58">
        <v>6</v>
      </c>
      <c r="B14" s="90" t="str">
        <f>'C. FILIACION'!B13</f>
        <v>DE LA CRUZ SANDOVAL JHON MARCO</v>
      </c>
      <c r="C14" s="31">
        <v>10</v>
      </c>
      <c r="D14" s="60">
        <v>30</v>
      </c>
      <c r="E14" s="91">
        <v>5</v>
      </c>
      <c r="F14" s="31"/>
      <c r="G14" s="31"/>
      <c r="H14" s="31"/>
      <c r="I14" s="31"/>
      <c r="J14" s="31"/>
      <c r="K14" s="31"/>
      <c r="L14" s="31"/>
      <c r="M14" s="31"/>
      <c r="N14" s="31"/>
      <c r="O14" s="92">
        <f t="shared" si="0"/>
        <v>18</v>
      </c>
      <c r="P14" s="91">
        <v>30</v>
      </c>
      <c r="Q14" s="91">
        <v>5</v>
      </c>
      <c r="R14" s="31"/>
      <c r="S14" s="31"/>
      <c r="T14" s="31"/>
      <c r="U14" s="31"/>
      <c r="V14" s="31"/>
      <c r="W14" s="31"/>
      <c r="X14" s="31"/>
      <c r="Y14" s="31"/>
      <c r="Z14" s="31"/>
      <c r="AA14" s="31">
        <v>10</v>
      </c>
      <c r="AB14" s="92">
        <f t="shared" si="1"/>
        <v>18</v>
      </c>
      <c r="AC14" s="31">
        <v>5</v>
      </c>
      <c r="AD14" s="31">
        <v>5</v>
      </c>
      <c r="AE14" s="92">
        <f t="shared" si="2"/>
        <v>10</v>
      </c>
      <c r="AF14" s="93" t="str">
        <f t="shared" si="3"/>
        <v>DA</v>
      </c>
      <c r="AG14" s="92">
        <f t="shared" si="4"/>
        <v>66</v>
      </c>
      <c r="AH14" s="259" t="str">
        <f t="shared" si="5"/>
        <v>APROBADO</v>
      </c>
      <c r="AI14" s="260"/>
      <c r="AJ14" s="260"/>
      <c r="AK14" s="260"/>
      <c r="AL14" s="260"/>
      <c r="AM14" s="261"/>
      <c r="AN14" s="95"/>
      <c r="AO14" s="95"/>
      <c r="AP14" s="95"/>
      <c r="AQ14" s="95"/>
      <c r="AR14" s="95"/>
    </row>
    <row r="15" spans="1:48" ht="12" customHeight="1" x14ac:dyDescent="0.3">
      <c r="A15" s="58">
        <v>7</v>
      </c>
      <c r="B15" s="90" t="str">
        <f>'C. FILIACION'!B14</f>
        <v>GARCÍA IGNACIO MISHEL MAYA</v>
      </c>
      <c r="C15" s="31">
        <v>10</v>
      </c>
      <c r="D15" s="60">
        <v>30</v>
      </c>
      <c r="E15" s="91">
        <v>5</v>
      </c>
      <c r="F15" s="31"/>
      <c r="G15" s="31"/>
      <c r="H15" s="31"/>
      <c r="I15" s="31"/>
      <c r="J15" s="31"/>
      <c r="K15" s="31"/>
      <c r="L15" s="31"/>
      <c r="M15" s="31"/>
      <c r="N15" s="31"/>
      <c r="O15" s="92">
        <f t="shared" si="0"/>
        <v>18</v>
      </c>
      <c r="P15" s="91">
        <v>30</v>
      </c>
      <c r="Q15" s="91">
        <v>5</v>
      </c>
      <c r="R15" s="31"/>
      <c r="S15" s="31"/>
      <c r="T15" s="31"/>
      <c r="U15" s="31"/>
      <c r="V15" s="31"/>
      <c r="W15" s="31"/>
      <c r="X15" s="31"/>
      <c r="Y15" s="31"/>
      <c r="Z15" s="31"/>
      <c r="AA15" s="31">
        <v>10</v>
      </c>
      <c r="AB15" s="92">
        <f t="shared" si="1"/>
        <v>18</v>
      </c>
      <c r="AC15" s="31">
        <v>5</v>
      </c>
      <c r="AD15" s="31">
        <v>5</v>
      </c>
      <c r="AE15" s="92">
        <f t="shared" si="2"/>
        <v>10</v>
      </c>
      <c r="AF15" s="93" t="str">
        <f t="shared" si="3"/>
        <v>DA</v>
      </c>
      <c r="AG15" s="92">
        <f t="shared" si="4"/>
        <v>66</v>
      </c>
      <c r="AH15" s="259" t="str">
        <f t="shared" si="5"/>
        <v>APROBADO</v>
      </c>
      <c r="AI15" s="260"/>
      <c r="AJ15" s="260"/>
      <c r="AK15" s="260"/>
      <c r="AL15" s="260"/>
      <c r="AM15" s="261"/>
      <c r="AN15" s="95"/>
      <c r="AO15" s="95"/>
      <c r="AP15" s="95"/>
      <c r="AQ15" s="95"/>
      <c r="AR15" s="95"/>
    </row>
    <row r="16" spans="1:48" ht="12" customHeight="1" x14ac:dyDescent="0.3">
      <c r="A16" s="58">
        <v>8</v>
      </c>
      <c r="B16" s="90" t="str">
        <f>'C. FILIACION'!B15</f>
        <v>HELGUERO SANCHEZ JHOYSI CAMIL</v>
      </c>
      <c r="C16" s="31">
        <v>10</v>
      </c>
      <c r="D16" s="60">
        <v>30</v>
      </c>
      <c r="E16" s="91">
        <v>5</v>
      </c>
      <c r="F16" s="31"/>
      <c r="G16" s="31"/>
      <c r="H16" s="31"/>
      <c r="I16" s="31"/>
      <c r="J16" s="31"/>
      <c r="K16" s="31"/>
      <c r="L16" s="31"/>
      <c r="M16" s="31"/>
      <c r="N16" s="31"/>
      <c r="O16" s="92">
        <f t="shared" si="0"/>
        <v>18</v>
      </c>
      <c r="P16" s="91">
        <v>30</v>
      </c>
      <c r="Q16" s="91">
        <v>5</v>
      </c>
      <c r="R16" s="31"/>
      <c r="S16" s="31"/>
      <c r="T16" s="31"/>
      <c r="U16" s="31"/>
      <c r="V16" s="31"/>
      <c r="W16" s="31"/>
      <c r="X16" s="31"/>
      <c r="Y16" s="31"/>
      <c r="Z16" s="31"/>
      <c r="AA16" s="31">
        <v>10</v>
      </c>
      <c r="AB16" s="92">
        <f t="shared" si="1"/>
        <v>18</v>
      </c>
      <c r="AC16" s="31">
        <v>5</v>
      </c>
      <c r="AD16" s="31">
        <v>5</v>
      </c>
      <c r="AE16" s="92">
        <f t="shared" si="2"/>
        <v>10</v>
      </c>
      <c r="AF16" s="93" t="str">
        <f t="shared" si="3"/>
        <v>DA</v>
      </c>
      <c r="AG16" s="92">
        <f t="shared" si="4"/>
        <v>66</v>
      </c>
      <c r="AH16" s="259" t="str">
        <f t="shared" si="5"/>
        <v>APROBADO</v>
      </c>
      <c r="AI16" s="260"/>
      <c r="AJ16" s="260"/>
      <c r="AK16" s="260"/>
      <c r="AL16" s="260"/>
      <c r="AM16" s="261"/>
      <c r="AN16" s="95"/>
      <c r="AO16" s="95"/>
      <c r="AP16" s="95"/>
      <c r="AQ16" s="95"/>
      <c r="AR16" s="95"/>
    </row>
    <row r="17" spans="1:44" ht="12" customHeight="1" x14ac:dyDescent="0.3">
      <c r="A17" s="58">
        <v>9</v>
      </c>
      <c r="B17" s="90" t="str">
        <f>'C. FILIACION'!B16</f>
        <v>LEDEZMA ORELLANA RICARDO ERIK</v>
      </c>
      <c r="C17" s="31">
        <v>10</v>
      </c>
      <c r="D17" s="60">
        <v>30</v>
      </c>
      <c r="E17" s="91">
        <v>5</v>
      </c>
      <c r="F17" s="31"/>
      <c r="G17" s="31"/>
      <c r="H17" s="31"/>
      <c r="I17" s="31"/>
      <c r="J17" s="31"/>
      <c r="K17" s="31"/>
      <c r="L17" s="31"/>
      <c r="M17" s="31"/>
      <c r="N17" s="31"/>
      <c r="O17" s="92">
        <f t="shared" si="0"/>
        <v>18</v>
      </c>
      <c r="P17" s="91">
        <v>30</v>
      </c>
      <c r="Q17" s="91">
        <v>5</v>
      </c>
      <c r="R17" s="31"/>
      <c r="S17" s="31"/>
      <c r="T17" s="31"/>
      <c r="U17" s="31"/>
      <c r="V17" s="31"/>
      <c r="W17" s="31"/>
      <c r="X17" s="31"/>
      <c r="Y17" s="31"/>
      <c r="Z17" s="31"/>
      <c r="AA17" s="31">
        <v>10</v>
      </c>
      <c r="AB17" s="92">
        <f t="shared" si="1"/>
        <v>18</v>
      </c>
      <c r="AC17" s="31">
        <v>5</v>
      </c>
      <c r="AD17" s="31">
        <v>5</v>
      </c>
      <c r="AE17" s="92">
        <f t="shared" si="2"/>
        <v>10</v>
      </c>
      <c r="AF17" s="93" t="str">
        <f t="shared" si="3"/>
        <v>DA</v>
      </c>
      <c r="AG17" s="92">
        <f t="shared" si="4"/>
        <v>66</v>
      </c>
      <c r="AH17" s="259" t="str">
        <f t="shared" si="5"/>
        <v>APROBADO</v>
      </c>
      <c r="AI17" s="260"/>
      <c r="AJ17" s="260"/>
      <c r="AK17" s="260"/>
      <c r="AL17" s="260"/>
      <c r="AM17" s="261"/>
      <c r="AN17" s="95"/>
      <c r="AO17" s="95"/>
      <c r="AP17" s="95"/>
      <c r="AQ17" s="95"/>
      <c r="AR17" s="95"/>
    </row>
    <row r="18" spans="1:44" ht="12" customHeight="1" x14ac:dyDescent="0.3">
      <c r="A18" s="58">
        <v>10</v>
      </c>
      <c r="B18" s="90" t="str">
        <f>'C. FILIACION'!B17</f>
        <v>MAMANI LOPEZ ELIZABETH MILDRED</v>
      </c>
      <c r="C18" s="31">
        <v>10</v>
      </c>
      <c r="D18" s="60">
        <v>30</v>
      </c>
      <c r="E18" s="91">
        <v>30</v>
      </c>
      <c r="F18" s="31"/>
      <c r="G18" s="31"/>
      <c r="H18" s="31"/>
      <c r="I18" s="31"/>
      <c r="J18" s="31"/>
      <c r="K18" s="31"/>
      <c r="L18" s="31"/>
      <c r="M18" s="31"/>
      <c r="N18" s="31"/>
      <c r="O18" s="92">
        <f t="shared" si="0"/>
        <v>30</v>
      </c>
      <c r="P18" s="91">
        <v>30</v>
      </c>
      <c r="Q18" s="91">
        <v>30</v>
      </c>
      <c r="R18" s="31"/>
      <c r="S18" s="31"/>
      <c r="T18" s="31"/>
      <c r="U18" s="31"/>
      <c r="V18" s="31"/>
      <c r="W18" s="31"/>
      <c r="X18" s="31"/>
      <c r="Y18" s="31"/>
      <c r="Z18" s="31"/>
      <c r="AA18" s="31">
        <v>10</v>
      </c>
      <c r="AB18" s="92">
        <f t="shared" si="1"/>
        <v>30</v>
      </c>
      <c r="AC18" s="31">
        <v>5</v>
      </c>
      <c r="AD18" s="31">
        <v>5</v>
      </c>
      <c r="AE18" s="92">
        <f t="shared" si="2"/>
        <v>10</v>
      </c>
      <c r="AF18" s="93" t="str">
        <f t="shared" si="3"/>
        <v>DP</v>
      </c>
      <c r="AG18" s="92">
        <f t="shared" si="4"/>
        <v>90</v>
      </c>
      <c r="AH18" s="259" t="str">
        <f t="shared" si="5"/>
        <v>APROBADO</v>
      </c>
      <c r="AI18" s="260"/>
      <c r="AJ18" s="260"/>
      <c r="AK18" s="260"/>
      <c r="AL18" s="260"/>
      <c r="AM18" s="261"/>
      <c r="AN18" s="95"/>
      <c r="AO18" s="95"/>
      <c r="AP18" s="95"/>
      <c r="AQ18" s="95"/>
      <c r="AR18" s="95"/>
    </row>
    <row r="19" spans="1:44" ht="12" customHeight="1" x14ac:dyDescent="0.3">
      <c r="A19" s="58">
        <v>11</v>
      </c>
      <c r="B19" s="90" t="str">
        <f>'C. FILIACION'!B18</f>
        <v>MEDINA CHOQUE JUAN JOSE</v>
      </c>
      <c r="C19" s="31">
        <v>10</v>
      </c>
      <c r="D19" s="60">
        <v>30</v>
      </c>
      <c r="E19" s="91">
        <v>5</v>
      </c>
      <c r="F19" s="31"/>
      <c r="G19" s="31"/>
      <c r="H19" s="31"/>
      <c r="I19" s="31"/>
      <c r="J19" s="31"/>
      <c r="K19" s="31"/>
      <c r="L19" s="31"/>
      <c r="M19" s="31"/>
      <c r="N19" s="31"/>
      <c r="O19" s="92">
        <f t="shared" si="0"/>
        <v>18</v>
      </c>
      <c r="P19" s="91">
        <v>30</v>
      </c>
      <c r="Q19" s="91">
        <v>5</v>
      </c>
      <c r="R19" s="31"/>
      <c r="S19" s="31"/>
      <c r="T19" s="31"/>
      <c r="U19" s="31"/>
      <c r="V19" s="31"/>
      <c r="W19" s="31"/>
      <c r="X19" s="31"/>
      <c r="Y19" s="31"/>
      <c r="Z19" s="31"/>
      <c r="AA19" s="31">
        <v>10</v>
      </c>
      <c r="AB19" s="92">
        <f t="shared" si="1"/>
        <v>18</v>
      </c>
      <c r="AC19" s="31">
        <v>5</v>
      </c>
      <c r="AD19" s="31">
        <v>5</v>
      </c>
      <c r="AE19" s="92">
        <f t="shared" si="2"/>
        <v>10</v>
      </c>
      <c r="AF19" s="93" t="str">
        <f t="shared" si="3"/>
        <v>DA</v>
      </c>
      <c r="AG19" s="92">
        <f t="shared" si="4"/>
        <v>66</v>
      </c>
      <c r="AH19" s="259" t="str">
        <f t="shared" si="5"/>
        <v>APROBADO</v>
      </c>
      <c r="AI19" s="260"/>
      <c r="AJ19" s="260"/>
      <c r="AK19" s="260"/>
      <c r="AL19" s="260"/>
      <c r="AM19" s="261"/>
      <c r="AN19" s="95"/>
      <c r="AO19" s="95"/>
      <c r="AP19" s="95"/>
      <c r="AQ19" s="95"/>
      <c r="AR19" s="95"/>
    </row>
    <row r="20" spans="1:44" ht="12" customHeight="1" x14ac:dyDescent="0.3">
      <c r="A20" s="58">
        <v>12</v>
      </c>
      <c r="B20" s="90" t="str">
        <f>'C. FILIACION'!B19</f>
        <v>NINA RUEDA SEBASTIAN CARLOS</v>
      </c>
      <c r="C20" s="31">
        <v>10</v>
      </c>
      <c r="D20" s="60">
        <v>30</v>
      </c>
      <c r="E20" s="91">
        <v>30</v>
      </c>
      <c r="F20" s="31"/>
      <c r="G20" s="31"/>
      <c r="H20" s="31"/>
      <c r="I20" s="31"/>
      <c r="J20" s="31"/>
      <c r="K20" s="31"/>
      <c r="L20" s="31"/>
      <c r="M20" s="31"/>
      <c r="N20" s="31"/>
      <c r="O20" s="92">
        <f t="shared" si="0"/>
        <v>30</v>
      </c>
      <c r="P20" s="91">
        <v>30</v>
      </c>
      <c r="Q20" s="91">
        <v>30</v>
      </c>
      <c r="R20" s="31"/>
      <c r="S20" s="31"/>
      <c r="T20" s="31"/>
      <c r="U20" s="31"/>
      <c r="V20" s="31"/>
      <c r="W20" s="31"/>
      <c r="X20" s="31"/>
      <c r="Y20" s="31"/>
      <c r="Z20" s="31"/>
      <c r="AA20" s="31">
        <v>10</v>
      </c>
      <c r="AB20" s="92">
        <f t="shared" si="1"/>
        <v>30</v>
      </c>
      <c r="AC20" s="31">
        <v>5</v>
      </c>
      <c r="AD20" s="31">
        <v>5</v>
      </c>
      <c r="AE20" s="92">
        <f t="shared" si="2"/>
        <v>10</v>
      </c>
      <c r="AF20" s="93" t="str">
        <f t="shared" si="3"/>
        <v>DP</v>
      </c>
      <c r="AG20" s="92">
        <f t="shared" si="4"/>
        <v>90</v>
      </c>
      <c r="AH20" s="259" t="str">
        <f t="shared" si="5"/>
        <v>APROBADO</v>
      </c>
      <c r="AI20" s="260"/>
      <c r="AJ20" s="260"/>
      <c r="AK20" s="260"/>
      <c r="AL20" s="260"/>
      <c r="AM20" s="261"/>
      <c r="AN20" s="95"/>
      <c r="AO20" s="95"/>
      <c r="AP20" s="95"/>
      <c r="AQ20" s="95"/>
      <c r="AR20" s="95"/>
    </row>
    <row r="21" spans="1:44" ht="12" customHeight="1" x14ac:dyDescent="0.3">
      <c r="A21" s="58">
        <v>13</v>
      </c>
      <c r="B21" s="90" t="str">
        <f>'C. FILIACION'!B20</f>
        <v>RODRIGUEZ RAMIREZ NATALY ARIANA</v>
      </c>
      <c r="C21" s="31">
        <v>10</v>
      </c>
      <c r="D21" s="60">
        <v>30</v>
      </c>
      <c r="E21" s="91">
        <v>30</v>
      </c>
      <c r="F21" s="31"/>
      <c r="G21" s="31"/>
      <c r="H21" s="31"/>
      <c r="I21" s="31"/>
      <c r="J21" s="31"/>
      <c r="K21" s="31"/>
      <c r="L21" s="31"/>
      <c r="M21" s="31"/>
      <c r="N21" s="31"/>
      <c r="O21" s="92">
        <f t="shared" si="0"/>
        <v>30</v>
      </c>
      <c r="P21" s="91">
        <v>30</v>
      </c>
      <c r="Q21" s="91">
        <v>30</v>
      </c>
      <c r="R21" s="31"/>
      <c r="S21" s="31"/>
      <c r="T21" s="31"/>
      <c r="U21" s="31"/>
      <c r="V21" s="31"/>
      <c r="W21" s="31"/>
      <c r="X21" s="31"/>
      <c r="Y21" s="31"/>
      <c r="Z21" s="31"/>
      <c r="AA21" s="31">
        <v>10</v>
      </c>
      <c r="AB21" s="92">
        <f t="shared" si="1"/>
        <v>30</v>
      </c>
      <c r="AC21" s="31">
        <v>5</v>
      </c>
      <c r="AD21" s="31">
        <v>5</v>
      </c>
      <c r="AE21" s="92">
        <f t="shared" si="2"/>
        <v>10</v>
      </c>
      <c r="AF21" s="93" t="str">
        <f t="shared" si="3"/>
        <v>DP</v>
      </c>
      <c r="AG21" s="92">
        <f t="shared" si="4"/>
        <v>90</v>
      </c>
      <c r="AH21" s="259" t="str">
        <f t="shared" si="5"/>
        <v>APROBADO</v>
      </c>
      <c r="AI21" s="260"/>
      <c r="AJ21" s="260"/>
      <c r="AK21" s="260"/>
      <c r="AL21" s="260"/>
      <c r="AM21" s="261"/>
      <c r="AN21" s="95"/>
      <c r="AO21" s="95"/>
      <c r="AP21" s="95"/>
      <c r="AQ21" s="95"/>
      <c r="AR21" s="95"/>
    </row>
    <row r="22" spans="1:44" ht="12" customHeight="1" x14ac:dyDescent="0.3">
      <c r="A22" s="58">
        <v>14</v>
      </c>
      <c r="B22" s="90" t="str">
        <f>'C. FILIACION'!B21</f>
        <v>SALAZAR CANAZA CRISTINA MAYRA</v>
      </c>
      <c r="C22" s="31">
        <v>10</v>
      </c>
      <c r="D22" s="60">
        <v>30</v>
      </c>
      <c r="E22" s="91">
        <v>30</v>
      </c>
      <c r="F22" s="31"/>
      <c r="G22" s="31"/>
      <c r="H22" s="31"/>
      <c r="I22" s="31"/>
      <c r="J22" s="31"/>
      <c r="K22" s="31"/>
      <c r="L22" s="31"/>
      <c r="M22" s="31"/>
      <c r="N22" s="31"/>
      <c r="O22" s="92">
        <f t="shared" si="0"/>
        <v>30</v>
      </c>
      <c r="P22" s="91">
        <v>30</v>
      </c>
      <c r="Q22" s="91">
        <v>30</v>
      </c>
      <c r="R22" s="31"/>
      <c r="S22" s="31"/>
      <c r="T22" s="31"/>
      <c r="U22" s="31"/>
      <c r="V22" s="31"/>
      <c r="W22" s="31"/>
      <c r="X22" s="31"/>
      <c r="Y22" s="31"/>
      <c r="Z22" s="31"/>
      <c r="AA22" s="31">
        <v>10</v>
      </c>
      <c r="AB22" s="92">
        <f t="shared" si="1"/>
        <v>30</v>
      </c>
      <c r="AC22" s="31">
        <v>5</v>
      </c>
      <c r="AD22" s="31">
        <v>5</v>
      </c>
      <c r="AE22" s="92">
        <f t="shared" si="2"/>
        <v>10</v>
      </c>
      <c r="AF22" s="93" t="str">
        <f t="shared" si="3"/>
        <v>DP</v>
      </c>
      <c r="AG22" s="92">
        <f t="shared" si="4"/>
        <v>90</v>
      </c>
      <c r="AH22" s="259" t="str">
        <f t="shared" si="5"/>
        <v>APROBADO</v>
      </c>
      <c r="AI22" s="260"/>
      <c r="AJ22" s="260"/>
      <c r="AK22" s="260"/>
      <c r="AL22" s="260"/>
      <c r="AM22" s="261"/>
      <c r="AN22" s="95"/>
      <c r="AO22" s="95"/>
      <c r="AP22" s="95"/>
      <c r="AQ22" s="95"/>
      <c r="AR22" s="95"/>
    </row>
    <row r="23" spans="1:44" ht="12" customHeight="1" x14ac:dyDescent="0.3">
      <c r="A23" s="58">
        <v>15</v>
      </c>
      <c r="B23" s="90" t="str">
        <f>'C. FILIACION'!B22</f>
        <v>SEVILLANO BALTAZAR AGNESE</v>
      </c>
      <c r="C23" s="31">
        <v>10</v>
      </c>
      <c r="D23" s="60">
        <v>30</v>
      </c>
      <c r="E23" s="91">
        <v>30</v>
      </c>
      <c r="F23" s="31"/>
      <c r="G23" s="31"/>
      <c r="H23" s="31"/>
      <c r="I23" s="31"/>
      <c r="J23" s="31"/>
      <c r="K23" s="31"/>
      <c r="L23" s="31"/>
      <c r="M23" s="31"/>
      <c r="N23" s="31"/>
      <c r="O23" s="92">
        <f t="shared" si="0"/>
        <v>30</v>
      </c>
      <c r="P23" s="91">
        <v>30</v>
      </c>
      <c r="Q23" s="91">
        <v>30</v>
      </c>
      <c r="R23" s="31"/>
      <c r="S23" s="31"/>
      <c r="T23" s="31"/>
      <c r="U23" s="31"/>
      <c r="V23" s="31"/>
      <c r="W23" s="31"/>
      <c r="X23" s="31"/>
      <c r="Y23" s="31"/>
      <c r="Z23" s="31"/>
      <c r="AA23" s="31">
        <v>10</v>
      </c>
      <c r="AB23" s="92">
        <f t="shared" si="1"/>
        <v>30</v>
      </c>
      <c r="AC23" s="31">
        <v>5</v>
      </c>
      <c r="AD23" s="31">
        <v>5</v>
      </c>
      <c r="AE23" s="92">
        <f t="shared" si="2"/>
        <v>10</v>
      </c>
      <c r="AF23" s="93" t="str">
        <f t="shared" si="3"/>
        <v>DP</v>
      </c>
      <c r="AG23" s="92">
        <f t="shared" si="4"/>
        <v>90</v>
      </c>
      <c r="AH23" s="259" t="str">
        <f t="shared" si="5"/>
        <v>APROBADO</v>
      </c>
      <c r="AI23" s="260"/>
      <c r="AJ23" s="260"/>
      <c r="AK23" s="260"/>
      <c r="AL23" s="260"/>
      <c r="AM23" s="261"/>
      <c r="AN23" s="95"/>
      <c r="AO23" s="95"/>
      <c r="AP23" s="95"/>
      <c r="AQ23" s="95"/>
      <c r="AR23" s="95"/>
    </row>
    <row r="24" spans="1:44" ht="12" customHeight="1" x14ac:dyDescent="0.3">
      <c r="A24" s="58">
        <v>16</v>
      </c>
      <c r="B24" s="90" t="str">
        <f>'C. FILIACION'!B23</f>
        <v>TOCONAS HUAYGUA VICTORIA FERNANDA</v>
      </c>
      <c r="C24" s="31">
        <v>10</v>
      </c>
      <c r="D24" s="91">
        <v>30</v>
      </c>
      <c r="E24" s="91">
        <v>5</v>
      </c>
      <c r="F24" s="31"/>
      <c r="G24" s="31"/>
      <c r="H24" s="31"/>
      <c r="I24" s="31"/>
      <c r="J24" s="31"/>
      <c r="K24" s="31"/>
      <c r="L24" s="31"/>
      <c r="M24" s="31"/>
      <c r="N24" s="31"/>
      <c r="O24" s="92">
        <f t="shared" si="0"/>
        <v>18</v>
      </c>
      <c r="P24" s="91">
        <v>30</v>
      </c>
      <c r="Q24" s="91">
        <v>5</v>
      </c>
      <c r="R24" s="31"/>
      <c r="S24" s="31"/>
      <c r="T24" s="31"/>
      <c r="U24" s="31"/>
      <c r="V24" s="31"/>
      <c r="W24" s="31"/>
      <c r="X24" s="31"/>
      <c r="Y24" s="31"/>
      <c r="Z24" s="31"/>
      <c r="AA24" s="31">
        <v>10</v>
      </c>
      <c r="AB24" s="92">
        <f t="shared" si="1"/>
        <v>18</v>
      </c>
      <c r="AC24" s="31">
        <v>5</v>
      </c>
      <c r="AD24" s="31">
        <v>5</v>
      </c>
      <c r="AE24" s="92">
        <f t="shared" si="2"/>
        <v>10</v>
      </c>
      <c r="AF24" s="93" t="str">
        <f t="shared" si="3"/>
        <v>DA</v>
      </c>
      <c r="AG24" s="92">
        <f t="shared" si="4"/>
        <v>66</v>
      </c>
      <c r="AH24" s="259" t="str">
        <f t="shared" si="5"/>
        <v>APROBADO</v>
      </c>
      <c r="AI24" s="260"/>
      <c r="AJ24" s="260"/>
      <c r="AK24" s="260"/>
      <c r="AL24" s="260"/>
      <c r="AM24" s="261"/>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E9:N23 D24: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T37" sqref="T37"/>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64" t="s">
        <v>95</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62" t="s">
        <v>49</v>
      </c>
      <c r="AD3" s="260"/>
      <c r="AE3" s="260"/>
      <c r="AF3" s="260"/>
      <c r="AG3" s="260"/>
      <c r="AH3" s="261"/>
      <c r="AI3" s="222">
        <f>CARÁTULA!$H$19</f>
        <v>44326</v>
      </c>
      <c r="AJ3" s="204"/>
      <c r="AK3" s="204"/>
      <c r="AL3" s="204"/>
      <c r="AM3" s="204"/>
      <c r="AN3" s="265" t="s">
        <v>50</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62" t="s">
        <v>52</v>
      </c>
      <c r="AD4" s="260"/>
      <c r="AE4" s="260"/>
      <c r="AF4" s="260"/>
      <c r="AG4" s="260"/>
      <c r="AH4" s="261"/>
      <c r="AI4" s="222">
        <f>CARÁTULA!$J$19</f>
        <v>44439</v>
      </c>
      <c r="AJ4" s="204"/>
      <c r="AK4" s="204"/>
      <c r="AL4" s="204"/>
      <c r="AM4" s="204"/>
      <c r="AN4" s="258">
        <f ca="1">AI4-AI5</f>
        <v>21</v>
      </c>
      <c r="AO4" s="214"/>
      <c r="AP4" s="214"/>
      <c r="AQ4" s="214"/>
      <c r="AR4" s="215"/>
    </row>
    <row r="5" spans="1:48" ht="12.75" customHeight="1" x14ac:dyDescent="0.35">
      <c r="A5" s="71"/>
      <c r="B5" s="74" t="s">
        <v>22</v>
      </c>
      <c r="C5" s="75" t="str">
        <f>CARÁTULA!$C$23</f>
        <v>2do de Secundaria</v>
      </c>
      <c r="D5" s="76"/>
      <c r="E5" s="76"/>
      <c r="F5" s="76"/>
      <c r="G5" s="74"/>
      <c r="H5" s="74"/>
      <c r="I5" s="74"/>
      <c r="J5" s="74"/>
      <c r="K5" s="74"/>
      <c r="L5" s="74"/>
      <c r="M5" s="74"/>
      <c r="N5" s="74"/>
      <c r="O5" s="74" t="s">
        <v>23</v>
      </c>
      <c r="P5" s="79"/>
      <c r="Q5" s="79"/>
      <c r="R5" s="79"/>
      <c r="S5" s="270">
        <f ca="1">TODAY()</f>
        <v>44418</v>
      </c>
      <c r="T5" s="195"/>
      <c r="U5" s="195"/>
      <c r="V5" s="195"/>
      <c r="W5" s="195"/>
      <c r="X5" s="195"/>
      <c r="Y5" s="195"/>
      <c r="Z5" s="195"/>
      <c r="AA5" s="196"/>
      <c r="AB5" s="76"/>
      <c r="AC5" s="263" t="s">
        <v>53</v>
      </c>
      <c r="AD5" s="260"/>
      <c r="AE5" s="260"/>
      <c r="AF5" s="260"/>
      <c r="AG5" s="260"/>
      <c r="AH5" s="261"/>
      <c r="AI5" s="266">
        <f ca="1">TODAY()</f>
        <v>44418</v>
      </c>
      <c r="AJ5" s="204"/>
      <c r="AK5" s="204"/>
      <c r="AL5" s="204"/>
      <c r="AM5" s="204"/>
      <c r="AN5" s="216"/>
      <c r="AO5" s="217"/>
      <c r="AP5" s="217"/>
      <c r="AQ5" s="217"/>
      <c r="AR5" s="218"/>
    </row>
    <row r="6" spans="1:48" ht="12.75" customHeight="1" x14ac:dyDescent="0.35">
      <c r="A6" s="71"/>
      <c r="B6" s="74"/>
      <c r="C6" s="210" t="s">
        <v>75</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76</v>
      </c>
      <c r="AC6" s="260"/>
      <c r="AD6" s="260"/>
      <c r="AE6" s="261"/>
      <c r="AF6" s="80"/>
      <c r="AG6" s="81"/>
      <c r="AH6" s="81"/>
      <c r="AI6" s="82"/>
      <c r="AJ6" s="83"/>
      <c r="AK6" s="83"/>
      <c r="AL6" s="83"/>
      <c r="AM6" s="83"/>
      <c r="AN6" s="84"/>
      <c r="AO6" s="84"/>
      <c r="AP6" s="84"/>
      <c r="AQ6" s="84"/>
      <c r="AR6" s="84"/>
    </row>
    <row r="7" spans="1:48" ht="12" customHeight="1" x14ac:dyDescent="0.35">
      <c r="A7" s="71"/>
      <c r="B7" s="85"/>
      <c r="C7" s="272" t="s">
        <v>77</v>
      </c>
      <c r="D7" s="273" t="s">
        <v>78</v>
      </c>
      <c r="E7" s="260"/>
      <c r="F7" s="260"/>
      <c r="G7" s="260"/>
      <c r="H7" s="260"/>
      <c r="I7" s="260"/>
      <c r="J7" s="260"/>
      <c r="K7" s="260"/>
      <c r="L7" s="260"/>
      <c r="M7" s="260"/>
      <c r="N7" s="260"/>
      <c r="O7" s="269" t="s">
        <v>79</v>
      </c>
      <c r="P7" s="273" t="s">
        <v>80</v>
      </c>
      <c r="Q7" s="260"/>
      <c r="R7" s="260"/>
      <c r="S7" s="260"/>
      <c r="T7" s="260"/>
      <c r="U7" s="260"/>
      <c r="V7" s="260"/>
      <c r="W7" s="260"/>
      <c r="X7" s="260"/>
      <c r="Y7" s="260"/>
      <c r="Z7" s="260"/>
      <c r="AA7" s="267" t="s">
        <v>81</v>
      </c>
      <c r="AB7" s="269" t="s">
        <v>79</v>
      </c>
      <c r="AC7" s="267" t="s">
        <v>82</v>
      </c>
      <c r="AD7" s="267" t="s">
        <v>83</v>
      </c>
      <c r="AE7" s="269" t="s">
        <v>79</v>
      </c>
      <c r="AF7" s="274" t="s">
        <v>84</v>
      </c>
      <c r="AG7" s="275" t="s">
        <v>85</v>
      </c>
      <c r="AH7" s="276" t="s">
        <v>86</v>
      </c>
      <c r="AI7" s="211"/>
      <c r="AJ7" s="211"/>
      <c r="AK7" s="211"/>
      <c r="AL7" s="211"/>
      <c r="AM7" s="212"/>
      <c r="AN7" s="86"/>
      <c r="AO7" s="76"/>
      <c r="AP7" s="76"/>
      <c r="AQ7" s="76"/>
      <c r="AR7" s="71"/>
    </row>
    <row r="8" spans="1:48" ht="67.5" customHeight="1" x14ac:dyDescent="0.3">
      <c r="A8" s="48" t="s">
        <v>54</v>
      </c>
      <c r="B8" s="49" t="s">
        <v>55</v>
      </c>
      <c r="C8" s="268"/>
      <c r="D8" s="183" t="s">
        <v>236</v>
      </c>
      <c r="E8" s="53" t="s">
        <v>172</v>
      </c>
      <c r="F8" s="184" t="s">
        <v>173</v>
      </c>
      <c r="G8" s="53"/>
      <c r="H8" s="53"/>
      <c r="I8" s="53"/>
      <c r="J8" s="53"/>
      <c r="K8" s="53"/>
      <c r="L8" s="53"/>
      <c r="M8" s="53"/>
      <c r="N8" s="54"/>
      <c r="O8" s="268"/>
      <c r="P8" s="189" t="s">
        <v>237</v>
      </c>
      <c r="Q8" s="184" t="s">
        <v>239</v>
      </c>
      <c r="R8" s="183" t="s">
        <v>240</v>
      </c>
      <c r="S8" s="53"/>
      <c r="T8" s="53"/>
      <c r="U8" s="53"/>
      <c r="V8" s="53"/>
      <c r="W8" s="53"/>
      <c r="X8" s="53"/>
      <c r="Y8" s="53"/>
      <c r="Z8" s="53"/>
      <c r="AA8" s="268"/>
      <c r="AB8" s="268"/>
      <c r="AC8" s="268"/>
      <c r="AD8" s="268"/>
      <c r="AE8" s="268"/>
      <c r="AF8" s="268"/>
      <c r="AG8" s="268"/>
      <c r="AH8" s="277"/>
      <c r="AI8" s="278"/>
      <c r="AJ8" s="278"/>
      <c r="AK8" s="278"/>
      <c r="AL8" s="278"/>
      <c r="AM8" s="279"/>
      <c r="AN8" s="88"/>
      <c r="AO8" s="88"/>
      <c r="AP8" s="88"/>
      <c r="AQ8" s="88"/>
      <c r="AR8" s="89"/>
    </row>
    <row r="9" spans="1:48" ht="12" customHeight="1" x14ac:dyDescent="0.3">
      <c r="A9" s="58">
        <v>1</v>
      </c>
      <c r="B9" s="158" t="str">
        <f>'C. FILIACION'!B8</f>
        <v>ALARCON CHURA PRISCILA</v>
      </c>
      <c r="C9" s="31">
        <v>10</v>
      </c>
      <c r="D9" s="31">
        <v>0</v>
      </c>
      <c r="E9" s="159">
        <v>17</v>
      </c>
      <c r="F9" s="159">
        <v>0</v>
      </c>
      <c r="G9" s="31"/>
      <c r="H9" s="31"/>
      <c r="I9" s="31"/>
      <c r="J9" s="31"/>
      <c r="K9" s="31"/>
      <c r="L9" s="31"/>
      <c r="M9" s="31"/>
      <c r="N9" s="31"/>
      <c r="O9" s="92">
        <f t="shared" ref="O9:O44" si="0">IFERROR(ROUND(AVERAGE(D9:N9),0),"")</f>
        <v>6</v>
      </c>
      <c r="P9" s="31">
        <v>0</v>
      </c>
      <c r="Q9" s="31">
        <v>0</v>
      </c>
      <c r="R9" s="159">
        <v>0</v>
      </c>
      <c r="S9" s="31"/>
      <c r="T9" s="31"/>
      <c r="U9" s="31"/>
      <c r="V9" s="31"/>
      <c r="W9" s="31"/>
      <c r="X9" s="31"/>
      <c r="Y9" s="31"/>
      <c r="Z9" s="31"/>
      <c r="AA9" s="31">
        <v>10</v>
      </c>
      <c r="AB9" s="92">
        <f t="shared" ref="AB9:AB44" si="1">IFERROR(ROUND(AVERAGE(P9:Z9),0),"")</f>
        <v>0</v>
      </c>
      <c r="AC9" s="31">
        <v>5</v>
      </c>
      <c r="AD9" s="31">
        <v>5</v>
      </c>
      <c r="AE9" s="92">
        <f t="shared" ref="AE9:AE44" si="2">IFERROR((SUM(AC9,AD9)),"")</f>
        <v>10</v>
      </c>
      <c r="AF9" s="93" t="str">
        <f t="shared" ref="AF9:AF44" si="3">IF(AG9&lt;51,"ED",IF(AG9&lt;67,"DA",IF(AG9&lt;85,"DO","DP")))</f>
        <v>ED</v>
      </c>
      <c r="AG9" s="92">
        <f t="shared" ref="AG9:AG44" si="4">IFERROR((SUM(C9,O9,AA9,AB9,AE9)),"")</f>
        <v>36</v>
      </c>
      <c r="AH9" s="259" t="str">
        <f t="shared" ref="AH9:AH44" si="5">IF(AG9="","",(IF(AND(AG9&gt;=1,AG9&lt;=50.499),"REPROBADO",IF(AND(AG9&gt;=50.5,AG9&lt;=100),"APROBADO"))))</f>
        <v>REPROBADO</v>
      </c>
      <c r="AI9" s="260"/>
      <c r="AJ9" s="260"/>
      <c r="AK9" s="260"/>
      <c r="AL9" s="260"/>
      <c r="AM9" s="261"/>
      <c r="AN9" s="94" t="s">
        <v>91</v>
      </c>
      <c r="AO9" s="280">
        <f>COUNTIF(AF9:AF44,"ED")</f>
        <v>5</v>
      </c>
      <c r="AP9" s="261"/>
      <c r="AQ9" s="95"/>
      <c r="AR9" s="95"/>
    </row>
    <row r="10" spans="1:48" ht="12" customHeight="1" x14ac:dyDescent="0.3">
      <c r="A10" s="58">
        <v>2</v>
      </c>
      <c r="B10" s="90" t="str">
        <f>'C. FILIACION'!B9</f>
        <v>ARCE CHOQUE LUCERO CORAL</v>
      </c>
      <c r="C10" s="31">
        <v>10</v>
      </c>
      <c r="D10" s="31">
        <v>0</v>
      </c>
      <c r="E10" s="159">
        <v>18</v>
      </c>
      <c r="F10" s="159">
        <v>0</v>
      </c>
      <c r="G10" s="31"/>
      <c r="H10" s="31"/>
      <c r="I10" s="31"/>
      <c r="J10" s="31"/>
      <c r="K10" s="31"/>
      <c r="L10" s="31"/>
      <c r="M10" s="31"/>
      <c r="N10" s="31"/>
      <c r="O10" s="92">
        <f t="shared" si="0"/>
        <v>6</v>
      </c>
      <c r="P10" s="31">
        <v>0</v>
      </c>
      <c r="Q10" s="31">
        <v>0</v>
      </c>
      <c r="R10" s="159">
        <v>0</v>
      </c>
      <c r="S10" s="31"/>
      <c r="T10" s="31"/>
      <c r="U10" s="31"/>
      <c r="V10" s="31"/>
      <c r="W10" s="31"/>
      <c r="X10" s="31"/>
      <c r="Y10" s="31"/>
      <c r="Z10" s="31"/>
      <c r="AA10" s="31">
        <v>10</v>
      </c>
      <c r="AB10" s="92">
        <f t="shared" si="1"/>
        <v>0</v>
      </c>
      <c r="AC10" s="31">
        <v>5</v>
      </c>
      <c r="AD10" s="31">
        <v>5</v>
      </c>
      <c r="AE10" s="92">
        <f t="shared" si="2"/>
        <v>10</v>
      </c>
      <c r="AF10" s="93" t="str">
        <f t="shared" si="3"/>
        <v>ED</v>
      </c>
      <c r="AG10" s="92">
        <f t="shared" si="4"/>
        <v>36</v>
      </c>
      <c r="AH10" s="259" t="str">
        <f t="shared" si="5"/>
        <v>REPROBADO</v>
      </c>
      <c r="AI10" s="260"/>
      <c r="AJ10" s="260"/>
      <c r="AK10" s="260"/>
      <c r="AL10" s="260"/>
      <c r="AM10" s="261"/>
      <c r="AN10" s="48" t="s">
        <v>92</v>
      </c>
      <c r="AO10" s="280">
        <f>COUNTIF(AF9:AF44,"DA")</f>
        <v>5</v>
      </c>
      <c r="AP10" s="261"/>
      <c r="AQ10" s="95"/>
      <c r="AR10" s="95"/>
    </row>
    <row r="11" spans="1:48" ht="12" customHeight="1" x14ac:dyDescent="0.3">
      <c r="A11" s="58">
        <v>3</v>
      </c>
      <c r="B11" s="90" t="str">
        <f>'C. FILIACION'!B10</f>
        <v>AREQUIPA CALCINA FABIAN JHON</v>
      </c>
      <c r="C11" s="31">
        <v>10</v>
      </c>
      <c r="D11" s="31">
        <v>15</v>
      </c>
      <c r="E11" s="178">
        <v>25</v>
      </c>
      <c r="F11" s="178">
        <v>0</v>
      </c>
      <c r="G11" s="31"/>
      <c r="H11" s="31"/>
      <c r="I11" s="31"/>
      <c r="J11" s="31"/>
      <c r="K11" s="31"/>
      <c r="L11" s="31"/>
      <c r="M11" s="31"/>
      <c r="N11" s="31"/>
      <c r="O11" s="92">
        <f t="shared" si="0"/>
        <v>13</v>
      </c>
      <c r="P11" s="31">
        <v>0</v>
      </c>
      <c r="Q11" s="31">
        <v>28</v>
      </c>
      <c r="R11" s="178">
        <v>0</v>
      </c>
      <c r="S11" s="31"/>
      <c r="T11" s="31"/>
      <c r="U11" s="31"/>
      <c r="V11" s="31"/>
      <c r="W11" s="31"/>
      <c r="X11" s="31"/>
      <c r="Y11" s="31"/>
      <c r="Z11" s="31"/>
      <c r="AA11" s="31">
        <v>10</v>
      </c>
      <c r="AB11" s="92">
        <f t="shared" si="1"/>
        <v>9</v>
      </c>
      <c r="AC11" s="31">
        <v>5</v>
      </c>
      <c r="AD11" s="31">
        <v>5</v>
      </c>
      <c r="AE11" s="92">
        <f t="shared" si="2"/>
        <v>10</v>
      </c>
      <c r="AF11" s="93" t="str">
        <f t="shared" si="3"/>
        <v>DA</v>
      </c>
      <c r="AG11" s="92">
        <f t="shared" si="4"/>
        <v>52</v>
      </c>
      <c r="AH11" s="259" t="str">
        <f t="shared" si="5"/>
        <v>APROBADO</v>
      </c>
      <c r="AI11" s="260"/>
      <c r="AJ11" s="260"/>
      <c r="AK11" s="260"/>
      <c r="AL11" s="260"/>
      <c r="AM11" s="261"/>
      <c r="AN11" s="48" t="s">
        <v>93</v>
      </c>
      <c r="AO11" s="280">
        <f>COUNTIF(AF9:AF44,"DO")</f>
        <v>5</v>
      </c>
      <c r="AP11" s="261"/>
      <c r="AQ11" s="95"/>
      <c r="AR11" s="95"/>
    </row>
    <row r="12" spans="1:48" ht="12" customHeight="1" x14ac:dyDescent="0.3">
      <c r="A12" s="58">
        <v>4</v>
      </c>
      <c r="B12" s="90" t="str">
        <f>'C. FILIACION'!B11</f>
        <v>CLAURE PARAVICINI RASHEL ROSALY</v>
      </c>
      <c r="C12" s="31">
        <v>10</v>
      </c>
      <c r="D12" s="31">
        <v>0</v>
      </c>
      <c r="E12" s="159">
        <v>17</v>
      </c>
      <c r="F12" s="159">
        <v>30</v>
      </c>
      <c r="G12" s="31"/>
      <c r="H12" s="31"/>
      <c r="I12" s="31"/>
      <c r="J12" s="31"/>
      <c r="K12" s="31"/>
      <c r="L12" s="31"/>
      <c r="M12" s="31"/>
      <c r="N12" s="31"/>
      <c r="O12" s="92">
        <f t="shared" si="0"/>
        <v>16</v>
      </c>
      <c r="P12" s="31">
        <v>0</v>
      </c>
      <c r="Q12" s="31">
        <v>0</v>
      </c>
      <c r="R12" s="159">
        <v>0</v>
      </c>
      <c r="S12" s="31"/>
      <c r="T12" s="31"/>
      <c r="U12" s="31"/>
      <c r="V12" s="31"/>
      <c r="W12" s="31"/>
      <c r="X12" s="31"/>
      <c r="Y12" s="31"/>
      <c r="Z12" s="31"/>
      <c r="AA12" s="31">
        <v>10</v>
      </c>
      <c r="AB12" s="92">
        <f t="shared" si="1"/>
        <v>0</v>
      </c>
      <c r="AC12" s="31">
        <v>5</v>
      </c>
      <c r="AD12" s="31">
        <v>5</v>
      </c>
      <c r="AE12" s="92">
        <f t="shared" si="2"/>
        <v>10</v>
      </c>
      <c r="AF12" s="93" t="str">
        <f t="shared" si="3"/>
        <v>ED</v>
      </c>
      <c r="AG12" s="92">
        <f t="shared" si="4"/>
        <v>46</v>
      </c>
      <c r="AH12" s="259" t="str">
        <f t="shared" si="5"/>
        <v>REPROBADO</v>
      </c>
      <c r="AI12" s="260"/>
      <c r="AJ12" s="260"/>
      <c r="AK12" s="260"/>
      <c r="AL12" s="260"/>
      <c r="AM12" s="261"/>
      <c r="AN12" s="48" t="s">
        <v>94</v>
      </c>
      <c r="AO12" s="280">
        <f>COUNTIF(AF9:AF44,"DP")</f>
        <v>21</v>
      </c>
      <c r="AP12" s="261"/>
      <c r="AQ12" s="95"/>
      <c r="AR12" s="95"/>
    </row>
    <row r="13" spans="1:48" ht="12" customHeight="1" x14ac:dyDescent="0.3">
      <c r="A13" s="58">
        <v>5</v>
      </c>
      <c r="B13" s="90" t="str">
        <f>'C. FILIACION'!B12</f>
        <v>CONDORI FLORES ALEJANDRO BRYAN</v>
      </c>
      <c r="C13" s="31">
        <v>10</v>
      </c>
      <c r="D13" s="31">
        <v>19</v>
      </c>
      <c r="E13" s="159">
        <v>25</v>
      </c>
      <c r="F13" s="159">
        <v>0</v>
      </c>
      <c r="G13" s="31"/>
      <c r="H13" s="31"/>
      <c r="I13" s="31"/>
      <c r="J13" s="31"/>
      <c r="K13" s="31"/>
      <c r="L13" s="31"/>
      <c r="M13" s="31"/>
      <c r="N13" s="31"/>
      <c r="O13" s="92">
        <f t="shared" si="0"/>
        <v>15</v>
      </c>
      <c r="P13" s="31">
        <v>5</v>
      </c>
      <c r="Q13" s="31">
        <v>18</v>
      </c>
      <c r="R13" s="159">
        <v>5</v>
      </c>
      <c r="S13" s="31"/>
      <c r="T13" s="31"/>
      <c r="U13" s="31"/>
      <c r="V13" s="31"/>
      <c r="W13" s="31"/>
      <c r="X13" s="31"/>
      <c r="Y13" s="31"/>
      <c r="Z13" s="31"/>
      <c r="AA13" s="31">
        <v>10</v>
      </c>
      <c r="AB13" s="92">
        <f t="shared" si="1"/>
        <v>9</v>
      </c>
      <c r="AC13" s="31">
        <v>5</v>
      </c>
      <c r="AD13" s="31">
        <v>5</v>
      </c>
      <c r="AE13" s="92">
        <f t="shared" si="2"/>
        <v>10</v>
      </c>
      <c r="AF13" s="93" t="str">
        <f t="shared" si="3"/>
        <v>DA</v>
      </c>
      <c r="AG13" s="92">
        <f t="shared" si="4"/>
        <v>54</v>
      </c>
      <c r="AH13" s="259" t="str">
        <f t="shared" si="5"/>
        <v>APROBADO</v>
      </c>
      <c r="AI13" s="260"/>
      <c r="AJ13" s="260"/>
      <c r="AK13" s="260"/>
      <c r="AL13" s="260"/>
      <c r="AM13" s="261"/>
      <c r="AN13" s="95"/>
      <c r="AO13" s="95"/>
      <c r="AP13" s="95"/>
      <c r="AQ13" s="95"/>
      <c r="AR13" s="95"/>
    </row>
    <row r="14" spans="1:48" ht="12" customHeight="1" x14ac:dyDescent="0.3">
      <c r="A14" s="58">
        <v>6</v>
      </c>
      <c r="B14" s="90" t="str">
        <f>'C. FILIACION'!B13</f>
        <v>DE LA CRUZ SANDOVAL JHON MARCO</v>
      </c>
      <c r="C14" s="31">
        <v>10</v>
      </c>
      <c r="D14" s="31">
        <v>23</v>
      </c>
      <c r="E14" s="159">
        <v>27</v>
      </c>
      <c r="F14" s="159">
        <v>35</v>
      </c>
      <c r="G14" s="31"/>
      <c r="H14" s="31"/>
      <c r="I14" s="31"/>
      <c r="J14" s="31"/>
      <c r="K14" s="31"/>
      <c r="L14" s="31"/>
      <c r="M14" s="31"/>
      <c r="N14" s="31"/>
      <c r="O14" s="92">
        <f t="shared" si="0"/>
        <v>28</v>
      </c>
      <c r="P14" s="31">
        <v>5</v>
      </c>
      <c r="Q14" s="31">
        <v>28</v>
      </c>
      <c r="R14" s="159">
        <v>18</v>
      </c>
      <c r="S14" s="31"/>
      <c r="T14" s="31"/>
      <c r="U14" s="31"/>
      <c r="V14" s="31"/>
      <c r="W14" s="31"/>
      <c r="X14" s="31"/>
      <c r="Y14" s="31"/>
      <c r="Z14" s="31"/>
      <c r="AA14" s="31">
        <v>10</v>
      </c>
      <c r="AB14" s="92">
        <f t="shared" si="1"/>
        <v>17</v>
      </c>
      <c r="AC14" s="31">
        <v>5</v>
      </c>
      <c r="AD14" s="31">
        <v>5</v>
      </c>
      <c r="AE14" s="92">
        <f t="shared" si="2"/>
        <v>10</v>
      </c>
      <c r="AF14" s="93" t="str">
        <f t="shared" si="3"/>
        <v>DO</v>
      </c>
      <c r="AG14" s="92">
        <f t="shared" si="4"/>
        <v>75</v>
      </c>
      <c r="AH14" s="259" t="str">
        <f t="shared" si="5"/>
        <v>APROBADO</v>
      </c>
      <c r="AI14" s="260"/>
      <c r="AJ14" s="260"/>
      <c r="AK14" s="260"/>
      <c r="AL14" s="260"/>
      <c r="AM14" s="261"/>
      <c r="AN14" s="95"/>
      <c r="AO14" s="95"/>
      <c r="AP14" s="95"/>
      <c r="AQ14" s="95"/>
      <c r="AR14" s="95"/>
    </row>
    <row r="15" spans="1:48" ht="12" customHeight="1" x14ac:dyDescent="0.3">
      <c r="A15" s="58">
        <v>7</v>
      </c>
      <c r="B15" s="90" t="str">
        <f>'C. FILIACION'!B14</f>
        <v>GARCÍA IGNACIO MISHEL MAYA</v>
      </c>
      <c r="C15" s="31">
        <v>10</v>
      </c>
      <c r="D15" s="31">
        <v>25</v>
      </c>
      <c r="E15" s="159">
        <v>23</v>
      </c>
      <c r="F15" s="159">
        <v>35</v>
      </c>
      <c r="G15" s="31"/>
      <c r="H15" s="31"/>
      <c r="I15" s="31"/>
      <c r="J15" s="31"/>
      <c r="K15" s="31"/>
      <c r="L15" s="31"/>
      <c r="M15" s="31"/>
      <c r="N15" s="31"/>
      <c r="O15" s="92">
        <f t="shared" si="0"/>
        <v>28</v>
      </c>
      <c r="P15" s="31">
        <v>15</v>
      </c>
      <c r="Q15" s="31">
        <v>31</v>
      </c>
      <c r="R15" s="159">
        <v>17</v>
      </c>
      <c r="S15" s="31"/>
      <c r="T15" s="31"/>
      <c r="U15" s="31"/>
      <c r="V15" s="31"/>
      <c r="W15" s="31"/>
      <c r="X15" s="31"/>
      <c r="Y15" s="31"/>
      <c r="Z15" s="31"/>
      <c r="AA15" s="31">
        <v>10</v>
      </c>
      <c r="AB15" s="92">
        <f t="shared" si="1"/>
        <v>21</v>
      </c>
      <c r="AC15" s="31">
        <v>5</v>
      </c>
      <c r="AD15" s="31">
        <v>5</v>
      </c>
      <c r="AE15" s="92">
        <f t="shared" si="2"/>
        <v>10</v>
      </c>
      <c r="AF15" s="93" t="str">
        <f t="shared" si="3"/>
        <v>DO</v>
      </c>
      <c r="AG15" s="92">
        <f t="shared" si="4"/>
        <v>79</v>
      </c>
      <c r="AH15" s="259" t="str">
        <f t="shared" si="5"/>
        <v>APROBADO</v>
      </c>
      <c r="AI15" s="260"/>
      <c r="AJ15" s="260"/>
      <c r="AK15" s="260"/>
      <c r="AL15" s="260"/>
      <c r="AM15" s="261"/>
      <c r="AN15" s="95"/>
      <c r="AO15" s="95"/>
      <c r="AP15" s="95"/>
      <c r="AQ15" s="95"/>
      <c r="AR15" s="95"/>
    </row>
    <row r="16" spans="1:48" ht="12" customHeight="1" x14ac:dyDescent="0.3">
      <c r="A16" s="58">
        <v>8</v>
      </c>
      <c r="B16" s="90" t="str">
        <f>'C. FILIACION'!B15</f>
        <v>HELGUERO SANCHEZ JHOYSI CAMIL</v>
      </c>
      <c r="C16" s="31">
        <v>10</v>
      </c>
      <c r="D16" s="31">
        <v>22</v>
      </c>
      <c r="E16" s="159">
        <v>26</v>
      </c>
      <c r="F16" s="159">
        <v>30</v>
      </c>
      <c r="G16" s="31"/>
      <c r="H16" s="31"/>
      <c r="I16" s="31"/>
      <c r="J16" s="31"/>
      <c r="K16" s="31"/>
      <c r="L16" s="31"/>
      <c r="M16" s="31"/>
      <c r="N16" s="31"/>
      <c r="O16" s="92">
        <f t="shared" si="0"/>
        <v>26</v>
      </c>
      <c r="P16" s="31">
        <v>15</v>
      </c>
      <c r="Q16" s="31">
        <v>25</v>
      </c>
      <c r="R16" s="159">
        <v>15</v>
      </c>
      <c r="S16" s="31"/>
      <c r="T16" s="31"/>
      <c r="U16" s="31"/>
      <c r="V16" s="31"/>
      <c r="W16" s="31"/>
      <c r="X16" s="31"/>
      <c r="Y16" s="31"/>
      <c r="Z16" s="31"/>
      <c r="AA16" s="31">
        <v>10</v>
      </c>
      <c r="AB16" s="92">
        <f t="shared" si="1"/>
        <v>18</v>
      </c>
      <c r="AC16" s="31">
        <v>5</v>
      </c>
      <c r="AD16" s="31">
        <v>5</v>
      </c>
      <c r="AE16" s="92">
        <f t="shared" si="2"/>
        <v>10</v>
      </c>
      <c r="AF16" s="93" t="str">
        <f t="shared" si="3"/>
        <v>DO</v>
      </c>
      <c r="AG16" s="92">
        <f t="shared" si="4"/>
        <v>74</v>
      </c>
      <c r="AH16" s="259" t="str">
        <f t="shared" si="5"/>
        <v>APROBADO</v>
      </c>
      <c r="AI16" s="260"/>
      <c r="AJ16" s="260"/>
      <c r="AK16" s="260"/>
      <c r="AL16" s="260"/>
      <c r="AM16" s="261"/>
      <c r="AN16" s="95"/>
      <c r="AO16" s="95"/>
      <c r="AP16" s="95"/>
      <c r="AQ16" s="95"/>
      <c r="AR16" s="95"/>
    </row>
    <row r="17" spans="1:44" ht="12" customHeight="1" x14ac:dyDescent="0.3">
      <c r="A17" s="58">
        <v>9</v>
      </c>
      <c r="B17" s="90" t="str">
        <f>'C. FILIACION'!B16</f>
        <v>LEDEZMA ORELLANA RICARDO ERIK</v>
      </c>
      <c r="C17" s="31">
        <v>10</v>
      </c>
      <c r="D17" s="31">
        <v>25</v>
      </c>
      <c r="E17" s="159">
        <v>28</v>
      </c>
      <c r="F17" s="159">
        <v>35</v>
      </c>
      <c r="G17" s="31"/>
      <c r="H17" s="31"/>
      <c r="I17" s="31"/>
      <c r="J17" s="31"/>
      <c r="K17" s="31"/>
      <c r="L17" s="31"/>
      <c r="M17" s="31"/>
      <c r="N17" s="31"/>
      <c r="O17" s="92">
        <f t="shared" si="0"/>
        <v>29</v>
      </c>
      <c r="P17" s="31">
        <v>5</v>
      </c>
      <c r="Q17" s="31">
        <v>18</v>
      </c>
      <c r="R17" s="159">
        <v>25</v>
      </c>
      <c r="S17" s="31"/>
      <c r="T17" s="31"/>
      <c r="U17" s="31"/>
      <c r="V17" s="31"/>
      <c r="W17" s="31"/>
      <c r="X17" s="31"/>
      <c r="Y17" s="31"/>
      <c r="Z17" s="31"/>
      <c r="AA17" s="31">
        <v>10</v>
      </c>
      <c r="AB17" s="92">
        <f t="shared" si="1"/>
        <v>16</v>
      </c>
      <c r="AC17" s="31">
        <v>5</v>
      </c>
      <c r="AD17" s="31">
        <v>5</v>
      </c>
      <c r="AE17" s="92">
        <f t="shared" si="2"/>
        <v>10</v>
      </c>
      <c r="AF17" s="93" t="str">
        <f t="shared" si="3"/>
        <v>DO</v>
      </c>
      <c r="AG17" s="92">
        <f t="shared" si="4"/>
        <v>75</v>
      </c>
      <c r="AH17" s="259" t="str">
        <f t="shared" si="5"/>
        <v>APROBADO</v>
      </c>
      <c r="AI17" s="260"/>
      <c r="AJ17" s="260"/>
      <c r="AK17" s="260"/>
      <c r="AL17" s="260"/>
      <c r="AM17" s="261"/>
      <c r="AN17" s="95"/>
      <c r="AO17" s="95"/>
      <c r="AP17" s="95"/>
      <c r="AQ17" s="95"/>
      <c r="AR17" s="95"/>
    </row>
    <row r="18" spans="1:44" ht="12" customHeight="1" x14ac:dyDescent="0.3">
      <c r="A18" s="58">
        <v>10</v>
      </c>
      <c r="B18" s="90" t="str">
        <f>'C. FILIACION'!B17</f>
        <v>MAMANI LOPEZ ELIZABETH MILDRED</v>
      </c>
      <c r="C18" s="31">
        <v>10</v>
      </c>
      <c r="D18" s="31">
        <v>0</v>
      </c>
      <c r="E18" s="159">
        <v>18</v>
      </c>
      <c r="F18" s="159">
        <v>30</v>
      </c>
      <c r="G18" s="31"/>
      <c r="H18" s="31"/>
      <c r="I18" s="31"/>
      <c r="J18" s="31"/>
      <c r="K18" s="31"/>
      <c r="L18" s="31"/>
      <c r="M18" s="31"/>
      <c r="N18" s="31"/>
      <c r="O18" s="92">
        <f t="shared" si="0"/>
        <v>16</v>
      </c>
      <c r="P18" s="31">
        <v>0</v>
      </c>
      <c r="Q18" s="31">
        <v>0</v>
      </c>
      <c r="R18" s="159">
        <v>0</v>
      </c>
      <c r="S18" s="31"/>
      <c r="T18" s="31"/>
      <c r="U18" s="31"/>
      <c r="V18" s="31"/>
      <c r="W18" s="31"/>
      <c r="X18" s="31"/>
      <c r="Y18" s="31"/>
      <c r="Z18" s="31"/>
      <c r="AA18" s="31">
        <v>10</v>
      </c>
      <c r="AB18" s="92">
        <f t="shared" si="1"/>
        <v>0</v>
      </c>
      <c r="AC18" s="31">
        <v>5</v>
      </c>
      <c r="AD18" s="31">
        <v>5</v>
      </c>
      <c r="AE18" s="92">
        <f t="shared" si="2"/>
        <v>10</v>
      </c>
      <c r="AF18" s="93" t="str">
        <f t="shared" si="3"/>
        <v>ED</v>
      </c>
      <c r="AG18" s="92">
        <f t="shared" si="4"/>
        <v>46</v>
      </c>
      <c r="AH18" s="259" t="str">
        <f t="shared" si="5"/>
        <v>REPROBADO</v>
      </c>
      <c r="AI18" s="260"/>
      <c r="AJ18" s="260"/>
      <c r="AK18" s="260"/>
      <c r="AL18" s="260"/>
      <c r="AM18" s="261"/>
      <c r="AN18" s="95"/>
      <c r="AO18" s="95"/>
      <c r="AP18" s="95"/>
      <c r="AQ18" s="95"/>
      <c r="AR18" s="95"/>
    </row>
    <row r="19" spans="1:44" ht="12" customHeight="1" x14ac:dyDescent="0.3">
      <c r="A19" s="58">
        <v>11</v>
      </c>
      <c r="B19" s="90" t="str">
        <f>'C. FILIACION'!B18</f>
        <v>MEDINA CHOQUE JUAN JOSE</v>
      </c>
      <c r="C19" s="31">
        <v>10</v>
      </c>
      <c r="D19" s="31">
        <v>0</v>
      </c>
      <c r="E19" s="159">
        <v>0</v>
      </c>
      <c r="F19" s="159">
        <v>0</v>
      </c>
      <c r="G19" s="31"/>
      <c r="H19" s="31"/>
      <c r="I19" s="31"/>
      <c r="J19" s="31"/>
      <c r="K19" s="31"/>
      <c r="L19" s="31"/>
      <c r="M19" s="31"/>
      <c r="N19" s="31"/>
      <c r="O19" s="92">
        <f t="shared" si="0"/>
        <v>0</v>
      </c>
      <c r="P19" s="31">
        <v>0</v>
      </c>
      <c r="Q19" s="31">
        <v>0</v>
      </c>
      <c r="R19" s="159">
        <v>0</v>
      </c>
      <c r="S19" s="31"/>
      <c r="T19" s="31"/>
      <c r="U19" s="31"/>
      <c r="V19" s="31"/>
      <c r="W19" s="31"/>
      <c r="X19" s="31"/>
      <c r="Y19" s="31"/>
      <c r="Z19" s="31"/>
      <c r="AA19" s="31">
        <v>10</v>
      </c>
      <c r="AB19" s="92">
        <f t="shared" si="1"/>
        <v>0</v>
      </c>
      <c r="AC19" s="31">
        <v>5</v>
      </c>
      <c r="AD19" s="31">
        <v>5</v>
      </c>
      <c r="AE19" s="92">
        <f t="shared" si="2"/>
        <v>10</v>
      </c>
      <c r="AF19" s="93" t="str">
        <f t="shared" si="3"/>
        <v>ED</v>
      </c>
      <c r="AG19" s="92">
        <f t="shared" si="4"/>
        <v>30</v>
      </c>
      <c r="AH19" s="259" t="str">
        <f t="shared" si="5"/>
        <v>REPROBADO</v>
      </c>
      <c r="AI19" s="260"/>
      <c r="AJ19" s="260"/>
      <c r="AK19" s="260"/>
      <c r="AL19" s="260"/>
      <c r="AM19" s="261"/>
      <c r="AN19" s="95"/>
      <c r="AO19" s="95"/>
      <c r="AP19" s="95"/>
      <c r="AQ19" s="95"/>
      <c r="AR19" s="95"/>
    </row>
    <row r="20" spans="1:44" ht="12" customHeight="1" x14ac:dyDescent="0.3">
      <c r="A20" s="58">
        <v>12</v>
      </c>
      <c r="B20" s="90" t="str">
        <f>'C. FILIACION'!B19</f>
        <v>NINA RUEDA SEBASTIAN CARLOS</v>
      </c>
      <c r="C20" s="31">
        <v>10</v>
      </c>
      <c r="D20" s="31">
        <v>26</v>
      </c>
      <c r="E20" s="159">
        <v>17</v>
      </c>
      <c r="F20" s="159">
        <v>17</v>
      </c>
      <c r="G20" s="31"/>
      <c r="H20" s="31"/>
      <c r="I20" s="31"/>
      <c r="J20" s="31"/>
      <c r="K20" s="31"/>
      <c r="L20" s="31"/>
      <c r="M20" s="31"/>
      <c r="N20" s="31"/>
      <c r="O20" s="92">
        <f t="shared" si="0"/>
        <v>20</v>
      </c>
      <c r="P20" s="31">
        <v>15</v>
      </c>
      <c r="Q20" s="31">
        <v>18</v>
      </c>
      <c r="R20" s="159">
        <v>15</v>
      </c>
      <c r="S20" s="31"/>
      <c r="T20" s="31"/>
      <c r="U20" s="31"/>
      <c r="V20" s="31"/>
      <c r="W20" s="31"/>
      <c r="X20" s="31"/>
      <c r="Y20" s="31"/>
      <c r="Z20" s="31"/>
      <c r="AA20" s="31">
        <v>10</v>
      </c>
      <c r="AB20" s="92">
        <f t="shared" si="1"/>
        <v>16</v>
      </c>
      <c r="AC20" s="31">
        <v>5</v>
      </c>
      <c r="AD20" s="31">
        <v>5</v>
      </c>
      <c r="AE20" s="92">
        <f t="shared" si="2"/>
        <v>10</v>
      </c>
      <c r="AF20" s="93" t="str">
        <f t="shared" si="3"/>
        <v>DA</v>
      </c>
      <c r="AG20" s="92">
        <f t="shared" si="4"/>
        <v>66</v>
      </c>
      <c r="AH20" s="259" t="str">
        <f t="shared" si="5"/>
        <v>APROBADO</v>
      </c>
      <c r="AI20" s="260"/>
      <c r="AJ20" s="260"/>
      <c r="AK20" s="260"/>
      <c r="AL20" s="260"/>
      <c r="AM20" s="261"/>
      <c r="AN20" s="95"/>
      <c r="AO20" s="95"/>
      <c r="AP20" s="95"/>
      <c r="AQ20" s="95"/>
      <c r="AR20" s="95"/>
    </row>
    <row r="21" spans="1:44" ht="12" customHeight="1" x14ac:dyDescent="0.3">
      <c r="A21" s="58">
        <v>13</v>
      </c>
      <c r="B21" s="90" t="str">
        <f>'C. FILIACION'!B20</f>
        <v>RODRIGUEZ RAMIREZ NATALY ARIANA</v>
      </c>
      <c r="C21" s="31">
        <v>10</v>
      </c>
      <c r="D21" s="31">
        <v>15</v>
      </c>
      <c r="E21" s="159">
        <v>17</v>
      </c>
      <c r="F21" s="159">
        <v>15</v>
      </c>
      <c r="G21" s="31"/>
      <c r="H21" s="31"/>
      <c r="I21" s="31"/>
      <c r="J21" s="31"/>
      <c r="K21" s="31"/>
      <c r="L21" s="31"/>
      <c r="M21" s="31"/>
      <c r="N21" s="31"/>
      <c r="O21" s="92">
        <f t="shared" si="0"/>
        <v>16</v>
      </c>
      <c r="P21" s="31">
        <v>18</v>
      </c>
      <c r="Q21" s="31">
        <v>30</v>
      </c>
      <c r="R21" s="159">
        <v>15</v>
      </c>
      <c r="S21" s="31"/>
      <c r="T21" s="31"/>
      <c r="U21" s="31"/>
      <c r="V21" s="31"/>
      <c r="W21" s="31"/>
      <c r="X21" s="31"/>
      <c r="Y21" s="31"/>
      <c r="Z21" s="31"/>
      <c r="AA21" s="31">
        <v>10</v>
      </c>
      <c r="AB21" s="92">
        <f t="shared" si="1"/>
        <v>21</v>
      </c>
      <c r="AC21" s="31">
        <v>5</v>
      </c>
      <c r="AD21" s="31">
        <v>5</v>
      </c>
      <c r="AE21" s="92">
        <f t="shared" si="2"/>
        <v>10</v>
      </c>
      <c r="AF21" s="93" t="str">
        <f t="shared" si="3"/>
        <v>DO</v>
      </c>
      <c r="AG21" s="92">
        <f t="shared" si="4"/>
        <v>67</v>
      </c>
      <c r="AH21" s="259" t="str">
        <f t="shared" si="5"/>
        <v>APROBADO</v>
      </c>
      <c r="AI21" s="260"/>
      <c r="AJ21" s="260"/>
      <c r="AK21" s="260"/>
      <c r="AL21" s="260"/>
      <c r="AM21" s="261"/>
      <c r="AN21" s="95"/>
      <c r="AO21" s="95"/>
      <c r="AP21" s="95"/>
      <c r="AQ21" s="95"/>
      <c r="AR21" s="95"/>
    </row>
    <row r="22" spans="1:44" ht="12" customHeight="1" x14ac:dyDescent="0.3">
      <c r="A22" s="58">
        <v>14</v>
      </c>
      <c r="B22" s="90" t="str">
        <f>'C. FILIACION'!B21</f>
        <v>SALAZAR CANAZA CRISTINA MAYRA</v>
      </c>
      <c r="C22" s="31">
        <v>10</v>
      </c>
      <c r="D22" s="31">
        <v>32</v>
      </c>
      <c r="E22" s="159">
        <v>12</v>
      </c>
      <c r="F22" s="159">
        <v>15</v>
      </c>
      <c r="G22" s="31"/>
      <c r="H22" s="31"/>
      <c r="I22" s="31"/>
      <c r="J22" s="31"/>
      <c r="K22" s="31"/>
      <c r="L22" s="31"/>
      <c r="M22" s="31"/>
      <c r="N22" s="31"/>
      <c r="O22" s="92">
        <f t="shared" si="0"/>
        <v>20</v>
      </c>
      <c r="P22" s="31">
        <v>15</v>
      </c>
      <c r="Q22" s="31">
        <v>16</v>
      </c>
      <c r="R22" s="159">
        <v>14</v>
      </c>
      <c r="S22" s="31"/>
      <c r="T22" s="31"/>
      <c r="U22" s="31"/>
      <c r="V22" s="31"/>
      <c r="W22" s="31"/>
      <c r="X22" s="31"/>
      <c r="Y22" s="31"/>
      <c r="Z22" s="31"/>
      <c r="AA22" s="31">
        <v>10</v>
      </c>
      <c r="AB22" s="92">
        <f t="shared" si="1"/>
        <v>15</v>
      </c>
      <c r="AC22" s="31">
        <v>5</v>
      </c>
      <c r="AD22" s="31">
        <v>5</v>
      </c>
      <c r="AE22" s="92">
        <f t="shared" si="2"/>
        <v>10</v>
      </c>
      <c r="AF22" s="93" t="str">
        <f t="shared" si="3"/>
        <v>DA</v>
      </c>
      <c r="AG22" s="92">
        <f t="shared" si="4"/>
        <v>65</v>
      </c>
      <c r="AH22" s="259" t="str">
        <f t="shared" si="5"/>
        <v>APROBADO</v>
      </c>
      <c r="AI22" s="260"/>
      <c r="AJ22" s="260"/>
      <c r="AK22" s="260"/>
      <c r="AL22" s="260"/>
      <c r="AM22" s="261"/>
      <c r="AN22" s="95"/>
      <c r="AO22" s="95"/>
      <c r="AP22" s="95"/>
      <c r="AQ22" s="95"/>
      <c r="AR22" s="95"/>
    </row>
    <row r="23" spans="1:44" ht="12" customHeight="1" x14ac:dyDescent="0.3">
      <c r="A23" s="58">
        <v>15</v>
      </c>
      <c r="B23" s="90" t="str">
        <f>'C. FILIACION'!B22</f>
        <v>SEVILLANO BALTAZAR AGNESE</v>
      </c>
      <c r="C23" s="31">
        <v>10</v>
      </c>
      <c r="D23" s="31">
        <v>25</v>
      </c>
      <c r="E23" s="159">
        <v>35</v>
      </c>
      <c r="F23" s="159">
        <v>35</v>
      </c>
      <c r="G23" s="31"/>
      <c r="H23" s="31"/>
      <c r="I23" s="31"/>
      <c r="J23" s="31"/>
      <c r="K23" s="31"/>
      <c r="L23" s="31"/>
      <c r="M23" s="31"/>
      <c r="N23" s="31"/>
      <c r="O23" s="92">
        <f t="shared" si="0"/>
        <v>32</v>
      </c>
      <c r="P23" s="31">
        <v>35</v>
      </c>
      <c r="Q23" s="31">
        <v>30</v>
      </c>
      <c r="R23" s="159">
        <v>28</v>
      </c>
      <c r="S23" s="31"/>
      <c r="T23" s="31"/>
      <c r="U23" s="31"/>
      <c r="V23" s="31"/>
      <c r="W23" s="31"/>
      <c r="X23" s="31"/>
      <c r="Y23" s="31"/>
      <c r="Z23" s="31"/>
      <c r="AA23" s="31">
        <v>10</v>
      </c>
      <c r="AB23" s="92">
        <f t="shared" si="1"/>
        <v>31</v>
      </c>
      <c r="AC23" s="31">
        <v>5</v>
      </c>
      <c r="AD23" s="31">
        <v>5</v>
      </c>
      <c r="AE23" s="92">
        <f t="shared" si="2"/>
        <v>10</v>
      </c>
      <c r="AF23" s="93" t="str">
        <f t="shared" si="3"/>
        <v>DP</v>
      </c>
      <c r="AG23" s="92">
        <f t="shared" si="4"/>
        <v>93</v>
      </c>
      <c r="AH23" s="259" t="str">
        <f t="shared" si="5"/>
        <v>APROBADO</v>
      </c>
      <c r="AI23" s="260"/>
      <c r="AJ23" s="260"/>
      <c r="AK23" s="260"/>
      <c r="AL23" s="260"/>
      <c r="AM23" s="261"/>
      <c r="AN23" s="95"/>
      <c r="AO23" s="95"/>
      <c r="AP23" s="95"/>
      <c r="AQ23" s="95"/>
      <c r="AR23" s="95"/>
    </row>
    <row r="24" spans="1:44" ht="12" customHeight="1" x14ac:dyDescent="0.3">
      <c r="A24" s="58">
        <v>16</v>
      </c>
      <c r="B24" s="90" t="str">
        <f>'C. FILIACION'!B23</f>
        <v>TOCONAS HUAYGUA VICTORIA FERNANDA</v>
      </c>
      <c r="C24" s="31">
        <v>10</v>
      </c>
      <c r="D24" s="31">
        <v>15</v>
      </c>
      <c r="E24" s="159">
        <v>14</v>
      </c>
      <c r="F24" s="159">
        <v>20</v>
      </c>
      <c r="G24" s="31"/>
      <c r="H24" s="31"/>
      <c r="I24" s="31"/>
      <c r="J24" s="31"/>
      <c r="K24" s="31"/>
      <c r="L24" s="31"/>
      <c r="M24" s="31"/>
      <c r="N24" s="31"/>
      <c r="O24" s="92">
        <f t="shared" si="0"/>
        <v>16</v>
      </c>
      <c r="P24" s="31">
        <v>15</v>
      </c>
      <c r="Q24" s="31">
        <v>16</v>
      </c>
      <c r="R24" s="159">
        <v>20</v>
      </c>
      <c r="S24" s="31"/>
      <c r="T24" s="31"/>
      <c r="U24" s="31"/>
      <c r="V24" s="31"/>
      <c r="W24" s="31"/>
      <c r="X24" s="31"/>
      <c r="Y24" s="31"/>
      <c r="Z24" s="31"/>
      <c r="AA24" s="31">
        <v>10</v>
      </c>
      <c r="AB24" s="92">
        <f t="shared" si="1"/>
        <v>17</v>
      </c>
      <c r="AC24" s="31">
        <v>5</v>
      </c>
      <c r="AD24" s="31">
        <v>5</v>
      </c>
      <c r="AE24" s="92">
        <f t="shared" si="2"/>
        <v>10</v>
      </c>
      <c r="AF24" s="93" t="str">
        <f t="shared" si="3"/>
        <v>DA</v>
      </c>
      <c r="AG24" s="92">
        <f t="shared" si="4"/>
        <v>63</v>
      </c>
      <c r="AH24" s="259" t="str">
        <f t="shared" si="5"/>
        <v>APROBADO</v>
      </c>
      <c r="AI24" s="260"/>
      <c r="AJ24" s="260"/>
      <c r="AK24" s="260"/>
      <c r="AL24" s="260"/>
      <c r="AM24" s="261"/>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election activeCell="T37" sqref="T37"/>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64" t="s">
        <v>96</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62" t="s">
        <v>49</v>
      </c>
      <c r="AD3" s="260"/>
      <c r="AE3" s="260"/>
      <c r="AF3" s="260"/>
      <c r="AG3" s="260"/>
      <c r="AH3" s="261"/>
      <c r="AI3" s="222">
        <f>CARÁTULA!$H$24</f>
        <v>44440</v>
      </c>
      <c r="AJ3" s="204"/>
      <c r="AK3" s="204"/>
      <c r="AL3" s="204"/>
      <c r="AM3" s="204"/>
      <c r="AN3" s="265" t="s">
        <v>50</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62" t="s">
        <v>52</v>
      </c>
      <c r="AD4" s="260"/>
      <c r="AE4" s="260"/>
      <c r="AF4" s="260"/>
      <c r="AG4" s="260"/>
      <c r="AH4" s="261"/>
      <c r="AI4" s="222">
        <f>CARÁTULA!$J$24</f>
        <v>44531</v>
      </c>
      <c r="AJ4" s="204"/>
      <c r="AK4" s="204"/>
      <c r="AL4" s="204"/>
      <c r="AM4" s="204"/>
      <c r="AN4" s="258">
        <f ca="1">AI4-AI5</f>
        <v>113</v>
      </c>
      <c r="AO4" s="214"/>
      <c r="AP4" s="214"/>
      <c r="AQ4" s="214"/>
      <c r="AR4" s="215"/>
    </row>
    <row r="5" spans="1:48" ht="12.75" customHeight="1" x14ac:dyDescent="0.35">
      <c r="A5" s="71"/>
      <c r="B5" s="74" t="s">
        <v>22</v>
      </c>
      <c r="C5" s="75" t="str">
        <f>CARÁTULA!$C$23</f>
        <v>2do de Secundaria</v>
      </c>
      <c r="D5" s="76"/>
      <c r="E5" s="76"/>
      <c r="F5" s="76"/>
      <c r="G5" s="74"/>
      <c r="H5" s="74"/>
      <c r="I5" s="74"/>
      <c r="J5" s="74"/>
      <c r="K5" s="74"/>
      <c r="L5" s="74"/>
      <c r="M5" s="74"/>
      <c r="N5" s="74"/>
      <c r="O5" s="77" t="s">
        <v>23</v>
      </c>
      <c r="P5" s="79"/>
      <c r="Q5" s="79"/>
      <c r="R5" s="79"/>
      <c r="S5" s="270">
        <f ca="1">TODAY()</f>
        <v>44418</v>
      </c>
      <c r="T5" s="195"/>
      <c r="U5" s="195"/>
      <c r="V5" s="195"/>
      <c r="W5" s="195"/>
      <c r="X5" s="195"/>
      <c r="Y5" s="195"/>
      <c r="Z5" s="195"/>
      <c r="AA5" s="196"/>
      <c r="AB5" s="76"/>
      <c r="AC5" s="263" t="s">
        <v>53</v>
      </c>
      <c r="AD5" s="260"/>
      <c r="AE5" s="260"/>
      <c r="AF5" s="260"/>
      <c r="AG5" s="260"/>
      <c r="AH5" s="261"/>
      <c r="AI5" s="266">
        <f ca="1">TODAY()</f>
        <v>44418</v>
      </c>
      <c r="AJ5" s="204"/>
      <c r="AK5" s="204"/>
      <c r="AL5" s="204"/>
      <c r="AM5" s="204"/>
      <c r="AN5" s="216"/>
      <c r="AO5" s="217"/>
      <c r="AP5" s="217"/>
      <c r="AQ5" s="217"/>
      <c r="AR5" s="218"/>
    </row>
    <row r="6" spans="1:48" ht="12.75" customHeight="1" x14ac:dyDescent="0.35">
      <c r="A6" s="71"/>
      <c r="B6" s="74"/>
      <c r="C6" s="210" t="s">
        <v>75</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76</v>
      </c>
      <c r="AC6" s="260"/>
      <c r="AD6" s="260"/>
      <c r="AE6" s="261"/>
      <c r="AF6" s="80"/>
      <c r="AG6" s="81"/>
      <c r="AH6" s="81"/>
      <c r="AI6" s="82"/>
      <c r="AJ6" s="83"/>
      <c r="AK6" s="83"/>
      <c r="AL6" s="83"/>
      <c r="AM6" s="83"/>
      <c r="AN6" s="84"/>
      <c r="AO6" s="84"/>
      <c r="AP6" s="84"/>
      <c r="AQ6" s="84"/>
      <c r="AR6" s="84"/>
    </row>
    <row r="7" spans="1:48" ht="12" customHeight="1" x14ac:dyDescent="0.35">
      <c r="A7" s="71"/>
      <c r="B7" s="85"/>
      <c r="C7" s="272" t="s">
        <v>77</v>
      </c>
      <c r="D7" s="273" t="s">
        <v>78</v>
      </c>
      <c r="E7" s="260"/>
      <c r="F7" s="260"/>
      <c r="G7" s="260"/>
      <c r="H7" s="260"/>
      <c r="I7" s="260"/>
      <c r="J7" s="260"/>
      <c r="K7" s="260"/>
      <c r="L7" s="260"/>
      <c r="M7" s="260"/>
      <c r="N7" s="260"/>
      <c r="O7" s="269" t="s">
        <v>79</v>
      </c>
      <c r="P7" s="273" t="s">
        <v>80</v>
      </c>
      <c r="Q7" s="260"/>
      <c r="R7" s="260"/>
      <c r="S7" s="260"/>
      <c r="T7" s="260"/>
      <c r="U7" s="260"/>
      <c r="V7" s="260"/>
      <c r="W7" s="260"/>
      <c r="X7" s="260"/>
      <c r="Y7" s="260"/>
      <c r="Z7" s="260"/>
      <c r="AA7" s="267" t="s">
        <v>81</v>
      </c>
      <c r="AB7" s="269" t="s">
        <v>79</v>
      </c>
      <c r="AC7" s="267" t="s">
        <v>82</v>
      </c>
      <c r="AD7" s="267" t="s">
        <v>83</v>
      </c>
      <c r="AE7" s="269" t="s">
        <v>79</v>
      </c>
      <c r="AF7" s="274" t="s">
        <v>84</v>
      </c>
      <c r="AG7" s="275" t="s">
        <v>85</v>
      </c>
      <c r="AH7" s="276" t="s">
        <v>86</v>
      </c>
      <c r="AI7" s="211"/>
      <c r="AJ7" s="211"/>
      <c r="AK7" s="211"/>
      <c r="AL7" s="211"/>
      <c r="AM7" s="212"/>
      <c r="AN7" s="86"/>
      <c r="AO7" s="76"/>
      <c r="AP7" s="76"/>
      <c r="AQ7" s="76"/>
      <c r="AR7" s="71"/>
    </row>
    <row r="8" spans="1:48" ht="67.5" customHeight="1" x14ac:dyDescent="0.3">
      <c r="A8" s="48" t="s">
        <v>54</v>
      </c>
      <c r="B8" s="49" t="s">
        <v>55</v>
      </c>
      <c r="C8" s="268"/>
      <c r="D8" s="53"/>
      <c r="E8" s="53"/>
      <c r="F8" s="53"/>
      <c r="G8" s="53"/>
      <c r="H8" s="53"/>
      <c r="I8" s="53"/>
      <c r="J8" s="53"/>
      <c r="K8" s="53"/>
      <c r="L8" s="53"/>
      <c r="M8" s="53"/>
      <c r="N8" s="54"/>
      <c r="O8" s="268"/>
      <c r="P8" s="96"/>
      <c r="Q8" s="53"/>
      <c r="R8" s="53"/>
      <c r="S8" s="53"/>
      <c r="T8" s="53"/>
      <c r="U8" s="53"/>
      <c r="V8" s="53"/>
      <c r="W8" s="53"/>
      <c r="X8" s="53"/>
      <c r="Y8" s="53"/>
      <c r="Z8" s="53"/>
      <c r="AA8" s="268"/>
      <c r="AB8" s="268"/>
      <c r="AC8" s="268"/>
      <c r="AD8" s="268"/>
      <c r="AE8" s="268"/>
      <c r="AF8" s="268"/>
      <c r="AG8" s="268"/>
      <c r="AH8" s="277"/>
      <c r="AI8" s="278"/>
      <c r="AJ8" s="278"/>
      <c r="AK8" s="278"/>
      <c r="AL8" s="278"/>
      <c r="AM8" s="279"/>
      <c r="AN8" s="88"/>
      <c r="AO8" s="88"/>
      <c r="AP8" s="88"/>
      <c r="AQ8" s="88"/>
      <c r="AR8" s="89"/>
    </row>
    <row r="9" spans="1:48" ht="12" customHeight="1" x14ac:dyDescent="0.3">
      <c r="A9" s="58">
        <v>1</v>
      </c>
      <c r="B9" s="90" t="str">
        <f>'C. FILIACION'!B8</f>
        <v>ALARCON CHURA PRISCILA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59" t="str">
        <f t="shared" ref="AH9:AH44" si="5">IF(AG9="","",(IF(AND(AG9&gt;=1,AG9&lt;=50.499),"REPROBADO",IF(AND(AG9&gt;=50.5,AG9&lt;=100),"APROBADO"))))</f>
        <v>APROBADO</v>
      </c>
      <c r="AI9" s="260"/>
      <c r="AJ9" s="260"/>
      <c r="AK9" s="260"/>
      <c r="AL9" s="260"/>
      <c r="AM9" s="261"/>
      <c r="AN9" s="94" t="s">
        <v>91</v>
      </c>
      <c r="AO9" s="280">
        <f>COUNTIF(AF9:AF44,"ED")</f>
        <v>0</v>
      </c>
      <c r="AP9" s="261"/>
      <c r="AQ9" s="95"/>
      <c r="AR9" s="95"/>
    </row>
    <row r="10" spans="1:48" ht="12" customHeight="1" x14ac:dyDescent="0.3">
      <c r="A10" s="58">
        <v>2</v>
      </c>
      <c r="B10" s="90" t="str">
        <f>'C. FILIACION'!B9</f>
        <v>ARCE CHOQUE LUCERO CORAL</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59" t="str">
        <f t="shared" si="5"/>
        <v>APROBADO</v>
      </c>
      <c r="AI10" s="260"/>
      <c r="AJ10" s="260"/>
      <c r="AK10" s="260"/>
      <c r="AL10" s="260"/>
      <c r="AM10" s="261"/>
      <c r="AN10" s="48" t="s">
        <v>92</v>
      </c>
      <c r="AO10" s="280">
        <f>COUNTIF(AF9:AF44,"DA")</f>
        <v>0</v>
      </c>
      <c r="AP10" s="261"/>
      <c r="AQ10" s="95"/>
      <c r="AR10" s="95"/>
    </row>
    <row r="11" spans="1:48" ht="12" customHeight="1" x14ac:dyDescent="0.3">
      <c r="A11" s="58">
        <v>3</v>
      </c>
      <c r="B11" s="90" t="str">
        <f>'C. FILIACION'!B10</f>
        <v>AREQUIPA CALCINA FABIAN JHON</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59" t="str">
        <f t="shared" si="5"/>
        <v>APROBADO</v>
      </c>
      <c r="AI11" s="260"/>
      <c r="AJ11" s="260"/>
      <c r="AK11" s="260"/>
      <c r="AL11" s="260"/>
      <c r="AM11" s="261"/>
      <c r="AN11" s="48" t="s">
        <v>93</v>
      </c>
      <c r="AO11" s="280">
        <f>COUNTIF(AF9:AF44,"DO")</f>
        <v>0</v>
      </c>
      <c r="AP11" s="261"/>
      <c r="AQ11" s="95"/>
      <c r="AR11" s="95"/>
    </row>
    <row r="12" spans="1:48" ht="12" customHeight="1" x14ac:dyDescent="0.3">
      <c r="A12" s="58">
        <v>4</v>
      </c>
      <c r="B12" s="90" t="str">
        <f>'C. FILIACION'!B11</f>
        <v>CLAURE PARAVICINI RASHEL ROSALY</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59" t="str">
        <f t="shared" si="5"/>
        <v>APROBADO</v>
      </c>
      <c r="AI12" s="260"/>
      <c r="AJ12" s="260"/>
      <c r="AK12" s="260"/>
      <c r="AL12" s="260"/>
      <c r="AM12" s="261"/>
      <c r="AN12" s="48" t="s">
        <v>94</v>
      </c>
      <c r="AO12" s="280">
        <f>COUNTIF(AF9:AF44,"DP")</f>
        <v>36</v>
      </c>
      <c r="AP12" s="261"/>
      <c r="AQ12" s="95"/>
      <c r="AR12" s="95"/>
    </row>
    <row r="13" spans="1:48" ht="12" customHeight="1" x14ac:dyDescent="0.3">
      <c r="A13" s="58">
        <v>5</v>
      </c>
      <c r="B13" s="90" t="str">
        <f>'C. FILIACION'!B12</f>
        <v>CONDORI FLORES ALEJANDRO BRYAN</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59" t="str">
        <f t="shared" si="5"/>
        <v>APROBADO</v>
      </c>
      <c r="AI13" s="260"/>
      <c r="AJ13" s="260"/>
      <c r="AK13" s="260"/>
      <c r="AL13" s="260"/>
      <c r="AM13" s="261"/>
      <c r="AN13" s="95"/>
      <c r="AO13" s="95"/>
      <c r="AP13" s="95"/>
      <c r="AQ13" s="95"/>
      <c r="AR13" s="95"/>
    </row>
    <row r="14" spans="1:48" ht="12" customHeight="1" x14ac:dyDescent="0.3">
      <c r="A14" s="58">
        <v>6</v>
      </c>
      <c r="B14" s="90" t="str">
        <f>'C. FILIACION'!B13</f>
        <v>DE LA CRUZ SANDOVAL JHON MARCO</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59" t="str">
        <f t="shared" si="5"/>
        <v>APROBADO</v>
      </c>
      <c r="AI14" s="260"/>
      <c r="AJ14" s="260"/>
      <c r="AK14" s="260"/>
      <c r="AL14" s="260"/>
      <c r="AM14" s="261"/>
      <c r="AN14" s="95"/>
      <c r="AO14" s="95"/>
      <c r="AP14" s="95"/>
      <c r="AQ14" s="95"/>
      <c r="AR14" s="95"/>
    </row>
    <row r="15" spans="1:48" ht="12" customHeight="1" x14ac:dyDescent="0.3">
      <c r="A15" s="58">
        <v>7</v>
      </c>
      <c r="B15" s="90" t="str">
        <f>'C. FILIACION'!B14</f>
        <v>GARCÍA IGNACIO MISHEL MAYA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59" t="str">
        <f t="shared" si="5"/>
        <v>APROBADO</v>
      </c>
      <c r="AI15" s="260"/>
      <c r="AJ15" s="260"/>
      <c r="AK15" s="260"/>
      <c r="AL15" s="260"/>
      <c r="AM15" s="261"/>
      <c r="AN15" s="95"/>
      <c r="AO15" s="95"/>
      <c r="AP15" s="95"/>
      <c r="AQ15" s="95"/>
      <c r="AR15" s="95"/>
    </row>
    <row r="16" spans="1:48" ht="12" customHeight="1" x14ac:dyDescent="0.3">
      <c r="A16" s="58">
        <v>8</v>
      </c>
      <c r="B16" s="90" t="str">
        <f>'C. FILIACION'!B15</f>
        <v>HELGUERO SANCHEZ JHOYSI CAMIL</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59" t="str">
        <f t="shared" si="5"/>
        <v>APROBADO</v>
      </c>
      <c r="AI16" s="260"/>
      <c r="AJ16" s="260"/>
      <c r="AK16" s="260"/>
      <c r="AL16" s="260"/>
      <c r="AM16" s="261"/>
      <c r="AN16" s="95"/>
      <c r="AO16" s="95"/>
      <c r="AP16" s="95"/>
      <c r="AQ16" s="95"/>
      <c r="AR16" s="95"/>
    </row>
    <row r="17" spans="1:44" ht="12" customHeight="1" x14ac:dyDescent="0.3">
      <c r="A17" s="58">
        <v>9</v>
      </c>
      <c r="B17" s="90" t="str">
        <f>'C. FILIACION'!B16</f>
        <v>LEDEZMA ORELLANA RICARDO ERIK</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59" t="str">
        <f t="shared" si="5"/>
        <v>APROBADO</v>
      </c>
      <c r="AI17" s="260"/>
      <c r="AJ17" s="260"/>
      <c r="AK17" s="260"/>
      <c r="AL17" s="260"/>
      <c r="AM17" s="261"/>
      <c r="AN17" s="95"/>
      <c r="AO17" s="95"/>
      <c r="AP17" s="95"/>
      <c r="AQ17" s="95"/>
      <c r="AR17" s="95"/>
    </row>
    <row r="18" spans="1:44" ht="12" customHeight="1" x14ac:dyDescent="0.3">
      <c r="A18" s="58">
        <v>10</v>
      </c>
      <c r="B18" s="90" t="str">
        <f>'C. FILIACION'!B17</f>
        <v>MAMANI LOPEZ ELIZABETH MILDRED</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59" t="str">
        <f t="shared" si="5"/>
        <v>APROBADO</v>
      </c>
      <c r="AI18" s="260"/>
      <c r="AJ18" s="260"/>
      <c r="AK18" s="260"/>
      <c r="AL18" s="260"/>
      <c r="AM18" s="261"/>
      <c r="AN18" s="95"/>
      <c r="AO18" s="95"/>
      <c r="AP18" s="95"/>
      <c r="AQ18" s="95"/>
      <c r="AR18" s="95"/>
    </row>
    <row r="19" spans="1:44" ht="12" customHeight="1" x14ac:dyDescent="0.3">
      <c r="A19" s="58">
        <v>11</v>
      </c>
      <c r="B19" s="90" t="str">
        <f>'C. FILIACION'!B18</f>
        <v>MEDINA CHOQUE JUAN JOSE</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59" t="str">
        <f t="shared" si="5"/>
        <v>APROBADO</v>
      </c>
      <c r="AI19" s="260"/>
      <c r="AJ19" s="260"/>
      <c r="AK19" s="260"/>
      <c r="AL19" s="260"/>
      <c r="AM19" s="261"/>
      <c r="AN19" s="95"/>
      <c r="AO19" s="95"/>
      <c r="AP19" s="95"/>
      <c r="AQ19" s="95"/>
      <c r="AR19" s="95"/>
    </row>
    <row r="20" spans="1:44" ht="12" customHeight="1" x14ac:dyDescent="0.3">
      <c r="A20" s="58">
        <v>12</v>
      </c>
      <c r="B20" s="90" t="str">
        <f>'C. FILIACION'!B19</f>
        <v>NINA RUEDA SEBASTIAN CARLOS</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59" t="str">
        <f t="shared" si="5"/>
        <v>APROBADO</v>
      </c>
      <c r="AI20" s="260"/>
      <c r="AJ20" s="260"/>
      <c r="AK20" s="260"/>
      <c r="AL20" s="260"/>
      <c r="AM20" s="261"/>
      <c r="AN20" s="95"/>
      <c r="AO20" s="95"/>
      <c r="AP20" s="95"/>
      <c r="AQ20" s="95"/>
      <c r="AR20" s="95"/>
    </row>
    <row r="21" spans="1:44" ht="12" customHeight="1" x14ac:dyDescent="0.3">
      <c r="A21" s="58">
        <v>13</v>
      </c>
      <c r="B21" s="90" t="str">
        <f>'C. FILIACION'!B20</f>
        <v>RODRIGUEZ RAMIREZ NATALY ARIANA</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59" t="str">
        <f t="shared" si="5"/>
        <v>APROBADO</v>
      </c>
      <c r="AI21" s="260"/>
      <c r="AJ21" s="260"/>
      <c r="AK21" s="260"/>
      <c r="AL21" s="260"/>
      <c r="AM21" s="261"/>
      <c r="AN21" s="95"/>
      <c r="AO21" s="95"/>
      <c r="AP21" s="95"/>
      <c r="AQ21" s="95"/>
      <c r="AR21" s="95"/>
    </row>
    <row r="22" spans="1:44" ht="12" customHeight="1" x14ac:dyDescent="0.3">
      <c r="A22" s="58">
        <v>14</v>
      </c>
      <c r="B22" s="90" t="str">
        <f>'C. FILIACION'!B21</f>
        <v>SALAZAR CANAZA CRISTINA MAYRA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59" t="str">
        <f t="shared" si="5"/>
        <v>APROBADO</v>
      </c>
      <c r="AI22" s="260"/>
      <c r="AJ22" s="260"/>
      <c r="AK22" s="260"/>
      <c r="AL22" s="260"/>
      <c r="AM22" s="261"/>
      <c r="AN22" s="95"/>
      <c r="AO22" s="95"/>
      <c r="AP22" s="95"/>
      <c r="AQ22" s="95"/>
      <c r="AR22" s="95"/>
    </row>
    <row r="23" spans="1:44" ht="12" customHeight="1" x14ac:dyDescent="0.3">
      <c r="A23" s="58">
        <v>15</v>
      </c>
      <c r="B23" s="90" t="str">
        <f>'C. FILIACION'!B22</f>
        <v>SEVILLANO BALTAZAR AGNESE</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59" t="str">
        <f t="shared" si="5"/>
        <v>APROBADO</v>
      </c>
      <c r="AI23" s="260"/>
      <c r="AJ23" s="260"/>
      <c r="AK23" s="260"/>
      <c r="AL23" s="260"/>
      <c r="AM23" s="261"/>
      <c r="AN23" s="95"/>
      <c r="AO23" s="95"/>
      <c r="AP23" s="95"/>
      <c r="AQ23" s="95"/>
      <c r="AR23" s="95"/>
    </row>
    <row r="24" spans="1:44" ht="12" customHeight="1" x14ac:dyDescent="0.3">
      <c r="A24" s="58">
        <v>16</v>
      </c>
      <c r="B24" s="90" t="str">
        <f>'C. FILIACION'!B23</f>
        <v>TOCONAS HUAYGUA VICTORIA FERNANDA</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59" t="str">
        <f t="shared" si="5"/>
        <v>APROBADO</v>
      </c>
      <c r="AI24" s="260"/>
      <c r="AJ24" s="260"/>
      <c r="AK24" s="260"/>
      <c r="AL24" s="260"/>
      <c r="AM24" s="261"/>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08" t="s">
        <v>97</v>
      </c>
      <c r="C2" s="204"/>
      <c r="D2" s="204"/>
      <c r="E2" s="204"/>
      <c r="F2" s="204"/>
      <c r="G2" s="204"/>
      <c r="H2" s="204"/>
      <c r="I2" s="204"/>
      <c r="J2" s="204"/>
      <c r="K2" s="204"/>
      <c r="L2" s="204"/>
      <c r="M2" s="204"/>
      <c r="N2" s="204"/>
      <c r="O2" s="204"/>
      <c r="P2" s="204"/>
      <c r="Q2" s="204"/>
      <c r="R2" s="204"/>
      <c r="S2" s="204"/>
      <c r="T2" s="204"/>
      <c r="U2" s="204"/>
      <c r="V2" s="204"/>
      <c r="W2" s="204"/>
      <c r="X2" s="204"/>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51</v>
      </c>
      <c r="S4" s="42"/>
      <c r="T4" s="40"/>
      <c r="U4" s="39">
        <f>CARÁTULA!$C$19</f>
        <v>0</v>
      </c>
      <c r="V4" s="40"/>
      <c r="W4" s="40"/>
      <c r="X4" s="40"/>
    </row>
    <row r="5" spans="1:28" ht="12.75" customHeight="1" x14ac:dyDescent="0.3">
      <c r="B5" s="38" t="s">
        <v>22</v>
      </c>
      <c r="C5" s="97" t="str">
        <f>CARÁTULA!$C$23</f>
        <v>2do de Secundaria</v>
      </c>
      <c r="D5" s="40"/>
      <c r="E5" s="40"/>
      <c r="F5" s="40"/>
      <c r="G5" s="40"/>
      <c r="H5" s="40"/>
      <c r="I5" s="40"/>
      <c r="J5" s="40"/>
      <c r="K5" s="40"/>
      <c r="L5" s="40"/>
      <c r="M5" s="40"/>
      <c r="N5" s="38"/>
      <c r="O5" s="38"/>
      <c r="P5" s="38"/>
      <c r="Q5" s="38"/>
      <c r="R5" s="43" t="s">
        <v>23</v>
      </c>
      <c r="S5" s="44"/>
      <c r="T5" s="44"/>
      <c r="U5" s="222">
        <f ca="1">TODAY()</f>
        <v>44418</v>
      </c>
      <c r="V5" s="204"/>
      <c r="W5" s="204"/>
      <c r="X5" s="204"/>
    </row>
    <row r="6" spans="1:28" ht="12.75" customHeight="1" x14ac:dyDescent="0.3">
      <c r="B6" s="38"/>
      <c r="C6" s="281" t="s">
        <v>4</v>
      </c>
      <c r="D6" s="260"/>
      <c r="E6" s="260"/>
      <c r="F6" s="260"/>
      <c r="G6" s="260"/>
      <c r="H6" s="261"/>
      <c r="I6" s="281" t="s">
        <v>10</v>
      </c>
      <c r="J6" s="260"/>
      <c r="K6" s="260"/>
      <c r="L6" s="260"/>
      <c r="M6" s="260"/>
      <c r="N6" s="261"/>
      <c r="O6" s="281" t="s">
        <v>16</v>
      </c>
      <c r="P6" s="260"/>
      <c r="Q6" s="260"/>
      <c r="R6" s="260"/>
      <c r="S6" s="260"/>
      <c r="T6" s="261"/>
      <c r="U6" s="286" t="s">
        <v>98</v>
      </c>
      <c r="V6" s="282" t="s">
        <v>99</v>
      </c>
      <c r="W6" s="66"/>
      <c r="X6" s="66"/>
    </row>
    <row r="7" spans="1:28" ht="12" customHeight="1" x14ac:dyDescent="0.3">
      <c r="B7" s="47"/>
      <c r="C7" s="284"/>
      <c r="D7" s="260"/>
      <c r="E7" s="260"/>
      <c r="F7" s="260"/>
      <c r="G7" s="261"/>
      <c r="H7" s="285" t="s">
        <v>100</v>
      </c>
      <c r="I7" s="284"/>
      <c r="J7" s="260"/>
      <c r="K7" s="260"/>
      <c r="L7" s="260"/>
      <c r="M7" s="261"/>
      <c r="N7" s="285" t="s">
        <v>100</v>
      </c>
      <c r="O7" s="284"/>
      <c r="P7" s="260"/>
      <c r="Q7" s="260"/>
      <c r="R7" s="260"/>
      <c r="S7" s="261"/>
      <c r="T7" s="272" t="s">
        <v>100</v>
      </c>
      <c r="U7" s="283"/>
      <c r="V7" s="283"/>
      <c r="W7" s="40"/>
      <c r="X7" s="40"/>
    </row>
    <row r="8" spans="1:28" ht="67.5" customHeight="1" x14ac:dyDescent="0.3">
      <c r="A8" s="48" t="s">
        <v>54</v>
      </c>
      <c r="B8" s="49" t="s">
        <v>55</v>
      </c>
      <c r="C8" s="98" t="s">
        <v>77</v>
      </c>
      <c r="D8" s="99" t="s">
        <v>78</v>
      </c>
      <c r="E8" s="99" t="s">
        <v>80</v>
      </c>
      <c r="F8" s="99" t="s">
        <v>81</v>
      </c>
      <c r="G8" s="99" t="s">
        <v>101</v>
      </c>
      <c r="H8" s="268"/>
      <c r="I8" s="98" t="s">
        <v>77</v>
      </c>
      <c r="J8" s="99" t="s">
        <v>78</v>
      </c>
      <c r="K8" s="99" t="s">
        <v>80</v>
      </c>
      <c r="L8" s="99" t="s">
        <v>81</v>
      </c>
      <c r="M8" s="99" t="s">
        <v>101</v>
      </c>
      <c r="N8" s="268"/>
      <c r="O8" s="98" t="s">
        <v>77</v>
      </c>
      <c r="P8" s="99" t="s">
        <v>78</v>
      </c>
      <c r="Q8" s="99" t="s">
        <v>80</v>
      </c>
      <c r="R8" s="99" t="s">
        <v>81</v>
      </c>
      <c r="S8" s="99" t="s">
        <v>101</v>
      </c>
      <c r="T8" s="268"/>
      <c r="U8" s="268"/>
      <c r="V8" s="268"/>
      <c r="W8" s="100"/>
      <c r="X8" s="100"/>
    </row>
    <row r="9" spans="1:28" ht="12" customHeight="1" x14ac:dyDescent="0.3">
      <c r="A9" s="58">
        <v>1</v>
      </c>
      <c r="B9" s="59" t="str">
        <f>'C. FILIACION'!B8</f>
        <v>ALARCON CHURA PRISCILA</v>
      </c>
      <c r="C9" s="31">
        <f>'VAL 1 TRIM '!C9</f>
        <v>10</v>
      </c>
      <c r="D9" s="31">
        <f>'VAL 1 TRIM '!O9</f>
        <v>18</v>
      </c>
      <c r="E9" s="31">
        <f>'VAL 1 TRIM '!AB9</f>
        <v>18</v>
      </c>
      <c r="F9" s="31">
        <f>'VAL 1 TRIM '!AE9</f>
        <v>10</v>
      </c>
      <c r="G9" s="31">
        <f>'VAL 1 TRIM '!AE9</f>
        <v>10</v>
      </c>
      <c r="H9" s="101">
        <f>'VAL 1 TRIM '!AG9</f>
        <v>66</v>
      </c>
      <c r="I9" s="31">
        <f>'VAL 2 TRIM'!C9</f>
        <v>10</v>
      </c>
      <c r="J9" s="31">
        <f>'VAL 2 TRIM'!O9</f>
        <v>6</v>
      </c>
      <c r="K9" s="31">
        <f>'VAL 2 TRIM'!AB9</f>
        <v>0</v>
      </c>
      <c r="L9" s="31">
        <f>'VAL 2 TRIM'!AA9</f>
        <v>10</v>
      </c>
      <c r="M9" s="31">
        <f>'VAL 2 TRIM'!AE9</f>
        <v>10</v>
      </c>
      <c r="N9" s="101">
        <f>'VAL 2 TRIM'!AG9</f>
        <v>36</v>
      </c>
      <c r="O9" s="31">
        <f>'VAL 3 TRIM'!C9</f>
        <v>10</v>
      </c>
      <c r="P9" s="31">
        <f>'VAL 3 TRIM'!O9</f>
        <v>35</v>
      </c>
      <c r="Q9" s="31">
        <f>'VAL 3 TRIM'!AB9</f>
        <v>35</v>
      </c>
      <c r="R9" s="31">
        <f>'VAL 3 TRIM'!AA9</f>
        <v>10</v>
      </c>
      <c r="S9" s="31">
        <f>'VAL 3 TRIM'!AE9</f>
        <v>10</v>
      </c>
      <c r="T9" s="101">
        <f>'VAL 3 TRIM'!AG9</f>
        <v>100</v>
      </c>
      <c r="U9" s="102">
        <f t="shared" ref="U9:U44" si="0">AVERAGE(H9,N9,T9)</f>
        <v>67.333333333333329</v>
      </c>
      <c r="V9" s="103" t="str">
        <f t="shared" ref="V9:V44" si="1">IF(U9="","",(IF(AND(U9&gt;=1,U9&lt;=50.499),"REPROBADO",IF(AND(U9&gt;=50.5,U9&lt;=100),"APROBADO"))))</f>
        <v>APROBADO</v>
      </c>
      <c r="W9" s="104"/>
      <c r="X9" s="104"/>
    </row>
    <row r="10" spans="1:28" ht="12" customHeight="1" x14ac:dyDescent="0.3">
      <c r="A10" s="58">
        <v>2</v>
      </c>
      <c r="B10" s="59" t="str">
        <f>'C. FILIACION'!B9</f>
        <v>ARCE CHOQUE LUCERO CORAL</v>
      </c>
      <c r="C10" s="48">
        <f>'VAL 1 TRIM '!C10</f>
        <v>10</v>
      </c>
      <c r="D10" s="48">
        <f>'VAL 1 TRIM '!O10</f>
        <v>18</v>
      </c>
      <c r="E10" s="48">
        <f>'VAL 1 TRIM '!AB10</f>
        <v>18</v>
      </c>
      <c r="F10" s="48">
        <f>'VAL 1 TRIM '!AE10</f>
        <v>10</v>
      </c>
      <c r="G10" s="48">
        <f>'VAL 1 TRIM '!AE10</f>
        <v>10</v>
      </c>
      <c r="H10" s="101">
        <f>'VAL 1 TRIM '!AG10</f>
        <v>66</v>
      </c>
      <c r="I10" s="31">
        <f>'VAL 2 TRIM'!C10</f>
        <v>10</v>
      </c>
      <c r="J10" s="31">
        <f>'VAL 2 TRIM'!O10</f>
        <v>6</v>
      </c>
      <c r="K10" s="31">
        <f>'VAL 2 TRIM'!AB10</f>
        <v>0</v>
      </c>
      <c r="L10" s="31">
        <f>'VAL 2 TRIM'!AA10</f>
        <v>10</v>
      </c>
      <c r="M10" s="31">
        <f>'VAL 2 TRIM'!AE10</f>
        <v>10</v>
      </c>
      <c r="N10" s="101">
        <f>'VAL 2 TRIM'!AG10</f>
        <v>36</v>
      </c>
      <c r="O10" s="31">
        <f>'VAL 3 TRIM'!C10</f>
        <v>10</v>
      </c>
      <c r="P10" s="31">
        <f>'VAL 3 TRIM'!O10</f>
        <v>35</v>
      </c>
      <c r="Q10" s="31">
        <f>'VAL 3 TRIM'!AB10</f>
        <v>35</v>
      </c>
      <c r="R10" s="31">
        <f>'VAL 3 TRIM'!AA10</f>
        <v>10</v>
      </c>
      <c r="S10" s="48">
        <f>'VAL 3 TRIM'!AE10</f>
        <v>10</v>
      </c>
      <c r="T10" s="101">
        <f>'VAL 3 TRIM'!AG10</f>
        <v>100</v>
      </c>
      <c r="U10" s="102">
        <f t="shared" si="0"/>
        <v>67.333333333333329</v>
      </c>
      <c r="V10" s="103" t="str">
        <f t="shared" si="1"/>
        <v>APROBADO</v>
      </c>
      <c r="W10" s="104"/>
      <c r="X10" s="104"/>
    </row>
    <row r="11" spans="1:28" ht="12" customHeight="1" x14ac:dyDescent="0.3">
      <c r="A11" s="58">
        <v>3</v>
      </c>
      <c r="B11" s="59" t="str">
        <f>'C. FILIACION'!B10</f>
        <v>AREQUIPA CALCINA FABIAN JHON</v>
      </c>
      <c r="C11" s="48">
        <f>'VAL 1 TRIM '!C11</f>
        <v>10</v>
      </c>
      <c r="D11" s="48">
        <f>'VAL 1 TRIM '!O11</f>
        <v>18</v>
      </c>
      <c r="E11" s="48">
        <f>'VAL 1 TRIM '!AB11</f>
        <v>18</v>
      </c>
      <c r="F11" s="48">
        <f>'VAL 1 TRIM '!AE11</f>
        <v>10</v>
      </c>
      <c r="G11" s="48">
        <f>'VAL 1 TRIM '!AE11</f>
        <v>10</v>
      </c>
      <c r="H11" s="101">
        <f>'VAL 1 TRIM '!AG11</f>
        <v>66</v>
      </c>
      <c r="I11" s="31">
        <f>'VAL 2 TRIM'!C11</f>
        <v>10</v>
      </c>
      <c r="J11" s="31">
        <f>'VAL 2 TRIM'!O11</f>
        <v>13</v>
      </c>
      <c r="K11" s="31">
        <f>'VAL 2 TRIM'!AB11</f>
        <v>9</v>
      </c>
      <c r="L11" s="31">
        <f>'VAL 2 TRIM'!AA11</f>
        <v>10</v>
      </c>
      <c r="M11" s="31">
        <f>'VAL 2 TRIM'!AE11</f>
        <v>10</v>
      </c>
      <c r="N11" s="101">
        <f>'VAL 2 TRIM'!AG11</f>
        <v>52</v>
      </c>
      <c r="O11" s="31">
        <f>'VAL 3 TRIM'!C11</f>
        <v>10</v>
      </c>
      <c r="P11" s="31">
        <f>'VAL 3 TRIM'!O11</f>
        <v>35</v>
      </c>
      <c r="Q11" s="31">
        <f>'VAL 3 TRIM'!AB11</f>
        <v>35</v>
      </c>
      <c r="R11" s="31">
        <f>'VAL 3 TRIM'!AA11</f>
        <v>10</v>
      </c>
      <c r="S11" s="48">
        <f>'VAL 3 TRIM'!AE11</f>
        <v>10</v>
      </c>
      <c r="T11" s="101">
        <f>'VAL 3 TRIM'!AG11</f>
        <v>100</v>
      </c>
      <c r="U11" s="102">
        <f t="shared" si="0"/>
        <v>72.666666666666671</v>
      </c>
      <c r="V11" s="103" t="str">
        <f t="shared" si="1"/>
        <v>APROBADO</v>
      </c>
      <c r="W11" s="104"/>
      <c r="X11" s="104"/>
    </row>
    <row r="12" spans="1:28" ht="12" customHeight="1" x14ac:dyDescent="0.3">
      <c r="A12" s="58">
        <v>4</v>
      </c>
      <c r="B12" s="59" t="str">
        <f>'C. FILIACION'!B11</f>
        <v>CLAURE PARAVICINI RASHEL ROSALY</v>
      </c>
      <c r="C12" s="48">
        <f>'VAL 1 TRIM '!C12</f>
        <v>10</v>
      </c>
      <c r="D12" s="48">
        <f>'VAL 1 TRIM '!O12</f>
        <v>18</v>
      </c>
      <c r="E12" s="48">
        <f>'VAL 1 TRIM '!AB12</f>
        <v>18</v>
      </c>
      <c r="F12" s="48">
        <f>'VAL 1 TRIM '!AE12</f>
        <v>10</v>
      </c>
      <c r="G12" s="48">
        <f>'VAL 1 TRIM '!AE12</f>
        <v>10</v>
      </c>
      <c r="H12" s="101">
        <f>'VAL 1 TRIM '!AG12</f>
        <v>66</v>
      </c>
      <c r="I12" s="31">
        <f>'VAL 2 TRIM'!C12</f>
        <v>10</v>
      </c>
      <c r="J12" s="31">
        <f>'VAL 2 TRIM'!O12</f>
        <v>16</v>
      </c>
      <c r="K12" s="31">
        <f>'VAL 2 TRIM'!AB12</f>
        <v>0</v>
      </c>
      <c r="L12" s="31">
        <f>'VAL 2 TRIM'!AA12</f>
        <v>10</v>
      </c>
      <c r="M12" s="31">
        <f>'VAL 2 TRIM'!AE12</f>
        <v>10</v>
      </c>
      <c r="N12" s="101">
        <f>'VAL 2 TRIM'!AG12</f>
        <v>46</v>
      </c>
      <c r="O12" s="31">
        <f>'VAL 3 TRIM'!C12</f>
        <v>10</v>
      </c>
      <c r="P12" s="31">
        <f>'VAL 3 TRIM'!O12</f>
        <v>35</v>
      </c>
      <c r="Q12" s="31">
        <f>'VAL 3 TRIM'!AB12</f>
        <v>35</v>
      </c>
      <c r="R12" s="31">
        <f>'VAL 3 TRIM'!AA12</f>
        <v>10</v>
      </c>
      <c r="S12" s="48">
        <f>'VAL 3 TRIM'!AE12</f>
        <v>10</v>
      </c>
      <c r="T12" s="101">
        <f>'VAL 3 TRIM'!AG12</f>
        <v>100</v>
      </c>
      <c r="U12" s="102">
        <f t="shared" si="0"/>
        <v>70.666666666666671</v>
      </c>
      <c r="V12" s="103" t="str">
        <f t="shared" si="1"/>
        <v>APROBADO</v>
      </c>
      <c r="W12" s="104"/>
      <c r="X12" s="104"/>
    </row>
    <row r="13" spans="1:28" ht="12" customHeight="1" x14ac:dyDescent="0.3">
      <c r="A13" s="58">
        <v>5</v>
      </c>
      <c r="B13" s="59" t="str">
        <f>'C. FILIACION'!B12</f>
        <v>CONDORI FLORES ALEJANDRO BRYAN</v>
      </c>
      <c r="C13" s="48">
        <f>'VAL 1 TRIM '!C13</f>
        <v>10</v>
      </c>
      <c r="D13" s="48">
        <f>'VAL 1 TRIM '!O13</f>
        <v>18</v>
      </c>
      <c r="E13" s="48">
        <f>'VAL 1 TRIM '!AB13</f>
        <v>18</v>
      </c>
      <c r="F13" s="48">
        <f>'VAL 1 TRIM '!AE13</f>
        <v>10</v>
      </c>
      <c r="G13" s="48">
        <f>'VAL 1 TRIM '!AE13</f>
        <v>10</v>
      </c>
      <c r="H13" s="101">
        <f>'VAL 1 TRIM '!AG13</f>
        <v>66</v>
      </c>
      <c r="I13" s="31">
        <f>'VAL 2 TRIM'!C13</f>
        <v>10</v>
      </c>
      <c r="J13" s="31">
        <f>'VAL 2 TRIM'!O13</f>
        <v>15</v>
      </c>
      <c r="K13" s="31">
        <f>'VAL 2 TRIM'!AB13</f>
        <v>9</v>
      </c>
      <c r="L13" s="31">
        <f>'VAL 2 TRIM'!AA13</f>
        <v>10</v>
      </c>
      <c r="M13" s="31">
        <f>'VAL 2 TRIM'!AE13</f>
        <v>10</v>
      </c>
      <c r="N13" s="101">
        <f>'VAL 2 TRIM'!AG13</f>
        <v>54</v>
      </c>
      <c r="O13" s="31">
        <f>'VAL 3 TRIM'!C13</f>
        <v>10</v>
      </c>
      <c r="P13" s="31">
        <f>'VAL 3 TRIM'!O13</f>
        <v>35</v>
      </c>
      <c r="Q13" s="31">
        <f>'VAL 3 TRIM'!AB13</f>
        <v>35</v>
      </c>
      <c r="R13" s="31">
        <f>'VAL 3 TRIM'!AA13</f>
        <v>10</v>
      </c>
      <c r="S13" s="48">
        <f>'VAL 3 TRIM'!AE13</f>
        <v>10</v>
      </c>
      <c r="T13" s="101">
        <f>'VAL 3 TRIM'!AG13</f>
        <v>100</v>
      </c>
      <c r="U13" s="102">
        <f t="shared" si="0"/>
        <v>73.333333333333329</v>
      </c>
      <c r="V13" s="103" t="str">
        <f t="shared" si="1"/>
        <v>APROBADO</v>
      </c>
      <c r="W13" s="104"/>
      <c r="X13" s="104"/>
    </row>
    <row r="14" spans="1:28" ht="12" customHeight="1" x14ac:dyDescent="0.3">
      <c r="A14" s="58">
        <v>6</v>
      </c>
      <c r="B14" s="59" t="str">
        <f>'C. FILIACION'!B13</f>
        <v>DE LA CRUZ SANDOVAL JHON MARCO</v>
      </c>
      <c r="C14" s="48">
        <f>'VAL 1 TRIM '!C14</f>
        <v>10</v>
      </c>
      <c r="D14" s="48">
        <f>'VAL 1 TRIM '!O14</f>
        <v>18</v>
      </c>
      <c r="E14" s="48">
        <f>'VAL 1 TRIM '!AB14</f>
        <v>18</v>
      </c>
      <c r="F14" s="48">
        <f>'VAL 1 TRIM '!AE14</f>
        <v>10</v>
      </c>
      <c r="G14" s="48">
        <f>'VAL 1 TRIM '!AE14</f>
        <v>10</v>
      </c>
      <c r="H14" s="101">
        <f>'VAL 1 TRIM '!AG14</f>
        <v>66</v>
      </c>
      <c r="I14" s="31">
        <f>'VAL 2 TRIM'!C14</f>
        <v>10</v>
      </c>
      <c r="J14" s="31">
        <f>'VAL 2 TRIM'!O14</f>
        <v>28</v>
      </c>
      <c r="K14" s="31">
        <f>'VAL 2 TRIM'!AB14</f>
        <v>17</v>
      </c>
      <c r="L14" s="31">
        <f>'VAL 2 TRIM'!AA14</f>
        <v>10</v>
      </c>
      <c r="M14" s="31">
        <f>'VAL 2 TRIM'!AE14</f>
        <v>10</v>
      </c>
      <c r="N14" s="101">
        <f>'VAL 2 TRIM'!AG14</f>
        <v>75</v>
      </c>
      <c r="O14" s="31">
        <f>'VAL 3 TRIM'!C14</f>
        <v>10</v>
      </c>
      <c r="P14" s="31">
        <f>'VAL 3 TRIM'!O14</f>
        <v>35</v>
      </c>
      <c r="Q14" s="31">
        <f>'VAL 3 TRIM'!AB14</f>
        <v>35</v>
      </c>
      <c r="R14" s="31">
        <f>'VAL 3 TRIM'!AA14</f>
        <v>10</v>
      </c>
      <c r="S14" s="48">
        <f>'VAL 3 TRIM'!AE14</f>
        <v>10</v>
      </c>
      <c r="T14" s="101">
        <f>'VAL 3 TRIM'!AG14</f>
        <v>100</v>
      </c>
      <c r="U14" s="102">
        <f t="shared" si="0"/>
        <v>80.333333333333329</v>
      </c>
      <c r="V14" s="103" t="str">
        <f t="shared" si="1"/>
        <v>APROBADO</v>
      </c>
      <c r="W14" s="104"/>
      <c r="X14" s="104"/>
    </row>
    <row r="15" spans="1:28" ht="12" customHeight="1" x14ac:dyDescent="0.3">
      <c r="A15" s="58">
        <v>7</v>
      </c>
      <c r="B15" s="59" t="str">
        <f>'C. FILIACION'!B14</f>
        <v>GARCÍA IGNACIO MISHEL MAYA</v>
      </c>
      <c r="C15" s="48">
        <f>'VAL 1 TRIM '!C15</f>
        <v>10</v>
      </c>
      <c r="D15" s="48">
        <f>'VAL 1 TRIM '!O15</f>
        <v>18</v>
      </c>
      <c r="E15" s="48">
        <f>'VAL 1 TRIM '!AB15</f>
        <v>18</v>
      </c>
      <c r="F15" s="48">
        <f>'VAL 1 TRIM '!AE15</f>
        <v>10</v>
      </c>
      <c r="G15" s="48">
        <f>'VAL 1 TRIM '!AE15</f>
        <v>10</v>
      </c>
      <c r="H15" s="101">
        <f>'VAL 1 TRIM '!AG15</f>
        <v>66</v>
      </c>
      <c r="I15" s="31">
        <f>'VAL 2 TRIM'!C15</f>
        <v>10</v>
      </c>
      <c r="J15" s="31">
        <f>'VAL 2 TRIM'!O15</f>
        <v>28</v>
      </c>
      <c r="K15" s="31">
        <f>'VAL 2 TRIM'!AB15</f>
        <v>21</v>
      </c>
      <c r="L15" s="31">
        <f>'VAL 2 TRIM'!AA15</f>
        <v>10</v>
      </c>
      <c r="M15" s="31">
        <f>'VAL 2 TRIM'!AE15</f>
        <v>10</v>
      </c>
      <c r="N15" s="101">
        <f>'VAL 2 TRIM'!AG15</f>
        <v>79</v>
      </c>
      <c r="O15" s="31">
        <f>'VAL 3 TRIM'!C15</f>
        <v>10</v>
      </c>
      <c r="P15" s="31">
        <f>'VAL 3 TRIM'!O15</f>
        <v>35</v>
      </c>
      <c r="Q15" s="31">
        <f>'VAL 3 TRIM'!AB15</f>
        <v>35</v>
      </c>
      <c r="R15" s="31">
        <f>'VAL 3 TRIM'!AA15</f>
        <v>10</v>
      </c>
      <c r="S15" s="48">
        <f>'VAL 3 TRIM'!AE15</f>
        <v>10</v>
      </c>
      <c r="T15" s="101">
        <f>'VAL 3 TRIM'!AG15</f>
        <v>100</v>
      </c>
      <c r="U15" s="102">
        <f t="shared" si="0"/>
        <v>81.666666666666671</v>
      </c>
      <c r="V15" s="103" t="str">
        <f t="shared" si="1"/>
        <v>APROBADO</v>
      </c>
      <c r="W15" s="104"/>
      <c r="X15" s="104"/>
    </row>
    <row r="16" spans="1:28" ht="12" customHeight="1" x14ac:dyDescent="0.3">
      <c r="A16" s="58">
        <v>8</v>
      </c>
      <c r="B16" s="59" t="str">
        <f>'C. FILIACION'!B15</f>
        <v>HELGUERO SANCHEZ JHOYSI CAMIL</v>
      </c>
      <c r="C16" s="48">
        <f>'VAL 1 TRIM '!C16</f>
        <v>10</v>
      </c>
      <c r="D16" s="48">
        <f>'VAL 1 TRIM '!O16</f>
        <v>18</v>
      </c>
      <c r="E16" s="48">
        <f>'VAL 1 TRIM '!AB16</f>
        <v>18</v>
      </c>
      <c r="F16" s="48">
        <f>'VAL 1 TRIM '!AE16</f>
        <v>10</v>
      </c>
      <c r="G16" s="48">
        <f>'VAL 1 TRIM '!AE16</f>
        <v>10</v>
      </c>
      <c r="H16" s="101">
        <f>'VAL 1 TRIM '!AG16</f>
        <v>66</v>
      </c>
      <c r="I16" s="31">
        <f>'VAL 2 TRIM'!C16</f>
        <v>10</v>
      </c>
      <c r="J16" s="31">
        <f>'VAL 2 TRIM'!O16</f>
        <v>26</v>
      </c>
      <c r="K16" s="31">
        <f>'VAL 2 TRIM'!AB16</f>
        <v>18</v>
      </c>
      <c r="L16" s="31">
        <f>'VAL 2 TRIM'!AA16</f>
        <v>10</v>
      </c>
      <c r="M16" s="31">
        <f>'VAL 2 TRIM'!AE16</f>
        <v>10</v>
      </c>
      <c r="N16" s="101">
        <f>'VAL 2 TRIM'!AG16</f>
        <v>74</v>
      </c>
      <c r="O16" s="31">
        <f>'VAL 3 TRIM'!C16</f>
        <v>10</v>
      </c>
      <c r="P16" s="31">
        <f>'VAL 3 TRIM'!O16</f>
        <v>35</v>
      </c>
      <c r="Q16" s="31">
        <f>'VAL 3 TRIM'!AB16</f>
        <v>35</v>
      </c>
      <c r="R16" s="31">
        <f>'VAL 3 TRIM'!AA16</f>
        <v>10</v>
      </c>
      <c r="S16" s="48">
        <f>'VAL 3 TRIM'!AE16</f>
        <v>10</v>
      </c>
      <c r="T16" s="101">
        <f>'VAL 3 TRIM'!AG16</f>
        <v>100</v>
      </c>
      <c r="U16" s="102">
        <f t="shared" si="0"/>
        <v>80</v>
      </c>
      <c r="V16" s="103" t="str">
        <f t="shared" si="1"/>
        <v>APROBADO</v>
      </c>
      <c r="W16" s="104"/>
      <c r="X16" s="104"/>
    </row>
    <row r="17" spans="1:24" ht="12" customHeight="1" x14ac:dyDescent="0.3">
      <c r="A17" s="58">
        <v>9</v>
      </c>
      <c r="B17" s="59" t="str">
        <f>'C. FILIACION'!B16</f>
        <v>LEDEZMA ORELLANA RICARDO ERIK</v>
      </c>
      <c r="C17" s="48">
        <f>'VAL 1 TRIM '!C17</f>
        <v>10</v>
      </c>
      <c r="D17" s="48">
        <f>'VAL 1 TRIM '!O17</f>
        <v>18</v>
      </c>
      <c r="E17" s="48">
        <f>'VAL 1 TRIM '!AB17</f>
        <v>18</v>
      </c>
      <c r="F17" s="48">
        <f>'VAL 1 TRIM '!AE17</f>
        <v>10</v>
      </c>
      <c r="G17" s="48">
        <f>'VAL 1 TRIM '!AE17</f>
        <v>10</v>
      </c>
      <c r="H17" s="101">
        <f>'VAL 1 TRIM '!AG17</f>
        <v>66</v>
      </c>
      <c r="I17" s="31">
        <f>'VAL 2 TRIM'!C17</f>
        <v>10</v>
      </c>
      <c r="J17" s="31">
        <f>'VAL 2 TRIM'!O17</f>
        <v>29</v>
      </c>
      <c r="K17" s="31">
        <f>'VAL 2 TRIM'!AB17</f>
        <v>16</v>
      </c>
      <c r="L17" s="31">
        <f>'VAL 2 TRIM'!AA17</f>
        <v>10</v>
      </c>
      <c r="M17" s="31">
        <f>'VAL 2 TRIM'!AE17</f>
        <v>10</v>
      </c>
      <c r="N17" s="101">
        <f>'VAL 2 TRIM'!AG17</f>
        <v>75</v>
      </c>
      <c r="O17" s="31">
        <f>'VAL 3 TRIM'!C17</f>
        <v>10</v>
      </c>
      <c r="P17" s="31">
        <f>'VAL 3 TRIM'!O17</f>
        <v>35</v>
      </c>
      <c r="Q17" s="31">
        <f>'VAL 3 TRIM'!AB17</f>
        <v>35</v>
      </c>
      <c r="R17" s="31">
        <f>'VAL 3 TRIM'!AA17</f>
        <v>10</v>
      </c>
      <c r="S17" s="48">
        <f>'VAL 3 TRIM'!AE17</f>
        <v>10</v>
      </c>
      <c r="T17" s="101">
        <f>'VAL 3 TRIM'!AG17</f>
        <v>100</v>
      </c>
      <c r="U17" s="102">
        <f t="shared" si="0"/>
        <v>80.333333333333329</v>
      </c>
      <c r="V17" s="103" t="str">
        <f t="shared" si="1"/>
        <v>APROBADO</v>
      </c>
      <c r="W17" s="104"/>
      <c r="X17" s="104"/>
    </row>
    <row r="18" spans="1:24" ht="12" customHeight="1" x14ac:dyDescent="0.3">
      <c r="A18" s="58">
        <v>10</v>
      </c>
      <c r="B18" s="59" t="str">
        <f>'C. FILIACION'!B17</f>
        <v>MAMANI LOPEZ ELIZABETH MILDRED</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16</v>
      </c>
      <c r="K18" s="31">
        <f>'VAL 2 TRIM'!AB18</f>
        <v>0</v>
      </c>
      <c r="L18" s="31">
        <f>'VAL 2 TRIM'!AA18</f>
        <v>10</v>
      </c>
      <c r="M18" s="31">
        <f>'VAL 2 TRIM'!AE18</f>
        <v>10</v>
      </c>
      <c r="N18" s="101">
        <f>'VAL 2 TRIM'!AG18</f>
        <v>46</v>
      </c>
      <c r="O18" s="31">
        <f>'VAL 3 TRIM'!C18</f>
        <v>10</v>
      </c>
      <c r="P18" s="31">
        <f>'VAL 3 TRIM'!O18</f>
        <v>35</v>
      </c>
      <c r="Q18" s="31">
        <f>'VAL 3 TRIM'!AB18</f>
        <v>35</v>
      </c>
      <c r="R18" s="31">
        <f>'VAL 3 TRIM'!AA18</f>
        <v>10</v>
      </c>
      <c r="S18" s="48">
        <f>'VAL 3 TRIM'!AE18</f>
        <v>10</v>
      </c>
      <c r="T18" s="101">
        <f>'VAL 3 TRIM'!AG18</f>
        <v>100</v>
      </c>
      <c r="U18" s="102">
        <f t="shared" si="0"/>
        <v>78.666666666666671</v>
      </c>
      <c r="V18" s="103" t="str">
        <f t="shared" si="1"/>
        <v>APROBADO</v>
      </c>
      <c r="W18" s="104"/>
      <c r="X18" s="104"/>
    </row>
    <row r="19" spans="1:24" ht="12" customHeight="1" x14ac:dyDescent="0.3">
      <c r="A19" s="58">
        <v>11</v>
      </c>
      <c r="B19" s="59" t="str">
        <f>'C. FILIACION'!B18</f>
        <v>MEDINA CHOQUE JUAN JOSE</v>
      </c>
      <c r="C19" s="48">
        <f>'VAL 1 TRIM '!C19</f>
        <v>10</v>
      </c>
      <c r="D19" s="48">
        <f>'VAL 1 TRIM '!O19</f>
        <v>18</v>
      </c>
      <c r="E19" s="48">
        <f>'VAL 1 TRIM '!AB19</f>
        <v>18</v>
      </c>
      <c r="F19" s="48">
        <f>'VAL 1 TRIM '!AE19</f>
        <v>10</v>
      </c>
      <c r="G19" s="48">
        <f>'VAL 1 TRIM '!AE19</f>
        <v>10</v>
      </c>
      <c r="H19" s="101">
        <f>'VAL 1 TRIM '!AG19</f>
        <v>66</v>
      </c>
      <c r="I19" s="31">
        <f>'VAL 2 TRIM'!C19</f>
        <v>10</v>
      </c>
      <c r="J19" s="31">
        <f>'VAL 2 TRIM'!O19</f>
        <v>0</v>
      </c>
      <c r="K19" s="31">
        <f>'VAL 2 TRIM'!AB19</f>
        <v>0</v>
      </c>
      <c r="L19" s="31">
        <f>'VAL 2 TRIM'!AA19</f>
        <v>10</v>
      </c>
      <c r="M19" s="31">
        <f>'VAL 2 TRIM'!AE19</f>
        <v>10</v>
      </c>
      <c r="N19" s="101">
        <f>'VAL 2 TRIM'!AG19</f>
        <v>30</v>
      </c>
      <c r="O19" s="31">
        <f>'VAL 3 TRIM'!C19</f>
        <v>10</v>
      </c>
      <c r="P19" s="31">
        <f>'VAL 3 TRIM'!O19</f>
        <v>35</v>
      </c>
      <c r="Q19" s="31">
        <f>'VAL 3 TRIM'!AB19</f>
        <v>35</v>
      </c>
      <c r="R19" s="31">
        <f>'VAL 3 TRIM'!AA19</f>
        <v>10</v>
      </c>
      <c r="S19" s="48">
        <f>'VAL 3 TRIM'!AE19</f>
        <v>10</v>
      </c>
      <c r="T19" s="101">
        <f>'VAL 3 TRIM'!AG19</f>
        <v>100</v>
      </c>
      <c r="U19" s="102">
        <f t="shared" si="0"/>
        <v>65.333333333333329</v>
      </c>
      <c r="V19" s="103" t="str">
        <f t="shared" si="1"/>
        <v>APROBADO</v>
      </c>
      <c r="W19" s="104"/>
      <c r="X19" s="104"/>
    </row>
    <row r="20" spans="1:24" ht="12" customHeight="1" x14ac:dyDescent="0.3">
      <c r="A20" s="58">
        <v>12</v>
      </c>
      <c r="B20" s="59" t="str">
        <f>'C. FILIACION'!B19</f>
        <v>NINA RUEDA SEBASTIAN CARLOS</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20</v>
      </c>
      <c r="K20" s="31">
        <f>'VAL 2 TRIM'!AB20</f>
        <v>16</v>
      </c>
      <c r="L20" s="31">
        <f>'VAL 2 TRIM'!AA20</f>
        <v>10</v>
      </c>
      <c r="M20" s="31">
        <f>'VAL 2 TRIM'!AE20</f>
        <v>10</v>
      </c>
      <c r="N20" s="101">
        <f>'VAL 2 TRIM'!AG20</f>
        <v>66</v>
      </c>
      <c r="O20" s="31">
        <f>'VAL 3 TRIM'!C20</f>
        <v>10</v>
      </c>
      <c r="P20" s="31">
        <f>'VAL 3 TRIM'!O20</f>
        <v>35</v>
      </c>
      <c r="Q20" s="31">
        <f>'VAL 3 TRIM'!AB20</f>
        <v>35</v>
      </c>
      <c r="R20" s="31">
        <f>'VAL 3 TRIM'!AA20</f>
        <v>10</v>
      </c>
      <c r="S20" s="48">
        <f>'VAL 3 TRIM'!AE20</f>
        <v>10</v>
      </c>
      <c r="T20" s="101">
        <f>'VAL 3 TRIM'!AG20</f>
        <v>100</v>
      </c>
      <c r="U20" s="102">
        <f t="shared" si="0"/>
        <v>85.333333333333329</v>
      </c>
      <c r="V20" s="103" t="str">
        <f t="shared" si="1"/>
        <v>APROBADO</v>
      </c>
      <c r="W20" s="104"/>
      <c r="X20" s="104"/>
    </row>
    <row r="21" spans="1:24" ht="12" customHeight="1" x14ac:dyDescent="0.3">
      <c r="A21" s="58">
        <v>13</v>
      </c>
      <c r="B21" s="59" t="str">
        <f>'C. FILIACION'!B20</f>
        <v>RODRIGUEZ RAMIREZ NATALY ARIANA</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16</v>
      </c>
      <c r="K21" s="31">
        <f>'VAL 2 TRIM'!AB21</f>
        <v>21</v>
      </c>
      <c r="L21" s="31">
        <f>'VAL 2 TRIM'!AA21</f>
        <v>10</v>
      </c>
      <c r="M21" s="31">
        <f>'VAL 2 TRIM'!AE21</f>
        <v>10</v>
      </c>
      <c r="N21" s="101">
        <f>'VAL 2 TRIM'!AG21</f>
        <v>67</v>
      </c>
      <c r="O21" s="31">
        <f>'VAL 3 TRIM'!C21</f>
        <v>10</v>
      </c>
      <c r="P21" s="31">
        <f>'VAL 3 TRIM'!O21</f>
        <v>35</v>
      </c>
      <c r="Q21" s="31">
        <f>'VAL 3 TRIM'!AB21</f>
        <v>35</v>
      </c>
      <c r="R21" s="31">
        <f>'VAL 3 TRIM'!AA21</f>
        <v>10</v>
      </c>
      <c r="S21" s="48">
        <f>'VAL 3 TRIM'!AE21</f>
        <v>10</v>
      </c>
      <c r="T21" s="101">
        <f>'VAL 3 TRIM'!AG21</f>
        <v>100</v>
      </c>
      <c r="U21" s="102">
        <f t="shared" si="0"/>
        <v>85.666666666666671</v>
      </c>
      <c r="V21" s="103" t="str">
        <f t="shared" si="1"/>
        <v>APROBADO</v>
      </c>
      <c r="W21" s="104"/>
      <c r="X21" s="104"/>
    </row>
    <row r="22" spans="1:24" ht="12" customHeight="1" x14ac:dyDescent="0.3">
      <c r="A22" s="58">
        <v>14</v>
      </c>
      <c r="B22" s="59" t="str">
        <f>'C. FILIACION'!B21</f>
        <v>SALAZAR CANAZA CRISTINA MAYRA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20</v>
      </c>
      <c r="K22" s="31">
        <f>'VAL 2 TRIM'!AB22</f>
        <v>15</v>
      </c>
      <c r="L22" s="31">
        <f>'VAL 2 TRIM'!AA22</f>
        <v>10</v>
      </c>
      <c r="M22" s="31">
        <f>'VAL 2 TRIM'!AE22</f>
        <v>10</v>
      </c>
      <c r="N22" s="101">
        <f>'VAL 2 TRIM'!AG22</f>
        <v>65</v>
      </c>
      <c r="O22" s="31">
        <f>'VAL 3 TRIM'!C22</f>
        <v>10</v>
      </c>
      <c r="P22" s="31">
        <f>'VAL 3 TRIM'!O22</f>
        <v>35</v>
      </c>
      <c r="Q22" s="31">
        <f>'VAL 3 TRIM'!AB22</f>
        <v>35</v>
      </c>
      <c r="R22" s="31">
        <f>'VAL 3 TRIM'!AA22</f>
        <v>10</v>
      </c>
      <c r="S22" s="48">
        <f>'VAL 3 TRIM'!AE22</f>
        <v>10</v>
      </c>
      <c r="T22" s="101">
        <f>'VAL 3 TRIM'!AG22</f>
        <v>100</v>
      </c>
      <c r="U22" s="102">
        <f t="shared" si="0"/>
        <v>85</v>
      </c>
      <c r="V22" s="103" t="str">
        <f t="shared" si="1"/>
        <v>APROBADO</v>
      </c>
      <c r="W22" s="104"/>
      <c r="X22" s="104"/>
    </row>
    <row r="23" spans="1:24" ht="12" customHeight="1" x14ac:dyDescent="0.3">
      <c r="A23" s="58">
        <v>15</v>
      </c>
      <c r="B23" s="59" t="str">
        <f>'C. FILIACION'!B22</f>
        <v>SEVILLANO BALTAZAR AGNESE</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32</v>
      </c>
      <c r="K23" s="31">
        <f>'VAL 2 TRIM'!AB23</f>
        <v>31</v>
      </c>
      <c r="L23" s="31">
        <f>'VAL 2 TRIM'!AA23</f>
        <v>10</v>
      </c>
      <c r="M23" s="31">
        <f>'VAL 2 TRIM'!AE23</f>
        <v>10</v>
      </c>
      <c r="N23" s="101">
        <f>'VAL 2 TRIM'!AG23</f>
        <v>93</v>
      </c>
      <c r="O23" s="31">
        <f>'VAL 3 TRIM'!C23</f>
        <v>10</v>
      </c>
      <c r="P23" s="31">
        <f>'VAL 3 TRIM'!O23</f>
        <v>35</v>
      </c>
      <c r="Q23" s="31">
        <f>'VAL 3 TRIM'!AB23</f>
        <v>35</v>
      </c>
      <c r="R23" s="31">
        <f>'VAL 3 TRIM'!AA23</f>
        <v>10</v>
      </c>
      <c r="S23" s="48">
        <f>'VAL 3 TRIM'!AE23</f>
        <v>10</v>
      </c>
      <c r="T23" s="101">
        <f>'VAL 3 TRIM'!AG23</f>
        <v>100</v>
      </c>
      <c r="U23" s="102">
        <f t="shared" si="0"/>
        <v>94.333333333333329</v>
      </c>
      <c r="V23" s="103" t="str">
        <f t="shared" si="1"/>
        <v>APROBADO</v>
      </c>
      <c r="W23" s="104"/>
      <c r="X23" s="104"/>
    </row>
    <row r="24" spans="1:24" ht="12" customHeight="1" x14ac:dyDescent="0.3">
      <c r="A24" s="58">
        <v>16</v>
      </c>
      <c r="B24" s="59" t="str">
        <f>'C. FILIACION'!B23</f>
        <v>TOCONAS HUAYGUA VICTORIA FERNANDA</v>
      </c>
      <c r="C24" s="48">
        <f>'VAL 1 TRIM '!C24</f>
        <v>10</v>
      </c>
      <c r="D24" s="48">
        <f>'VAL 1 TRIM '!O24</f>
        <v>18</v>
      </c>
      <c r="E24" s="48">
        <f>'VAL 1 TRIM '!AB24</f>
        <v>18</v>
      </c>
      <c r="F24" s="48">
        <f>'VAL 1 TRIM '!AE24</f>
        <v>10</v>
      </c>
      <c r="G24" s="48">
        <f>'VAL 1 TRIM '!AE24</f>
        <v>10</v>
      </c>
      <c r="H24" s="101">
        <f>'VAL 1 TRIM '!AG24</f>
        <v>66</v>
      </c>
      <c r="I24" s="31">
        <f>'VAL 2 TRIM'!C24</f>
        <v>10</v>
      </c>
      <c r="J24" s="31">
        <f>'VAL 2 TRIM'!O24</f>
        <v>16</v>
      </c>
      <c r="K24" s="31">
        <f>'VAL 2 TRIM'!AB24</f>
        <v>17</v>
      </c>
      <c r="L24" s="31">
        <f>'VAL 2 TRIM'!AA24</f>
        <v>10</v>
      </c>
      <c r="M24" s="31">
        <f>'VAL 2 TRIM'!AE24</f>
        <v>10</v>
      </c>
      <c r="N24" s="101">
        <f>'VAL 2 TRIM'!AG24</f>
        <v>63</v>
      </c>
      <c r="O24" s="31">
        <f>'VAL 3 TRIM'!C24</f>
        <v>10</v>
      </c>
      <c r="P24" s="31">
        <f>'VAL 3 TRIM'!O24</f>
        <v>35</v>
      </c>
      <c r="Q24" s="31">
        <f>'VAL 3 TRIM'!AB24</f>
        <v>35</v>
      </c>
      <c r="R24" s="31">
        <f>'VAL 3 TRIM'!AA24</f>
        <v>10</v>
      </c>
      <c r="S24" s="48">
        <f>'VAL 3 TRIM'!AE24</f>
        <v>10</v>
      </c>
      <c r="T24" s="101">
        <f>'VAL 3 TRIM'!AG24</f>
        <v>100</v>
      </c>
      <c r="U24" s="102">
        <f t="shared" si="0"/>
        <v>76.333333333333329</v>
      </c>
      <c r="V24" s="103" t="str">
        <f t="shared" si="1"/>
        <v>APROBADO</v>
      </c>
      <c r="W24" s="104"/>
      <c r="X24" s="104"/>
    </row>
    <row r="25" spans="1:24" ht="12" customHeight="1" x14ac:dyDescent="0.3">
      <c r="A25" s="58">
        <v>17</v>
      </c>
      <c r="B25" s="59">
        <f>'C. FILIACION'!B24</f>
        <v>0</v>
      </c>
      <c r="C25" s="48">
        <f>'VAL 1 TRIM '!C25</f>
        <v>10</v>
      </c>
      <c r="D25" s="48">
        <f>'VAL 1 TRIM '!O25</f>
        <v>35</v>
      </c>
      <c r="E25" s="48">
        <f>'VAL 1 TRIM '!AB25</f>
        <v>35</v>
      </c>
      <c r="F25" s="48">
        <f>'VAL 1 TRIM '!AE25</f>
        <v>10</v>
      </c>
      <c r="G25" s="48">
        <f>'VAL 1 TRIM '!AE25</f>
        <v>10</v>
      </c>
      <c r="H25" s="101">
        <f>'VAL 1 TRIM '!AG25</f>
        <v>100</v>
      </c>
      <c r="I25" s="31">
        <f>'VAL 2 TRIM'!C25</f>
        <v>10</v>
      </c>
      <c r="J25" s="31">
        <f>'VAL 2 TRIM'!O25</f>
        <v>35</v>
      </c>
      <c r="K25" s="31">
        <f>'VAL 2 TRIM'!AB25</f>
        <v>35</v>
      </c>
      <c r="L25" s="31">
        <f>'VAL 2 TRIM'!AA25</f>
        <v>10</v>
      </c>
      <c r="M25" s="31">
        <f>'VAL 2 TRIM'!AE25</f>
        <v>10</v>
      </c>
      <c r="N25" s="101">
        <f>'VAL 2 TRIM'!AG25</f>
        <v>100</v>
      </c>
      <c r="O25" s="31">
        <f>'VAL 3 TRIM'!C25</f>
        <v>10</v>
      </c>
      <c r="P25" s="31">
        <f>'VAL 3 TRIM'!O25</f>
        <v>35</v>
      </c>
      <c r="Q25" s="31">
        <f>'VAL 3 TRIM'!AB25</f>
        <v>35</v>
      </c>
      <c r="R25" s="31">
        <f>'VAL 3 TRIM'!AA25</f>
        <v>10</v>
      </c>
      <c r="S25" s="48">
        <f>'VAL 3 TRIM'!AE25</f>
        <v>10</v>
      </c>
      <c r="T25" s="101">
        <f>'VAL 3 TRIM'!AG25</f>
        <v>100</v>
      </c>
      <c r="U25" s="102">
        <f t="shared" si="0"/>
        <v>100</v>
      </c>
      <c r="V25" s="103" t="str">
        <f t="shared" si="1"/>
        <v>APROBADO</v>
      </c>
      <c r="W25" s="104"/>
      <c r="X25" s="104"/>
    </row>
    <row r="26" spans="1:24" ht="12" customHeight="1" x14ac:dyDescent="0.3">
      <c r="A26" s="58">
        <v>18</v>
      </c>
      <c r="B26" s="59">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3">
      <c r="A27" s="58">
        <v>19</v>
      </c>
      <c r="B27" s="59">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3">
      <c r="A28" s="58">
        <v>20</v>
      </c>
      <c r="B28" s="59">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8">
        <v>21</v>
      </c>
      <c r="B29" s="59">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8">
        <v>22</v>
      </c>
      <c r="B30" s="59">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8">
        <v>23</v>
      </c>
      <c r="B31" s="59">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8">
        <v>24</v>
      </c>
      <c r="B32" s="59">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08" t="s">
        <v>97</v>
      </c>
      <c r="C2" s="204"/>
      <c r="D2" s="204"/>
      <c r="E2" s="204"/>
      <c r="F2" s="204"/>
      <c r="G2" s="204"/>
      <c r="H2" s="204"/>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f>CARÁTULA!$C$25</f>
        <v>0</v>
      </c>
      <c r="M3" s="106"/>
    </row>
    <row r="4" spans="1:13" ht="12.75" customHeight="1" x14ac:dyDescent="0.3">
      <c r="B4" s="38" t="s">
        <v>14</v>
      </c>
      <c r="C4" s="39" t="str">
        <f>CARÁTULA!$C$21</f>
        <v>Secundaria</v>
      </c>
      <c r="D4" s="41"/>
      <c r="E4" s="40"/>
      <c r="F4" s="39"/>
      <c r="G4" s="40"/>
      <c r="H4" s="40"/>
      <c r="I4" s="40"/>
      <c r="J4" s="38" t="s">
        <v>51</v>
      </c>
      <c r="K4" s="106"/>
      <c r="L4" s="39">
        <f>CARÁTULA!$C$19</f>
        <v>0</v>
      </c>
      <c r="M4" s="106"/>
    </row>
    <row r="5" spans="1:13" ht="12.75" customHeight="1" x14ac:dyDescent="0.3">
      <c r="B5" s="38" t="s">
        <v>22</v>
      </c>
      <c r="C5" s="39" t="str">
        <f>CARÁTULA!$C$23</f>
        <v>2do de Secundaria</v>
      </c>
      <c r="D5" s="38"/>
      <c r="E5" s="44"/>
      <c r="F5" s="289"/>
      <c r="G5" s="278"/>
      <c r="H5" s="44"/>
      <c r="I5" s="44"/>
      <c r="J5" s="38" t="s">
        <v>23</v>
      </c>
      <c r="K5" s="106"/>
      <c r="L5" s="222">
        <f ca="1">TODAY()</f>
        <v>44418</v>
      </c>
      <c r="M5" s="204"/>
    </row>
    <row r="6" spans="1:13" ht="12.75" customHeight="1" x14ac:dyDescent="0.3">
      <c r="B6" s="38"/>
      <c r="C6" s="290" t="s">
        <v>102</v>
      </c>
      <c r="D6" s="260"/>
      <c r="E6" s="261"/>
      <c r="F6" s="286" t="s">
        <v>98</v>
      </c>
      <c r="G6" s="282" t="s">
        <v>99</v>
      </c>
      <c r="H6" s="66"/>
      <c r="I6" s="66"/>
    </row>
    <row r="7" spans="1:13" ht="12" customHeight="1" x14ac:dyDescent="0.3">
      <c r="B7" s="47"/>
      <c r="C7" s="287" t="s">
        <v>4</v>
      </c>
      <c r="D7" s="287" t="s">
        <v>103</v>
      </c>
      <c r="E7" s="288" t="s">
        <v>16</v>
      </c>
      <c r="F7" s="283"/>
      <c r="G7" s="283"/>
      <c r="H7" s="40"/>
      <c r="I7" s="40"/>
    </row>
    <row r="8" spans="1:13" ht="67.5" customHeight="1" x14ac:dyDescent="0.3">
      <c r="A8" s="48" t="s">
        <v>54</v>
      </c>
      <c r="B8" s="49" t="s">
        <v>55</v>
      </c>
      <c r="C8" s="268"/>
      <c r="D8" s="268"/>
      <c r="E8" s="268"/>
      <c r="F8" s="268"/>
      <c r="G8" s="268"/>
      <c r="H8" s="100"/>
      <c r="I8" s="100" t="s">
        <v>104</v>
      </c>
      <c r="J8" s="100" t="s">
        <v>105</v>
      </c>
      <c r="K8" s="100" t="s">
        <v>106</v>
      </c>
    </row>
    <row r="9" spans="1:13" ht="12" customHeight="1" x14ac:dyDescent="0.3">
      <c r="A9" s="58">
        <v>1</v>
      </c>
      <c r="B9" s="59" t="str">
        <f>'C. FILIACION'!B8</f>
        <v>ALARCON CHURA PRISCILA</v>
      </c>
      <c r="C9" s="101">
        <f>'VAL 1 TRIM '!AG9</f>
        <v>66</v>
      </c>
      <c r="D9" s="101">
        <f>'VAL 2 TRIM'!AG9</f>
        <v>36</v>
      </c>
      <c r="E9" s="101">
        <f>'VAL 3 TRIM'!AG9</f>
        <v>100</v>
      </c>
      <c r="F9" s="102">
        <f>'CENTRAL 1'!U9</f>
        <v>67.333333333333329</v>
      </c>
      <c r="G9" s="103" t="str">
        <f t="shared" ref="G9:G44" si="0">IF(F9="","",(IF(AND(F9&gt;=1,F9&lt;=50.499),"REPROBADO",IF(AND(F9&gt;=50.5,F9&lt;=100),"APROBADO"))))</f>
        <v>APROBADO</v>
      </c>
      <c r="H9" s="104"/>
      <c r="I9" s="31">
        <f>COUNTIF(C9:C44,"&gt;=51")</f>
        <v>36</v>
      </c>
      <c r="J9" s="107">
        <f>COUNTIF(D9:D44,"&gt;=51")</f>
        <v>31</v>
      </c>
      <c r="K9" s="107">
        <f>COUNTIF(E9:E44,"&gt;=51")</f>
        <v>36</v>
      </c>
    </row>
    <row r="10" spans="1:13" ht="12" customHeight="1" x14ac:dyDescent="0.3">
      <c r="A10" s="58">
        <v>2</v>
      </c>
      <c r="B10" s="59" t="str">
        <f>'C. FILIACION'!B9</f>
        <v>ARCE CHOQUE LUCERO CORAL</v>
      </c>
      <c r="C10" s="101">
        <f>'VAL 1 TRIM '!AG10</f>
        <v>66</v>
      </c>
      <c r="D10" s="101">
        <f>'VAL 2 TRIM'!AG10</f>
        <v>36</v>
      </c>
      <c r="E10" s="101">
        <f>'VAL 3 TRIM'!AG10</f>
        <v>100</v>
      </c>
      <c r="F10" s="102">
        <f>'CENTRAL 1'!U10</f>
        <v>67.333333333333329</v>
      </c>
      <c r="G10" s="103" t="str">
        <f t="shared" si="0"/>
        <v>APROBADO</v>
      </c>
      <c r="H10" s="104"/>
      <c r="I10" s="108" t="s">
        <v>107</v>
      </c>
      <c r="J10" s="109"/>
    </row>
    <row r="11" spans="1:13" ht="12" customHeight="1" x14ac:dyDescent="0.3">
      <c r="A11" s="58">
        <v>3</v>
      </c>
      <c r="B11" s="59" t="str">
        <f>'C. FILIACION'!B10</f>
        <v>AREQUIPA CALCINA FABIAN JHON</v>
      </c>
      <c r="C11" s="101">
        <f>'VAL 1 TRIM '!AG11</f>
        <v>66</v>
      </c>
      <c r="D11" s="101">
        <f>'VAL 2 TRIM'!AG11</f>
        <v>52</v>
      </c>
      <c r="E11" s="101">
        <f>'VAL 3 TRIM'!AG11</f>
        <v>100</v>
      </c>
      <c r="F11" s="102">
        <f>'CENTRAL 1'!U11</f>
        <v>72.666666666666671</v>
      </c>
      <c r="G11" s="103" t="str">
        <f t="shared" si="0"/>
        <v>APROBADO</v>
      </c>
      <c r="H11" s="104"/>
      <c r="I11" s="104"/>
    </row>
    <row r="12" spans="1:13" ht="12" customHeight="1" x14ac:dyDescent="0.3">
      <c r="A12" s="58">
        <v>4</v>
      </c>
      <c r="B12" s="59" t="str">
        <f>'C. FILIACION'!B11</f>
        <v>CLAURE PARAVICINI RASHEL ROSALY</v>
      </c>
      <c r="C12" s="101">
        <f>'VAL 1 TRIM '!AG12</f>
        <v>66</v>
      </c>
      <c r="D12" s="101">
        <f>'VAL 2 TRIM'!AG12</f>
        <v>46</v>
      </c>
      <c r="E12" s="101">
        <f>'VAL 3 TRIM'!AG12</f>
        <v>100</v>
      </c>
      <c r="F12" s="102">
        <f>'CENTRAL 1'!U12</f>
        <v>70.666666666666671</v>
      </c>
      <c r="G12" s="103" t="str">
        <f t="shared" si="0"/>
        <v>APROBADO</v>
      </c>
      <c r="H12" s="104"/>
      <c r="I12" s="104"/>
    </row>
    <row r="13" spans="1:13" ht="12" customHeight="1" x14ac:dyDescent="0.3">
      <c r="A13" s="58">
        <v>5</v>
      </c>
      <c r="B13" s="59" t="str">
        <f>'C. FILIACION'!B12</f>
        <v>CONDORI FLORES ALEJANDRO BRYAN</v>
      </c>
      <c r="C13" s="101">
        <f>'VAL 1 TRIM '!AG13</f>
        <v>66</v>
      </c>
      <c r="D13" s="101">
        <f>'VAL 2 TRIM'!AG13</f>
        <v>54</v>
      </c>
      <c r="E13" s="101">
        <f>'VAL 3 TRIM'!AG13</f>
        <v>100</v>
      </c>
      <c r="F13" s="102">
        <f>'CENTRAL 1'!U13</f>
        <v>73.333333333333329</v>
      </c>
      <c r="G13" s="103" t="str">
        <f t="shared" si="0"/>
        <v>APROBADO</v>
      </c>
      <c r="H13" s="104"/>
      <c r="I13" s="107">
        <f>COUNTIF(C9:C44,"&lt;=51")</f>
        <v>0</v>
      </c>
      <c r="J13" s="107">
        <f>COUNTIF(D9:D44,"&lt;=51")</f>
        <v>5</v>
      </c>
      <c r="K13" s="107">
        <f>COUNTIF(E9:E44,"&lt;=51")</f>
        <v>0</v>
      </c>
    </row>
    <row r="14" spans="1:13" ht="12" customHeight="1" x14ac:dyDescent="0.3">
      <c r="A14" s="58">
        <v>6</v>
      </c>
      <c r="B14" s="59" t="str">
        <f>'C. FILIACION'!B13</f>
        <v>DE LA CRUZ SANDOVAL JHON MARCO</v>
      </c>
      <c r="C14" s="101">
        <f>'VAL 1 TRIM '!AG14</f>
        <v>66</v>
      </c>
      <c r="D14" s="101">
        <f>'VAL 2 TRIM'!AG14</f>
        <v>75</v>
      </c>
      <c r="E14" s="101">
        <f>'VAL 3 TRIM'!AG14</f>
        <v>100</v>
      </c>
      <c r="F14" s="102">
        <f>'CENTRAL 1'!U14</f>
        <v>80.333333333333329</v>
      </c>
      <c r="G14" s="103" t="str">
        <f t="shared" si="0"/>
        <v>APROBADO</v>
      </c>
      <c r="H14" s="104"/>
      <c r="I14" s="108" t="s">
        <v>108</v>
      </c>
    </row>
    <row r="15" spans="1:13" ht="12" customHeight="1" x14ac:dyDescent="0.3">
      <c r="A15" s="58">
        <v>7</v>
      </c>
      <c r="B15" s="59" t="str">
        <f>'C. FILIACION'!B14</f>
        <v>GARCÍA IGNACIO MISHEL MAYA</v>
      </c>
      <c r="C15" s="101">
        <f>'VAL 1 TRIM '!AG15</f>
        <v>66</v>
      </c>
      <c r="D15" s="101">
        <f>'VAL 2 TRIM'!AG15</f>
        <v>79</v>
      </c>
      <c r="E15" s="101">
        <f>'VAL 3 TRIM'!AG15</f>
        <v>100</v>
      </c>
      <c r="F15" s="102">
        <f>'CENTRAL 1'!U15</f>
        <v>81.666666666666671</v>
      </c>
      <c r="G15" s="103" t="str">
        <f t="shared" si="0"/>
        <v>APROBADO</v>
      </c>
      <c r="H15" s="104"/>
      <c r="I15" s="104"/>
    </row>
    <row r="16" spans="1:13" ht="12" customHeight="1" x14ac:dyDescent="0.3">
      <c r="A16" s="58">
        <v>8</v>
      </c>
      <c r="B16" s="59" t="str">
        <f>'C. FILIACION'!B15</f>
        <v>HELGUERO SANCHEZ JHOYSI CAMIL</v>
      </c>
      <c r="C16" s="101">
        <f>'VAL 1 TRIM '!AG16</f>
        <v>66</v>
      </c>
      <c r="D16" s="101">
        <f>'VAL 2 TRIM'!AG16</f>
        <v>74</v>
      </c>
      <c r="E16" s="101">
        <f>'VAL 3 TRIM'!AG16</f>
        <v>100</v>
      </c>
      <c r="F16" s="102">
        <f>'CENTRAL 1'!U16</f>
        <v>80</v>
      </c>
      <c r="G16" s="103" t="str">
        <f t="shared" si="0"/>
        <v>APROBADO</v>
      </c>
      <c r="H16" s="104"/>
      <c r="I16" s="104"/>
    </row>
    <row r="17" spans="1:9" ht="12" customHeight="1" x14ac:dyDescent="0.3">
      <c r="A17" s="58">
        <v>9</v>
      </c>
      <c r="B17" s="59" t="str">
        <f>'C. FILIACION'!B16</f>
        <v>LEDEZMA ORELLANA RICARDO ERIK</v>
      </c>
      <c r="C17" s="101">
        <f>'VAL 1 TRIM '!AG17</f>
        <v>66</v>
      </c>
      <c r="D17" s="101">
        <f>'VAL 2 TRIM'!AG17</f>
        <v>75</v>
      </c>
      <c r="E17" s="101">
        <f>'VAL 3 TRIM'!AG17</f>
        <v>100</v>
      </c>
      <c r="F17" s="102">
        <f>'CENTRAL 1'!U17</f>
        <v>80.333333333333329</v>
      </c>
      <c r="G17" s="103" t="str">
        <f t="shared" si="0"/>
        <v>APROBADO</v>
      </c>
      <c r="H17" s="104"/>
      <c r="I17" s="104"/>
    </row>
    <row r="18" spans="1:9" ht="12" customHeight="1" x14ac:dyDescent="0.3">
      <c r="A18" s="58">
        <v>10</v>
      </c>
      <c r="B18" s="59" t="str">
        <f>'C. FILIACION'!B17</f>
        <v>MAMANI LOPEZ ELIZABETH MILDRED</v>
      </c>
      <c r="C18" s="101">
        <f>'VAL 1 TRIM '!AG18</f>
        <v>90</v>
      </c>
      <c r="D18" s="101">
        <f>'VAL 2 TRIM'!AG18</f>
        <v>46</v>
      </c>
      <c r="E18" s="101">
        <f>'VAL 3 TRIM'!AG18</f>
        <v>100</v>
      </c>
      <c r="F18" s="102">
        <f>'CENTRAL 1'!U18</f>
        <v>78.666666666666671</v>
      </c>
      <c r="G18" s="103" t="str">
        <f t="shared" si="0"/>
        <v>APROBADO</v>
      </c>
      <c r="H18" s="104"/>
      <c r="I18" s="104"/>
    </row>
    <row r="19" spans="1:9" ht="12" customHeight="1" x14ac:dyDescent="0.3">
      <c r="A19" s="58">
        <v>11</v>
      </c>
      <c r="B19" s="59" t="str">
        <f>'C. FILIACION'!B18</f>
        <v>MEDINA CHOQUE JUAN JOSE</v>
      </c>
      <c r="C19" s="101">
        <f>'VAL 1 TRIM '!AG19</f>
        <v>66</v>
      </c>
      <c r="D19" s="101">
        <f>'VAL 2 TRIM'!AG19</f>
        <v>30</v>
      </c>
      <c r="E19" s="101">
        <f>'VAL 3 TRIM'!AG19</f>
        <v>100</v>
      </c>
      <c r="F19" s="102">
        <f>'CENTRAL 1'!U19</f>
        <v>65.333333333333329</v>
      </c>
      <c r="G19" s="103" t="str">
        <f t="shared" si="0"/>
        <v>APROBADO</v>
      </c>
      <c r="H19" s="104"/>
      <c r="I19" s="104"/>
    </row>
    <row r="20" spans="1:9" ht="12" customHeight="1" x14ac:dyDescent="0.3">
      <c r="A20" s="58">
        <v>12</v>
      </c>
      <c r="B20" s="59" t="str">
        <f>'C. FILIACION'!B19</f>
        <v>NINA RUEDA SEBASTIAN CARLOS</v>
      </c>
      <c r="C20" s="101">
        <f>'VAL 1 TRIM '!AG20</f>
        <v>90</v>
      </c>
      <c r="D20" s="101">
        <f>'VAL 2 TRIM'!AG20</f>
        <v>66</v>
      </c>
      <c r="E20" s="101">
        <f>'VAL 3 TRIM'!AG20</f>
        <v>100</v>
      </c>
      <c r="F20" s="102">
        <f>'CENTRAL 1'!U20</f>
        <v>85.333333333333329</v>
      </c>
      <c r="G20" s="103" t="str">
        <f t="shared" si="0"/>
        <v>APROBADO</v>
      </c>
      <c r="H20" s="104"/>
      <c r="I20" s="104"/>
    </row>
    <row r="21" spans="1:9" ht="12" customHeight="1" x14ac:dyDescent="0.3">
      <c r="A21" s="58">
        <v>13</v>
      </c>
      <c r="B21" s="59" t="str">
        <f>'C. FILIACION'!B20</f>
        <v>RODRIGUEZ RAMIREZ NATALY ARIANA</v>
      </c>
      <c r="C21" s="101">
        <f>'VAL 1 TRIM '!AG21</f>
        <v>90</v>
      </c>
      <c r="D21" s="101">
        <f>'VAL 2 TRIM'!AG21</f>
        <v>67</v>
      </c>
      <c r="E21" s="101">
        <f>'VAL 3 TRIM'!AG21</f>
        <v>100</v>
      </c>
      <c r="F21" s="102">
        <f>'CENTRAL 1'!U21</f>
        <v>85.666666666666671</v>
      </c>
      <c r="G21" s="103" t="str">
        <f t="shared" si="0"/>
        <v>APROBADO</v>
      </c>
      <c r="H21" s="104"/>
      <c r="I21" s="104"/>
    </row>
    <row r="22" spans="1:9" ht="12" customHeight="1" x14ac:dyDescent="0.3">
      <c r="A22" s="58">
        <v>14</v>
      </c>
      <c r="B22" s="59" t="str">
        <f>'C. FILIACION'!B21</f>
        <v>SALAZAR CANAZA CRISTINA MAYRA</v>
      </c>
      <c r="C22" s="101">
        <f>'VAL 1 TRIM '!AG22</f>
        <v>90</v>
      </c>
      <c r="D22" s="101">
        <f>'VAL 2 TRIM'!AG22</f>
        <v>65</v>
      </c>
      <c r="E22" s="101">
        <f>'VAL 3 TRIM'!AG22</f>
        <v>100</v>
      </c>
      <c r="F22" s="102">
        <f>'CENTRAL 1'!U22</f>
        <v>85</v>
      </c>
      <c r="G22" s="103" t="str">
        <f t="shared" si="0"/>
        <v>APROBADO</v>
      </c>
      <c r="H22" s="104"/>
      <c r="I22" s="104"/>
    </row>
    <row r="23" spans="1:9" ht="12" customHeight="1" x14ac:dyDescent="0.3">
      <c r="A23" s="58">
        <v>15</v>
      </c>
      <c r="B23" s="59" t="str">
        <f>'C. FILIACION'!B22</f>
        <v>SEVILLANO BALTAZAR AGNESE</v>
      </c>
      <c r="C23" s="101">
        <f>'VAL 1 TRIM '!AG23</f>
        <v>90</v>
      </c>
      <c r="D23" s="101">
        <f>'VAL 2 TRIM'!AG23</f>
        <v>93</v>
      </c>
      <c r="E23" s="101">
        <f>'VAL 3 TRIM'!AG23</f>
        <v>100</v>
      </c>
      <c r="F23" s="102">
        <f>'CENTRAL 1'!U23</f>
        <v>94.333333333333329</v>
      </c>
      <c r="G23" s="103" t="str">
        <f t="shared" si="0"/>
        <v>APROBADO</v>
      </c>
      <c r="H23" s="104"/>
      <c r="I23" s="104"/>
    </row>
    <row r="24" spans="1:9" ht="12" customHeight="1" x14ac:dyDescent="0.3">
      <c r="A24" s="58">
        <v>16</v>
      </c>
      <c r="B24" s="59" t="str">
        <f>'C. FILIACION'!B23</f>
        <v>TOCONAS HUAYGUA VICTORIA FERNANDA</v>
      </c>
      <c r="C24" s="101">
        <f>'VAL 1 TRIM '!AG24</f>
        <v>66</v>
      </c>
      <c r="D24" s="101">
        <f>'VAL 2 TRIM'!AG24</f>
        <v>63</v>
      </c>
      <c r="E24" s="101">
        <f>'VAL 3 TRIM'!AG24</f>
        <v>100</v>
      </c>
      <c r="F24" s="102">
        <f>'CENTRAL 1'!U24</f>
        <v>76.333333333333329</v>
      </c>
      <c r="G24" s="103" t="str">
        <f t="shared" si="0"/>
        <v>APROBADO</v>
      </c>
      <c r="H24" s="104"/>
      <c r="I24" s="104"/>
    </row>
    <row r="25" spans="1:9" ht="12" customHeight="1" x14ac:dyDescent="0.3">
      <c r="A25" s="58">
        <v>17</v>
      </c>
      <c r="B25" s="59">
        <f>'C. FILIACION'!B24</f>
        <v>0</v>
      </c>
      <c r="C25" s="101">
        <f>'VAL 1 TRIM '!AG25</f>
        <v>100</v>
      </c>
      <c r="D25" s="101">
        <f>'VAL 2 TRIM'!AG25</f>
        <v>100</v>
      </c>
      <c r="E25" s="101">
        <f>'VAL 3 TRIM'!AG25</f>
        <v>100</v>
      </c>
      <c r="F25" s="102">
        <f>'CENTRAL 1'!U25</f>
        <v>100</v>
      </c>
      <c r="G25" s="103" t="str">
        <f t="shared" si="0"/>
        <v>APROBADO</v>
      </c>
      <c r="H25" s="104"/>
      <c r="I25" s="104"/>
    </row>
    <row r="26" spans="1:9" ht="12" customHeight="1" x14ac:dyDescent="0.3">
      <c r="A26" s="58">
        <v>18</v>
      </c>
      <c r="B26" s="59">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3">
      <c r="A27" s="58">
        <v>19</v>
      </c>
      <c r="B27" s="59">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3">
      <c r="A28" s="58">
        <v>20</v>
      </c>
      <c r="B28" s="59">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8">
        <v>21</v>
      </c>
      <c r="B29" s="59">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8">
        <v>22</v>
      </c>
      <c r="B30" s="59">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8">
        <v>23</v>
      </c>
      <c r="B31" s="59">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8">
        <v>24</v>
      </c>
      <c r="B32" s="59">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8">
        <v>25</v>
      </c>
      <c r="B33" s="59">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8">
        <v>26</v>
      </c>
      <c r="B34" s="59">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8">
        <v>27</v>
      </c>
      <c r="B35" s="59">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8">
        <v>28</v>
      </c>
      <c r="B36" s="59">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8">
        <v>29</v>
      </c>
      <c r="B37" s="59">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8">
        <v>30</v>
      </c>
      <c r="B38" s="59">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8">
        <v>31</v>
      </c>
      <c r="B39" s="59">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8">
        <v>32</v>
      </c>
      <c r="B40" s="59">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8">
        <v>33</v>
      </c>
      <c r="B41" s="59">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8">
        <v>34</v>
      </c>
      <c r="B42" s="59">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8">
        <v>35</v>
      </c>
      <c r="B43" s="59">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8">
        <v>36</v>
      </c>
      <c r="B44" s="59">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election activeCell="T37" sqref="T37"/>
    </sheetView>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4" t="s">
        <v>109</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44418</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25" x14ac:dyDescent="0.3">
      <c r="A7" s="110"/>
      <c r="B7" s="115" t="s">
        <v>91</v>
      </c>
      <c r="C7" s="114" t="s">
        <v>111</v>
      </c>
      <c r="D7" s="115" t="s">
        <v>112</v>
      </c>
      <c r="E7" s="116" t="s">
        <v>113</v>
      </c>
      <c r="F7" s="110"/>
      <c r="G7" s="117" t="s">
        <v>114</v>
      </c>
      <c r="H7" s="115">
        <f>'VAL 1 TRIM '!$AO$9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92</v>
      </c>
      <c r="C8" s="114" t="s">
        <v>115</v>
      </c>
      <c r="D8" s="115" t="s">
        <v>116</v>
      </c>
      <c r="E8" s="116" t="s">
        <v>117</v>
      </c>
      <c r="F8" s="110"/>
      <c r="G8" s="117" t="s">
        <v>118</v>
      </c>
      <c r="H8" s="115">
        <f>'VAL 1 TRIM '!$AO$10</f>
        <v>11</v>
      </c>
      <c r="I8" s="118">
        <f>H8/H11</f>
        <v>0.30555555555555558</v>
      </c>
      <c r="J8" s="110"/>
      <c r="K8" s="110"/>
      <c r="L8" s="110"/>
      <c r="M8" s="110"/>
      <c r="N8" s="110"/>
      <c r="O8" s="110"/>
      <c r="P8" s="110"/>
      <c r="Q8" s="110"/>
      <c r="R8" s="110"/>
      <c r="S8" s="110"/>
      <c r="T8" s="110"/>
      <c r="U8" s="110"/>
      <c r="V8" s="110"/>
      <c r="W8" s="110"/>
      <c r="X8" s="110"/>
      <c r="Y8" s="110"/>
      <c r="Z8" s="110"/>
    </row>
    <row r="9" spans="1:26" ht="20.25" x14ac:dyDescent="0.3">
      <c r="A9" s="110"/>
      <c r="B9" s="115" t="s">
        <v>93</v>
      </c>
      <c r="C9" s="114" t="s">
        <v>119</v>
      </c>
      <c r="D9" s="115" t="s">
        <v>120</v>
      </c>
      <c r="E9" s="116" t="s">
        <v>117</v>
      </c>
      <c r="F9" s="110"/>
      <c r="G9" s="119" t="s">
        <v>121</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94</v>
      </c>
      <c r="C10" s="114" t="s">
        <v>122</v>
      </c>
      <c r="D10" s="115" t="s">
        <v>123</v>
      </c>
      <c r="E10" s="116" t="s">
        <v>117</v>
      </c>
      <c r="F10" s="110"/>
      <c r="G10" s="119" t="s">
        <v>124</v>
      </c>
      <c r="H10" s="115">
        <f>'VAL 1 TRIM '!$AO$12</f>
        <v>25</v>
      </c>
      <c r="I10" s="118">
        <f>H10/H11</f>
        <v>0.69444444444444442</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5" t="s">
        <v>126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91" t="s">
        <v>127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2"/>
      <c r="C16" s="204"/>
      <c r="D16" s="204"/>
      <c r="E16" s="204"/>
      <c r="F16" s="204"/>
      <c r="G16" s="204"/>
      <c r="H16" s="204"/>
      <c r="I16" s="204"/>
      <c r="J16" s="293"/>
      <c r="K16" s="110"/>
      <c r="L16" s="110"/>
      <c r="M16" s="110"/>
      <c r="N16" s="110"/>
      <c r="O16" s="110"/>
      <c r="P16" s="110"/>
      <c r="Q16" s="110"/>
      <c r="R16" s="110"/>
      <c r="S16" s="110"/>
      <c r="T16" s="110"/>
      <c r="U16" s="110"/>
      <c r="V16" s="110"/>
      <c r="W16" s="110"/>
      <c r="X16" s="110"/>
      <c r="Y16" s="110"/>
      <c r="Z16" s="110"/>
    </row>
    <row r="17" spans="1:26" ht="16.5" customHeight="1" x14ac:dyDescent="0.3">
      <c r="A17" s="110"/>
      <c r="B17" s="277"/>
      <c r="C17" s="278"/>
      <c r="D17" s="278"/>
      <c r="E17" s="278"/>
      <c r="F17" s="278"/>
      <c r="G17" s="278"/>
      <c r="H17" s="278"/>
      <c r="I17" s="278"/>
      <c r="J17" s="279"/>
      <c r="K17" s="110"/>
      <c r="L17" s="110"/>
      <c r="M17" s="110"/>
      <c r="N17" s="110"/>
      <c r="O17" s="110"/>
      <c r="P17" s="110"/>
      <c r="Q17" s="110"/>
      <c r="R17" s="110"/>
      <c r="S17" s="110"/>
      <c r="T17" s="110"/>
      <c r="U17" s="110"/>
      <c r="V17" s="110"/>
      <c r="W17" s="110"/>
      <c r="X17" s="110"/>
      <c r="Y17" s="110"/>
      <c r="Z17" s="110"/>
    </row>
    <row r="18" spans="1:26" ht="16.5" customHeight="1" x14ac:dyDescent="0.3">
      <c r="A18" s="110"/>
      <c r="B18" s="291" t="s">
        <v>128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2"/>
      <c r="C19" s="204"/>
      <c r="D19" s="204"/>
      <c r="E19" s="204"/>
      <c r="F19" s="204"/>
      <c r="G19" s="204"/>
      <c r="H19" s="204"/>
      <c r="I19" s="204"/>
      <c r="J19" s="293"/>
      <c r="K19" s="110"/>
      <c r="L19" s="110"/>
      <c r="M19" s="110"/>
      <c r="N19" s="110"/>
      <c r="O19" s="110"/>
      <c r="P19" s="110"/>
      <c r="Q19" s="110"/>
      <c r="R19" s="110"/>
      <c r="S19" s="110"/>
      <c r="T19" s="110"/>
      <c r="U19" s="110"/>
      <c r="V19" s="110"/>
      <c r="W19" s="110"/>
      <c r="X19" s="110"/>
      <c r="Y19" s="110"/>
      <c r="Z19" s="110"/>
    </row>
    <row r="20" spans="1:26" ht="16.5" customHeight="1" x14ac:dyDescent="0.3">
      <c r="A20" s="110"/>
      <c r="B20" s="277"/>
      <c r="C20" s="278"/>
      <c r="D20" s="278"/>
      <c r="E20" s="278"/>
      <c r="F20" s="278"/>
      <c r="G20" s="278"/>
      <c r="H20" s="278"/>
      <c r="I20" s="278"/>
      <c r="J20" s="279"/>
      <c r="K20" s="110"/>
      <c r="L20" s="110"/>
      <c r="M20" s="110"/>
      <c r="N20" s="110"/>
      <c r="O20" s="110"/>
      <c r="P20" s="110"/>
      <c r="Q20" s="110"/>
      <c r="R20" s="110"/>
      <c r="S20" s="110"/>
      <c r="T20" s="110"/>
      <c r="U20" s="110"/>
      <c r="V20" s="110"/>
      <c r="W20" s="110"/>
      <c r="X20" s="110"/>
      <c r="Y20" s="110"/>
      <c r="Z20" s="110"/>
    </row>
    <row r="21" spans="1:26" ht="16.5" customHeight="1" x14ac:dyDescent="0.3">
      <c r="A21" s="110"/>
      <c r="B21" s="291" t="s">
        <v>129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2"/>
      <c r="C22" s="204"/>
      <c r="D22" s="204"/>
      <c r="E22" s="204"/>
      <c r="F22" s="204"/>
      <c r="G22" s="204"/>
      <c r="H22" s="204"/>
      <c r="I22" s="204"/>
      <c r="J22" s="293"/>
      <c r="K22" s="110"/>
      <c r="L22" s="110"/>
      <c r="M22" s="110"/>
      <c r="N22" s="110"/>
      <c r="O22" s="110"/>
      <c r="P22" s="110"/>
      <c r="Q22" s="110"/>
      <c r="R22" s="110"/>
      <c r="S22" s="110"/>
      <c r="T22" s="110"/>
      <c r="U22" s="110"/>
      <c r="V22" s="110"/>
      <c r="W22" s="110"/>
      <c r="X22" s="110"/>
      <c r="Y22" s="110"/>
      <c r="Z22" s="110"/>
    </row>
    <row r="23" spans="1:26" ht="16.5" customHeight="1" x14ac:dyDescent="0.3">
      <c r="A23" s="110"/>
      <c r="B23" s="277"/>
      <c r="C23" s="278"/>
      <c r="D23" s="278"/>
      <c r="E23" s="278"/>
      <c r="F23" s="278"/>
      <c r="G23" s="278"/>
      <c r="H23" s="278"/>
      <c r="I23" s="278"/>
      <c r="J23" s="279"/>
      <c r="K23" s="110"/>
      <c r="L23" s="110"/>
      <c r="M23" s="110"/>
      <c r="N23" s="110"/>
      <c r="O23" s="110"/>
      <c r="P23" s="110"/>
      <c r="Q23" s="110"/>
      <c r="R23" s="110"/>
      <c r="S23" s="110"/>
      <c r="T23" s="110"/>
      <c r="U23" s="110"/>
      <c r="V23" s="110"/>
      <c r="W23" s="110"/>
      <c r="X23" s="110"/>
      <c r="Y23" s="110"/>
      <c r="Z23" s="110"/>
    </row>
    <row r="24" spans="1:26" ht="16.5" customHeight="1" x14ac:dyDescent="0.3">
      <c r="A24" s="110"/>
      <c r="B24" s="291" t="s">
        <v>130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2"/>
      <c r="C25" s="204"/>
      <c r="D25" s="204"/>
      <c r="E25" s="204"/>
      <c r="F25" s="204"/>
      <c r="G25" s="204"/>
      <c r="H25" s="204"/>
      <c r="I25" s="204"/>
      <c r="J25" s="293"/>
      <c r="K25" s="110"/>
      <c r="L25" s="110"/>
      <c r="M25" s="110"/>
      <c r="N25" s="110"/>
      <c r="O25" s="110"/>
      <c r="P25" s="110"/>
      <c r="Q25" s="110"/>
      <c r="R25" s="110"/>
      <c r="S25" s="110"/>
      <c r="T25" s="110"/>
      <c r="U25" s="110"/>
      <c r="V25" s="110"/>
      <c r="W25" s="110"/>
      <c r="X25" s="110"/>
      <c r="Y25" s="110"/>
      <c r="Z25" s="110"/>
    </row>
    <row r="26" spans="1:26" ht="16.5" customHeight="1" x14ac:dyDescent="0.3">
      <c r="A26" s="110"/>
      <c r="B26" s="277"/>
      <c r="C26" s="278"/>
      <c r="D26" s="278"/>
      <c r="E26" s="278"/>
      <c r="F26" s="278"/>
      <c r="G26" s="278"/>
      <c r="H26" s="278"/>
      <c r="I26" s="278"/>
      <c r="J26" s="279"/>
      <c r="K26" s="110"/>
      <c r="L26" s="110"/>
      <c r="M26" s="110"/>
      <c r="N26" s="110"/>
      <c r="O26" s="110"/>
      <c r="P26" s="110"/>
      <c r="Q26" s="110"/>
      <c r="R26" s="110"/>
      <c r="S26" s="110"/>
      <c r="T26" s="110"/>
      <c r="U26" s="110"/>
      <c r="V26" s="110"/>
      <c r="W26" s="110"/>
      <c r="X26" s="110"/>
      <c r="Y26" s="110"/>
      <c r="Z26" s="110"/>
    </row>
    <row r="27" spans="1:26" ht="16.5" customHeight="1" x14ac:dyDescent="0.3">
      <c r="A27" s="110"/>
      <c r="B27" s="291" t="s">
        <v>131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2"/>
      <c r="C28" s="204"/>
      <c r="D28" s="204"/>
      <c r="E28" s="204"/>
      <c r="F28" s="204"/>
      <c r="G28" s="204"/>
      <c r="H28" s="204"/>
      <c r="I28" s="204"/>
      <c r="J28" s="293"/>
      <c r="K28" s="110"/>
      <c r="L28" s="110"/>
      <c r="M28" s="110"/>
      <c r="N28" s="110"/>
      <c r="O28" s="110"/>
      <c r="P28" s="110"/>
      <c r="Q28" s="110"/>
      <c r="R28" s="110"/>
      <c r="S28" s="110"/>
      <c r="T28" s="110"/>
      <c r="U28" s="110"/>
      <c r="V28" s="110"/>
      <c r="W28" s="110"/>
      <c r="X28" s="110"/>
      <c r="Y28" s="110"/>
      <c r="Z28" s="110"/>
    </row>
    <row r="29" spans="1:26" ht="16.5" customHeight="1" x14ac:dyDescent="0.3">
      <c r="A29" s="110"/>
      <c r="B29" s="277"/>
      <c r="C29" s="278"/>
      <c r="D29" s="278"/>
      <c r="E29" s="278"/>
      <c r="F29" s="278"/>
      <c r="G29" s="278"/>
      <c r="H29" s="278"/>
      <c r="I29" s="278"/>
      <c r="J29" s="27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election activeCell="T37" sqref="T37"/>
    </sheetView>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4" t="s">
        <v>133</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44418</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25" x14ac:dyDescent="0.3">
      <c r="A7" s="110"/>
      <c r="B7" s="115" t="s">
        <v>91</v>
      </c>
      <c r="C7" s="114" t="s">
        <v>111</v>
      </c>
      <c r="D7" s="115" t="s">
        <v>112</v>
      </c>
      <c r="E7" s="116" t="s">
        <v>113</v>
      </c>
      <c r="F7" s="110"/>
      <c r="G7" s="117" t="s">
        <v>114</v>
      </c>
      <c r="H7" s="115">
        <f>'VAL 2 TRIM'!$AO$9</f>
        <v>5</v>
      </c>
      <c r="I7" s="118">
        <f>H7/H11</f>
        <v>0.1388888888888889</v>
      </c>
      <c r="J7" s="110"/>
      <c r="K7" s="110"/>
      <c r="L7" s="110"/>
      <c r="M7" s="110"/>
      <c r="N7" s="110"/>
      <c r="O7" s="110"/>
      <c r="P7" s="110"/>
      <c r="Q7" s="110"/>
      <c r="R7" s="110"/>
      <c r="S7" s="110"/>
      <c r="T7" s="110"/>
      <c r="U7" s="110"/>
      <c r="V7" s="110"/>
      <c r="W7" s="110"/>
      <c r="X7" s="110"/>
      <c r="Y7" s="110"/>
      <c r="Z7" s="110"/>
    </row>
    <row r="8" spans="1:26" ht="20.25" x14ac:dyDescent="0.3">
      <c r="A8" s="110"/>
      <c r="B8" s="115" t="s">
        <v>92</v>
      </c>
      <c r="C8" s="114" t="s">
        <v>115</v>
      </c>
      <c r="D8" s="115" t="s">
        <v>116</v>
      </c>
      <c r="E8" s="116" t="s">
        <v>117</v>
      </c>
      <c r="F8" s="110"/>
      <c r="G8" s="117" t="s">
        <v>118</v>
      </c>
      <c r="H8" s="115">
        <f>'VAL 2 TRIM'!$AO$10</f>
        <v>5</v>
      </c>
      <c r="I8" s="118">
        <f>H8/H11</f>
        <v>0.1388888888888889</v>
      </c>
      <c r="J8" s="110"/>
      <c r="K8" s="110"/>
      <c r="L8" s="110"/>
      <c r="M8" s="110"/>
      <c r="N8" s="110"/>
      <c r="O8" s="110"/>
      <c r="P8" s="110"/>
      <c r="Q8" s="110"/>
      <c r="R8" s="110"/>
      <c r="S8" s="110"/>
      <c r="T8" s="110"/>
      <c r="U8" s="110"/>
      <c r="V8" s="110"/>
      <c r="W8" s="110"/>
      <c r="X8" s="110"/>
      <c r="Y8" s="110"/>
      <c r="Z8" s="110"/>
    </row>
    <row r="9" spans="1:26" ht="20.25" x14ac:dyDescent="0.3">
      <c r="A9" s="110"/>
      <c r="B9" s="115" t="s">
        <v>93</v>
      </c>
      <c r="C9" s="114" t="s">
        <v>119</v>
      </c>
      <c r="D9" s="115" t="s">
        <v>120</v>
      </c>
      <c r="E9" s="116" t="s">
        <v>117</v>
      </c>
      <c r="F9" s="110"/>
      <c r="G9" s="119" t="s">
        <v>121</v>
      </c>
      <c r="H9" s="115">
        <f>'VAL 2 TRIM'!$AO$11</f>
        <v>5</v>
      </c>
      <c r="I9" s="118">
        <f>H9/H11</f>
        <v>0.1388888888888889</v>
      </c>
      <c r="J9" s="110"/>
      <c r="K9" s="110"/>
      <c r="L9" s="110"/>
      <c r="M9" s="110"/>
      <c r="N9" s="110"/>
      <c r="O9" s="110"/>
      <c r="P9" s="110"/>
      <c r="Q9" s="110"/>
      <c r="R9" s="110"/>
      <c r="S9" s="110"/>
      <c r="T9" s="110"/>
      <c r="U9" s="110"/>
      <c r="V9" s="110"/>
      <c r="W9" s="110"/>
      <c r="X9" s="110"/>
      <c r="Y9" s="110"/>
      <c r="Z9" s="110"/>
    </row>
    <row r="10" spans="1:26" ht="20.25" x14ac:dyDescent="0.3">
      <c r="A10" s="110"/>
      <c r="B10" s="115" t="s">
        <v>94</v>
      </c>
      <c r="C10" s="114" t="s">
        <v>122</v>
      </c>
      <c r="D10" s="115" t="s">
        <v>123</v>
      </c>
      <c r="E10" s="116" t="s">
        <v>117</v>
      </c>
      <c r="F10" s="110"/>
      <c r="G10" s="119" t="s">
        <v>124</v>
      </c>
      <c r="H10" s="115">
        <f>'VAL 2 TRIM'!$AO$12</f>
        <v>21</v>
      </c>
      <c r="I10" s="118">
        <f>H10/H11</f>
        <v>0.58333333333333337</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5" t="s">
        <v>126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91" t="s">
        <v>127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2"/>
      <c r="C16" s="204"/>
      <c r="D16" s="204"/>
      <c r="E16" s="204"/>
      <c r="F16" s="204"/>
      <c r="G16" s="204"/>
      <c r="H16" s="204"/>
      <c r="I16" s="204"/>
      <c r="J16" s="293"/>
      <c r="K16" s="110"/>
      <c r="L16" s="110"/>
      <c r="M16" s="110"/>
      <c r="N16" s="110"/>
      <c r="O16" s="110"/>
      <c r="P16" s="110"/>
      <c r="Q16" s="110"/>
      <c r="R16" s="110"/>
      <c r="S16" s="110"/>
      <c r="T16" s="110"/>
      <c r="U16" s="110"/>
      <c r="V16" s="110"/>
      <c r="W16" s="110"/>
      <c r="X16" s="110"/>
      <c r="Y16" s="110"/>
      <c r="Z16" s="110"/>
    </row>
    <row r="17" spans="1:26" ht="16.5" customHeight="1" x14ac:dyDescent="0.3">
      <c r="A17" s="110"/>
      <c r="B17" s="277"/>
      <c r="C17" s="278"/>
      <c r="D17" s="278"/>
      <c r="E17" s="278"/>
      <c r="F17" s="278"/>
      <c r="G17" s="278"/>
      <c r="H17" s="278"/>
      <c r="I17" s="278"/>
      <c r="J17" s="279"/>
      <c r="K17" s="110"/>
      <c r="L17" s="110"/>
      <c r="M17" s="110"/>
      <c r="N17" s="110"/>
      <c r="O17" s="110"/>
      <c r="P17" s="110"/>
      <c r="Q17" s="110"/>
      <c r="R17" s="110"/>
      <c r="S17" s="110"/>
      <c r="T17" s="110"/>
      <c r="U17" s="110"/>
      <c r="V17" s="110"/>
      <c r="W17" s="110"/>
      <c r="X17" s="110"/>
      <c r="Y17" s="110"/>
      <c r="Z17" s="110"/>
    </row>
    <row r="18" spans="1:26" ht="16.5" customHeight="1" x14ac:dyDescent="0.3">
      <c r="A18" s="110"/>
      <c r="B18" s="291" t="s">
        <v>128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2"/>
      <c r="C19" s="204"/>
      <c r="D19" s="204"/>
      <c r="E19" s="204"/>
      <c r="F19" s="204"/>
      <c r="G19" s="204"/>
      <c r="H19" s="204"/>
      <c r="I19" s="204"/>
      <c r="J19" s="293"/>
      <c r="K19" s="110"/>
      <c r="L19" s="110"/>
      <c r="M19" s="110"/>
      <c r="N19" s="110"/>
      <c r="O19" s="110"/>
      <c r="P19" s="110"/>
      <c r="Q19" s="110"/>
      <c r="R19" s="110"/>
      <c r="S19" s="110"/>
      <c r="T19" s="110"/>
      <c r="U19" s="110"/>
      <c r="V19" s="110"/>
      <c r="W19" s="110"/>
      <c r="X19" s="110"/>
      <c r="Y19" s="110"/>
      <c r="Z19" s="110"/>
    </row>
    <row r="20" spans="1:26" ht="16.5" customHeight="1" x14ac:dyDescent="0.3">
      <c r="A20" s="110"/>
      <c r="B20" s="277"/>
      <c r="C20" s="278"/>
      <c r="D20" s="278"/>
      <c r="E20" s="278"/>
      <c r="F20" s="278"/>
      <c r="G20" s="278"/>
      <c r="H20" s="278"/>
      <c r="I20" s="278"/>
      <c r="J20" s="279"/>
      <c r="K20" s="110"/>
      <c r="L20" s="110"/>
      <c r="M20" s="110"/>
      <c r="N20" s="110"/>
      <c r="O20" s="110"/>
      <c r="P20" s="110"/>
      <c r="Q20" s="110"/>
      <c r="R20" s="110"/>
      <c r="S20" s="110"/>
      <c r="T20" s="110"/>
      <c r="U20" s="110"/>
      <c r="V20" s="110"/>
      <c r="W20" s="110"/>
      <c r="X20" s="110"/>
      <c r="Y20" s="110"/>
      <c r="Z20" s="110"/>
    </row>
    <row r="21" spans="1:26" ht="16.5" customHeight="1" x14ac:dyDescent="0.3">
      <c r="A21" s="110"/>
      <c r="B21" s="291" t="s">
        <v>129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2"/>
      <c r="C22" s="204"/>
      <c r="D22" s="204"/>
      <c r="E22" s="204"/>
      <c r="F22" s="204"/>
      <c r="G22" s="204"/>
      <c r="H22" s="204"/>
      <c r="I22" s="204"/>
      <c r="J22" s="293"/>
      <c r="K22" s="110"/>
      <c r="L22" s="110"/>
      <c r="M22" s="110"/>
      <c r="N22" s="110"/>
      <c r="O22" s="110"/>
      <c r="P22" s="110"/>
      <c r="Q22" s="110"/>
      <c r="R22" s="110"/>
      <c r="S22" s="110"/>
      <c r="T22" s="110"/>
      <c r="U22" s="110"/>
      <c r="V22" s="110"/>
      <c r="W22" s="110"/>
      <c r="X22" s="110"/>
      <c r="Y22" s="110"/>
      <c r="Z22" s="110"/>
    </row>
    <row r="23" spans="1:26" ht="16.5" customHeight="1" x14ac:dyDescent="0.3">
      <c r="A23" s="110"/>
      <c r="B23" s="277"/>
      <c r="C23" s="278"/>
      <c r="D23" s="278"/>
      <c r="E23" s="278"/>
      <c r="F23" s="278"/>
      <c r="G23" s="278"/>
      <c r="H23" s="278"/>
      <c r="I23" s="278"/>
      <c r="J23" s="279"/>
      <c r="K23" s="110"/>
      <c r="L23" s="110"/>
      <c r="M23" s="110"/>
      <c r="N23" s="110"/>
      <c r="O23" s="110"/>
      <c r="P23" s="110"/>
      <c r="Q23" s="110"/>
      <c r="R23" s="110"/>
      <c r="S23" s="110"/>
      <c r="T23" s="110"/>
      <c r="U23" s="110"/>
      <c r="V23" s="110"/>
      <c r="W23" s="110"/>
      <c r="X23" s="110"/>
      <c r="Y23" s="110"/>
      <c r="Z23" s="110"/>
    </row>
    <row r="24" spans="1:26" ht="16.5" customHeight="1" x14ac:dyDescent="0.3">
      <c r="A24" s="110"/>
      <c r="B24" s="291" t="s">
        <v>130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2"/>
      <c r="C25" s="204"/>
      <c r="D25" s="204"/>
      <c r="E25" s="204"/>
      <c r="F25" s="204"/>
      <c r="G25" s="204"/>
      <c r="H25" s="204"/>
      <c r="I25" s="204"/>
      <c r="J25" s="293"/>
      <c r="K25" s="110"/>
      <c r="L25" s="110"/>
      <c r="M25" s="110"/>
      <c r="N25" s="110"/>
      <c r="O25" s="110"/>
      <c r="P25" s="110"/>
      <c r="Q25" s="110"/>
      <c r="R25" s="110"/>
      <c r="S25" s="110"/>
      <c r="T25" s="110"/>
      <c r="U25" s="110"/>
      <c r="V25" s="110"/>
      <c r="W25" s="110"/>
      <c r="X25" s="110"/>
      <c r="Y25" s="110"/>
      <c r="Z25" s="110"/>
    </row>
    <row r="26" spans="1:26" ht="16.5" customHeight="1" x14ac:dyDescent="0.3">
      <c r="A26" s="110"/>
      <c r="B26" s="277"/>
      <c r="C26" s="278"/>
      <c r="D26" s="278"/>
      <c r="E26" s="278"/>
      <c r="F26" s="278"/>
      <c r="G26" s="278"/>
      <c r="H26" s="278"/>
      <c r="I26" s="278"/>
      <c r="J26" s="279"/>
      <c r="K26" s="110"/>
      <c r="L26" s="110"/>
      <c r="M26" s="110"/>
      <c r="N26" s="110"/>
      <c r="O26" s="110"/>
      <c r="P26" s="110"/>
      <c r="Q26" s="110"/>
      <c r="R26" s="110"/>
      <c r="S26" s="110"/>
      <c r="T26" s="110"/>
      <c r="U26" s="110"/>
      <c r="V26" s="110"/>
      <c r="W26" s="110"/>
      <c r="X26" s="110"/>
      <c r="Y26" s="110"/>
      <c r="Z26" s="110"/>
    </row>
    <row r="27" spans="1:26" ht="16.5" customHeight="1" x14ac:dyDescent="0.3">
      <c r="A27" s="110"/>
      <c r="B27" s="291" t="s">
        <v>131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2"/>
      <c r="C28" s="204"/>
      <c r="D28" s="204"/>
      <c r="E28" s="204"/>
      <c r="F28" s="204"/>
      <c r="G28" s="204"/>
      <c r="H28" s="204"/>
      <c r="I28" s="204"/>
      <c r="J28" s="293"/>
      <c r="K28" s="110"/>
      <c r="L28" s="110"/>
      <c r="M28" s="110"/>
      <c r="N28" s="110"/>
      <c r="O28" s="110"/>
      <c r="P28" s="110"/>
      <c r="Q28" s="110"/>
      <c r="R28" s="110"/>
      <c r="S28" s="110"/>
      <c r="T28" s="110"/>
      <c r="U28" s="110"/>
      <c r="V28" s="110"/>
      <c r="W28" s="110"/>
      <c r="X28" s="110"/>
      <c r="Y28" s="110"/>
      <c r="Z28" s="110"/>
    </row>
    <row r="29" spans="1:26" ht="16.5" customHeight="1" x14ac:dyDescent="0.3">
      <c r="A29" s="110"/>
      <c r="B29" s="277"/>
      <c r="C29" s="278"/>
      <c r="D29" s="278"/>
      <c r="E29" s="278"/>
      <c r="F29" s="278"/>
      <c r="G29" s="278"/>
      <c r="H29" s="278"/>
      <c r="I29" s="278"/>
      <c r="J29" s="27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election activeCell="T37" sqref="T37"/>
    </sheetView>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4" t="s">
        <v>134</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44418</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25" x14ac:dyDescent="0.3">
      <c r="A7" s="110"/>
      <c r="B7" s="115" t="s">
        <v>91</v>
      </c>
      <c r="C7" s="114" t="s">
        <v>111</v>
      </c>
      <c r="D7" s="115" t="s">
        <v>112</v>
      </c>
      <c r="E7" s="116" t="s">
        <v>113</v>
      </c>
      <c r="F7" s="110"/>
      <c r="G7" s="117" t="s">
        <v>114</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92</v>
      </c>
      <c r="C8" s="114" t="s">
        <v>115</v>
      </c>
      <c r="D8" s="115" t="s">
        <v>116</v>
      </c>
      <c r="E8" s="116" t="s">
        <v>117</v>
      </c>
      <c r="F8" s="110"/>
      <c r="G8" s="117" t="s">
        <v>118</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93</v>
      </c>
      <c r="C9" s="114" t="s">
        <v>119</v>
      </c>
      <c r="D9" s="115" t="s">
        <v>120</v>
      </c>
      <c r="E9" s="116" t="s">
        <v>117</v>
      </c>
      <c r="F9" s="110"/>
      <c r="G9" s="119" t="s">
        <v>121</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94</v>
      </c>
      <c r="C10" s="114" t="s">
        <v>122</v>
      </c>
      <c r="D10" s="115" t="s">
        <v>123</v>
      </c>
      <c r="E10" s="116" t="s">
        <v>117</v>
      </c>
      <c r="F10" s="110"/>
      <c r="G10" s="119" t="s">
        <v>124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5" t="s">
        <v>126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91" t="s">
        <v>127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2"/>
      <c r="C16" s="204"/>
      <c r="D16" s="204"/>
      <c r="E16" s="204"/>
      <c r="F16" s="204"/>
      <c r="G16" s="204"/>
      <c r="H16" s="204"/>
      <c r="I16" s="204"/>
      <c r="J16" s="293"/>
      <c r="K16" s="110"/>
      <c r="L16" s="110"/>
      <c r="M16" s="110"/>
      <c r="N16" s="110"/>
      <c r="O16" s="110"/>
      <c r="P16" s="110"/>
      <c r="Q16" s="110"/>
      <c r="R16" s="110"/>
      <c r="S16" s="110"/>
      <c r="T16" s="110"/>
      <c r="U16" s="110"/>
      <c r="V16" s="110"/>
      <c r="W16" s="110"/>
      <c r="X16" s="110"/>
      <c r="Y16" s="110"/>
      <c r="Z16" s="110"/>
    </row>
    <row r="17" spans="1:26" ht="16.5" customHeight="1" x14ac:dyDescent="0.3">
      <c r="A17" s="110"/>
      <c r="B17" s="277"/>
      <c r="C17" s="278"/>
      <c r="D17" s="278"/>
      <c r="E17" s="278"/>
      <c r="F17" s="278"/>
      <c r="G17" s="278"/>
      <c r="H17" s="278"/>
      <c r="I17" s="278"/>
      <c r="J17" s="279"/>
      <c r="K17" s="110"/>
      <c r="L17" s="110"/>
      <c r="M17" s="110"/>
      <c r="N17" s="110"/>
      <c r="O17" s="110"/>
      <c r="P17" s="110"/>
      <c r="Q17" s="110"/>
      <c r="R17" s="110"/>
      <c r="S17" s="110"/>
      <c r="T17" s="110"/>
      <c r="U17" s="110"/>
      <c r="V17" s="110"/>
      <c r="W17" s="110"/>
      <c r="X17" s="110"/>
      <c r="Y17" s="110"/>
      <c r="Z17" s="110"/>
    </row>
    <row r="18" spans="1:26" ht="16.5" customHeight="1" x14ac:dyDescent="0.3">
      <c r="A18" s="110"/>
      <c r="B18" s="291" t="s">
        <v>128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2"/>
      <c r="C19" s="204"/>
      <c r="D19" s="204"/>
      <c r="E19" s="204"/>
      <c r="F19" s="204"/>
      <c r="G19" s="204"/>
      <c r="H19" s="204"/>
      <c r="I19" s="204"/>
      <c r="J19" s="293"/>
      <c r="K19" s="110"/>
      <c r="L19" s="110"/>
      <c r="M19" s="110"/>
      <c r="N19" s="110"/>
      <c r="O19" s="110"/>
      <c r="P19" s="110"/>
      <c r="Q19" s="110"/>
      <c r="R19" s="110"/>
      <c r="S19" s="110"/>
      <c r="T19" s="110"/>
      <c r="U19" s="110"/>
      <c r="V19" s="110"/>
      <c r="W19" s="110"/>
      <c r="X19" s="110"/>
      <c r="Y19" s="110"/>
      <c r="Z19" s="110"/>
    </row>
    <row r="20" spans="1:26" ht="16.5" customHeight="1" x14ac:dyDescent="0.3">
      <c r="A20" s="110"/>
      <c r="B20" s="277"/>
      <c r="C20" s="278"/>
      <c r="D20" s="278"/>
      <c r="E20" s="278"/>
      <c r="F20" s="278"/>
      <c r="G20" s="278"/>
      <c r="H20" s="278"/>
      <c r="I20" s="278"/>
      <c r="J20" s="279"/>
      <c r="K20" s="110"/>
      <c r="L20" s="110"/>
      <c r="M20" s="110"/>
      <c r="N20" s="110"/>
      <c r="O20" s="110"/>
      <c r="P20" s="110"/>
      <c r="Q20" s="110"/>
      <c r="R20" s="110"/>
      <c r="S20" s="110"/>
      <c r="T20" s="110"/>
      <c r="U20" s="110"/>
      <c r="V20" s="110"/>
      <c r="W20" s="110"/>
      <c r="X20" s="110"/>
      <c r="Y20" s="110"/>
      <c r="Z20" s="110"/>
    </row>
    <row r="21" spans="1:26" ht="16.5" customHeight="1" x14ac:dyDescent="0.3">
      <c r="A21" s="110"/>
      <c r="B21" s="291" t="s">
        <v>129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2"/>
      <c r="C22" s="204"/>
      <c r="D22" s="204"/>
      <c r="E22" s="204"/>
      <c r="F22" s="204"/>
      <c r="G22" s="204"/>
      <c r="H22" s="204"/>
      <c r="I22" s="204"/>
      <c r="J22" s="293"/>
      <c r="K22" s="110"/>
      <c r="L22" s="110"/>
      <c r="M22" s="110"/>
      <c r="N22" s="110"/>
      <c r="O22" s="110"/>
      <c r="P22" s="110"/>
      <c r="Q22" s="110"/>
      <c r="R22" s="110"/>
      <c r="S22" s="110"/>
      <c r="T22" s="110"/>
      <c r="U22" s="110"/>
      <c r="V22" s="110"/>
      <c r="W22" s="110"/>
      <c r="X22" s="110"/>
      <c r="Y22" s="110"/>
      <c r="Z22" s="110"/>
    </row>
    <row r="23" spans="1:26" ht="16.5" customHeight="1" x14ac:dyDescent="0.3">
      <c r="A23" s="110"/>
      <c r="B23" s="277"/>
      <c r="C23" s="278"/>
      <c r="D23" s="278"/>
      <c r="E23" s="278"/>
      <c r="F23" s="278"/>
      <c r="G23" s="278"/>
      <c r="H23" s="278"/>
      <c r="I23" s="278"/>
      <c r="J23" s="279"/>
      <c r="K23" s="110"/>
      <c r="L23" s="110"/>
      <c r="M23" s="110"/>
      <c r="N23" s="110"/>
      <c r="O23" s="110"/>
      <c r="P23" s="110"/>
      <c r="Q23" s="110"/>
      <c r="R23" s="110"/>
      <c r="S23" s="110"/>
      <c r="T23" s="110"/>
      <c r="U23" s="110"/>
      <c r="V23" s="110"/>
      <c r="W23" s="110"/>
      <c r="X23" s="110"/>
      <c r="Y23" s="110"/>
      <c r="Z23" s="110"/>
    </row>
    <row r="24" spans="1:26" ht="16.5" customHeight="1" x14ac:dyDescent="0.3">
      <c r="A24" s="110"/>
      <c r="B24" s="291" t="s">
        <v>130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2"/>
      <c r="C25" s="204"/>
      <c r="D25" s="204"/>
      <c r="E25" s="204"/>
      <c r="F25" s="204"/>
      <c r="G25" s="204"/>
      <c r="H25" s="204"/>
      <c r="I25" s="204"/>
      <c r="J25" s="293"/>
      <c r="K25" s="110"/>
      <c r="L25" s="110"/>
      <c r="M25" s="110"/>
      <c r="N25" s="110"/>
      <c r="O25" s="110"/>
      <c r="P25" s="110"/>
      <c r="Q25" s="110"/>
      <c r="R25" s="110"/>
      <c r="S25" s="110"/>
      <c r="T25" s="110"/>
      <c r="U25" s="110"/>
      <c r="V25" s="110"/>
      <c r="W25" s="110"/>
      <c r="X25" s="110"/>
      <c r="Y25" s="110"/>
      <c r="Z25" s="110"/>
    </row>
    <row r="26" spans="1:26" ht="16.5" customHeight="1" x14ac:dyDescent="0.3">
      <c r="A26" s="110"/>
      <c r="B26" s="277"/>
      <c r="C26" s="278"/>
      <c r="D26" s="278"/>
      <c r="E26" s="278"/>
      <c r="F26" s="278"/>
      <c r="G26" s="278"/>
      <c r="H26" s="278"/>
      <c r="I26" s="278"/>
      <c r="J26" s="279"/>
      <c r="K26" s="110"/>
      <c r="L26" s="110"/>
      <c r="M26" s="110"/>
      <c r="N26" s="110"/>
      <c r="O26" s="110"/>
      <c r="P26" s="110"/>
      <c r="Q26" s="110"/>
      <c r="R26" s="110"/>
      <c r="S26" s="110"/>
      <c r="T26" s="110"/>
      <c r="U26" s="110"/>
      <c r="V26" s="110"/>
      <c r="W26" s="110"/>
      <c r="X26" s="110"/>
      <c r="Y26" s="110"/>
      <c r="Z26" s="110"/>
    </row>
    <row r="27" spans="1:26" ht="16.5" customHeight="1" x14ac:dyDescent="0.3">
      <c r="A27" s="110"/>
      <c r="B27" s="291" t="s">
        <v>131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2"/>
      <c r="C28" s="204"/>
      <c r="D28" s="204"/>
      <c r="E28" s="204"/>
      <c r="F28" s="204"/>
      <c r="G28" s="204"/>
      <c r="H28" s="204"/>
      <c r="I28" s="204"/>
      <c r="J28" s="293"/>
      <c r="K28" s="110"/>
      <c r="L28" s="110"/>
      <c r="M28" s="110"/>
      <c r="N28" s="110"/>
      <c r="O28" s="110"/>
      <c r="P28" s="110"/>
      <c r="Q28" s="110"/>
      <c r="R28" s="110"/>
      <c r="S28" s="110"/>
      <c r="T28" s="110"/>
      <c r="U28" s="110"/>
      <c r="V28" s="110"/>
      <c r="W28" s="110"/>
      <c r="X28" s="110"/>
      <c r="Y28" s="110"/>
      <c r="Z28" s="110"/>
    </row>
    <row r="29" spans="1:26" ht="16.5" customHeight="1" x14ac:dyDescent="0.3">
      <c r="A29" s="110"/>
      <c r="B29" s="277"/>
      <c r="C29" s="278"/>
      <c r="D29" s="278"/>
      <c r="E29" s="278"/>
      <c r="F29" s="278"/>
      <c r="G29" s="278"/>
      <c r="H29" s="278"/>
      <c r="I29" s="278"/>
      <c r="J29" s="27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election activeCell="T37" sqref="T37"/>
    </sheetView>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08" t="s">
        <v>135</v>
      </c>
      <c r="D2" s="204"/>
      <c r="E2" s="204"/>
      <c r="F2" s="204"/>
      <c r="G2" s="204"/>
      <c r="H2" s="204"/>
      <c r="I2" s="204"/>
      <c r="J2" s="204"/>
      <c r="K2" s="204"/>
      <c r="L2" s="204"/>
      <c r="M2" s="204"/>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51</v>
      </c>
      <c r="K4" s="39">
        <f>CARÁTULA!$C$19</f>
        <v>0</v>
      </c>
      <c r="L4" s="39"/>
      <c r="M4" s="39"/>
      <c r="N4" s="39"/>
      <c r="O4" s="40"/>
      <c r="P4" s="40"/>
      <c r="Q4" s="40"/>
      <c r="R4" s="40"/>
      <c r="S4" s="40"/>
      <c r="T4" s="40"/>
      <c r="U4" s="40"/>
      <c r="V4" s="40"/>
      <c r="W4" s="40"/>
      <c r="X4" s="40"/>
      <c r="Y4" s="40"/>
      <c r="Z4" s="40"/>
    </row>
    <row r="5" spans="1:26" ht="13.5" customHeight="1" x14ac:dyDescent="0.3">
      <c r="A5" s="40"/>
      <c r="B5" s="123" t="s">
        <v>22</v>
      </c>
      <c r="C5" s="40"/>
      <c r="D5" s="40"/>
      <c r="E5" s="40" t="str">
        <f>CARÁTULA!$C$23</f>
        <v>2do de Secundaria</v>
      </c>
      <c r="F5" s="40"/>
      <c r="G5" s="40"/>
      <c r="H5" s="40"/>
      <c r="I5" s="40"/>
      <c r="J5" s="43" t="s">
        <v>23</v>
      </c>
      <c r="K5" s="66">
        <f ca="1">TODAY()</f>
        <v>44418</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57" t="s">
        <v>136</v>
      </c>
      <c r="D10" s="204"/>
      <c r="E10" s="124"/>
      <c r="F10" s="40"/>
      <c r="G10" s="43" t="s">
        <v>137</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138</v>
      </c>
      <c r="D11" s="40"/>
      <c r="E11" s="126">
        <f>'CENTRAL 2'!$I$9</f>
        <v>36</v>
      </c>
      <c r="F11" s="124"/>
      <c r="G11" s="127">
        <f>E11/$E$13</f>
        <v>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7" t="s">
        <v>139</v>
      </c>
      <c r="D12" s="40"/>
      <c r="E12" s="129">
        <f>'CENTRAL 2'!$I$13</f>
        <v>0</v>
      </c>
      <c r="F12" s="124"/>
      <c r="G12" s="127">
        <f>E12/$E$13</f>
        <v>0</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57" t="s">
        <v>141</v>
      </c>
      <c r="D23" s="204"/>
      <c r="E23" s="40"/>
      <c r="F23" s="40"/>
      <c r="G23" s="43" t="s">
        <v>142</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138</v>
      </c>
      <c r="D24" s="40"/>
      <c r="E24" s="126">
        <f>'CENTRAL 2'!$J$9</f>
        <v>31</v>
      </c>
      <c r="F24" s="40"/>
      <c r="G24" s="127">
        <f>E24/$E$26</f>
        <v>0.86111111111111116</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7" t="s">
        <v>139</v>
      </c>
      <c r="D25" s="40"/>
      <c r="E25" s="129">
        <f>'CENTRAL 2'!$J$13</f>
        <v>5</v>
      </c>
      <c r="F25" s="40"/>
      <c r="G25" s="127">
        <f>E25/$E$26</f>
        <v>0.1388888888888889</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140</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57" t="s">
        <v>143</v>
      </c>
      <c r="D35" s="204"/>
      <c r="E35" s="40"/>
      <c r="F35" s="40"/>
      <c r="G35" s="123" t="s">
        <v>144</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138</v>
      </c>
      <c r="D36" s="40"/>
      <c r="E36" s="126">
        <f>'CENTRAL 2'!$K$9</f>
        <v>36</v>
      </c>
      <c r="F36" s="40"/>
      <c r="G36" s="127">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7" t="s">
        <v>139</v>
      </c>
      <c r="D37" s="40"/>
      <c r="E37" s="129">
        <f>'CENTRAL 2'!$K$13</f>
        <v>0</v>
      </c>
      <c r="F37" s="40"/>
      <c r="G37" s="127">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140</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election activeCell="T37" sqref="T37"/>
    </sheetView>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297" t="s">
        <v>145</v>
      </c>
      <c r="D2" s="204"/>
      <c r="E2" s="204"/>
      <c r="F2" s="204"/>
      <c r="G2" s="204"/>
      <c r="H2" s="204"/>
      <c r="I2" s="204"/>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f>CARÁTULA!$C$25</f>
        <v>0</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51</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22</v>
      </c>
      <c r="C5" s="133"/>
      <c r="D5" s="133"/>
      <c r="E5" s="133" t="str">
        <f>CARÁTULA!$C$23</f>
        <v>2do de Secundaria</v>
      </c>
      <c r="F5" s="133"/>
      <c r="G5" s="132" t="s">
        <v>23</v>
      </c>
      <c r="H5" s="134">
        <f ca="1">TODAY()</f>
        <v>44418</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296" t="s">
        <v>146</v>
      </c>
      <c r="D8" s="136" t="s">
        <v>147</v>
      </c>
      <c r="E8" s="136" t="s">
        <v>148</v>
      </c>
      <c r="F8" s="137" t="s">
        <v>149</v>
      </c>
      <c r="G8" s="136" t="s">
        <v>150</v>
      </c>
      <c r="H8" s="136" t="s">
        <v>151</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283"/>
      <c r="D9" s="138" t="s">
        <v>152</v>
      </c>
      <c r="E9" s="115">
        <v>3</v>
      </c>
      <c r="F9" s="139">
        <v>20</v>
      </c>
      <c r="G9" s="139">
        <v>19</v>
      </c>
      <c r="H9" s="118">
        <f>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283"/>
      <c r="D10" s="138" t="s">
        <v>153</v>
      </c>
      <c r="E10" s="115">
        <v>2</v>
      </c>
      <c r="F10" s="139">
        <v>13</v>
      </c>
      <c r="G10" s="139">
        <v>13</v>
      </c>
      <c r="H10" s="118">
        <f>G10/$G$12</f>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283"/>
      <c r="D11" s="138" t="s">
        <v>154</v>
      </c>
      <c r="E11" s="115">
        <v>2</v>
      </c>
      <c r="F11" s="139">
        <v>12</v>
      </c>
      <c r="G11" s="139">
        <v>12</v>
      </c>
      <c r="H11" s="118">
        <f>G11/$G$12</f>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268"/>
      <c r="D12" s="140"/>
      <c r="E12" s="141">
        <f>SUM(E9:E11)</f>
        <v>7</v>
      </c>
      <c r="F12" s="142">
        <f>SUM(F9:F11)</f>
        <v>45</v>
      </c>
      <c r="G12" s="141">
        <f>SUM(G9:G11)</f>
        <v>44</v>
      </c>
      <c r="H12" s="127">
        <f>SUM(H9:H11)</f>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296" t="s">
        <v>155</v>
      </c>
      <c r="D15" s="136" t="s">
        <v>147</v>
      </c>
      <c r="E15" s="136" t="s">
        <v>148</v>
      </c>
      <c r="F15" s="137" t="s">
        <v>149</v>
      </c>
      <c r="G15" s="136" t="s">
        <v>150</v>
      </c>
      <c r="H15" s="136" t="s">
        <v>151</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283"/>
      <c r="D16" s="138" t="s">
        <v>152</v>
      </c>
      <c r="E16" s="115">
        <v>3</v>
      </c>
      <c r="F16" s="139">
        <v>12</v>
      </c>
      <c r="G16" s="139">
        <v>12</v>
      </c>
      <c r="H16" s="118">
        <f>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283"/>
      <c r="D17" s="138" t="s">
        <v>153</v>
      </c>
      <c r="E17" s="115">
        <v>4</v>
      </c>
      <c r="F17" s="139">
        <v>11</v>
      </c>
      <c r="G17" s="139">
        <v>11</v>
      </c>
      <c r="H17" s="118">
        <f>G17/$G$19</f>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283"/>
      <c r="D18" s="138" t="s">
        <v>154</v>
      </c>
      <c r="E18" s="115">
        <v>5</v>
      </c>
      <c r="F18" s="139">
        <v>13</v>
      </c>
      <c r="G18" s="139">
        <v>13</v>
      </c>
      <c r="H18" s="118">
        <f>G18/$G$19</f>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268"/>
      <c r="D19" s="140"/>
      <c r="E19" s="141">
        <f>SUM(E16:E18)</f>
        <v>12</v>
      </c>
      <c r="F19" s="142">
        <f>SUM(F16:F18)</f>
        <v>36</v>
      </c>
      <c r="G19" s="141">
        <f>SUM(G16:G18)</f>
        <v>36</v>
      </c>
      <c r="H19" s="127">
        <f>SUM(H16:H18)</f>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296" t="s">
        <v>156</v>
      </c>
      <c r="D22" s="136" t="s">
        <v>147</v>
      </c>
      <c r="E22" s="136" t="s">
        <v>148</v>
      </c>
      <c r="F22" s="137" t="s">
        <v>149</v>
      </c>
      <c r="G22" s="136" t="s">
        <v>150</v>
      </c>
      <c r="H22" s="136" t="s">
        <v>151</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283"/>
      <c r="D23" s="138" t="s">
        <v>152</v>
      </c>
      <c r="E23" s="115">
        <v>5</v>
      </c>
      <c r="F23" s="139">
        <v>10</v>
      </c>
      <c r="G23" s="139">
        <v>10</v>
      </c>
      <c r="H23" s="118">
        <f>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283"/>
      <c r="D24" s="138" t="s">
        <v>153</v>
      </c>
      <c r="E24" s="115">
        <v>6</v>
      </c>
      <c r="F24" s="139">
        <v>14</v>
      </c>
      <c r="G24" s="139">
        <v>14</v>
      </c>
      <c r="H24" s="118">
        <f>G24/$G$26</f>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283"/>
      <c r="D25" s="138" t="s">
        <v>154</v>
      </c>
      <c r="E25" s="115">
        <v>4</v>
      </c>
      <c r="F25" s="139">
        <v>15</v>
      </c>
      <c r="G25" s="139">
        <v>15</v>
      </c>
      <c r="H25" s="118">
        <f>G25/$G$26</f>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268"/>
      <c r="D26" s="140"/>
      <c r="E26" s="141">
        <f>SUM(E23:E25)</f>
        <v>15</v>
      </c>
      <c r="F26" s="142">
        <f>SUM(F23:F25)</f>
        <v>39</v>
      </c>
      <c r="G26" s="141">
        <f>SUM(G23:G25)</f>
        <v>39</v>
      </c>
      <c r="H26" s="127">
        <f>SUM(H23:H25)</f>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296" t="s">
        <v>157</v>
      </c>
      <c r="D29" s="136" t="s">
        <v>147</v>
      </c>
      <c r="E29" s="136" t="s">
        <v>148</v>
      </c>
      <c r="F29" s="137" t="s">
        <v>149</v>
      </c>
      <c r="G29" s="136" t="s">
        <v>150</v>
      </c>
      <c r="H29" s="136" t="s">
        <v>151</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283"/>
      <c r="D30" s="138" t="s">
        <v>152</v>
      </c>
      <c r="E30" s="115">
        <v>6</v>
      </c>
      <c r="F30" s="139">
        <v>9</v>
      </c>
      <c r="G30" s="139">
        <v>9</v>
      </c>
      <c r="H30" s="118">
        <f>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283"/>
      <c r="D31" s="138" t="s">
        <v>153</v>
      </c>
      <c r="E31" s="115">
        <v>5</v>
      </c>
      <c r="F31" s="139">
        <v>11</v>
      </c>
      <c r="G31" s="139">
        <v>11</v>
      </c>
      <c r="H31" s="118">
        <f>G31/$G$33</f>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283"/>
      <c r="D32" s="138" t="s">
        <v>154</v>
      </c>
      <c r="E32" s="115">
        <v>3</v>
      </c>
      <c r="F32" s="139">
        <v>12</v>
      </c>
      <c r="G32" s="139">
        <v>12</v>
      </c>
      <c r="H32" s="118">
        <f>G32/$G$33</f>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268"/>
      <c r="D33" s="140"/>
      <c r="E33" s="141">
        <f>SUM(E30:E32)</f>
        <v>14</v>
      </c>
      <c r="F33" s="142">
        <f>SUM(F30:F32)</f>
        <v>32</v>
      </c>
      <c r="G33" s="141">
        <f>SUM(G30:G32)</f>
        <v>32</v>
      </c>
      <c r="H33" s="127">
        <f>SUM(H30:H32)</f>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296" t="s">
        <v>158</v>
      </c>
      <c r="D36" s="136" t="s">
        <v>147</v>
      </c>
      <c r="E36" s="136" t="s">
        <v>148</v>
      </c>
      <c r="F36" s="137" t="s">
        <v>149</v>
      </c>
      <c r="G36" s="136" t="s">
        <v>150</v>
      </c>
      <c r="H36" s="136" t="s">
        <v>151</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283"/>
      <c r="D37" s="138" t="s">
        <v>152</v>
      </c>
      <c r="E37" s="115">
        <v>3</v>
      </c>
      <c r="F37" s="139">
        <v>18</v>
      </c>
      <c r="G37" s="139">
        <v>18</v>
      </c>
      <c r="H37" s="118">
        <f>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283"/>
      <c r="D38" s="138" t="s">
        <v>153</v>
      </c>
      <c r="E38" s="115">
        <v>3</v>
      </c>
      <c r="F38" s="139">
        <v>19</v>
      </c>
      <c r="G38" s="139">
        <v>19</v>
      </c>
      <c r="H38" s="118">
        <f>G38/$G$40</f>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283"/>
      <c r="D39" s="138" t="s">
        <v>154</v>
      </c>
      <c r="E39" s="115">
        <v>3</v>
      </c>
      <c r="F39" s="139">
        <v>17</v>
      </c>
      <c r="G39" s="139">
        <v>17</v>
      </c>
      <c r="H39" s="118">
        <f>G39/$G$40</f>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268"/>
      <c r="D40" s="140"/>
      <c r="E40" s="141">
        <f>SUM(E37:E39)</f>
        <v>9</v>
      </c>
      <c r="F40" s="142">
        <f>SUM(F37:F39)</f>
        <v>54</v>
      </c>
      <c r="G40" s="141">
        <f>SUM(G37:G39)</f>
        <v>54</v>
      </c>
      <c r="H40" s="127">
        <f>SUM(H37:H39)</f>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296" t="s">
        <v>159</v>
      </c>
      <c r="D43" s="136" t="s">
        <v>147</v>
      </c>
      <c r="E43" s="136" t="s">
        <v>148</v>
      </c>
      <c r="F43" s="137" t="s">
        <v>149</v>
      </c>
      <c r="G43" s="136" t="s">
        <v>150</v>
      </c>
      <c r="H43" s="136" t="s">
        <v>151</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283"/>
      <c r="D44" s="138" t="s">
        <v>152</v>
      </c>
      <c r="E44" s="115">
        <v>2</v>
      </c>
      <c r="F44" s="139">
        <v>7</v>
      </c>
      <c r="G44" s="139">
        <v>7</v>
      </c>
      <c r="H44" s="118">
        <f>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283"/>
      <c r="D45" s="138" t="s">
        <v>153</v>
      </c>
      <c r="E45" s="115">
        <v>4</v>
      </c>
      <c r="F45" s="139">
        <v>10</v>
      </c>
      <c r="G45" s="139">
        <v>10</v>
      </c>
      <c r="H45" s="118">
        <f>G45/$G$47</f>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283"/>
      <c r="D46" s="138" t="s">
        <v>154</v>
      </c>
      <c r="E46" s="115">
        <v>4</v>
      </c>
      <c r="F46" s="139">
        <v>14</v>
      </c>
      <c r="G46" s="139">
        <v>14</v>
      </c>
      <c r="H46" s="118">
        <f>G46/$G$47</f>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268"/>
      <c r="D47" s="140"/>
      <c r="E47" s="141">
        <f>SUM(E44:E46)</f>
        <v>10</v>
      </c>
      <c r="F47" s="142">
        <f>SUM(F44:F46)</f>
        <v>31</v>
      </c>
      <c r="G47" s="141">
        <f>SUM(G44:G46)</f>
        <v>31</v>
      </c>
      <c r="H47" s="127">
        <f>SUM(H44:H46)</f>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election activeCell="T37" sqref="T37"/>
    </sheetView>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298" t="s">
        <v>160</v>
      </c>
      <c r="F3" s="204"/>
      <c r="G3" s="204"/>
      <c r="H3" s="204"/>
      <c r="I3" s="204"/>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f>CARÁTULA!$C$25</f>
        <v>0</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51</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22</v>
      </c>
      <c r="C8" s="19"/>
      <c r="D8" s="19"/>
      <c r="E8" s="19"/>
      <c r="F8" s="19"/>
      <c r="G8" s="40" t="str">
        <f>CARÁTULA!$C$23</f>
        <v>2do de Secundaria</v>
      </c>
      <c r="H8" s="144" t="s">
        <v>23</v>
      </c>
      <c r="I8" s="134">
        <f ca="1">TODAY()</f>
        <v>44418</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299" t="s">
        <v>161</v>
      </c>
      <c r="F16" s="300"/>
      <c r="G16" s="146" t="s">
        <v>24</v>
      </c>
      <c r="H16" s="147" t="s">
        <v>162</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301"/>
      <c r="F17" s="261"/>
      <c r="G17" s="149" t="str">
        <f>'C. FILIACION'!B8</f>
        <v>ALARCON CHURA PRISCILA</v>
      </c>
      <c r="H17" s="150">
        <f>'CENTRAL 2'!F9</f>
        <v>67.333333333333329</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301"/>
      <c r="F18" s="261"/>
      <c r="G18" s="149" t="str">
        <f>'C. FILIACION'!B9</f>
        <v>ARCE CHOQUE LUCERO CORAL</v>
      </c>
      <c r="H18" s="150">
        <f>'CENTRAL 2'!F10</f>
        <v>67.333333333333329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301"/>
      <c r="F19" s="261"/>
      <c r="G19" s="149" t="str">
        <f>'C. FILIACION'!B10</f>
        <v>AREQUIPA CALCINA FABIAN JHON</v>
      </c>
      <c r="H19" s="150">
        <f>'CENTRAL 2'!F11</f>
        <v>72.666666666666671</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301"/>
      <c r="F20" s="261"/>
      <c r="G20" s="149" t="str">
        <f>'C. FILIACION'!B11</f>
        <v>CLAURE PARAVICINI RASHEL ROSALY</v>
      </c>
      <c r="H20" s="150">
        <f>'CENTRAL 2'!F12</f>
        <v>70.666666666666671</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301"/>
      <c r="F21" s="261"/>
      <c r="G21" s="149" t="str">
        <f>'C. FILIACION'!B12</f>
        <v>CONDORI FLORES ALEJANDRO BRYAN</v>
      </c>
      <c r="H21" s="150">
        <f>'CENTRAL 2'!F13</f>
        <v>73.333333333333329</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301"/>
      <c r="F22" s="261"/>
      <c r="G22" s="149" t="str">
        <f>'C. FILIACION'!B13</f>
        <v>DE LA CRUZ SANDOVAL JHON MARCO</v>
      </c>
      <c r="H22" s="150">
        <f>'CENTRAL 2'!F14</f>
        <v>80.333333333333329</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301"/>
      <c r="F23" s="261"/>
      <c r="G23" s="149" t="str">
        <f>'C. FILIACION'!B14</f>
        <v>GARCÍA IGNACIO MISHEL MAYA</v>
      </c>
      <c r="H23" s="150">
        <f>'CENTRAL 2'!F15</f>
        <v>81.666666666666671</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301"/>
      <c r="F24" s="261"/>
      <c r="G24" s="149" t="str">
        <f>'C. FILIACION'!B15</f>
        <v>HELGUERO SANCHEZ JHOYSI CAMIL</v>
      </c>
      <c r="H24" s="150">
        <f>'CENTRAL 2'!F16</f>
        <v>80</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301"/>
      <c r="F25" s="261"/>
      <c r="G25" s="149" t="str">
        <f>'C. FILIACION'!B16</f>
        <v>LEDEZMA ORELLANA RICARDO ERIK</v>
      </c>
      <c r="H25" s="150">
        <f>'CENTRAL 2'!F17</f>
        <v>80.333333333333329</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301"/>
      <c r="F26" s="261"/>
      <c r="G26" s="149" t="str">
        <f>'C. FILIACION'!B17</f>
        <v>MAMANI LOPEZ ELIZABETH MILDRED</v>
      </c>
      <c r="H26" s="150">
        <f>'CENTRAL 2'!F18</f>
        <v>78.666666666666671</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301"/>
      <c r="F27" s="261"/>
      <c r="G27" s="149" t="str">
        <f>'C. FILIACION'!B18</f>
        <v>MEDINA CHOQUE JUAN JOSE</v>
      </c>
      <c r="H27" s="150">
        <f>'CENTRAL 2'!F19</f>
        <v>65.333333333333329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301"/>
      <c r="F28" s="261"/>
      <c r="G28" s="149" t="str">
        <f>'C. FILIACION'!B19</f>
        <v>NINA RUEDA SEBASTIAN CARLOS</v>
      </c>
      <c r="H28" s="150">
        <f>'CENTRAL 2'!F20</f>
        <v>85.333333333333329</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301"/>
      <c r="F29" s="261"/>
      <c r="G29" s="149" t="str">
        <f>'C. FILIACION'!B20</f>
        <v>RODRIGUEZ RAMIREZ NATALY ARIANA</v>
      </c>
      <c r="H29" s="150">
        <f>'CENTRAL 2'!F21</f>
        <v>85.666666666666671</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301"/>
      <c r="F30" s="261"/>
      <c r="G30" s="149" t="str">
        <f>'C. FILIACION'!B21</f>
        <v>SALAZAR CANAZA CRISTINA MAYRA</v>
      </c>
      <c r="H30" s="150">
        <f>'CENTRAL 2'!F22</f>
        <v>85</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301"/>
      <c r="F31" s="261"/>
      <c r="G31" s="149" t="str">
        <f>'C. FILIACION'!B22</f>
        <v>SEVILLANO BALTAZAR AGNESE</v>
      </c>
      <c r="H31" s="150">
        <f>'CENTRAL 2'!F23</f>
        <v>94.333333333333329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301"/>
      <c r="F32" s="261"/>
      <c r="G32" s="149" t="str">
        <f>'C. FILIACION'!B23</f>
        <v>TOCONAS HUAYGUA VICTORIA FERNANDA</v>
      </c>
      <c r="H32" s="150">
        <f>'CENTRAL 2'!F24</f>
        <v>76.333333333333329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301"/>
      <c r="F33" s="261"/>
      <c r="G33" s="149">
        <f>'C. FILIACION'!B24</f>
        <v>0</v>
      </c>
      <c r="H33" s="150">
        <f>'CENTRAL 2'!F25</f>
        <v>100</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301"/>
      <c r="F34" s="261"/>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302"/>
      <c r="F35" s="261"/>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301"/>
      <c r="F36" s="261"/>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301"/>
      <c r="F37" s="261"/>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301"/>
      <c r="F38" s="261"/>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301"/>
      <c r="F39" s="261"/>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301"/>
      <c r="F40" s="261"/>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301"/>
      <c r="F41" s="261"/>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301"/>
      <c r="F42" s="261"/>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301"/>
      <c r="F43" s="261"/>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301"/>
      <c r="F44" s="261"/>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301"/>
      <c r="F45" s="261"/>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301"/>
      <c r="F46" s="261"/>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301"/>
      <c r="F47" s="261"/>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301"/>
      <c r="F48" s="261"/>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301"/>
      <c r="F49" s="261"/>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301"/>
      <c r="F50" s="261"/>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301"/>
      <c r="F51" s="261"/>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301"/>
      <c r="F52" s="261"/>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301"/>
      <c r="F53" s="261"/>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301"/>
      <c r="F54" s="261"/>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301"/>
      <c r="F55" s="261"/>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301"/>
      <c r="F56" s="261"/>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301"/>
      <c r="F57" s="261"/>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301"/>
      <c r="F58" s="261"/>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301"/>
      <c r="F59" s="261"/>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303"/>
      <c r="F60" s="304"/>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1EB28-27B7-4CA0-925C-5333A711E226}">
  <dimension ref="A1"/>
  <sheetViews>
    <sheetView workbookViewId="0">
      <selection activeCell="T37" sqref="T37"/>
    </sheetView>
  </sheetViews>
  <sheetFormatPr baseColWidth="10" defaultRowHeight="20.25"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CARÁTULA</vt:lpstr>
      <vt:lpstr>C. FILIACION</vt:lpstr>
      <vt:lpstr>ASIS 1 TRIM</vt:lpstr>
      <vt:lpstr>ASIS 2 TRIM</vt:lpstr>
      <vt:lpstr>Calif Estudiante 2do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2021-08-10T21:09:18Z</cp:lastPrinted>
  <dcterms:created xsi:type="dcterms:W3CDTF">2020-01-23T13:58:13Z</dcterms:created>
  <dcterms:modified xsi:type="dcterms:W3CDTF">2021-08-10T22:37:23Z</dcterms:modified>
</cp:coreProperties>
</file>