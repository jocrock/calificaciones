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7E37BDD-C793-4A7B-A793-E0AD31BD3CBD}" xr6:coauthVersionLast="47" xr6:coauthVersionMax="47" xr10:uidLastSave="{00000000-0000-0000-0000-000000000000}"/>
  <bookViews>
    <workbookView xWindow="-108" yWindow="-108" windowWidth="23256" windowHeight="12576" firstSheet="3" activeTab="3"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O11" i="18" l="1"/>
  <c r="O10" i="18"/>
  <c r="AD25" i="18"/>
  <c r="R4" i="18"/>
  <c r="I23" i="18"/>
  <c r="I24" i="18"/>
  <c r="I22" i="18"/>
  <c r="I17" i="18"/>
  <c r="I16" i="18"/>
  <c r="I15" i="18"/>
  <c r="N11" i="18"/>
  <c r="M11" i="18"/>
  <c r="L11" i="18"/>
  <c r="K11" i="18"/>
  <c r="J11" i="18"/>
  <c r="I11" i="18"/>
  <c r="G11" i="18"/>
  <c r="F11" i="18"/>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S11" i="18" l="1"/>
  <c r="Q11" i="18"/>
  <c r="R11" i="18"/>
  <c r="I25" i="18"/>
  <c r="I18" i="18"/>
  <c r="AC24" i="18"/>
  <c r="AC23" i="18"/>
  <c r="AC22" i="18"/>
  <c r="AC17" i="18"/>
  <c r="AC16" i="18"/>
  <c r="T10" i="18"/>
  <c r="S10" i="18"/>
  <c r="R10" i="18"/>
  <c r="Q10" i="18"/>
  <c r="P10" i="18"/>
  <c r="N10" i="18"/>
  <c r="M10" i="18"/>
  <c r="L10" i="18"/>
  <c r="K10" i="18"/>
  <c r="J10" i="18"/>
  <c r="I10" i="18"/>
  <c r="H10" i="18"/>
  <c r="G10" i="18"/>
  <c r="F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9" i="4" l="1"/>
  <c r="T11" i="18" s="1"/>
  <c r="P11" i="18"/>
  <c r="AG18" i="7"/>
  <c r="AF18" i="7" s="1"/>
  <c r="AG9" i="7"/>
  <c r="AH9" i="7" s="1"/>
  <c r="AG11" i="7"/>
  <c r="AH11" i="7" s="1"/>
  <c r="AG13" i="7"/>
  <c r="D13" i="10" s="1"/>
  <c r="AG21" i="7"/>
  <c r="D21" i="10" s="1"/>
  <c r="AC15" i="18"/>
  <c r="AC18" i="18" s="1"/>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40" i="9"/>
  <c r="F40" i="10"/>
  <c r="U42" i="9"/>
  <c r="AO12" i="6"/>
  <c r="H10" i="11" s="1"/>
  <c r="AO9" i="6"/>
  <c r="H7" i="11" s="1"/>
  <c r="AO10" i="6"/>
  <c r="H8" i="11" s="1"/>
  <c r="AO11" i="6"/>
  <c r="H9" i="11" s="1"/>
  <c r="AO9" i="8"/>
  <c r="H7" i="13" s="1"/>
  <c r="F36" i="10"/>
  <c r="V36" i="9"/>
  <c r="F13" i="10"/>
  <c r="V13" i="9"/>
  <c r="F34" i="10"/>
  <c r="V34" i="9"/>
  <c r="I9" i="10"/>
  <c r="E11" i="14" s="1"/>
  <c r="I13" i="10"/>
  <c r="E12" i="14" s="1"/>
  <c r="U37" i="9"/>
  <c r="F18" i="10"/>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V17" i="9" l="1"/>
  <c r="F21" i="10"/>
  <c r="G21" i="10" s="1"/>
  <c r="F14" i="10"/>
  <c r="G14" i="10" s="1"/>
  <c r="V9" i="9"/>
  <c r="F23" i="10"/>
  <c r="G23" i="10" s="1"/>
  <c r="V12" i="9"/>
  <c r="F22" i="10"/>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H31" i="16" l="1"/>
  <c r="H29" i="16"/>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<sst xmlns="http://schemas.openxmlformats.org/spreadsheetml/2006/main" count="843" uniqueCount="249">
  <si>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</si>
  <si>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</si>
  <si>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</si>
  <si>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</si>
  <si>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</si>
  <si>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</si>
  <si>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</si>
  <si>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</si>
  <si>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</si>
  <si>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</si>
  <si>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</si>
  <si>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</si>
  <si>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</si>
  <si>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</si>
  <si>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</si>
  <si>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</si>
  <si>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</si>
  <si>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</si>
  <si>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</si>
  <si>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</si>
  <si>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</si>
  <si>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</si>
  <si>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</si>
  <si>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</si>
  <si>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</si>
  <si>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</si>
  <si>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</si>
  <si>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</si>
  <si>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</si>
  <si>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</si>
  <si>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</si>
  <si>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</si>
  <si>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</si>
  <si>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</si>
  <si>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</si>
  <si>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</si>
  <si>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</si>
  <si>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</si>
  <si>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</si>
  <si>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</si>
  <si>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</si>
  <si>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</si>
  <si>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</si>
  <si>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</si>
  <si>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</si>
  <si>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</si>
  <si>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</si>
  <si>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</si>
  <si>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</si>
  <si>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</si>
  <si>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</si>
  <si>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</si>
  <si>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</si>
  <si>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</si>
  <si>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</si>
  <si>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</si>
  <si>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</si>
  <si>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</si>
  <si>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</si>
  <si>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</si>
  <si>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</si>
  <si>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</si>
  <si>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</si>
  <si>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</si>
  <si>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</si>
  <si>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</si>
  <si>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</si>
  <si>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</si>
  <si>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</si>
  <si>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</si>
  <si>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</si>
  <si>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</si>
  <si>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</si>
  <si>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</si>
  <si>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</si>
  <si>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</si>
  <si>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</si>
  <si>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</si>
  <si>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</si>
  <si>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</si>
  <si>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</si>
  <si>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</si>
  <si>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</si>
  <si>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</si>
  <si>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</si>
  <si>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</si>
  <si>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</si>
  <si>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</si>
  <si>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</si>
  <si>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</si>
  <si>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</si>
  <si>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</si>
  <si>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</si>
  <si>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</si>
  <si>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</si>
  <si>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</si>
  <si>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</si>
  <si>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</si>
  <si>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</si>
  <si>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</si>
  <si>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</si>
  <si>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</si>
  <si>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</si>
  <si>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</si>
  <si>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</si>
  <si>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</si>
  <si>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</si>
  <si>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</si>
  <si>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</si>
  <si>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</si>
  <si>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</si>
  <si>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</si>
  <si>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</si>
  <si>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</si>
  <si>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</si>
  <si>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</si>
  <si>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</si>
  <si>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</si>
  <si>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</si>
  <si>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</si>
  <si>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</si>
  <si>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</si>
  <si>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</si>
  <si>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</si>
  <si>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</si>
  <si>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</si>
  <si>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</si>
  <si>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</si>
  <si>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</si>
  <si>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</si>
  <si>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</si>
  <si>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</si>
  <si>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</si>
  <si>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</si>
  <si>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</si>
  <si>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</si>
  <si>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</si>
  <si>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</si>
  <si>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</si>
  <si>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</si>
  <si>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</si>
  <si>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</si>
  <si>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</si>
  <si>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</si>
  <si>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</si>
  <si>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</si>
  <si>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</si>
  <si>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</si>
  <si>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</si>
  <si>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</si>
  <si>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</si>
  <si>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</si>
  <si>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</si>
  <si>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</si>
  <si>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</si>
  <si>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</si>
  <si>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</si>
  <si>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</si>
  <si>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</si>
  <si>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</si>
  <si>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</si>
  <si>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</si>
  <si>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</si>
  <si>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</si>
  <si>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</si>
  <si>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</si>
  <si>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</si>
  <si>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</si>
  <si>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</si>
  <si>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</si>
  <si>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</si>
  <si>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</si>
  <si>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</si>
  <si>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</si>
  <si>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</si>
  <si>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</si>
  <si>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</si>
  <si>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</si>
  <si>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</si>
  <si>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</si>
  <si>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</si>
  <si>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</si>
  <si>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</si>
  <si>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</si>
  <si>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</si>
  <si>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</si>
  <si>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</si>
  <si>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</si>
  <si>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</si>
  <si>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</si>
  <si>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</si>
  <si>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</si>
  <si>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</si>
  <si>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</si>
  <si>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</si>
  <si>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</si>
  <si>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</si>
  <si>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</si>
  <si>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</si>
  <si>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</si>
  <si>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</si>
  <si>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</si>
  <si>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</si>
  <si>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</si>
  <si>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</si>
  <si>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</si>
  <si>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</si>
  <si>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</si>
  <si>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</si>
  <si>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</si>
  <si>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</si>
  <si>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</si>
  <si>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</si>
  <si>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</si>
  <si>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</si>
  <si>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</si>
  <si>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</si>
  <si>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</si>
  <si>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</si>
  <si>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</si>
  <si>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</si>
  <si>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</si>
  <si>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</si>
  <si>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</si>
  <si>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</si>
  <si>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</si>
  <si>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</si>
  <si>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</si>
  <si>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</si>
  <si>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</si>
  <si>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</si>
  <si>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</si>
  <si>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</si>
  <si>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</si>
  <si>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</si>
  <si>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</si>
  <si>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</si>
  <si>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</si>
  <si>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</si>
  <si>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</si>
  <si>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</si>
  <si>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</si>
  <si>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</si>
  <si>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</si>
  <si>
    <t>19/08/2021 (1er Examen Parcial)</t>
  </si>
  <si>
    <t>19/8/2021</t>
  </si>
  <si>
    <t>26/8/2021</t>
  </si>
  <si>
    <t>2/9/2021</t>
  </si>
  <si>
    <t>9/9/2021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</si>
</sst>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
      <sz val="8"/>
      <color theme="1"/>
      <name val="Arial"/>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2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0" applyNumberFormat="1" applyBorder="1"/>
    <xf numFmtId="0" fontId="9" fillId="0" borderId="27" xfId="0" applyFont="1" applyBorder="1" applyAlignment="1">
      <alignment horizontal="center" vertical="center"/>
    </xf>
    <xf numFmtId="0" fontId="38"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0" fillId="0" borderId="0" xfId="0" applyFont="1" applyAlignment="1"/>
    <xf numFmtId="0" fontId="9" fillId="0" borderId="41" xfId="0" applyFont="1" applyBorder="1" applyAlignment="1">
      <alignment horizontal="center" vertical="center"/>
    </xf>
    <xf numFmtId="0" fontId="19" fillId="0" borderId="41" xfId="0" applyFont="1" applyBorder="1" applyAlignment="1">
      <alignment horizontal="center" vertical="center"/>
    </xf>
    <xf numFmtId="0" fontId="60" fillId="9" borderId="39" xfId="0" applyFont="1" applyFill="1" applyBorder="1" applyAlignment="1">
      <alignment horizontal="center" vertical="center"/>
    </xf>
    <xf numFmtId="0" fontId="60" fillId="9" borderId="41" xfId="0" applyFont="1" applyFill="1" applyBorder="1" applyAlignment="1">
      <alignment horizontal="center" vertical="center"/>
    </xf>
    <xf numFmtId="0" fontId="60" fillId="9" borderId="19" xfId="0" applyFont="1" applyFill="1" applyBorder="1" applyAlignment="1">
      <alignment horizontal="center" vertical="center"/>
    </xf>
    <xf numFmtId="0" fontId="8" fillId="9" borderId="19" xfId="0" applyFont="1" applyFill="1" applyBorder="1" applyAlignment="1">
      <alignment horizontal="center" vertical="center"/>
    </xf>
    <xf numFmtId="0" fontId="8" fillId="0" borderId="19" xfId="0" applyFont="1" applyBorder="1" applyAlignment="1">
      <alignment horizontal="center" vertical="center"/>
    </xf>
    <xf numFmtId="0" fontId="8" fillId="0" borderId="39" xfId="0" applyFont="1" applyBorder="1" applyAlignment="1">
      <alignment horizontal="center" vertical="center"/>
    </xf>
    <xf numFmtId="0" fontId="8" fillId="0" borderId="41" xfId="0" applyFont="1" applyBorder="1" applyAlignment="1">
      <alignment horizontal="center" vertical="center"/>
    </xf>
    <xf numFmtId="0" fontId="60" fillId="0" borderId="19" xfId="0" applyFont="1" applyBorder="1" applyAlignment="1">
      <alignment horizontal="center" vertical="center"/>
    </xf>
    <xf numFmtId="0" fontId="60" fillId="0" borderId="41" xfId="0" applyFont="1" applyBorder="1" applyAlignment="1">
      <alignment horizontal="center" vertical="center"/>
    </xf>
    <xf numFmtId="0" fontId="60" fillId="9" borderId="57" xfId="0" applyFont="1" applyFill="1" applyBorder="1" applyAlignment="1">
      <alignment horizontal="center" vertical="center"/>
    </xf>
    <xf numFmtId="0" fontId="60" fillId="0" borderId="57" xfId="0" applyFont="1" applyBorder="1" applyAlignment="1">
      <alignment horizontal="center" vertical="center"/>
    </xf>
    <xf numFmtId="0" fontId="60" fillId="0" borderId="39" xfId="0" applyFont="1" applyBorder="1" applyAlignment="1">
      <alignment horizontal="center" vertical="center"/>
    </xf>
    <xf numFmtId="14" fontId="38" fillId="0" borderId="29" xfId="0" applyNumberFormat="1" applyFont="1" applyBorder="1" applyAlignment="1">
      <alignment horizontal="center" vertical="center" textRotation="90"/>
    </xf>
    <xf numFmtId="14" fontId="60" fillId="0" borderId="15" xfId="0" applyNumberFormat="1" applyFont="1" applyBorder="1" applyAlignment="1">
      <alignment textRotation="90"/>
    </xf>
    <xf numFmtId="0" fontId="60" fillId="0" borderId="57" xfId="0" applyFont="1" applyBorder="1" applyAlignment="1">
      <alignment horizontal="center"/>
    </xf>
    <xf numFmtId="0" fontId="9" fillId="11" borderId="19" xfId="0" applyFont="1" applyFill="1" applyBorder="1" applyAlignment="1">
      <alignment horizontal="left" vertical="center"/>
    </xf>
    <xf numFmtId="0" fontId="8" fillId="11" borderId="39" xfId="0" applyFont="1" applyFill="1" applyBorder="1" applyAlignment="1">
      <alignment horizontal="center" vertical="center"/>
    </xf>
    <xf numFmtId="0" fontId="60" fillId="11" borderId="57" xfId="0" applyFont="1" applyFill="1" applyBorder="1" applyAlignment="1">
      <alignment horizontal="center" vertical="center"/>
    </xf>
    <xf numFmtId="0" fontId="8" fillId="11" borderId="41" xfId="0" applyFont="1" applyFill="1" applyBorder="1" applyAlignment="1">
      <alignment horizontal="center" vertical="center"/>
    </xf>
    <xf numFmtId="0" fontId="8" fillId="11" borderId="19" xfId="0" applyFont="1" applyFill="1" applyBorder="1" applyAlignment="1">
      <alignment horizontal="center" vertical="center"/>
    </xf>
    <xf numFmtId="0" fontId="60" fillId="11" borderId="57" xfId="0" applyFont="1" applyFill="1" applyBorder="1" applyAlignment="1">
      <alignment horizontal="center"/>
    </xf>
    <xf numFmtId="0" fontId="9" fillId="11" borderId="41" xfId="0" applyFont="1" applyFill="1" applyBorder="1" applyAlignment="1">
      <alignment horizontal="center" vertical="center"/>
    </xf>
    <xf numFmtId="0" fontId="9" fillId="11" borderId="19" xfId="0" applyFont="1" applyFill="1" applyBorder="1" applyAlignment="1">
      <alignment horizontal="center" vertical="center"/>
    </xf>
    <xf numFmtId="0" fontId="0" fillId="11"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b val="0"/>
        <strike val="0"/>
        <outline val="0"/>
        <shadow val="0"/>
        <u val="none"/>
        <vertAlign val="baseline"/>
        <sz val="8"/>
        <color theme="1"/>
        <name val="Arial"/>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outline="0">
        <left style="thin">
          <color rgb="FF000000"/>
        </left>
        <right/>
        <top style="thin">
          <color rgb="FF000000"/>
        </top>
        <bottom style="thin">
          <color rgb="FF000000"/>
        </bottom>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L7" t="str">
            <v>12/8/2021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9" dataDxfId="58" tableBorderDxfId="57">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6"/>
    <tableColumn id="2" xr3:uid="{E7CFB337-346E-4134-9052-6A8F126DF70E}" name="NÓMINA DE ESTUDIANTES" dataDxfId="55">
      <calculatedColumnFormula>'C. FILIACION'!B8</calculatedColumnFormula>
    </tableColumn>
    <tableColumn id="3" xr3:uid="{D8D6787D-C877-4322-8BAB-6844889DB05D}" name="13/5/2020" dataDxfId="54"/>
    <tableColumn id="4" xr3:uid="{275E4CD2-72A9-4610-9D2E-FA4CAC9EADB2}" name="20/5/2020" dataDxfId="53"/>
    <tableColumn id="5" xr3:uid="{65FC0861-6DF1-42FE-B411-35A0B12DD120}" name="27/5/2021" dataDxfId="52"/>
    <tableColumn id="6" xr3:uid="{13D0A423-3CAC-4729-B630-A808642AACCF}" name="1/7/2021" dataDxfId="51"/>
    <tableColumn id="7" xr3:uid="{A4079921-06AB-4CB4-A865-59FBAAA73ADF}" name="8/7/2021" dataDxfId="50"/>
    <tableColumn id="8" xr3:uid="{FC51B49F-9310-41A8-A7FA-1B99D2B84995}" name="15/8/2021" dataDxfId="49"/>
    <tableColumn id="9" xr3:uid="{EAF594B6-62DA-4E24-8356-2EE2B716B6A8}" name="22/7/2021" dataDxfId="48"/>
    <tableColumn id="10" xr3:uid="{B06AB357-2726-4BE3-8231-E0FABBA57954}" name="29/7/2021" dataDxfId="47"/>
    <tableColumn id="11" xr3:uid="{93C43CF8-689D-49CD-8568-CB95AD651014}" name="5/8/2021" dataDxfId="46"/>
    <tableColumn id="12" xr3:uid="{9907FC53-8D25-429E-9451-2BDB3F5743F6}" name="12/8/2021" dataDxfId="45"/>
    <tableColumn id="13" xr3:uid="{60B649E6-FE44-447C-949C-234B246F9541}" name="19/8/2021" dataDxfId="44"/>
    <tableColumn id="14" xr3:uid="{D2A08EAC-576F-46B3-BBA0-50DFE80A5020}" name="26/8/2021" dataDxfId="43"/>
    <tableColumn id="15" xr3:uid="{06BC330A-979B-4580-8DBF-BB1582623520}" name="2/9/2021" dataDxfId="42"/>
    <tableColumn id="16" xr3:uid="{4E1B9E96-80C4-43E0-AAB2-F1A80D27EAD9}" name="9/9/2021"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7734375" defaultRowHeight="15" customHeight="1" x14ac:dyDescent="0.4"/>
  <cols>
    <col min="1" max="1" width="3.6640625" customWidth="1"/>
    <col min="2" max="2" width="18.6640625" customWidth="1"/>
    <col min="3" max="6" width="8.71875" customWidth="1"/>
    <col min="7" max="7" width="1.94140625" customWidth="1"/>
    <col min="8" max="8" width="8.71875" customWidth="1"/>
    <col min="9" max="9" width="3.6640625" customWidth="1"/>
    <col min="10" max="10" width="8.71875" customWidth="1"/>
    <col min="11" max="11" width="1.94140625" customWidth="1"/>
    <col min="12" max="26" width="8.71875" customWidth="1"/>
  </cols>
  <sheetData>
    <row r="1" spans="1:26" ht="20" x14ac:dyDescent="0.4">
      <c r="A1" s="1"/>
      <c r="B1" s="1"/>
      <c r="C1" s="1"/>
      <c r="D1" s="1"/>
      <c r="E1" s="1"/>
      <c r="F1" s="1"/>
      <c r="G1" s="1"/>
      <c r="H1" s="1"/>
      <c r="I1" s="1"/>
      <c r="J1" s="1"/>
      <c r="K1" s="1"/>
      <c r="L1" s="1"/>
      <c r="M1" s="1"/>
      <c r="N1" s="1"/>
      <c r="O1" s="1"/>
      <c r="P1" s="1"/>
      <c r="Q1" s="1"/>
      <c r="R1" s="1"/>
      <c r="S1" s="1"/>
      <c r="T1" s="1"/>
      <c r="U1" s="1"/>
      <c r="V1" s="1"/>
      <c r="W1" s="1"/>
      <c r="X1" s="1"/>
      <c r="Y1" s="1"/>
      <c r="Z1" s="1"/>
    </row>
    <row r="2" spans="1:26" ht="20" x14ac:dyDescent="0.4">
      <c r="A2" s="1"/>
      <c r="B2" s="1"/>
      <c r="C2" s="1"/>
      <c r="D2" s="1"/>
      <c r="E2" s="1"/>
      <c r="F2" s="1"/>
      <c r="G2" s="1"/>
      <c r="H2" s="1"/>
      <c r="I2" s="1"/>
      <c r="J2" s="1"/>
      <c r="K2" s="1"/>
      <c r="L2" s="1"/>
      <c r="M2" s="1"/>
      <c r="N2" s="1"/>
      <c r="O2" s="1"/>
      <c r="P2" s="1"/>
      <c r="Q2" s="1"/>
      <c r="R2" s="1"/>
      <c r="S2" s="1"/>
      <c r="T2" s="1"/>
      <c r="U2" s="1"/>
      <c r="V2" s="1"/>
      <c r="W2" s="1"/>
      <c r="X2" s="1"/>
      <c r="Y2" s="1"/>
      <c r="Z2" s="1"/>
    </row>
    <row r="3" spans="1:26" ht="20" x14ac:dyDescent="0.4">
      <c r="A3" s="1"/>
      <c r="B3" s="1"/>
      <c r="C3" s="1"/>
      <c r="D3" s="1"/>
      <c r="E3" s="1"/>
      <c r="F3" s="1"/>
      <c r="G3" s="1"/>
      <c r="H3" s="1"/>
      <c r="I3" s="1"/>
      <c r="J3" s="1"/>
      <c r="K3" s="1"/>
      <c r="L3" s="1"/>
      <c r="M3" s="1"/>
      <c r="N3" s="1"/>
      <c r="O3" s="1"/>
      <c r="P3" s="1"/>
      <c r="Q3" s="1"/>
      <c r="R3" s="1"/>
      <c r="S3" s="1"/>
      <c r="T3" s="1"/>
      <c r="U3" s="1"/>
      <c r="V3" s="1"/>
      <c r="W3" s="1"/>
      <c r="X3" s="1"/>
      <c r="Y3" s="1"/>
      <c r="Z3" s="1"/>
    </row>
    <row r="4" spans="1:26" ht="20" x14ac:dyDescent="0.4">
      <c r="A4" s="1"/>
      <c r="B4" s="1"/>
      <c r="C4" s="1"/>
      <c r="D4" s="1"/>
      <c r="E4" s="1"/>
      <c r="F4" s="1"/>
      <c r="G4" s="1"/>
      <c r="H4" s="1"/>
      <c r="I4" s="1"/>
      <c r="J4" s="1"/>
      <c r="K4" s="1"/>
      <c r="L4" s="1"/>
      <c r="M4" s="1"/>
      <c r="N4" s="1"/>
      <c r="O4" s="1"/>
      <c r="P4" s="1"/>
      <c r="Q4" s="1"/>
      <c r="R4" s="1"/>
      <c r="S4" s="1"/>
      <c r="T4" s="1"/>
      <c r="U4" s="1"/>
      <c r="V4" s="1"/>
      <c r="W4" s="1"/>
      <c r="X4" s="1"/>
      <c r="Y4" s="1"/>
      <c r="Z4" s="1"/>
    </row>
    <row r="5" spans="1:26" ht="20" x14ac:dyDescent="0.4">
      <c r="A5" s="1"/>
      <c r="B5" s="1"/>
      <c r="C5" s="1"/>
      <c r="D5" s="1"/>
      <c r="E5" s="1"/>
      <c r="F5" s="1"/>
      <c r="G5" s="1"/>
      <c r="H5" s="1"/>
      <c r="I5" s="1"/>
      <c r="J5" s="1"/>
      <c r="K5" s="1"/>
      <c r="L5" s="1"/>
      <c r="M5" s="1"/>
      <c r="N5" s="1"/>
      <c r="O5" s="1"/>
      <c r="P5" s="1"/>
      <c r="Q5" s="1"/>
      <c r="R5" s="1"/>
      <c r="S5" s="1"/>
      <c r="T5" s="1"/>
      <c r="U5" s="1"/>
      <c r="V5" s="1"/>
      <c r="W5" s="1"/>
      <c r="X5" s="1"/>
      <c r="Y5" s="1"/>
      <c r="Z5" s="1"/>
    </row>
    <row r="6" spans="1:26" ht="20" x14ac:dyDescent="0.4">
      <c r="A6" s="1"/>
      <c r="B6" s="1"/>
      <c r="C6" s="1"/>
      <c r="D6" s="1"/>
      <c r="E6" s="1"/>
      <c r="F6" s="1"/>
      <c r="G6" s="1"/>
      <c r="H6" s="1"/>
      <c r="I6" s="1"/>
      <c r="J6" s="1"/>
      <c r="K6" s="1"/>
      <c r="L6" s="1"/>
      <c r="M6" s="1"/>
      <c r="N6" s="1"/>
      <c r="O6" s="1"/>
      <c r="P6" s="1"/>
      <c r="Q6" s="1"/>
      <c r="R6" s="1"/>
      <c r="S6" s="1"/>
      <c r="T6" s="1"/>
      <c r="U6" s="1"/>
      <c r="V6" s="1"/>
      <c r="W6" s="1"/>
      <c r="X6" s="1"/>
      <c r="Y6" s="1"/>
      <c r="Z6" s="1"/>
    </row>
    <row r="7" spans="1:26" ht="20" x14ac:dyDescent="0.4">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
      <c r="A8" s="1"/>
      <c r="B8" s="1"/>
      <c r="C8" s="212" t="s">
        <v>0</v>
      </c>
      <c r="D8" s="213"/>
      <c r="E8" s="214"/>
      <c r="F8" s="2"/>
      <c r="G8" s="3"/>
      <c r="H8" s="4"/>
      <c r="I8" s="4"/>
      <c r="J8" s="4"/>
      <c r="K8" s="5"/>
      <c r="L8" s="1"/>
      <c r="M8" s="1"/>
      <c r="N8" s="1"/>
      <c r="O8" s="1"/>
      <c r="P8" s="1"/>
      <c r="Q8" s="1"/>
      <c r="R8" s="1"/>
      <c r="S8" s="1"/>
      <c r="T8" s="1"/>
      <c r="U8" s="1"/>
      <c r="V8" s="1"/>
      <c r="W8" s="1"/>
      <c r="X8" s="1"/>
      <c r="Y8" s="1"/>
      <c r="Z8" s="1"/>
    </row>
    <row r="9" spans="1:26" ht="20" x14ac:dyDescent="0.4">
      <c r="A9" s="1"/>
      <c r="B9" s="1"/>
      <c r="C9" s="1"/>
      <c r="D9" s="1"/>
      <c r="E9" s="1"/>
      <c r="F9" s="1"/>
      <c r="G9" s="6"/>
      <c r="H9" s="215" t="s">
        <v>1</v>
      </c>
      <c r="I9" s="216"/>
      <c r="J9" s="217"/>
      <c r="K9" s="7"/>
      <c r="L9" s="1"/>
      <c r="M9" s="1"/>
      <c r="N9" s="1"/>
      <c r="O9" s="1"/>
      <c r="P9" s="1"/>
      <c r="Q9" s="1"/>
      <c r="R9" s="1"/>
      <c r="S9" s="1"/>
      <c r="T9" s="1"/>
      <c r="U9" s="1"/>
      <c r="V9" s="1"/>
      <c r="W9" s="1"/>
      <c r="X9" s="1"/>
      <c r="Y9" s="1"/>
      <c r="Z9" s="1"/>
    </row>
    <row r="10" spans="1:26" ht="20" x14ac:dyDescent="0.4">
      <c r="A10" s="1"/>
      <c r="B10" s="1"/>
      <c r="C10" s="1"/>
      <c r="D10" s="1"/>
      <c r="E10" s="1"/>
      <c r="F10" s="1"/>
      <c r="G10" s="6"/>
      <c r="H10" s="218"/>
      <c r="I10" s="219"/>
      <c r="J10" s="220"/>
      <c r="K10" s="7"/>
      <c r="L10" s="1"/>
      <c r="M10" s="1"/>
      <c r="N10" s="1"/>
      <c r="O10" s="1"/>
      <c r="P10" s="1"/>
      <c r="Q10" s="1"/>
      <c r="R10" s="1"/>
      <c r="S10" s="1"/>
      <c r="T10" s="1"/>
      <c r="U10" s="1"/>
      <c r="V10" s="1"/>
      <c r="W10" s="1"/>
      <c r="X10" s="1"/>
      <c r="Y10" s="1"/>
      <c r="Z10" s="1"/>
    </row>
    <row r="11" spans="1:26" ht="15" customHeight="1" x14ac:dyDescent="0.4">
      <c r="A11" s="1"/>
      <c r="B11" s="8" t="s">
        <v>2</v>
      </c>
      <c r="C11" s="209" t="s">
        <v>3</v>
      </c>
      <c r="D11" s="210"/>
      <c r="E11" s="211"/>
      <c r="F11" s="9"/>
      <c r="G11" s="6"/>
      <c r="H11" s="10"/>
      <c r="I11" s="10"/>
      <c r="J11" s="10"/>
      <c r="K11" s="7"/>
      <c r="L11" s="1"/>
      <c r="M11" s="1"/>
      <c r="N11" s="1"/>
      <c r="O11" s="1"/>
      <c r="P11" s="1"/>
      <c r="Q11" s="1"/>
      <c r="R11" s="1"/>
      <c r="S11" s="1"/>
      <c r="T11" s="1"/>
      <c r="U11" s="1"/>
      <c r="V11" s="1"/>
      <c r="W11" s="1"/>
      <c r="X11" s="1"/>
      <c r="Y11" s="1"/>
      <c r="Z11" s="1"/>
    </row>
    <row r="12" spans="1:26" ht="15" customHeight="1" x14ac:dyDescent="0.4">
      <c r="A12" s="1"/>
      <c r="B12" s="11"/>
      <c r="C12" s="1"/>
      <c r="D12" s="1"/>
      <c r="E12" s="1"/>
      <c r="F12" s="1"/>
      <c r="G12" s="6"/>
      <c r="H12" s="221" t="s">
        <v>4</v>
      </c>
      <c r="I12" s="222"/>
      <c r="J12" s="222"/>
      <c r="K12" s="7"/>
      <c r="L12" s="1"/>
      <c r="M12" s="1"/>
      <c r="N12" s="1"/>
      <c r="O12" s="1"/>
      <c r="P12" s="1"/>
      <c r="Q12" s="1"/>
      <c r="R12" s="1"/>
      <c r="S12" s="1"/>
      <c r="T12" s="1"/>
      <c r="U12" s="1"/>
      <c r="V12" s="1"/>
      <c r="W12" s="1"/>
      <c r="X12" s="1"/>
      <c r="Y12" s="1"/>
      <c r="Z12" s="1"/>
    </row>
    <row r="13" spans="1:26" ht="20" x14ac:dyDescent="0.4">
      <c r="A13" s="1"/>
      <c r="B13" s="8" t="s">
        <v>5</v>
      </c>
      <c r="C13" s="209"/>
      <c r="D13" s="210"/>
      <c r="E13" s="211"/>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 x14ac:dyDescent="0.4">
      <c r="A15" s="1"/>
      <c r="B15" s="8" t="s">
        <v>8</v>
      </c>
      <c r="C15" s="209" t="s">
        <v>9</v>
      </c>
      <c r="D15" s="210"/>
      <c r="E15" s="211"/>
      <c r="F15" s="9"/>
      <c r="G15" s="6"/>
      <c r="H15" s="10"/>
      <c r="I15" s="10"/>
      <c r="J15" s="10"/>
      <c r="K15" s="7"/>
      <c r="L15" s="1"/>
      <c r="M15" s="1"/>
      <c r="N15" s="1"/>
      <c r="O15" s="1"/>
      <c r="P15" s="1"/>
      <c r="Q15" s="1"/>
      <c r="R15" s="1"/>
      <c r="S15" s="1"/>
      <c r="T15" s="1"/>
      <c r="U15" s="1"/>
      <c r="V15" s="1"/>
      <c r="W15" s="1"/>
      <c r="X15" s="1"/>
      <c r="Y15" s="1"/>
      <c r="Z15" s="1"/>
    </row>
    <row r="16" spans="1:26" ht="15" customHeight="1" x14ac:dyDescent="0.4">
      <c r="A16" s="1"/>
      <c r="B16" s="11"/>
      <c r="C16" s="1"/>
      <c r="D16" s="1"/>
      <c r="E16" s="1"/>
      <c r="F16" s="1"/>
      <c r="G16" s="6"/>
      <c r="H16" s="223" t="s">
        <v>10</v>
      </c>
      <c r="I16" s="222"/>
      <c r="J16" s="222"/>
      <c r="K16" s="7"/>
      <c r="L16" s="1"/>
      <c r="M16" s="1"/>
      <c r="N16" s="1"/>
      <c r="O16" s="1"/>
      <c r="P16" s="1"/>
      <c r="Q16" s="1"/>
      <c r="R16" s="1"/>
      <c r="S16" s="1"/>
      <c r="T16" s="1"/>
      <c r="U16" s="1"/>
      <c r="V16" s="1"/>
      <c r="W16" s="1"/>
      <c r="X16" s="1"/>
      <c r="Y16" s="1"/>
      <c r="Z16" s="1"/>
    </row>
    <row r="17" spans="1:26" ht="20" x14ac:dyDescent="0.4">
      <c r="A17" s="1"/>
      <c r="B17" s="8" t="s">
        <v>11</v>
      </c>
      <c r="C17" s="209" t="s">
        <v>12</v>
      </c>
      <c r="D17" s="210"/>
      <c r="E17" s="211"/>
      <c r="F17" s="9"/>
      <c r="G17" s="6"/>
      <c r="H17" s="10"/>
      <c r="I17" s="10"/>
      <c r="J17" s="10"/>
      <c r="K17" s="7"/>
      <c r="L17" s="1"/>
      <c r="M17" s="1"/>
      <c r="N17" s="1"/>
      <c r="O17" s="1"/>
      <c r="P17" s="1"/>
      <c r="Q17" s="1"/>
      <c r="R17" s="1"/>
      <c r="S17" s="1"/>
      <c r="T17" s="1"/>
      <c r="U17" s="1"/>
      <c r="V17" s="1"/>
      <c r="W17" s="1"/>
      <c r="X17" s="1"/>
      <c r="Y17" s="1"/>
      <c r="Z17" s="1"/>
    </row>
    <row r="18" spans="1:26" ht="20" x14ac:dyDescent="0.4">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 x14ac:dyDescent="0.4">
      <c r="A19" s="1"/>
      <c r="B19" s="8" t="s">
        <v>13</v>
      </c>
      <c r="C19" s="209"/>
      <c r="D19" s="210"/>
      <c r="E19" s="211"/>
      <c r="F19" s="9"/>
      <c r="G19" s="6"/>
      <c r="H19" s="13">
        <v>44326</v>
      </c>
      <c r="I19" s="10"/>
      <c r="J19" s="13">
        <v>44439</v>
      </c>
      <c r="K19" s="7"/>
      <c r="L19" s="1"/>
      <c r="M19" s="1"/>
      <c r="N19" s="1"/>
      <c r="O19" s="1"/>
      <c r="P19" s="1"/>
      <c r="Q19" s="1"/>
      <c r="R19" s="1"/>
      <c r="S19" s="1"/>
      <c r="T19" s="1"/>
      <c r="U19" s="1"/>
      <c r="V19" s="1"/>
      <c r="W19" s="1"/>
      <c r="X19" s="1"/>
      <c r="Y19" s="1"/>
      <c r="Z19" s="1"/>
    </row>
    <row r="20" spans="1:26" ht="20" x14ac:dyDescent="0.4">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
      <c r="A21" s="1"/>
      <c r="B21" s="8" t="s">
        <v>14</v>
      </c>
      <c r="C21" s="209" t="s">
        <v>15</v>
      </c>
      <c r="D21" s="210"/>
      <c r="E21" s="211"/>
      <c r="F21" s="9"/>
      <c r="G21" s="6"/>
      <c r="H21" s="223" t="s">
        <v>16</v>
      </c>
      <c r="I21" s="222"/>
      <c r="J21" s="222"/>
      <c r="K21" s="7"/>
      <c r="L21" s="1"/>
      <c r="M21" s="1"/>
      <c r="N21" s="1"/>
      <c r="O21" s="1"/>
      <c r="P21" s="1"/>
      <c r="Q21" s="1"/>
      <c r="R21" s="1"/>
      <c r="S21" s="1"/>
      <c r="T21" s="1"/>
      <c r="U21" s="1"/>
      <c r="V21" s="1"/>
      <c r="W21" s="1"/>
      <c r="X21" s="1"/>
      <c r="Y21" s="1"/>
      <c r="Z21" s="1"/>
    </row>
    <row r="22" spans="1:26" ht="15.75" customHeight="1" x14ac:dyDescent="0.4">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
      <c r="A23" s="1"/>
      <c r="B23" s="8" t="s">
        <v>17</v>
      </c>
      <c r="C23" s="209" t="s">
        <v>18</v>
      </c>
      <c r="D23" s="210"/>
      <c r="E23" s="211"/>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
      <c r="A25" s="1"/>
      <c r="B25" s="8" t="s">
        <v>19</v>
      </c>
      <c r="C25" s="209"/>
      <c r="D25" s="210"/>
      <c r="E25" s="211"/>
      <c r="F25" s="9"/>
      <c r="G25" s="14"/>
      <c r="H25" s="15"/>
      <c r="I25" s="15"/>
      <c r="J25" s="15"/>
      <c r="K25" s="16"/>
      <c r="L25" s="1"/>
      <c r="M25" s="1"/>
      <c r="N25" s="1"/>
      <c r="O25" s="1"/>
      <c r="P25" s="1"/>
      <c r="Q25" s="1"/>
      <c r="R25" s="1"/>
      <c r="S25" s="1"/>
      <c r="T25" s="1"/>
      <c r="U25" s="1"/>
      <c r="V25" s="1"/>
      <c r="W25" s="1"/>
      <c r="X25" s="1"/>
      <c r="Y25" s="1"/>
      <c r="Z25" s="1"/>
    </row>
    <row r="26" spans="1:26" ht="15.75" customHeight="1" x14ac:dyDescent="0.4">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
      <c r="A27" s="1"/>
      <c r="B27" s="8" t="s">
        <v>20</v>
      </c>
      <c r="C27" s="209">
        <v>2021</v>
      </c>
      <c r="D27" s="210"/>
      <c r="E27" s="211"/>
      <c r="F27" s="9"/>
      <c r="G27" s="1"/>
      <c r="H27" s="1"/>
      <c r="I27" s="1"/>
      <c r="J27" s="1"/>
      <c r="K27" s="1"/>
      <c r="L27" s="1"/>
      <c r="M27" s="1"/>
      <c r="N27" s="1"/>
      <c r="O27" s="1"/>
      <c r="P27" s="1"/>
      <c r="Q27" s="1"/>
      <c r="R27" s="1"/>
      <c r="S27" s="1"/>
      <c r="T27" s="1"/>
      <c r="U27" s="1"/>
      <c r="V27" s="1"/>
      <c r="W27" s="1"/>
      <c r="X27" s="1"/>
      <c r="Y27" s="1"/>
      <c r="Z27" s="1"/>
    </row>
    <row r="28" spans="1:26" ht="15.75" customHeight="1" x14ac:dyDescent="0.4">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7734375" defaultRowHeight="15" customHeight="1" x14ac:dyDescent="0.4"/>
  <cols>
    <col min="1" max="1" width="2" customWidth="1"/>
    <col min="2" max="2" width="23.71875" customWidth="1"/>
    <col min="3" max="3" width="8.0546875" customWidth="1"/>
    <col min="4" max="4" width="3.94140625" hidden="1" customWidth="1"/>
    <col min="5" max="5" width="8.94140625" customWidth="1"/>
    <col min="6" max="6" width="10.94140625" customWidth="1"/>
    <col min="7" max="8" width="8.71875" customWidth="1"/>
    <col min="9" max="9" width="9.71875" customWidth="1"/>
    <col min="10" max="26" width="8.71875" customWidth="1"/>
  </cols>
  <sheetData>
    <row r="1" spans="1:26" ht="7.5" customHeight="1" x14ac:dyDescent="0.4">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
      <c r="A2" s="20"/>
      <c r="B2" s="226" t="s">
        <v>21</v>
      </c>
      <c r="C2" s="222"/>
      <c r="D2" s="222"/>
      <c r="E2" s="222"/>
      <c r="F2" s="222"/>
      <c r="G2" s="222"/>
      <c r="H2" s="222"/>
      <c r="I2" s="222"/>
      <c r="J2" s="19"/>
      <c r="K2" s="19"/>
      <c r="L2" s="19"/>
      <c r="M2" s="19"/>
      <c r="N2" s="19"/>
      <c r="O2" s="19"/>
      <c r="P2" s="19"/>
      <c r="Q2" s="19"/>
      <c r="R2" s="19"/>
      <c r="S2" s="19"/>
      <c r="T2" s="19"/>
      <c r="U2" s="19"/>
      <c r="V2" s="19"/>
      <c r="W2" s="19"/>
      <c r="X2" s="19"/>
      <c r="Y2" s="19"/>
      <c r="Z2" s="19"/>
    </row>
    <row r="3" spans="1:26" ht="4.5" customHeight="1" x14ac:dyDescent="0.4">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
      <c r="A4" s="20"/>
      <c r="B4" s="21" t="s">
        <v>8</v>
      </c>
      <c r="C4" s="224" t="str">
        <f>CARÁTULA!$C$15</f>
        <v>Instituto Tecnico Humanistico Jauzel Arrieta</v>
      </c>
      <c r="D4" s="222"/>
      <c r="E4" s="222"/>
      <c r="F4" s="22" t="s">
        <v>19</v>
      </c>
      <c r="G4" s="224">
        <f>CARÁTULA!$C$25</f>
        <v>0</v>
      </c>
      <c r="H4" s="222"/>
      <c r="I4" s="222"/>
      <c r="J4" s="19"/>
      <c r="K4" s="19"/>
      <c r="L4" s="19"/>
      <c r="M4" s="19"/>
      <c r="N4" s="19"/>
      <c r="O4" s="19"/>
      <c r="P4" s="19"/>
      <c r="Q4" s="19"/>
      <c r="R4" s="19"/>
      <c r="S4" s="19"/>
      <c r="T4" s="19"/>
      <c r="U4" s="19"/>
      <c r="V4" s="19"/>
      <c r="W4" s="19"/>
      <c r="X4" s="19"/>
      <c r="Y4" s="19"/>
      <c r="Z4" s="19"/>
    </row>
    <row r="5" spans="1:26" ht="12" customHeight="1" x14ac:dyDescent="0.4">
      <c r="A5" s="20"/>
      <c r="B5" s="21" t="s">
        <v>14</v>
      </c>
      <c r="C5" s="224" t="str">
        <f>CARÁTULA!$C$21</f>
        <v>Secundaria</v>
      </c>
      <c r="D5" s="222"/>
      <c r="E5" s="222"/>
      <c r="F5" s="22" t="s">
        <v>13</v>
      </c>
      <c r="G5" s="224">
        <f>CARÁTULA!$C$19</f>
        <v>0</v>
      </c>
      <c r="H5" s="222"/>
      <c r="I5" s="222"/>
      <c r="J5" s="19"/>
      <c r="K5" s="19"/>
      <c r="L5" s="19"/>
      <c r="M5" s="19"/>
      <c r="N5" s="19"/>
      <c r="O5" s="19"/>
      <c r="P5" s="19"/>
      <c r="Q5" s="19"/>
      <c r="R5" s="19"/>
      <c r="S5" s="19"/>
      <c r="T5" s="19"/>
      <c r="U5" s="19"/>
      <c r="V5" s="19"/>
      <c r="W5" s="19"/>
      <c r="X5" s="19"/>
      <c r="Y5" s="19"/>
      <c r="Z5" s="19"/>
    </row>
    <row r="6" spans="1:26" ht="12" customHeight="1" x14ac:dyDescent="0.4">
      <c r="A6" s="20"/>
      <c r="B6" s="21" t="s">
        <v>22</v>
      </c>
      <c r="C6" s="224" t="str">
        <f>CARÁTULA!$C$23</f>
        <v>2do de Secundaria</v>
      </c>
      <c r="D6" s="222"/>
      <c r="E6" s="222"/>
      <c r="F6" s="22" t="s">
        <v>23</v>
      </c>
      <c r="G6" s="225">
        <f ca="1">TODAY()</f>
        <v>44453</v>
      </c>
      <c r="H6" s="222"/>
      <c r="I6" s="222"/>
      <c r="J6" s="19"/>
      <c r="K6" s="19"/>
      <c r="L6" s="19"/>
      <c r="M6" s="19"/>
      <c r="N6" s="19"/>
      <c r="O6" s="19"/>
      <c r="P6" s="19"/>
      <c r="Q6" s="19"/>
      <c r="R6" s="19"/>
      <c r="S6" s="19"/>
      <c r="T6" s="19"/>
      <c r="U6" s="19"/>
      <c r="V6" s="19"/>
      <c r="W6" s="19"/>
      <c r="X6" s="19"/>
      <c r="Y6" s="19"/>
      <c r="Z6" s="19"/>
    </row>
    <row r="7" spans="1:26" ht="15" customHeight="1" x14ac:dyDescent="0.4">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
      <c r="A8" s="27">
        <v>1</v>
      </c>
      <c r="B8" s="28" t="s">
        <v>32</v>
      </c>
      <c r="C8" s="29"/>
      <c r="D8" s="30">
        <f t="shared" ref="D8:D43" ca="1" si="0">TODAY()</f>
        <v>44453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
      <c r="A9" s="27">
        <v>2</v>
      </c>
      <c r="B9" s="28" t="s">
        <v>33</v>
      </c>
      <c r="C9" s="35"/>
      <c r="D9" s="30">
        <f t="shared" ca="1" si="0"/>
        <v>44453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
      <c r="A10" s="27">
        <v>3</v>
      </c>
      <c r="B10" s="28" t="s">
        <v>34</v>
      </c>
      <c r="C10" s="35"/>
      <c r="D10" s="30">
        <f t="shared" ca="1" si="0"/>
        <v>44453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
      <c r="A11" s="27">
        <v>4</v>
      </c>
      <c r="B11" s="28" t="s">
        <v>35</v>
      </c>
      <c r="C11" s="35"/>
      <c r="D11" s="30">
        <f t="shared" ca="1" si="0"/>
        <v>44453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
      <c r="A12" s="27">
        <v>5</v>
      </c>
      <c r="B12" s="28" t="s">
        <v>36</v>
      </c>
      <c r="C12" s="35"/>
      <c r="D12" s="30">
        <f t="shared" ca="1" si="0"/>
        <v>44453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
      <c r="A13" s="27">
        <v>6</v>
      </c>
      <c r="B13" s="28" t="s">
        <v>37</v>
      </c>
      <c r="C13" s="35"/>
      <c r="D13" s="30">
        <f t="shared" ca="1" si="0"/>
        <v>44453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
      <c r="A14" s="27">
        <v>7</v>
      </c>
      <c r="B14" s="28" t="s">
        <v>38</v>
      </c>
      <c r="C14" s="35"/>
      <c r="D14" s="30">
        <f t="shared" ca="1" si="0"/>
        <v>44453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
      <c r="A15" s="27">
        <v>8</v>
      </c>
      <c r="B15" s="28" t="s">
        <v>39</v>
      </c>
      <c r="C15" s="35"/>
      <c r="D15" s="30">
        <f t="shared" ca="1" si="0"/>
        <v>44453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
      <c r="A16" s="27">
        <v>9</v>
      </c>
      <c r="B16" s="28" t="s">
        <v>40</v>
      </c>
      <c r="C16" s="35"/>
      <c r="D16" s="30">
        <f t="shared" ca="1" si="0"/>
        <v>44453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
      <c r="A17" s="27">
        <v>10</v>
      </c>
      <c r="B17" s="28" t="s">
        <v>41</v>
      </c>
      <c r="C17" s="35"/>
      <c r="D17" s="30">
        <f t="shared" ca="1" si="0"/>
        <v>44453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
      <c r="A18" s="27">
        <v>11</v>
      </c>
      <c r="B18" s="28" t="s">
        <v>42</v>
      </c>
      <c r="C18" s="35"/>
      <c r="D18" s="30">
        <f t="shared" ca="1" si="0"/>
        <v>44453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
      <c r="A19" s="27">
        <v>12</v>
      </c>
      <c r="B19" s="28" t="s">
        <v>43</v>
      </c>
      <c r="C19" s="35"/>
      <c r="D19" s="30">
        <f t="shared" ca="1" si="0"/>
        <v>44453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
      <c r="A20" s="27">
        <v>13</v>
      </c>
      <c r="B20" s="28" t="s">
        <v>44</v>
      </c>
      <c r="C20" s="35"/>
      <c r="D20" s="30">
        <f t="shared" ca="1" si="0"/>
        <v>44453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
      <c r="A21" s="27">
        <v>14</v>
      </c>
      <c r="B21" s="28" t="s">
        <v>45</v>
      </c>
      <c r="C21" s="35"/>
      <c r="D21" s="30">
        <f t="shared" ca="1" si="0"/>
        <v>44453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
      <c r="A22" s="27">
        <v>15</v>
      </c>
      <c r="B22" s="28" t="s">
        <v>46</v>
      </c>
      <c r="C22" s="35"/>
      <c r="D22" s="30">
        <f t="shared" ca="1" si="0"/>
        <v>44453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
      <c r="A23" s="27">
        <v>16</v>
      </c>
      <c r="B23" s="28" t="s">
        <v>47</v>
      </c>
      <c r="C23" s="35"/>
      <c r="D23" s="30">
        <f t="shared" ca="1" si="0"/>
        <v>44453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
      <c r="A24" s="27">
        <v>17</v>
      </c>
      <c r="B24" s="36"/>
      <c r="C24" s="35"/>
      <c r="D24" s="30">
        <f t="shared" ca="1" si="0"/>
        <v>44453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
      <c r="A25" s="27">
        <v>18</v>
      </c>
      <c r="B25" s="36"/>
      <c r="C25" s="35"/>
      <c r="D25" s="30">
        <f t="shared" ca="1" si="0"/>
        <v>44453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
      <c r="A26" s="27">
        <v>19</v>
      </c>
      <c r="B26" s="36"/>
      <c r="C26" s="35"/>
      <c r="D26" s="30">
        <f t="shared" ca="1" si="0"/>
        <v>44453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
      <c r="A27" s="27">
        <v>20</v>
      </c>
      <c r="B27" s="36"/>
      <c r="C27" s="35"/>
      <c r="D27" s="30">
        <f t="shared" ca="1" si="0"/>
        <v>44453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
      <c r="A28" s="27">
        <v>21</v>
      </c>
      <c r="B28" s="36"/>
      <c r="C28" s="35"/>
      <c r="D28" s="30">
        <f t="shared" ca="1" si="0"/>
        <v>44453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
      <c r="A29" s="27">
        <v>22</v>
      </c>
      <c r="B29" s="36"/>
      <c r="C29" s="35"/>
      <c r="D29" s="30">
        <f t="shared" ca="1" si="0"/>
        <v>44453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
      <c r="A30" s="27">
        <v>23</v>
      </c>
      <c r="B30" s="36"/>
      <c r="C30" s="35"/>
      <c r="D30" s="30">
        <f t="shared" ca="1" si="0"/>
        <v>44453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
      <c r="A31" s="27">
        <v>24</v>
      </c>
      <c r="B31" s="36"/>
      <c r="C31" s="35"/>
      <c r="D31" s="30">
        <f t="shared" ca="1" si="0"/>
        <v>44453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
      <c r="A32" s="27">
        <v>25</v>
      </c>
      <c r="B32" s="36"/>
      <c r="C32" s="35"/>
      <c r="D32" s="30">
        <f t="shared" ca="1" si="0"/>
        <v>44453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
      <c r="A33" s="27">
        <v>26</v>
      </c>
      <c r="B33" s="36"/>
      <c r="C33" s="35"/>
      <c r="D33" s="30">
        <f t="shared" ca="1" si="0"/>
        <v>44453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
      <c r="A34" s="27">
        <v>27</v>
      </c>
      <c r="B34" s="36"/>
      <c r="C34" s="35"/>
      <c r="D34" s="30">
        <f t="shared" ca="1" si="0"/>
        <v>44453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
      <c r="A35" s="27">
        <v>28</v>
      </c>
      <c r="B35" s="36"/>
      <c r="C35" s="35"/>
      <c r="D35" s="30">
        <f t="shared" ca="1" si="0"/>
        <v>44453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
      <c r="A36" s="27">
        <v>29</v>
      </c>
      <c r="B36" s="36"/>
      <c r="C36" s="35"/>
      <c r="D36" s="30">
        <f t="shared" ca="1" si="0"/>
        <v>44453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
      <c r="A37" s="27">
        <v>30</v>
      </c>
      <c r="B37" s="36"/>
      <c r="C37" s="35"/>
      <c r="D37" s="30">
        <f t="shared" ca="1" si="0"/>
        <v>44453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
      <c r="A38" s="27">
        <v>31</v>
      </c>
      <c r="B38" s="36"/>
      <c r="C38" s="35"/>
      <c r="D38" s="30">
        <f t="shared" ca="1" si="0"/>
        <v>44453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
      <c r="A39" s="27">
        <v>32</v>
      </c>
      <c r="B39" s="36"/>
      <c r="C39" s="35"/>
      <c r="D39" s="30">
        <f t="shared" ca="1" si="0"/>
        <v>44453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
      <c r="A40" s="27">
        <v>33</v>
      </c>
      <c r="B40" s="36"/>
      <c r="C40" s="35"/>
      <c r="D40" s="30">
        <f t="shared" ca="1" si="0"/>
        <v>44453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
      <c r="A41" s="27">
        <v>34</v>
      </c>
      <c r="B41" s="36"/>
      <c r="C41" s="35"/>
      <c r="D41" s="30">
        <f t="shared" ca="1" si="0"/>
        <v>44453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
      <c r="A42" s="27">
        <v>35</v>
      </c>
      <c r="B42" s="36"/>
      <c r="C42" s="35"/>
      <c r="D42" s="30">
        <f t="shared" ca="1" si="0"/>
        <v>44453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
      <c r="A43" s="27">
        <v>36</v>
      </c>
      <c r="B43" s="36"/>
      <c r="C43" s="35"/>
      <c r="D43" s="30">
        <f t="shared" ca="1" si="0"/>
        <v>44453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7734375" defaultRowHeight="15" customHeight="1" x14ac:dyDescent="0.4"/>
  <cols>
    <col min="1" max="1" width="1.6640625" customWidth="1"/>
    <col min="2" max="2" width="20.6640625" customWidth="1"/>
    <col min="3" max="52" width="1.27734375" customWidth="1"/>
    <col min="53" max="57" width="1.38671875" customWidth="1"/>
    <col min="58" max="61" width="1.6640625" customWidth="1"/>
  </cols>
  <sheetData>
    <row r="1" spans="1:61" ht="4.5" customHeight="1" x14ac:dyDescent="0.4"/>
    <row r="2" spans="1:61" ht="12.75" customHeight="1" x14ac:dyDescent="0.4">
      <c r="B2" s="226" t="s">
        <v>48</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27">
        <f>CARÁTULA!$H$14</f>
        <v>44228</v>
      </c>
      <c r="AU3" s="222"/>
      <c r="AV3" s="222"/>
      <c r="AW3" s="222"/>
      <c r="AX3" s="222"/>
      <c r="AY3" s="222"/>
      <c r="AZ3" s="222"/>
      <c r="BA3" s="228" t="s">
        <v>50</v>
      </c>
      <c r="BB3" s="229"/>
      <c r="BC3" s="229"/>
      <c r="BD3" s="229"/>
      <c r="BE3" s="230"/>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27">
        <f>CARÁTULA!$J$14</f>
        <v>44323</v>
      </c>
      <c r="AU4" s="222"/>
      <c r="AV4" s="222"/>
      <c r="AW4" s="222"/>
      <c r="AX4" s="222"/>
      <c r="AY4" s="222"/>
      <c r="AZ4" s="222"/>
      <c r="BA4" s="231">
        <f ca="1">AT4-AT5</f>
        <v>-130</v>
      </c>
      <c r="BB4" s="232"/>
      <c r="BC4" s="232"/>
      <c r="BD4" s="232"/>
      <c r="BE4" s="233"/>
    </row>
    <row r="5" spans="1:61" ht="12.75" customHeight="1" x14ac:dyDescent="0.4">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37">
        <f ca="1">TODAY()</f>
        <v>44453</v>
      </c>
      <c r="Y5" s="222"/>
      <c r="Z5" s="222"/>
      <c r="AA5" s="222"/>
      <c r="AB5" s="222"/>
      <c r="AC5" s="222"/>
      <c r="AD5" s="40"/>
      <c r="AE5" s="40"/>
      <c r="AF5" s="40"/>
      <c r="AG5" s="40"/>
      <c r="AH5" s="40"/>
      <c r="AI5" s="40"/>
      <c r="AJ5" s="40"/>
      <c r="AK5" s="45" t="s">
        <v>53</v>
      </c>
      <c r="AL5" s="46"/>
      <c r="AM5" s="46"/>
      <c r="AN5" s="46"/>
      <c r="AO5" s="46"/>
      <c r="AP5" s="46"/>
      <c r="AQ5" s="46"/>
      <c r="AR5" s="40"/>
      <c r="AS5" s="40"/>
      <c r="AT5" s="238">
        <f ca="1">TODAY()</f>
        <v>44453</v>
      </c>
      <c r="AU5" s="222"/>
      <c r="AV5" s="222"/>
      <c r="AW5" s="222"/>
      <c r="AX5" s="222"/>
      <c r="AY5" s="222"/>
      <c r="AZ5" s="222"/>
      <c r="BA5" s="234"/>
      <c r="BB5" s="235"/>
      <c r="BC5" s="235"/>
      <c r="BD5" s="235"/>
      <c r="BE5" s="236"/>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4">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4">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4">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4">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4">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4">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4">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4">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4">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4">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4">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4">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4">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4">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4">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4">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4">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workbookViewId="0">
      <selection activeCell="P22" sqref="P22"/>
    </sheetView>
  </sheetViews>
  <sheetFormatPr baseColWidth="10" defaultColWidth="9.27734375" defaultRowHeight="15" customHeight="1" x14ac:dyDescent="0.4"/>
  <cols>
    <col min="1" max="1" width="2.94140625" customWidth="1"/>
    <col min="2" max="2" width="20.6640625" customWidth="1"/>
    <col min="3" max="57" width="1.609375" customWidth="1"/>
    <col min="58" max="61" width="1.6640625" customWidth="1"/>
  </cols>
  <sheetData>
    <row r="1" spans="1:61" ht="4.5" customHeight="1" x14ac:dyDescent="0.4"/>
    <row r="2" spans="1:61" ht="12.75" customHeight="1" x14ac:dyDescent="0.4">
      <c r="B2" s="226" t="s">
        <v>64</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27">
        <f>CARÁTULA!$H$19</f>
        <v>44326</v>
      </c>
      <c r="AU3" s="222"/>
      <c r="AV3" s="222"/>
      <c r="AW3" s="222"/>
      <c r="AX3" s="222"/>
      <c r="AY3" s="222"/>
      <c r="AZ3" s="222"/>
      <c r="BA3" s="228" t="s">
        <v>50</v>
      </c>
      <c r="BB3" s="229"/>
      <c r="BC3" s="229"/>
      <c r="BD3" s="229"/>
      <c r="BE3" s="230"/>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27">
        <f>CARÁTULA!$J$19</f>
        <v>44439</v>
      </c>
      <c r="AU4" s="222"/>
      <c r="AV4" s="222"/>
      <c r="AW4" s="222"/>
      <c r="AX4" s="222"/>
      <c r="AY4" s="222"/>
      <c r="AZ4" s="222"/>
      <c r="BA4" s="239">
        <f ca="1">AT4-AT5</f>
        <v>-14</v>
      </c>
      <c r="BB4" s="232"/>
      <c r="BC4" s="232"/>
      <c r="BD4" s="232"/>
      <c r="BE4" s="233"/>
    </row>
    <row r="5" spans="1:61" ht="12.75" customHeight="1" x14ac:dyDescent="0.4">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40">
        <f ca="1">TODAY()</f>
        <v>44453</v>
      </c>
      <c r="Y5" s="222"/>
      <c r="Z5" s="222"/>
      <c r="AA5" s="222"/>
      <c r="AB5" s="222"/>
      <c r="AC5" s="222"/>
      <c r="AD5" s="40"/>
      <c r="AE5" s="40"/>
      <c r="AF5" s="40"/>
      <c r="AG5" s="40"/>
      <c r="AH5" s="40"/>
      <c r="AI5" s="40"/>
      <c r="AJ5" s="40"/>
      <c r="AK5" s="45" t="s">
        <v>53</v>
      </c>
      <c r="AL5" s="46"/>
      <c r="AM5" s="46"/>
      <c r="AN5" s="46"/>
      <c r="AO5" s="46"/>
      <c r="AP5" s="46"/>
      <c r="AQ5" s="46"/>
      <c r="AR5" s="40"/>
      <c r="AS5" s="40"/>
      <c r="AT5" s="238">
        <f ca="1">TODAY()</f>
        <v>44453</v>
      </c>
      <c r="AU5" s="222"/>
      <c r="AV5" s="222"/>
      <c r="AW5" s="222"/>
      <c r="AX5" s="222"/>
      <c r="AY5" s="222"/>
      <c r="AZ5" s="222"/>
      <c r="BA5" s="234"/>
      <c r="BB5" s="235"/>
      <c r="BC5" s="235"/>
      <c r="BD5" s="235"/>
      <c r="BE5" s="236"/>
    </row>
    <row r="6" spans="1:61" ht="3" customHeight="1" thickBo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4">
      <c r="A7" s="168" t="s">
        <v>54</v>
      </c>
      <c r="B7" s="171" t="s">
        <v>55</v>
      </c>
      <c r="C7" s="172" t="s">
        <v>182</v>
      </c>
      <c r="D7" s="173" t="s">
        <v>183</v>
      </c>
      <c r="E7" s="172" t="s">
        <v>184</v>
      </c>
      <c r="F7" s="172" t="s">
        <v>185</v>
      </c>
      <c r="G7" s="174" t="s">
        <v>186</v>
      </c>
      <c r="H7" s="174" t="s">
        <v>194</v>
      </c>
      <c r="I7" s="174" t="s">
        <v>187</v>
      </c>
      <c r="J7" s="174" t="s">
        <v>188</v>
      </c>
      <c r="K7" s="174" t="s">
        <v>189</v>
      </c>
      <c r="L7" s="174" t="s">
        <v>243</v>
      </c>
      <c r="M7" s="197" t="s">
        <v>245</v>
      </c>
      <c r="N7" s="198" t="s">
        <v>246</v>
      </c>
      <c r="O7" s="174" t="s">
        <v>247</v>
      </c>
      <c r="P7" s="174" t="s">
        <v>248</v>
      </c>
      <c r="Q7" s="175" t="s">
        <v>195</v>
      </c>
      <c r="R7" s="175" t="s">
        <v>196</v>
      </c>
      <c r="S7" s="175" t="s">
        <v>197</v>
      </c>
      <c r="T7" s="175" t="s">
        <v>198</v>
      </c>
      <c r="U7" s="175" t="s">
        <v>199</v>
      </c>
      <c r="V7" s="175" t="s">
        <v>200</v>
      </c>
      <c r="W7" s="175" t="s">
        <v>201</v>
      </c>
      <c r="X7" s="175" t="s">
        <v>202</v>
      </c>
      <c r="Y7" s="175" t="s">
        <v>203</v>
      </c>
      <c r="Z7" s="175" t="s">
        <v>204</v>
      </c>
      <c r="AA7" s="175" t="s">
        <v>205</v>
      </c>
      <c r="AB7" s="175" t="s">
        <v>206</v>
      </c>
      <c r="AC7" s="175" t="s">
        <v>207</v>
      </c>
      <c r="AD7" s="175" t="s">
        <v>208</v>
      </c>
      <c r="AE7" s="175" t="s">
        <v>209</v>
      </c>
      <c r="AF7" s="175" t="s">
        <v>210</v>
      </c>
      <c r="AG7" s="175" t="s">
        <v>211</v>
      </c>
      <c r="AH7" s="175" t="s">
        <v>212</v>
      </c>
      <c r="AI7" s="175" t="s">
        <v>213</v>
      </c>
      <c r="AJ7" s="175" t="s">
        <v>214</v>
      </c>
      <c r="AK7" s="175" t="s">
        <v>215</v>
      </c>
      <c r="AL7" s="175" t="s">
        <v>216</v>
      </c>
      <c r="AM7" s="175" t="s">
        <v>217</v>
      </c>
      <c r="AN7" s="175" t="s">
        <v>218</v>
      </c>
      <c r="AO7" s="175" t="s">
        <v>219</v>
      </c>
      <c r="AP7" s="175" t="s">
        <v>220</v>
      </c>
      <c r="AQ7" s="175" t="s">
        <v>221</v>
      </c>
      <c r="AR7" s="175" t="s">
        <v>222</v>
      </c>
      <c r="AS7" s="175" t="s">
        <v>223</v>
      </c>
      <c r="AT7" s="175" t="s">
        <v>224</v>
      </c>
      <c r="AU7" s="175" t="s">
        <v>225</v>
      </c>
      <c r="AV7" s="175" t="s">
        <v>226</v>
      </c>
      <c r="AW7" s="175" t="s">
        <v>227</v>
      </c>
      <c r="AX7" s="175" t="s">
        <v>228</v>
      </c>
      <c r="AY7" s="175" t="s">
        <v>229</v>
      </c>
      <c r="AZ7" s="176" t="s">
        <v>230</v>
      </c>
      <c r="BA7" s="177" t="s">
        <v>190</v>
      </c>
      <c r="BB7" s="178" t="s">
        <v>191</v>
      </c>
      <c r="BC7" s="178" t="s">
        <v>192</v>
      </c>
      <c r="BD7" s="178" t="s">
        <v>193</v>
      </c>
      <c r="BE7" s="179" t="s">
        <v>60</v>
      </c>
    </row>
    <row r="8" spans="1:61" ht="12" customHeight="1" x14ac:dyDescent="0.4">
      <c r="A8" s="170">
        <v>1</v>
      </c>
      <c r="B8" s="155" t="str">
        <f>'C. FILIACION'!B8</f>
        <v>ALARCON CHURA PRISCILA</v>
      </c>
      <c r="C8" s="185" t="s">
        <v>63</v>
      </c>
      <c r="D8" s="194" t="s">
        <v>63</v>
      </c>
      <c r="E8" s="186"/>
      <c r="F8" s="187" t="s">
        <v>62</v>
      </c>
      <c r="G8" s="188" t="s">
        <v>63</v>
      </c>
      <c r="H8" s="188" t="s">
        <v>62</v>
      </c>
      <c r="I8" s="189" t="s">
        <v>63</v>
      </c>
      <c r="J8" s="189" t="s">
        <v>62</v>
      </c>
      <c r="K8" s="189" t="s">
        <v>62</v>
      </c>
      <c r="L8" s="190" t="s">
        <v>62</v>
      </c>
      <c r="M8" s="199" t="s">
        <v>63</v>
      </c>
      <c r="N8" s="199" t="s">
        <v>63</v>
      </c>
      <c r="O8" s="183" t="s">
        <v>62</v>
      </c>
      <c r="P8" s="48" t="s">
        <v>63</v>
      </c>
      <c r="Q8" s="48"/>
      <c r="R8" s="182"/>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6</v>
      </c>
      <c r="BB8" s="48">
        <f>IF(COUNTIF(C8:AZ8,"F")=0,"0",COUNTIF(C8:AZ8,"F"))</f>
        <v>7</v>
      </c>
      <c r="BC8" s="48" t="str">
        <f>IF(COUNTIF(C8:AZ8,"R")=0,"0",COUNTIF(C8:AZ8,"R"))</f>
        <v>0</v>
      </c>
      <c r="BD8" s="48" t="str">
        <f>IF(COUNTIF(C8:AZ8,"L")=0,"0",COUNTIF(C8:AZ8,"L"))</f>
        <v>0</v>
      </c>
      <c r="BE8" s="158">
        <f>BA8+BB8+BC8+BD8</f>
        <v>13</v>
      </c>
    </row>
    <row r="9" spans="1:61" ht="12" customHeight="1" x14ac:dyDescent="0.4">
      <c r="A9" s="170">
        <v>2</v>
      </c>
      <c r="B9" s="59" t="str">
        <f>'C. FILIACION'!B9</f>
        <v>ARCE CHOQUE LUCERO CORAL</v>
      </c>
      <c r="C9" s="190" t="s">
        <v>63</v>
      </c>
      <c r="D9" s="195" t="s">
        <v>63</v>
      </c>
      <c r="E9" s="191"/>
      <c r="F9" s="189" t="s">
        <v>62</v>
      </c>
      <c r="G9" s="189" t="s">
        <v>62</v>
      </c>
      <c r="H9" s="189" t="s">
        <v>63</v>
      </c>
      <c r="I9" s="189" t="s">
        <v>63</v>
      </c>
      <c r="J9" s="192" t="s">
        <v>63</v>
      </c>
      <c r="K9" s="189" t="s">
        <v>62</v>
      </c>
      <c r="L9" s="190" t="s">
        <v>63</v>
      </c>
      <c r="M9" s="199" t="s">
        <v>62</v>
      </c>
      <c r="N9" s="199" t="s">
        <v>62</v>
      </c>
      <c r="O9" s="183" t="s">
        <v>62</v>
      </c>
      <c r="P9" s="48" t="s">
        <v>62</v>
      </c>
      <c r="Q9" s="48"/>
      <c r="R9" s="182"/>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7</v>
      </c>
      <c r="BB9" s="48">
        <f t="shared" ref="BB9:BB23" si="1">IF(COUNTIF(C9:AZ9,"F")=0,"0",COUNTIF(C9:AZ9,"F"))</f>
        <v>6</v>
      </c>
      <c r="BC9" s="48" t="str">
        <f t="shared" ref="BC9:BC23" si="2">IF(COUNTIF(C9:AZ9,"R")=0,"0",COUNTIF(C9:AZ9,"R"))</f>
        <v>0</v>
      </c>
      <c r="BD9" s="48" t="str">
        <f t="shared" ref="BD9:BD23" si="3">IF(COUNTIF(C9:AZ9,"L")=0,"0",COUNTIF(C9:AZ9,"L"))</f>
        <v>0</v>
      </c>
      <c r="BE9" s="158">
        <f t="shared" ref="BE9:BE23" si="4">BA9+BB9+BC9+BD9</f>
        <v>13</v>
      </c>
    </row>
    <row r="10" spans="1:61" ht="12" customHeight="1" x14ac:dyDescent="0.4">
      <c r="A10" s="170">
        <v>3</v>
      </c>
      <c r="B10" s="59" t="str">
        <f>'C. FILIACION'!B10</f>
        <v>AREQUIPA CALCINA FABIAN JHON</v>
      </c>
      <c r="C10" s="190" t="s">
        <v>62</v>
      </c>
      <c r="D10" s="195" t="s">
        <v>62</v>
      </c>
      <c r="E10" s="193"/>
      <c r="F10" s="192" t="s">
        <v>63</v>
      </c>
      <c r="G10" s="192" t="s">
        <v>163</v>
      </c>
      <c r="H10" s="192" t="s">
        <v>63</v>
      </c>
      <c r="I10" s="192" t="s">
        <v>62</v>
      </c>
      <c r="J10" s="192" t="s">
        <v>62</v>
      </c>
      <c r="K10" s="192" t="s">
        <v>163</v>
      </c>
      <c r="L10" s="196" t="s">
        <v>62</v>
      </c>
      <c r="M10" s="199" t="s">
        <v>62</v>
      </c>
      <c r="N10" s="199" t="s">
        <v>62</v>
      </c>
      <c r="O10" s="184" t="s">
        <v>62</v>
      </c>
      <c r="P10" s="192" t="s">
        <v>62</v>
      </c>
      <c r="Q10" s="68"/>
      <c r="R10" s="182"/>
      <c r="S10" s="6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9</v>
      </c>
      <c r="BB10" s="48">
        <f t="shared" si="1"/>
        <v>2</v>
      </c>
      <c r="BC10" s="48">
        <f t="shared" si="2"/>
        <v>2</v>
      </c>
      <c r="BD10" s="48" t="str">
        <f t="shared" si="3"/>
        <v>0</v>
      </c>
      <c r="BE10" s="158">
        <f t="shared" si="4"/>
        <v>13</v>
      </c>
    </row>
    <row r="11" spans="1:61" ht="12" customHeight="1" x14ac:dyDescent="0.4">
      <c r="A11" s="170">
        <v>4</v>
      </c>
      <c r="B11" s="59" t="str">
        <f>'C. FILIACION'!B11</f>
        <v>CLAURE PARAVICINI RASHEL ROSALY</v>
      </c>
      <c r="C11" s="190" t="s">
        <v>62</v>
      </c>
      <c r="D11" s="195" t="s">
        <v>62</v>
      </c>
      <c r="E11" s="191"/>
      <c r="F11" s="189" t="s">
        <v>63</v>
      </c>
      <c r="G11" s="189" t="s">
        <v>62</v>
      </c>
      <c r="H11" s="189" t="s">
        <v>63</v>
      </c>
      <c r="I11" s="189" t="s">
        <v>63</v>
      </c>
      <c r="J11" s="189" t="s">
        <v>63</v>
      </c>
      <c r="K11" s="189" t="s">
        <v>62</v>
      </c>
      <c r="L11" s="190" t="s">
        <v>62</v>
      </c>
      <c r="M11" s="199" t="s">
        <v>63</v>
      </c>
      <c r="N11" s="199" t="s">
        <v>63</v>
      </c>
      <c r="O11" s="183" t="s">
        <v>62</v>
      </c>
      <c r="P11" s="48" t="s">
        <v>63</v>
      </c>
      <c r="Q11" s="48"/>
      <c r="R11" s="182"/>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7</v>
      </c>
      <c r="BC11" s="48" t="str">
        <f t="shared" si="2"/>
        <v>0</v>
      </c>
      <c r="BD11" s="48" t="str">
        <f t="shared" si="3"/>
        <v>0</v>
      </c>
      <c r="BE11" s="158">
        <f t="shared" si="4"/>
        <v>13</v>
      </c>
    </row>
    <row r="12" spans="1:61" ht="12" customHeight="1" x14ac:dyDescent="0.4">
      <c r="A12" s="170">
        <v>5</v>
      </c>
      <c r="B12" s="59" t="str">
        <f>'C. FILIACION'!B12</f>
        <v>CONDORI FLORES ALEJANDRO BRYAN</v>
      </c>
      <c r="C12" s="190" t="s">
        <v>62</v>
      </c>
      <c r="D12" s="195" t="s">
        <v>62</v>
      </c>
      <c r="E12" s="191"/>
      <c r="F12" s="189" t="s">
        <v>62</v>
      </c>
      <c r="G12" s="189" t="s">
        <v>62</v>
      </c>
      <c r="H12" s="189" t="s">
        <v>62</v>
      </c>
      <c r="I12" s="189" t="s">
        <v>62</v>
      </c>
      <c r="J12" s="189" t="s">
        <v>62</v>
      </c>
      <c r="K12" s="189" t="s">
        <v>62</v>
      </c>
      <c r="L12" s="190" t="s">
        <v>62</v>
      </c>
      <c r="M12" s="199" t="s">
        <v>62</v>
      </c>
      <c r="N12" s="199" t="s">
        <v>63</v>
      </c>
      <c r="O12" s="183" t="s">
        <v>62</v>
      </c>
      <c r="P12" s="48" t="s">
        <v>62</v>
      </c>
      <c r="Q12" s="48"/>
      <c r="R12" s="182"/>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12</v>
      </c>
      <c r="BB12" s="48">
        <f t="shared" si="1"/>
        <v>1</v>
      </c>
      <c r="BC12" s="48" t="str">
        <f t="shared" si="2"/>
        <v>0</v>
      </c>
      <c r="BD12" s="48" t="str">
        <f t="shared" si="3"/>
        <v>0</v>
      </c>
      <c r="BE12" s="158">
        <f t="shared" si="4"/>
        <v>13</v>
      </c>
    </row>
    <row r="13" spans="1:61" ht="12" customHeight="1" x14ac:dyDescent="0.4">
      <c r="A13" s="170">
        <v>6</v>
      </c>
      <c r="B13" s="59" t="str">
        <f>'C. FILIACION'!B13</f>
        <v>DE LA CRUZ SANDOVAL JHON MARCO</v>
      </c>
      <c r="C13" s="190" t="s">
        <v>62</v>
      </c>
      <c r="D13" s="195" t="s">
        <v>62</v>
      </c>
      <c r="E13" s="191"/>
      <c r="F13" s="189" t="s">
        <v>62</v>
      </c>
      <c r="G13" s="189" t="s">
        <v>62</v>
      </c>
      <c r="H13" s="189" t="s">
        <v>62</v>
      </c>
      <c r="I13" s="189" t="s">
        <v>62</v>
      </c>
      <c r="J13" s="189" t="s">
        <v>62</v>
      </c>
      <c r="K13" s="189" t="s">
        <v>62</v>
      </c>
      <c r="L13" s="190" t="s">
        <v>62</v>
      </c>
      <c r="M13" s="199" t="s">
        <v>62</v>
      </c>
      <c r="N13" s="199" t="s">
        <v>62</v>
      </c>
      <c r="O13" s="183" t="s">
        <v>62</v>
      </c>
      <c r="P13" s="48" t="s">
        <v>62</v>
      </c>
      <c r="Q13" s="48"/>
      <c r="R13" s="182"/>
      <c r="S13" s="48">
        <v>35</v>
      </c>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13</v>
      </c>
      <c r="BB13" s="48" t="str">
        <f t="shared" si="1"/>
        <v>0</v>
      </c>
      <c r="BC13" s="48" t="str">
        <f t="shared" si="2"/>
        <v>0</v>
      </c>
      <c r="BD13" s="48" t="str">
        <f t="shared" si="3"/>
        <v>0</v>
      </c>
      <c r="BE13" s="158">
        <f t="shared" si="4"/>
        <v>13</v>
      </c>
    </row>
    <row r="14" spans="1:61" ht="12" customHeight="1" x14ac:dyDescent="0.4">
      <c r="A14" s="170">
        <v>7</v>
      </c>
      <c r="B14" s="59" t="str">
        <f>'C. FILIACION'!B14</f>
        <v>GARCÍA IGNACIO MISHEL MAYA</v>
      </c>
      <c r="C14" s="190" t="s">
        <v>62</v>
      </c>
      <c r="D14" s="195" t="s">
        <v>62</v>
      </c>
      <c r="E14" s="191"/>
      <c r="F14" s="189" t="s">
        <v>62</v>
      </c>
      <c r="G14" s="189" t="s">
        <v>62</v>
      </c>
      <c r="H14" s="189" t="s">
        <v>62</v>
      </c>
      <c r="I14" s="189" t="s">
        <v>62</v>
      </c>
      <c r="J14" s="189" t="s">
        <v>62</v>
      </c>
      <c r="K14" s="189" t="s">
        <v>62</v>
      </c>
      <c r="L14" s="190" t="s">
        <v>62</v>
      </c>
      <c r="M14" s="199" t="s">
        <v>62</v>
      </c>
      <c r="N14" s="199" t="s">
        <v>62</v>
      </c>
      <c r="O14" s="183" t="s">
        <v>62</v>
      </c>
      <c r="P14" s="48" t="s">
        <v>62</v>
      </c>
      <c r="Q14" s="48"/>
      <c r="R14" s="182"/>
      <c r="S14" s="48">
        <v>35</v>
      </c>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13</v>
      </c>
      <c r="BB14" s="48" t="str">
        <f t="shared" si="1"/>
        <v>0</v>
      </c>
      <c r="BC14" s="48" t="str">
        <f t="shared" si="2"/>
        <v>0</v>
      </c>
      <c r="BD14" s="48" t="str">
        <f t="shared" si="3"/>
        <v>0</v>
      </c>
      <c r="BE14" s="158">
        <f t="shared" si="4"/>
        <v>13</v>
      </c>
    </row>
    <row r="15" spans="1:61" ht="12" customHeight="1" x14ac:dyDescent="0.4">
      <c r="A15" s="170">
        <v>8</v>
      </c>
      <c r="B15" s="59" t="str">
        <f>'C. FILIACION'!B15</f>
        <v>HELGUERO SANCHEZ JHOYSI CAMIL</v>
      </c>
      <c r="C15" s="190" t="s">
        <v>62</v>
      </c>
      <c r="D15" s="195" t="s">
        <v>62</v>
      </c>
      <c r="E15" s="191"/>
      <c r="F15" s="189" t="s">
        <v>62</v>
      </c>
      <c r="G15" s="189" t="s">
        <v>62</v>
      </c>
      <c r="H15" s="189" t="s">
        <v>62</v>
      </c>
      <c r="I15" s="189" t="s">
        <v>62</v>
      </c>
      <c r="J15" s="189" t="s">
        <v>62</v>
      </c>
      <c r="K15" s="189" t="s">
        <v>62</v>
      </c>
      <c r="L15" s="190" t="s">
        <v>62</v>
      </c>
      <c r="M15" s="199" t="s">
        <v>62</v>
      </c>
      <c r="N15" s="199" t="s">
        <v>63</v>
      </c>
      <c r="O15" s="183" t="s">
        <v>62</v>
      </c>
      <c r="P15" s="48" t="s">
        <v>62</v>
      </c>
      <c r="Q15" s="48">
        <v>35</v>
      </c>
      <c r="R15" s="182"/>
      <c r="S15" s="48">
        <v>30</v>
      </c>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8">
        <f t="shared" si="4"/>
        <v>13</v>
      </c>
    </row>
    <row r="16" spans="1:61" ht="12" customHeight="1" x14ac:dyDescent="0.4">
      <c r="A16" s="170">
        <v>9</v>
      </c>
      <c r="B16" s="59" t="str">
        <f>'C. FILIACION'!B16</f>
        <v>LEDEZMA ORELLANA RICARDO ERIK</v>
      </c>
      <c r="C16" s="190" t="s">
        <v>62</v>
      </c>
      <c r="D16" s="195" t="s">
        <v>62</v>
      </c>
      <c r="E16" s="191"/>
      <c r="F16" s="189" t="s">
        <v>62</v>
      </c>
      <c r="G16" s="189" t="s">
        <v>62</v>
      </c>
      <c r="H16" s="189" t="s">
        <v>62</v>
      </c>
      <c r="I16" s="189" t="s">
        <v>62</v>
      </c>
      <c r="J16" s="189" t="s">
        <v>62</v>
      </c>
      <c r="K16" s="189" t="s">
        <v>62</v>
      </c>
      <c r="L16" s="190" t="s">
        <v>62</v>
      </c>
      <c r="M16" s="199" t="s">
        <v>62</v>
      </c>
      <c r="N16" s="199" t="s">
        <v>62</v>
      </c>
      <c r="O16" s="183" t="s">
        <v>62</v>
      </c>
      <c r="P16" s="48" t="s">
        <v>62</v>
      </c>
      <c r="Q16" s="48"/>
      <c r="R16" s="182"/>
      <c r="S16" s="48">
        <v>35</v>
      </c>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13</v>
      </c>
      <c r="BB16" s="48" t="str">
        <f t="shared" si="1"/>
        <v>0</v>
      </c>
      <c r="BC16" s="48" t="str">
        <f t="shared" si="2"/>
        <v>0</v>
      </c>
      <c r="BD16" s="48" t="str">
        <f t="shared" si="3"/>
        <v>0</v>
      </c>
      <c r="BE16" s="158">
        <f t="shared" si="4"/>
        <v>13</v>
      </c>
    </row>
    <row r="17" spans="1:57" ht="12" customHeight="1" x14ac:dyDescent="0.4">
      <c r="A17" s="170">
        <v>10</v>
      </c>
      <c r="B17" s="59" t="str">
        <f>'C. FILIACION'!B17</f>
        <v>MAMANI LOPEZ ELIZABETH MILDRED</v>
      </c>
      <c r="C17" s="190" t="s">
        <v>62</v>
      </c>
      <c r="D17" s="195" t="s">
        <v>63</v>
      </c>
      <c r="E17" s="191"/>
      <c r="F17" s="189" t="s">
        <v>62</v>
      </c>
      <c r="G17" s="189" t="s">
        <v>63</v>
      </c>
      <c r="H17" s="189" t="s">
        <v>63</v>
      </c>
      <c r="I17" s="189" t="s">
        <v>63</v>
      </c>
      <c r="J17" s="189" t="s">
        <v>63</v>
      </c>
      <c r="K17" s="189" t="s">
        <v>62</v>
      </c>
      <c r="L17" s="190" t="s">
        <v>62</v>
      </c>
      <c r="M17" s="199" t="s">
        <v>63</v>
      </c>
      <c r="N17" s="199" t="s">
        <v>63</v>
      </c>
      <c r="O17" s="183" t="s">
        <v>63</v>
      </c>
      <c r="P17" s="48" t="s">
        <v>63</v>
      </c>
      <c r="Q17" s="48"/>
      <c r="R17" s="182"/>
      <c r="S17" s="48">
        <v>30</v>
      </c>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9</v>
      </c>
      <c r="BC17" s="48" t="str">
        <f t="shared" si="2"/>
        <v>0</v>
      </c>
      <c r="BD17" s="48" t="str">
        <f t="shared" si="3"/>
        <v>0</v>
      </c>
      <c r="BE17" s="158">
        <f t="shared" si="4"/>
        <v>13</v>
      </c>
    </row>
    <row r="18" spans="1:57" ht="12" customHeight="1" x14ac:dyDescent="0.4">
      <c r="A18" s="170">
        <v>11</v>
      </c>
      <c r="B18" s="200" t="str">
        <f>'C. FILIACION'!B18</f>
        <v>MEDINA CHOQUE JUAN JOSE</v>
      </c>
      <c r="C18" s="201" t="s">
        <v>62</v>
      </c>
      <c r="D18" s="202" t="s">
        <v>62</v>
      </c>
      <c r="E18" s="203"/>
      <c r="F18" s="204" t="s">
        <v>62</v>
      </c>
      <c r="G18" s="204" t="s">
        <v>63</v>
      </c>
      <c r="H18" s="204" t="s">
        <v>63</v>
      </c>
      <c r="I18" s="204" t="s">
        <v>63</v>
      </c>
      <c r="J18" s="204" t="s">
        <v>63</v>
      </c>
      <c r="K18" s="204" t="s">
        <v>63</v>
      </c>
      <c r="L18" s="201" t="s">
        <v>63</v>
      </c>
      <c r="M18" s="205" t="s">
        <v>63</v>
      </c>
      <c r="N18" s="205" t="s">
        <v>63</v>
      </c>
      <c r="O18" s="206" t="s">
        <v>63</v>
      </c>
      <c r="P18" s="207" t="s">
        <v>63</v>
      </c>
      <c r="Q18" s="207"/>
      <c r="R18" s="208"/>
      <c r="S18" s="207"/>
      <c r="T18" s="207"/>
      <c r="U18" s="207"/>
      <c r="V18" s="207"/>
      <c r="W18" s="207"/>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10</v>
      </c>
      <c r="BC18" s="48" t="str">
        <f t="shared" si="2"/>
        <v>0</v>
      </c>
      <c r="BD18" s="48" t="str">
        <f t="shared" si="3"/>
        <v>0</v>
      </c>
      <c r="BE18" s="158">
        <f t="shared" si="4"/>
        <v>13</v>
      </c>
    </row>
    <row r="19" spans="1:57" ht="12" customHeight="1" x14ac:dyDescent="0.4">
      <c r="A19" s="170">
        <v>12</v>
      </c>
      <c r="B19" s="59" t="str">
        <f>'C. FILIACION'!B19</f>
        <v>NINA RUEDA SEBASTIAN CARLOS</v>
      </c>
      <c r="C19" s="190" t="s">
        <v>62</v>
      </c>
      <c r="D19" s="195" t="s">
        <v>62</v>
      </c>
      <c r="E19" s="191"/>
      <c r="F19" s="189" t="s">
        <v>62</v>
      </c>
      <c r="G19" s="189" t="s">
        <v>163</v>
      </c>
      <c r="H19" s="189" t="s">
        <v>62</v>
      </c>
      <c r="I19" s="189" t="s">
        <v>62</v>
      </c>
      <c r="J19" s="189" t="s">
        <v>62</v>
      </c>
      <c r="K19" s="189" t="s">
        <v>62</v>
      </c>
      <c r="L19" s="190" t="s">
        <v>62</v>
      </c>
      <c r="M19" s="199" t="s">
        <v>63</v>
      </c>
      <c r="N19" s="199" t="s">
        <v>62</v>
      </c>
      <c r="O19" s="183" t="s">
        <v>62</v>
      </c>
      <c r="P19" s="48" t="s">
        <v>62</v>
      </c>
      <c r="Q19" s="48"/>
      <c r="R19" s="182"/>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11</v>
      </c>
      <c r="BB19" s="48">
        <f t="shared" si="1"/>
        <v>1</v>
      </c>
      <c r="BC19" s="48">
        <f t="shared" si="2"/>
        <v>1</v>
      </c>
      <c r="BD19" s="48" t="str">
        <f t="shared" si="3"/>
        <v>0</v>
      </c>
      <c r="BE19" s="158">
        <f t="shared" si="4"/>
        <v>13</v>
      </c>
    </row>
    <row r="20" spans="1:57" ht="12" customHeight="1" x14ac:dyDescent="0.4">
      <c r="A20" s="170">
        <v>13</v>
      </c>
      <c r="B20" s="59" t="str">
        <f>'C. FILIACION'!B20</f>
        <v>RODRIGUEZ RAMIREZ NATALY ARIANA</v>
      </c>
      <c r="C20" s="190" t="s">
        <v>62</v>
      </c>
      <c r="D20" s="195" t="s">
        <v>62</v>
      </c>
      <c r="E20" s="191"/>
      <c r="F20" s="189" t="s">
        <v>62</v>
      </c>
      <c r="G20" s="189" t="s">
        <v>62</v>
      </c>
      <c r="H20" s="189" t="s">
        <v>62</v>
      </c>
      <c r="I20" s="189" t="s">
        <v>62</v>
      </c>
      <c r="J20" s="189" t="s">
        <v>62</v>
      </c>
      <c r="K20" s="189" t="s">
        <v>163</v>
      </c>
      <c r="L20" s="190" t="s">
        <v>62</v>
      </c>
      <c r="M20" s="199" t="s">
        <v>62</v>
      </c>
      <c r="N20" s="199" t="s">
        <v>62</v>
      </c>
      <c r="O20" s="183" t="s">
        <v>62</v>
      </c>
      <c r="P20" s="48" t="s">
        <v>62</v>
      </c>
      <c r="Q20" s="48"/>
      <c r="R20" s="182"/>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t="str">
        <f t="shared" si="1"/>
        <v>0</v>
      </c>
      <c r="BC20" s="48">
        <f t="shared" si="2"/>
        <v>1</v>
      </c>
      <c r="BD20" s="48" t="str">
        <f t="shared" si="3"/>
        <v>0</v>
      </c>
      <c r="BE20" s="158">
        <f t="shared" si="4"/>
        <v>13</v>
      </c>
    </row>
    <row r="21" spans="1:57" ht="12" customHeight="1" x14ac:dyDescent="0.4">
      <c r="A21" s="170">
        <v>14</v>
      </c>
      <c r="B21" s="59" t="str">
        <f>'C. FILIACION'!B21</f>
        <v>SALAZAR CANAZA CRISTINA MAYRA</v>
      </c>
      <c r="C21" s="190" t="s">
        <v>62</v>
      </c>
      <c r="D21" s="195" t="s">
        <v>62</v>
      </c>
      <c r="E21" s="191"/>
      <c r="F21" s="189" t="s">
        <v>63</v>
      </c>
      <c r="G21" s="189" t="s">
        <v>62</v>
      </c>
      <c r="H21" s="189" t="s">
        <v>62</v>
      </c>
      <c r="I21" s="189" t="s">
        <v>63</v>
      </c>
      <c r="J21" s="189" t="s">
        <v>63</v>
      </c>
      <c r="K21" s="189" t="s">
        <v>62</v>
      </c>
      <c r="L21" s="190" t="s">
        <v>63</v>
      </c>
      <c r="M21" s="199" t="s">
        <v>63</v>
      </c>
      <c r="N21" s="199" t="s">
        <v>63</v>
      </c>
      <c r="O21" s="183" t="s">
        <v>63</v>
      </c>
      <c r="P21" s="48" t="s">
        <v>63</v>
      </c>
      <c r="Q21" s="48"/>
      <c r="R21" s="182"/>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5</v>
      </c>
      <c r="BB21" s="48">
        <f t="shared" si="1"/>
        <v>8</v>
      </c>
      <c r="BC21" s="48" t="str">
        <f t="shared" si="2"/>
        <v>0</v>
      </c>
      <c r="BD21" s="48" t="str">
        <f t="shared" si="3"/>
        <v>0</v>
      </c>
      <c r="BE21" s="158">
        <f t="shared" si="4"/>
        <v>13</v>
      </c>
    </row>
    <row r="22" spans="1:57" ht="12" customHeight="1" x14ac:dyDescent="0.4">
      <c r="A22" s="170">
        <v>15</v>
      </c>
      <c r="B22" s="59" t="str">
        <f>'C. FILIACION'!B22</f>
        <v>SEVILLANO BALTAZAR AGNESE</v>
      </c>
      <c r="C22" s="190" t="s">
        <v>62</v>
      </c>
      <c r="D22" s="195" t="s">
        <v>62</v>
      </c>
      <c r="E22" s="191"/>
      <c r="F22" s="189" t="s">
        <v>62</v>
      </c>
      <c r="G22" s="189" t="s">
        <v>62</v>
      </c>
      <c r="H22" s="189" t="s">
        <v>62</v>
      </c>
      <c r="I22" s="189" t="s">
        <v>62</v>
      </c>
      <c r="J22" s="189" t="s">
        <v>62</v>
      </c>
      <c r="K22" s="189" t="s">
        <v>62</v>
      </c>
      <c r="L22" s="190" t="s">
        <v>62</v>
      </c>
      <c r="M22" s="199" t="s">
        <v>62</v>
      </c>
      <c r="N22" s="199" t="s">
        <v>62</v>
      </c>
      <c r="O22" s="183" t="s">
        <v>62</v>
      </c>
      <c r="P22" s="48" t="s">
        <v>62</v>
      </c>
      <c r="Q22" s="48"/>
      <c r="R22" s="182"/>
      <c r="S22" s="48">
        <v>35</v>
      </c>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13</v>
      </c>
      <c r="BB22" s="48" t="str">
        <f t="shared" si="1"/>
        <v>0</v>
      </c>
      <c r="BC22" s="48" t="str">
        <f t="shared" si="2"/>
        <v>0</v>
      </c>
      <c r="BD22" s="48" t="str">
        <f t="shared" si="3"/>
        <v>0</v>
      </c>
      <c r="BE22" s="158">
        <f t="shared" si="4"/>
        <v>13</v>
      </c>
    </row>
    <row r="23" spans="1:57" ht="12" customHeight="1" x14ac:dyDescent="0.4">
      <c r="A23" s="170">
        <v>16</v>
      </c>
      <c r="B23" s="59" t="str">
        <f>'C. FILIACION'!B23</f>
        <v>TOCONAS HUAYGUA VICTORIA FERNANDA</v>
      </c>
      <c r="C23" s="190" t="s">
        <v>62</v>
      </c>
      <c r="D23" s="195" t="s">
        <v>62</v>
      </c>
      <c r="E23" s="191"/>
      <c r="F23" s="189" t="s">
        <v>62</v>
      </c>
      <c r="G23" s="189" t="s">
        <v>62</v>
      </c>
      <c r="H23" s="189" t="s">
        <v>62</v>
      </c>
      <c r="I23" s="189" t="s">
        <v>62</v>
      </c>
      <c r="J23" s="189" t="s">
        <v>62</v>
      </c>
      <c r="K23" s="189" t="s">
        <v>62</v>
      </c>
      <c r="L23" s="190" t="s">
        <v>62</v>
      </c>
      <c r="M23" s="199" t="s">
        <v>63</v>
      </c>
      <c r="N23" s="199" t="s">
        <v>61</v>
      </c>
      <c r="O23" s="183" t="s">
        <v>62</v>
      </c>
      <c r="P23" s="48" t="s">
        <v>62</v>
      </c>
      <c r="Q23" s="48"/>
      <c r="R23" s="182"/>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11</v>
      </c>
      <c r="BB23" s="48">
        <f t="shared" si="1"/>
        <v>1</v>
      </c>
      <c r="BC23" s="48" t="str">
        <f t="shared" si="2"/>
        <v>0</v>
      </c>
      <c r="BD23" s="48">
        <f t="shared" si="3"/>
        <v>1</v>
      </c>
      <c r="BE23" s="158">
        <f t="shared" si="4"/>
        <v>13</v>
      </c>
    </row>
    <row r="24" spans="1:57" ht="12" customHeight="1" x14ac:dyDescent="0.4">
      <c r="A24" s="58">
        <v>17</v>
      </c>
      <c r="B24" s="59">
        <f>'C. FILIACION'!B24</f>
        <v>0</v>
      </c>
      <c r="C24" s="48"/>
      <c r="D24" s="167"/>
      <c r="E24" s="48"/>
      <c r="F24" s="48"/>
      <c r="G24" s="48"/>
      <c r="H24" s="48"/>
      <c r="I24" s="48"/>
      <c r="J24" s="48"/>
      <c r="K24" s="48"/>
      <c r="L24" s="48"/>
      <c r="M24" s="167"/>
      <c r="N24" s="167"/>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57" ht="12" customHeight="1" x14ac:dyDescent="0.4">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57" ht="12" customHeight="1" x14ac:dyDescent="0.4">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57" ht="12" customHeight="1" x14ac:dyDescent="0.4">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57" ht="12" customHeight="1" x14ac:dyDescent="0.4">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57" ht="12" customHeight="1" x14ac:dyDescent="0.4">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57" ht="12" customHeight="1" x14ac:dyDescent="0.4">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57" ht="12" customHeight="1" x14ac:dyDescent="0.4">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57" ht="12" customHeight="1" x14ac:dyDescent="0.4">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4">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4">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4">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4">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4">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4">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4">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4">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4">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4">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4">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pageSetUpPr fitToPage="1"/>
  </sheetPr>
  <dimension ref="A1:AD31"/>
  <sheetViews>
    <sheetView workbookViewId="0">
      <selection activeCell="AB34" sqref="A1:AB34"/>
    </sheetView>
  </sheetViews>
  <sheetFormatPr baseColWidth="10" defaultRowHeight="20" x14ac:dyDescent="0.4"/>
  <cols>
    <col min="1" max="26" width="2.38671875" customWidth="1"/>
    <col min="27" max="27" width="9.27734375" customWidth="1"/>
    <col min="28" max="28" width="5.33203125" customWidth="1"/>
    <col min="29" max="30" width="2.38671875" customWidth="1"/>
  </cols>
  <sheetData>
    <row r="1" spans="1:30" ht="15.9" customHeight="1" x14ac:dyDescent="0.4">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row>
    <row r="2" spans="1:30" ht="15.9" customHeight="1" x14ac:dyDescent="0.4">
      <c r="A2" s="269" t="s">
        <v>164</v>
      </c>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159"/>
      <c r="AD2" s="159"/>
    </row>
    <row r="3" spans="1:30" ht="15.9" customHeight="1" x14ac:dyDescent="0.4">
      <c r="A3" s="159"/>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row>
    <row r="4" spans="1:30" ht="15.9" customHeight="1" x14ac:dyDescent="0.4">
      <c r="A4" s="266" t="s">
        <v>165</v>
      </c>
      <c r="B4" s="266"/>
      <c r="C4" s="266"/>
      <c r="D4" s="266"/>
      <c r="E4" s="266"/>
      <c r="F4" s="270" t="str">
        <f>[1]CARÁTULA!C25</f>
        <v>Tecnica Tecnologica (Programacion)</v>
      </c>
      <c r="G4" s="270"/>
      <c r="H4" s="270"/>
      <c r="I4" s="270"/>
      <c r="J4" s="270"/>
      <c r="K4" s="270"/>
      <c r="L4" s="270"/>
      <c r="M4" s="270"/>
      <c r="N4" s="270"/>
      <c r="O4" s="271" t="s">
        <v>179</v>
      </c>
      <c r="P4" s="271"/>
      <c r="Q4" s="271"/>
      <c r="R4" s="272" t="str">
        <f>CARÁTULA!C23</f>
        <v>2do de Secundaria</v>
      </c>
      <c r="S4" s="273"/>
      <c r="T4" s="273"/>
      <c r="U4" s="273"/>
      <c r="V4" s="273"/>
      <c r="W4" s="273"/>
      <c r="X4" s="273"/>
      <c r="Y4" s="273"/>
      <c r="Z4" s="274"/>
      <c r="AA4" s="160" t="s">
        <v>180</v>
      </c>
      <c r="AB4" s="181" t="s">
        <v>238</v>
      </c>
      <c r="AC4" s="159"/>
      <c r="AD4" s="159"/>
    </row>
    <row r="5" spans="1:30" ht="15.9" customHeight="1" x14ac:dyDescent="0.4">
      <c r="A5" s="266" t="s">
        <v>166</v>
      </c>
      <c r="B5" s="266"/>
      <c r="C5" s="266"/>
      <c r="D5" s="266"/>
      <c r="E5" s="266"/>
      <c r="F5" s="267" t="s">
        <v>41</v>
      </c>
      <c r="G5" s="267"/>
      <c r="H5" s="267"/>
      <c r="I5" s="267"/>
      <c r="J5" s="267"/>
      <c r="K5" s="267"/>
      <c r="L5" s="267"/>
      <c r="M5" s="267"/>
      <c r="N5" s="267"/>
      <c r="O5" s="267"/>
      <c r="P5" s="267"/>
      <c r="Q5" s="267"/>
      <c r="R5" s="267"/>
      <c r="S5" s="267"/>
      <c r="T5" s="267"/>
      <c r="U5" s="267"/>
      <c r="V5" s="267"/>
      <c r="W5" s="267"/>
      <c r="X5" s="267"/>
      <c r="Y5" s="267"/>
      <c r="Z5" s="267"/>
      <c r="AA5" s="160" t="s">
        <v>181</v>
      </c>
      <c r="AB5" s="181" t="s">
        <v>239</v>
      </c>
      <c r="AC5" s="159"/>
      <c r="AD5" s="159"/>
    </row>
    <row r="6" spans="1:30" ht="15.9" customHeight="1" x14ac:dyDescent="0.4">
      <c r="A6" s="266" t="s">
        <v>167</v>
      </c>
      <c r="B6" s="266"/>
      <c r="C6" s="266"/>
      <c r="D6" s="266"/>
      <c r="E6" s="266"/>
      <c r="F6" s="267" t="s">
        <v>176</v>
      </c>
      <c r="G6" s="267"/>
      <c r="H6" s="267"/>
      <c r="I6" s="267"/>
      <c r="J6" s="267"/>
      <c r="K6" s="267"/>
      <c r="L6" s="267"/>
      <c r="M6" s="267"/>
      <c r="N6" s="267"/>
      <c r="O6" s="267"/>
      <c r="P6" s="267"/>
      <c r="Q6" s="267"/>
      <c r="R6" s="267"/>
      <c r="S6" s="267"/>
      <c r="T6" s="267"/>
      <c r="U6" s="267"/>
      <c r="V6" s="267"/>
      <c r="W6" s="267"/>
      <c r="X6" s="267"/>
      <c r="Y6" s="267"/>
      <c r="Z6" s="267"/>
      <c r="AA6" s="159"/>
      <c r="AB6" s="159"/>
      <c r="AC6" s="159"/>
      <c r="AD6" s="159"/>
    </row>
    <row r="7" spans="1:30" ht="3" customHeight="1" x14ac:dyDescent="0.4">
      <c r="A7" s="159"/>
      <c r="B7" s="159"/>
      <c r="C7" s="159"/>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row>
    <row r="8" spans="1:30" ht="15.9" customHeight="1" x14ac:dyDescent="0.4">
      <c r="A8" s="268" t="s">
        <v>168</v>
      </c>
      <c r="B8" s="268"/>
      <c r="C8" s="268"/>
      <c r="D8" s="268"/>
      <c r="E8" s="268"/>
      <c r="F8" s="268"/>
      <c r="G8" s="268"/>
      <c r="H8" s="268"/>
      <c r="I8" s="268"/>
      <c r="J8" s="268"/>
      <c r="K8" s="268"/>
      <c r="L8" s="268"/>
      <c r="M8" s="268"/>
      <c r="N8" s="268"/>
      <c r="O8" s="268"/>
      <c r="P8" s="268"/>
      <c r="Q8" s="268"/>
      <c r="R8" s="268"/>
      <c r="S8" s="268"/>
      <c r="T8" s="268"/>
      <c r="U8" s="268"/>
      <c r="V8" s="268"/>
      <c r="W8" s="268"/>
      <c r="X8" s="268"/>
      <c r="Y8" s="268"/>
      <c r="Z8" s="268"/>
      <c r="AA8" s="268"/>
      <c r="AB8" s="268"/>
      <c r="AC8" s="159"/>
      <c r="AD8" s="159"/>
    </row>
    <row r="9" spans="1:30" ht="4.5" customHeight="1" x14ac:dyDescent="0.4">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row>
    <row r="10" spans="1:30" ht="76.5" customHeight="1" x14ac:dyDescent="0.4">
      <c r="A10" s="159"/>
      <c r="B10" s="159"/>
      <c r="C10" s="159"/>
      <c r="D10" s="159"/>
      <c r="E10" s="159"/>
      <c r="F10" s="161" t="str">
        <f>'[1]ASIS 2 TRIM'!C7</f>
        <v>13/5/2020</v>
      </c>
      <c r="G10" s="161" t="str">
        <f>'[1]ASIS 2 TRIM'!D7</f>
        <v>20/5/2020</v>
      </c>
      <c r="H10" s="161" t="str">
        <f>'[1]ASIS 2 TRIM'!E7</f>
        <v>27/5/2021</v>
      </c>
      <c r="I10" s="161" t="str">
        <f>'[1]ASIS 2 TRIM'!F7</f>
        <v>1/7/2021</v>
      </c>
      <c r="J10" s="161" t="str">
        <f>'[1]ASIS 2 TRIM'!G7</f>
        <v>8/7/2021</v>
      </c>
      <c r="K10" s="161" t="str">
        <f>'[1]ASIS 2 TRIM'!H7</f>
        <v>15/7/2021</v>
      </c>
      <c r="L10" s="161" t="str">
        <f>'[1]ASIS 2 TRIM'!I7</f>
        <v>22/7/2021</v>
      </c>
      <c r="M10" s="161" t="str">
        <f>'[1]ASIS 2 TRIM'!J7</f>
        <v>29/7/2021</v>
      </c>
      <c r="N10" s="161" t="str">
        <f>'[1]ASIS 2 TRIM'!K7</f>
        <v>5/8/2021</v>
      </c>
      <c r="O10" s="161" t="str">
        <f>'[1]ASIS 2 TRIM'!L7</f>
        <v>12/8/2021</v>
      </c>
      <c r="P10" s="161" t="str">
        <f>'[1]ASIS 2 TRIM'!BA7</f>
        <v>Asist. (A)</v>
      </c>
      <c r="Q10" s="161" t="str">
        <f>'[1]ASIS 2 TRIM'!BB7</f>
        <v>Faltas (F)</v>
      </c>
      <c r="R10" s="161" t="str">
        <f>'[1]ASIS 2 TRIM'!BC7</f>
        <v>Retrasos (R)</v>
      </c>
      <c r="S10" s="161" t="str">
        <f>'[1]ASIS 2 TRIM'!BD7</f>
        <v>Licencias (L)</v>
      </c>
      <c r="T10" s="162" t="str">
        <f>'[1]ASIS 2 TRIM'!BE7</f>
        <v>DÍAS TRABAJADOS</v>
      </c>
      <c r="U10" s="159"/>
      <c r="V10" s="159"/>
      <c r="W10" s="159"/>
      <c r="X10" s="159"/>
      <c r="Y10" s="159"/>
      <c r="Z10" s="159"/>
      <c r="AA10" s="159"/>
      <c r="AB10" s="159"/>
      <c r="AC10" s="159"/>
      <c r="AD10" s="159"/>
    </row>
    <row r="11" spans="1:30" ht="15.9" customHeight="1" x14ac:dyDescent="0.4">
      <c r="A11" s="159"/>
      <c r="B11" s="159"/>
      <c r="C11" s="159"/>
      <c r="D11" s="159"/>
      <c r="E11" s="159"/>
      <c r="F11" s="163" t="str">
        <f>VLOOKUP($F$5,Tabla1[[NÓMINA DE ESTUDIANTES]:[DÍAS TRABAJADOS]],2,FALSE)</f>
        <v>a</v>
      </c>
      <c r="G11" s="163" t="str">
        <f>VLOOKUP($F$5,Tabla1[[NÓMINA DE ESTUDIANTES]:[DÍAS TRABAJADOS]],3,FALSE)</f>
        <v>f</v>
      </c>
      <c r="H11" s="163"/>
      <c r="I11" s="163" t="str">
        <f>VLOOKUP($F$5,Tabla1[[NÓMINA DE ESTUDIANTES]:[DÍAS TRABAJADOS]],5,FALSE)</f>
        <v>a</v>
      </c>
      <c r="J11" s="163" t="str">
        <f>VLOOKUP($F$5,Tabla1[[NÓMINA DE ESTUDIANTES]:[DÍAS TRABAJADOS]],6,FALSE)</f>
        <v>f</v>
      </c>
      <c r="K11" s="163" t="str">
        <f>VLOOKUP($F$5,Tabla1[[NÓMINA DE ESTUDIANTES]:[DÍAS TRABAJADOS]],7,FALSE)</f>
        <v>f</v>
      </c>
      <c r="L11" s="163" t="str">
        <f>VLOOKUP($F$5,Tabla1[[NÓMINA DE ESTUDIANTES]:[DÍAS TRABAJADOS]],8,FALSE)</f>
        <v>f</v>
      </c>
      <c r="M11" s="163" t="str">
        <f>VLOOKUP($F$5,Tabla1[[NÓMINA DE ESTUDIANTES]:[DÍAS TRABAJADOS]],9,FALSE)</f>
        <v>f</v>
      </c>
      <c r="N11" s="163" t="str">
        <f>VLOOKUP($F$5,Tabla1[[NÓMINA DE ESTUDIANTES]:[DÍAS TRABAJADOS]],10,FALSE)</f>
        <v>a</v>
      </c>
      <c r="O11" s="163" t="str">
        <f>VLOOKUP($F$5,Tabla1[[NÓMINA DE ESTUDIANTES]:[DÍAS TRABAJADOS]],11,FALSE)</f>
        <v>a</v>
      </c>
      <c r="P11" s="163">
        <f>VLOOKUP($F$5,Tabla1[[NÓMINA DE ESTUDIANTES]:[DÍAS TRABAJADOS]],52,FALSE)</f>
        <v>4</v>
      </c>
      <c r="Q11" s="163">
        <f>VLOOKUP($F$5,Tabla1[[NÓMINA DE ESTUDIANTES]:[DÍAS TRABAJADOS]],53,FALSE)</f>
        <v>9</v>
      </c>
      <c r="R11" s="163" t="str">
        <f>VLOOKUP($F$5,Tabla1[[NÓMINA DE ESTUDIANTES]:[DÍAS TRABAJADOS]],54,FALSE)</f>
        <v>0</v>
      </c>
      <c r="S11" s="163" t="str">
        <f>VLOOKUP($F$5,Tabla1[[NÓMINA DE ESTUDIANTES]:[DÍAS TRABAJADOS]],55,FALSE)</f>
        <v>0</v>
      </c>
      <c r="T11" s="163">
        <f>VLOOKUP($F$5,Tabla1[[NÓMINA DE ESTUDIANTES]:[DÍAS TRABAJADOS]],56,FALSE)</f>
        <v>13</v>
      </c>
      <c r="U11" s="159"/>
      <c r="V11" s="159"/>
      <c r="W11" s="159"/>
      <c r="X11" s="159"/>
      <c r="Y11" s="159"/>
      <c r="Z11" s="159"/>
      <c r="AA11" s="159"/>
      <c r="AB11" s="159"/>
      <c r="AC11" s="159"/>
      <c r="AD11" s="159"/>
    </row>
    <row r="12" spans="1:30" ht="5.25" customHeight="1" x14ac:dyDescent="0.4">
      <c r="A12" s="159"/>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row>
    <row r="13" spans="1:30" ht="15.9" customHeight="1" x14ac:dyDescent="0.4">
      <c r="A13" s="256" t="s">
        <v>236</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159"/>
      <c r="AD13" s="159"/>
    </row>
    <row r="14" spans="1:30" ht="15.9" customHeight="1" x14ac:dyDescent="0.4">
      <c r="A14" s="256" t="s">
        <v>169</v>
      </c>
      <c r="B14" s="256"/>
      <c r="C14" s="256"/>
      <c r="D14" s="256"/>
      <c r="E14" s="256"/>
      <c r="F14" s="256"/>
      <c r="G14" s="256"/>
      <c r="H14" s="256"/>
      <c r="I14" s="256" t="s">
        <v>177</v>
      </c>
      <c r="J14" s="256"/>
      <c r="K14" s="256" t="s">
        <v>178</v>
      </c>
      <c r="L14" s="256"/>
      <c r="M14" s="256"/>
      <c r="N14" s="256"/>
      <c r="O14" s="256"/>
      <c r="P14" s="256"/>
      <c r="Q14" s="256"/>
      <c r="R14" s="256"/>
      <c r="S14" s="256"/>
      <c r="T14" s="256"/>
      <c r="U14" s="256"/>
      <c r="V14" s="256"/>
      <c r="W14" s="256"/>
      <c r="X14" s="256"/>
      <c r="Y14" s="256"/>
      <c r="Z14" s="256"/>
      <c r="AA14" s="256"/>
      <c r="AB14" s="256"/>
      <c r="AC14" s="159"/>
      <c r="AD14" s="164"/>
    </row>
    <row r="15" spans="1:30" ht="15.9" customHeight="1" x14ac:dyDescent="0.4">
      <c r="A15" s="264" t="s">
        <v>170</v>
      </c>
      <c r="B15" s="265"/>
      <c r="C15" s="265"/>
      <c r="D15" s="265"/>
      <c r="E15" s="265"/>
      <c r="F15" s="265"/>
      <c r="G15" s="265"/>
      <c r="H15" s="265"/>
      <c r="I15" s="250">
        <f>VLOOKUP($F$5,'VAL 2 TRIM'!B9:AM24,3,FALSE)</f>
        <v>0</v>
      </c>
      <c r="J15" s="250"/>
      <c r="K15" s="251" t="s">
        <v>233</v>
      </c>
      <c r="L15" s="252"/>
      <c r="M15" s="252"/>
      <c r="N15" s="252"/>
      <c r="O15" s="252"/>
      <c r="P15" s="252"/>
      <c r="Q15" s="252"/>
      <c r="R15" s="252"/>
      <c r="S15" s="252"/>
      <c r="T15" s="252"/>
      <c r="U15" s="252"/>
      <c r="V15" s="252"/>
      <c r="W15" s="252"/>
      <c r="X15" s="252"/>
      <c r="Y15" s="252"/>
      <c r="Z15" s="252"/>
      <c r="AA15" s="252"/>
      <c r="AB15" s="252"/>
      <c r="AC15" s="159">
        <f>IF(I15=0,1,0)</f>
        <v>1</v>
      </c>
      <c r="AD15" s="165">
        <v>1</v>
      </c>
    </row>
    <row r="16" spans="1:30" ht="15.9" customHeight="1" x14ac:dyDescent="0.4">
      <c r="A16" s="261" t="s">
        <v>171</v>
      </c>
      <c r="B16" s="261"/>
      <c r="C16" s="261"/>
      <c r="D16" s="261"/>
      <c r="E16" s="261"/>
      <c r="F16" s="261"/>
      <c r="G16" s="261"/>
      <c r="H16" s="261"/>
      <c r="I16" s="250">
        <f>VLOOKUP($F$5,'VAL 2 TRIM'!B9:AM24,4,FALSE)</f>
        <v>18</v>
      </c>
      <c r="J16" s="250"/>
      <c r="K16" s="262"/>
      <c r="L16" s="262"/>
      <c r="M16" s="262"/>
      <c r="N16" s="262"/>
      <c r="O16" s="262"/>
      <c r="P16" s="262"/>
      <c r="Q16" s="262"/>
      <c r="R16" s="262"/>
      <c r="S16" s="262"/>
      <c r="T16" s="262"/>
      <c r="U16" s="262"/>
      <c r="V16" s="262"/>
      <c r="W16" s="262"/>
      <c r="X16" s="262"/>
      <c r="Y16" s="262"/>
      <c r="Z16" s="262"/>
      <c r="AA16" s="262"/>
      <c r="AB16" s="262"/>
      <c r="AC16" s="159">
        <f>IF(I16=0,1,0)</f>
        <v>0</v>
      </c>
      <c r="AD16" s="165">
        <v>1</v>
      </c>
    </row>
    <row r="17" spans="1:30" ht="15.9" customHeight="1" x14ac:dyDescent="0.4">
      <c r="A17" s="260" t="s">
        <v>172</v>
      </c>
      <c r="B17" s="261"/>
      <c r="C17" s="261"/>
      <c r="D17" s="261"/>
      <c r="E17" s="261"/>
      <c r="F17" s="261"/>
      <c r="G17" s="261"/>
      <c r="H17" s="261"/>
      <c r="I17" s="250">
        <f>VLOOKUP($F$5,'VAL 2 TRIM'!B9:AM24,5,FALSE)</f>
        <v>30</v>
      </c>
      <c r="J17" s="250"/>
      <c r="K17" s="262"/>
      <c r="L17" s="262"/>
      <c r="M17" s="262"/>
      <c r="N17" s="262"/>
      <c r="O17" s="262"/>
      <c r="P17" s="262"/>
      <c r="Q17" s="262"/>
      <c r="R17" s="262"/>
      <c r="S17" s="262"/>
      <c r="T17" s="262"/>
      <c r="U17" s="262"/>
      <c r="V17" s="262"/>
      <c r="W17" s="262"/>
      <c r="X17" s="262"/>
      <c r="Y17" s="262"/>
      <c r="Z17" s="262"/>
      <c r="AA17" s="262"/>
      <c r="AB17" s="262"/>
      <c r="AC17" s="159">
        <f>IF(I17=0,1,0)</f>
        <v>0</v>
      </c>
      <c r="AD17" s="165">
        <v>1</v>
      </c>
    </row>
    <row r="18" spans="1:30" ht="15.9" customHeight="1" x14ac:dyDescent="0.4">
      <c r="A18" s="241" t="s">
        <v>79</v>
      </c>
      <c r="B18" s="242"/>
      <c r="C18" s="242"/>
      <c r="D18" s="242"/>
      <c r="E18" s="242"/>
      <c r="F18" s="242"/>
      <c r="G18" s="242"/>
      <c r="H18" s="242"/>
      <c r="I18" s="263">
        <f>SUM(I15:J17)/3</f>
        <v>16</v>
      </c>
      <c r="J18" s="263"/>
      <c r="K18" s="250"/>
      <c r="L18" s="250"/>
      <c r="M18" s="250"/>
      <c r="N18" s="250"/>
      <c r="O18" s="250"/>
      <c r="P18" s="250"/>
      <c r="Q18" s="250"/>
      <c r="R18" s="250"/>
      <c r="S18" s="250"/>
      <c r="T18" s="250"/>
      <c r="U18" s="250"/>
      <c r="V18" s="250"/>
      <c r="W18" s="250"/>
      <c r="X18" s="250"/>
      <c r="Y18" s="250"/>
      <c r="Z18" s="250"/>
      <c r="AA18" s="250"/>
      <c r="AB18" s="250"/>
      <c r="AC18" s="159">
        <f>SUM(AC15:AC17)</f>
        <v>1</v>
      </c>
      <c r="AD18" s="159"/>
    </row>
    <row r="19" spans="1:30" ht="5.25" customHeight="1" x14ac:dyDescent="0.4">
      <c r="A19" s="159"/>
      <c r="B19" s="159"/>
      <c r="C19" s="159"/>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row>
    <row r="20" spans="1:30" ht="15.9" customHeight="1" x14ac:dyDescent="0.4">
      <c r="A20" s="256" t="s">
        <v>237</v>
      </c>
      <c r="B20" s="256"/>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159"/>
      <c r="AD20" s="159"/>
    </row>
    <row r="21" spans="1:30" ht="15.9" customHeight="1" x14ac:dyDescent="0.4">
      <c r="A21" s="256" t="s">
        <v>169</v>
      </c>
      <c r="B21" s="256"/>
      <c r="C21" s="256"/>
      <c r="D21" s="256"/>
      <c r="E21" s="256"/>
      <c r="F21" s="256"/>
      <c r="G21" s="256"/>
      <c r="H21" s="256"/>
      <c r="I21" s="256" t="s">
        <v>177</v>
      </c>
      <c r="J21" s="256"/>
      <c r="K21" s="256" t="s">
        <v>178</v>
      </c>
      <c r="L21" s="256"/>
      <c r="M21" s="256"/>
      <c r="N21" s="256"/>
      <c r="O21" s="256"/>
      <c r="P21" s="256"/>
      <c r="Q21" s="256"/>
      <c r="R21" s="256"/>
      <c r="S21" s="256"/>
      <c r="T21" s="256"/>
      <c r="U21" s="256"/>
      <c r="V21" s="256"/>
      <c r="W21" s="256"/>
      <c r="X21" s="256"/>
      <c r="Y21" s="256"/>
      <c r="Z21" s="256"/>
      <c r="AA21" s="256"/>
      <c r="AB21" s="256"/>
      <c r="AC21" s="159"/>
      <c r="AD21" s="159"/>
    </row>
    <row r="22" spans="1:30" ht="15.9" customHeight="1" x14ac:dyDescent="0.4">
      <c r="A22" s="257" t="s">
        <v>173</v>
      </c>
      <c r="B22" s="258"/>
      <c r="C22" s="258"/>
      <c r="D22" s="258"/>
      <c r="E22" s="258"/>
      <c r="F22" s="258"/>
      <c r="G22" s="258"/>
      <c r="H22" s="259"/>
      <c r="I22" s="250">
        <f>VLOOKUP($F$5,'VAL 2 TRIM'!$B$9:$AM$24,16,FALSE)</f>
        <v>0</v>
      </c>
      <c r="J22" s="250"/>
      <c r="K22" s="251" t="s">
        <v>240</v>
      </c>
      <c r="L22" s="252"/>
      <c r="M22" s="252"/>
      <c r="N22" s="252"/>
      <c r="O22" s="252"/>
      <c r="P22" s="252"/>
      <c r="Q22" s="252"/>
      <c r="R22" s="252"/>
      <c r="S22" s="252"/>
      <c r="T22" s="252"/>
      <c r="U22" s="252"/>
      <c r="V22" s="252"/>
      <c r="W22" s="252"/>
      <c r="X22" s="252"/>
      <c r="Y22" s="252"/>
      <c r="Z22" s="252"/>
      <c r="AA22" s="252"/>
      <c r="AB22" s="252"/>
      <c r="AC22" s="159">
        <f>IF(I22=0,1,0)</f>
        <v>1</v>
      </c>
      <c r="AD22" s="159">
        <v>1</v>
      </c>
    </row>
    <row r="23" spans="1:30" ht="15.9" customHeight="1" x14ac:dyDescent="0.4">
      <c r="A23" s="247" t="s">
        <v>174</v>
      </c>
      <c r="B23" s="248"/>
      <c r="C23" s="248"/>
      <c r="D23" s="248"/>
      <c r="E23" s="248"/>
      <c r="F23" s="248"/>
      <c r="G23" s="248"/>
      <c r="H23" s="249"/>
      <c r="I23" s="250">
        <f>VLOOKUP($F$5,'VAL 2 TRIM'!$B$9:$AM$24,16,FALSE)</f>
        <v>0</v>
      </c>
      <c r="J23" s="250"/>
      <c r="K23" s="251" t="s">
        <v>241</v>
      </c>
      <c r="L23" s="252"/>
      <c r="M23" s="252"/>
      <c r="N23" s="252"/>
      <c r="O23" s="252"/>
      <c r="P23" s="252"/>
      <c r="Q23" s="252"/>
      <c r="R23" s="252"/>
      <c r="S23" s="252"/>
      <c r="T23" s="252"/>
      <c r="U23" s="252"/>
      <c r="V23" s="252"/>
      <c r="W23" s="252"/>
      <c r="X23" s="252"/>
      <c r="Y23" s="252"/>
      <c r="Z23" s="252"/>
      <c r="AA23" s="252"/>
      <c r="AB23" s="252"/>
      <c r="AC23" s="159">
        <f>IF(I23=0,1,0)</f>
        <v>1</v>
      </c>
      <c r="AD23" s="159">
        <v>1</v>
      </c>
    </row>
    <row r="24" spans="1:30" ht="15.9" customHeight="1" x14ac:dyDescent="0.4">
      <c r="A24" s="253" t="s">
        <v>175</v>
      </c>
      <c r="B24" s="254"/>
      <c r="C24" s="254"/>
      <c r="D24" s="254"/>
      <c r="E24" s="254"/>
      <c r="F24" s="254"/>
      <c r="G24" s="254"/>
      <c r="H24" s="255"/>
      <c r="I24" s="250">
        <f>VLOOKUP($F$5,'VAL 2 TRIM'!$B$9:$AM$24,16,FALSE)</f>
        <v>0</v>
      </c>
      <c r="J24" s="250"/>
      <c r="K24" s="251" t="s">
        <v>242</v>
      </c>
      <c r="L24" s="252"/>
      <c r="M24" s="252"/>
      <c r="N24" s="252"/>
      <c r="O24" s="252"/>
      <c r="P24" s="252"/>
      <c r="Q24" s="252"/>
      <c r="R24" s="252"/>
      <c r="S24" s="252"/>
      <c r="T24" s="252"/>
      <c r="U24" s="252"/>
      <c r="V24" s="252"/>
      <c r="W24" s="252"/>
      <c r="X24" s="252"/>
      <c r="Y24" s="252"/>
      <c r="Z24" s="252"/>
      <c r="AA24" s="252"/>
      <c r="AB24" s="252"/>
      <c r="AC24" s="159">
        <f>IF(I24=0,1,0)</f>
        <v>1</v>
      </c>
      <c r="AD24" s="159">
        <v>1</v>
      </c>
    </row>
    <row r="25" spans="1:30" ht="15.9" customHeight="1" x14ac:dyDescent="0.4">
      <c r="A25" s="241" t="s">
        <v>79</v>
      </c>
      <c r="B25" s="242"/>
      <c r="C25" s="242"/>
      <c r="D25" s="242"/>
      <c r="E25" s="242"/>
      <c r="F25" s="242"/>
      <c r="G25" s="242"/>
      <c r="H25" s="242"/>
      <c r="I25" s="243">
        <f>SUM(I22:J24)/3</f>
        <v>0</v>
      </c>
      <c r="J25" s="243"/>
      <c r="K25" s="244"/>
      <c r="L25" s="244"/>
      <c r="M25" s="244"/>
      <c r="N25" s="244"/>
      <c r="O25" s="244"/>
      <c r="P25" s="244"/>
      <c r="Q25" s="244"/>
      <c r="R25" s="244"/>
      <c r="S25" s="244"/>
      <c r="T25" s="244"/>
      <c r="U25" s="244"/>
      <c r="V25" s="244"/>
      <c r="W25" s="244"/>
      <c r="X25" s="244"/>
      <c r="Y25" s="244"/>
      <c r="Z25" s="244"/>
      <c r="AA25" s="244"/>
      <c r="AB25" s="244"/>
      <c r="AC25" s="159">
        <f>SUM(AC22:AC24)</f>
        <v>3</v>
      </c>
      <c r="AD25" s="166">
        <f>SUM(AD15:AD24)</f>
        <v>6</v>
      </c>
    </row>
    <row r="26" spans="1:30" ht="15.9" customHeight="1" x14ac:dyDescent="0.4">
      <c r="A26" s="245"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MAMANI LOPEZ ELIZABETH MILDRED  durante el segundo trimestre tuvo 4 Asistencias, 9 Faltas, 0 Retrasos, 0 Licencias,  Total de Dias Trabajados 13, en relacion a las practicas No presentó 4 Practicas de las 6  tareas (El estudiante puede presentar practicas por una ponderacion de 20 puntos)</v>
      </c>
      <c r="B26" s="245"/>
      <c r="C26" s="245"/>
      <c r="D26" s="245"/>
      <c r="E26" s="245"/>
      <c r="F26" s="245"/>
      <c r="G26" s="245"/>
      <c r="H26" s="245"/>
      <c r="I26" s="245"/>
      <c r="J26" s="245"/>
      <c r="K26" s="245"/>
      <c r="L26" s="245"/>
      <c r="M26" s="245"/>
      <c r="N26" s="245"/>
      <c r="O26" s="245"/>
      <c r="P26" s="245"/>
      <c r="Q26" s="245"/>
      <c r="R26" s="245"/>
      <c r="S26" s="245"/>
      <c r="T26" s="245"/>
      <c r="U26" s="245"/>
      <c r="V26" s="245"/>
      <c r="W26" s="245"/>
      <c r="X26" s="245"/>
      <c r="Y26" s="245"/>
      <c r="Z26" s="245"/>
      <c r="AA26" s="245"/>
      <c r="AB26" s="245"/>
      <c r="AC26" s="159">
        <f>AC18+AC25</f>
        <v>4</v>
      </c>
      <c r="AD26" s="159"/>
    </row>
    <row r="27" spans="1:30" ht="15.9" customHeight="1" x14ac:dyDescent="0.4">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159"/>
      <c r="AD27" s="159"/>
    </row>
    <row r="28" spans="1:30" ht="15.9" customHeight="1" x14ac:dyDescent="0.4">
      <c r="A28" s="159"/>
      <c r="B28" s="159"/>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row>
    <row r="29" spans="1:30" ht="15.9" customHeight="1" x14ac:dyDescent="0.4">
      <c r="A29" s="159"/>
      <c r="B29" s="159"/>
      <c r="C29" s="159"/>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row>
    <row r="30" spans="1:30" ht="15.9" customHeight="1" x14ac:dyDescent="0.4">
      <c r="A30" s="159"/>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row>
    <row r="31" spans="1:30" ht="15.9" customHeight="1" x14ac:dyDescent="0.4">
      <c r="A31" s="159"/>
      <c r="B31" s="159"/>
      <c r="C31" s="159"/>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scale="95"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7734375" defaultRowHeight="15" customHeight="1" x14ac:dyDescent="0.4"/>
  <cols>
    <col min="1" max="1" width="1.6640625" customWidth="1"/>
    <col min="2" max="2" width="20.6640625" customWidth="1"/>
    <col min="3" max="52" width="1.27734375" customWidth="1"/>
    <col min="53" max="57" width="1.38671875" customWidth="1"/>
    <col min="58" max="61" width="1.6640625" customWidth="1"/>
  </cols>
  <sheetData>
    <row r="1" spans="1:61" ht="4.5" customHeight="1" x14ac:dyDescent="0.4"/>
    <row r="2" spans="1:61" ht="12.75" customHeight="1" x14ac:dyDescent="0.4">
      <c r="B2" s="226" t="s">
        <v>65</v>
      </c>
      <c r="C2" s="222"/>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27">
        <f>CARÁTULA!$H$24</f>
        <v>44440</v>
      </c>
      <c r="AU3" s="222"/>
      <c r="AV3" s="222"/>
      <c r="AW3" s="222"/>
      <c r="AX3" s="222"/>
      <c r="AY3" s="222"/>
      <c r="AZ3" s="222"/>
      <c r="BA3" s="275"/>
      <c r="BB3" s="222"/>
      <c r="BC3" s="222"/>
      <c r="BD3" s="222"/>
      <c r="BE3" s="222"/>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27">
        <f>CARÁTULA!$J$24</f>
        <v>44531</v>
      </c>
      <c r="AU4" s="222"/>
      <c r="AV4" s="222"/>
      <c r="AW4" s="222"/>
      <c r="AX4" s="222"/>
      <c r="AY4" s="222"/>
      <c r="AZ4" s="222"/>
      <c r="BA4" s="276">
        <f ca="1">AT4-AT5</f>
        <v>78</v>
      </c>
      <c r="BB4" s="232"/>
      <c r="BC4" s="232"/>
      <c r="BD4" s="232"/>
      <c r="BE4" s="233"/>
    </row>
    <row r="5" spans="1:61" ht="12.75" customHeight="1" x14ac:dyDescent="0.4">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40">
        <f ca="1">TODAY()</f>
        <v>44453</v>
      </c>
      <c r="Y5" s="222"/>
      <c r="Z5" s="222"/>
      <c r="AA5" s="222"/>
      <c r="AB5" s="222"/>
      <c r="AC5" s="222"/>
      <c r="AD5" s="40"/>
      <c r="AE5" s="40"/>
      <c r="AF5" s="40"/>
      <c r="AG5" s="40"/>
      <c r="AH5" s="40"/>
      <c r="AI5" s="40"/>
      <c r="AJ5" s="40"/>
      <c r="AK5" s="45" t="s">
        <v>53</v>
      </c>
      <c r="AL5" s="46"/>
      <c r="AM5" s="46"/>
      <c r="AN5" s="46"/>
      <c r="AO5" s="46"/>
      <c r="AP5" s="46"/>
      <c r="AQ5" s="46"/>
      <c r="AR5" s="40"/>
      <c r="AS5" s="40"/>
      <c r="AT5" s="238">
        <f ca="1">TODAY()</f>
        <v>44453</v>
      </c>
      <c r="AU5" s="222"/>
      <c r="AV5" s="222"/>
      <c r="AW5" s="222"/>
      <c r="AX5" s="222"/>
      <c r="AY5" s="222"/>
      <c r="AZ5" s="222"/>
      <c r="BA5" s="234"/>
      <c r="BB5" s="235"/>
      <c r="BC5" s="235"/>
      <c r="BD5" s="235"/>
      <c r="BE5" s="236"/>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4">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4">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77343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77343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82" t="s">
        <v>74</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4"/>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80" t="s">
        <v>49</v>
      </c>
      <c r="AD3" s="278"/>
      <c r="AE3" s="278"/>
      <c r="AF3" s="278"/>
      <c r="AG3" s="278"/>
      <c r="AH3" s="279"/>
      <c r="AI3" s="240">
        <f>CARÁTULA!$H$14</f>
        <v>44228</v>
      </c>
      <c r="AJ3" s="222"/>
      <c r="AK3" s="222"/>
      <c r="AL3" s="222"/>
      <c r="AM3" s="222"/>
      <c r="AN3" s="283" t="s">
        <v>50</v>
      </c>
      <c r="AO3" s="213"/>
      <c r="AP3" s="213"/>
      <c r="AQ3" s="213"/>
      <c r="AR3" s="214"/>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80" t="s">
        <v>52</v>
      </c>
      <c r="AD4" s="278"/>
      <c r="AE4" s="278"/>
      <c r="AF4" s="278"/>
      <c r="AG4" s="278"/>
      <c r="AH4" s="279"/>
      <c r="AI4" s="240">
        <f>CARÁTULA!$J$14</f>
        <v>44323</v>
      </c>
      <c r="AJ4" s="222"/>
      <c r="AK4" s="222"/>
      <c r="AL4" s="222"/>
      <c r="AM4" s="222"/>
      <c r="AN4" s="276">
        <f ca="1">AI4-AI5</f>
        <v>-130</v>
      </c>
      <c r="AO4" s="232"/>
      <c r="AP4" s="232"/>
      <c r="AQ4" s="232"/>
      <c r="AR4" s="233"/>
    </row>
    <row r="5" spans="1:48" ht="12.75" customHeight="1" x14ac:dyDescent="0.5">
      <c r="A5" s="71"/>
      <c r="B5" s="74" t="s">
        <v>22</v>
      </c>
      <c r="C5" s="75" t="str">
        <f>CARÁTULA!$C$23</f>
        <v>2do de Secundaria</v>
      </c>
      <c r="D5" s="76"/>
      <c r="E5" s="76"/>
      <c r="F5" s="76"/>
      <c r="G5" s="74"/>
      <c r="H5" s="74"/>
      <c r="I5" s="74"/>
      <c r="J5" s="74"/>
      <c r="K5" s="74"/>
      <c r="L5" s="74"/>
      <c r="M5" s="74"/>
      <c r="N5" s="74"/>
      <c r="O5" s="77" t="s">
        <v>23</v>
      </c>
      <c r="P5" s="79"/>
      <c r="Q5" s="79"/>
      <c r="R5" s="79"/>
      <c r="S5" s="288">
        <f ca="1">TODAY()</f>
        <v>44453</v>
      </c>
      <c r="T5" s="213"/>
      <c r="U5" s="213"/>
      <c r="V5" s="213"/>
      <c r="W5" s="213"/>
      <c r="X5" s="213"/>
      <c r="Y5" s="213"/>
      <c r="Z5" s="213"/>
      <c r="AA5" s="214"/>
      <c r="AB5" s="76"/>
      <c r="AC5" s="281" t="s">
        <v>53</v>
      </c>
      <c r="AD5" s="278"/>
      <c r="AE5" s="278"/>
      <c r="AF5" s="278"/>
      <c r="AG5" s="278"/>
      <c r="AH5" s="279"/>
      <c r="AI5" s="284">
        <f ca="1">TODAY()</f>
        <v>44453</v>
      </c>
      <c r="AJ5" s="222"/>
      <c r="AK5" s="222"/>
      <c r="AL5" s="222"/>
      <c r="AM5" s="222"/>
      <c r="AN5" s="234"/>
      <c r="AO5" s="235"/>
      <c r="AP5" s="235"/>
      <c r="AQ5" s="235"/>
      <c r="AR5" s="236"/>
    </row>
    <row r="6" spans="1:48" ht="12.75" customHeight="1" x14ac:dyDescent="0.5">
      <c r="A6" s="71"/>
      <c r="B6" s="74"/>
      <c r="C6" s="228" t="s">
        <v>75</v>
      </c>
      <c r="D6" s="229"/>
      <c r="E6" s="229"/>
      <c r="F6" s="229"/>
      <c r="G6" s="229"/>
      <c r="H6" s="229"/>
      <c r="I6" s="229"/>
      <c r="J6" s="229"/>
      <c r="K6" s="229"/>
      <c r="L6" s="229"/>
      <c r="M6" s="229"/>
      <c r="N6" s="229"/>
      <c r="O6" s="229"/>
      <c r="P6" s="229"/>
      <c r="Q6" s="229"/>
      <c r="R6" s="229"/>
      <c r="S6" s="229"/>
      <c r="T6" s="229"/>
      <c r="U6" s="229"/>
      <c r="V6" s="229"/>
      <c r="W6" s="229"/>
      <c r="X6" s="229"/>
      <c r="Y6" s="229"/>
      <c r="Z6" s="229"/>
      <c r="AA6" s="230"/>
      <c r="AB6" s="289" t="s">
        <v>76</v>
      </c>
      <c r="AC6" s="278"/>
      <c r="AD6" s="278"/>
      <c r="AE6" s="279"/>
      <c r="AF6" s="80"/>
      <c r="AG6" s="81"/>
      <c r="AH6" s="81"/>
      <c r="AI6" s="82"/>
      <c r="AJ6" s="83"/>
      <c r="AK6" s="83"/>
      <c r="AL6" s="83"/>
      <c r="AM6" s="83"/>
      <c r="AN6" s="84"/>
      <c r="AO6" s="84"/>
      <c r="AP6" s="84"/>
      <c r="AQ6" s="84"/>
      <c r="AR6" s="84"/>
    </row>
    <row r="7" spans="1:48" ht="12" customHeight="1" x14ac:dyDescent="0.5">
      <c r="A7" s="71"/>
      <c r="B7" s="85"/>
      <c r="C7" s="290" t="s">
        <v>77</v>
      </c>
      <c r="D7" s="291" t="s">
        <v>78</v>
      </c>
      <c r="E7" s="278"/>
      <c r="F7" s="278"/>
      <c r="G7" s="278"/>
      <c r="H7" s="278"/>
      <c r="I7" s="278"/>
      <c r="J7" s="278"/>
      <c r="K7" s="278"/>
      <c r="L7" s="278"/>
      <c r="M7" s="278"/>
      <c r="N7" s="278"/>
      <c r="O7" s="287" t="s">
        <v>79</v>
      </c>
      <c r="P7" s="291" t="s">
        <v>80</v>
      </c>
      <c r="Q7" s="278"/>
      <c r="R7" s="278"/>
      <c r="S7" s="278"/>
      <c r="T7" s="278"/>
      <c r="U7" s="278"/>
      <c r="V7" s="278"/>
      <c r="W7" s="278"/>
      <c r="X7" s="278"/>
      <c r="Y7" s="278"/>
      <c r="Z7" s="278"/>
      <c r="AA7" s="285" t="s">
        <v>81</v>
      </c>
      <c r="AB7" s="287" t="s">
        <v>79</v>
      </c>
      <c r="AC7" s="285" t="s">
        <v>82</v>
      </c>
      <c r="AD7" s="285" t="s">
        <v>83</v>
      </c>
      <c r="AE7" s="287" t="s">
        <v>79</v>
      </c>
      <c r="AF7" s="292" t="s">
        <v>84</v>
      </c>
      <c r="AG7" s="293" t="s">
        <v>85</v>
      </c>
      <c r="AH7" s="294" t="s">
        <v>86</v>
      </c>
      <c r="AI7" s="229"/>
      <c r="AJ7" s="229"/>
      <c r="AK7" s="229"/>
      <c r="AL7" s="229"/>
      <c r="AM7" s="230"/>
      <c r="AN7" s="86"/>
      <c r="AO7" s="76"/>
      <c r="AP7" s="76"/>
      <c r="AQ7" s="76"/>
      <c r="AR7" s="71"/>
    </row>
    <row r="8" spans="1:48" ht="145" x14ac:dyDescent="0.4">
      <c r="A8" s="48" t="s">
        <v>54</v>
      </c>
      <c r="B8" s="49" t="s">
        <v>55</v>
      </c>
      <c r="C8" s="286"/>
      <c r="D8" s="87" t="s">
        <v>87</v>
      </c>
      <c r="E8" s="87" t="s">
        <v>88</v>
      </c>
      <c r="F8" s="52"/>
      <c r="G8" s="53"/>
      <c r="H8" s="53"/>
      <c r="I8" s="53"/>
      <c r="J8" s="53"/>
      <c r="K8" s="53"/>
      <c r="L8" s="53"/>
      <c r="M8" s="53"/>
      <c r="N8" s="54"/>
      <c r="O8" s="286"/>
      <c r="P8" s="87" t="s">
        <v>89</v>
      </c>
      <c r="Q8" s="87" t="s">
        <v>90</v>
      </c>
      <c r="R8" s="52"/>
      <c r="S8" s="53"/>
      <c r="T8" s="53"/>
      <c r="U8" s="53"/>
      <c r="V8" s="53"/>
      <c r="W8" s="53"/>
      <c r="X8" s="53"/>
      <c r="Y8" s="53"/>
      <c r="Z8" s="53"/>
      <c r="AA8" s="286"/>
      <c r="AB8" s="286"/>
      <c r="AC8" s="286"/>
      <c r="AD8" s="286"/>
      <c r="AE8" s="286"/>
      <c r="AF8" s="286"/>
      <c r="AG8" s="286"/>
      <c r="AH8" s="295"/>
      <c r="AI8" s="296"/>
      <c r="AJ8" s="296"/>
      <c r="AK8" s="296"/>
      <c r="AL8" s="296"/>
      <c r="AM8" s="297"/>
      <c r="AN8" s="88"/>
      <c r="AO8" s="88"/>
      <c r="AP8" s="88"/>
      <c r="AQ8" s="88"/>
      <c r="AR8" s="89"/>
    </row>
    <row r="9" spans="1:48" ht="12" customHeight="1" x14ac:dyDescent="0.4">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77" t="str">
        <f t="shared" ref="AH9:AH44" si="5">IF(AG9="","",(IF(AND(AG9&gt;=1,AG9&lt;=50.499),"REPROBADO",IF(AND(AG9&gt;=50.5,AG9&lt;=100),"APROBADO"))))</f>
        <v>APROBADO</v>
      </c>
      <c r="AI9" s="278"/>
      <c r="AJ9" s="278"/>
      <c r="AK9" s="278"/>
      <c r="AL9" s="278"/>
      <c r="AM9" s="279"/>
      <c r="AN9" s="94" t="s">
        <v>91</v>
      </c>
      <c r="AO9" s="298">
        <f>COUNTIF(AF9:AF44,"ED")</f>
        <v>0</v>
      </c>
      <c r="AP9" s="279"/>
      <c r="AQ9" s="95"/>
      <c r="AR9" s="95"/>
    </row>
    <row r="10" spans="1:48" ht="12" customHeight="1" x14ac:dyDescent="0.4">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77" t="str">
        <f t="shared" si="5"/>
        <v>APROBADO</v>
      </c>
      <c r="AI10" s="278"/>
      <c r="AJ10" s="278"/>
      <c r="AK10" s="278"/>
      <c r="AL10" s="278"/>
      <c r="AM10" s="279"/>
      <c r="AN10" s="48" t="s">
        <v>92</v>
      </c>
      <c r="AO10" s="298">
        <f>COUNTIF(AF9:AF44,"DA")</f>
        <v>11</v>
      </c>
      <c r="AP10" s="279"/>
      <c r="AQ10" s="95"/>
      <c r="AR10" s="95"/>
    </row>
    <row r="11" spans="1:48" ht="12" customHeight="1" x14ac:dyDescent="0.4">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77" t="str">
        <f t="shared" si="5"/>
        <v>APROBADO</v>
      </c>
      <c r="AI11" s="278"/>
      <c r="AJ11" s="278"/>
      <c r="AK11" s="278"/>
      <c r="AL11" s="278"/>
      <c r="AM11" s="279"/>
      <c r="AN11" s="48" t="s">
        <v>93</v>
      </c>
      <c r="AO11" s="298">
        <f>COUNTIF(AF9:AF44,"DO")</f>
        <v>0</v>
      </c>
      <c r="AP11" s="279"/>
      <c r="AQ11" s="95"/>
      <c r="AR11" s="95"/>
    </row>
    <row r="12" spans="1:48" ht="12" customHeight="1" x14ac:dyDescent="0.4">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77" t="str">
        <f t="shared" si="5"/>
        <v>APROBADO</v>
      </c>
      <c r="AI12" s="278"/>
      <c r="AJ12" s="278"/>
      <c r="AK12" s="278"/>
      <c r="AL12" s="278"/>
      <c r="AM12" s="279"/>
      <c r="AN12" s="48" t="s">
        <v>94</v>
      </c>
      <c r="AO12" s="298">
        <f>COUNTIF(AF9:AF44,"DP")</f>
        <v>25</v>
      </c>
      <c r="AP12" s="279"/>
      <c r="AQ12" s="95"/>
      <c r="AR12" s="95"/>
    </row>
    <row r="13" spans="1:48" ht="12" customHeight="1" x14ac:dyDescent="0.4">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77" t="str">
        <f t="shared" si="5"/>
        <v>APROBADO</v>
      </c>
      <c r="AI13" s="278"/>
      <c r="AJ13" s="278"/>
      <c r="AK13" s="278"/>
      <c r="AL13" s="278"/>
      <c r="AM13" s="279"/>
      <c r="AN13" s="95"/>
      <c r="AO13" s="95"/>
      <c r="AP13" s="95"/>
      <c r="AQ13" s="95"/>
      <c r="AR13" s="95"/>
    </row>
    <row r="14" spans="1:48" ht="12" customHeight="1" x14ac:dyDescent="0.4">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77" t="str">
        <f t="shared" si="5"/>
        <v>APROBADO</v>
      </c>
      <c r="AI14" s="278"/>
      <c r="AJ14" s="278"/>
      <c r="AK14" s="278"/>
      <c r="AL14" s="278"/>
      <c r="AM14" s="279"/>
      <c r="AN14" s="95"/>
      <c r="AO14" s="95"/>
      <c r="AP14" s="95"/>
      <c r="AQ14" s="95"/>
      <c r="AR14" s="95"/>
    </row>
    <row r="15" spans="1:48" ht="12" customHeight="1" x14ac:dyDescent="0.4">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77" t="str">
        <f t="shared" si="5"/>
        <v>APROBADO</v>
      </c>
      <c r="AI15" s="278"/>
      <c r="AJ15" s="278"/>
      <c r="AK15" s="278"/>
      <c r="AL15" s="278"/>
      <c r="AM15" s="279"/>
      <c r="AN15" s="95"/>
      <c r="AO15" s="95"/>
      <c r="AP15" s="95"/>
      <c r="AQ15" s="95"/>
      <c r="AR15" s="95"/>
    </row>
    <row r="16" spans="1:48" ht="12" customHeight="1" x14ac:dyDescent="0.4">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77" t="str">
        <f t="shared" si="5"/>
        <v>APROBADO</v>
      </c>
      <c r="AI16" s="278"/>
      <c r="AJ16" s="278"/>
      <c r="AK16" s="278"/>
      <c r="AL16" s="278"/>
      <c r="AM16" s="279"/>
      <c r="AN16" s="95"/>
      <c r="AO16" s="95"/>
      <c r="AP16" s="95"/>
      <c r="AQ16" s="95"/>
      <c r="AR16" s="95"/>
    </row>
    <row r="17" spans="1:44" ht="12" customHeight="1" x14ac:dyDescent="0.4">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77" t="str">
        <f t="shared" si="5"/>
        <v>APROBADO</v>
      </c>
      <c r="AI17" s="278"/>
      <c r="AJ17" s="278"/>
      <c r="AK17" s="278"/>
      <c r="AL17" s="278"/>
      <c r="AM17" s="279"/>
      <c r="AN17" s="95"/>
      <c r="AO17" s="95"/>
      <c r="AP17" s="95"/>
      <c r="AQ17" s="95"/>
      <c r="AR17" s="95"/>
    </row>
    <row r="18" spans="1:44" ht="12" customHeight="1" x14ac:dyDescent="0.4">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77" t="str">
        <f t="shared" si="5"/>
        <v>APROBADO</v>
      </c>
      <c r="AI18" s="278"/>
      <c r="AJ18" s="278"/>
      <c r="AK18" s="278"/>
      <c r="AL18" s="278"/>
      <c r="AM18" s="279"/>
      <c r="AN18" s="95"/>
      <c r="AO18" s="95"/>
      <c r="AP18" s="95"/>
      <c r="AQ18" s="95"/>
      <c r="AR18" s="95"/>
    </row>
    <row r="19" spans="1:44" ht="12" customHeight="1" x14ac:dyDescent="0.4">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77" t="str">
        <f t="shared" si="5"/>
        <v>APROBADO</v>
      </c>
      <c r="AI19" s="278"/>
      <c r="AJ19" s="278"/>
      <c r="AK19" s="278"/>
      <c r="AL19" s="278"/>
      <c r="AM19" s="279"/>
      <c r="AN19" s="95"/>
      <c r="AO19" s="95"/>
      <c r="AP19" s="95"/>
      <c r="AQ19" s="95"/>
      <c r="AR19" s="95"/>
    </row>
    <row r="20" spans="1:44" ht="12" customHeight="1" x14ac:dyDescent="0.4">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77" t="str">
        <f t="shared" si="5"/>
        <v>APROBADO</v>
      </c>
      <c r="AI20" s="278"/>
      <c r="AJ20" s="278"/>
      <c r="AK20" s="278"/>
      <c r="AL20" s="278"/>
      <c r="AM20" s="279"/>
      <c r="AN20" s="95"/>
      <c r="AO20" s="95"/>
      <c r="AP20" s="95"/>
      <c r="AQ20" s="95"/>
      <c r="AR20" s="95"/>
    </row>
    <row r="21" spans="1:44" ht="12" customHeight="1" x14ac:dyDescent="0.4">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77" t="str">
        <f t="shared" si="5"/>
        <v>APROBADO</v>
      </c>
      <c r="AI21" s="278"/>
      <c r="AJ21" s="278"/>
      <c r="AK21" s="278"/>
      <c r="AL21" s="278"/>
      <c r="AM21" s="279"/>
      <c r="AN21" s="95"/>
      <c r="AO21" s="95"/>
      <c r="AP21" s="95"/>
      <c r="AQ21" s="95"/>
      <c r="AR21" s="95"/>
    </row>
    <row r="22" spans="1:44" ht="12" customHeight="1" x14ac:dyDescent="0.4">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77" t="str">
        <f t="shared" si="5"/>
        <v>APROBADO</v>
      </c>
      <c r="AI22" s="278"/>
      <c r="AJ22" s="278"/>
      <c r="AK22" s="278"/>
      <c r="AL22" s="278"/>
      <c r="AM22" s="279"/>
      <c r="AN22" s="95"/>
      <c r="AO22" s="95"/>
      <c r="AP22" s="95"/>
      <c r="AQ22" s="95"/>
      <c r="AR22" s="95"/>
    </row>
    <row r="23" spans="1:44" ht="12" customHeight="1" x14ac:dyDescent="0.4">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77" t="str">
        <f t="shared" si="5"/>
        <v>APROBADO</v>
      </c>
      <c r="AI23" s="278"/>
      <c r="AJ23" s="278"/>
      <c r="AK23" s="278"/>
      <c r="AL23" s="278"/>
      <c r="AM23" s="279"/>
      <c r="AN23" s="95"/>
      <c r="AO23" s="95"/>
      <c r="AP23" s="95"/>
      <c r="AQ23" s="95"/>
      <c r="AR23" s="95"/>
    </row>
    <row r="24" spans="1:44" ht="12" customHeight="1" x14ac:dyDescent="0.4">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77" t="str">
        <f t="shared" si="5"/>
        <v>APROBADO</v>
      </c>
      <c r="AI24" s="278"/>
      <c r="AJ24" s="278"/>
      <c r="AK24" s="278"/>
      <c r="AL24" s="278"/>
      <c r="AM24" s="279"/>
      <c r="AN24" s="95"/>
      <c r="AO24" s="95"/>
      <c r="AP24" s="95"/>
      <c r="AQ24" s="95"/>
      <c r="AR24" s="95"/>
    </row>
    <row r="25" spans="1:44" ht="12" customHeight="1" x14ac:dyDescent="0.4">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77" t="str">
        <f t="shared" si="5"/>
        <v>APROBADO</v>
      </c>
      <c r="AI25" s="278"/>
      <c r="AJ25" s="278"/>
      <c r="AK25" s="278"/>
      <c r="AL25" s="278"/>
      <c r="AM25" s="279"/>
      <c r="AN25" s="95"/>
      <c r="AO25" s="95"/>
      <c r="AP25" s="95"/>
      <c r="AQ25" s="95"/>
      <c r="AR25" s="95"/>
    </row>
    <row r="26" spans="1:44" ht="12" customHeight="1" x14ac:dyDescent="0.4">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7" t="str">
        <f t="shared" si="5"/>
        <v>APROBADO</v>
      </c>
      <c r="AI26" s="278"/>
      <c r="AJ26" s="278"/>
      <c r="AK26" s="278"/>
      <c r="AL26" s="278"/>
      <c r="AM26" s="279"/>
      <c r="AN26" s="95"/>
      <c r="AO26" s="95"/>
      <c r="AP26" s="95"/>
      <c r="AQ26" s="95"/>
      <c r="AR26" s="95"/>
    </row>
    <row r="27" spans="1:44" ht="12" customHeight="1" x14ac:dyDescent="0.4">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7" t="str">
        <f t="shared" si="5"/>
        <v>APROBADO</v>
      </c>
      <c r="AI27" s="278"/>
      <c r="AJ27" s="278"/>
      <c r="AK27" s="278"/>
      <c r="AL27" s="278"/>
      <c r="AM27" s="279"/>
      <c r="AN27" s="95"/>
      <c r="AO27" s="95"/>
      <c r="AP27" s="95"/>
      <c r="AQ27" s="95"/>
      <c r="AR27" s="95"/>
    </row>
    <row r="28" spans="1:44" ht="12" customHeight="1" x14ac:dyDescent="0.4">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7" t="str">
        <f t="shared" si="5"/>
        <v>APROBADO</v>
      </c>
      <c r="AI28" s="278"/>
      <c r="AJ28" s="278"/>
      <c r="AK28" s="278"/>
      <c r="AL28" s="278"/>
      <c r="AM28" s="279"/>
      <c r="AN28" s="95"/>
      <c r="AO28" s="95"/>
      <c r="AP28" s="95"/>
      <c r="AQ28" s="95"/>
      <c r="AR28" s="95"/>
    </row>
    <row r="29" spans="1:44" ht="12" customHeight="1" x14ac:dyDescent="0.4">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7" t="str">
        <f t="shared" si="5"/>
        <v>APROBADO</v>
      </c>
      <c r="AI29" s="278"/>
      <c r="AJ29" s="278"/>
      <c r="AK29" s="278"/>
      <c r="AL29" s="278"/>
      <c r="AM29" s="279"/>
      <c r="AN29" s="95"/>
      <c r="AO29" s="95"/>
      <c r="AP29" s="95"/>
      <c r="AQ29" s="95"/>
      <c r="AR29" s="95"/>
    </row>
    <row r="30" spans="1:44" ht="12" customHeight="1" x14ac:dyDescent="0.4">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7" t="str">
        <f t="shared" si="5"/>
        <v>APROBADO</v>
      </c>
      <c r="AI30" s="278"/>
      <c r="AJ30" s="278"/>
      <c r="AK30" s="278"/>
      <c r="AL30" s="278"/>
      <c r="AM30" s="279"/>
      <c r="AN30" s="95"/>
      <c r="AO30" s="95"/>
      <c r="AP30" s="95"/>
      <c r="AQ30" s="95"/>
      <c r="AR30" s="95"/>
    </row>
    <row r="31" spans="1:44" ht="12" customHeight="1" x14ac:dyDescent="0.4">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7" t="str">
        <f t="shared" si="5"/>
        <v>APROBADO</v>
      </c>
      <c r="AI31" s="278"/>
      <c r="AJ31" s="278"/>
      <c r="AK31" s="278"/>
      <c r="AL31" s="278"/>
      <c r="AM31" s="279"/>
      <c r="AN31" s="95"/>
      <c r="AO31" s="95"/>
      <c r="AP31" s="95"/>
      <c r="AQ31" s="95"/>
      <c r="AR31" s="95"/>
    </row>
    <row r="32" spans="1:44" ht="12" customHeight="1" x14ac:dyDescent="0.4">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7" t="str">
        <f t="shared" si="5"/>
        <v>APROBADO</v>
      </c>
      <c r="AI32" s="278"/>
      <c r="AJ32" s="278"/>
      <c r="AK32" s="278"/>
      <c r="AL32" s="278"/>
      <c r="AM32" s="279"/>
      <c r="AN32" s="95"/>
      <c r="AO32" s="95"/>
      <c r="AP32" s="95"/>
      <c r="AQ32" s="95"/>
      <c r="AR32" s="95"/>
    </row>
    <row r="33" spans="1:44" ht="12" customHeight="1" x14ac:dyDescent="0.4">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7" t="str">
        <f t="shared" si="5"/>
        <v>APROBADO</v>
      </c>
      <c r="AI33" s="278"/>
      <c r="AJ33" s="278"/>
      <c r="AK33" s="278"/>
      <c r="AL33" s="278"/>
      <c r="AM33" s="279"/>
      <c r="AN33" s="95"/>
      <c r="AO33" s="95"/>
      <c r="AP33" s="95"/>
      <c r="AQ33" s="95"/>
      <c r="AR33" s="95"/>
    </row>
    <row r="34" spans="1:44" ht="12" customHeight="1" x14ac:dyDescent="0.4">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7" t="str">
        <f t="shared" si="5"/>
        <v>APROBADO</v>
      </c>
      <c r="AI34" s="278"/>
      <c r="AJ34" s="278"/>
      <c r="AK34" s="278"/>
      <c r="AL34" s="278"/>
      <c r="AM34" s="279"/>
      <c r="AN34" s="95"/>
      <c r="AO34" s="95"/>
      <c r="AP34" s="95"/>
      <c r="AQ34" s="95"/>
      <c r="AR34" s="95"/>
    </row>
    <row r="35" spans="1:44" ht="12" customHeight="1" x14ac:dyDescent="0.4">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7" t="str">
        <f t="shared" si="5"/>
        <v>APROBADO</v>
      </c>
      <c r="AI35" s="278"/>
      <c r="AJ35" s="278"/>
      <c r="AK35" s="278"/>
      <c r="AL35" s="278"/>
      <c r="AM35" s="279"/>
      <c r="AN35" s="95"/>
      <c r="AO35" s="95"/>
      <c r="AP35" s="95"/>
      <c r="AQ35" s="95"/>
      <c r="AR35" s="95"/>
    </row>
    <row r="36" spans="1:44" ht="12" customHeight="1" x14ac:dyDescent="0.4">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7" t="str">
        <f t="shared" si="5"/>
        <v>APROBADO</v>
      </c>
      <c r="AI36" s="278"/>
      <c r="AJ36" s="278"/>
      <c r="AK36" s="278"/>
      <c r="AL36" s="278"/>
      <c r="AM36" s="279"/>
      <c r="AN36" s="95"/>
      <c r="AO36" s="95"/>
      <c r="AP36" s="95"/>
      <c r="AQ36" s="95"/>
      <c r="AR36" s="95"/>
    </row>
    <row r="37" spans="1:44" ht="12" customHeight="1" x14ac:dyDescent="0.4">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7" t="str">
        <f t="shared" si="5"/>
        <v>APROBADO</v>
      </c>
      <c r="AI37" s="278"/>
      <c r="AJ37" s="278"/>
      <c r="AK37" s="278"/>
      <c r="AL37" s="278"/>
      <c r="AM37" s="279"/>
      <c r="AN37" s="95"/>
      <c r="AO37" s="95"/>
      <c r="AP37" s="95"/>
      <c r="AQ37" s="95"/>
      <c r="AR37" s="95"/>
    </row>
    <row r="38" spans="1:44" ht="12" customHeight="1" x14ac:dyDescent="0.4">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7" t="str">
        <f t="shared" si="5"/>
        <v>APROBADO</v>
      </c>
      <c r="AI38" s="278"/>
      <c r="AJ38" s="278"/>
      <c r="AK38" s="278"/>
      <c r="AL38" s="278"/>
      <c r="AM38" s="279"/>
      <c r="AN38" s="95"/>
      <c r="AO38" s="95"/>
      <c r="AP38" s="95"/>
      <c r="AQ38" s="95"/>
      <c r="AR38" s="95"/>
    </row>
    <row r="39" spans="1:44" ht="12" customHeight="1" x14ac:dyDescent="0.4">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7" t="str">
        <f t="shared" si="5"/>
        <v>APROBADO</v>
      </c>
      <c r="AI39" s="278"/>
      <c r="AJ39" s="278"/>
      <c r="AK39" s="278"/>
      <c r="AL39" s="278"/>
      <c r="AM39" s="279"/>
      <c r="AN39" s="95"/>
      <c r="AO39" s="95"/>
      <c r="AP39" s="95"/>
      <c r="AQ39" s="95"/>
      <c r="AR39" s="95"/>
    </row>
    <row r="40" spans="1:44" ht="12" customHeight="1" x14ac:dyDescent="0.4">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7" t="str">
        <f t="shared" si="5"/>
        <v>APROBADO</v>
      </c>
      <c r="AI40" s="278"/>
      <c r="AJ40" s="278"/>
      <c r="AK40" s="278"/>
      <c r="AL40" s="278"/>
      <c r="AM40" s="279"/>
      <c r="AN40" s="95"/>
      <c r="AO40" s="95"/>
      <c r="AP40" s="95"/>
      <c r="AQ40" s="95"/>
      <c r="AR40" s="95"/>
    </row>
    <row r="41" spans="1:44" ht="12" customHeight="1" x14ac:dyDescent="0.4">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7" t="str">
        <f t="shared" si="5"/>
        <v>APROBADO</v>
      </c>
      <c r="AI41" s="278"/>
      <c r="AJ41" s="278"/>
      <c r="AK41" s="278"/>
      <c r="AL41" s="278"/>
      <c r="AM41" s="279"/>
      <c r="AN41" s="95"/>
      <c r="AO41" s="95"/>
      <c r="AP41" s="95"/>
      <c r="AQ41" s="95"/>
      <c r="AR41" s="95"/>
    </row>
    <row r="42" spans="1:44" ht="12" customHeight="1" x14ac:dyDescent="0.4">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7" t="str">
        <f t="shared" si="5"/>
        <v>APROBADO</v>
      </c>
      <c r="AI42" s="278"/>
      <c r="AJ42" s="278"/>
      <c r="AK42" s="278"/>
      <c r="AL42" s="278"/>
      <c r="AM42" s="279"/>
      <c r="AN42" s="95"/>
      <c r="AO42" s="95"/>
      <c r="AP42" s="95"/>
      <c r="AQ42" s="95"/>
      <c r="AR42" s="95"/>
    </row>
    <row r="43" spans="1:44" ht="12" customHeight="1" x14ac:dyDescent="0.4">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7" t="str">
        <f t="shared" si="5"/>
        <v>APROBADO</v>
      </c>
      <c r="AI43" s="278"/>
      <c r="AJ43" s="278"/>
      <c r="AK43" s="278"/>
      <c r="AL43" s="278"/>
      <c r="AM43" s="279"/>
      <c r="AN43" s="95"/>
      <c r="AO43" s="95"/>
      <c r="AP43" s="95"/>
      <c r="AQ43" s="95"/>
      <c r="AR43" s="95"/>
    </row>
    <row r="44" spans="1:44" ht="12" customHeight="1" x14ac:dyDescent="0.4">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7" t="str">
        <f t="shared" si="5"/>
        <v>APROBADO</v>
      </c>
      <c r="AI44" s="278"/>
      <c r="AJ44" s="278"/>
      <c r="AK44" s="278"/>
      <c r="AL44" s="278"/>
      <c r="AM44" s="279"/>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4" workbookViewId="0">
      <selection activeCell="P8" sqref="P8:R8"/>
    </sheetView>
  </sheetViews>
  <sheetFormatPr baseColWidth="10" defaultColWidth="9.277343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77343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82" t="s">
        <v>95</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4"/>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80" t="s">
        <v>49</v>
      </c>
      <c r="AD3" s="278"/>
      <c r="AE3" s="278"/>
      <c r="AF3" s="278"/>
      <c r="AG3" s="278"/>
      <c r="AH3" s="279"/>
      <c r="AI3" s="240">
        <f>CARÁTULA!$H$19</f>
        <v>44326</v>
      </c>
      <c r="AJ3" s="222"/>
      <c r="AK3" s="222"/>
      <c r="AL3" s="222"/>
      <c r="AM3" s="222"/>
      <c r="AN3" s="283" t="s">
        <v>50</v>
      </c>
      <c r="AO3" s="213"/>
      <c r="AP3" s="213"/>
      <c r="AQ3" s="213"/>
      <c r="AR3" s="214"/>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80" t="s">
        <v>52</v>
      </c>
      <c r="AD4" s="278"/>
      <c r="AE4" s="278"/>
      <c r="AF4" s="278"/>
      <c r="AG4" s="278"/>
      <c r="AH4" s="279"/>
      <c r="AI4" s="240">
        <f>CARÁTULA!$J$19</f>
        <v>44439</v>
      </c>
      <c r="AJ4" s="222"/>
      <c r="AK4" s="222"/>
      <c r="AL4" s="222"/>
      <c r="AM4" s="222"/>
      <c r="AN4" s="276">
        <f ca="1">AI4-AI5</f>
        <v>-14</v>
      </c>
      <c r="AO4" s="232"/>
      <c r="AP4" s="232"/>
      <c r="AQ4" s="232"/>
      <c r="AR4" s="233"/>
    </row>
    <row r="5" spans="1:48" ht="12.75" customHeight="1" x14ac:dyDescent="0.5">
      <c r="A5" s="71"/>
      <c r="B5" s="74" t="s">
        <v>22</v>
      </c>
      <c r="C5" s="75" t="str">
        <f>CARÁTULA!$C$23</f>
        <v>2do de Secundaria</v>
      </c>
      <c r="D5" s="76"/>
      <c r="E5" s="76"/>
      <c r="F5" s="76"/>
      <c r="G5" s="74"/>
      <c r="H5" s="74"/>
      <c r="I5" s="74"/>
      <c r="J5" s="74"/>
      <c r="K5" s="74"/>
      <c r="L5" s="74"/>
      <c r="M5" s="74"/>
      <c r="N5" s="74"/>
      <c r="O5" s="74" t="s">
        <v>23</v>
      </c>
      <c r="P5" s="79"/>
      <c r="Q5" s="79"/>
      <c r="R5" s="79"/>
      <c r="S5" s="288">
        <f ca="1">TODAY()</f>
        <v>44453</v>
      </c>
      <c r="T5" s="213"/>
      <c r="U5" s="213"/>
      <c r="V5" s="213"/>
      <c r="W5" s="213"/>
      <c r="X5" s="213"/>
      <c r="Y5" s="213"/>
      <c r="Z5" s="213"/>
      <c r="AA5" s="214"/>
      <c r="AB5" s="76"/>
      <c r="AC5" s="281" t="s">
        <v>53</v>
      </c>
      <c r="AD5" s="278"/>
      <c r="AE5" s="278"/>
      <c r="AF5" s="278"/>
      <c r="AG5" s="278"/>
      <c r="AH5" s="279"/>
      <c r="AI5" s="284">
        <f ca="1">TODAY()</f>
        <v>44453</v>
      </c>
      <c r="AJ5" s="222"/>
      <c r="AK5" s="222"/>
      <c r="AL5" s="222"/>
      <c r="AM5" s="222"/>
      <c r="AN5" s="234"/>
      <c r="AO5" s="235"/>
      <c r="AP5" s="235"/>
      <c r="AQ5" s="235"/>
      <c r="AR5" s="236"/>
    </row>
    <row r="6" spans="1:48" ht="12.75" customHeight="1" x14ac:dyDescent="0.5">
      <c r="A6" s="71"/>
      <c r="B6" s="74"/>
      <c r="C6" s="228" t="s">
        <v>75</v>
      </c>
      <c r="D6" s="229"/>
      <c r="E6" s="229"/>
      <c r="F6" s="229"/>
      <c r="G6" s="229"/>
      <c r="H6" s="229"/>
      <c r="I6" s="229"/>
      <c r="J6" s="229"/>
      <c r="K6" s="229"/>
      <c r="L6" s="229"/>
      <c r="M6" s="229"/>
      <c r="N6" s="229"/>
      <c r="O6" s="229"/>
      <c r="P6" s="229"/>
      <c r="Q6" s="229"/>
      <c r="R6" s="229"/>
      <c r="S6" s="229"/>
      <c r="T6" s="229"/>
      <c r="U6" s="229"/>
      <c r="V6" s="229"/>
      <c r="W6" s="229"/>
      <c r="X6" s="229"/>
      <c r="Y6" s="229"/>
      <c r="Z6" s="229"/>
      <c r="AA6" s="230"/>
      <c r="AB6" s="289" t="s">
        <v>76</v>
      </c>
      <c r="AC6" s="278"/>
      <c r="AD6" s="278"/>
      <c r="AE6" s="279"/>
      <c r="AF6" s="80"/>
      <c r="AG6" s="81"/>
      <c r="AH6" s="81"/>
      <c r="AI6" s="82"/>
      <c r="AJ6" s="83"/>
      <c r="AK6" s="83"/>
      <c r="AL6" s="83"/>
      <c r="AM6" s="83"/>
      <c r="AN6" s="84"/>
      <c r="AO6" s="84"/>
      <c r="AP6" s="84"/>
      <c r="AQ6" s="84"/>
      <c r="AR6" s="84"/>
    </row>
    <row r="7" spans="1:48" ht="12" customHeight="1" x14ac:dyDescent="0.5">
      <c r="A7" s="71"/>
      <c r="B7" s="85"/>
      <c r="C7" s="290" t="s">
        <v>77</v>
      </c>
      <c r="D7" s="291" t="s">
        <v>78</v>
      </c>
      <c r="E7" s="278"/>
      <c r="F7" s="278"/>
      <c r="G7" s="278"/>
      <c r="H7" s="278"/>
      <c r="I7" s="278"/>
      <c r="J7" s="278"/>
      <c r="K7" s="278"/>
      <c r="L7" s="278"/>
      <c r="M7" s="278"/>
      <c r="N7" s="278"/>
      <c r="O7" s="287" t="s">
        <v>79</v>
      </c>
      <c r="P7" s="291" t="s">
        <v>80</v>
      </c>
      <c r="Q7" s="278"/>
      <c r="R7" s="278"/>
      <c r="S7" s="278"/>
      <c r="T7" s="278"/>
      <c r="U7" s="278"/>
      <c r="V7" s="278"/>
      <c r="W7" s="278"/>
      <c r="X7" s="278"/>
      <c r="Y7" s="278"/>
      <c r="Z7" s="278"/>
      <c r="AA7" s="285" t="s">
        <v>81</v>
      </c>
      <c r="AB7" s="287" t="s">
        <v>79</v>
      </c>
      <c r="AC7" s="285" t="s">
        <v>82</v>
      </c>
      <c r="AD7" s="285" t="s">
        <v>83</v>
      </c>
      <c r="AE7" s="287" t="s">
        <v>79</v>
      </c>
      <c r="AF7" s="292" t="s">
        <v>84</v>
      </c>
      <c r="AG7" s="293" t="s">
        <v>85</v>
      </c>
      <c r="AH7" s="294" t="s">
        <v>86</v>
      </c>
      <c r="AI7" s="229"/>
      <c r="AJ7" s="229"/>
      <c r="AK7" s="229"/>
      <c r="AL7" s="229"/>
      <c r="AM7" s="230"/>
      <c r="AN7" s="86"/>
      <c r="AO7" s="76"/>
      <c r="AP7" s="76"/>
      <c r="AQ7" s="76"/>
      <c r="AR7" s="71"/>
    </row>
    <row r="8" spans="1:48" ht="67.5" customHeight="1" x14ac:dyDescent="0.4">
      <c r="A8" s="48" t="s">
        <v>54</v>
      </c>
      <c r="B8" s="49" t="s">
        <v>55</v>
      </c>
      <c r="C8" s="286"/>
      <c r="D8" s="174" t="s">
        <v>231</v>
      </c>
      <c r="E8" s="53" t="s">
        <v>171</v>
      </c>
      <c r="F8" s="175" t="s">
        <v>172</v>
      </c>
      <c r="G8" s="53" t="s">
        <v>244</v>
      </c>
      <c r="H8" s="53"/>
      <c r="I8" s="53"/>
      <c r="J8" s="53"/>
      <c r="K8" s="53"/>
      <c r="L8" s="53"/>
      <c r="M8" s="53"/>
      <c r="N8" s="54"/>
      <c r="O8" s="286"/>
      <c r="P8" s="180" t="s">
        <v>232</v>
      </c>
      <c r="Q8" s="175" t="s">
        <v>234</v>
      </c>
      <c r="R8" s="174" t="s">
        <v>235</v>
      </c>
      <c r="S8" s="53"/>
      <c r="T8" s="53"/>
      <c r="U8" s="53"/>
      <c r="V8" s="53"/>
      <c r="W8" s="53"/>
      <c r="X8" s="53"/>
      <c r="Y8" s="53"/>
      <c r="Z8" s="53"/>
      <c r="AA8" s="286"/>
      <c r="AB8" s="286"/>
      <c r="AC8" s="286"/>
      <c r="AD8" s="286"/>
      <c r="AE8" s="286"/>
      <c r="AF8" s="286"/>
      <c r="AG8" s="286"/>
      <c r="AH8" s="295"/>
      <c r="AI8" s="296"/>
      <c r="AJ8" s="296"/>
      <c r="AK8" s="296"/>
      <c r="AL8" s="296"/>
      <c r="AM8" s="297"/>
      <c r="AN8" s="88"/>
      <c r="AO8" s="88"/>
      <c r="AP8" s="88"/>
      <c r="AQ8" s="88"/>
      <c r="AR8" s="89"/>
    </row>
    <row r="9" spans="1:48" ht="12" customHeight="1" x14ac:dyDescent="0.4">
      <c r="A9" s="58">
        <v>1</v>
      </c>
      <c r="B9" s="156" t="str">
        <f>'C. FILIACION'!B8</f>
        <v>ALARCON CHURA PRISCILA</v>
      </c>
      <c r="C9" s="31">
        <v>10</v>
      </c>
      <c r="D9" s="31">
        <v>0</v>
      </c>
      <c r="E9" s="157">
        <v>17</v>
      </c>
      <c r="F9" s="157">
        <v>0</v>
      </c>
      <c r="G9" s="31">
        <v>0</v>
      </c>
      <c r="H9" s="31"/>
      <c r="I9" s="31"/>
      <c r="J9" s="31"/>
      <c r="K9" s="31"/>
      <c r="L9" s="31"/>
      <c r="M9" s="31"/>
      <c r="N9" s="31"/>
      <c r="O9" s="92">
        <f t="shared" ref="O9:O44" si="0">IFERROR(ROUND(AVERAGE(D9:N9),0),"")</f>
        <v>4</v>
      </c>
      <c r="P9" s="31">
        <v>0</v>
      </c>
      <c r="Q9" s="31">
        <v>0</v>
      </c>
      <c r="R9" s="157">
        <v>0</v>
      </c>
      <c r="S9" s="31"/>
      <c r="T9" s="31"/>
      <c r="U9" s="31"/>
      <c r="V9" s="31"/>
      <c r="W9" s="31"/>
      <c r="X9" s="31"/>
      <c r="Y9" s="31"/>
      <c r="Z9" s="31"/>
      <c r="AA9" s="31">
        <v>10</v>
      </c>
      <c r="AB9" s="92">
        <f t="shared" ref="AB9:AB44" si="1">IFERROR(ROUND(AVERAGE(P9:Z9),0),"")</f>
        <v>0</v>
      </c>
      <c r="AC9" s="31">
        <v>5</v>
      </c>
      <c r="AD9" s="31">
        <v>5</v>
      </c>
      <c r="AE9" s="92">
        <f t="shared" ref="AE9:AE44" si="2">IFERROR((SUM(AC9,AD9)),"")</f>
        <v>10</v>
      </c>
      <c r="AF9" s="93" t="str">
        <f t="shared" ref="AF9:AF44" si="3">IF(AG9&lt;51,"ED",IF(AG9&lt;67,"DA",IF(AG9&lt;85,"DO","DP")))</f>
        <v>ED</v>
      </c>
      <c r="AG9" s="92">
        <f t="shared" ref="AG9:AG44" si="4">IFERROR((SUM(C9,O9,AA9,AB9,AE9)),"")</f>
        <v>34</v>
      </c>
      <c r="AH9" s="277" t="str">
        <f t="shared" ref="AH9:AH44" si="5">IF(AG9="","",(IF(AND(AG9&gt;=1,AG9&lt;=50.499),"REPROBADO",IF(AND(AG9&gt;=50.5,AG9&lt;=100),"APROBADO"))))</f>
        <v>REPROBADO</v>
      </c>
      <c r="AI9" s="278"/>
      <c r="AJ9" s="278"/>
      <c r="AK9" s="278"/>
      <c r="AL9" s="278"/>
      <c r="AM9" s="279"/>
      <c r="AN9" s="94" t="s">
        <v>91</v>
      </c>
      <c r="AO9" s="298">
        <f>COUNTIF(AF9:AF44,"ED")</f>
        <v>5</v>
      </c>
      <c r="AP9" s="279"/>
      <c r="AQ9" s="95"/>
      <c r="AR9" s="95"/>
    </row>
    <row r="10" spans="1:48" ht="12" customHeight="1" x14ac:dyDescent="0.4">
      <c r="A10" s="58">
        <v>2</v>
      </c>
      <c r="B10" s="90" t="str">
        <f>'C. FILIACION'!B9</f>
        <v>ARCE CHOQUE LUCERO CORAL</v>
      </c>
      <c r="C10" s="31">
        <v>10</v>
      </c>
      <c r="D10" s="31">
        <v>0</v>
      </c>
      <c r="E10" s="157">
        <v>18</v>
      </c>
      <c r="F10" s="157">
        <v>0</v>
      </c>
      <c r="G10" s="31">
        <v>16</v>
      </c>
      <c r="H10" s="31"/>
      <c r="I10" s="31"/>
      <c r="J10" s="31"/>
      <c r="K10" s="31"/>
      <c r="L10" s="31"/>
      <c r="M10" s="31"/>
      <c r="N10" s="31"/>
      <c r="O10" s="92">
        <f t="shared" si="0"/>
        <v>9</v>
      </c>
      <c r="P10" s="31">
        <v>0</v>
      </c>
      <c r="Q10" s="31">
        <v>0</v>
      </c>
      <c r="R10" s="157">
        <v>0</v>
      </c>
      <c r="S10" s="31"/>
      <c r="T10" s="31"/>
      <c r="U10" s="31"/>
      <c r="V10" s="31"/>
      <c r="W10" s="31"/>
      <c r="X10" s="31"/>
      <c r="Y10" s="31"/>
      <c r="Z10" s="31"/>
      <c r="AA10" s="31">
        <v>10</v>
      </c>
      <c r="AB10" s="92">
        <f t="shared" si="1"/>
        <v>0</v>
      </c>
      <c r="AC10" s="31">
        <v>5</v>
      </c>
      <c r="AD10" s="31">
        <v>5</v>
      </c>
      <c r="AE10" s="92">
        <f t="shared" si="2"/>
        <v>10</v>
      </c>
      <c r="AF10" s="93" t="str">
        <f t="shared" si="3"/>
        <v>ED</v>
      </c>
      <c r="AG10" s="92">
        <f t="shared" si="4"/>
        <v>39</v>
      </c>
      <c r="AH10" s="277" t="str">
        <f t="shared" si="5"/>
        <v>REPROBADO</v>
      </c>
      <c r="AI10" s="278"/>
      <c r="AJ10" s="278"/>
      <c r="AK10" s="278"/>
      <c r="AL10" s="278"/>
      <c r="AM10" s="279"/>
      <c r="AN10" s="48" t="s">
        <v>92</v>
      </c>
      <c r="AO10" s="298">
        <f>COUNTIF(AF9:AF44,"DA")</f>
        <v>5</v>
      </c>
      <c r="AP10" s="279"/>
      <c r="AQ10" s="95"/>
      <c r="AR10" s="95"/>
    </row>
    <row r="11" spans="1:48" ht="12" customHeight="1" x14ac:dyDescent="0.4">
      <c r="A11" s="58">
        <v>3</v>
      </c>
      <c r="B11" s="90" t="str">
        <f>'C. FILIACION'!B10</f>
        <v>AREQUIPA CALCINA FABIAN JHON</v>
      </c>
      <c r="C11" s="31">
        <v>10</v>
      </c>
      <c r="D11" s="31">
        <v>15</v>
      </c>
      <c r="E11" s="169">
        <v>25</v>
      </c>
      <c r="F11" s="169">
        <v>0</v>
      </c>
      <c r="G11" s="31">
        <v>17</v>
      </c>
      <c r="H11" s="31"/>
      <c r="I11" s="31"/>
      <c r="J11" s="31"/>
      <c r="K11" s="31"/>
      <c r="L11" s="31"/>
      <c r="M11" s="31"/>
      <c r="N11" s="31"/>
      <c r="O11" s="92">
        <f t="shared" si="0"/>
        <v>14</v>
      </c>
      <c r="P11" s="31">
        <v>0</v>
      </c>
      <c r="Q11" s="31">
        <v>28</v>
      </c>
      <c r="R11" s="169">
        <v>0</v>
      </c>
      <c r="S11" s="31"/>
      <c r="T11" s="31"/>
      <c r="U11" s="31"/>
      <c r="V11" s="31"/>
      <c r="W11" s="31"/>
      <c r="X11" s="31"/>
      <c r="Y11" s="31"/>
      <c r="Z11" s="31"/>
      <c r="AA11" s="31">
        <v>10</v>
      </c>
      <c r="AB11" s="92">
        <f t="shared" si="1"/>
        <v>9</v>
      </c>
      <c r="AC11" s="31">
        <v>5</v>
      </c>
      <c r="AD11" s="31">
        <v>5</v>
      </c>
      <c r="AE11" s="92">
        <f t="shared" si="2"/>
        <v>10</v>
      </c>
      <c r="AF11" s="93" t="str">
        <f t="shared" si="3"/>
        <v>DA</v>
      </c>
      <c r="AG11" s="92">
        <f t="shared" si="4"/>
        <v>53</v>
      </c>
      <c r="AH11" s="277" t="str">
        <f t="shared" si="5"/>
        <v>APROBADO</v>
      </c>
      <c r="AI11" s="278"/>
      <c r="AJ11" s="278"/>
      <c r="AK11" s="278"/>
      <c r="AL11" s="278"/>
      <c r="AM11" s="279"/>
      <c r="AN11" s="48" t="s">
        <v>93</v>
      </c>
      <c r="AO11" s="298">
        <f>COUNTIF(AF9:AF44,"DO")</f>
        <v>5</v>
      </c>
      <c r="AP11" s="279"/>
      <c r="AQ11" s="95"/>
      <c r="AR11" s="95"/>
    </row>
    <row r="12" spans="1:48" ht="12" customHeight="1" x14ac:dyDescent="0.4">
      <c r="A12" s="58">
        <v>4</v>
      </c>
      <c r="B12" s="90" t="str">
        <f>'C. FILIACION'!B11</f>
        <v>CLAURE PARAVICINI RASHEL ROSALY</v>
      </c>
      <c r="C12" s="31">
        <v>10</v>
      </c>
      <c r="D12" s="31">
        <v>0</v>
      </c>
      <c r="E12" s="157">
        <v>17</v>
      </c>
      <c r="F12" s="157">
        <v>30</v>
      </c>
      <c r="G12" s="31">
        <v>0</v>
      </c>
      <c r="H12" s="31"/>
      <c r="I12" s="31"/>
      <c r="J12" s="31"/>
      <c r="K12" s="31"/>
      <c r="L12" s="31"/>
      <c r="M12" s="31"/>
      <c r="N12" s="31"/>
      <c r="O12" s="92">
        <f t="shared" si="0"/>
        <v>12</v>
      </c>
      <c r="P12" s="31">
        <v>0</v>
      </c>
      <c r="Q12" s="31">
        <v>0</v>
      </c>
      <c r="R12" s="157">
        <v>0</v>
      </c>
      <c r="S12" s="31"/>
      <c r="T12" s="31"/>
      <c r="U12" s="31"/>
      <c r="V12" s="31"/>
      <c r="W12" s="31"/>
      <c r="X12" s="31"/>
      <c r="Y12" s="31"/>
      <c r="Z12" s="31"/>
      <c r="AA12" s="31">
        <v>10</v>
      </c>
      <c r="AB12" s="92">
        <f t="shared" si="1"/>
        <v>0</v>
      </c>
      <c r="AC12" s="31">
        <v>5</v>
      </c>
      <c r="AD12" s="31">
        <v>5</v>
      </c>
      <c r="AE12" s="92">
        <f t="shared" si="2"/>
        <v>10</v>
      </c>
      <c r="AF12" s="93" t="str">
        <f t="shared" si="3"/>
        <v>ED</v>
      </c>
      <c r="AG12" s="92">
        <f t="shared" si="4"/>
        <v>42</v>
      </c>
      <c r="AH12" s="277" t="str">
        <f t="shared" si="5"/>
        <v>REPROBADO</v>
      </c>
      <c r="AI12" s="278"/>
      <c r="AJ12" s="278"/>
      <c r="AK12" s="278"/>
      <c r="AL12" s="278"/>
      <c r="AM12" s="279"/>
      <c r="AN12" s="48" t="s">
        <v>94</v>
      </c>
      <c r="AO12" s="298">
        <f>COUNTIF(AF9:AF44,"DP")</f>
        <v>21</v>
      </c>
      <c r="AP12" s="279"/>
      <c r="AQ12" s="95"/>
      <c r="AR12" s="95"/>
    </row>
    <row r="13" spans="1:48" ht="12" customHeight="1" x14ac:dyDescent="0.4">
      <c r="A13" s="58">
        <v>5</v>
      </c>
      <c r="B13" s="90" t="str">
        <f>'C. FILIACION'!B12</f>
        <v>CONDORI FLORES ALEJANDRO BRYAN</v>
      </c>
      <c r="C13" s="31">
        <v>10</v>
      </c>
      <c r="D13" s="31">
        <v>19</v>
      </c>
      <c r="E13" s="157">
        <v>25</v>
      </c>
      <c r="F13" s="157">
        <v>0</v>
      </c>
      <c r="G13" s="31">
        <v>17</v>
      </c>
      <c r="H13" s="31"/>
      <c r="I13" s="31"/>
      <c r="J13" s="31"/>
      <c r="K13" s="31"/>
      <c r="L13" s="31"/>
      <c r="M13" s="31"/>
      <c r="N13" s="31"/>
      <c r="O13" s="92">
        <f t="shared" si="0"/>
        <v>15</v>
      </c>
      <c r="P13" s="31">
        <v>5</v>
      </c>
      <c r="Q13" s="31">
        <v>18</v>
      </c>
      <c r="R13" s="157">
        <v>5</v>
      </c>
      <c r="S13" s="31"/>
      <c r="T13" s="31"/>
      <c r="U13" s="31"/>
      <c r="V13" s="31"/>
      <c r="W13" s="31"/>
      <c r="X13" s="31"/>
      <c r="Y13" s="31"/>
      <c r="Z13" s="31"/>
      <c r="AA13" s="31">
        <v>10</v>
      </c>
      <c r="AB13" s="92">
        <f t="shared" si="1"/>
        <v>9</v>
      </c>
      <c r="AC13" s="31">
        <v>5</v>
      </c>
      <c r="AD13" s="31">
        <v>5</v>
      </c>
      <c r="AE13" s="92">
        <f t="shared" si="2"/>
        <v>10</v>
      </c>
      <c r="AF13" s="93" t="str">
        <f t="shared" si="3"/>
        <v>DA</v>
      </c>
      <c r="AG13" s="92">
        <f t="shared" si="4"/>
        <v>54</v>
      </c>
      <c r="AH13" s="277" t="str">
        <f t="shared" si="5"/>
        <v>APROBADO</v>
      </c>
      <c r="AI13" s="278"/>
      <c r="AJ13" s="278"/>
      <c r="AK13" s="278"/>
      <c r="AL13" s="278"/>
      <c r="AM13" s="279"/>
      <c r="AN13" s="95"/>
      <c r="AO13" s="95"/>
      <c r="AP13" s="95"/>
      <c r="AQ13" s="95"/>
      <c r="AR13" s="95"/>
    </row>
    <row r="14" spans="1:48" ht="12" customHeight="1" x14ac:dyDescent="0.4">
      <c r="A14" s="58">
        <v>6</v>
      </c>
      <c r="B14" s="90" t="str">
        <f>'C. FILIACION'!B13</f>
        <v>DE LA CRUZ SANDOVAL JHON MARCO</v>
      </c>
      <c r="C14" s="31">
        <v>10</v>
      </c>
      <c r="D14" s="31">
        <v>23</v>
      </c>
      <c r="E14" s="157">
        <v>27</v>
      </c>
      <c r="F14" s="157">
        <v>35</v>
      </c>
      <c r="G14" s="31">
        <v>18</v>
      </c>
      <c r="H14" s="31"/>
      <c r="I14" s="31"/>
      <c r="J14" s="31"/>
      <c r="K14" s="31"/>
      <c r="L14" s="31"/>
      <c r="M14" s="31"/>
      <c r="N14" s="31"/>
      <c r="O14" s="92">
        <f t="shared" si="0"/>
        <v>26</v>
      </c>
      <c r="P14" s="31">
        <v>5</v>
      </c>
      <c r="Q14" s="31">
        <v>28</v>
      </c>
      <c r="R14" s="157">
        <v>18</v>
      </c>
      <c r="S14" s="31"/>
      <c r="T14" s="31"/>
      <c r="U14" s="31"/>
      <c r="V14" s="31"/>
      <c r="W14" s="31"/>
      <c r="X14" s="31"/>
      <c r="Y14" s="31"/>
      <c r="Z14" s="31"/>
      <c r="AA14" s="31">
        <v>10</v>
      </c>
      <c r="AB14" s="92">
        <f t="shared" si="1"/>
        <v>17</v>
      </c>
      <c r="AC14" s="31">
        <v>5</v>
      </c>
      <c r="AD14" s="31">
        <v>5</v>
      </c>
      <c r="AE14" s="92">
        <f t="shared" si="2"/>
        <v>10</v>
      </c>
      <c r="AF14" s="93" t="str">
        <f t="shared" si="3"/>
        <v>DO</v>
      </c>
      <c r="AG14" s="92">
        <f t="shared" si="4"/>
        <v>73</v>
      </c>
      <c r="AH14" s="277" t="str">
        <f t="shared" si="5"/>
        <v>APROBADO</v>
      </c>
      <c r="AI14" s="278"/>
      <c r="AJ14" s="278"/>
      <c r="AK14" s="278"/>
      <c r="AL14" s="278"/>
      <c r="AM14" s="279"/>
      <c r="AN14" s="95"/>
      <c r="AO14" s="95"/>
      <c r="AP14" s="95"/>
      <c r="AQ14" s="95"/>
      <c r="AR14" s="95"/>
    </row>
    <row r="15" spans="1:48" ht="12" customHeight="1" x14ac:dyDescent="0.4">
      <c r="A15" s="58">
        <v>7</v>
      </c>
      <c r="B15" s="90" t="str">
        <f>'C. FILIACION'!B14</f>
        <v>GARCÍA IGNACIO MISHEL MAYA</v>
      </c>
      <c r="C15" s="31">
        <v>10</v>
      </c>
      <c r="D15" s="31">
        <v>25</v>
      </c>
      <c r="E15" s="157">
        <v>23</v>
      </c>
      <c r="F15" s="157">
        <v>35</v>
      </c>
      <c r="G15" s="31">
        <v>20</v>
      </c>
      <c r="H15" s="31"/>
      <c r="I15" s="31"/>
      <c r="J15" s="31"/>
      <c r="K15" s="31"/>
      <c r="L15" s="31"/>
      <c r="M15" s="31"/>
      <c r="N15" s="31"/>
      <c r="O15" s="92">
        <f t="shared" si="0"/>
        <v>26</v>
      </c>
      <c r="P15" s="31">
        <v>15</v>
      </c>
      <c r="Q15" s="31">
        <v>31</v>
      </c>
      <c r="R15" s="157">
        <v>17</v>
      </c>
      <c r="S15" s="31"/>
      <c r="T15" s="31"/>
      <c r="U15" s="31"/>
      <c r="V15" s="31"/>
      <c r="W15" s="31"/>
      <c r="X15" s="31"/>
      <c r="Y15" s="31"/>
      <c r="Z15" s="31"/>
      <c r="AA15" s="31">
        <v>10</v>
      </c>
      <c r="AB15" s="92">
        <f t="shared" si="1"/>
        <v>21</v>
      </c>
      <c r="AC15" s="31">
        <v>5</v>
      </c>
      <c r="AD15" s="31">
        <v>5</v>
      </c>
      <c r="AE15" s="92">
        <f t="shared" si="2"/>
        <v>10</v>
      </c>
      <c r="AF15" s="93" t="str">
        <f t="shared" si="3"/>
        <v>DO</v>
      </c>
      <c r="AG15" s="92">
        <f t="shared" si="4"/>
        <v>77</v>
      </c>
      <c r="AH15" s="277" t="str">
        <f t="shared" si="5"/>
        <v>APROBADO</v>
      </c>
      <c r="AI15" s="278"/>
      <c r="AJ15" s="278"/>
      <c r="AK15" s="278"/>
      <c r="AL15" s="278"/>
      <c r="AM15" s="279"/>
      <c r="AN15" s="95"/>
      <c r="AO15" s="95"/>
      <c r="AP15" s="95"/>
      <c r="AQ15" s="95"/>
      <c r="AR15" s="95"/>
    </row>
    <row r="16" spans="1:48" ht="12" customHeight="1" x14ac:dyDescent="0.4">
      <c r="A16" s="58">
        <v>8</v>
      </c>
      <c r="B16" s="90" t="str">
        <f>'C. FILIACION'!B15</f>
        <v>HELGUERO SANCHEZ JHOYSI CAMIL</v>
      </c>
      <c r="C16" s="31">
        <v>10</v>
      </c>
      <c r="D16" s="31">
        <v>22</v>
      </c>
      <c r="E16" s="157">
        <v>26</v>
      </c>
      <c r="F16" s="157">
        <v>30</v>
      </c>
      <c r="G16" s="31">
        <v>24</v>
      </c>
      <c r="H16" s="31"/>
      <c r="I16" s="31"/>
      <c r="J16" s="31"/>
      <c r="K16" s="31"/>
      <c r="L16" s="31"/>
      <c r="M16" s="31"/>
      <c r="N16" s="31"/>
      <c r="O16" s="92">
        <f t="shared" si="0"/>
        <v>26</v>
      </c>
      <c r="P16" s="31">
        <v>15</v>
      </c>
      <c r="Q16" s="31">
        <v>25</v>
      </c>
      <c r="R16" s="157">
        <v>15</v>
      </c>
      <c r="S16" s="31"/>
      <c r="T16" s="31"/>
      <c r="U16" s="31"/>
      <c r="V16" s="31"/>
      <c r="W16" s="31"/>
      <c r="X16" s="31"/>
      <c r="Y16" s="31"/>
      <c r="Z16" s="31"/>
      <c r="AA16" s="31">
        <v>10</v>
      </c>
      <c r="AB16" s="92">
        <f t="shared" si="1"/>
        <v>18</v>
      </c>
      <c r="AC16" s="31">
        <v>5</v>
      </c>
      <c r="AD16" s="31">
        <v>5</v>
      </c>
      <c r="AE16" s="92">
        <f t="shared" si="2"/>
        <v>10</v>
      </c>
      <c r="AF16" s="93" t="str">
        <f t="shared" si="3"/>
        <v>DO</v>
      </c>
      <c r="AG16" s="92">
        <f t="shared" si="4"/>
        <v>74</v>
      </c>
      <c r="AH16" s="277" t="str">
        <f t="shared" si="5"/>
        <v>APROBADO</v>
      </c>
      <c r="AI16" s="278"/>
      <c r="AJ16" s="278"/>
      <c r="AK16" s="278"/>
      <c r="AL16" s="278"/>
      <c r="AM16" s="279"/>
      <c r="AN16" s="95"/>
      <c r="AO16" s="95"/>
      <c r="AP16" s="95"/>
      <c r="AQ16" s="95"/>
      <c r="AR16" s="95"/>
    </row>
    <row r="17" spans="1:44" ht="12" customHeight="1" x14ac:dyDescent="0.4">
      <c r="A17" s="58">
        <v>9</v>
      </c>
      <c r="B17" s="90" t="str">
        <f>'C. FILIACION'!B16</f>
        <v>LEDEZMA ORELLANA RICARDO ERIK</v>
      </c>
      <c r="C17" s="31">
        <v>10</v>
      </c>
      <c r="D17" s="31">
        <v>25</v>
      </c>
      <c r="E17" s="157">
        <v>28</v>
      </c>
      <c r="F17" s="157">
        <v>35</v>
      </c>
      <c r="G17" s="31">
        <v>18</v>
      </c>
      <c r="H17" s="31"/>
      <c r="I17" s="31"/>
      <c r="J17" s="31"/>
      <c r="K17" s="31"/>
      <c r="L17" s="31"/>
      <c r="M17" s="31"/>
      <c r="N17" s="31"/>
      <c r="O17" s="92">
        <f t="shared" si="0"/>
        <v>27</v>
      </c>
      <c r="P17" s="31">
        <v>5</v>
      </c>
      <c r="Q17" s="31">
        <v>18</v>
      </c>
      <c r="R17" s="157">
        <v>25</v>
      </c>
      <c r="S17" s="31"/>
      <c r="T17" s="31"/>
      <c r="U17" s="31"/>
      <c r="V17" s="31"/>
      <c r="W17" s="31"/>
      <c r="X17" s="31"/>
      <c r="Y17" s="31"/>
      <c r="Z17" s="31"/>
      <c r="AA17" s="31">
        <v>10</v>
      </c>
      <c r="AB17" s="92">
        <f t="shared" si="1"/>
        <v>16</v>
      </c>
      <c r="AC17" s="31">
        <v>5</v>
      </c>
      <c r="AD17" s="31">
        <v>5</v>
      </c>
      <c r="AE17" s="92">
        <f t="shared" si="2"/>
        <v>10</v>
      </c>
      <c r="AF17" s="93" t="str">
        <f t="shared" si="3"/>
        <v>DO</v>
      </c>
      <c r="AG17" s="92">
        <f t="shared" si="4"/>
        <v>73</v>
      </c>
      <c r="AH17" s="277" t="str">
        <f t="shared" si="5"/>
        <v>APROBADO</v>
      </c>
      <c r="AI17" s="278"/>
      <c r="AJ17" s="278"/>
      <c r="AK17" s="278"/>
      <c r="AL17" s="278"/>
      <c r="AM17" s="279"/>
      <c r="AN17" s="95"/>
      <c r="AO17" s="95"/>
      <c r="AP17" s="95"/>
      <c r="AQ17" s="95"/>
      <c r="AR17" s="95"/>
    </row>
    <row r="18" spans="1:44" ht="12" customHeight="1" x14ac:dyDescent="0.4">
      <c r="A18" s="58">
        <v>10</v>
      </c>
      <c r="B18" s="90" t="str">
        <f>'C. FILIACION'!B17</f>
        <v>MAMANI LOPEZ ELIZABETH MILDRED</v>
      </c>
      <c r="C18" s="31">
        <v>10</v>
      </c>
      <c r="D18" s="31">
        <v>0</v>
      </c>
      <c r="E18" s="157">
        <v>18</v>
      </c>
      <c r="F18" s="157">
        <v>30</v>
      </c>
      <c r="G18" s="31">
        <v>0</v>
      </c>
      <c r="H18" s="31"/>
      <c r="I18" s="31"/>
      <c r="J18" s="31"/>
      <c r="K18" s="31"/>
      <c r="L18" s="31"/>
      <c r="M18" s="31"/>
      <c r="N18" s="31"/>
      <c r="O18" s="92">
        <f t="shared" si="0"/>
        <v>12</v>
      </c>
      <c r="P18" s="31">
        <v>0</v>
      </c>
      <c r="Q18" s="31">
        <v>0</v>
      </c>
      <c r="R18" s="157">
        <v>0</v>
      </c>
      <c r="S18" s="31"/>
      <c r="T18" s="31"/>
      <c r="U18" s="31"/>
      <c r="V18" s="31"/>
      <c r="W18" s="31"/>
      <c r="X18" s="31"/>
      <c r="Y18" s="31"/>
      <c r="Z18" s="31"/>
      <c r="AA18" s="31">
        <v>10</v>
      </c>
      <c r="AB18" s="92">
        <f t="shared" si="1"/>
        <v>0</v>
      </c>
      <c r="AC18" s="31">
        <v>5</v>
      </c>
      <c r="AD18" s="31">
        <v>5</v>
      </c>
      <c r="AE18" s="92">
        <f t="shared" si="2"/>
        <v>10</v>
      </c>
      <c r="AF18" s="93" t="str">
        <f t="shared" si="3"/>
        <v>ED</v>
      </c>
      <c r="AG18" s="92">
        <f t="shared" si="4"/>
        <v>42</v>
      </c>
      <c r="AH18" s="277" t="str">
        <f t="shared" si="5"/>
        <v>REPROBADO</v>
      </c>
      <c r="AI18" s="278"/>
      <c r="AJ18" s="278"/>
      <c r="AK18" s="278"/>
      <c r="AL18" s="278"/>
      <c r="AM18" s="279"/>
      <c r="AN18" s="95"/>
      <c r="AO18" s="95"/>
      <c r="AP18" s="95"/>
      <c r="AQ18" s="95"/>
      <c r="AR18" s="95"/>
    </row>
    <row r="19" spans="1:44" ht="12" customHeight="1" x14ac:dyDescent="0.4">
      <c r="A19" s="58">
        <v>11</v>
      </c>
      <c r="B19" s="90" t="str">
        <f>'C. FILIACION'!B18</f>
        <v>MEDINA CHOQUE JUAN JOSE</v>
      </c>
      <c r="C19" s="31">
        <v>10</v>
      </c>
      <c r="D19" s="31">
        <v>0</v>
      </c>
      <c r="E19" s="157">
        <v>0</v>
      </c>
      <c r="F19" s="157">
        <v>0</v>
      </c>
      <c r="G19" s="31">
        <v>0</v>
      </c>
      <c r="H19" s="31"/>
      <c r="I19" s="31"/>
      <c r="J19" s="31"/>
      <c r="K19" s="31"/>
      <c r="L19" s="31"/>
      <c r="M19" s="31"/>
      <c r="N19" s="31"/>
      <c r="O19" s="92">
        <f t="shared" si="0"/>
        <v>0</v>
      </c>
      <c r="P19" s="31">
        <v>0</v>
      </c>
      <c r="Q19" s="31">
        <v>0</v>
      </c>
      <c r="R19" s="157">
        <v>0</v>
      </c>
      <c r="S19" s="31"/>
      <c r="T19" s="31"/>
      <c r="U19" s="31"/>
      <c r="V19" s="31"/>
      <c r="W19" s="31"/>
      <c r="X19" s="31"/>
      <c r="Y19" s="31"/>
      <c r="Z19" s="31"/>
      <c r="AA19" s="31">
        <v>10</v>
      </c>
      <c r="AB19" s="92">
        <f t="shared" si="1"/>
        <v>0</v>
      </c>
      <c r="AC19" s="31">
        <v>5</v>
      </c>
      <c r="AD19" s="31">
        <v>5</v>
      </c>
      <c r="AE19" s="92">
        <f t="shared" si="2"/>
        <v>10</v>
      </c>
      <c r="AF19" s="93" t="str">
        <f t="shared" si="3"/>
        <v>ED</v>
      </c>
      <c r="AG19" s="92">
        <f t="shared" si="4"/>
        <v>30</v>
      </c>
      <c r="AH19" s="277" t="str">
        <f t="shared" si="5"/>
        <v>REPROBADO</v>
      </c>
      <c r="AI19" s="278"/>
      <c r="AJ19" s="278"/>
      <c r="AK19" s="278"/>
      <c r="AL19" s="278"/>
      <c r="AM19" s="279"/>
      <c r="AN19" s="95"/>
      <c r="AO19" s="95"/>
      <c r="AP19" s="95"/>
      <c r="AQ19" s="95"/>
      <c r="AR19" s="95"/>
    </row>
    <row r="20" spans="1:44" ht="12" customHeight="1" x14ac:dyDescent="0.4">
      <c r="A20" s="58">
        <v>12</v>
      </c>
      <c r="B20" s="90" t="str">
        <f>'C. FILIACION'!B19</f>
        <v>NINA RUEDA SEBASTIAN CARLOS</v>
      </c>
      <c r="C20" s="31">
        <v>10</v>
      </c>
      <c r="D20" s="31">
        <v>26</v>
      </c>
      <c r="E20" s="157">
        <v>17</v>
      </c>
      <c r="F20" s="157">
        <v>17</v>
      </c>
      <c r="G20" s="31">
        <v>0</v>
      </c>
      <c r="H20" s="31"/>
      <c r="I20" s="31"/>
      <c r="J20" s="31"/>
      <c r="K20" s="31"/>
      <c r="L20" s="31"/>
      <c r="M20" s="31"/>
      <c r="N20" s="31"/>
      <c r="O20" s="92">
        <f t="shared" si="0"/>
        <v>15</v>
      </c>
      <c r="P20" s="31">
        <v>15</v>
      </c>
      <c r="Q20" s="31">
        <v>18</v>
      </c>
      <c r="R20" s="157">
        <v>15</v>
      </c>
      <c r="S20" s="31"/>
      <c r="T20" s="31"/>
      <c r="U20" s="31"/>
      <c r="V20" s="31"/>
      <c r="W20" s="31"/>
      <c r="X20" s="31"/>
      <c r="Y20" s="31"/>
      <c r="Z20" s="31"/>
      <c r="AA20" s="31">
        <v>10</v>
      </c>
      <c r="AB20" s="92">
        <f t="shared" si="1"/>
        <v>16</v>
      </c>
      <c r="AC20" s="31">
        <v>5</v>
      </c>
      <c r="AD20" s="31">
        <v>5</v>
      </c>
      <c r="AE20" s="92">
        <f t="shared" si="2"/>
        <v>10</v>
      </c>
      <c r="AF20" s="93" t="str">
        <f t="shared" si="3"/>
        <v>DA</v>
      </c>
      <c r="AG20" s="92">
        <f t="shared" si="4"/>
        <v>61</v>
      </c>
      <c r="AH20" s="277" t="str">
        <f t="shared" si="5"/>
        <v>APROBADO</v>
      </c>
      <c r="AI20" s="278"/>
      <c r="AJ20" s="278"/>
      <c r="AK20" s="278"/>
      <c r="AL20" s="278"/>
      <c r="AM20" s="279"/>
      <c r="AN20" s="95"/>
      <c r="AO20" s="95"/>
      <c r="AP20" s="95"/>
      <c r="AQ20" s="95"/>
      <c r="AR20" s="95"/>
    </row>
    <row r="21" spans="1:44" ht="12" customHeight="1" x14ac:dyDescent="0.4">
      <c r="A21" s="58">
        <v>13</v>
      </c>
      <c r="B21" s="90" t="str">
        <f>'C. FILIACION'!B20</f>
        <v>RODRIGUEZ RAMIREZ NATALY ARIANA</v>
      </c>
      <c r="C21" s="31">
        <v>10</v>
      </c>
      <c r="D21" s="31">
        <v>15</v>
      </c>
      <c r="E21" s="157">
        <v>17</v>
      </c>
      <c r="F21" s="157">
        <v>15</v>
      </c>
      <c r="G21" s="31">
        <v>20</v>
      </c>
      <c r="H21" s="31"/>
      <c r="I21" s="31"/>
      <c r="J21" s="31"/>
      <c r="K21" s="31"/>
      <c r="L21" s="31"/>
      <c r="M21" s="31"/>
      <c r="N21" s="31"/>
      <c r="O21" s="92">
        <f t="shared" si="0"/>
        <v>17</v>
      </c>
      <c r="P21" s="31">
        <v>18</v>
      </c>
      <c r="Q21" s="31">
        <v>30</v>
      </c>
      <c r="R21" s="157">
        <v>15</v>
      </c>
      <c r="S21" s="31"/>
      <c r="T21" s="31"/>
      <c r="U21" s="31"/>
      <c r="V21" s="31"/>
      <c r="W21" s="31"/>
      <c r="X21" s="31"/>
      <c r="Y21" s="31"/>
      <c r="Z21" s="31"/>
      <c r="AA21" s="31">
        <v>10</v>
      </c>
      <c r="AB21" s="92">
        <f t="shared" si="1"/>
        <v>21</v>
      </c>
      <c r="AC21" s="31">
        <v>5</v>
      </c>
      <c r="AD21" s="31">
        <v>5</v>
      </c>
      <c r="AE21" s="92">
        <f t="shared" si="2"/>
        <v>10</v>
      </c>
      <c r="AF21" s="93" t="str">
        <f t="shared" si="3"/>
        <v>DO</v>
      </c>
      <c r="AG21" s="92">
        <f t="shared" si="4"/>
        <v>68</v>
      </c>
      <c r="AH21" s="277" t="str">
        <f t="shared" si="5"/>
        <v>APROBADO</v>
      </c>
      <c r="AI21" s="278"/>
      <c r="AJ21" s="278"/>
      <c r="AK21" s="278"/>
      <c r="AL21" s="278"/>
      <c r="AM21" s="279"/>
      <c r="AN21" s="95"/>
      <c r="AO21" s="95"/>
      <c r="AP21" s="95"/>
      <c r="AQ21" s="95"/>
      <c r="AR21" s="95"/>
    </row>
    <row r="22" spans="1:44" ht="12" customHeight="1" x14ac:dyDescent="0.4">
      <c r="A22" s="58">
        <v>14</v>
      </c>
      <c r="B22" s="90" t="str">
        <f>'C. FILIACION'!B21</f>
        <v>SALAZAR CANAZA CRISTINA MAYRA</v>
      </c>
      <c r="C22" s="31">
        <v>10</v>
      </c>
      <c r="D22" s="31">
        <v>32</v>
      </c>
      <c r="E22" s="157">
        <v>12</v>
      </c>
      <c r="F22" s="157">
        <v>15</v>
      </c>
      <c r="G22" s="31">
        <v>0</v>
      </c>
      <c r="H22" s="31"/>
      <c r="I22" s="31"/>
      <c r="J22" s="31"/>
      <c r="K22" s="31"/>
      <c r="L22" s="31"/>
      <c r="M22" s="31"/>
      <c r="N22" s="31"/>
      <c r="O22" s="92">
        <f t="shared" si="0"/>
        <v>15</v>
      </c>
      <c r="P22" s="31">
        <v>15</v>
      </c>
      <c r="Q22" s="31">
        <v>16</v>
      </c>
      <c r="R22" s="157">
        <v>14</v>
      </c>
      <c r="S22" s="31"/>
      <c r="T22" s="31"/>
      <c r="U22" s="31"/>
      <c r="V22" s="31"/>
      <c r="W22" s="31"/>
      <c r="X22" s="31"/>
      <c r="Y22" s="31"/>
      <c r="Z22" s="31"/>
      <c r="AA22" s="31">
        <v>10</v>
      </c>
      <c r="AB22" s="92">
        <f t="shared" si="1"/>
        <v>15</v>
      </c>
      <c r="AC22" s="31">
        <v>5</v>
      </c>
      <c r="AD22" s="31">
        <v>5</v>
      </c>
      <c r="AE22" s="92">
        <f t="shared" si="2"/>
        <v>10</v>
      </c>
      <c r="AF22" s="93" t="str">
        <f t="shared" si="3"/>
        <v>DA</v>
      </c>
      <c r="AG22" s="92">
        <f t="shared" si="4"/>
        <v>60</v>
      </c>
      <c r="AH22" s="277" t="str">
        <f t="shared" si="5"/>
        <v>APROBADO</v>
      </c>
      <c r="AI22" s="278"/>
      <c r="AJ22" s="278"/>
      <c r="AK22" s="278"/>
      <c r="AL22" s="278"/>
      <c r="AM22" s="279"/>
      <c r="AN22" s="95"/>
      <c r="AO22" s="95"/>
      <c r="AP22" s="95"/>
      <c r="AQ22" s="95"/>
      <c r="AR22" s="95"/>
    </row>
    <row r="23" spans="1:44" ht="12" customHeight="1" x14ac:dyDescent="0.4">
      <c r="A23" s="58">
        <v>15</v>
      </c>
      <c r="B23" s="90" t="str">
        <f>'C. FILIACION'!B22</f>
        <v>SEVILLANO BALTAZAR AGNESE</v>
      </c>
      <c r="C23" s="31">
        <v>10</v>
      </c>
      <c r="D23" s="31">
        <v>25</v>
      </c>
      <c r="E23" s="157">
        <v>35</v>
      </c>
      <c r="F23" s="157">
        <v>35</v>
      </c>
      <c r="G23" s="31">
        <v>20</v>
      </c>
      <c r="H23" s="31"/>
      <c r="I23" s="31"/>
      <c r="J23" s="31"/>
      <c r="K23" s="31"/>
      <c r="L23" s="31"/>
      <c r="M23" s="31"/>
      <c r="N23" s="31"/>
      <c r="O23" s="92">
        <f t="shared" si="0"/>
        <v>29</v>
      </c>
      <c r="P23" s="31">
        <v>35</v>
      </c>
      <c r="Q23" s="31">
        <v>30</v>
      </c>
      <c r="R23" s="157">
        <v>28</v>
      </c>
      <c r="S23" s="31"/>
      <c r="T23" s="31"/>
      <c r="U23" s="31"/>
      <c r="V23" s="31"/>
      <c r="W23" s="31"/>
      <c r="X23" s="31"/>
      <c r="Y23" s="31"/>
      <c r="Z23" s="31"/>
      <c r="AA23" s="31">
        <v>10</v>
      </c>
      <c r="AB23" s="92">
        <f t="shared" si="1"/>
        <v>31</v>
      </c>
      <c r="AC23" s="31">
        <v>5</v>
      </c>
      <c r="AD23" s="31">
        <v>5</v>
      </c>
      <c r="AE23" s="92">
        <f t="shared" si="2"/>
        <v>10</v>
      </c>
      <c r="AF23" s="93" t="str">
        <f t="shared" si="3"/>
        <v>DP</v>
      </c>
      <c r="AG23" s="92">
        <f t="shared" si="4"/>
        <v>90</v>
      </c>
      <c r="AH23" s="277" t="str">
        <f t="shared" si="5"/>
        <v>APROBADO</v>
      </c>
      <c r="AI23" s="278"/>
      <c r="AJ23" s="278"/>
      <c r="AK23" s="278"/>
      <c r="AL23" s="278"/>
      <c r="AM23" s="279"/>
      <c r="AN23" s="95"/>
      <c r="AO23" s="95"/>
      <c r="AP23" s="95"/>
      <c r="AQ23" s="95"/>
      <c r="AR23" s="95"/>
    </row>
    <row r="24" spans="1:44" ht="12" customHeight="1" x14ac:dyDescent="0.4">
      <c r="A24" s="58">
        <v>16</v>
      </c>
      <c r="B24" s="90" t="str">
        <f>'C. FILIACION'!B23</f>
        <v>TOCONAS HUAYGUA VICTORIA FERNANDA</v>
      </c>
      <c r="C24" s="31">
        <v>10</v>
      </c>
      <c r="D24" s="31">
        <v>15</v>
      </c>
      <c r="E24" s="157">
        <v>14</v>
      </c>
      <c r="F24" s="157">
        <v>20</v>
      </c>
      <c r="G24" s="31">
        <v>0</v>
      </c>
      <c r="H24" s="31"/>
      <c r="I24" s="31"/>
      <c r="J24" s="31"/>
      <c r="K24" s="31"/>
      <c r="L24" s="31"/>
      <c r="M24" s="31"/>
      <c r="N24" s="31"/>
      <c r="O24" s="92">
        <f t="shared" si="0"/>
        <v>12</v>
      </c>
      <c r="P24" s="31">
        <v>15</v>
      </c>
      <c r="Q24" s="31">
        <v>16</v>
      </c>
      <c r="R24" s="157">
        <v>20</v>
      </c>
      <c r="S24" s="31"/>
      <c r="T24" s="31"/>
      <c r="U24" s="31"/>
      <c r="V24" s="31"/>
      <c r="W24" s="31"/>
      <c r="X24" s="31"/>
      <c r="Y24" s="31"/>
      <c r="Z24" s="31"/>
      <c r="AA24" s="31">
        <v>10</v>
      </c>
      <c r="AB24" s="92">
        <f t="shared" si="1"/>
        <v>17</v>
      </c>
      <c r="AC24" s="31">
        <v>5</v>
      </c>
      <c r="AD24" s="31">
        <v>5</v>
      </c>
      <c r="AE24" s="92">
        <f t="shared" si="2"/>
        <v>10</v>
      </c>
      <c r="AF24" s="93" t="str">
        <f t="shared" si="3"/>
        <v>DA</v>
      </c>
      <c r="AG24" s="92">
        <f t="shared" si="4"/>
        <v>59</v>
      </c>
      <c r="AH24" s="277" t="str">
        <f t="shared" si="5"/>
        <v>APROBADO</v>
      </c>
      <c r="AI24" s="278"/>
      <c r="AJ24" s="278"/>
      <c r="AK24" s="278"/>
      <c r="AL24" s="278"/>
      <c r="AM24" s="279"/>
      <c r="AN24" s="95"/>
      <c r="AO24" s="95"/>
      <c r="AP24" s="95"/>
      <c r="AQ24" s="95"/>
      <c r="AR24" s="95"/>
    </row>
    <row r="25" spans="1:44" ht="12" customHeight="1" x14ac:dyDescent="0.4">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77" t="str">
        <f t="shared" si="5"/>
        <v>APROBADO</v>
      </c>
      <c r="AI25" s="278"/>
      <c r="AJ25" s="278"/>
      <c r="AK25" s="278"/>
      <c r="AL25" s="278"/>
      <c r="AM25" s="279"/>
      <c r="AN25" s="95"/>
      <c r="AO25" s="95"/>
      <c r="AP25" s="95"/>
      <c r="AQ25" s="95"/>
      <c r="AR25" s="95"/>
    </row>
    <row r="26" spans="1:44" ht="12" customHeight="1" x14ac:dyDescent="0.4">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7" t="str">
        <f t="shared" si="5"/>
        <v>APROBADO</v>
      </c>
      <c r="AI26" s="278"/>
      <c r="AJ26" s="278"/>
      <c r="AK26" s="278"/>
      <c r="AL26" s="278"/>
      <c r="AM26" s="279"/>
      <c r="AN26" s="95"/>
      <c r="AO26" s="95"/>
      <c r="AP26" s="95"/>
      <c r="AQ26" s="95"/>
      <c r="AR26" s="95"/>
    </row>
    <row r="27" spans="1:44" ht="12" customHeight="1" x14ac:dyDescent="0.4">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7" t="str">
        <f t="shared" si="5"/>
        <v>APROBADO</v>
      </c>
      <c r="AI27" s="278"/>
      <c r="AJ27" s="278"/>
      <c r="AK27" s="278"/>
      <c r="AL27" s="278"/>
      <c r="AM27" s="279"/>
      <c r="AN27" s="95"/>
      <c r="AO27" s="95"/>
      <c r="AP27" s="95"/>
      <c r="AQ27" s="95"/>
      <c r="AR27" s="95"/>
    </row>
    <row r="28" spans="1:44" ht="12" customHeight="1" x14ac:dyDescent="0.4">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7" t="str">
        <f t="shared" si="5"/>
        <v>APROBADO</v>
      </c>
      <c r="AI28" s="278"/>
      <c r="AJ28" s="278"/>
      <c r="AK28" s="278"/>
      <c r="AL28" s="278"/>
      <c r="AM28" s="279"/>
      <c r="AN28" s="95"/>
      <c r="AO28" s="95"/>
      <c r="AP28" s="95"/>
      <c r="AQ28" s="95"/>
      <c r="AR28" s="95"/>
    </row>
    <row r="29" spans="1:44" ht="12" customHeight="1" x14ac:dyDescent="0.4">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7" t="str">
        <f t="shared" si="5"/>
        <v>APROBADO</v>
      </c>
      <c r="AI29" s="278"/>
      <c r="AJ29" s="278"/>
      <c r="AK29" s="278"/>
      <c r="AL29" s="278"/>
      <c r="AM29" s="279"/>
      <c r="AN29" s="95"/>
      <c r="AO29" s="95"/>
      <c r="AP29" s="95"/>
      <c r="AQ29" s="95"/>
      <c r="AR29" s="95"/>
    </row>
    <row r="30" spans="1:44" ht="12" customHeight="1" x14ac:dyDescent="0.4">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7" t="str">
        <f t="shared" si="5"/>
        <v>APROBADO</v>
      </c>
      <c r="AI30" s="278"/>
      <c r="AJ30" s="278"/>
      <c r="AK30" s="278"/>
      <c r="AL30" s="278"/>
      <c r="AM30" s="279"/>
      <c r="AN30" s="95"/>
      <c r="AO30" s="95"/>
      <c r="AP30" s="95"/>
      <c r="AQ30" s="95"/>
      <c r="AR30" s="95"/>
    </row>
    <row r="31" spans="1:44" ht="12" customHeight="1" x14ac:dyDescent="0.4">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7" t="str">
        <f t="shared" si="5"/>
        <v>APROBADO</v>
      </c>
      <c r="AI31" s="278"/>
      <c r="AJ31" s="278"/>
      <c r="AK31" s="278"/>
      <c r="AL31" s="278"/>
      <c r="AM31" s="279"/>
      <c r="AN31" s="95"/>
      <c r="AO31" s="95"/>
      <c r="AP31" s="95"/>
      <c r="AQ31" s="95"/>
      <c r="AR31" s="95"/>
    </row>
    <row r="32" spans="1:44" ht="12" customHeight="1" x14ac:dyDescent="0.4">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7" t="str">
        <f t="shared" si="5"/>
        <v>APROBADO</v>
      </c>
      <c r="AI32" s="278"/>
      <c r="AJ32" s="278"/>
      <c r="AK32" s="278"/>
      <c r="AL32" s="278"/>
      <c r="AM32" s="279"/>
      <c r="AN32" s="95"/>
      <c r="AO32" s="95"/>
      <c r="AP32" s="95"/>
      <c r="AQ32" s="95"/>
      <c r="AR32" s="95"/>
    </row>
    <row r="33" spans="1:44" ht="12" customHeight="1" x14ac:dyDescent="0.4">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7" t="str">
        <f t="shared" si="5"/>
        <v>APROBADO</v>
      </c>
      <c r="AI33" s="278"/>
      <c r="AJ33" s="278"/>
      <c r="AK33" s="278"/>
      <c r="AL33" s="278"/>
      <c r="AM33" s="279"/>
      <c r="AN33" s="95"/>
      <c r="AO33" s="95"/>
      <c r="AP33" s="95"/>
      <c r="AQ33" s="95"/>
      <c r="AR33" s="95"/>
    </row>
    <row r="34" spans="1:44" ht="12" customHeight="1" x14ac:dyDescent="0.4">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7" t="str">
        <f t="shared" si="5"/>
        <v>APROBADO</v>
      </c>
      <c r="AI34" s="278"/>
      <c r="AJ34" s="278"/>
      <c r="AK34" s="278"/>
      <c r="AL34" s="278"/>
      <c r="AM34" s="279"/>
      <c r="AN34" s="95"/>
      <c r="AO34" s="95"/>
      <c r="AP34" s="95"/>
      <c r="AQ34" s="95"/>
      <c r="AR34" s="95"/>
    </row>
    <row r="35" spans="1:44" ht="12" customHeight="1" x14ac:dyDescent="0.4">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7" t="str">
        <f t="shared" si="5"/>
        <v>APROBADO</v>
      </c>
      <c r="AI35" s="278"/>
      <c r="AJ35" s="278"/>
      <c r="AK35" s="278"/>
      <c r="AL35" s="278"/>
      <c r="AM35" s="279"/>
      <c r="AN35" s="95"/>
      <c r="AO35" s="95"/>
      <c r="AP35" s="95"/>
      <c r="AQ35" s="95"/>
      <c r="AR35" s="95"/>
    </row>
    <row r="36" spans="1:44" ht="12" customHeight="1" x14ac:dyDescent="0.4">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7" t="str">
        <f t="shared" si="5"/>
        <v>APROBADO</v>
      </c>
      <c r="AI36" s="278"/>
      <c r="AJ36" s="278"/>
      <c r="AK36" s="278"/>
      <c r="AL36" s="278"/>
      <c r="AM36" s="279"/>
      <c r="AN36" s="95"/>
      <c r="AO36" s="95"/>
      <c r="AP36" s="95"/>
      <c r="AQ36" s="95"/>
      <c r="AR36" s="95"/>
    </row>
    <row r="37" spans="1:44" ht="12" customHeight="1" x14ac:dyDescent="0.4">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7" t="str">
        <f t="shared" si="5"/>
        <v>APROBADO</v>
      </c>
      <c r="AI37" s="278"/>
      <c r="AJ37" s="278"/>
      <c r="AK37" s="278"/>
      <c r="AL37" s="278"/>
      <c r="AM37" s="279"/>
      <c r="AN37" s="95"/>
      <c r="AO37" s="95"/>
      <c r="AP37" s="95"/>
      <c r="AQ37" s="95"/>
      <c r="AR37" s="95"/>
    </row>
    <row r="38" spans="1:44" ht="12" customHeight="1" x14ac:dyDescent="0.4">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7" t="str">
        <f t="shared" si="5"/>
        <v>APROBADO</v>
      </c>
      <c r="AI38" s="278"/>
      <c r="AJ38" s="278"/>
      <c r="AK38" s="278"/>
      <c r="AL38" s="278"/>
      <c r="AM38" s="279"/>
      <c r="AN38" s="95"/>
      <c r="AO38" s="95"/>
      <c r="AP38" s="95"/>
      <c r="AQ38" s="95"/>
      <c r="AR38" s="95"/>
    </row>
    <row r="39" spans="1:44" ht="12" customHeight="1" x14ac:dyDescent="0.4">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7" t="str">
        <f t="shared" si="5"/>
        <v>APROBADO</v>
      </c>
      <c r="AI39" s="278"/>
      <c r="AJ39" s="278"/>
      <c r="AK39" s="278"/>
      <c r="AL39" s="278"/>
      <c r="AM39" s="279"/>
      <c r="AN39" s="95"/>
      <c r="AO39" s="95"/>
      <c r="AP39" s="95"/>
      <c r="AQ39" s="95"/>
      <c r="AR39" s="95"/>
    </row>
    <row r="40" spans="1:44" ht="12" customHeight="1" x14ac:dyDescent="0.4">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7" t="str">
        <f t="shared" si="5"/>
        <v>APROBADO</v>
      </c>
      <c r="AI40" s="278"/>
      <c r="AJ40" s="278"/>
      <c r="AK40" s="278"/>
      <c r="AL40" s="278"/>
      <c r="AM40" s="279"/>
      <c r="AN40" s="95"/>
      <c r="AO40" s="95"/>
      <c r="AP40" s="95"/>
      <c r="AQ40" s="95"/>
      <c r="AR40" s="95"/>
    </row>
    <row r="41" spans="1:44" ht="12" customHeight="1" x14ac:dyDescent="0.4">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7" t="str">
        <f t="shared" si="5"/>
        <v>APROBADO</v>
      </c>
      <c r="AI41" s="278"/>
      <c r="AJ41" s="278"/>
      <c r="AK41" s="278"/>
      <c r="AL41" s="278"/>
      <c r="AM41" s="279"/>
      <c r="AN41" s="95"/>
      <c r="AO41" s="95"/>
      <c r="AP41" s="95"/>
      <c r="AQ41" s="95"/>
      <c r="AR41" s="95"/>
    </row>
    <row r="42" spans="1:44" ht="12" customHeight="1" x14ac:dyDescent="0.4">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7" t="str">
        <f t="shared" si="5"/>
        <v>APROBADO</v>
      </c>
      <c r="AI42" s="278"/>
      <c r="AJ42" s="278"/>
      <c r="AK42" s="278"/>
      <c r="AL42" s="278"/>
      <c r="AM42" s="279"/>
      <c r="AN42" s="95"/>
      <c r="AO42" s="95"/>
      <c r="AP42" s="95"/>
      <c r="AQ42" s="95"/>
      <c r="AR42" s="95"/>
    </row>
    <row r="43" spans="1:44" ht="12" customHeight="1" x14ac:dyDescent="0.4">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7" t="str">
        <f t="shared" si="5"/>
        <v>APROBADO</v>
      </c>
      <c r="AI43" s="278"/>
      <c r="AJ43" s="278"/>
      <c r="AK43" s="278"/>
      <c r="AL43" s="278"/>
      <c r="AM43" s="279"/>
      <c r="AN43" s="95"/>
      <c r="AO43" s="95"/>
      <c r="AP43" s="95"/>
      <c r="AQ43" s="95"/>
      <c r="AR43" s="95"/>
    </row>
    <row r="44" spans="1:44" ht="12" customHeight="1" x14ac:dyDescent="0.4">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7" t="str">
        <f t="shared" si="5"/>
        <v>APROBADO</v>
      </c>
      <c r="AI44" s="278"/>
      <c r="AJ44" s="278"/>
      <c r="AK44" s="278"/>
      <c r="AL44" s="278"/>
      <c r="AM44" s="279"/>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77343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77343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82" t="s">
        <v>96</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4"/>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80" t="s">
        <v>49</v>
      </c>
      <c r="AD3" s="278"/>
      <c r="AE3" s="278"/>
      <c r="AF3" s="278"/>
      <c r="AG3" s="278"/>
      <c r="AH3" s="279"/>
      <c r="AI3" s="240">
        <f>CARÁTULA!$H$24</f>
        <v>44440</v>
      </c>
      <c r="AJ3" s="222"/>
      <c r="AK3" s="222"/>
      <c r="AL3" s="222"/>
      <c r="AM3" s="222"/>
      <c r="AN3" s="283" t="s">
        <v>50</v>
      </c>
      <c r="AO3" s="213"/>
      <c r="AP3" s="213"/>
      <c r="AQ3" s="213"/>
      <c r="AR3" s="214"/>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80" t="s">
        <v>52</v>
      </c>
      <c r="AD4" s="278"/>
      <c r="AE4" s="278"/>
      <c r="AF4" s="278"/>
      <c r="AG4" s="278"/>
      <c r="AH4" s="279"/>
      <c r="AI4" s="240">
        <f>CARÁTULA!$J$24</f>
        <v>44531</v>
      </c>
      <c r="AJ4" s="222"/>
      <c r="AK4" s="222"/>
      <c r="AL4" s="222"/>
      <c r="AM4" s="222"/>
      <c r="AN4" s="276">
        <f ca="1">AI4-AI5</f>
        <v>78</v>
      </c>
      <c r="AO4" s="232"/>
      <c r="AP4" s="232"/>
      <c r="AQ4" s="232"/>
      <c r="AR4" s="233"/>
    </row>
    <row r="5" spans="1:48" ht="12.75" customHeight="1" x14ac:dyDescent="0.5">
      <c r="A5" s="71"/>
      <c r="B5" s="74" t="s">
        <v>22</v>
      </c>
      <c r="C5" s="75" t="str">
        <f>CARÁTULA!$C$23</f>
        <v>2do de Secundaria</v>
      </c>
      <c r="D5" s="76"/>
      <c r="E5" s="76"/>
      <c r="F5" s="76"/>
      <c r="G5" s="74"/>
      <c r="H5" s="74"/>
      <c r="I5" s="74"/>
      <c r="J5" s="74"/>
      <c r="K5" s="74"/>
      <c r="L5" s="74"/>
      <c r="M5" s="74"/>
      <c r="N5" s="74"/>
      <c r="O5" s="77" t="s">
        <v>23</v>
      </c>
      <c r="P5" s="79"/>
      <c r="Q5" s="79"/>
      <c r="R5" s="79"/>
      <c r="S5" s="288">
        <f ca="1">TODAY()</f>
        <v>44453</v>
      </c>
      <c r="T5" s="213"/>
      <c r="U5" s="213"/>
      <c r="V5" s="213"/>
      <c r="W5" s="213"/>
      <c r="X5" s="213"/>
      <c r="Y5" s="213"/>
      <c r="Z5" s="213"/>
      <c r="AA5" s="214"/>
      <c r="AB5" s="76"/>
      <c r="AC5" s="281" t="s">
        <v>53</v>
      </c>
      <c r="AD5" s="278"/>
      <c r="AE5" s="278"/>
      <c r="AF5" s="278"/>
      <c r="AG5" s="278"/>
      <c r="AH5" s="279"/>
      <c r="AI5" s="284">
        <f ca="1">TODAY()</f>
        <v>44453</v>
      </c>
      <c r="AJ5" s="222"/>
      <c r="AK5" s="222"/>
      <c r="AL5" s="222"/>
      <c r="AM5" s="222"/>
      <c r="AN5" s="234"/>
      <c r="AO5" s="235"/>
      <c r="AP5" s="235"/>
      <c r="AQ5" s="235"/>
      <c r="AR5" s="236"/>
    </row>
    <row r="6" spans="1:48" ht="12.75" customHeight="1" x14ac:dyDescent="0.5">
      <c r="A6" s="71"/>
      <c r="B6" s="74"/>
      <c r="C6" s="228" t="s">
        <v>75</v>
      </c>
      <c r="D6" s="229"/>
      <c r="E6" s="229"/>
      <c r="F6" s="229"/>
      <c r="G6" s="229"/>
      <c r="H6" s="229"/>
      <c r="I6" s="229"/>
      <c r="J6" s="229"/>
      <c r="K6" s="229"/>
      <c r="L6" s="229"/>
      <c r="M6" s="229"/>
      <c r="N6" s="229"/>
      <c r="O6" s="229"/>
      <c r="P6" s="229"/>
      <c r="Q6" s="229"/>
      <c r="R6" s="229"/>
      <c r="S6" s="229"/>
      <c r="T6" s="229"/>
      <c r="U6" s="229"/>
      <c r="V6" s="229"/>
      <c r="W6" s="229"/>
      <c r="X6" s="229"/>
      <c r="Y6" s="229"/>
      <c r="Z6" s="229"/>
      <c r="AA6" s="230"/>
      <c r="AB6" s="289" t="s">
        <v>76</v>
      </c>
      <c r="AC6" s="278"/>
      <c r="AD6" s="278"/>
      <c r="AE6" s="279"/>
      <c r="AF6" s="80"/>
      <c r="AG6" s="81"/>
      <c r="AH6" s="81"/>
      <c r="AI6" s="82"/>
      <c r="AJ6" s="83"/>
      <c r="AK6" s="83"/>
      <c r="AL6" s="83"/>
      <c r="AM6" s="83"/>
      <c r="AN6" s="84"/>
      <c r="AO6" s="84"/>
      <c r="AP6" s="84"/>
      <c r="AQ6" s="84"/>
      <c r="AR6" s="84"/>
    </row>
    <row r="7" spans="1:48" ht="12" customHeight="1" x14ac:dyDescent="0.5">
      <c r="A7" s="71"/>
      <c r="B7" s="85"/>
      <c r="C7" s="290" t="s">
        <v>77</v>
      </c>
      <c r="D7" s="291" t="s">
        <v>78</v>
      </c>
      <c r="E7" s="278"/>
      <c r="F7" s="278"/>
      <c r="G7" s="278"/>
      <c r="H7" s="278"/>
      <c r="I7" s="278"/>
      <c r="J7" s="278"/>
      <c r="K7" s="278"/>
      <c r="L7" s="278"/>
      <c r="M7" s="278"/>
      <c r="N7" s="278"/>
      <c r="O7" s="287" t="s">
        <v>79</v>
      </c>
      <c r="P7" s="291" t="s">
        <v>80</v>
      </c>
      <c r="Q7" s="278"/>
      <c r="R7" s="278"/>
      <c r="S7" s="278"/>
      <c r="T7" s="278"/>
      <c r="U7" s="278"/>
      <c r="V7" s="278"/>
      <c r="W7" s="278"/>
      <c r="X7" s="278"/>
      <c r="Y7" s="278"/>
      <c r="Z7" s="278"/>
      <c r="AA7" s="285" t="s">
        <v>81</v>
      </c>
      <c r="AB7" s="287" t="s">
        <v>79</v>
      </c>
      <c r="AC7" s="285" t="s">
        <v>82</v>
      </c>
      <c r="AD7" s="285" t="s">
        <v>83</v>
      </c>
      <c r="AE7" s="287" t="s">
        <v>79</v>
      </c>
      <c r="AF7" s="292" t="s">
        <v>84</v>
      </c>
      <c r="AG7" s="293" t="s">
        <v>85</v>
      </c>
      <c r="AH7" s="294" t="s">
        <v>86</v>
      </c>
      <c r="AI7" s="229"/>
      <c r="AJ7" s="229"/>
      <c r="AK7" s="229"/>
      <c r="AL7" s="229"/>
      <c r="AM7" s="230"/>
      <c r="AN7" s="86"/>
      <c r="AO7" s="76"/>
      <c r="AP7" s="76"/>
      <c r="AQ7" s="76"/>
      <c r="AR7" s="71"/>
    </row>
    <row r="8" spans="1:48" ht="67.5" customHeight="1" x14ac:dyDescent="0.4">
      <c r="A8" s="48" t="s">
        <v>54</v>
      </c>
      <c r="B8" s="49" t="s">
        <v>55</v>
      </c>
      <c r="C8" s="286"/>
      <c r="D8" s="53"/>
      <c r="E8" s="53"/>
      <c r="F8" s="53"/>
      <c r="G8" s="53"/>
      <c r="H8" s="53"/>
      <c r="I8" s="53"/>
      <c r="J8" s="53"/>
      <c r="K8" s="53"/>
      <c r="L8" s="53"/>
      <c r="M8" s="53"/>
      <c r="N8" s="54"/>
      <c r="O8" s="286"/>
      <c r="P8" s="96"/>
      <c r="Q8" s="53"/>
      <c r="R8" s="53"/>
      <c r="S8" s="53"/>
      <c r="T8" s="53"/>
      <c r="U8" s="53"/>
      <c r="V8" s="53"/>
      <c r="W8" s="53"/>
      <c r="X8" s="53"/>
      <c r="Y8" s="53"/>
      <c r="Z8" s="53"/>
      <c r="AA8" s="286"/>
      <c r="AB8" s="286"/>
      <c r="AC8" s="286"/>
      <c r="AD8" s="286"/>
      <c r="AE8" s="286"/>
      <c r="AF8" s="286"/>
      <c r="AG8" s="286"/>
      <c r="AH8" s="295"/>
      <c r="AI8" s="296"/>
      <c r="AJ8" s="296"/>
      <c r="AK8" s="296"/>
      <c r="AL8" s="296"/>
      <c r="AM8" s="297"/>
      <c r="AN8" s="88"/>
      <c r="AO8" s="88"/>
      <c r="AP8" s="88"/>
      <c r="AQ8" s="88"/>
      <c r="AR8" s="89"/>
    </row>
    <row r="9" spans="1:48" ht="12" customHeight="1" x14ac:dyDescent="0.4">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77" t="str">
        <f t="shared" ref="AH9:AH44" si="5">IF(AG9="","",(IF(AND(AG9&gt;=1,AG9&lt;=50.499),"REPROBADO",IF(AND(AG9&gt;=50.5,AG9&lt;=100),"APROBADO"))))</f>
        <v>APROBADO</v>
      </c>
      <c r="AI9" s="278"/>
      <c r="AJ9" s="278"/>
      <c r="AK9" s="278"/>
      <c r="AL9" s="278"/>
      <c r="AM9" s="279"/>
      <c r="AN9" s="94" t="s">
        <v>91</v>
      </c>
      <c r="AO9" s="298">
        <f>COUNTIF(AF9:AF44,"ED")</f>
        <v>0</v>
      </c>
      <c r="AP9" s="279"/>
      <c r="AQ9" s="95"/>
      <c r="AR9" s="95"/>
    </row>
    <row r="10" spans="1:48" ht="12" customHeight="1" x14ac:dyDescent="0.4">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77" t="str">
        <f t="shared" si="5"/>
        <v>APROBADO</v>
      </c>
      <c r="AI10" s="278"/>
      <c r="AJ10" s="278"/>
      <c r="AK10" s="278"/>
      <c r="AL10" s="278"/>
      <c r="AM10" s="279"/>
      <c r="AN10" s="48" t="s">
        <v>92</v>
      </c>
      <c r="AO10" s="298">
        <f>COUNTIF(AF9:AF44,"DA")</f>
        <v>0</v>
      </c>
      <c r="AP10" s="279"/>
      <c r="AQ10" s="95"/>
      <c r="AR10" s="95"/>
    </row>
    <row r="11" spans="1:48" ht="12" customHeight="1" x14ac:dyDescent="0.4">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77" t="str">
        <f t="shared" si="5"/>
        <v>APROBADO</v>
      </c>
      <c r="AI11" s="278"/>
      <c r="AJ11" s="278"/>
      <c r="AK11" s="278"/>
      <c r="AL11" s="278"/>
      <c r="AM11" s="279"/>
      <c r="AN11" s="48" t="s">
        <v>93</v>
      </c>
      <c r="AO11" s="298">
        <f>COUNTIF(AF9:AF44,"DO")</f>
        <v>0</v>
      </c>
      <c r="AP11" s="279"/>
      <c r="AQ11" s="95"/>
      <c r="AR11" s="95"/>
    </row>
    <row r="12" spans="1:48" ht="12" customHeight="1" x14ac:dyDescent="0.4">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77" t="str">
        <f t="shared" si="5"/>
        <v>APROBADO</v>
      </c>
      <c r="AI12" s="278"/>
      <c r="AJ12" s="278"/>
      <c r="AK12" s="278"/>
      <c r="AL12" s="278"/>
      <c r="AM12" s="279"/>
      <c r="AN12" s="48" t="s">
        <v>94</v>
      </c>
      <c r="AO12" s="298">
        <f>COUNTIF(AF9:AF44,"DP")</f>
        <v>36</v>
      </c>
      <c r="AP12" s="279"/>
      <c r="AQ12" s="95"/>
      <c r="AR12" s="95"/>
    </row>
    <row r="13" spans="1:48" ht="12" customHeight="1" x14ac:dyDescent="0.4">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77" t="str">
        <f t="shared" si="5"/>
        <v>APROBADO</v>
      </c>
      <c r="AI13" s="278"/>
      <c r="AJ13" s="278"/>
      <c r="AK13" s="278"/>
      <c r="AL13" s="278"/>
      <c r="AM13" s="279"/>
      <c r="AN13" s="95"/>
      <c r="AO13" s="95"/>
      <c r="AP13" s="95"/>
      <c r="AQ13" s="95"/>
      <c r="AR13" s="95"/>
    </row>
    <row r="14" spans="1:48" ht="12" customHeight="1" x14ac:dyDescent="0.4">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77" t="str">
        <f t="shared" si="5"/>
        <v>APROBADO</v>
      </c>
      <c r="AI14" s="278"/>
      <c r="AJ14" s="278"/>
      <c r="AK14" s="278"/>
      <c r="AL14" s="278"/>
      <c r="AM14" s="279"/>
      <c r="AN14" s="95"/>
      <c r="AO14" s="95"/>
      <c r="AP14" s="95"/>
      <c r="AQ14" s="95"/>
      <c r="AR14" s="95"/>
    </row>
    <row r="15" spans="1:48" ht="12" customHeight="1" x14ac:dyDescent="0.4">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77" t="str">
        <f t="shared" si="5"/>
        <v>APROBADO</v>
      </c>
      <c r="AI15" s="278"/>
      <c r="AJ15" s="278"/>
      <c r="AK15" s="278"/>
      <c r="AL15" s="278"/>
      <c r="AM15" s="279"/>
      <c r="AN15" s="95"/>
      <c r="AO15" s="95"/>
      <c r="AP15" s="95"/>
      <c r="AQ15" s="95"/>
      <c r="AR15" s="95"/>
    </row>
    <row r="16" spans="1:48" ht="12" customHeight="1" x14ac:dyDescent="0.4">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77" t="str">
        <f t="shared" si="5"/>
        <v>APROBADO</v>
      </c>
      <c r="AI16" s="278"/>
      <c r="AJ16" s="278"/>
      <c r="AK16" s="278"/>
      <c r="AL16" s="278"/>
      <c r="AM16" s="279"/>
      <c r="AN16" s="95"/>
      <c r="AO16" s="95"/>
      <c r="AP16" s="95"/>
      <c r="AQ16" s="95"/>
      <c r="AR16" s="95"/>
    </row>
    <row r="17" spans="1:44" ht="12" customHeight="1" x14ac:dyDescent="0.4">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77" t="str">
        <f t="shared" si="5"/>
        <v>APROBADO</v>
      </c>
      <c r="AI17" s="278"/>
      <c r="AJ17" s="278"/>
      <c r="AK17" s="278"/>
      <c r="AL17" s="278"/>
      <c r="AM17" s="279"/>
      <c r="AN17" s="95"/>
      <c r="AO17" s="95"/>
      <c r="AP17" s="95"/>
      <c r="AQ17" s="95"/>
      <c r="AR17" s="95"/>
    </row>
    <row r="18" spans="1:44" ht="12" customHeight="1" x14ac:dyDescent="0.4">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77" t="str">
        <f t="shared" si="5"/>
        <v>APROBADO</v>
      </c>
      <c r="AI18" s="278"/>
      <c r="AJ18" s="278"/>
      <c r="AK18" s="278"/>
      <c r="AL18" s="278"/>
      <c r="AM18" s="279"/>
      <c r="AN18" s="95"/>
      <c r="AO18" s="95"/>
      <c r="AP18" s="95"/>
      <c r="AQ18" s="95"/>
      <c r="AR18" s="95"/>
    </row>
    <row r="19" spans="1:44" ht="12" customHeight="1" x14ac:dyDescent="0.4">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77" t="str">
        <f t="shared" si="5"/>
        <v>APROBADO</v>
      </c>
      <c r="AI19" s="278"/>
      <c r="AJ19" s="278"/>
      <c r="AK19" s="278"/>
      <c r="AL19" s="278"/>
      <c r="AM19" s="279"/>
      <c r="AN19" s="95"/>
      <c r="AO19" s="95"/>
      <c r="AP19" s="95"/>
      <c r="AQ19" s="95"/>
      <c r="AR19" s="95"/>
    </row>
    <row r="20" spans="1:44" ht="12" customHeight="1" x14ac:dyDescent="0.4">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77" t="str">
        <f t="shared" si="5"/>
        <v>APROBADO</v>
      </c>
      <c r="AI20" s="278"/>
      <c r="AJ20" s="278"/>
      <c r="AK20" s="278"/>
      <c r="AL20" s="278"/>
      <c r="AM20" s="279"/>
      <c r="AN20" s="95"/>
      <c r="AO20" s="95"/>
      <c r="AP20" s="95"/>
      <c r="AQ20" s="95"/>
      <c r="AR20" s="95"/>
    </row>
    <row r="21" spans="1:44" ht="12" customHeight="1" x14ac:dyDescent="0.4">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77" t="str">
        <f t="shared" si="5"/>
        <v>APROBADO</v>
      </c>
      <c r="AI21" s="278"/>
      <c r="AJ21" s="278"/>
      <c r="AK21" s="278"/>
      <c r="AL21" s="278"/>
      <c r="AM21" s="279"/>
      <c r="AN21" s="95"/>
      <c r="AO21" s="95"/>
      <c r="AP21" s="95"/>
      <c r="AQ21" s="95"/>
      <c r="AR21" s="95"/>
    </row>
    <row r="22" spans="1:44" ht="12" customHeight="1" x14ac:dyDescent="0.4">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77" t="str">
        <f t="shared" si="5"/>
        <v>APROBADO</v>
      </c>
      <c r="AI22" s="278"/>
      <c r="AJ22" s="278"/>
      <c r="AK22" s="278"/>
      <c r="AL22" s="278"/>
      <c r="AM22" s="279"/>
      <c r="AN22" s="95"/>
      <c r="AO22" s="95"/>
      <c r="AP22" s="95"/>
      <c r="AQ22" s="95"/>
      <c r="AR22" s="95"/>
    </row>
    <row r="23" spans="1:44" ht="12" customHeight="1" x14ac:dyDescent="0.4">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77" t="str">
        <f t="shared" si="5"/>
        <v>APROBADO</v>
      </c>
      <c r="AI23" s="278"/>
      <c r="AJ23" s="278"/>
      <c r="AK23" s="278"/>
      <c r="AL23" s="278"/>
      <c r="AM23" s="279"/>
      <c r="AN23" s="95"/>
      <c r="AO23" s="95"/>
      <c r="AP23" s="95"/>
      <c r="AQ23" s="95"/>
      <c r="AR23" s="95"/>
    </row>
    <row r="24" spans="1:44" ht="12" customHeight="1" x14ac:dyDescent="0.4">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77" t="str">
        <f t="shared" si="5"/>
        <v>APROBADO</v>
      </c>
      <c r="AI24" s="278"/>
      <c r="AJ24" s="278"/>
      <c r="AK24" s="278"/>
      <c r="AL24" s="278"/>
      <c r="AM24" s="279"/>
      <c r="AN24" s="95"/>
      <c r="AO24" s="95"/>
      <c r="AP24" s="95"/>
      <c r="AQ24" s="95"/>
      <c r="AR24" s="95"/>
    </row>
    <row r="25" spans="1:44" ht="12" customHeight="1" x14ac:dyDescent="0.4">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77" t="str">
        <f t="shared" si="5"/>
        <v>APROBADO</v>
      </c>
      <c r="AI25" s="278"/>
      <c r="AJ25" s="278"/>
      <c r="AK25" s="278"/>
      <c r="AL25" s="278"/>
      <c r="AM25" s="279"/>
      <c r="AN25" s="95"/>
      <c r="AO25" s="95"/>
      <c r="AP25" s="95"/>
      <c r="AQ25" s="95"/>
      <c r="AR25" s="95"/>
    </row>
    <row r="26" spans="1:44" ht="12" customHeight="1" x14ac:dyDescent="0.4">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7" t="str">
        <f t="shared" si="5"/>
        <v>APROBADO</v>
      </c>
      <c r="AI26" s="278"/>
      <c r="AJ26" s="278"/>
      <c r="AK26" s="278"/>
      <c r="AL26" s="278"/>
      <c r="AM26" s="279"/>
      <c r="AN26" s="95"/>
      <c r="AO26" s="95"/>
      <c r="AP26" s="95"/>
      <c r="AQ26" s="95"/>
      <c r="AR26" s="95"/>
    </row>
    <row r="27" spans="1:44" ht="12" customHeight="1" x14ac:dyDescent="0.4">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7" t="str">
        <f t="shared" si="5"/>
        <v>APROBADO</v>
      </c>
      <c r="AI27" s="278"/>
      <c r="AJ27" s="278"/>
      <c r="AK27" s="278"/>
      <c r="AL27" s="278"/>
      <c r="AM27" s="279"/>
      <c r="AN27" s="95"/>
      <c r="AO27" s="95"/>
      <c r="AP27" s="95"/>
      <c r="AQ27" s="95"/>
      <c r="AR27" s="95"/>
    </row>
    <row r="28" spans="1:44" ht="12" customHeight="1" x14ac:dyDescent="0.4">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7" t="str">
        <f t="shared" si="5"/>
        <v>APROBADO</v>
      </c>
      <c r="AI28" s="278"/>
      <c r="AJ28" s="278"/>
      <c r="AK28" s="278"/>
      <c r="AL28" s="278"/>
      <c r="AM28" s="279"/>
      <c r="AN28" s="95"/>
      <c r="AO28" s="95"/>
      <c r="AP28" s="95"/>
      <c r="AQ28" s="95"/>
      <c r="AR28" s="95"/>
    </row>
    <row r="29" spans="1:44" ht="12" customHeight="1" x14ac:dyDescent="0.4">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7" t="str">
        <f t="shared" si="5"/>
        <v>APROBADO</v>
      </c>
      <c r="AI29" s="278"/>
      <c r="AJ29" s="278"/>
      <c r="AK29" s="278"/>
      <c r="AL29" s="278"/>
      <c r="AM29" s="279"/>
      <c r="AN29" s="95"/>
      <c r="AO29" s="95"/>
      <c r="AP29" s="95"/>
      <c r="AQ29" s="95"/>
      <c r="AR29" s="95"/>
    </row>
    <row r="30" spans="1:44" ht="12" customHeight="1" x14ac:dyDescent="0.4">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7" t="str">
        <f t="shared" si="5"/>
        <v>APROBADO</v>
      </c>
      <c r="AI30" s="278"/>
      <c r="AJ30" s="278"/>
      <c r="AK30" s="278"/>
      <c r="AL30" s="278"/>
      <c r="AM30" s="279"/>
      <c r="AN30" s="95"/>
      <c r="AO30" s="95"/>
      <c r="AP30" s="95"/>
      <c r="AQ30" s="95"/>
      <c r="AR30" s="95"/>
    </row>
    <row r="31" spans="1:44" ht="12" customHeight="1" x14ac:dyDescent="0.4">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7" t="str">
        <f t="shared" si="5"/>
        <v>APROBADO</v>
      </c>
      <c r="AI31" s="278"/>
      <c r="AJ31" s="278"/>
      <c r="AK31" s="278"/>
      <c r="AL31" s="278"/>
      <c r="AM31" s="279"/>
      <c r="AN31" s="95"/>
      <c r="AO31" s="95"/>
      <c r="AP31" s="95"/>
      <c r="AQ31" s="95"/>
      <c r="AR31" s="95"/>
    </row>
    <row r="32" spans="1:44" ht="12" customHeight="1" x14ac:dyDescent="0.4">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7" t="str">
        <f t="shared" si="5"/>
        <v>APROBADO</v>
      </c>
      <c r="AI32" s="278"/>
      <c r="AJ32" s="278"/>
      <c r="AK32" s="278"/>
      <c r="AL32" s="278"/>
      <c r="AM32" s="279"/>
      <c r="AN32" s="95"/>
      <c r="AO32" s="95"/>
      <c r="AP32" s="95"/>
      <c r="AQ32" s="95"/>
      <c r="AR32" s="95"/>
    </row>
    <row r="33" spans="1:44" ht="12" customHeight="1" x14ac:dyDescent="0.4">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7" t="str">
        <f t="shared" si="5"/>
        <v>APROBADO</v>
      </c>
      <c r="AI33" s="278"/>
      <c r="AJ33" s="278"/>
      <c r="AK33" s="278"/>
      <c r="AL33" s="278"/>
      <c r="AM33" s="279"/>
      <c r="AN33" s="95"/>
      <c r="AO33" s="95"/>
      <c r="AP33" s="95"/>
      <c r="AQ33" s="95"/>
      <c r="AR33" s="95"/>
    </row>
    <row r="34" spans="1:44" ht="12" customHeight="1" x14ac:dyDescent="0.4">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7" t="str">
        <f t="shared" si="5"/>
        <v>APROBADO</v>
      </c>
      <c r="AI34" s="278"/>
      <c r="AJ34" s="278"/>
      <c r="AK34" s="278"/>
      <c r="AL34" s="278"/>
      <c r="AM34" s="279"/>
      <c r="AN34" s="95"/>
      <c r="AO34" s="95"/>
      <c r="AP34" s="95"/>
      <c r="AQ34" s="95"/>
      <c r="AR34" s="95"/>
    </row>
    <row r="35" spans="1:44" ht="12" customHeight="1" x14ac:dyDescent="0.4">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7" t="str">
        <f t="shared" si="5"/>
        <v>APROBADO</v>
      </c>
      <c r="AI35" s="278"/>
      <c r="AJ35" s="278"/>
      <c r="AK35" s="278"/>
      <c r="AL35" s="278"/>
      <c r="AM35" s="279"/>
      <c r="AN35" s="95"/>
      <c r="AO35" s="95"/>
      <c r="AP35" s="95"/>
      <c r="AQ35" s="95"/>
      <c r="AR35" s="95"/>
    </row>
    <row r="36" spans="1:44" ht="12" customHeight="1" x14ac:dyDescent="0.4">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7" t="str">
        <f t="shared" si="5"/>
        <v>APROBADO</v>
      </c>
      <c r="AI36" s="278"/>
      <c r="AJ36" s="278"/>
      <c r="AK36" s="278"/>
      <c r="AL36" s="278"/>
      <c r="AM36" s="279"/>
      <c r="AN36" s="95"/>
      <c r="AO36" s="95"/>
      <c r="AP36" s="95"/>
      <c r="AQ36" s="95"/>
      <c r="AR36" s="95"/>
    </row>
    <row r="37" spans="1:44" ht="12" customHeight="1" x14ac:dyDescent="0.4">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7" t="str">
        <f t="shared" si="5"/>
        <v>APROBADO</v>
      </c>
      <c r="AI37" s="278"/>
      <c r="AJ37" s="278"/>
      <c r="AK37" s="278"/>
      <c r="AL37" s="278"/>
      <c r="AM37" s="279"/>
      <c r="AN37" s="95"/>
      <c r="AO37" s="95"/>
      <c r="AP37" s="95"/>
      <c r="AQ37" s="95"/>
      <c r="AR37" s="95"/>
    </row>
    <row r="38" spans="1:44" ht="12" customHeight="1" x14ac:dyDescent="0.4">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7" t="str">
        <f t="shared" si="5"/>
        <v>APROBADO</v>
      </c>
      <c r="AI38" s="278"/>
      <c r="AJ38" s="278"/>
      <c r="AK38" s="278"/>
      <c r="AL38" s="278"/>
      <c r="AM38" s="279"/>
      <c r="AN38" s="95"/>
      <c r="AO38" s="95"/>
      <c r="AP38" s="95"/>
      <c r="AQ38" s="95"/>
      <c r="AR38" s="95"/>
    </row>
    <row r="39" spans="1:44" ht="12" customHeight="1" x14ac:dyDescent="0.4">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7" t="str">
        <f t="shared" si="5"/>
        <v>APROBADO</v>
      </c>
      <c r="AI39" s="278"/>
      <c r="AJ39" s="278"/>
      <c r="AK39" s="278"/>
      <c r="AL39" s="278"/>
      <c r="AM39" s="279"/>
      <c r="AN39" s="95"/>
      <c r="AO39" s="95"/>
      <c r="AP39" s="95"/>
      <c r="AQ39" s="95"/>
      <c r="AR39" s="95"/>
    </row>
    <row r="40" spans="1:44" ht="12" customHeight="1" x14ac:dyDescent="0.4">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7" t="str">
        <f t="shared" si="5"/>
        <v>APROBADO</v>
      </c>
      <c r="AI40" s="278"/>
      <c r="AJ40" s="278"/>
      <c r="AK40" s="278"/>
      <c r="AL40" s="278"/>
      <c r="AM40" s="279"/>
      <c r="AN40" s="95"/>
      <c r="AO40" s="95"/>
      <c r="AP40" s="95"/>
      <c r="AQ40" s="95"/>
      <c r="AR40" s="95"/>
    </row>
    <row r="41" spans="1:44" ht="12" customHeight="1" x14ac:dyDescent="0.4">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7" t="str">
        <f t="shared" si="5"/>
        <v>APROBADO</v>
      </c>
      <c r="AI41" s="278"/>
      <c r="AJ41" s="278"/>
      <c r="AK41" s="278"/>
      <c r="AL41" s="278"/>
      <c r="AM41" s="279"/>
      <c r="AN41" s="95"/>
      <c r="AO41" s="95"/>
      <c r="AP41" s="95"/>
      <c r="AQ41" s="95"/>
      <c r="AR41" s="95"/>
    </row>
    <row r="42" spans="1:44" ht="12" customHeight="1" x14ac:dyDescent="0.4">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7" t="str">
        <f t="shared" si="5"/>
        <v>APROBADO</v>
      </c>
      <c r="AI42" s="278"/>
      <c r="AJ42" s="278"/>
      <c r="AK42" s="278"/>
      <c r="AL42" s="278"/>
      <c r="AM42" s="279"/>
      <c r="AN42" s="95"/>
      <c r="AO42" s="95"/>
      <c r="AP42" s="95"/>
      <c r="AQ42" s="95"/>
      <c r="AR42" s="95"/>
    </row>
    <row r="43" spans="1:44" ht="12" customHeight="1" x14ac:dyDescent="0.4">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7" t="str">
        <f t="shared" si="5"/>
        <v>APROBADO</v>
      </c>
      <c r="AI43" s="278"/>
      <c r="AJ43" s="278"/>
      <c r="AK43" s="278"/>
      <c r="AL43" s="278"/>
      <c r="AM43" s="279"/>
      <c r="AN43" s="95"/>
      <c r="AO43" s="95"/>
      <c r="AP43" s="95"/>
      <c r="AQ43" s="95"/>
      <c r="AR43" s="95"/>
    </row>
    <row r="44" spans="1:44" ht="12" customHeight="1" x14ac:dyDescent="0.4">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7" t="str">
        <f t="shared" si="5"/>
        <v>APROBADO</v>
      </c>
      <c r="AI44" s="278"/>
      <c r="AJ44" s="278"/>
      <c r="AK44" s="278"/>
      <c r="AL44" s="278"/>
      <c r="AM44" s="279"/>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7734375" defaultRowHeight="15" customHeight="1" x14ac:dyDescent="0.4"/>
  <cols>
    <col min="1" max="1" width="1.6640625" customWidth="1"/>
    <col min="2" max="2" width="20.6640625" customWidth="1"/>
    <col min="3" max="7" width="2.27734375" customWidth="1"/>
    <col min="8" max="8" width="3.27734375" customWidth="1"/>
    <col min="9" max="13" width="2.27734375" customWidth="1"/>
    <col min="14" max="14" width="3.27734375" customWidth="1"/>
    <col min="15" max="19" width="2.27734375" customWidth="1"/>
    <col min="20" max="21" width="3.27734375" customWidth="1"/>
    <col min="22" max="22" width="9" customWidth="1"/>
    <col min="23" max="24" width="2.27734375" customWidth="1"/>
    <col min="25" max="28" width="1.6640625" customWidth="1"/>
  </cols>
  <sheetData>
    <row r="1" spans="1:28" ht="4.5" customHeight="1" x14ac:dyDescent="0.4"/>
    <row r="2" spans="1:28" ht="12.75" customHeight="1" x14ac:dyDescent="0.4">
      <c r="B2" s="226" t="s">
        <v>97</v>
      </c>
      <c r="C2" s="222"/>
      <c r="D2" s="222"/>
      <c r="E2" s="222"/>
      <c r="F2" s="222"/>
      <c r="G2" s="222"/>
      <c r="H2" s="222"/>
      <c r="I2" s="222"/>
      <c r="J2" s="222"/>
      <c r="K2" s="222"/>
      <c r="L2" s="222"/>
      <c r="M2" s="222"/>
      <c r="N2" s="222"/>
      <c r="O2" s="222"/>
      <c r="P2" s="222"/>
      <c r="Q2" s="222"/>
      <c r="R2" s="222"/>
      <c r="S2" s="222"/>
      <c r="T2" s="222"/>
      <c r="U2" s="222"/>
      <c r="V2" s="222"/>
      <c r="W2" s="222"/>
      <c r="X2" s="222"/>
      <c r="Y2" s="73"/>
      <c r="Z2" s="73"/>
      <c r="AA2" s="73"/>
      <c r="AB2" s="73"/>
    </row>
    <row r="3" spans="1:28" ht="12.75" customHeight="1" x14ac:dyDescent="0.4">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4">
      <c r="B5" s="38" t="s">
        <v>22</v>
      </c>
      <c r="C5" s="97" t="str">
        <f>CARÁTULA!$C$23</f>
        <v>2do de Secundaria</v>
      </c>
      <c r="D5" s="40"/>
      <c r="E5" s="40"/>
      <c r="F5" s="40"/>
      <c r="G5" s="40"/>
      <c r="H5" s="40"/>
      <c r="I5" s="40"/>
      <c r="J5" s="40"/>
      <c r="K5" s="40"/>
      <c r="L5" s="40"/>
      <c r="M5" s="40"/>
      <c r="N5" s="38"/>
      <c r="O5" s="38"/>
      <c r="P5" s="38"/>
      <c r="Q5" s="38"/>
      <c r="R5" s="43" t="s">
        <v>23</v>
      </c>
      <c r="S5" s="44"/>
      <c r="T5" s="44"/>
      <c r="U5" s="240">
        <f ca="1">TODAY()</f>
        <v>44453</v>
      </c>
      <c r="V5" s="222"/>
      <c r="W5" s="222"/>
      <c r="X5" s="222"/>
    </row>
    <row r="6" spans="1:28" ht="12.75" customHeight="1" x14ac:dyDescent="0.4">
      <c r="B6" s="38"/>
      <c r="C6" s="299" t="s">
        <v>4</v>
      </c>
      <c r="D6" s="278"/>
      <c r="E6" s="278"/>
      <c r="F6" s="278"/>
      <c r="G6" s="278"/>
      <c r="H6" s="279"/>
      <c r="I6" s="299" t="s">
        <v>10</v>
      </c>
      <c r="J6" s="278"/>
      <c r="K6" s="278"/>
      <c r="L6" s="278"/>
      <c r="M6" s="278"/>
      <c r="N6" s="279"/>
      <c r="O6" s="299" t="s">
        <v>16</v>
      </c>
      <c r="P6" s="278"/>
      <c r="Q6" s="278"/>
      <c r="R6" s="278"/>
      <c r="S6" s="278"/>
      <c r="T6" s="279"/>
      <c r="U6" s="304" t="s">
        <v>98</v>
      </c>
      <c r="V6" s="300" t="s">
        <v>99</v>
      </c>
      <c r="W6" s="66"/>
      <c r="X6" s="66"/>
    </row>
    <row r="7" spans="1:28" ht="12" customHeight="1" x14ac:dyDescent="0.4">
      <c r="B7" s="47"/>
      <c r="C7" s="302"/>
      <c r="D7" s="278"/>
      <c r="E7" s="278"/>
      <c r="F7" s="278"/>
      <c r="G7" s="279"/>
      <c r="H7" s="303" t="s">
        <v>100</v>
      </c>
      <c r="I7" s="302"/>
      <c r="J7" s="278"/>
      <c r="K7" s="278"/>
      <c r="L7" s="278"/>
      <c r="M7" s="279"/>
      <c r="N7" s="303" t="s">
        <v>100</v>
      </c>
      <c r="O7" s="302"/>
      <c r="P7" s="278"/>
      <c r="Q7" s="278"/>
      <c r="R7" s="278"/>
      <c r="S7" s="279"/>
      <c r="T7" s="290" t="s">
        <v>100</v>
      </c>
      <c r="U7" s="301"/>
      <c r="V7" s="301"/>
      <c r="W7" s="40"/>
      <c r="X7" s="40"/>
    </row>
    <row r="8" spans="1:28" ht="67.5" customHeight="1" x14ac:dyDescent="0.4">
      <c r="A8" s="48" t="s">
        <v>54</v>
      </c>
      <c r="B8" s="49" t="s">
        <v>55</v>
      </c>
      <c r="C8" s="98" t="s">
        <v>77</v>
      </c>
      <c r="D8" s="99" t="s">
        <v>78</v>
      </c>
      <c r="E8" s="99" t="s">
        <v>80</v>
      </c>
      <c r="F8" s="99" t="s">
        <v>81</v>
      </c>
      <c r="G8" s="99" t="s">
        <v>101</v>
      </c>
      <c r="H8" s="286"/>
      <c r="I8" s="98" t="s">
        <v>77</v>
      </c>
      <c r="J8" s="99" t="s">
        <v>78</v>
      </c>
      <c r="K8" s="99" t="s">
        <v>80</v>
      </c>
      <c r="L8" s="99" t="s">
        <v>81</v>
      </c>
      <c r="M8" s="99" t="s">
        <v>101</v>
      </c>
      <c r="N8" s="286"/>
      <c r="O8" s="98" t="s">
        <v>77</v>
      </c>
      <c r="P8" s="99" t="s">
        <v>78</v>
      </c>
      <c r="Q8" s="99" t="s">
        <v>80</v>
      </c>
      <c r="R8" s="99" t="s">
        <v>81</v>
      </c>
      <c r="S8" s="99" t="s">
        <v>101</v>
      </c>
      <c r="T8" s="286"/>
      <c r="U8" s="286"/>
      <c r="V8" s="286"/>
      <c r="W8" s="100"/>
      <c r="X8" s="100"/>
    </row>
    <row r="9" spans="1:28" ht="12" customHeight="1" x14ac:dyDescent="0.4">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f>'VAL 2 TRIM'!O9</f>
        <v>4</v>
      </c>
      <c r="K9" s="31">
        <f>'VAL 2 TRIM'!AB9</f>
        <v>0</v>
      </c>
      <c r="L9" s="31">
        <f>'VAL 2 TRIM'!AA9</f>
        <v>10</v>
      </c>
      <c r="M9" s="31">
        <f>'VAL 2 TRIM'!AE9</f>
        <v>10</v>
      </c>
      <c r="N9" s="101">
        <f>'VAL 2 TRIM'!AG9</f>
        <v>34</v>
      </c>
      <c r="O9" s="31">
        <f>'VAL 3 TRIM'!C9</f>
        <v>10</v>
      </c>
      <c r="P9" s="31">
        <f>'VAL 3 TRIM'!O9</f>
        <v>35</v>
      </c>
      <c r="Q9" s="31">
        <f>'VAL 3 TRIM'!AB9</f>
        <v>35</v>
      </c>
      <c r="R9" s="31">
        <f>'VAL 3 TRIM'!AA9</f>
        <v>10</v>
      </c>
      <c r="S9" s="31">
        <f>'VAL 3 TRIM'!AE9</f>
        <v>10</v>
      </c>
      <c r="T9" s="101">
        <f>'VAL 3 TRIM'!AG9</f>
        <v>100</v>
      </c>
      <c r="U9" s="102">
        <f t="shared" ref="U9:U44" si="0">AVERAGE(H9,N9,T9)</f>
        <v>66.666666666666671</v>
      </c>
      <c r="V9" s="103" t="str">
        <f t="shared" ref="V9:V44" si="1">IF(U9="","",(IF(AND(U9&gt;=1,U9&lt;=50.499),"REPROBADO",IF(AND(U9&gt;=50.5,U9&lt;=100),"APROBADO"))))</f>
        <v>APROBADO</v>
      </c>
      <c r="W9" s="104"/>
      <c r="X9" s="104"/>
    </row>
    <row r="10" spans="1:28" ht="12" customHeight="1" x14ac:dyDescent="0.4">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f>'VAL 2 TRIM'!O10</f>
        <v>9</v>
      </c>
      <c r="K10" s="31">
        <f>'VAL 2 TRIM'!AB10</f>
        <v>0</v>
      </c>
      <c r="L10" s="31">
        <f>'VAL 2 TRIM'!AA10</f>
        <v>10</v>
      </c>
      <c r="M10" s="31">
        <f>'VAL 2 TRIM'!AE10</f>
        <v>10</v>
      </c>
      <c r="N10" s="101">
        <f>'VAL 2 TRIM'!AG10</f>
        <v>39</v>
      </c>
      <c r="O10" s="31">
        <f>'VAL 3 TRIM'!C10</f>
        <v>10</v>
      </c>
      <c r="P10" s="31">
        <f>'VAL 3 TRIM'!O10</f>
        <v>35</v>
      </c>
      <c r="Q10" s="31">
        <f>'VAL 3 TRIM'!AB10</f>
        <v>35</v>
      </c>
      <c r="R10" s="31">
        <f>'VAL 3 TRIM'!AA10</f>
        <v>10</v>
      </c>
      <c r="S10" s="48">
        <f>'VAL 3 TRIM'!AE10</f>
        <v>10</v>
      </c>
      <c r="T10" s="101">
        <f>'VAL 3 TRIM'!AG10</f>
        <v>100</v>
      </c>
      <c r="U10" s="102">
        <f t="shared" si="0"/>
        <v>68.333333333333329</v>
      </c>
      <c r="V10" s="103" t="str">
        <f t="shared" si="1"/>
        <v>APROBADO</v>
      </c>
      <c r="W10" s="104"/>
      <c r="X10" s="104"/>
    </row>
    <row r="11" spans="1:28" ht="12" customHeight="1" x14ac:dyDescent="0.4">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14</v>
      </c>
      <c r="K11" s="31">
        <f>'VAL 2 TRIM'!AB11</f>
        <v>9</v>
      </c>
      <c r="L11" s="31">
        <f>'VAL 2 TRIM'!AA11</f>
        <v>10</v>
      </c>
      <c r="M11" s="31">
        <f>'VAL 2 TRIM'!AE11</f>
        <v>10</v>
      </c>
      <c r="N11" s="101">
        <f>'VAL 2 TRIM'!AG11</f>
        <v>53</v>
      </c>
      <c r="O11" s="31">
        <f>'VAL 3 TRIM'!C11</f>
        <v>10</v>
      </c>
      <c r="P11" s="31">
        <f>'VAL 3 TRIM'!O11</f>
        <v>35</v>
      </c>
      <c r="Q11" s="31">
        <f>'VAL 3 TRIM'!AB11</f>
        <v>35</v>
      </c>
      <c r="R11" s="31">
        <f>'VAL 3 TRIM'!AA11</f>
        <v>10</v>
      </c>
      <c r="S11" s="48">
        <f>'VAL 3 TRIM'!AE11</f>
        <v>10</v>
      </c>
      <c r="T11" s="101">
        <f>'VAL 3 TRIM'!AG11</f>
        <v>100</v>
      </c>
      <c r="U11" s="102">
        <f t="shared" si="0"/>
        <v>73</v>
      </c>
      <c r="V11" s="103" t="str">
        <f t="shared" si="1"/>
        <v>APROBADO</v>
      </c>
      <c r="W11" s="104"/>
      <c r="X11" s="104"/>
    </row>
    <row r="12" spans="1:28" ht="12" customHeight="1" x14ac:dyDescent="0.4">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f>'VAL 2 TRIM'!O12</f>
        <v>12</v>
      </c>
      <c r="K12" s="31">
        <f>'VAL 2 TRIM'!AB12</f>
        <v>0</v>
      </c>
      <c r="L12" s="31">
        <f>'VAL 2 TRIM'!AA12</f>
        <v>10</v>
      </c>
      <c r="M12" s="31">
        <f>'VAL 2 TRIM'!AE12</f>
        <v>10</v>
      </c>
      <c r="N12" s="101">
        <f>'VAL 2 TRIM'!AG12</f>
        <v>42</v>
      </c>
      <c r="O12" s="31">
        <f>'VAL 3 TRIM'!C12</f>
        <v>10</v>
      </c>
      <c r="P12" s="31">
        <f>'VAL 3 TRIM'!O12</f>
        <v>35</v>
      </c>
      <c r="Q12" s="31">
        <f>'VAL 3 TRIM'!AB12</f>
        <v>35</v>
      </c>
      <c r="R12" s="31">
        <f>'VAL 3 TRIM'!AA12</f>
        <v>10</v>
      </c>
      <c r="S12" s="48">
        <f>'VAL 3 TRIM'!AE12</f>
        <v>10</v>
      </c>
      <c r="T12" s="101">
        <f>'VAL 3 TRIM'!AG12</f>
        <v>100</v>
      </c>
      <c r="U12" s="102">
        <f t="shared" si="0"/>
        <v>69.333333333333329</v>
      </c>
      <c r="V12" s="103" t="str">
        <f t="shared" si="1"/>
        <v>APROBADO</v>
      </c>
      <c r="W12" s="104"/>
      <c r="X12" s="104"/>
    </row>
    <row r="13" spans="1:28" ht="12" customHeight="1" x14ac:dyDescent="0.4">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15</v>
      </c>
      <c r="K13" s="31">
        <f>'VAL 2 TRIM'!AB13</f>
        <v>9</v>
      </c>
      <c r="L13" s="31">
        <f>'VAL 2 TRIM'!AA13</f>
        <v>10</v>
      </c>
      <c r="M13" s="31">
        <f>'VAL 2 TRIM'!AE13</f>
        <v>10</v>
      </c>
      <c r="N13" s="101">
        <f>'VAL 2 TRIM'!AG13</f>
        <v>54</v>
      </c>
      <c r="O13" s="31">
        <f>'VAL 3 TRIM'!C13</f>
        <v>10</v>
      </c>
      <c r="P13" s="31">
        <f>'VAL 3 TRIM'!O13</f>
        <v>35</v>
      </c>
      <c r="Q13" s="31">
        <f>'VAL 3 TRIM'!AB13</f>
        <v>35</v>
      </c>
      <c r="R13" s="31">
        <f>'VAL 3 TRIM'!AA13</f>
        <v>10</v>
      </c>
      <c r="S13" s="48">
        <f>'VAL 3 TRIM'!AE13</f>
        <v>10</v>
      </c>
      <c r="T13" s="101">
        <f>'VAL 3 TRIM'!AG13</f>
        <v>100</v>
      </c>
      <c r="U13" s="102">
        <f t="shared" si="0"/>
        <v>73.333333333333329</v>
      </c>
      <c r="V13" s="103" t="str">
        <f t="shared" si="1"/>
        <v>APROBADO</v>
      </c>
      <c r="W13" s="104"/>
      <c r="X13" s="104"/>
    </row>
    <row r="14" spans="1:28" ht="12" customHeight="1" x14ac:dyDescent="0.4">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26</v>
      </c>
      <c r="K14" s="31">
        <f>'VAL 2 TRIM'!AB14</f>
        <v>17</v>
      </c>
      <c r="L14" s="31">
        <f>'VAL 2 TRIM'!AA14</f>
        <v>10</v>
      </c>
      <c r="M14" s="31">
        <f>'VAL 2 TRIM'!AE14</f>
        <v>10</v>
      </c>
      <c r="N14" s="101">
        <f>'VAL 2 TRIM'!AG14</f>
        <v>73</v>
      </c>
      <c r="O14" s="31">
        <f>'VAL 3 TRIM'!C14</f>
        <v>10</v>
      </c>
      <c r="P14" s="31">
        <f>'VAL 3 TRIM'!O14</f>
        <v>35</v>
      </c>
      <c r="Q14" s="31">
        <f>'VAL 3 TRIM'!AB14</f>
        <v>35</v>
      </c>
      <c r="R14" s="31">
        <f>'VAL 3 TRIM'!AA14</f>
        <v>10</v>
      </c>
      <c r="S14" s="48">
        <f>'VAL 3 TRIM'!AE14</f>
        <v>10</v>
      </c>
      <c r="T14" s="101">
        <f>'VAL 3 TRIM'!AG14</f>
        <v>100</v>
      </c>
      <c r="U14" s="102">
        <f t="shared" si="0"/>
        <v>79.666666666666671</v>
      </c>
      <c r="V14" s="103" t="str">
        <f t="shared" si="1"/>
        <v>APROBADO</v>
      </c>
      <c r="W14" s="104"/>
      <c r="X14" s="104"/>
    </row>
    <row r="15" spans="1:28" ht="12" customHeight="1" x14ac:dyDescent="0.4">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26</v>
      </c>
      <c r="K15" s="31">
        <f>'VAL 2 TRIM'!AB15</f>
        <v>21</v>
      </c>
      <c r="L15" s="31">
        <f>'VAL 2 TRIM'!AA15</f>
        <v>10</v>
      </c>
      <c r="M15" s="31">
        <f>'VAL 2 TRIM'!AE15</f>
        <v>10</v>
      </c>
      <c r="N15" s="101">
        <f>'VAL 2 TRIM'!AG15</f>
        <v>77</v>
      </c>
      <c r="O15" s="31">
        <f>'VAL 3 TRIM'!C15</f>
        <v>10</v>
      </c>
      <c r="P15" s="31">
        <f>'VAL 3 TRIM'!O15</f>
        <v>35</v>
      </c>
      <c r="Q15" s="31">
        <f>'VAL 3 TRIM'!AB15</f>
        <v>35</v>
      </c>
      <c r="R15" s="31">
        <f>'VAL 3 TRIM'!AA15</f>
        <v>10</v>
      </c>
      <c r="S15" s="48">
        <f>'VAL 3 TRIM'!AE15</f>
        <v>10</v>
      </c>
      <c r="T15" s="101">
        <f>'VAL 3 TRIM'!AG15</f>
        <v>100</v>
      </c>
      <c r="U15" s="102">
        <f t="shared" si="0"/>
        <v>81</v>
      </c>
      <c r="V15" s="103" t="str">
        <f t="shared" si="1"/>
        <v>APROBADO</v>
      </c>
      <c r="W15" s="104"/>
      <c r="X15" s="104"/>
    </row>
    <row r="16" spans="1:28" ht="12" customHeight="1" x14ac:dyDescent="0.4">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26</v>
      </c>
      <c r="K16" s="31">
        <f>'VAL 2 TRIM'!AB16</f>
        <v>18</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80</v>
      </c>
      <c r="V16" s="103" t="str">
        <f t="shared" si="1"/>
        <v>APROBADO</v>
      </c>
      <c r="W16" s="104"/>
      <c r="X16" s="104"/>
    </row>
    <row r="17" spans="1:24" ht="12" customHeight="1" x14ac:dyDescent="0.4">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27</v>
      </c>
      <c r="K17" s="31">
        <f>'VAL 2 TRIM'!AB17</f>
        <v>16</v>
      </c>
      <c r="L17" s="31">
        <f>'VAL 2 TRIM'!AA17</f>
        <v>10</v>
      </c>
      <c r="M17" s="31">
        <f>'VAL 2 TRIM'!AE17</f>
        <v>10</v>
      </c>
      <c r="N17" s="101">
        <f>'VAL 2 TRIM'!AG17</f>
        <v>73</v>
      </c>
      <c r="O17" s="31">
        <f>'VAL 3 TRIM'!C17</f>
        <v>10</v>
      </c>
      <c r="P17" s="31">
        <f>'VAL 3 TRIM'!O17</f>
        <v>35</v>
      </c>
      <c r="Q17" s="31">
        <f>'VAL 3 TRIM'!AB17</f>
        <v>35</v>
      </c>
      <c r="R17" s="31">
        <f>'VAL 3 TRIM'!AA17</f>
        <v>10</v>
      </c>
      <c r="S17" s="48">
        <f>'VAL 3 TRIM'!AE17</f>
        <v>10</v>
      </c>
      <c r="T17" s="101">
        <f>'VAL 3 TRIM'!AG17</f>
        <v>100</v>
      </c>
      <c r="U17" s="102">
        <f t="shared" si="0"/>
        <v>79.666666666666671</v>
      </c>
      <c r="V17" s="103" t="str">
        <f t="shared" si="1"/>
        <v>APROBADO</v>
      </c>
      <c r="W17" s="104"/>
      <c r="X17" s="104"/>
    </row>
    <row r="18" spans="1:24" ht="12" customHeight="1" x14ac:dyDescent="0.4">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12</v>
      </c>
      <c r="K18" s="31">
        <f>'VAL 2 TRIM'!AB18</f>
        <v>0</v>
      </c>
      <c r="L18" s="31">
        <f>'VAL 2 TRIM'!AA18</f>
        <v>10</v>
      </c>
      <c r="M18" s="31">
        <f>'VAL 2 TRIM'!AE18</f>
        <v>10</v>
      </c>
      <c r="N18" s="101">
        <f>'VAL 2 TRIM'!AG18</f>
        <v>42</v>
      </c>
      <c r="O18" s="31">
        <f>'VAL 3 TRIM'!C18</f>
        <v>10</v>
      </c>
      <c r="P18" s="31">
        <f>'VAL 3 TRIM'!O18</f>
        <v>35</v>
      </c>
      <c r="Q18" s="31">
        <f>'VAL 3 TRIM'!AB18</f>
        <v>35</v>
      </c>
      <c r="R18" s="31">
        <f>'VAL 3 TRIM'!AA18</f>
        <v>10</v>
      </c>
      <c r="S18" s="48">
        <f>'VAL 3 TRIM'!AE18</f>
        <v>10</v>
      </c>
      <c r="T18" s="101">
        <f>'VAL 3 TRIM'!AG18</f>
        <v>100</v>
      </c>
      <c r="U18" s="102">
        <f t="shared" si="0"/>
        <v>77.333333333333329</v>
      </c>
      <c r="V18" s="103" t="str">
        <f t="shared" si="1"/>
        <v>APROBADO</v>
      </c>
      <c r="W18" s="104"/>
      <c r="X18" s="104"/>
    </row>
    <row r="19" spans="1:24" ht="12" customHeight="1" x14ac:dyDescent="0.4">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f>'VAL 2 TRIM'!O19</f>
        <v>0</v>
      </c>
      <c r="K19" s="31">
        <f>'VAL 2 TRIM'!AB19</f>
        <v>0</v>
      </c>
      <c r="L19" s="31">
        <f>'VAL 2 TRIM'!AA19</f>
        <v>10</v>
      </c>
      <c r="M19" s="31">
        <f>'VAL 2 TRIM'!AE19</f>
        <v>10</v>
      </c>
      <c r="N19" s="101">
        <f>'VAL 2 TRIM'!AG19</f>
        <v>30</v>
      </c>
      <c r="O19" s="31">
        <f>'VAL 3 TRIM'!C19</f>
        <v>10</v>
      </c>
      <c r="P19" s="31">
        <f>'VAL 3 TRIM'!O19</f>
        <v>35</v>
      </c>
      <c r="Q19" s="31">
        <f>'VAL 3 TRIM'!AB19</f>
        <v>35</v>
      </c>
      <c r="R19" s="31">
        <f>'VAL 3 TRIM'!AA19</f>
        <v>10</v>
      </c>
      <c r="S19" s="48">
        <f>'VAL 3 TRIM'!AE19</f>
        <v>10</v>
      </c>
      <c r="T19" s="101">
        <f>'VAL 3 TRIM'!AG19</f>
        <v>100</v>
      </c>
      <c r="U19" s="102">
        <f t="shared" si="0"/>
        <v>65.333333333333329</v>
      </c>
      <c r="V19" s="103" t="str">
        <f t="shared" si="1"/>
        <v>APROBADO</v>
      </c>
      <c r="W19" s="104"/>
      <c r="X19" s="104"/>
    </row>
    <row r="20" spans="1:24" ht="12" customHeight="1" x14ac:dyDescent="0.4">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15</v>
      </c>
      <c r="K20" s="31">
        <f>'VAL 2 TRIM'!AB20</f>
        <v>16</v>
      </c>
      <c r="L20" s="31">
        <f>'VAL 2 TRIM'!AA20</f>
        <v>10</v>
      </c>
      <c r="M20" s="31">
        <f>'VAL 2 TRIM'!AE20</f>
        <v>10</v>
      </c>
      <c r="N20" s="101">
        <f>'VAL 2 TRIM'!AG20</f>
        <v>61</v>
      </c>
      <c r="O20" s="31">
        <f>'VAL 3 TRIM'!C20</f>
        <v>10</v>
      </c>
      <c r="P20" s="31">
        <f>'VAL 3 TRIM'!O20</f>
        <v>35</v>
      </c>
      <c r="Q20" s="31">
        <f>'VAL 3 TRIM'!AB20</f>
        <v>35</v>
      </c>
      <c r="R20" s="31">
        <f>'VAL 3 TRIM'!AA20</f>
        <v>10</v>
      </c>
      <c r="S20" s="48">
        <f>'VAL 3 TRIM'!AE20</f>
        <v>10</v>
      </c>
      <c r="T20" s="101">
        <f>'VAL 3 TRIM'!AG20</f>
        <v>100</v>
      </c>
      <c r="U20" s="102">
        <f t="shared" si="0"/>
        <v>83.666666666666671</v>
      </c>
      <c r="V20" s="103" t="str">
        <f t="shared" si="1"/>
        <v>APROBADO</v>
      </c>
      <c r="W20" s="104"/>
      <c r="X20" s="104"/>
    </row>
    <row r="21" spans="1:24" ht="12" customHeight="1" x14ac:dyDescent="0.4">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17</v>
      </c>
      <c r="K21" s="31">
        <f>'VAL 2 TRIM'!AB21</f>
        <v>21</v>
      </c>
      <c r="L21" s="31">
        <f>'VAL 2 TRIM'!AA21</f>
        <v>10</v>
      </c>
      <c r="M21" s="31">
        <f>'VAL 2 TRIM'!AE21</f>
        <v>10</v>
      </c>
      <c r="N21" s="101">
        <f>'VAL 2 TRIM'!AG21</f>
        <v>68</v>
      </c>
      <c r="O21" s="31">
        <f>'VAL 3 TRIM'!C21</f>
        <v>10</v>
      </c>
      <c r="P21" s="31">
        <f>'VAL 3 TRIM'!O21</f>
        <v>35</v>
      </c>
      <c r="Q21" s="31">
        <f>'VAL 3 TRIM'!AB21</f>
        <v>35</v>
      </c>
      <c r="R21" s="31">
        <f>'VAL 3 TRIM'!AA21</f>
        <v>10</v>
      </c>
      <c r="S21" s="48">
        <f>'VAL 3 TRIM'!AE21</f>
        <v>10</v>
      </c>
      <c r="T21" s="101">
        <f>'VAL 3 TRIM'!AG21</f>
        <v>100</v>
      </c>
      <c r="U21" s="102">
        <f t="shared" si="0"/>
        <v>86</v>
      </c>
      <c r="V21" s="103" t="str">
        <f t="shared" si="1"/>
        <v>APROBADO</v>
      </c>
      <c r="W21" s="104"/>
      <c r="X21" s="104"/>
    </row>
    <row r="22" spans="1:24" ht="12" customHeight="1" x14ac:dyDescent="0.4">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15</v>
      </c>
      <c r="K22" s="31">
        <f>'VAL 2 TRIM'!AB22</f>
        <v>15</v>
      </c>
      <c r="L22" s="31">
        <f>'VAL 2 TRIM'!AA22</f>
        <v>10</v>
      </c>
      <c r="M22" s="31">
        <f>'VAL 2 TRIM'!AE22</f>
        <v>10</v>
      </c>
      <c r="N22" s="101">
        <f>'VAL 2 TRIM'!AG22</f>
        <v>60</v>
      </c>
      <c r="O22" s="31">
        <f>'VAL 3 TRIM'!C22</f>
        <v>10</v>
      </c>
      <c r="P22" s="31">
        <f>'VAL 3 TRIM'!O22</f>
        <v>35</v>
      </c>
      <c r="Q22" s="31">
        <f>'VAL 3 TRIM'!AB22</f>
        <v>35</v>
      </c>
      <c r="R22" s="31">
        <f>'VAL 3 TRIM'!AA22</f>
        <v>10</v>
      </c>
      <c r="S22" s="48">
        <f>'VAL 3 TRIM'!AE22</f>
        <v>10</v>
      </c>
      <c r="T22" s="101">
        <f>'VAL 3 TRIM'!AG22</f>
        <v>100</v>
      </c>
      <c r="U22" s="102">
        <f t="shared" si="0"/>
        <v>83.333333333333329</v>
      </c>
      <c r="V22" s="103" t="str">
        <f t="shared" si="1"/>
        <v>APROBADO</v>
      </c>
      <c r="W22" s="104"/>
      <c r="X22" s="104"/>
    </row>
    <row r="23" spans="1:24" ht="12" customHeight="1" x14ac:dyDescent="0.4">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29</v>
      </c>
      <c r="K23" s="31">
        <f>'VAL 2 TRIM'!AB23</f>
        <v>31</v>
      </c>
      <c r="L23" s="31">
        <f>'VAL 2 TRIM'!AA23</f>
        <v>10</v>
      </c>
      <c r="M23" s="31">
        <f>'VAL 2 TRIM'!AE23</f>
        <v>10</v>
      </c>
      <c r="N23" s="101">
        <f>'VAL 2 TRIM'!AG23</f>
        <v>90</v>
      </c>
      <c r="O23" s="31">
        <f>'VAL 3 TRIM'!C23</f>
        <v>10</v>
      </c>
      <c r="P23" s="31">
        <f>'VAL 3 TRIM'!O23</f>
        <v>35</v>
      </c>
      <c r="Q23" s="31">
        <f>'VAL 3 TRIM'!AB23</f>
        <v>35</v>
      </c>
      <c r="R23" s="31">
        <f>'VAL 3 TRIM'!AA23</f>
        <v>10</v>
      </c>
      <c r="S23" s="48">
        <f>'VAL 3 TRIM'!AE23</f>
        <v>10</v>
      </c>
      <c r="T23" s="101">
        <f>'VAL 3 TRIM'!AG23</f>
        <v>100</v>
      </c>
      <c r="U23" s="102">
        <f t="shared" si="0"/>
        <v>93.333333333333329</v>
      </c>
      <c r="V23" s="103" t="str">
        <f t="shared" si="1"/>
        <v>APROBADO</v>
      </c>
      <c r="W23" s="104"/>
      <c r="X23" s="104"/>
    </row>
    <row r="24" spans="1:24" ht="12" customHeight="1" x14ac:dyDescent="0.4">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12</v>
      </c>
      <c r="K24" s="31">
        <f>'VAL 2 TRIM'!AB24</f>
        <v>17</v>
      </c>
      <c r="L24" s="31">
        <f>'VAL 2 TRIM'!AA24</f>
        <v>10</v>
      </c>
      <c r="M24" s="31">
        <f>'VAL 2 TRIM'!AE24</f>
        <v>10</v>
      </c>
      <c r="N24" s="101">
        <f>'VAL 2 TRIM'!AG24</f>
        <v>59</v>
      </c>
      <c r="O24" s="31">
        <f>'VAL 3 TRIM'!C24</f>
        <v>10</v>
      </c>
      <c r="P24" s="31">
        <f>'VAL 3 TRIM'!O24</f>
        <v>35</v>
      </c>
      <c r="Q24" s="31">
        <f>'VAL 3 TRIM'!AB24</f>
        <v>35</v>
      </c>
      <c r="R24" s="31">
        <f>'VAL 3 TRIM'!AA24</f>
        <v>10</v>
      </c>
      <c r="S24" s="48">
        <f>'VAL 3 TRIM'!AE24</f>
        <v>10</v>
      </c>
      <c r="T24" s="101">
        <f>'VAL 3 TRIM'!AG24</f>
        <v>100</v>
      </c>
      <c r="U24" s="102">
        <f t="shared" si="0"/>
        <v>75</v>
      </c>
      <c r="V24" s="103" t="str">
        <f t="shared" si="1"/>
        <v>APROBADO</v>
      </c>
      <c r="W24" s="104"/>
      <c r="X24" s="104"/>
    </row>
    <row r="25" spans="1:24" ht="12" customHeight="1" x14ac:dyDescent="0.4">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4">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4">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4">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4">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4">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4">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4">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4">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4">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4">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4">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4">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4">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4">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4">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4">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4">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4">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4">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4"/>
    <row r="46" spans="1:24" ht="12.75" customHeight="1" x14ac:dyDescent="0.4"/>
    <row r="47" spans="1:24" ht="12.75" customHeight="1" x14ac:dyDescent="0.4"/>
    <row r="48" spans="1:2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7734375" defaultRowHeight="15" customHeight="1" x14ac:dyDescent="0.4"/>
  <cols>
    <col min="1" max="1" width="1.6640625" customWidth="1"/>
    <col min="2" max="2" width="20.6640625" customWidth="1"/>
    <col min="3" max="6" width="3.6640625" customWidth="1"/>
    <col min="7" max="7" width="9" customWidth="1"/>
    <col min="8" max="8" width="1.27734375" customWidth="1"/>
    <col min="9" max="11" width="3.6640625" customWidth="1"/>
    <col min="12" max="13" width="4.6640625" customWidth="1"/>
    <col min="14" max="26" width="8.71875" customWidth="1"/>
  </cols>
  <sheetData>
    <row r="1" spans="1:13" ht="4.5" customHeight="1" x14ac:dyDescent="0.4"/>
    <row r="2" spans="1:13" ht="12.75" customHeight="1" x14ac:dyDescent="0.4">
      <c r="B2" s="226" t="s">
        <v>97</v>
      </c>
      <c r="C2" s="222"/>
      <c r="D2" s="222"/>
      <c r="E2" s="222"/>
      <c r="F2" s="222"/>
      <c r="G2" s="222"/>
      <c r="H2" s="222"/>
      <c r="I2" s="73"/>
      <c r="J2" s="73"/>
      <c r="K2" s="73"/>
      <c r="L2" s="73"/>
      <c r="M2" s="73"/>
    </row>
    <row r="3" spans="1:13" ht="12.75" customHeight="1" x14ac:dyDescent="0.4">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4">
      <c r="B4" s="38" t="s">
        <v>14</v>
      </c>
      <c r="C4" s="39" t="str">
        <f>CARÁTULA!$C$21</f>
        <v>Secundaria</v>
      </c>
      <c r="D4" s="41"/>
      <c r="E4" s="40"/>
      <c r="F4" s="39"/>
      <c r="G4" s="40"/>
      <c r="H4" s="40"/>
      <c r="I4" s="40"/>
      <c r="J4" s="38" t="s">
        <v>51</v>
      </c>
      <c r="K4" s="106"/>
      <c r="L4" s="39">
        <f>CARÁTULA!$C$19</f>
        <v>0</v>
      </c>
      <c r="M4" s="106"/>
    </row>
    <row r="5" spans="1:13" ht="12.75" customHeight="1" x14ac:dyDescent="0.4">
      <c r="B5" s="38" t="s">
        <v>22</v>
      </c>
      <c r="C5" s="39" t="str">
        <f>CARÁTULA!$C$23</f>
        <v>2do de Secundaria</v>
      </c>
      <c r="D5" s="38"/>
      <c r="E5" s="44"/>
      <c r="F5" s="307"/>
      <c r="G5" s="296"/>
      <c r="H5" s="44"/>
      <c r="I5" s="44"/>
      <c r="J5" s="38" t="s">
        <v>23</v>
      </c>
      <c r="K5" s="106"/>
      <c r="L5" s="240">
        <f ca="1">TODAY()</f>
        <v>44453</v>
      </c>
      <c r="M5" s="222"/>
    </row>
    <row r="6" spans="1:13" ht="12.75" customHeight="1" x14ac:dyDescent="0.4">
      <c r="B6" s="38"/>
      <c r="C6" s="308" t="s">
        <v>102</v>
      </c>
      <c r="D6" s="278"/>
      <c r="E6" s="279"/>
      <c r="F6" s="304" t="s">
        <v>98</v>
      </c>
      <c r="G6" s="300" t="s">
        <v>99</v>
      </c>
      <c r="H6" s="66"/>
      <c r="I6" s="66"/>
    </row>
    <row r="7" spans="1:13" ht="12" customHeight="1" x14ac:dyDescent="0.4">
      <c r="B7" s="47"/>
      <c r="C7" s="305" t="s">
        <v>4</v>
      </c>
      <c r="D7" s="305" t="s">
        <v>103</v>
      </c>
      <c r="E7" s="306" t="s">
        <v>16</v>
      </c>
      <c r="F7" s="301"/>
      <c r="G7" s="301"/>
      <c r="H7" s="40"/>
      <c r="I7" s="40"/>
    </row>
    <row r="8" spans="1:13" ht="67.5" customHeight="1" x14ac:dyDescent="0.4">
      <c r="A8" s="48" t="s">
        <v>54</v>
      </c>
      <c r="B8" s="49" t="s">
        <v>55</v>
      </c>
      <c r="C8" s="286"/>
      <c r="D8" s="286"/>
      <c r="E8" s="286"/>
      <c r="F8" s="286"/>
      <c r="G8" s="286"/>
      <c r="H8" s="100"/>
      <c r="I8" s="100" t="s">
        <v>104</v>
      </c>
      <c r="J8" s="100" t="s">
        <v>105</v>
      </c>
      <c r="K8" s="100" t="s">
        <v>106</v>
      </c>
    </row>
    <row r="9" spans="1:13" ht="12" customHeight="1" x14ac:dyDescent="0.4">
      <c r="A9" s="58">
        <v>1</v>
      </c>
      <c r="B9" s="59" t="str">
        <f>'C. FILIACION'!B8</f>
        <v>ALARCON CHURA PRISCILA</v>
      </c>
      <c r="C9" s="101">
        <f>'VAL 1 TRIM '!AG9</f>
        <v>66</v>
      </c>
      <c r="D9" s="101">
        <f>'VAL 2 TRIM'!AG9</f>
        <v>34</v>
      </c>
      <c r="E9" s="101">
        <f>'VAL 3 TRIM'!AG9</f>
        <v>100</v>
      </c>
      <c r="F9" s="102">
        <f>'CENTRAL 1'!U9</f>
        <v>66.666666666666671</v>
      </c>
      <c r="G9" s="103" t="str">
        <f t="shared" ref="G9:G44" si="0">IF(F9="","",(IF(AND(F9&gt;=1,F9&lt;=50.499),"REPROBADO",IF(AND(F9&gt;=50.5,F9&lt;=100),"APROBADO"))))</f>
        <v>APROBADO</v>
      </c>
      <c r="H9" s="104"/>
      <c r="I9" s="31">
        <f>COUNTIF(C9:C44,"&gt;=51")</f>
        <v>36</v>
      </c>
      <c r="J9" s="107">
        <f>COUNTIF(D9:D44,"&gt;=51")</f>
        <v>31</v>
      </c>
      <c r="K9" s="107">
        <f>COUNTIF(E9:E44,"&gt;=51")</f>
        <v>36</v>
      </c>
    </row>
    <row r="10" spans="1:13" ht="12" customHeight="1" x14ac:dyDescent="0.4">
      <c r="A10" s="58">
        <v>2</v>
      </c>
      <c r="B10" s="59" t="str">
        <f>'C. FILIACION'!B9</f>
        <v>ARCE CHOQUE LUCERO CORAL</v>
      </c>
      <c r="C10" s="101">
        <f>'VAL 1 TRIM '!AG10</f>
        <v>66</v>
      </c>
      <c r="D10" s="101">
        <f>'VAL 2 TRIM'!AG10</f>
        <v>39</v>
      </c>
      <c r="E10" s="101">
        <f>'VAL 3 TRIM'!AG10</f>
        <v>100</v>
      </c>
      <c r="F10" s="102">
        <f>'CENTRAL 1'!U10</f>
        <v>68.333333333333329</v>
      </c>
      <c r="G10" s="103" t="str">
        <f t="shared" si="0"/>
        <v>APROBADO</v>
      </c>
      <c r="H10" s="104"/>
      <c r="I10" s="108" t="s">
        <v>107</v>
      </c>
      <c r="J10" s="109"/>
    </row>
    <row r="11" spans="1:13" ht="12" customHeight="1" x14ac:dyDescent="0.4">
      <c r="A11" s="58">
        <v>3</v>
      </c>
      <c r="B11" s="59" t="str">
        <f>'C. FILIACION'!B10</f>
        <v>AREQUIPA CALCINA FABIAN JHON</v>
      </c>
      <c r="C11" s="101">
        <f>'VAL 1 TRIM '!AG11</f>
        <v>66</v>
      </c>
      <c r="D11" s="101">
        <f>'VAL 2 TRIM'!AG11</f>
        <v>53</v>
      </c>
      <c r="E11" s="101">
        <f>'VAL 3 TRIM'!AG11</f>
        <v>100</v>
      </c>
      <c r="F11" s="102">
        <f>'CENTRAL 1'!U11</f>
        <v>73</v>
      </c>
      <c r="G11" s="103" t="str">
        <f t="shared" si="0"/>
        <v>APROBADO</v>
      </c>
      <c r="H11" s="104"/>
      <c r="I11" s="104"/>
    </row>
    <row r="12" spans="1:13" ht="12" customHeight="1" x14ac:dyDescent="0.4">
      <c r="A12" s="58">
        <v>4</v>
      </c>
      <c r="B12" s="59" t="str">
        <f>'C. FILIACION'!B11</f>
        <v>CLAURE PARAVICINI RASHEL ROSALY</v>
      </c>
      <c r="C12" s="101">
        <f>'VAL 1 TRIM '!AG12</f>
        <v>66</v>
      </c>
      <c r="D12" s="101">
        <f>'VAL 2 TRIM'!AG12</f>
        <v>42</v>
      </c>
      <c r="E12" s="101">
        <f>'VAL 3 TRIM'!AG12</f>
        <v>100</v>
      </c>
      <c r="F12" s="102">
        <f>'CENTRAL 1'!U12</f>
        <v>69.333333333333329</v>
      </c>
      <c r="G12" s="103" t="str">
        <f t="shared" si="0"/>
        <v>APROBADO</v>
      </c>
      <c r="H12" s="104"/>
      <c r="I12" s="104"/>
    </row>
    <row r="13" spans="1:13" ht="12" customHeight="1" x14ac:dyDescent="0.4">
      <c r="A13" s="58">
        <v>5</v>
      </c>
      <c r="B13" s="59" t="str">
        <f>'C. FILIACION'!B12</f>
        <v>CONDORI FLORES ALEJANDRO BRYAN</v>
      </c>
      <c r="C13" s="101">
        <f>'VAL 1 TRIM '!AG13</f>
        <v>66</v>
      </c>
      <c r="D13" s="101">
        <f>'VAL 2 TRIM'!AG13</f>
        <v>54</v>
      </c>
      <c r="E13" s="101">
        <f>'VAL 3 TRIM'!AG13</f>
        <v>100</v>
      </c>
      <c r="F13" s="102">
        <f>'CENTRAL 1'!U13</f>
        <v>73.333333333333329</v>
      </c>
      <c r="G13" s="103" t="str">
        <f t="shared" si="0"/>
        <v>APROBADO</v>
      </c>
      <c r="H13" s="104"/>
      <c r="I13" s="107">
        <f>COUNTIF(C9:C44,"&lt;=51")</f>
        <v>0</v>
      </c>
      <c r="J13" s="107">
        <f>COUNTIF(D9:D44,"&lt;=51")</f>
        <v>5</v>
      </c>
      <c r="K13" s="107">
        <f>COUNTIF(E9:E44,"&lt;=51")</f>
        <v>0</v>
      </c>
    </row>
    <row r="14" spans="1:13" ht="12" customHeight="1" x14ac:dyDescent="0.4">
      <c r="A14" s="58">
        <v>6</v>
      </c>
      <c r="B14" s="59" t="str">
        <f>'C. FILIACION'!B13</f>
        <v>DE LA CRUZ SANDOVAL JHON MARCO</v>
      </c>
      <c r="C14" s="101">
        <f>'VAL 1 TRIM '!AG14</f>
        <v>66</v>
      </c>
      <c r="D14" s="101">
        <f>'VAL 2 TRIM'!AG14</f>
        <v>73</v>
      </c>
      <c r="E14" s="101">
        <f>'VAL 3 TRIM'!AG14</f>
        <v>100</v>
      </c>
      <c r="F14" s="102">
        <f>'CENTRAL 1'!U14</f>
        <v>79.666666666666671</v>
      </c>
      <c r="G14" s="103" t="str">
        <f t="shared" si="0"/>
        <v>APROBADO</v>
      </c>
      <c r="H14" s="104"/>
      <c r="I14" s="108" t="s">
        <v>108</v>
      </c>
    </row>
    <row r="15" spans="1:13" ht="12" customHeight="1" x14ac:dyDescent="0.4">
      <c r="A15" s="58">
        <v>7</v>
      </c>
      <c r="B15" s="59" t="str">
        <f>'C. FILIACION'!B14</f>
        <v>GARCÍA IGNACIO MISHEL MAYA</v>
      </c>
      <c r="C15" s="101">
        <f>'VAL 1 TRIM '!AG15</f>
        <v>66</v>
      </c>
      <c r="D15" s="101">
        <f>'VAL 2 TRIM'!AG15</f>
        <v>77</v>
      </c>
      <c r="E15" s="101">
        <f>'VAL 3 TRIM'!AG15</f>
        <v>100</v>
      </c>
      <c r="F15" s="102">
        <f>'CENTRAL 1'!U15</f>
        <v>81</v>
      </c>
      <c r="G15" s="103" t="str">
        <f t="shared" si="0"/>
        <v>APROBADO</v>
      </c>
      <c r="H15" s="104"/>
      <c r="I15" s="104"/>
    </row>
    <row r="16" spans="1:13" ht="12" customHeight="1" x14ac:dyDescent="0.4">
      <c r="A16" s="58">
        <v>8</v>
      </c>
      <c r="B16" s="59" t="str">
        <f>'C. FILIACION'!B15</f>
        <v>HELGUERO SANCHEZ JHOYSI CAMIL</v>
      </c>
      <c r="C16" s="101">
        <f>'VAL 1 TRIM '!AG16</f>
        <v>66</v>
      </c>
      <c r="D16" s="101">
        <f>'VAL 2 TRIM'!AG16</f>
        <v>74</v>
      </c>
      <c r="E16" s="101">
        <f>'VAL 3 TRIM'!AG16</f>
        <v>100</v>
      </c>
      <c r="F16" s="102">
        <f>'CENTRAL 1'!U16</f>
        <v>80</v>
      </c>
      <c r="G16" s="103" t="str">
        <f t="shared" si="0"/>
        <v>APROBADO</v>
      </c>
      <c r="H16" s="104"/>
      <c r="I16" s="104"/>
    </row>
    <row r="17" spans="1:9" ht="12" customHeight="1" x14ac:dyDescent="0.4">
      <c r="A17" s="58">
        <v>9</v>
      </c>
      <c r="B17" s="59" t="str">
        <f>'C. FILIACION'!B16</f>
        <v>LEDEZMA ORELLANA RICARDO ERIK</v>
      </c>
      <c r="C17" s="101">
        <f>'VAL 1 TRIM '!AG17</f>
        <v>66</v>
      </c>
      <c r="D17" s="101">
        <f>'VAL 2 TRIM'!AG17</f>
        <v>73</v>
      </c>
      <c r="E17" s="101">
        <f>'VAL 3 TRIM'!AG17</f>
        <v>100</v>
      </c>
      <c r="F17" s="102">
        <f>'CENTRAL 1'!U17</f>
        <v>79.666666666666671</v>
      </c>
      <c r="G17" s="103" t="str">
        <f t="shared" si="0"/>
        <v>APROBADO</v>
      </c>
      <c r="H17" s="104"/>
      <c r="I17" s="104"/>
    </row>
    <row r="18" spans="1:9" ht="12" customHeight="1" x14ac:dyDescent="0.4">
      <c r="A18" s="58">
        <v>10</v>
      </c>
      <c r="B18" s="59" t="str">
        <f>'C. FILIACION'!B17</f>
        <v>MAMANI LOPEZ ELIZABETH MILDRED</v>
      </c>
      <c r="C18" s="101">
        <f>'VAL 1 TRIM '!AG18</f>
        <v>90</v>
      </c>
      <c r="D18" s="101">
        <f>'VAL 2 TRIM'!AG18</f>
        <v>42</v>
      </c>
      <c r="E18" s="101">
        <f>'VAL 3 TRIM'!AG18</f>
        <v>100</v>
      </c>
      <c r="F18" s="102">
        <f>'CENTRAL 1'!U18</f>
        <v>77.333333333333329</v>
      </c>
      <c r="G18" s="103" t="str">
        <f t="shared" si="0"/>
        <v>APROBADO</v>
      </c>
      <c r="H18" s="104"/>
      <c r="I18" s="104"/>
    </row>
    <row r="19" spans="1:9" ht="12" customHeight="1" x14ac:dyDescent="0.4">
      <c r="A19" s="58">
        <v>11</v>
      </c>
      <c r="B19" s="59" t="str">
        <f>'C. FILIACION'!B18</f>
        <v>MEDINA CHOQUE JUAN JOSE</v>
      </c>
      <c r="C19" s="101">
        <f>'VAL 1 TRIM '!AG19</f>
        <v>66</v>
      </c>
      <c r="D19" s="101">
        <f>'VAL 2 TRIM'!AG19</f>
        <v>30</v>
      </c>
      <c r="E19" s="101">
        <f>'VAL 3 TRIM'!AG19</f>
        <v>100</v>
      </c>
      <c r="F19" s="102">
        <f>'CENTRAL 1'!U19</f>
        <v>65.333333333333329</v>
      </c>
      <c r="G19" s="103" t="str">
        <f t="shared" si="0"/>
        <v>APROBADO</v>
      </c>
      <c r="H19" s="104"/>
      <c r="I19" s="104"/>
    </row>
    <row r="20" spans="1:9" ht="12" customHeight="1" x14ac:dyDescent="0.4">
      <c r="A20" s="58">
        <v>12</v>
      </c>
      <c r="B20" s="59" t="str">
        <f>'C. FILIACION'!B19</f>
        <v>NINA RUEDA SEBASTIAN CARLOS</v>
      </c>
      <c r="C20" s="101">
        <f>'VAL 1 TRIM '!AG20</f>
        <v>90</v>
      </c>
      <c r="D20" s="101">
        <f>'VAL 2 TRIM'!AG20</f>
        <v>61</v>
      </c>
      <c r="E20" s="101">
        <f>'VAL 3 TRIM'!AG20</f>
        <v>100</v>
      </c>
      <c r="F20" s="102">
        <f>'CENTRAL 1'!U20</f>
        <v>83.666666666666671</v>
      </c>
      <c r="G20" s="103" t="str">
        <f t="shared" si="0"/>
        <v>APROBADO</v>
      </c>
      <c r="H20" s="104"/>
      <c r="I20" s="104"/>
    </row>
    <row r="21" spans="1:9" ht="12" customHeight="1" x14ac:dyDescent="0.4">
      <c r="A21" s="58">
        <v>13</v>
      </c>
      <c r="B21" s="59" t="str">
        <f>'C. FILIACION'!B20</f>
        <v>RODRIGUEZ RAMIREZ NATALY ARIANA</v>
      </c>
      <c r="C21" s="101">
        <f>'VAL 1 TRIM '!AG21</f>
        <v>90</v>
      </c>
      <c r="D21" s="101">
        <f>'VAL 2 TRIM'!AG21</f>
        <v>68</v>
      </c>
      <c r="E21" s="101">
        <f>'VAL 3 TRIM'!AG21</f>
        <v>100</v>
      </c>
      <c r="F21" s="102">
        <f>'CENTRAL 1'!U21</f>
        <v>86</v>
      </c>
      <c r="G21" s="103" t="str">
        <f t="shared" si="0"/>
        <v>APROBADO</v>
      </c>
      <c r="H21" s="104"/>
      <c r="I21" s="104"/>
    </row>
    <row r="22" spans="1:9" ht="12" customHeight="1" x14ac:dyDescent="0.4">
      <c r="A22" s="58">
        <v>14</v>
      </c>
      <c r="B22" s="59" t="str">
        <f>'C. FILIACION'!B21</f>
        <v>SALAZAR CANAZA CRISTINA MAYRA</v>
      </c>
      <c r="C22" s="101">
        <f>'VAL 1 TRIM '!AG22</f>
        <v>90</v>
      </c>
      <c r="D22" s="101">
        <f>'VAL 2 TRIM'!AG22</f>
        <v>60</v>
      </c>
      <c r="E22" s="101">
        <f>'VAL 3 TRIM'!AG22</f>
        <v>100</v>
      </c>
      <c r="F22" s="102">
        <f>'CENTRAL 1'!U22</f>
        <v>83.333333333333329</v>
      </c>
      <c r="G22" s="103" t="str">
        <f t="shared" si="0"/>
        <v>APROBADO</v>
      </c>
      <c r="H22" s="104"/>
      <c r="I22" s="104"/>
    </row>
    <row r="23" spans="1:9" ht="12" customHeight="1" x14ac:dyDescent="0.4">
      <c r="A23" s="58">
        <v>15</v>
      </c>
      <c r="B23" s="59" t="str">
        <f>'C. FILIACION'!B22</f>
        <v>SEVILLANO BALTAZAR AGNESE</v>
      </c>
      <c r="C23" s="101">
        <f>'VAL 1 TRIM '!AG23</f>
        <v>90</v>
      </c>
      <c r="D23" s="101">
        <f>'VAL 2 TRIM'!AG23</f>
        <v>90</v>
      </c>
      <c r="E23" s="101">
        <f>'VAL 3 TRIM'!AG23</f>
        <v>100</v>
      </c>
      <c r="F23" s="102">
        <f>'CENTRAL 1'!U23</f>
        <v>93.333333333333329</v>
      </c>
      <c r="G23" s="103" t="str">
        <f t="shared" si="0"/>
        <v>APROBADO</v>
      </c>
      <c r="H23" s="104"/>
      <c r="I23" s="104"/>
    </row>
    <row r="24" spans="1:9" ht="12" customHeight="1" x14ac:dyDescent="0.4">
      <c r="A24" s="58">
        <v>16</v>
      </c>
      <c r="B24" s="59" t="str">
        <f>'C. FILIACION'!B23</f>
        <v>TOCONAS HUAYGUA VICTORIA FERNANDA</v>
      </c>
      <c r="C24" s="101">
        <f>'VAL 1 TRIM '!AG24</f>
        <v>66</v>
      </c>
      <c r="D24" s="101">
        <f>'VAL 2 TRIM'!AG24</f>
        <v>59</v>
      </c>
      <c r="E24" s="101">
        <f>'VAL 3 TRIM'!AG24</f>
        <v>100</v>
      </c>
      <c r="F24" s="102">
        <f>'CENTRAL 1'!U24</f>
        <v>75</v>
      </c>
      <c r="G24" s="103" t="str">
        <f t="shared" si="0"/>
        <v>APROBADO</v>
      </c>
      <c r="H24" s="104"/>
      <c r="I24" s="104"/>
    </row>
    <row r="25" spans="1:9" ht="12" customHeight="1" x14ac:dyDescent="0.4">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4">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4">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4">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4">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4">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4">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4">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4">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4">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4">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4">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4">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4">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4">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4">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4">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4">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4">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4">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4"/>
    <row r="46" spans="1:9" ht="12.75" customHeight="1" x14ac:dyDescent="0.4"/>
    <row r="47" spans="1:9" ht="12.75" customHeight="1" x14ac:dyDescent="0.4"/>
    <row r="48" spans="1:9"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7734375" defaultRowHeight="15" customHeight="1" x14ac:dyDescent="0.4"/>
  <cols>
    <col min="1" max="1" width="3.94140625" customWidth="1"/>
    <col min="2" max="2" width="6.27734375" customWidth="1"/>
    <col min="3" max="3" width="12.6640625" customWidth="1"/>
    <col min="4" max="4" width="5.94140625" customWidth="1"/>
    <col min="5" max="5" width="7.609375" customWidth="1"/>
    <col min="6" max="6" width="2.94140625" customWidth="1"/>
    <col min="7" max="7" width="14.71875" customWidth="1"/>
    <col min="8" max="8" width="5.27734375" customWidth="1"/>
    <col min="9" max="10" width="10.9414062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312" t="s">
        <v>109</v>
      </c>
      <c r="C2" s="222"/>
      <c r="D2" s="222"/>
      <c r="E2" s="222"/>
      <c r="F2" s="222"/>
      <c r="G2" s="222"/>
      <c r="H2" s="222"/>
      <c r="I2" s="222"/>
      <c r="J2" s="222"/>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2do de Secundaria</v>
      </c>
      <c r="E5" s="110"/>
      <c r="F5" s="110"/>
      <c r="G5" s="110"/>
      <c r="H5" s="111" t="s">
        <v>23</v>
      </c>
      <c r="I5" s="66">
        <f ca="1">TODAY()</f>
        <v>44453</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 x14ac:dyDescent="0.4">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 x14ac:dyDescent="0.4">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 x14ac:dyDescent="0.4">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 x14ac:dyDescent="0.4">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313" t="s">
        <v>126</v>
      </c>
      <c r="C13" s="222"/>
      <c r="D13" s="222"/>
      <c r="E13" s="222"/>
      <c r="F13" s="222"/>
      <c r="G13" s="222"/>
      <c r="H13" s="222"/>
      <c r="I13" s="222"/>
      <c r="J13" s="222"/>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309" t="s">
        <v>127</v>
      </c>
      <c r="C15" s="229"/>
      <c r="D15" s="229"/>
      <c r="E15" s="229"/>
      <c r="F15" s="229"/>
      <c r="G15" s="229"/>
      <c r="H15" s="229"/>
      <c r="I15" s="229"/>
      <c r="J15" s="230"/>
      <c r="K15" s="110"/>
      <c r="L15" s="110"/>
      <c r="M15" s="110"/>
      <c r="N15" s="110"/>
      <c r="O15" s="110"/>
      <c r="P15" s="110"/>
      <c r="Q15" s="110"/>
      <c r="R15" s="110"/>
      <c r="S15" s="110"/>
      <c r="T15" s="110"/>
      <c r="U15" s="110"/>
      <c r="V15" s="110"/>
      <c r="W15" s="110"/>
      <c r="X15" s="110"/>
      <c r="Y15" s="110"/>
      <c r="Z15" s="110"/>
    </row>
    <row r="16" spans="1:26" ht="16.5" customHeight="1" x14ac:dyDescent="0.4">
      <c r="A16" s="110"/>
      <c r="B16" s="310"/>
      <c r="C16" s="222"/>
      <c r="D16" s="222"/>
      <c r="E16" s="222"/>
      <c r="F16" s="222"/>
      <c r="G16" s="222"/>
      <c r="H16" s="222"/>
      <c r="I16" s="222"/>
      <c r="J16" s="311"/>
      <c r="K16" s="110"/>
      <c r="L16" s="110"/>
      <c r="M16" s="110"/>
      <c r="N16" s="110"/>
      <c r="O16" s="110"/>
      <c r="P16" s="110"/>
      <c r="Q16" s="110"/>
      <c r="R16" s="110"/>
      <c r="S16" s="110"/>
      <c r="T16" s="110"/>
      <c r="U16" s="110"/>
      <c r="V16" s="110"/>
      <c r="W16" s="110"/>
      <c r="X16" s="110"/>
      <c r="Y16" s="110"/>
      <c r="Z16" s="110"/>
    </row>
    <row r="17" spans="1:26" ht="16.5" customHeight="1" x14ac:dyDescent="0.4">
      <c r="A17" s="110"/>
      <c r="B17" s="295"/>
      <c r="C17" s="296"/>
      <c r="D17" s="296"/>
      <c r="E17" s="296"/>
      <c r="F17" s="296"/>
      <c r="G17" s="296"/>
      <c r="H17" s="296"/>
      <c r="I17" s="296"/>
      <c r="J17" s="297"/>
      <c r="K17" s="110"/>
      <c r="L17" s="110"/>
      <c r="M17" s="110"/>
      <c r="N17" s="110"/>
      <c r="O17" s="110"/>
      <c r="P17" s="110"/>
      <c r="Q17" s="110"/>
      <c r="R17" s="110"/>
      <c r="S17" s="110"/>
      <c r="T17" s="110"/>
      <c r="U17" s="110"/>
      <c r="V17" s="110"/>
      <c r="W17" s="110"/>
      <c r="X17" s="110"/>
      <c r="Y17" s="110"/>
      <c r="Z17" s="110"/>
    </row>
    <row r="18" spans="1:26" ht="16.5" customHeight="1" x14ac:dyDescent="0.4">
      <c r="A18" s="110"/>
      <c r="B18" s="309" t="s">
        <v>128</v>
      </c>
      <c r="C18" s="229"/>
      <c r="D18" s="229"/>
      <c r="E18" s="229"/>
      <c r="F18" s="229"/>
      <c r="G18" s="229"/>
      <c r="H18" s="229"/>
      <c r="I18" s="229"/>
      <c r="J18" s="230"/>
      <c r="K18" s="110"/>
      <c r="L18" s="110"/>
      <c r="M18" s="110"/>
      <c r="N18" s="110"/>
      <c r="O18" s="110"/>
      <c r="P18" s="110"/>
      <c r="Q18" s="110"/>
      <c r="R18" s="110"/>
      <c r="S18" s="110"/>
      <c r="T18" s="110"/>
      <c r="U18" s="110"/>
      <c r="V18" s="110"/>
      <c r="W18" s="110"/>
      <c r="X18" s="110"/>
      <c r="Y18" s="110"/>
      <c r="Z18" s="110"/>
    </row>
    <row r="19" spans="1:26" ht="16.5" customHeight="1" x14ac:dyDescent="0.4">
      <c r="A19" s="110"/>
      <c r="B19" s="310"/>
      <c r="C19" s="222"/>
      <c r="D19" s="222"/>
      <c r="E19" s="222"/>
      <c r="F19" s="222"/>
      <c r="G19" s="222"/>
      <c r="H19" s="222"/>
      <c r="I19" s="222"/>
      <c r="J19" s="311"/>
      <c r="K19" s="110"/>
      <c r="L19" s="110"/>
      <c r="M19" s="110"/>
      <c r="N19" s="110"/>
      <c r="O19" s="110"/>
      <c r="P19" s="110"/>
      <c r="Q19" s="110"/>
      <c r="R19" s="110"/>
      <c r="S19" s="110"/>
      <c r="T19" s="110"/>
      <c r="U19" s="110"/>
      <c r="V19" s="110"/>
      <c r="W19" s="110"/>
      <c r="X19" s="110"/>
      <c r="Y19" s="110"/>
      <c r="Z19" s="110"/>
    </row>
    <row r="20" spans="1:26" ht="16.5" customHeight="1" x14ac:dyDescent="0.4">
      <c r="A20" s="110"/>
      <c r="B20" s="295"/>
      <c r="C20" s="296"/>
      <c r="D20" s="296"/>
      <c r="E20" s="296"/>
      <c r="F20" s="296"/>
      <c r="G20" s="296"/>
      <c r="H20" s="296"/>
      <c r="I20" s="296"/>
      <c r="J20" s="297"/>
      <c r="K20" s="110"/>
      <c r="L20" s="110"/>
      <c r="M20" s="110"/>
      <c r="N20" s="110"/>
      <c r="O20" s="110"/>
      <c r="P20" s="110"/>
      <c r="Q20" s="110"/>
      <c r="R20" s="110"/>
      <c r="S20" s="110"/>
      <c r="T20" s="110"/>
      <c r="U20" s="110"/>
      <c r="V20" s="110"/>
      <c r="W20" s="110"/>
      <c r="X20" s="110"/>
      <c r="Y20" s="110"/>
      <c r="Z20" s="110"/>
    </row>
    <row r="21" spans="1:26" ht="16.5" customHeight="1" x14ac:dyDescent="0.4">
      <c r="A21" s="110"/>
      <c r="B21" s="309" t="s">
        <v>129</v>
      </c>
      <c r="C21" s="229"/>
      <c r="D21" s="229"/>
      <c r="E21" s="229"/>
      <c r="F21" s="229"/>
      <c r="G21" s="229"/>
      <c r="H21" s="229"/>
      <c r="I21" s="229"/>
      <c r="J21" s="230"/>
      <c r="K21" s="110"/>
      <c r="L21" s="110"/>
      <c r="M21" s="110"/>
      <c r="N21" s="110"/>
      <c r="O21" s="110"/>
      <c r="P21" s="110"/>
      <c r="Q21" s="110"/>
      <c r="R21" s="110"/>
      <c r="S21" s="110"/>
      <c r="T21" s="110"/>
      <c r="U21" s="110"/>
      <c r="V21" s="110"/>
      <c r="W21" s="110"/>
      <c r="X21" s="110"/>
      <c r="Y21" s="110"/>
      <c r="Z21" s="110"/>
    </row>
    <row r="22" spans="1:26" ht="16.5" customHeight="1" x14ac:dyDescent="0.4">
      <c r="A22" s="110"/>
      <c r="B22" s="310"/>
      <c r="C22" s="222"/>
      <c r="D22" s="222"/>
      <c r="E22" s="222"/>
      <c r="F22" s="222"/>
      <c r="G22" s="222"/>
      <c r="H22" s="222"/>
      <c r="I22" s="222"/>
      <c r="J22" s="311"/>
      <c r="K22" s="110"/>
      <c r="L22" s="110"/>
      <c r="M22" s="110"/>
      <c r="N22" s="110"/>
      <c r="O22" s="110"/>
      <c r="P22" s="110"/>
      <c r="Q22" s="110"/>
      <c r="R22" s="110"/>
      <c r="S22" s="110"/>
      <c r="T22" s="110"/>
      <c r="U22" s="110"/>
      <c r="V22" s="110"/>
      <c r="W22" s="110"/>
      <c r="X22" s="110"/>
      <c r="Y22" s="110"/>
      <c r="Z22" s="110"/>
    </row>
    <row r="23" spans="1:26" ht="16.5" customHeight="1" x14ac:dyDescent="0.4">
      <c r="A23" s="110"/>
      <c r="B23" s="295"/>
      <c r="C23" s="296"/>
      <c r="D23" s="296"/>
      <c r="E23" s="296"/>
      <c r="F23" s="296"/>
      <c r="G23" s="296"/>
      <c r="H23" s="296"/>
      <c r="I23" s="296"/>
      <c r="J23" s="297"/>
      <c r="K23" s="110"/>
      <c r="L23" s="110"/>
      <c r="M23" s="110"/>
      <c r="N23" s="110"/>
      <c r="O23" s="110"/>
      <c r="P23" s="110"/>
      <c r="Q23" s="110"/>
      <c r="R23" s="110"/>
      <c r="S23" s="110"/>
      <c r="T23" s="110"/>
      <c r="U23" s="110"/>
      <c r="V23" s="110"/>
      <c r="W23" s="110"/>
      <c r="X23" s="110"/>
      <c r="Y23" s="110"/>
      <c r="Z23" s="110"/>
    </row>
    <row r="24" spans="1:26" ht="16.5" customHeight="1" x14ac:dyDescent="0.4">
      <c r="A24" s="110"/>
      <c r="B24" s="309" t="s">
        <v>130</v>
      </c>
      <c r="C24" s="229"/>
      <c r="D24" s="229"/>
      <c r="E24" s="229"/>
      <c r="F24" s="229"/>
      <c r="G24" s="229"/>
      <c r="H24" s="229"/>
      <c r="I24" s="229"/>
      <c r="J24" s="230"/>
      <c r="K24" s="110"/>
      <c r="L24" s="110"/>
      <c r="M24" s="110"/>
      <c r="N24" s="110"/>
      <c r="O24" s="110"/>
      <c r="P24" s="110"/>
      <c r="Q24" s="110"/>
      <c r="R24" s="110"/>
      <c r="S24" s="110"/>
      <c r="T24" s="110"/>
      <c r="U24" s="110"/>
      <c r="V24" s="110"/>
      <c r="W24" s="110"/>
      <c r="X24" s="110"/>
      <c r="Y24" s="110"/>
      <c r="Z24" s="110"/>
    </row>
    <row r="25" spans="1:26" ht="16.5" customHeight="1" x14ac:dyDescent="0.4">
      <c r="A25" s="110"/>
      <c r="B25" s="310"/>
      <c r="C25" s="222"/>
      <c r="D25" s="222"/>
      <c r="E25" s="222"/>
      <c r="F25" s="222"/>
      <c r="G25" s="222"/>
      <c r="H25" s="222"/>
      <c r="I25" s="222"/>
      <c r="J25" s="311"/>
      <c r="K25" s="110"/>
      <c r="L25" s="110"/>
      <c r="M25" s="110"/>
      <c r="N25" s="110"/>
      <c r="O25" s="110"/>
      <c r="P25" s="110"/>
      <c r="Q25" s="110"/>
      <c r="R25" s="110"/>
      <c r="S25" s="110"/>
      <c r="T25" s="110"/>
      <c r="U25" s="110"/>
      <c r="V25" s="110"/>
      <c r="W25" s="110"/>
      <c r="X25" s="110"/>
      <c r="Y25" s="110"/>
      <c r="Z25" s="110"/>
    </row>
    <row r="26" spans="1:26" ht="16.5" customHeight="1" x14ac:dyDescent="0.4">
      <c r="A26" s="110"/>
      <c r="B26" s="295"/>
      <c r="C26" s="296"/>
      <c r="D26" s="296"/>
      <c r="E26" s="296"/>
      <c r="F26" s="296"/>
      <c r="G26" s="296"/>
      <c r="H26" s="296"/>
      <c r="I26" s="296"/>
      <c r="J26" s="297"/>
      <c r="K26" s="110"/>
      <c r="L26" s="110"/>
      <c r="M26" s="110"/>
      <c r="N26" s="110"/>
      <c r="O26" s="110"/>
      <c r="P26" s="110"/>
      <c r="Q26" s="110"/>
      <c r="R26" s="110"/>
      <c r="S26" s="110"/>
      <c r="T26" s="110"/>
      <c r="U26" s="110"/>
      <c r="V26" s="110"/>
      <c r="W26" s="110"/>
      <c r="X26" s="110"/>
      <c r="Y26" s="110"/>
      <c r="Z26" s="110"/>
    </row>
    <row r="27" spans="1:26" ht="16.5" customHeight="1" x14ac:dyDescent="0.4">
      <c r="A27" s="110"/>
      <c r="B27" s="309" t="s">
        <v>131</v>
      </c>
      <c r="C27" s="229"/>
      <c r="D27" s="229"/>
      <c r="E27" s="229"/>
      <c r="F27" s="229"/>
      <c r="G27" s="229"/>
      <c r="H27" s="229"/>
      <c r="I27" s="229"/>
      <c r="J27" s="230"/>
      <c r="K27" s="110"/>
      <c r="L27" s="110"/>
      <c r="M27" s="110"/>
      <c r="N27" s="110"/>
      <c r="O27" s="110"/>
      <c r="P27" s="110"/>
      <c r="Q27" s="110"/>
      <c r="R27" s="110"/>
      <c r="S27" s="110"/>
      <c r="T27" s="110"/>
      <c r="U27" s="110"/>
      <c r="V27" s="110"/>
      <c r="W27" s="110"/>
      <c r="X27" s="110"/>
      <c r="Y27" s="110"/>
      <c r="Z27" s="110"/>
    </row>
    <row r="28" spans="1:26" ht="16.5" customHeight="1" x14ac:dyDescent="0.4">
      <c r="A28" s="110"/>
      <c r="B28" s="310"/>
      <c r="C28" s="222"/>
      <c r="D28" s="222"/>
      <c r="E28" s="222"/>
      <c r="F28" s="222"/>
      <c r="G28" s="222"/>
      <c r="H28" s="222"/>
      <c r="I28" s="222"/>
      <c r="J28" s="311"/>
      <c r="K28" s="110"/>
      <c r="L28" s="110"/>
      <c r="M28" s="110"/>
      <c r="N28" s="110"/>
      <c r="O28" s="110"/>
      <c r="P28" s="110"/>
      <c r="Q28" s="110"/>
      <c r="R28" s="110"/>
      <c r="S28" s="110"/>
      <c r="T28" s="110"/>
      <c r="U28" s="110"/>
      <c r="V28" s="110"/>
      <c r="W28" s="110"/>
      <c r="X28" s="110"/>
      <c r="Y28" s="110"/>
      <c r="Z28" s="110"/>
    </row>
    <row r="29" spans="1:26" ht="16.5" customHeight="1" x14ac:dyDescent="0.4">
      <c r="A29" s="110"/>
      <c r="B29" s="295"/>
      <c r="C29" s="296"/>
      <c r="D29" s="296"/>
      <c r="E29" s="296"/>
      <c r="F29" s="296"/>
      <c r="G29" s="296"/>
      <c r="H29" s="296"/>
      <c r="I29" s="296"/>
      <c r="J29" s="297"/>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7734375" defaultRowHeight="15" customHeight="1" x14ac:dyDescent="0.4"/>
  <cols>
    <col min="1" max="1" width="3.94140625" customWidth="1"/>
    <col min="2" max="2" width="6.27734375" customWidth="1"/>
    <col min="3" max="3" width="12.6640625" customWidth="1"/>
    <col min="4" max="4" width="5.94140625" customWidth="1"/>
    <col min="5" max="5" width="7.609375" customWidth="1"/>
    <col min="6" max="6" width="2.94140625" customWidth="1"/>
    <col min="7" max="7" width="14.71875" customWidth="1"/>
    <col min="8" max="8" width="5.27734375" customWidth="1"/>
    <col min="9" max="10" width="10.9414062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312" t="s">
        <v>133</v>
      </c>
      <c r="C2" s="222"/>
      <c r="D2" s="222"/>
      <c r="E2" s="222"/>
      <c r="F2" s="222"/>
      <c r="G2" s="222"/>
      <c r="H2" s="222"/>
      <c r="I2" s="222"/>
      <c r="J2" s="222"/>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2do de Secundaria</v>
      </c>
      <c r="E5" s="110"/>
      <c r="F5" s="110"/>
      <c r="G5" s="110"/>
      <c r="H5" s="111" t="s">
        <v>23</v>
      </c>
      <c r="I5" s="66">
        <f ca="1">TODAY()</f>
        <v>44453</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 x14ac:dyDescent="0.4">
      <c r="A7" s="110"/>
      <c r="B7" s="115" t="s">
        <v>91</v>
      </c>
      <c r="C7" s="114" t="s">
        <v>111</v>
      </c>
      <c r="D7" s="115" t="s">
        <v>112</v>
      </c>
      <c r="E7" s="116" t="s">
        <v>113</v>
      </c>
      <c r="F7" s="110"/>
      <c r="G7" s="117" t="s">
        <v>114</v>
      </c>
      <c r="H7" s="115">
        <f>'VAL 2 TRIM'!$AO$9</f>
        <v>5</v>
      </c>
      <c r="I7" s="118">
        <f>H7/H11</f>
        <v>0.1388888888888889</v>
      </c>
      <c r="J7" s="110"/>
      <c r="K7" s="110"/>
      <c r="L7" s="110"/>
      <c r="M7" s="110"/>
      <c r="N7" s="110"/>
      <c r="O7" s="110"/>
      <c r="P7" s="110"/>
      <c r="Q7" s="110"/>
      <c r="R7" s="110"/>
      <c r="S7" s="110"/>
      <c r="T7" s="110"/>
      <c r="U7" s="110"/>
      <c r="V7" s="110"/>
      <c r="W7" s="110"/>
      <c r="X7" s="110"/>
      <c r="Y7" s="110"/>
      <c r="Z7" s="110"/>
    </row>
    <row r="8" spans="1:26" ht="20" x14ac:dyDescent="0.4">
      <c r="A8" s="110"/>
      <c r="B8" s="115" t="s">
        <v>92</v>
      </c>
      <c r="C8" s="114" t="s">
        <v>115</v>
      </c>
      <c r="D8" s="115" t="s">
        <v>116</v>
      </c>
      <c r="E8" s="116" t="s">
        <v>117</v>
      </c>
      <c r="F8" s="110"/>
      <c r="G8" s="117" t="s">
        <v>118</v>
      </c>
      <c r="H8" s="115">
        <f>'VAL 2 TRIM'!$AO$10</f>
        <v>5</v>
      </c>
      <c r="I8" s="118">
        <f>H8/H11</f>
        <v>0.1388888888888889</v>
      </c>
      <c r="J8" s="110"/>
      <c r="K8" s="110"/>
      <c r="L8" s="110"/>
      <c r="M8" s="110"/>
      <c r="N8" s="110"/>
      <c r="O8" s="110"/>
      <c r="P8" s="110"/>
      <c r="Q8" s="110"/>
      <c r="R8" s="110"/>
      <c r="S8" s="110"/>
      <c r="T8" s="110"/>
      <c r="U8" s="110"/>
      <c r="V8" s="110"/>
      <c r="W8" s="110"/>
      <c r="X8" s="110"/>
      <c r="Y8" s="110"/>
      <c r="Z8" s="110"/>
    </row>
    <row r="9" spans="1:26" ht="20" x14ac:dyDescent="0.4">
      <c r="A9" s="110"/>
      <c r="B9" s="115" t="s">
        <v>93</v>
      </c>
      <c r="C9" s="114" t="s">
        <v>119</v>
      </c>
      <c r="D9" s="115" t="s">
        <v>120</v>
      </c>
      <c r="E9" s="116" t="s">
        <v>117</v>
      </c>
      <c r="F9" s="110"/>
      <c r="G9" s="119" t="s">
        <v>121</v>
      </c>
      <c r="H9" s="115">
        <f>'VAL 2 TRIM'!$AO$11</f>
        <v>5</v>
      </c>
      <c r="I9" s="118">
        <f>H9/H11</f>
        <v>0.1388888888888889</v>
      </c>
      <c r="J9" s="110"/>
      <c r="K9" s="110"/>
      <c r="L9" s="110"/>
      <c r="M9" s="110"/>
      <c r="N9" s="110"/>
      <c r="O9" s="110"/>
      <c r="P9" s="110"/>
      <c r="Q9" s="110"/>
      <c r="R9" s="110"/>
      <c r="S9" s="110"/>
      <c r="T9" s="110"/>
      <c r="U9" s="110"/>
      <c r="V9" s="110"/>
      <c r="W9" s="110"/>
      <c r="X9" s="110"/>
      <c r="Y9" s="110"/>
      <c r="Z9" s="110"/>
    </row>
    <row r="10" spans="1:26" ht="20" x14ac:dyDescent="0.4">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313" t="s">
        <v>126</v>
      </c>
      <c r="C13" s="222"/>
      <c r="D13" s="222"/>
      <c r="E13" s="222"/>
      <c r="F13" s="222"/>
      <c r="G13" s="222"/>
      <c r="H13" s="222"/>
      <c r="I13" s="222"/>
      <c r="J13" s="222"/>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309" t="s">
        <v>127</v>
      </c>
      <c r="C15" s="229"/>
      <c r="D15" s="229"/>
      <c r="E15" s="229"/>
      <c r="F15" s="229"/>
      <c r="G15" s="229"/>
      <c r="H15" s="229"/>
      <c r="I15" s="229"/>
      <c r="J15" s="230"/>
      <c r="K15" s="110"/>
      <c r="L15" s="110"/>
      <c r="M15" s="110"/>
      <c r="N15" s="110"/>
      <c r="O15" s="110"/>
      <c r="P15" s="110"/>
      <c r="Q15" s="110"/>
      <c r="R15" s="110"/>
      <c r="S15" s="110"/>
      <c r="T15" s="110"/>
      <c r="U15" s="110"/>
      <c r="V15" s="110"/>
      <c r="W15" s="110"/>
      <c r="X15" s="110"/>
      <c r="Y15" s="110"/>
      <c r="Z15" s="110"/>
    </row>
    <row r="16" spans="1:26" ht="16.5" customHeight="1" x14ac:dyDescent="0.4">
      <c r="A16" s="110"/>
      <c r="B16" s="310"/>
      <c r="C16" s="222"/>
      <c r="D16" s="222"/>
      <c r="E16" s="222"/>
      <c r="F16" s="222"/>
      <c r="G16" s="222"/>
      <c r="H16" s="222"/>
      <c r="I16" s="222"/>
      <c r="J16" s="311"/>
      <c r="K16" s="110"/>
      <c r="L16" s="110"/>
      <c r="M16" s="110"/>
      <c r="N16" s="110"/>
      <c r="O16" s="110"/>
      <c r="P16" s="110"/>
      <c r="Q16" s="110"/>
      <c r="R16" s="110"/>
      <c r="S16" s="110"/>
      <c r="T16" s="110"/>
      <c r="U16" s="110"/>
      <c r="V16" s="110"/>
      <c r="W16" s="110"/>
      <c r="X16" s="110"/>
      <c r="Y16" s="110"/>
      <c r="Z16" s="110"/>
    </row>
    <row r="17" spans="1:26" ht="16.5" customHeight="1" x14ac:dyDescent="0.4">
      <c r="A17" s="110"/>
      <c r="B17" s="295"/>
      <c r="C17" s="296"/>
      <c r="D17" s="296"/>
      <c r="E17" s="296"/>
      <c r="F17" s="296"/>
      <c r="G17" s="296"/>
      <c r="H17" s="296"/>
      <c r="I17" s="296"/>
      <c r="J17" s="297"/>
      <c r="K17" s="110"/>
      <c r="L17" s="110"/>
      <c r="M17" s="110"/>
      <c r="N17" s="110"/>
      <c r="O17" s="110"/>
      <c r="P17" s="110"/>
      <c r="Q17" s="110"/>
      <c r="R17" s="110"/>
      <c r="S17" s="110"/>
      <c r="T17" s="110"/>
      <c r="U17" s="110"/>
      <c r="V17" s="110"/>
      <c r="W17" s="110"/>
      <c r="X17" s="110"/>
      <c r="Y17" s="110"/>
      <c r="Z17" s="110"/>
    </row>
    <row r="18" spans="1:26" ht="16.5" customHeight="1" x14ac:dyDescent="0.4">
      <c r="A18" s="110"/>
      <c r="B18" s="309" t="s">
        <v>128</v>
      </c>
      <c r="C18" s="229"/>
      <c r="D18" s="229"/>
      <c r="E18" s="229"/>
      <c r="F18" s="229"/>
      <c r="G18" s="229"/>
      <c r="H18" s="229"/>
      <c r="I18" s="229"/>
      <c r="J18" s="230"/>
      <c r="K18" s="110"/>
      <c r="L18" s="110"/>
      <c r="M18" s="110"/>
      <c r="N18" s="110"/>
      <c r="O18" s="110"/>
      <c r="P18" s="110"/>
      <c r="Q18" s="110"/>
      <c r="R18" s="110"/>
      <c r="S18" s="110"/>
      <c r="T18" s="110"/>
      <c r="U18" s="110"/>
      <c r="V18" s="110"/>
      <c r="W18" s="110"/>
      <c r="X18" s="110"/>
      <c r="Y18" s="110"/>
      <c r="Z18" s="110"/>
    </row>
    <row r="19" spans="1:26" ht="16.5" customHeight="1" x14ac:dyDescent="0.4">
      <c r="A19" s="110"/>
      <c r="B19" s="310"/>
      <c r="C19" s="222"/>
      <c r="D19" s="222"/>
      <c r="E19" s="222"/>
      <c r="F19" s="222"/>
      <c r="G19" s="222"/>
      <c r="H19" s="222"/>
      <c r="I19" s="222"/>
      <c r="J19" s="311"/>
      <c r="K19" s="110"/>
      <c r="L19" s="110"/>
      <c r="M19" s="110"/>
      <c r="N19" s="110"/>
      <c r="O19" s="110"/>
      <c r="P19" s="110"/>
      <c r="Q19" s="110"/>
      <c r="R19" s="110"/>
      <c r="S19" s="110"/>
      <c r="T19" s="110"/>
      <c r="U19" s="110"/>
      <c r="V19" s="110"/>
      <c r="W19" s="110"/>
      <c r="X19" s="110"/>
      <c r="Y19" s="110"/>
      <c r="Z19" s="110"/>
    </row>
    <row r="20" spans="1:26" ht="16.5" customHeight="1" x14ac:dyDescent="0.4">
      <c r="A20" s="110"/>
      <c r="B20" s="295"/>
      <c r="C20" s="296"/>
      <c r="D20" s="296"/>
      <c r="E20" s="296"/>
      <c r="F20" s="296"/>
      <c r="G20" s="296"/>
      <c r="H20" s="296"/>
      <c r="I20" s="296"/>
      <c r="J20" s="297"/>
      <c r="K20" s="110"/>
      <c r="L20" s="110"/>
      <c r="M20" s="110"/>
      <c r="N20" s="110"/>
      <c r="O20" s="110"/>
      <c r="P20" s="110"/>
      <c r="Q20" s="110"/>
      <c r="R20" s="110"/>
      <c r="S20" s="110"/>
      <c r="T20" s="110"/>
      <c r="U20" s="110"/>
      <c r="V20" s="110"/>
      <c r="W20" s="110"/>
      <c r="X20" s="110"/>
      <c r="Y20" s="110"/>
      <c r="Z20" s="110"/>
    </row>
    <row r="21" spans="1:26" ht="16.5" customHeight="1" x14ac:dyDescent="0.4">
      <c r="A21" s="110"/>
      <c r="B21" s="309" t="s">
        <v>129</v>
      </c>
      <c r="C21" s="229"/>
      <c r="D21" s="229"/>
      <c r="E21" s="229"/>
      <c r="F21" s="229"/>
      <c r="G21" s="229"/>
      <c r="H21" s="229"/>
      <c r="I21" s="229"/>
      <c r="J21" s="230"/>
      <c r="K21" s="110"/>
      <c r="L21" s="110"/>
      <c r="M21" s="110"/>
      <c r="N21" s="110"/>
      <c r="O21" s="110"/>
      <c r="P21" s="110"/>
      <c r="Q21" s="110"/>
      <c r="R21" s="110"/>
      <c r="S21" s="110"/>
      <c r="T21" s="110"/>
      <c r="U21" s="110"/>
      <c r="V21" s="110"/>
      <c r="W21" s="110"/>
      <c r="X21" s="110"/>
      <c r="Y21" s="110"/>
      <c r="Z21" s="110"/>
    </row>
    <row r="22" spans="1:26" ht="16.5" customHeight="1" x14ac:dyDescent="0.4">
      <c r="A22" s="110"/>
      <c r="B22" s="310"/>
      <c r="C22" s="222"/>
      <c r="D22" s="222"/>
      <c r="E22" s="222"/>
      <c r="F22" s="222"/>
      <c r="G22" s="222"/>
      <c r="H22" s="222"/>
      <c r="I22" s="222"/>
      <c r="J22" s="311"/>
      <c r="K22" s="110"/>
      <c r="L22" s="110"/>
      <c r="M22" s="110"/>
      <c r="N22" s="110"/>
      <c r="O22" s="110"/>
      <c r="P22" s="110"/>
      <c r="Q22" s="110"/>
      <c r="R22" s="110"/>
      <c r="S22" s="110"/>
      <c r="T22" s="110"/>
      <c r="U22" s="110"/>
      <c r="V22" s="110"/>
      <c r="W22" s="110"/>
      <c r="X22" s="110"/>
      <c r="Y22" s="110"/>
      <c r="Z22" s="110"/>
    </row>
    <row r="23" spans="1:26" ht="16.5" customHeight="1" x14ac:dyDescent="0.4">
      <c r="A23" s="110"/>
      <c r="B23" s="295"/>
      <c r="C23" s="296"/>
      <c r="D23" s="296"/>
      <c r="E23" s="296"/>
      <c r="F23" s="296"/>
      <c r="G23" s="296"/>
      <c r="H23" s="296"/>
      <c r="I23" s="296"/>
      <c r="J23" s="297"/>
      <c r="K23" s="110"/>
      <c r="L23" s="110"/>
      <c r="M23" s="110"/>
      <c r="N23" s="110"/>
      <c r="O23" s="110"/>
      <c r="P23" s="110"/>
      <c r="Q23" s="110"/>
      <c r="R23" s="110"/>
      <c r="S23" s="110"/>
      <c r="T23" s="110"/>
      <c r="U23" s="110"/>
      <c r="V23" s="110"/>
      <c r="W23" s="110"/>
      <c r="X23" s="110"/>
      <c r="Y23" s="110"/>
      <c r="Z23" s="110"/>
    </row>
    <row r="24" spans="1:26" ht="16.5" customHeight="1" x14ac:dyDescent="0.4">
      <c r="A24" s="110"/>
      <c r="B24" s="309" t="s">
        <v>130</v>
      </c>
      <c r="C24" s="229"/>
      <c r="D24" s="229"/>
      <c r="E24" s="229"/>
      <c r="F24" s="229"/>
      <c r="G24" s="229"/>
      <c r="H24" s="229"/>
      <c r="I24" s="229"/>
      <c r="J24" s="230"/>
      <c r="K24" s="110"/>
      <c r="L24" s="110"/>
      <c r="M24" s="110"/>
      <c r="N24" s="110"/>
      <c r="O24" s="110"/>
      <c r="P24" s="110"/>
      <c r="Q24" s="110"/>
      <c r="R24" s="110"/>
      <c r="S24" s="110"/>
      <c r="T24" s="110"/>
      <c r="U24" s="110"/>
      <c r="V24" s="110"/>
      <c r="W24" s="110"/>
      <c r="X24" s="110"/>
      <c r="Y24" s="110"/>
      <c r="Z24" s="110"/>
    </row>
    <row r="25" spans="1:26" ht="16.5" customHeight="1" x14ac:dyDescent="0.4">
      <c r="A25" s="110"/>
      <c r="B25" s="310"/>
      <c r="C25" s="222"/>
      <c r="D25" s="222"/>
      <c r="E25" s="222"/>
      <c r="F25" s="222"/>
      <c r="G25" s="222"/>
      <c r="H25" s="222"/>
      <c r="I25" s="222"/>
      <c r="J25" s="311"/>
      <c r="K25" s="110"/>
      <c r="L25" s="110"/>
      <c r="M25" s="110"/>
      <c r="N25" s="110"/>
      <c r="O25" s="110"/>
      <c r="P25" s="110"/>
      <c r="Q25" s="110"/>
      <c r="R25" s="110"/>
      <c r="S25" s="110"/>
      <c r="T25" s="110"/>
      <c r="U25" s="110"/>
      <c r="V25" s="110"/>
      <c r="W25" s="110"/>
      <c r="X25" s="110"/>
      <c r="Y25" s="110"/>
      <c r="Z25" s="110"/>
    </row>
    <row r="26" spans="1:26" ht="16.5" customHeight="1" x14ac:dyDescent="0.4">
      <c r="A26" s="110"/>
      <c r="B26" s="295"/>
      <c r="C26" s="296"/>
      <c r="D26" s="296"/>
      <c r="E26" s="296"/>
      <c r="F26" s="296"/>
      <c r="G26" s="296"/>
      <c r="H26" s="296"/>
      <c r="I26" s="296"/>
      <c r="J26" s="297"/>
      <c r="K26" s="110"/>
      <c r="L26" s="110"/>
      <c r="M26" s="110"/>
      <c r="N26" s="110"/>
      <c r="O26" s="110"/>
      <c r="P26" s="110"/>
      <c r="Q26" s="110"/>
      <c r="R26" s="110"/>
      <c r="S26" s="110"/>
      <c r="T26" s="110"/>
      <c r="U26" s="110"/>
      <c r="V26" s="110"/>
      <c r="W26" s="110"/>
      <c r="X26" s="110"/>
      <c r="Y26" s="110"/>
      <c r="Z26" s="110"/>
    </row>
    <row r="27" spans="1:26" ht="16.5" customHeight="1" x14ac:dyDescent="0.4">
      <c r="A27" s="110"/>
      <c r="B27" s="309" t="s">
        <v>131</v>
      </c>
      <c r="C27" s="229"/>
      <c r="D27" s="229"/>
      <c r="E27" s="229"/>
      <c r="F27" s="229"/>
      <c r="G27" s="229"/>
      <c r="H27" s="229"/>
      <c r="I27" s="229"/>
      <c r="J27" s="230"/>
      <c r="K27" s="110"/>
      <c r="L27" s="110"/>
      <c r="M27" s="110"/>
      <c r="N27" s="110"/>
      <c r="O27" s="110"/>
      <c r="P27" s="110"/>
      <c r="Q27" s="110"/>
      <c r="R27" s="110"/>
      <c r="S27" s="110"/>
      <c r="T27" s="110"/>
      <c r="U27" s="110"/>
      <c r="V27" s="110"/>
      <c r="W27" s="110"/>
      <c r="X27" s="110"/>
      <c r="Y27" s="110"/>
      <c r="Z27" s="110"/>
    </row>
    <row r="28" spans="1:26" ht="16.5" customHeight="1" x14ac:dyDescent="0.4">
      <c r="A28" s="110"/>
      <c r="B28" s="310"/>
      <c r="C28" s="222"/>
      <c r="D28" s="222"/>
      <c r="E28" s="222"/>
      <c r="F28" s="222"/>
      <c r="G28" s="222"/>
      <c r="H28" s="222"/>
      <c r="I28" s="222"/>
      <c r="J28" s="311"/>
      <c r="K28" s="110"/>
      <c r="L28" s="110"/>
      <c r="M28" s="110"/>
      <c r="N28" s="110"/>
      <c r="O28" s="110"/>
      <c r="P28" s="110"/>
      <c r="Q28" s="110"/>
      <c r="R28" s="110"/>
      <c r="S28" s="110"/>
      <c r="T28" s="110"/>
      <c r="U28" s="110"/>
      <c r="V28" s="110"/>
      <c r="W28" s="110"/>
      <c r="X28" s="110"/>
      <c r="Y28" s="110"/>
      <c r="Z28" s="110"/>
    </row>
    <row r="29" spans="1:26" ht="16.5" customHeight="1" x14ac:dyDescent="0.4">
      <c r="A29" s="110"/>
      <c r="B29" s="295"/>
      <c r="C29" s="296"/>
      <c r="D29" s="296"/>
      <c r="E29" s="296"/>
      <c r="F29" s="296"/>
      <c r="G29" s="296"/>
      <c r="H29" s="296"/>
      <c r="I29" s="296"/>
      <c r="J29" s="297"/>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7734375" defaultRowHeight="15" customHeight="1" x14ac:dyDescent="0.4"/>
  <cols>
    <col min="1" max="1" width="3.94140625" customWidth="1"/>
    <col min="2" max="2" width="6.27734375" customWidth="1"/>
    <col min="3" max="3" width="12.6640625" customWidth="1"/>
    <col min="4" max="4" width="5.94140625" customWidth="1"/>
    <col min="5" max="5" width="7.609375" customWidth="1"/>
    <col min="6" max="6" width="2.94140625" customWidth="1"/>
    <col min="7" max="7" width="14.71875" customWidth="1"/>
    <col min="8" max="8" width="5.27734375" customWidth="1"/>
    <col min="9" max="10" width="10.9414062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312" t="s">
        <v>134</v>
      </c>
      <c r="C2" s="222"/>
      <c r="D2" s="222"/>
      <c r="E2" s="222"/>
      <c r="F2" s="222"/>
      <c r="G2" s="222"/>
      <c r="H2" s="222"/>
      <c r="I2" s="222"/>
      <c r="J2" s="222"/>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2do de Secundaria</v>
      </c>
      <c r="E5" s="110"/>
      <c r="F5" s="110"/>
      <c r="G5" s="110"/>
      <c r="H5" s="111" t="s">
        <v>23</v>
      </c>
      <c r="I5" s="66">
        <f ca="1">TODAY()</f>
        <v>44453</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 x14ac:dyDescent="0.4">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 x14ac:dyDescent="0.4">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 x14ac:dyDescent="0.4">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 x14ac:dyDescent="0.4">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313" t="s">
        <v>126</v>
      </c>
      <c r="C13" s="222"/>
      <c r="D13" s="222"/>
      <c r="E13" s="222"/>
      <c r="F13" s="222"/>
      <c r="G13" s="222"/>
      <c r="H13" s="222"/>
      <c r="I13" s="222"/>
      <c r="J13" s="222"/>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309" t="s">
        <v>127</v>
      </c>
      <c r="C15" s="229"/>
      <c r="D15" s="229"/>
      <c r="E15" s="229"/>
      <c r="F15" s="229"/>
      <c r="G15" s="229"/>
      <c r="H15" s="229"/>
      <c r="I15" s="229"/>
      <c r="J15" s="230"/>
      <c r="K15" s="110"/>
      <c r="L15" s="110"/>
      <c r="M15" s="110"/>
      <c r="N15" s="110"/>
      <c r="O15" s="110"/>
      <c r="P15" s="110"/>
      <c r="Q15" s="110"/>
      <c r="R15" s="110"/>
      <c r="S15" s="110"/>
      <c r="T15" s="110"/>
      <c r="U15" s="110"/>
      <c r="V15" s="110"/>
      <c r="W15" s="110"/>
      <c r="X15" s="110"/>
      <c r="Y15" s="110"/>
      <c r="Z15" s="110"/>
    </row>
    <row r="16" spans="1:26" ht="16.5" customHeight="1" x14ac:dyDescent="0.4">
      <c r="A16" s="110"/>
      <c r="B16" s="310"/>
      <c r="C16" s="222"/>
      <c r="D16" s="222"/>
      <c r="E16" s="222"/>
      <c r="F16" s="222"/>
      <c r="G16" s="222"/>
      <c r="H16" s="222"/>
      <c r="I16" s="222"/>
      <c r="J16" s="311"/>
      <c r="K16" s="110"/>
      <c r="L16" s="110"/>
      <c r="M16" s="110"/>
      <c r="N16" s="110"/>
      <c r="O16" s="110"/>
      <c r="P16" s="110"/>
      <c r="Q16" s="110"/>
      <c r="R16" s="110"/>
      <c r="S16" s="110"/>
      <c r="T16" s="110"/>
      <c r="U16" s="110"/>
      <c r="V16" s="110"/>
      <c r="W16" s="110"/>
      <c r="X16" s="110"/>
      <c r="Y16" s="110"/>
      <c r="Z16" s="110"/>
    </row>
    <row r="17" spans="1:26" ht="16.5" customHeight="1" x14ac:dyDescent="0.4">
      <c r="A17" s="110"/>
      <c r="B17" s="295"/>
      <c r="C17" s="296"/>
      <c r="D17" s="296"/>
      <c r="E17" s="296"/>
      <c r="F17" s="296"/>
      <c r="G17" s="296"/>
      <c r="H17" s="296"/>
      <c r="I17" s="296"/>
      <c r="J17" s="297"/>
      <c r="K17" s="110"/>
      <c r="L17" s="110"/>
      <c r="M17" s="110"/>
      <c r="N17" s="110"/>
      <c r="O17" s="110"/>
      <c r="P17" s="110"/>
      <c r="Q17" s="110"/>
      <c r="R17" s="110"/>
      <c r="S17" s="110"/>
      <c r="T17" s="110"/>
      <c r="U17" s="110"/>
      <c r="V17" s="110"/>
      <c r="W17" s="110"/>
      <c r="X17" s="110"/>
      <c r="Y17" s="110"/>
      <c r="Z17" s="110"/>
    </row>
    <row r="18" spans="1:26" ht="16.5" customHeight="1" x14ac:dyDescent="0.4">
      <c r="A18" s="110"/>
      <c r="B18" s="309" t="s">
        <v>128</v>
      </c>
      <c r="C18" s="229"/>
      <c r="D18" s="229"/>
      <c r="E18" s="229"/>
      <c r="F18" s="229"/>
      <c r="G18" s="229"/>
      <c r="H18" s="229"/>
      <c r="I18" s="229"/>
      <c r="J18" s="230"/>
      <c r="K18" s="110"/>
      <c r="L18" s="110"/>
      <c r="M18" s="110"/>
      <c r="N18" s="110"/>
      <c r="O18" s="110"/>
      <c r="P18" s="110"/>
      <c r="Q18" s="110"/>
      <c r="R18" s="110"/>
      <c r="S18" s="110"/>
      <c r="T18" s="110"/>
      <c r="U18" s="110"/>
      <c r="V18" s="110"/>
      <c r="W18" s="110"/>
      <c r="X18" s="110"/>
      <c r="Y18" s="110"/>
      <c r="Z18" s="110"/>
    </row>
    <row r="19" spans="1:26" ht="16.5" customHeight="1" x14ac:dyDescent="0.4">
      <c r="A19" s="110"/>
      <c r="B19" s="310"/>
      <c r="C19" s="222"/>
      <c r="D19" s="222"/>
      <c r="E19" s="222"/>
      <c r="F19" s="222"/>
      <c r="G19" s="222"/>
      <c r="H19" s="222"/>
      <c r="I19" s="222"/>
      <c r="J19" s="311"/>
      <c r="K19" s="110"/>
      <c r="L19" s="110"/>
      <c r="M19" s="110"/>
      <c r="N19" s="110"/>
      <c r="O19" s="110"/>
      <c r="P19" s="110"/>
      <c r="Q19" s="110"/>
      <c r="R19" s="110"/>
      <c r="S19" s="110"/>
      <c r="T19" s="110"/>
      <c r="U19" s="110"/>
      <c r="V19" s="110"/>
      <c r="W19" s="110"/>
      <c r="X19" s="110"/>
      <c r="Y19" s="110"/>
      <c r="Z19" s="110"/>
    </row>
    <row r="20" spans="1:26" ht="16.5" customHeight="1" x14ac:dyDescent="0.4">
      <c r="A20" s="110"/>
      <c r="B20" s="295"/>
      <c r="C20" s="296"/>
      <c r="D20" s="296"/>
      <c r="E20" s="296"/>
      <c r="F20" s="296"/>
      <c r="G20" s="296"/>
      <c r="H20" s="296"/>
      <c r="I20" s="296"/>
      <c r="J20" s="297"/>
      <c r="K20" s="110"/>
      <c r="L20" s="110"/>
      <c r="M20" s="110"/>
      <c r="N20" s="110"/>
      <c r="O20" s="110"/>
      <c r="P20" s="110"/>
      <c r="Q20" s="110"/>
      <c r="R20" s="110"/>
      <c r="S20" s="110"/>
      <c r="T20" s="110"/>
      <c r="U20" s="110"/>
      <c r="V20" s="110"/>
      <c r="W20" s="110"/>
      <c r="X20" s="110"/>
      <c r="Y20" s="110"/>
      <c r="Z20" s="110"/>
    </row>
    <row r="21" spans="1:26" ht="16.5" customHeight="1" x14ac:dyDescent="0.4">
      <c r="A21" s="110"/>
      <c r="B21" s="309" t="s">
        <v>129</v>
      </c>
      <c r="C21" s="229"/>
      <c r="D21" s="229"/>
      <c r="E21" s="229"/>
      <c r="F21" s="229"/>
      <c r="G21" s="229"/>
      <c r="H21" s="229"/>
      <c r="I21" s="229"/>
      <c r="J21" s="230"/>
      <c r="K21" s="110"/>
      <c r="L21" s="110"/>
      <c r="M21" s="110"/>
      <c r="N21" s="110"/>
      <c r="O21" s="110"/>
      <c r="P21" s="110"/>
      <c r="Q21" s="110"/>
      <c r="R21" s="110"/>
      <c r="S21" s="110"/>
      <c r="T21" s="110"/>
      <c r="U21" s="110"/>
      <c r="V21" s="110"/>
      <c r="W21" s="110"/>
      <c r="X21" s="110"/>
      <c r="Y21" s="110"/>
      <c r="Z21" s="110"/>
    </row>
    <row r="22" spans="1:26" ht="16.5" customHeight="1" x14ac:dyDescent="0.4">
      <c r="A22" s="110"/>
      <c r="B22" s="310"/>
      <c r="C22" s="222"/>
      <c r="D22" s="222"/>
      <c r="E22" s="222"/>
      <c r="F22" s="222"/>
      <c r="G22" s="222"/>
      <c r="H22" s="222"/>
      <c r="I22" s="222"/>
      <c r="J22" s="311"/>
      <c r="K22" s="110"/>
      <c r="L22" s="110"/>
      <c r="M22" s="110"/>
      <c r="N22" s="110"/>
      <c r="O22" s="110"/>
      <c r="P22" s="110"/>
      <c r="Q22" s="110"/>
      <c r="R22" s="110"/>
      <c r="S22" s="110"/>
      <c r="T22" s="110"/>
      <c r="U22" s="110"/>
      <c r="V22" s="110"/>
      <c r="W22" s="110"/>
      <c r="X22" s="110"/>
      <c r="Y22" s="110"/>
      <c r="Z22" s="110"/>
    </row>
    <row r="23" spans="1:26" ht="16.5" customHeight="1" x14ac:dyDescent="0.4">
      <c r="A23" s="110"/>
      <c r="B23" s="295"/>
      <c r="C23" s="296"/>
      <c r="D23" s="296"/>
      <c r="E23" s="296"/>
      <c r="F23" s="296"/>
      <c r="G23" s="296"/>
      <c r="H23" s="296"/>
      <c r="I23" s="296"/>
      <c r="J23" s="297"/>
      <c r="K23" s="110"/>
      <c r="L23" s="110"/>
      <c r="M23" s="110"/>
      <c r="N23" s="110"/>
      <c r="O23" s="110"/>
      <c r="P23" s="110"/>
      <c r="Q23" s="110"/>
      <c r="R23" s="110"/>
      <c r="S23" s="110"/>
      <c r="T23" s="110"/>
      <c r="U23" s="110"/>
      <c r="V23" s="110"/>
      <c r="W23" s="110"/>
      <c r="X23" s="110"/>
      <c r="Y23" s="110"/>
      <c r="Z23" s="110"/>
    </row>
    <row r="24" spans="1:26" ht="16.5" customHeight="1" x14ac:dyDescent="0.4">
      <c r="A24" s="110"/>
      <c r="B24" s="309" t="s">
        <v>130</v>
      </c>
      <c r="C24" s="229"/>
      <c r="D24" s="229"/>
      <c r="E24" s="229"/>
      <c r="F24" s="229"/>
      <c r="G24" s="229"/>
      <c r="H24" s="229"/>
      <c r="I24" s="229"/>
      <c r="J24" s="230"/>
      <c r="K24" s="110"/>
      <c r="L24" s="110"/>
      <c r="M24" s="110"/>
      <c r="N24" s="110"/>
      <c r="O24" s="110"/>
      <c r="P24" s="110"/>
      <c r="Q24" s="110"/>
      <c r="R24" s="110"/>
      <c r="S24" s="110"/>
      <c r="T24" s="110"/>
      <c r="U24" s="110"/>
      <c r="V24" s="110"/>
      <c r="W24" s="110"/>
      <c r="X24" s="110"/>
      <c r="Y24" s="110"/>
      <c r="Z24" s="110"/>
    </row>
    <row r="25" spans="1:26" ht="16.5" customHeight="1" x14ac:dyDescent="0.4">
      <c r="A25" s="110"/>
      <c r="B25" s="310"/>
      <c r="C25" s="222"/>
      <c r="D25" s="222"/>
      <c r="E25" s="222"/>
      <c r="F25" s="222"/>
      <c r="G25" s="222"/>
      <c r="H25" s="222"/>
      <c r="I25" s="222"/>
      <c r="J25" s="311"/>
      <c r="K25" s="110"/>
      <c r="L25" s="110"/>
      <c r="M25" s="110"/>
      <c r="N25" s="110"/>
      <c r="O25" s="110"/>
      <c r="P25" s="110"/>
      <c r="Q25" s="110"/>
      <c r="R25" s="110"/>
      <c r="S25" s="110"/>
      <c r="T25" s="110"/>
      <c r="U25" s="110"/>
      <c r="V25" s="110"/>
      <c r="W25" s="110"/>
      <c r="X25" s="110"/>
      <c r="Y25" s="110"/>
      <c r="Z25" s="110"/>
    </row>
    <row r="26" spans="1:26" ht="16.5" customHeight="1" x14ac:dyDescent="0.4">
      <c r="A26" s="110"/>
      <c r="B26" s="295"/>
      <c r="C26" s="296"/>
      <c r="D26" s="296"/>
      <c r="E26" s="296"/>
      <c r="F26" s="296"/>
      <c r="G26" s="296"/>
      <c r="H26" s="296"/>
      <c r="I26" s="296"/>
      <c r="J26" s="297"/>
      <c r="K26" s="110"/>
      <c r="L26" s="110"/>
      <c r="M26" s="110"/>
      <c r="N26" s="110"/>
      <c r="O26" s="110"/>
      <c r="P26" s="110"/>
      <c r="Q26" s="110"/>
      <c r="R26" s="110"/>
      <c r="S26" s="110"/>
      <c r="T26" s="110"/>
      <c r="U26" s="110"/>
      <c r="V26" s="110"/>
      <c r="W26" s="110"/>
      <c r="X26" s="110"/>
      <c r="Y26" s="110"/>
      <c r="Z26" s="110"/>
    </row>
    <row r="27" spans="1:26" ht="16.5" customHeight="1" x14ac:dyDescent="0.4">
      <c r="A27" s="110"/>
      <c r="B27" s="309" t="s">
        <v>131</v>
      </c>
      <c r="C27" s="229"/>
      <c r="D27" s="229"/>
      <c r="E27" s="229"/>
      <c r="F27" s="229"/>
      <c r="G27" s="229"/>
      <c r="H27" s="229"/>
      <c r="I27" s="229"/>
      <c r="J27" s="230"/>
      <c r="K27" s="110"/>
      <c r="L27" s="110"/>
      <c r="M27" s="110"/>
      <c r="N27" s="110"/>
      <c r="O27" s="110"/>
      <c r="P27" s="110"/>
      <c r="Q27" s="110"/>
      <c r="R27" s="110"/>
      <c r="S27" s="110"/>
      <c r="T27" s="110"/>
      <c r="U27" s="110"/>
      <c r="V27" s="110"/>
      <c r="W27" s="110"/>
      <c r="X27" s="110"/>
      <c r="Y27" s="110"/>
      <c r="Z27" s="110"/>
    </row>
    <row r="28" spans="1:26" ht="16.5" customHeight="1" x14ac:dyDescent="0.4">
      <c r="A28" s="110"/>
      <c r="B28" s="310"/>
      <c r="C28" s="222"/>
      <c r="D28" s="222"/>
      <c r="E28" s="222"/>
      <c r="F28" s="222"/>
      <c r="G28" s="222"/>
      <c r="H28" s="222"/>
      <c r="I28" s="222"/>
      <c r="J28" s="311"/>
      <c r="K28" s="110"/>
      <c r="L28" s="110"/>
      <c r="M28" s="110"/>
      <c r="N28" s="110"/>
      <c r="O28" s="110"/>
      <c r="P28" s="110"/>
      <c r="Q28" s="110"/>
      <c r="R28" s="110"/>
      <c r="S28" s="110"/>
      <c r="T28" s="110"/>
      <c r="U28" s="110"/>
      <c r="V28" s="110"/>
      <c r="W28" s="110"/>
      <c r="X28" s="110"/>
      <c r="Y28" s="110"/>
      <c r="Z28" s="110"/>
    </row>
    <row r="29" spans="1:26" ht="16.5" customHeight="1" x14ac:dyDescent="0.4">
      <c r="A29" s="110"/>
      <c r="B29" s="295"/>
      <c r="C29" s="296"/>
      <c r="D29" s="296"/>
      <c r="E29" s="296"/>
      <c r="F29" s="296"/>
      <c r="G29" s="296"/>
      <c r="H29" s="296"/>
      <c r="I29" s="296"/>
      <c r="J29" s="297"/>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7734375" defaultRowHeight="15" customHeight="1" x14ac:dyDescent="0.4"/>
  <cols>
    <col min="1" max="1" width="1.6640625" customWidth="1"/>
    <col min="2" max="2" width="4.609375" customWidth="1"/>
    <col min="3" max="3" width="5.6640625" customWidth="1"/>
    <col min="4" max="4" width="5" customWidth="1"/>
    <col min="5" max="5" width="5.6640625" customWidth="1"/>
    <col min="6" max="6" width="1" customWidth="1"/>
    <col min="7" max="7" width="5.71875" customWidth="1"/>
    <col min="8" max="9" width="5.6640625" customWidth="1"/>
    <col min="10" max="10" width="6.6640625" customWidth="1"/>
    <col min="11" max="11" width="7.94140625" customWidth="1"/>
    <col min="12" max="26" width="5.6640625" customWidth="1"/>
  </cols>
  <sheetData>
    <row r="1" spans="1:26" ht="13.5" customHeight="1" x14ac:dyDescent="0.4">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
      <c r="A2" s="40"/>
      <c r="B2" s="40"/>
      <c r="C2" s="226" t="s">
        <v>135</v>
      </c>
      <c r="D2" s="222"/>
      <c r="E2" s="222"/>
      <c r="F2" s="222"/>
      <c r="G2" s="222"/>
      <c r="H2" s="222"/>
      <c r="I2" s="222"/>
      <c r="J2" s="222"/>
      <c r="K2" s="222"/>
      <c r="L2" s="222"/>
      <c r="M2" s="222"/>
      <c r="N2" s="40"/>
      <c r="O2" s="40"/>
      <c r="P2" s="40"/>
      <c r="Q2" s="40"/>
      <c r="R2" s="40"/>
      <c r="S2" s="40"/>
      <c r="T2" s="40"/>
      <c r="U2" s="40"/>
      <c r="V2" s="40"/>
      <c r="W2" s="40"/>
      <c r="X2" s="40"/>
      <c r="Y2" s="40"/>
      <c r="Z2" s="40"/>
    </row>
    <row r="3" spans="1:26" ht="13.5" customHeight="1" x14ac:dyDescent="0.4">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4">
      <c r="A5" s="40"/>
      <c r="B5" s="123" t="s">
        <v>22</v>
      </c>
      <c r="C5" s="40"/>
      <c r="D5" s="40"/>
      <c r="E5" s="40" t="str">
        <f>CARÁTULA!$C$23</f>
        <v>2do de Secundaria</v>
      </c>
      <c r="F5" s="40"/>
      <c r="G5" s="40"/>
      <c r="H5" s="40"/>
      <c r="I5" s="40"/>
      <c r="J5" s="43" t="s">
        <v>23</v>
      </c>
      <c r="K5" s="66">
        <f ca="1">TODAY()</f>
        <v>44453</v>
      </c>
      <c r="L5" s="39"/>
      <c r="M5" s="39"/>
      <c r="N5" s="39"/>
      <c r="O5" s="40"/>
      <c r="P5" s="40"/>
      <c r="Q5" s="40"/>
      <c r="R5" s="40"/>
      <c r="S5" s="40"/>
      <c r="T5" s="40"/>
      <c r="U5" s="40"/>
      <c r="V5" s="40"/>
      <c r="W5" s="40"/>
      <c r="X5" s="40"/>
      <c r="Y5" s="40"/>
      <c r="Z5" s="40"/>
    </row>
    <row r="6" spans="1:26" ht="13.5" customHeight="1" x14ac:dyDescent="0.4">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
      <c r="A10" s="40"/>
      <c r="B10" s="40"/>
      <c r="C10" s="275" t="s">
        <v>136</v>
      </c>
      <c r="D10" s="222"/>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4">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4">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4">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4">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
      <c r="A23" s="40"/>
      <c r="B23" s="40"/>
      <c r="C23" s="275" t="s">
        <v>141</v>
      </c>
      <c r="D23" s="222"/>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4">
      <c r="A24" s="40"/>
      <c r="B24" s="40"/>
      <c r="C24" s="125" t="s">
        <v>138</v>
      </c>
      <c r="D24" s="40"/>
      <c r="E24" s="126">
        <f>'CENTRAL 2'!$J$9</f>
        <v>31</v>
      </c>
      <c r="F24" s="40"/>
      <c r="G24" s="127">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4">
      <c r="A25" s="40"/>
      <c r="B25" s="40"/>
      <c r="C25" s="67" t="s">
        <v>139</v>
      </c>
      <c r="D25" s="40"/>
      <c r="E25" s="129">
        <f>'CENTRAL 2'!$J$13</f>
        <v>5</v>
      </c>
      <c r="F25" s="40"/>
      <c r="G25" s="127">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4">
      <c r="A26" s="40"/>
      <c r="B26" s="40"/>
      <c r="C26" s="40" t="s">
        <v>140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
      <c r="A35" s="40"/>
      <c r="B35" s="40"/>
      <c r="C35" s="275" t="s">
        <v>143</v>
      </c>
      <c r="D35" s="222"/>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4">
      <c r="A36" s="40"/>
      <c r="B36" s="40"/>
      <c r="C36" s="125" t="s">
        <v>138</v>
      </c>
      <c r="D36" s="40"/>
      <c r="E36" s="126">
        <f>'CENTRAL 2'!$K$9</f>
        <v>36</v>
      </c>
      <c r="F36" s="40"/>
      <c r="G36" s="127">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4">
      <c r="A38" s="40"/>
      <c r="B38" s="40"/>
      <c r="C38" s="40" t="s">
        <v>140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7734375" defaultRowHeight="15" customHeight="1" x14ac:dyDescent="0.4"/>
  <cols>
    <col min="1" max="1" width="1.6640625" customWidth="1"/>
    <col min="2" max="2" width="5.6640625" customWidth="1"/>
    <col min="3" max="3" width="4.33203125" customWidth="1"/>
    <col min="4" max="4" width="6.27734375" customWidth="1"/>
    <col min="5" max="5" width="7.609375" customWidth="1"/>
    <col min="6" max="6" width="13.33203125" customWidth="1"/>
    <col min="7" max="7" width="10.71875" customWidth="1"/>
    <col min="8" max="8" width="8.27734375" customWidth="1"/>
    <col min="9" max="26" width="5.6640625" customWidth="1"/>
  </cols>
  <sheetData>
    <row r="1" spans="1:26" ht="13.5" customHeight="1" x14ac:dyDescent="0.4">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4">
      <c r="A2" s="128"/>
      <c r="B2" s="128"/>
      <c r="C2" s="315" t="s">
        <v>145</v>
      </c>
      <c r="D2" s="222"/>
      <c r="E2" s="222"/>
      <c r="F2" s="222"/>
      <c r="G2" s="222"/>
      <c r="H2" s="222"/>
      <c r="I2" s="222"/>
      <c r="J2" s="128"/>
      <c r="K2" s="128"/>
      <c r="L2" s="128"/>
      <c r="M2" s="128"/>
      <c r="N2" s="128"/>
      <c r="O2" s="128"/>
      <c r="P2" s="128"/>
      <c r="Q2" s="128"/>
      <c r="R2" s="128"/>
      <c r="S2" s="128"/>
      <c r="T2" s="128"/>
      <c r="U2" s="128"/>
      <c r="V2" s="128"/>
      <c r="W2" s="128"/>
      <c r="X2" s="128"/>
      <c r="Y2" s="128"/>
      <c r="Z2" s="128"/>
    </row>
    <row r="3" spans="1:26" ht="13.5" customHeight="1" x14ac:dyDescent="0.4">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4">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4">
      <c r="A5" s="128"/>
      <c r="B5" s="132" t="s">
        <v>22</v>
      </c>
      <c r="C5" s="133"/>
      <c r="D5" s="133"/>
      <c r="E5" s="133" t="str">
        <f>CARÁTULA!$C$23</f>
        <v>2do de Secundaria</v>
      </c>
      <c r="F5" s="133"/>
      <c r="G5" s="132" t="s">
        <v>23</v>
      </c>
      <c r="H5" s="134">
        <f ca="1">TODAY()</f>
        <v>44453</v>
      </c>
      <c r="I5" s="133"/>
      <c r="J5" s="133"/>
      <c r="K5" s="128"/>
      <c r="L5" s="128"/>
      <c r="M5" s="128"/>
      <c r="N5" s="128"/>
      <c r="O5" s="128"/>
      <c r="P5" s="128"/>
      <c r="Q5" s="128"/>
      <c r="R5" s="128"/>
      <c r="S5" s="128"/>
      <c r="T5" s="128"/>
      <c r="U5" s="128"/>
      <c r="V5" s="128"/>
      <c r="W5" s="128"/>
      <c r="X5" s="128"/>
      <c r="Y5" s="128"/>
      <c r="Z5" s="128"/>
    </row>
    <row r="6" spans="1:26" ht="13.5" customHeight="1" x14ac:dyDescent="0.4">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4">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4">
      <c r="A8" s="128"/>
      <c r="B8" s="128"/>
      <c r="C8" s="314"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4">
      <c r="A9" s="128"/>
      <c r="B9" s="128"/>
      <c r="C9" s="301"/>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4">
      <c r="A10" s="128"/>
      <c r="B10" s="128"/>
      <c r="C10" s="301"/>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4">
      <c r="A11" s="128"/>
      <c r="B11" s="128"/>
      <c r="C11" s="301"/>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4">
      <c r="A12" s="128"/>
      <c r="B12" s="128"/>
      <c r="C12" s="286"/>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4">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4">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4">
      <c r="A15" s="128"/>
      <c r="B15" s="128"/>
      <c r="C15" s="314"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4">
      <c r="A16" s="128"/>
      <c r="B16" s="128"/>
      <c r="C16" s="301"/>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4">
      <c r="A17" s="128"/>
      <c r="B17" s="128"/>
      <c r="C17" s="301"/>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4">
      <c r="A18" s="128"/>
      <c r="B18" s="128"/>
      <c r="C18" s="301"/>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4">
      <c r="A19" s="128"/>
      <c r="B19" s="128"/>
      <c r="C19" s="286"/>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4">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4">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4">
      <c r="A22" s="128"/>
      <c r="B22" s="128"/>
      <c r="C22" s="314"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4">
      <c r="A23" s="128"/>
      <c r="B23" s="128"/>
      <c r="C23" s="301"/>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4">
      <c r="A24" s="128"/>
      <c r="B24" s="128"/>
      <c r="C24" s="301"/>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4">
      <c r="A25" s="128"/>
      <c r="B25" s="128"/>
      <c r="C25" s="301"/>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4">
      <c r="A26" s="128"/>
      <c r="B26" s="128"/>
      <c r="C26" s="286"/>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4">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4">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4">
      <c r="A29" s="128"/>
      <c r="B29" s="128"/>
      <c r="C29" s="314"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4">
      <c r="A30" s="128"/>
      <c r="B30" s="128"/>
      <c r="C30" s="301"/>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4">
      <c r="A31" s="128"/>
      <c r="B31" s="128"/>
      <c r="C31" s="301"/>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4">
      <c r="A32" s="128"/>
      <c r="B32" s="128"/>
      <c r="C32" s="301"/>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4">
      <c r="A33" s="128"/>
      <c r="B33" s="128"/>
      <c r="C33" s="286"/>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4">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4">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4">
      <c r="A36" s="128"/>
      <c r="B36" s="128"/>
      <c r="C36" s="314"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4">
      <c r="A37" s="128"/>
      <c r="B37" s="128"/>
      <c r="C37" s="301"/>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4">
      <c r="A38" s="128"/>
      <c r="B38" s="128"/>
      <c r="C38" s="301"/>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4">
      <c r="A39" s="128"/>
      <c r="B39" s="128"/>
      <c r="C39" s="301"/>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4">
      <c r="A40" s="128"/>
      <c r="B40" s="128"/>
      <c r="C40" s="286"/>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4">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4">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4">
      <c r="A43" s="128"/>
      <c r="B43" s="128"/>
      <c r="C43" s="314"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4">
      <c r="A44" s="128"/>
      <c r="B44" s="128"/>
      <c r="C44" s="301"/>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4">
      <c r="A45" s="128"/>
      <c r="B45" s="128"/>
      <c r="C45" s="301"/>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4">
      <c r="A46" s="128"/>
      <c r="B46" s="128"/>
      <c r="C46" s="301"/>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4">
      <c r="A47" s="128"/>
      <c r="B47" s="128"/>
      <c r="C47" s="286"/>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4">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4">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4">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4">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4">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4">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4">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4">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4">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4">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4">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4">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4">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4">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4">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4">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4">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4">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4">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4">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4">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4">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4">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4">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4">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4">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4">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4">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4">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4">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4">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4">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4">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4">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4">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4">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4">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4">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4">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4">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4">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4">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4">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4">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4">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4">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4">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4">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4">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4">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4">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4">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4">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4">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4">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4">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4">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4">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4">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4">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4">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4">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4">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4">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4">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4">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4">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4">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4">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4">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4">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4">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4">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4">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4">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4">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4">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4">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4">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4">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4">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4">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4">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4">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4">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4">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4">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4">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4">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4">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4">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4">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4">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4">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4">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4">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4">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4">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4">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4">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4">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4">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4">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4">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4">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4">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4">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4">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4">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4">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4">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4">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4">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4">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4">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4">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4">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4">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4">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4">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4">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4">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4">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4">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4">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4">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4">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4">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4">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4">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4">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4">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4">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4">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4">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4">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4">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4">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4">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4">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4">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4">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4">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4">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4">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4">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4">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4">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4">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4">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4">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4">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4">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4">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4">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4">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4">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4">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4">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4">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4">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4">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4">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4">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4">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4">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4">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4">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4">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4">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4">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4">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4">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4">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4">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4">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4">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4">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4">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4">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4">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4">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4">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4">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4">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4">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4">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4">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4">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4">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4">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4">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4">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4">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4">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4">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4">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4">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4">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4">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4">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4">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4">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4">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4">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4">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4">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4">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4">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4">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4">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4">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4">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4">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4">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4">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4">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4">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4">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4">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4">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4">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4">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4">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4">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4">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4">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4">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4">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4">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4">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4">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4">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4">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4">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4">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4">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4">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4">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4">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4">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4">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4">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4">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4">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4">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4">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4">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4">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4">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4">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4">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4">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4">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4">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4">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4">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4">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4">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4">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4">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4">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4">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4">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4">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4">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4">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4">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4">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4">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4">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4">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4">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4">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4">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4">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4">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4">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4">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4">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4">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4">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4">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4">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4">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4">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4">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4">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4">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4">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4">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4">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4">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4">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4">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4">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4">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4">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4">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4">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4">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4">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4">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4">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4">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4">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4">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4">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4">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4">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4">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4">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4">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4">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4">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4">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4">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4">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4">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4">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4">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4">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4">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4">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4">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4">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4">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4">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4">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4">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4">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4">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4">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4">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4">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4">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4">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4">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4">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4">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4">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4">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4">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4">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4">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4">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4">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4">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4">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4">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4">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4">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4">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4">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4">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4">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4">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4">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4">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4">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4">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4">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4">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4">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4">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4">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4">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4">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4">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4">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4">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4">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4">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4">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4">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4">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4">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4">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4">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4">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4">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4">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4">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4">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4">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4">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4">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4">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4">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4">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4">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4">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4">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4">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4">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4">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4">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4">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4">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4">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4">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4">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4">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4">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4">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4">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4">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4">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4">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4">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4">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4">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4">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4">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4">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4">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4">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4">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4">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4">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4">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4">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4">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4">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4">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4">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4">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4">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4">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4">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4">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4">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4">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4">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4">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4">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4">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4">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4">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4">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4">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4">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4">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4">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4">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4">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4">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4">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4">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4">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4">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4">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4">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4">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4">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4">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4">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4">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4">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4">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4">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4">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4">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4">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4">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4">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4">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4">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4">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4">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4">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4">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4">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4">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4">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4">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4">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4">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4">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4">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4">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4">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4">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4">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4">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4">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4">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4">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4">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4">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4">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4">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4">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4">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4">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4">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4">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4">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4">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4">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4">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4">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4">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4">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4">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4">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4">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4">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4">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4">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4">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4">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4">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4">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4">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4">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4">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4">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4">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4">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4">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4">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4">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4">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4">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4">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4">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4">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4">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4">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4">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4">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4">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4">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4">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4">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4">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4">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4">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4">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4">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4">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4">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4">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4">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4">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4">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4">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4">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4">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4">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4">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4">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4">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4">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4">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4">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4">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4">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4">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4">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4">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4">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4">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4">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4">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4">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4">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4">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4">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4">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4">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4">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4">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4">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4">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4">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4">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4">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4">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4">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4">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4">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4">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4">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4">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4">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4">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4">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4">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4">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4">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4">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4">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4">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4">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4">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4">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4">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4">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4">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4">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4">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4">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4">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4">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4">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4">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4">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4">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4">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4">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4">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4">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4">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4">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4">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4">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4">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4">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4">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4">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4">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4">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4">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4">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4">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4">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4">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4">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4">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4">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4">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4">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4">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4">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4">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4">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4">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4">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4">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4">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4">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4">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4">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4">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4">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4">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4">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4">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4">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4">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4">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4">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4">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4">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4">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4">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4">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4">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4">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4">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4">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4">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4">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4">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4">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4">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4">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4">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4">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4">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4">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4">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4">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4">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4">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4">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4">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4">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4">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4">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4">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4">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4">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4">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4">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4">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4">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4">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4">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4">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4">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4">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4">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4">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4">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4">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4">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4">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4">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4">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4">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4">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4">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4">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4">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4">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4">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4">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4">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4">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4">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4">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4">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4">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4">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4">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4">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4">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4">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4">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4">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4">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4">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4">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4">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4">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4">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4">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4">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4">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4">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4">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4">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4">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4">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4">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4">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4">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4">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4">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4">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4">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4">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4">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4">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4">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4">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4">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4">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4">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4">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4">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4">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4">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4">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4">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4">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4">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4">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4">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4">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4">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4">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4">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4">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4">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4">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4">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4">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4">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4">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4">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4">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4">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4">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4">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4">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4">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4">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4">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4">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4">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4">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4">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4">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4">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4">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4">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4">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4">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4">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4">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4">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4">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4">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4">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4">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4">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4">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4">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4">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4">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4">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4">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4">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4">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4">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4">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4">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4">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4">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4">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4">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4">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4">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4">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4">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4">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4">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4">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4">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4">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4">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4">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4">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4">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4">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4">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4">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4">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4">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4">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4">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4">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4">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4">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4">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4">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4">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4">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4">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4">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4">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4">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4">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4">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4">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4">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4">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4">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4">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4">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4">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4">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4">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4">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4">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4">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4">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4">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4">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4">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4">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4">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4">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4">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4">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4">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4">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4">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4">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4">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4">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4">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4">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4">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4">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4">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4">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4">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4">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4">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4">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4">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4">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4">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4">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4">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4">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4">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4">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4">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4">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4">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4">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4">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4">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4">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4">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4">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4">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4">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4">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4">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4">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4">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4">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4">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4">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4">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4">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4">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4">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4">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4">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4">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4">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4">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4">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4">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4">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4">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4">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4">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4">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4">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4">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4">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4">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4">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4">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4">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4">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4">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4">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4">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4">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4">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4">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4">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4">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4">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4">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4">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4">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4">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4">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4">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4">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4">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4">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7734375" defaultRowHeight="15" customHeight="1" x14ac:dyDescent="0.4"/>
  <cols>
    <col min="1" max="4" width="1.6640625" customWidth="1"/>
    <col min="5" max="6" width="4.6640625" customWidth="1"/>
    <col min="7" max="7" width="26.6640625" customWidth="1"/>
    <col min="8" max="8" width="7.609375" customWidth="1"/>
    <col min="9" max="10" width="10.94140625" customWidth="1"/>
    <col min="11" max="26" width="10.38671875" customWidth="1"/>
  </cols>
  <sheetData>
    <row r="1" spans="1:26" ht="7.5" customHeight="1" x14ac:dyDescent="0.4">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4">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4">
      <c r="A3" s="143"/>
      <c r="B3" s="19"/>
      <c r="C3" s="19"/>
      <c r="D3" s="19"/>
      <c r="E3" s="316" t="s">
        <v>160</v>
      </c>
      <c r="F3" s="222"/>
      <c r="G3" s="222"/>
      <c r="H3" s="222"/>
      <c r="I3" s="222"/>
      <c r="J3" s="143"/>
      <c r="K3" s="143"/>
      <c r="L3" s="143"/>
      <c r="M3" s="143"/>
      <c r="N3" s="143"/>
      <c r="O3" s="143"/>
      <c r="P3" s="143"/>
      <c r="Q3" s="143"/>
      <c r="R3" s="143"/>
      <c r="S3" s="143"/>
      <c r="T3" s="143"/>
      <c r="U3" s="143"/>
      <c r="V3" s="143"/>
      <c r="W3" s="143"/>
      <c r="X3" s="143"/>
      <c r="Y3" s="143"/>
      <c r="Z3" s="143"/>
    </row>
    <row r="4" spans="1:26" ht="6.75" customHeight="1" x14ac:dyDescent="0.4">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4">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4">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4">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4">
      <c r="A8" s="143"/>
      <c r="B8" s="144" t="s">
        <v>22</v>
      </c>
      <c r="C8" s="19"/>
      <c r="D8" s="19"/>
      <c r="E8" s="19"/>
      <c r="F8" s="19"/>
      <c r="G8" s="40" t="str">
        <f>CARÁTULA!$C$23</f>
        <v>2do de Secundaria</v>
      </c>
      <c r="H8" s="144" t="s">
        <v>23</v>
      </c>
      <c r="I8" s="134">
        <f ca="1">TODAY()</f>
        <v>44453</v>
      </c>
      <c r="J8" s="143"/>
      <c r="K8" s="143"/>
      <c r="L8" s="143"/>
      <c r="M8" s="143"/>
      <c r="N8" s="143"/>
      <c r="O8" s="143"/>
      <c r="P8" s="143"/>
      <c r="Q8" s="143"/>
      <c r="R8" s="143"/>
      <c r="S8" s="143"/>
      <c r="T8" s="143"/>
      <c r="U8" s="143"/>
      <c r="V8" s="143"/>
      <c r="W8" s="143"/>
      <c r="X8" s="143"/>
      <c r="Y8" s="143"/>
      <c r="Z8" s="143"/>
    </row>
    <row r="9" spans="1:26" ht="6.75" customHeight="1" x14ac:dyDescent="0.4">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4">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4">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4">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4">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4">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4">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4">
      <c r="A16" s="143"/>
      <c r="B16" s="143"/>
      <c r="C16" s="143"/>
      <c r="D16" s="143"/>
      <c r="E16" s="317" t="s">
        <v>161</v>
      </c>
      <c r="F16" s="318"/>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4">
      <c r="A17" s="143"/>
      <c r="B17" s="143"/>
      <c r="C17" s="143"/>
      <c r="D17" s="143"/>
      <c r="E17" s="319"/>
      <c r="F17" s="279"/>
      <c r="G17" s="149" t="str">
        <f>'C. FILIACION'!B8</f>
        <v>ALARCON CHURA PRISCILA</v>
      </c>
      <c r="H17" s="150">
        <f>'CENTRAL 2'!F9</f>
        <v>66.666666666666671</v>
      </c>
      <c r="I17" s="143"/>
      <c r="J17" s="143"/>
      <c r="K17" s="143"/>
      <c r="L17" s="143"/>
      <c r="M17" s="143"/>
      <c r="N17" s="143"/>
      <c r="O17" s="143"/>
      <c r="P17" s="143"/>
      <c r="Q17" s="143"/>
      <c r="R17" s="143"/>
      <c r="S17" s="143"/>
      <c r="T17" s="143"/>
      <c r="U17" s="143"/>
      <c r="V17" s="143"/>
      <c r="W17" s="143"/>
      <c r="X17" s="143"/>
      <c r="Y17" s="143"/>
      <c r="Z17" s="143"/>
    </row>
    <row r="18" spans="1:26" ht="12.75" customHeight="1" x14ac:dyDescent="0.4">
      <c r="A18" s="143"/>
      <c r="B18" s="143"/>
      <c r="C18" s="143"/>
      <c r="D18" s="143"/>
      <c r="E18" s="319"/>
      <c r="F18" s="279"/>
      <c r="G18" s="149" t="str">
        <f>'C. FILIACION'!B9</f>
        <v>ARCE CHOQUE LUCERO CORAL</v>
      </c>
      <c r="H18" s="150">
        <f>'CENTRAL 2'!F10</f>
        <v>68.333333333333329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4">
      <c r="A19" s="143"/>
      <c r="B19" s="143"/>
      <c r="C19" s="143"/>
      <c r="D19" s="143"/>
      <c r="E19" s="319"/>
      <c r="F19" s="279"/>
      <c r="G19" s="149" t="str">
        <f>'C. FILIACION'!B10</f>
        <v>AREQUIPA CALCINA FABIAN JHON</v>
      </c>
      <c r="H19" s="150">
        <f>'CENTRAL 2'!F11</f>
        <v>73</v>
      </c>
      <c r="I19" s="143"/>
      <c r="J19" s="143"/>
      <c r="K19" s="143"/>
      <c r="L19" s="143"/>
      <c r="M19" s="143"/>
      <c r="N19" s="143"/>
      <c r="O19" s="143"/>
      <c r="P19" s="143"/>
      <c r="Q19" s="143"/>
      <c r="R19" s="143"/>
      <c r="S19" s="143"/>
      <c r="T19" s="143"/>
      <c r="U19" s="143"/>
      <c r="V19" s="143"/>
      <c r="W19" s="143"/>
      <c r="X19" s="143"/>
      <c r="Y19" s="143"/>
      <c r="Z19" s="143"/>
    </row>
    <row r="20" spans="1:26" ht="12.75" customHeight="1" x14ac:dyDescent="0.4">
      <c r="A20" s="143"/>
      <c r="B20" s="143"/>
      <c r="C20" s="143"/>
      <c r="D20" s="143"/>
      <c r="E20" s="319"/>
      <c r="F20" s="279"/>
      <c r="G20" s="149" t="str">
        <f>'C. FILIACION'!B11</f>
        <v>CLAURE PARAVICINI RASHEL ROSALY</v>
      </c>
      <c r="H20" s="150">
        <f>'CENTRAL 2'!F12</f>
        <v>69.333333333333329</v>
      </c>
      <c r="I20" s="143"/>
      <c r="J20" s="143"/>
      <c r="K20" s="143"/>
      <c r="L20" s="143"/>
      <c r="M20" s="143"/>
      <c r="N20" s="143"/>
      <c r="O20" s="143"/>
      <c r="P20" s="143"/>
      <c r="Q20" s="143"/>
      <c r="R20" s="143"/>
      <c r="S20" s="143"/>
      <c r="T20" s="143"/>
      <c r="U20" s="143"/>
      <c r="V20" s="143"/>
      <c r="W20" s="143"/>
      <c r="X20" s="143"/>
      <c r="Y20" s="143"/>
      <c r="Z20" s="143"/>
    </row>
    <row r="21" spans="1:26" ht="12.75" customHeight="1" x14ac:dyDescent="0.4">
      <c r="A21" s="143"/>
      <c r="B21" s="143"/>
      <c r="C21" s="143"/>
      <c r="D21" s="143"/>
      <c r="E21" s="319"/>
      <c r="F21" s="279"/>
      <c r="G21" s="149" t="str">
        <f>'C. FILIACION'!B12</f>
        <v>CONDORI FLORES ALEJANDRO BRYAN</v>
      </c>
      <c r="H21" s="150">
        <f>'CENTRAL 2'!F13</f>
        <v>73.333333333333329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4">
      <c r="A22" s="143"/>
      <c r="B22" s="143"/>
      <c r="C22" s="143"/>
      <c r="D22" s="143"/>
      <c r="E22" s="319"/>
      <c r="F22" s="279"/>
      <c r="G22" s="149" t="str">
        <f>'C. FILIACION'!B13</f>
        <v>DE LA CRUZ SANDOVAL JHON MARCO</v>
      </c>
      <c r="H22" s="150">
        <f>'CENTRAL 2'!F14</f>
        <v>79.666666666666671</v>
      </c>
      <c r="I22" s="143"/>
      <c r="J22" s="143"/>
      <c r="K22" s="143"/>
      <c r="L22" s="143"/>
      <c r="M22" s="143"/>
      <c r="N22" s="143"/>
      <c r="O22" s="143"/>
      <c r="P22" s="143"/>
      <c r="Q22" s="143"/>
      <c r="R22" s="143"/>
      <c r="S22" s="143"/>
      <c r="T22" s="143"/>
      <c r="U22" s="143"/>
      <c r="V22" s="143"/>
      <c r="W22" s="143"/>
      <c r="X22" s="143"/>
      <c r="Y22" s="143"/>
      <c r="Z22" s="143"/>
    </row>
    <row r="23" spans="1:26" ht="12.75" customHeight="1" x14ac:dyDescent="0.4">
      <c r="A23" s="143"/>
      <c r="B23" s="143"/>
      <c r="C23" s="143"/>
      <c r="D23" s="143"/>
      <c r="E23" s="319"/>
      <c r="F23" s="279"/>
      <c r="G23" s="149" t="str">
        <f>'C. FILIACION'!B14</f>
        <v>GARCÍA IGNACIO MISHEL MAYA</v>
      </c>
      <c r="H23" s="150">
        <f>'CENTRAL 2'!F15</f>
        <v>81</v>
      </c>
      <c r="I23" s="143"/>
      <c r="J23" s="143"/>
      <c r="K23" s="143"/>
      <c r="L23" s="143"/>
      <c r="M23" s="143"/>
      <c r="N23" s="143"/>
      <c r="O23" s="143"/>
      <c r="P23" s="143"/>
      <c r="Q23" s="143"/>
      <c r="R23" s="143"/>
      <c r="S23" s="143"/>
      <c r="T23" s="143"/>
      <c r="U23" s="143"/>
      <c r="V23" s="143"/>
      <c r="W23" s="143"/>
      <c r="X23" s="143"/>
      <c r="Y23" s="143"/>
      <c r="Z23" s="143"/>
    </row>
    <row r="24" spans="1:26" ht="12.75" customHeight="1" x14ac:dyDescent="0.4">
      <c r="A24" s="143"/>
      <c r="B24" s="143"/>
      <c r="C24" s="143"/>
      <c r="D24" s="143"/>
      <c r="E24" s="319"/>
      <c r="F24" s="279"/>
      <c r="G24" s="149" t="str">
        <f>'C. FILIACION'!B15</f>
        <v>HELGUERO SANCHEZ JHOYSI CAMIL</v>
      </c>
      <c r="H24" s="150">
        <f>'CENTRAL 2'!F16</f>
        <v>80</v>
      </c>
      <c r="I24" s="143"/>
      <c r="J24" s="143"/>
      <c r="K24" s="143"/>
      <c r="L24" s="143"/>
      <c r="M24" s="143"/>
      <c r="N24" s="143"/>
      <c r="O24" s="143"/>
      <c r="P24" s="143"/>
      <c r="Q24" s="143"/>
      <c r="R24" s="143"/>
      <c r="S24" s="143"/>
      <c r="T24" s="143"/>
      <c r="U24" s="143"/>
      <c r="V24" s="143"/>
      <c r="W24" s="143"/>
      <c r="X24" s="143"/>
      <c r="Y24" s="143"/>
      <c r="Z24" s="143"/>
    </row>
    <row r="25" spans="1:26" ht="12.75" customHeight="1" x14ac:dyDescent="0.4">
      <c r="A25" s="143"/>
      <c r="B25" s="143"/>
      <c r="C25" s="143"/>
      <c r="D25" s="143"/>
      <c r="E25" s="319"/>
      <c r="F25" s="279"/>
      <c r="G25" s="149" t="str">
        <f>'C. FILIACION'!B16</f>
        <v>LEDEZMA ORELLANA RICARDO ERIK</v>
      </c>
      <c r="H25" s="150">
        <f>'CENTRAL 2'!F17</f>
        <v>79.666666666666671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4">
      <c r="A26" s="143"/>
      <c r="B26" s="143"/>
      <c r="C26" s="143"/>
      <c r="D26" s="143"/>
      <c r="E26" s="319"/>
      <c r="F26" s="279"/>
      <c r="G26" s="149" t="str">
        <f>'C. FILIACION'!B17</f>
        <v>MAMANI LOPEZ ELIZABETH MILDRED</v>
      </c>
      <c r="H26" s="150">
        <f>'CENTRAL 2'!F18</f>
        <v>77.333333333333329</v>
      </c>
      <c r="I26" s="143"/>
      <c r="J26" s="143"/>
      <c r="K26" s="143"/>
      <c r="L26" s="143"/>
      <c r="M26" s="143"/>
      <c r="N26" s="143"/>
      <c r="O26" s="143"/>
      <c r="P26" s="143"/>
      <c r="Q26" s="143"/>
      <c r="R26" s="143"/>
      <c r="S26" s="143"/>
      <c r="T26" s="143"/>
      <c r="U26" s="143"/>
      <c r="V26" s="143"/>
      <c r="W26" s="143"/>
      <c r="X26" s="143"/>
      <c r="Y26" s="143"/>
      <c r="Z26" s="143"/>
    </row>
    <row r="27" spans="1:26" ht="12.75" customHeight="1" x14ac:dyDescent="0.4">
      <c r="A27" s="143"/>
      <c r="B27" s="143"/>
      <c r="C27" s="143"/>
      <c r="D27" s="143"/>
      <c r="E27" s="319"/>
      <c r="F27" s="279"/>
      <c r="G27" s="149" t="str">
        <f>'C. FILIACION'!B18</f>
        <v>MEDINA CHOQUE JUAN JOSE</v>
      </c>
      <c r="H27" s="150">
        <f>'CENTRAL 2'!F19</f>
        <v>65.333333333333329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4">
      <c r="A28" s="143"/>
      <c r="B28" s="143"/>
      <c r="C28" s="143"/>
      <c r="D28" s="143"/>
      <c r="E28" s="319"/>
      <c r="F28" s="279"/>
      <c r="G28" s="149" t="str">
        <f>'C. FILIACION'!B19</f>
        <v>NINA RUEDA SEBASTIAN CARLOS</v>
      </c>
      <c r="H28" s="150">
        <f>'CENTRAL 2'!F20</f>
        <v>83.666666666666671</v>
      </c>
      <c r="I28" s="143"/>
      <c r="J28" s="143"/>
      <c r="K28" s="143"/>
      <c r="L28" s="143"/>
      <c r="M28" s="143"/>
      <c r="N28" s="143"/>
      <c r="O28" s="143"/>
      <c r="P28" s="143"/>
      <c r="Q28" s="143"/>
      <c r="R28" s="143"/>
      <c r="S28" s="143"/>
      <c r="T28" s="143"/>
      <c r="U28" s="143"/>
      <c r="V28" s="143"/>
      <c r="W28" s="143"/>
      <c r="X28" s="143"/>
      <c r="Y28" s="143"/>
      <c r="Z28" s="143"/>
    </row>
    <row r="29" spans="1:26" ht="12.75" customHeight="1" x14ac:dyDescent="0.4">
      <c r="A29" s="143"/>
      <c r="B29" s="143"/>
      <c r="C29" s="143"/>
      <c r="D29" s="143"/>
      <c r="E29" s="319"/>
      <c r="F29" s="279"/>
      <c r="G29" s="149" t="str">
        <f>'C. FILIACION'!B20</f>
        <v>RODRIGUEZ RAMIREZ NATALY ARIANA</v>
      </c>
      <c r="H29" s="150">
        <f>'CENTRAL 2'!F21</f>
        <v>86</v>
      </c>
      <c r="I29" s="143"/>
      <c r="J29" s="143"/>
      <c r="K29" s="143"/>
      <c r="L29" s="143"/>
      <c r="M29" s="143"/>
      <c r="N29" s="143"/>
      <c r="O29" s="143"/>
      <c r="P29" s="143"/>
      <c r="Q29" s="143"/>
      <c r="R29" s="143"/>
      <c r="S29" s="143"/>
      <c r="T29" s="143"/>
      <c r="U29" s="143"/>
      <c r="V29" s="143"/>
      <c r="W29" s="143"/>
      <c r="X29" s="143"/>
      <c r="Y29" s="143"/>
      <c r="Z29" s="143"/>
    </row>
    <row r="30" spans="1:26" ht="12.75" customHeight="1" x14ac:dyDescent="0.4">
      <c r="A30" s="143"/>
      <c r="B30" s="143"/>
      <c r="C30" s="143"/>
      <c r="D30" s="143"/>
      <c r="E30" s="319"/>
      <c r="F30" s="279"/>
      <c r="G30" s="149" t="str">
        <f>'C. FILIACION'!B21</f>
        <v>SALAZAR CANAZA CRISTINA MAYRA</v>
      </c>
      <c r="H30" s="150">
        <f>'CENTRAL 2'!F22</f>
        <v>83.333333333333329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4">
      <c r="A31" s="143"/>
      <c r="B31" s="143"/>
      <c r="C31" s="143"/>
      <c r="D31" s="143"/>
      <c r="E31" s="319"/>
      <c r="F31" s="279"/>
      <c r="G31" s="149" t="str">
        <f>'C. FILIACION'!B22</f>
        <v>SEVILLANO BALTAZAR AGNESE</v>
      </c>
      <c r="H31" s="150">
        <f>'CENTRAL 2'!F23</f>
        <v>93.333333333333329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4">
      <c r="A32" s="143"/>
      <c r="B32" s="143"/>
      <c r="C32" s="143"/>
      <c r="D32" s="143"/>
      <c r="E32" s="319"/>
      <c r="F32" s="279"/>
      <c r="G32" s="149" t="str">
        <f>'C. FILIACION'!B23</f>
        <v>TOCONAS HUAYGUA VICTORIA FERNANDA</v>
      </c>
      <c r="H32" s="150">
        <f>'CENTRAL 2'!F24</f>
        <v>75</v>
      </c>
      <c r="I32" s="143"/>
      <c r="J32" s="143"/>
      <c r="K32" s="143"/>
      <c r="L32" s="143"/>
      <c r="M32" s="143"/>
      <c r="N32" s="143"/>
      <c r="O32" s="143"/>
      <c r="P32" s="143"/>
      <c r="Q32" s="143"/>
      <c r="R32" s="143"/>
      <c r="S32" s="143"/>
      <c r="T32" s="143"/>
      <c r="U32" s="143"/>
      <c r="V32" s="143"/>
      <c r="W32" s="143"/>
      <c r="X32" s="143"/>
      <c r="Y32" s="143"/>
      <c r="Z32" s="143"/>
    </row>
    <row r="33" spans="1:26" ht="12.75" customHeight="1" x14ac:dyDescent="0.4">
      <c r="A33" s="143"/>
      <c r="B33" s="143"/>
      <c r="C33" s="143"/>
      <c r="D33" s="143"/>
      <c r="E33" s="319"/>
      <c r="F33" s="279"/>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4">
      <c r="A34" s="143"/>
      <c r="B34" s="143"/>
      <c r="C34" s="143"/>
      <c r="D34" s="143"/>
      <c r="E34" s="319"/>
      <c r="F34" s="279"/>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4">
      <c r="A35" s="143"/>
      <c r="B35" s="143"/>
      <c r="C35" s="143"/>
      <c r="D35" s="143"/>
      <c r="E35" s="320"/>
      <c r="F35" s="279"/>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4">
      <c r="A36" s="143"/>
      <c r="B36" s="143"/>
      <c r="C36" s="143"/>
      <c r="D36" s="143"/>
      <c r="E36" s="319"/>
      <c r="F36" s="279"/>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4">
      <c r="A37" s="143"/>
      <c r="B37" s="143"/>
      <c r="C37" s="143"/>
      <c r="D37" s="143"/>
      <c r="E37" s="319"/>
      <c r="F37" s="279"/>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4">
      <c r="A38" s="143"/>
      <c r="B38" s="143"/>
      <c r="C38" s="143"/>
      <c r="D38" s="143"/>
      <c r="E38" s="319"/>
      <c r="F38" s="279"/>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4">
      <c r="A39" s="143"/>
      <c r="B39" s="143"/>
      <c r="C39" s="143"/>
      <c r="D39" s="143"/>
      <c r="E39" s="319"/>
      <c r="F39" s="279"/>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4">
      <c r="A40" s="143"/>
      <c r="B40" s="143"/>
      <c r="C40" s="143"/>
      <c r="D40" s="143"/>
      <c r="E40" s="319"/>
      <c r="F40" s="279"/>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4">
      <c r="A41" s="143"/>
      <c r="B41" s="143"/>
      <c r="C41" s="143"/>
      <c r="D41" s="143"/>
      <c r="E41" s="319"/>
      <c r="F41" s="279"/>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4">
      <c r="A42" s="143"/>
      <c r="B42" s="143"/>
      <c r="C42" s="143"/>
      <c r="D42" s="143"/>
      <c r="E42" s="319"/>
      <c r="F42" s="279"/>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4">
      <c r="A43" s="143"/>
      <c r="B43" s="143"/>
      <c r="C43" s="143"/>
      <c r="D43" s="143"/>
      <c r="E43" s="319"/>
      <c r="F43" s="279"/>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4">
      <c r="A44" s="143"/>
      <c r="B44" s="143"/>
      <c r="C44" s="143"/>
      <c r="D44" s="143"/>
      <c r="E44" s="319"/>
      <c r="F44" s="279"/>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4">
      <c r="A45" s="143"/>
      <c r="B45" s="143"/>
      <c r="C45" s="143"/>
      <c r="D45" s="143"/>
      <c r="E45" s="319"/>
      <c r="F45" s="279"/>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4">
      <c r="A46" s="143"/>
      <c r="B46" s="143"/>
      <c r="C46" s="143"/>
      <c r="D46" s="143"/>
      <c r="E46" s="319"/>
      <c r="F46" s="279"/>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4">
      <c r="A47" s="143"/>
      <c r="B47" s="143"/>
      <c r="C47" s="143"/>
      <c r="D47" s="143"/>
      <c r="E47" s="319"/>
      <c r="F47" s="279"/>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4">
      <c r="A48" s="143"/>
      <c r="B48" s="143"/>
      <c r="C48" s="143"/>
      <c r="D48" s="143"/>
      <c r="E48" s="319"/>
      <c r="F48" s="279"/>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4">
      <c r="A49" s="143"/>
      <c r="B49" s="143"/>
      <c r="C49" s="143"/>
      <c r="D49" s="143"/>
      <c r="E49" s="319"/>
      <c r="F49" s="279"/>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4">
      <c r="A50" s="143"/>
      <c r="B50" s="143"/>
      <c r="C50" s="143"/>
      <c r="D50" s="143"/>
      <c r="E50" s="319"/>
      <c r="F50" s="279"/>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4">
      <c r="A51" s="143"/>
      <c r="B51" s="143"/>
      <c r="C51" s="143"/>
      <c r="D51" s="143"/>
      <c r="E51" s="319"/>
      <c r="F51" s="279"/>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4">
      <c r="A52" s="143"/>
      <c r="B52" s="143"/>
      <c r="C52" s="143"/>
      <c r="D52" s="143"/>
      <c r="E52" s="319"/>
      <c r="F52" s="279"/>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4">
      <c r="A53" s="143"/>
      <c r="B53" s="143"/>
      <c r="C53" s="143"/>
      <c r="D53" s="143"/>
      <c r="E53" s="319"/>
      <c r="F53" s="279"/>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4">
      <c r="A54" s="143"/>
      <c r="B54" s="143"/>
      <c r="C54" s="143"/>
      <c r="D54" s="143"/>
      <c r="E54" s="319"/>
      <c r="F54" s="279"/>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4">
      <c r="A55" s="143"/>
      <c r="B55" s="143"/>
      <c r="C55" s="143"/>
      <c r="D55" s="143"/>
      <c r="E55" s="319"/>
      <c r="F55" s="279"/>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4">
      <c r="A56" s="143"/>
      <c r="B56" s="143"/>
      <c r="C56" s="143"/>
      <c r="D56" s="143"/>
      <c r="E56" s="319"/>
      <c r="F56" s="279"/>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4">
      <c r="A57" s="143"/>
      <c r="B57" s="143"/>
      <c r="C57" s="143"/>
      <c r="D57" s="143"/>
      <c r="E57" s="319"/>
      <c r="F57" s="279"/>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4">
      <c r="A58" s="143"/>
      <c r="B58" s="143"/>
      <c r="C58" s="143"/>
      <c r="D58" s="143"/>
      <c r="E58" s="319"/>
      <c r="F58" s="279"/>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4">
      <c r="A59" s="143"/>
      <c r="B59" s="143"/>
      <c r="C59" s="143"/>
      <c r="D59" s="143"/>
      <c r="E59" s="319"/>
      <c r="F59" s="279"/>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4">
      <c r="A60" s="143"/>
      <c r="B60" s="143"/>
      <c r="C60" s="143"/>
      <c r="D60" s="143"/>
      <c r="E60" s="321"/>
      <c r="F60" s="322"/>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4">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4">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4">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4">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4">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4">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4">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4">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4">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4">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4">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4">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4">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4">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4">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4">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4">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4">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4">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4">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4">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4">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4">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4">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4">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4">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4">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4">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4">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4">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4">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4">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4">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4">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4">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4">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4">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4">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4">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4">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4">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4">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4">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4">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4">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4">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4">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4">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4">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4">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4">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4">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4">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4">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4">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4">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4">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4">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4">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4">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4">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4">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4">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4">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4">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4">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4">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4">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4">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4">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4">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4">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4">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4">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4">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4">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4">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4">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4">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4">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4">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4">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4">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4">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4">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4">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4">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4">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4">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4">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4">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4">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4">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4">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4">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4">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4">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4">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4">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4">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4">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4">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4">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4">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4">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4">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4">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4">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4">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4">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4">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4">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4">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4">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4">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4">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4">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4">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4">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4">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4">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4">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4">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4">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4">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4">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4">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4">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4">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4">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4">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4">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4">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4">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4">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4">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4">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4">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4">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4">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4">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4">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4">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4">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4">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4">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4">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4">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4">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4">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4">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4">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4">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4">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4">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4">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4">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4">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4">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4">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4">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4">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4">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4">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4">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4">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4">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4">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4">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4">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4">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4">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4">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4">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4">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4">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4">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4">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4">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4">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4">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4">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4">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4">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4">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4">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4">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4">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4">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4">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4">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4">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4">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4">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4">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4">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4">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4">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4">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4">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4">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4">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4">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4">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4">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4">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4">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4">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4">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4">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4">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4">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4">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4">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4">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4">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4">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4">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4">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4">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4">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4">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4">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4">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4">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4">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4">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4">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4">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4">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4">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4">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4">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4">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4">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4">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4">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4">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4">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4">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4">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4">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4">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4">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4">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4">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4">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4">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4">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4">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4">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4">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4">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4">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4">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4">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4">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4">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4">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4">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4">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4">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4">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4">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4">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4">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4">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4">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4">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4">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4">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4">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4">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4">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4">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4">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4">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4">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4">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4">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4">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4">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4">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4">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4">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4">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4">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4">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4">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4">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4">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4">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4">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4">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4">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4">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4">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4">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4">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4">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4">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4">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4">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4">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4">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4">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4">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4">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4">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4">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4">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4">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4">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4">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4">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4">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4">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4">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4">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4">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4">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4">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4">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4">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4">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4">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4">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4">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4">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4">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4">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4">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4">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4">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4">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4">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4">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4">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4">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4">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4">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4">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4">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4">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4">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4">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4">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4">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4">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4">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4">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4">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4">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4">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4">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4">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4">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4">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4">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4">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4">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4">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4">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4">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4">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4">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4">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4">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4">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4">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4">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4">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4">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4">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4">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4">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4">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4">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4">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4">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4">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4">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4">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4">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4">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4">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4">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4">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4">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4">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4">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4">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4">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4">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4">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4">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4">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4">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4">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4">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4">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4">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4">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4">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4">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4">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4">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4">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4">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4">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4">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4">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4">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4">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4">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4">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4">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4">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4">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4">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4">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4">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4">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4">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4">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4">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4">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4">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4">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4">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4">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4">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4">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4">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4">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4">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4">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4">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4">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4">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4">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4">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4">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4">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4">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4">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4">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4">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4">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4">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4">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4">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4">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4">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4">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4">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4">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4">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4">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4">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4">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4">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4">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4">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4">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4">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4">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4">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4">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4">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4">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4">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4">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4">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4">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4">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4">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4">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4">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4">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4">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4">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4">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4">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4">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4">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4">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4">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4">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4">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4">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4">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4">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4">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4">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4">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4">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4">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4">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4">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4">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4">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4">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4">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4">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4">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4">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4">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4">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4">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4">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4">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4">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4">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4">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4">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4">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4">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4">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4">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4">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4">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4">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4">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4">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4">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4">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4">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4">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4">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4">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4">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4">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4">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4">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4">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4">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4">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4">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4">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4">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4">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4">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4">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4">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4">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4">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4">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4">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4">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4">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4">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4">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4">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4">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4">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4">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4">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4">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4">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4">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4">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4">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4">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4">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4">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4">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4">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4">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4">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4">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4">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4">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4">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4">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4">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4">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4">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4">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4">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4">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4">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4">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4">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4">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4">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4">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4">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4">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4">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4">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4">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4">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4">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4">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4">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4">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4">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4">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4">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4">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4">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4">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4">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4">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4">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4">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4">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4">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4">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4">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4">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4">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4">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4">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4">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4">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4">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4">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4">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4">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4">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4">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4">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4">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4">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4">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4">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4">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4">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4">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4">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4">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4">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4">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4">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4">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4">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4">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4">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4">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4">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4">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4">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4">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4">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4">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4">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4">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4">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4">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4">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4">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4">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4">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4">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4">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4">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4">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4">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4">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4">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4">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4">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4">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4">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4">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4">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4">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4">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4">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4">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4">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4">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4">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4">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4">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4">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4">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4">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4">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4">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4">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4">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4">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4">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4">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4">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4">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4">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4">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4">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4">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4">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4">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4">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4">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4">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4">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4">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4">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4">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4">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4">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4">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4">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4">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4">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4">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4">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4">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4">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4">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4">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4">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4">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4">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4">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4">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4">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4">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4">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4">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4">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4">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4">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4">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4">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4">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4">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4">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4">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4">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4">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4">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4">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4">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4">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4">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4">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4">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4">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4">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4">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4">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4">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4">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4">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4">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4">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4">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4">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4">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4">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4">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4">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4">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4">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4">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4">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4">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4">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4">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4">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4">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4">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4">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4">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4">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4">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4">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4">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4">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4">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4">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4">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4">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4">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4">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4">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4">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4">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4">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4">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4">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4">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4">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4">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4">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4">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4">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4">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4">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4">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4">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4">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4">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4">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4">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4">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4">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4">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4">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4">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4">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4">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4">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4">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4">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4">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4">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4">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4">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4">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4">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4">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4">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4">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4">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4">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4">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4">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4">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4">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4">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4">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4">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4">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4">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4">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4">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4">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4">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4">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4">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4">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4">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4">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4">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4">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4">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4">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4">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4">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4">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4">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4">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4">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4">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4">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4">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4">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4">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4">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4">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4">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4">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4">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4">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4">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4">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4">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4">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4">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4">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4">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4">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4">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4">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4">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4">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4">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4">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4">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4">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4">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4">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4">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4">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4">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4">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4">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4">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4">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4">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4">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4">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4">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4">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4">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4">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4">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4">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4">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4">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4">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4">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4">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4">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4">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4">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4">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4">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4">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4">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4">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4">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4">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4">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4">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4">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4">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4">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4">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4">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4">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4">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4">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4">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4">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4">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4">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4">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4">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4">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4">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4">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4">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4">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4">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4">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4">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4">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4">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4">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4">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4">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4">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4">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4">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 x14ac:dyDescent="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2021-08-13T20:58:45Z</cp:lastPrinted>
  <dcterms:created xsi:type="dcterms:W3CDTF">2020-01-23T13:58:13Z</dcterms:created>
  <dcterms:modified xsi:type="dcterms:W3CDTF">2021-09-14T12:54:44Z</dcterms:modified>
</cp:coreProperties>
</file>