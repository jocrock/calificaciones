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D2509647-948B-4EC1-8128-7F675AD956D4}" xr6:coauthVersionLast="47" xr6:coauthVersionMax="47" xr10:uidLastSave="{00000000-0000-0000-0000-000000000000}"/>
  <bookViews>
    <workbookView xWindow="-120" yWindow="-120" windowWidth="29040" windowHeight="17640" firstSheet="3" activeTab="4" xr2:uid="{00000000-000D-0000-FFFF-FFFF00000000}"/>
  </bookViews>
  <sheets>
    <sheet name="CARÁTULA" sheetId="1" r:id="rId1"/>
    <sheet name="C. FILIACION" sheetId="2" r:id="rId2"/>
    <sheet name="ASIS 1 TRIM" sheetId="3" r:id="rId3"/>
    <sheet name="ASIS 2 TRIM" sheetId="4" r:id="rId4"/>
    <sheet name="Inf. Rendimiento Reducid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AD29" i="17" l="1"/>
  <c r="I28" i="17"/>
  <c r="AC28" i="17" s="1"/>
  <c r="I27" i="17"/>
  <c r="AC27" i="17" s="1"/>
  <c r="I26" i="17"/>
  <c r="AC26" i="17" s="1"/>
  <c r="I25" i="17"/>
  <c r="AC25" i="17" s="1"/>
  <c r="I24" i="17"/>
  <c r="AC24" i="17" s="1"/>
  <c r="I23" i="17"/>
  <c r="I18" i="17"/>
  <c r="AC18" i="17" s="1"/>
  <c r="I17" i="17"/>
  <c r="AC17" i="17" s="1"/>
  <c r="I16" i="17"/>
  <c r="AC16" i="17" s="1"/>
  <c r="I15" i="17"/>
  <c r="AC15" i="17" s="1"/>
  <c r="AE25" i="17"/>
  <c r="A18" i="17"/>
  <c r="A17" i="17"/>
  <c r="A16" i="17"/>
  <c r="A15" i="17"/>
  <c r="A28" i="17"/>
  <c r="A27" i="17"/>
  <c r="A26" i="17"/>
  <c r="A25" i="17"/>
  <c r="A24" i="17"/>
  <c r="A23" i="17"/>
  <c r="R4" i="17"/>
  <c r="V11" i="17"/>
  <c r="B11" i="17"/>
  <c r="AF11" i="17"/>
  <c r="W11" i="17" s="1"/>
  <c r="B10" i="17"/>
  <c r="C10" i="17"/>
  <c r="D10" i="17"/>
  <c r="E10" i="17"/>
  <c r="F10" i="17"/>
  <c r="G10" i="17"/>
  <c r="H10" i="17"/>
  <c r="I10" i="17"/>
  <c r="J10" i="17"/>
  <c r="K10" i="17"/>
  <c r="L10" i="17"/>
  <c r="M10" i="17"/>
  <c r="N10" i="17"/>
  <c r="O10" i="17"/>
  <c r="P10" i="17"/>
  <c r="Q10" i="17"/>
  <c r="R10" i="17"/>
  <c r="S10" i="17"/>
  <c r="T10" i="17"/>
  <c r="U10" i="17"/>
  <c r="BE9" i="4"/>
  <c r="BE10" i="4"/>
  <c r="BE11" i="4"/>
  <c r="BE12" i="4"/>
  <c r="BE13" i="4"/>
  <c r="BE14" i="4"/>
  <c r="BE15" i="4"/>
  <c r="BE16" i="4"/>
  <c r="BE17" i="4"/>
  <c r="BE18" i="4"/>
  <c r="BE19" i="4"/>
  <c r="BE20" i="4"/>
  <c r="BE21" i="4"/>
  <c r="BE22" i="4"/>
  <c r="BE23" i="4"/>
  <c r="BE24" i="4"/>
  <c r="BE25" i="4"/>
  <c r="BE26" i="4"/>
  <c r="BE27" i="4"/>
  <c r="BE28" i="4"/>
  <c r="BE29" i="4"/>
  <c r="BE30" i="4"/>
  <c r="BE31" i="4"/>
  <c r="BD8" i="4"/>
  <c r="BD9" i="4"/>
  <c r="BD10" i="4"/>
  <c r="BD11" i="4"/>
  <c r="BD12" i="4"/>
  <c r="BD13" i="4"/>
  <c r="BD14" i="4"/>
  <c r="BD15" i="4"/>
  <c r="BD16" i="4"/>
  <c r="BD17" i="4"/>
  <c r="BD18" i="4"/>
  <c r="BD19" i="4"/>
  <c r="BD20" i="4"/>
  <c r="BD21" i="4"/>
  <c r="BD22" i="4"/>
  <c r="BD23" i="4"/>
  <c r="BD24" i="4"/>
  <c r="BD25" i="4"/>
  <c r="BD26" i="4"/>
  <c r="BD27" i="4"/>
  <c r="BD28" i="4"/>
  <c r="BD29" i="4"/>
  <c r="BD30" i="4"/>
  <c r="BD31" i="4"/>
  <c r="BC8" i="4"/>
  <c r="BC9" i="4"/>
  <c r="BC10" i="4"/>
  <c r="BC11" i="4"/>
  <c r="BC12" i="4"/>
  <c r="BC13" i="4"/>
  <c r="BC14" i="4"/>
  <c r="BC15" i="4"/>
  <c r="BC16" i="4"/>
  <c r="BC17" i="4"/>
  <c r="BC18" i="4"/>
  <c r="BC19" i="4"/>
  <c r="BC20" i="4"/>
  <c r="BC21" i="4"/>
  <c r="BC22" i="4"/>
  <c r="BC23" i="4"/>
  <c r="BC24" i="4"/>
  <c r="BC25" i="4"/>
  <c r="BC26" i="4"/>
  <c r="BC27" i="4"/>
  <c r="BC28" i="4"/>
  <c r="BC29" i="4"/>
  <c r="BC30" i="4"/>
  <c r="BC31" i="4"/>
  <c r="BB8" i="4"/>
  <c r="BB9" i="4"/>
  <c r="BB10" i="4"/>
  <c r="BB11" i="4"/>
  <c r="BB12" i="4"/>
  <c r="BB13" i="4"/>
  <c r="BB14" i="4"/>
  <c r="BB15" i="4"/>
  <c r="BB16" i="4"/>
  <c r="BB17" i="4"/>
  <c r="BB18" i="4"/>
  <c r="BB19" i="4"/>
  <c r="BB20" i="4"/>
  <c r="BB21" i="4"/>
  <c r="BB22" i="4"/>
  <c r="BB23" i="4"/>
  <c r="BB24" i="4"/>
  <c r="BB25" i="4"/>
  <c r="BB26" i="4"/>
  <c r="BB27" i="4"/>
  <c r="BB28" i="4"/>
  <c r="BB29" i="4"/>
  <c r="BB30" i="4"/>
  <c r="BB31" i="4"/>
  <c r="BA8" i="4"/>
  <c r="BE8" i="4" s="1"/>
  <c r="BA9" i="4"/>
  <c r="BA10" i="4"/>
  <c r="BA11" i="4"/>
  <c r="BA12" i="4"/>
  <c r="BA13" i="4"/>
  <c r="BA14" i="4"/>
  <c r="BA15" i="4"/>
  <c r="BA16" i="4"/>
  <c r="BA17" i="4"/>
  <c r="BA18" i="4"/>
  <c r="BA19" i="4"/>
  <c r="BA20" i="4"/>
  <c r="BA21" i="4"/>
  <c r="BA22" i="4"/>
  <c r="BA23" i="4"/>
  <c r="BA24" i="4"/>
  <c r="BA25" i="4"/>
  <c r="BA26" i="4"/>
  <c r="BA27" i="4"/>
  <c r="BA28" i="4"/>
  <c r="BA29" i="4"/>
  <c r="BA30" i="4"/>
  <c r="BA31" i="4"/>
  <c r="B31" i="4"/>
  <c r="Z10" i="17"/>
  <c r="Y10" i="17"/>
  <c r="X10" i="17"/>
  <c r="W10" i="17"/>
  <c r="V10" i="17"/>
  <c r="F4" i="17"/>
  <c r="I29" i="17" l="1"/>
  <c r="I19" i="17"/>
  <c r="AC23" i="17"/>
  <c r="AC29" i="17" s="1"/>
  <c r="AC19" i="17"/>
  <c r="C11" i="17"/>
  <c r="AG11" i="17"/>
  <c r="AC30" i="17" l="1"/>
  <c r="X11" i="17"/>
  <c r="AH11" i="17"/>
  <c r="D11" i="17"/>
  <c r="AI11" i="17" l="1"/>
  <c r="E11" i="17"/>
  <c r="Y11" i="17"/>
  <c r="AJ11" i="17" l="1"/>
  <c r="F11" i="17"/>
  <c r="Z11" i="17"/>
  <c r="A30" i="17" s="1"/>
  <c r="AK11" i="17" l="1"/>
  <c r="G11" i="17"/>
  <c r="AL11" i="17" l="1"/>
  <c r="H11" i="17"/>
  <c r="AM11" i="17" l="1"/>
  <c r="I11" i="17"/>
  <c r="B11" i="4"/>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H45" i="15"/>
  <c r="G40" i="15"/>
  <c r="H39" i="15" s="1"/>
  <c r="F40" i="15"/>
  <c r="E40" i="15"/>
  <c r="G33" i="15"/>
  <c r="H31" i="15" s="1"/>
  <c r="F33" i="15"/>
  <c r="E33" i="15"/>
  <c r="H32" i="15"/>
  <c r="G26" i="15"/>
  <c r="F26" i="15"/>
  <c r="E26" i="15"/>
  <c r="H25" i="15"/>
  <c r="H24" i="15"/>
  <c r="H26" i="15" s="1"/>
  <c r="H23" i="15"/>
  <c r="G19" i="15"/>
  <c r="H17" i="15" s="1"/>
  <c r="F19" i="15"/>
  <c r="E19" i="15"/>
  <c r="H18" i="15"/>
  <c r="H16" i="15"/>
  <c r="H19" i="15" s="1"/>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Q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Q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O39" i="8"/>
  <c r="P39" i="9" s="1"/>
  <c r="B39" i="8"/>
  <c r="AG38"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G30" i="8"/>
  <c r="AE30" i="8"/>
  <c r="S30" i="9" s="1"/>
  <c r="AB30" i="8"/>
  <c r="Q30" i="9" s="1"/>
  <c r="O30" i="8"/>
  <c r="P30" i="9" s="1"/>
  <c r="B30" i="8"/>
  <c r="AG29" i="8"/>
  <c r="AF29"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H22" i="8"/>
  <c r="AG22"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O17" i="8"/>
  <c r="B17" i="8"/>
  <c r="AG16" i="8"/>
  <c r="AE16" i="8"/>
  <c r="S16" i="9" s="1"/>
  <c r="AB16" i="8"/>
  <c r="Q16" i="9" s="1"/>
  <c r="O16" i="8"/>
  <c r="P16" i="9" s="1"/>
  <c r="B16" i="8"/>
  <c r="AE15" i="8"/>
  <c r="S15" i="9" s="1"/>
  <c r="AB15" i="8"/>
  <c r="Q15" i="9" s="1"/>
  <c r="O15" i="8"/>
  <c r="P15" i="9" s="1"/>
  <c r="B15" i="8"/>
  <c r="AE14" i="8"/>
  <c r="S14" i="9" s="1"/>
  <c r="AB14" i="8"/>
  <c r="Q14" i="9" s="1"/>
  <c r="O14" i="8"/>
  <c r="P14" i="9" s="1"/>
  <c r="B14" i="8"/>
  <c r="AG13" i="8"/>
  <c r="AF13" i="8"/>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G9" i="8"/>
  <c r="AF9"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B32" i="7"/>
  <c r="AE32" i="7"/>
  <c r="M32" i="9" s="1"/>
  <c r="AB32" i="7"/>
  <c r="K32" i="9" s="1"/>
  <c r="O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H38" i="6"/>
  <c r="AG38" i="6"/>
  <c r="AF38" i="6" s="1"/>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G32" i="6"/>
  <c r="AF32" i="6" s="1"/>
  <c r="AE32" i="6"/>
  <c r="AB32" i="6"/>
  <c r="E32" i="9" s="1"/>
  <c r="O32" i="6"/>
  <c r="D32" i="9" s="1"/>
  <c r="B32" i="6"/>
  <c r="AE31" i="6"/>
  <c r="AB31" i="6"/>
  <c r="E31" i="9" s="1"/>
  <c r="O31" i="6"/>
  <c r="D31" i="9" s="1"/>
  <c r="B31" i="6"/>
  <c r="AH30" i="6"/>
  <c r="AG30" i="6"/>
  <c r="AF30" i="6" s="1"/>
  <c r="AE30" i="6"/>
  <c r="AB30" i="6"/>
  <c r="E30" i="9" s="1"/>
  <c r="O30" i="6"/>
  <c r="D30" i="9" s="1"/>
  <c r="B30" i="6"/>
  <c r="AG29"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H22" i="6"/>
  <c r="AG22" i="6"/>
  <c r="AF22" i="6" s="1"/>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G16" i="6"/>
  <c r="AF16" i="6" s="1"/>
  <c r="AE16" i="6"/>
  <c r="AB16" i="6"/>
  <c r="E16" i="9" s="1"/>
  <c r="O16" i="6"/>
  <c r="D16" i="9" s="1"/>
  <c r="B16" i="6"/>
  <c r="AE15" i="6"/>
  <c r="AB15" i="6"/>
  <c r="E15" i="9" s="1"/>
  <c r="O15" i="6"/>
  <c r="D15" i="9" s="1"/>
  <c r="B15" i="6"/>
  <c r="AH14" i="6"/>
  <c r="AG14" i="6"/>
  <c r="AF14" i="6" s="1"/>
  <c r="AE14" i="6"/>
  <c r="AB14" i="6"/>
  <c r="E14" i="9" s="1"/>
  <c r="O14" i="6"/>
  <c r="D14" i="9" s="1"/>
  <c r="B14" i="6"/>
  <c r="AG13" i="6"/>
  <c r="AE13" i="6"/>
  <c r="AB13" i="6"/>
  <c r="E13" i="9" s="1"/>
  <c r="O13" i="6"/>
  <c r="D13" i="9" s="1"/>
  <c r="B13" i="6"/>
  <c r="AG12" i="6"/>
  <c r="AE12" i="6"/>
  <c r="AB12" i="6"/>
  <c r="E12" i="9" s="1"/>
  <c r="O12" i="6"/>
  <c r="D12" i="9" s="1"/>
  <c r="B12" i="6"/>
  <c r="AG11" i="6"/>
  <c r="AE11" i="6"/>
  <c r="AB11" i="6"/>
  <c r="E11" i="9" s="1"/>
  <c r="O11" i="6"/>
  <c r="D11" i="9" s="1"/>
  <c r="B11" i="6"/>
  <c r="AG10" i="6"/>
  <c r="AE10" i="6"/>
  <c r="AB10" i="6"/>
  <c r="E10" i="9" s="1"/>
  <c r="O10" i="6"/>
  <c r="D10" i="9" s="1"/>
  <c r="B10" i="6"/>
  <c r="AG9" i="6"/>
  <c r="AE9" i="6"/>
  <c r="AB9" i="6"/>
  <c r="E9" i="9" s="1"/>
  <c r="O9" i="6"/>
  <c r="D9" i="9"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0" i="4"/>
  <c r="B29" i="4"/>
  <c r="B28" i="4"/>
  <c r="B27" i="4"/>
  <c r="B25" i="4"/>
  <c r="B24" i="4"/>
  <c r="B23" i="4"/>
  <c r="B22" i="4"/>
  <c r="B21" i="4"/>
  <c r="B20" i="4"/>
  <c r="B19" i="4"/>
  <c r="B18" i="4"/>
  <c r="B17" i="4"/>
  <c r="B16" i="4"/>
  <c r="B15" i="4"/>
  <c r="B14" i="4"/>
  <c r="B13"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N11" i="17" l="1"/>
  <c r="J11" i="17"/>
  <c r="AG43" i="7"/>
  <c r="D43" i="10" s="1"/>
  <c r="AG44" i="7"/>
  <c r="AH44" i="7" s="1"/>
  <c r="AG33" i="7"/>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C13" i="10"/>
  <c r="H13" i="9"/>
  <c r="G19" i="9"/>
  <c r="F19" i="9"/>
  <c r="C21" i="10"/>
  <c r="H21" i="9"/>
  <c r="G27" i="9"/>
  <c r="F27" i="9"/>
  <c r="C29" i="10"/>
  <c r="H29" i="9"/>
  <c r="G35" i="9"/>
  <c r="F35" i="9"/>
  <c r="C37" i="10"/>
  <c r="H37" i="9"/>
  <c r="G43" i="9"/>
  <c r="F43" i="9"/>
  <c r="D33" i="10"/>
  <c r="N33" i="9"/>
  <c r="AH33" i="7"/>
  <c r="AF33" i="7"/>
  <c r="AH43" i="7"/>
  <c r="E30" i="10"/>
  <c r="T30" i="9"/>
  <c r="AF30" i="8"/>
  <c r="AG34" i="8"/>
  <c r="P34" i="9"/>
  <c r="AH9" i="6"/>
  <c r="AH10" i="6"/>
  <c r="AH11" i="6"/>
  <c r="AH12" i="6"/>
  <c r="AH13"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T29" i="9"/>
  <c r="E29" i="10"/>
  <c r="AH29"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C16" i="10"/>
  <c r="H16"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AH16" i="6"/>
  <c r="F21" i="9"/>
  <c r="G21" i="9"/>
  <c r="AG23" i="6"/>
  <c r="AH24" i="6"/>
  <c r="G29" i="9"/>
  <c r="F29" i="9"/>
  <c r="AG31" i="6"/>
  <c r="AH32" i="6"/>
  <c r="G37" i="9"/>
  <c r="F37" i="9"/>
  <c r="AG39" i="6"/>
  <c r="AH40" i="6"/>
  <c r="AG17" i="7"/>
  <c r="J42" i="9"/>
  <c r="AG42" i="7"/>
  <c r="E9" i="10"/>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AO11" i="17" l="1"/>
  <c r="K11" i="17"/>
  <c r="AF43" i="7"/>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U13" i="9" s="1"/>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U11" i="9" s="1"/>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AO11" i="6" s="1"/>
  <c r="H9" i="11" s="1"/>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U29" i="9" s="1"/>
  <c r="AH29" i="7"/>
  <c r="AF29" i="7"/>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AO12" i="6" s="1"/>
  <c r="H10" i="11" s="1"/>
  <c r="D19" i="10"/>
  <c r="N19" i="9"/>
  <c r="AH19" i="7"/>
  <c r="AF19" i="7"/>
  <c r="T26" i="9"/>
  <c r="E26" i="10"/>
  <c r="AH26" i="8"/>
  <c r="AF26" i="8"/>
  <c r="D28" i="10"/>
  <c r="N28" i="9"/>
  <c r="AF28" i="7"/>
  <c r="AH28" i="7"/>
  <c r="C19" i="10"/>
  <c r="H19" i="9"/>
  <c r="AH19" i="6"/>
  <c r="AF19" i="6"/>
  <c r="E35" i="10"/>
  <c r="T35" i="9"/>
  <c r="AH35" i="8"/>
  <c r="AF35" i="8"/>
  <c r="H33" i="9"/>
  <c r="U33" i="9" s="1"/>
  <c r="C33" i="10"/>
  <c r="AH33" i="6"/>
  <c r="AF33" i="6"/>
  <c r="C18" i="10"/>
  <c r="I13" i="10" s="1"/>
  <c r="E12" i="14" s="1"/>
  <c r="H18" i="9"/>
  <c r="AH18" i="6"/>
  <c r="AF18" i="6"/>
  <c r="D36" i="10"/>
  <c r="N36" i="9"/>
  <c r="AF36" i="7"/>
  <c r="AH36" i="7"/>
  <c r="E15" i="10"/>
  <c r="K13" i="10" s="1"/>
  <c r="E37" i="14" s="1"/>
  <c r="T15" i="9"/>
  <c r="AH15" i="8"/>
  <c r="AF15" i="8"/>
  <c r="AO10" i="6"/>
  <c r="H8" i="11" s="1"/>
  <c r="AO9" i="6"/>
  <c r="H7" i="11" s="1"/>
  <c r="N40" i="9"/>
  <c r="U40" i="9" s="1"/>
  <c r="D40" i="10"/>
  <c r="AH40" i="7"/>
  <c r="AF40" i="7"/>
  <c r="C42" i="10"/>
  <c r="H42" i="9"/>
  <c r="U42" i="9" s="1"/>
  <c r="AH42" i="6"/>
  <c r="AF42" i="6"/>
  <c r="E21" i="10"/>
  <c r="T21" i="9"/>
  <c r="AH21" i="8"/>
  <c r="AF21" i="8"/>
  <c r="N24" i="9"/>
  <c r="U24" i="9" s="1"/>
  <c r="D24" i="10"/>
  <c r="AH24" i="7"/>
  <c r="AF24" i="7"/>
  <c r="D14" i="10"/>
  <c r="N14" i="9"/>
  <c r="U14" i="9" s="1"/>
  <c r="AH14" i="7"/>
  <c r="AF14" i="7"/>
  <c r="AP11" i="17" l="1"/>
  <c r="L11" i="17"/>
  <c r="U27" i="9"/>
  <c r="F27" i="10" s="1"/>
  <c r="U43" i="9"/>
  <c r="U36" i="9"/>
  <c r="U25" i="9"/>
  <c r="F25" i="10" s="1"/>
  <c r="U15" i="9"/>
  <c r="F15" i="10" s="1"/>
  <c r="V16" i="9"/>
  <c r="F10" i="10"/>
  <c r="V10" i="9"/>
  <c r="F37" i="10"/>
  <c r="V37" i="9"/>
  <c r="F14" i="10"/>
  <c r="V14" i="9"/>
  <c r="F29" i="10"/>
  <c r="V29" i="9"/>
  <c r="F21" i="10"/>
  <c r="V21" i="9"/>
  <c r="V32" i="9"/>
  <c r="F32" i="10"/>
  <c r="F11" i="10"/>
  <c r="V11" i="9"/>
  <c r="F36" i="10"/>
  <c r="V36" i="9"/>
  <c r="J13" i="10"/>
  <c r="E25" i="14" s="1"/>
  <c r="J9" i="10"/>
  <c r="E24" i="14" s="1"/>
  <c r="U23" i="9"/>
  <c r="F12" i="10"/>
  <c r="V12" i="9"/>
  <c r="F43" i="10"/>
  <c r="V43"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AQ11" i="17" l="1"/>
  <c r="M11" i="17"/>
  <c r="V27" i="9"/>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AR11" i="17" l="1"/>
  <c r="N11" i="17"/>
  <c r="I8" i="12"/>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AS11" i="17" l="1"/>
  <c r="O11" i="17"/>
  <c r="I11" i="12"/>
  <c r="G38" i="14"/>
  <c r="AT11" i="17" l="1"/>
  <c r="P11" i="17"/>
  <c r="AU11" i="17" l="1"/>
  <c r="Q11" i="17"/>
  <c r="AV11" i="17" l="1"/>
  <c r="R11" i="17"/>
  <c r="AW11" i="17" l="1"/>
  <c r="S11" i="17"/>
  <c r="AX11" i="17" l="1"/>
  <c r="T11" i="17"/>
  <c r="AY11" i="17" l="1"/>
  <c r="AZ11" i="17" s="1"/>
  <c r="BA11" i="17" s="1"/>
  <c r="BB11" i="17" s="1"/>
  <c r="BC11" i="17" s="1"/>
  <c r="BD11" i="17" s="1"/>
  <c r="BE11" i="17" s="1"/>
  <c r="BF11" i="17" s="1"/>
  <c r="BG11" i="17" s="1"/>
  <c r="BH11" i="17" s="1"/>
  <c r="BI11" i="17" s="1"/>
  <c r="BJ11" i="17" s="1"/>
  <c r="BK11" i="17" s="1"/>
  <c r="BL11" i="17" s="1"/>
  <c r="BM11" i="17" s="1"/>
  <c r="BN11" i="17" s="1"/>
  <c r="BO11" i="17" s="1"/>
  <c r="BP11" i="17" s="1"/>
  <c r="U11" i="17"/>
</calcChain>
</file>

<file path=xl/sharedStrings.xml><?xml version="1.0" encoding="utf-8"?>
<sst xmlns="http://schemas.openxmlformats.org/spreadsheetml/2006/main" count="1187" uniqueCount="264">
  <si>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</si>
  <si>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</si>
  <si>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</si>
  <si>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</si>
  <si>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</si>
  <si>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</si>
  <si>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</si>
  <si>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</si>
  <si>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</si>
  <si>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</si>
  <si>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</si>
  <si>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</si>
  <si>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</si>
  <si>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</si>
  <si>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</si>
  <si>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</si>
  <si>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</si>
  <si>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</si>
  <si>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</si>
  <si>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</si>
  <si>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</si>
  <si>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</si>
  <si>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</si>
  <si>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</si>
  <si>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</si>
  <si>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</si>
  <si>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</si>
  <si>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</si>
  <si>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</si>
  <si>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</si>
  <si>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</si>
  <si>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</si>
  <si>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</si>
  <si>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</si>
  <si>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</si>
  <si>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</si>
  <si>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</si>
  <si>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</si>
  <si>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</si>
  <si>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</si>
  <si>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</si>
  <si>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</si>
  <si>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</si>
  <si>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</si>
  <si>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</si>
  <si>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</si>
  <si>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</si>
  <si>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</si>
  <si>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</si>
  <si>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</si>
  <si>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</si>
  <si>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</si>
  <si>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</si>
  <si>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</si>
  <si>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</si>
  <si>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</si>
  <si>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</si>
  <si>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</si>
  <si>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</si>
  <si>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</si>
  <si>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</si>
  <si>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</si>
  <si>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</si>
  <si>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</si>
  <si>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</si>
  <si>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</si>
  <si>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</si>
  <si>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</si>
  <si>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</si>
  <si>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</si>
  <si>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</si>
  <si>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</si>
  <si>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</si>
  <si>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</si>
  <si>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</si>
  <si>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</si>
  <si>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</si>
  <si>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</si>
  <si>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</si>
  <si>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</si>
  <si>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</si>
  <si>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</si>
  <si>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</si>
  <si>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</si>
  <si>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</si>
  <si>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</si>
  <si>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</si>
  <si>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</si>
  <si>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</si>
  <si>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</si>
  <si>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</si>
  <si>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</si>
  <si>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</si>
  <si>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</si>
  <si>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</si>
  <si>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</si>
  <si>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</si>
  <si>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</si>
  <si>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</si>
  <si>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</si>
  <si>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</si>
  <si>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</si>
  <si>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</si>
  <si>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</si>
  <si>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</si>
  <si>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</si>
  <si>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</si>
  <si>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</si>
  <si>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</si>
  <si>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</si>
  <si>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</si>
  <si>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</si>
  <si>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</si>
  <si>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</si>
  <si>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</si>
  <si>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</si>
  <si>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</si>
  <si>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</si>
  <si>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</si>
  <si>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</si>
  <si>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</si>
  <si>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</si>
  <si>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</si>
  <si>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</si>
  <si>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</si>
  <si>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</si>
  <si>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</si>
  <si>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</si>
  <si>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</si>
  <si>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</si>
  <si>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</si>
  <si>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</si>
  <si>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</si>
  <si>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</si>
  <si>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</si>
  <si>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</si>
  <si>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</si>
  <si>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</si>
  <si>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</si>
  <si>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</si>
  <si>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</si>
  <si>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</si>
  <si>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</si>
  <si>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</si>
  <si>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</si>
  <si>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</si>
  <si>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</si>
  <si>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</si>
  <si>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</si>
  <si>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</si>
  <si>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</si>
  <si>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</si>
  <si>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</si>
  <si>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</si>
  <si>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</si>
  <si>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</si>
  <si>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</si>
  <si>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</si>
  <si>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</si>
  <si>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</si>
  <si>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</si>
  <si>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</si>
  <si>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</si>
  <si>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</si>
  <si>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</si>
  <si>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</si>
  <si>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</si>
  <si>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</si>
  <si>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</si>
  <si>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</si>
  <si>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</si>
  <si>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</si>
  <si>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</si>
  <si>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</si>
  <si>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</si>
  <si>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</si>
  <si>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</si>
  <si>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</si>
  <si>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</si>
  <si>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</si>
  <si>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</si>
  <si>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</si>
  <si>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</si>
  <si>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</si>
  <si>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</si>
  <si>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</si>
  <si>
    <t>transferencia 5to sec 5 de julio</t>
  </si>
  <si>
    <t>transferencia 5to sec 7 de julio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</si>
  <si>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</si>
  <si>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</si>
  <si>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</si>
  <si>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</si>
  <si>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</si>
  <si>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</si>
  <si>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</si>
  <si>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</si>
  <si>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</si>
  <si>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</si>
  <si>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</si>
  <si>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</si>
  <si>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</si>
  <si>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</si>
  <si>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MIRANDA LOPEZ KRISTEL DARLYN</t>
  </si>
  <si>
    <t>10/5/2021</t>
  </si>
  <si>
    <t>12/5/2021</t>
  </si>
  <si>
    <t>17/5/2021</t>
  </si>
  <si>
    <t>19/5/2021</t>
  </si>
  <si>
    <t>24/5/2021</t>
  </si>
  <si>
    <t>26/5/2021</t>
  </si>
  <si>
    <t>31/5/2021</t>
  </si>
  <si>
    <t>28/6/2021</t>
  </si>
  <si>
    <t>30/6/2021</t>
  </si>
  <si>
    <t>5/7/2021</t>
  </si>
  <si>
    <t>7/7/2021</t>
  </si>
  <si>
    <t>12/7/2021</t>
  </si>
  <si>
    <t>14/7/2021</t>
  </si>
  <si>
    <t>19/7/2021</t>
  </si>
  <si>
    <t>26/7/2021</t>
  </si>
  <si>
    <t>28/7/2021</t>
  </si>
  <si>
    <t>2/8/2021</t>
  </si>
  <si>
    <t>4/8/2021</t>
  </si>
  <si>
    <t>9/8/2021</t>
  </si>
  <si>
    <t>11/8/2021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</si>
  <si>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</si>
  <si>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</si>
  <si>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</si>
  <si>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</si>
  <si>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</si>
  <si>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</si>
  <si>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</si>
  <si>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</si>
  <si>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</si>
  <si>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</si>
  <si>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</si>
  <si>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</si>
  <si>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</si>
  <si>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</si>
  <si>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</si>
  <si>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</si>
  <si>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</si>
  <si>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</si>
  <si>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</si>
  <si>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</si>
  <si>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</si>
  <si>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</si>
  <si>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</si>
  <si>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</si>
  <si>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</si>
  <si>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</si>
  <si>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</si>
  <si>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</si>
  <si>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</si>
  <si>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</si>
  <si>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34cxadd</t>
  </si>
  <si>
    <t>https://classroom.google.com/c/MzQyMDM1ODM0NTEw/a/MzY5ODQ0ODQ5Nzk4/details</t>
  </si>
  <si>
    <t>https://classroom.google.com/c/MzQyMDM1ODM0NTEw/a/MzY5NTExMjQ0OTM1/details</t>
  </si>
  <si>
    <t>https://classroom.google.com/c/MzQyMDM1ODM0NTEw/m/MzY5NTEwNzQ2Mjkw/details</t>
  </si>
  <si>
    <t>https://classroom.google.com/c/MzQyMDM1ODM0NTEw/a/MzA1ODQ1MDY4Mzk4/details</t>
  </si>
  <si>
    <t>https://classroom.google.com/c/MzA5MDgzNjE2NDQ2/a/MzQxMDUwNTkzMDIy/details
https://classroom.google.com/c/MzA5MDgzNjE2NDQ2/a/MzQxMDUwNTkzMDIy/details
https://classroom.google.com/c/MzA5MDgzNjE2NDQ2/a/MzQxMDUwNTkzMDIy/details
https://classroom.google.com/c/MzA5MDgzNjE2NDQ2/a/MzQxMDUwNTkzMDIy/details
https://classroom.google.com/c/MzA5MDgzNjE2NDQ2/a/MzQxMDUwNTkzMDIy/details</t>
  </si>
  <si>
    <t>https://classroom.google.com/c/MzQyMDM1ODM0NTEw/a/MzY3MTUxNjQ5MDQ3/details</t>
  </si>
  <si>
    <t>https://classroom.google.com/c/MzQyMDM1ODM0NTEw/a/MzcyOTE0OTE5OTcz/details</t>
  </si>
  <si>
    <t>https://classroom.google.com/c/MzA5MDgzNjE2NDQ2/a/MzM2NjMwMzAxODk0/details</t>
  </si>
  <si>
    <t>https://classroom.google.com/c/MzQyMDM1ODM0NTEw/a/MzQyMDUzOTAwNjYx/details</t>
  </si>
  <si>
    <t>welqlzx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</si>
</sst>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0"/>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sz val="8"/>
      <color theme="1"/>
      <name val="Arial"/>
      <family val="2"/>
    </font>
    <font>
      <sz val="10"/>
      <color theme="1"/>
      <name val="Roboto"/>
    </font>
    <font>
      <u/>
      <sz val="12"/>
      <color theme="10"/>
      <name val="Arial"/>
      <family val="2"/>
    </font>
    <font>
      <u/>
      <sz val="11"/>
      <color theme="10"/>
      <name val="Arial"/>
      <family val="2"/>
    </font>
    <font>
      <sz val="10"/>
      <color rgb="FF5F6368"/>
      <name val="Roboto"/>
    </font>
    <font>
      <b/>
      <sz val="8"/>
      <color rgb="FF000000"/>
      <name val="Times New Roman"/>
      <family val="1"/>
    </font>
    <font>
      <b/>
      <sz val="7"/>
      <color rgb="FF000000"/>
      <name val="Times New Roman"/>
      <family val="1"/>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6DCE4"/>
      </patternFill>
    </fill>
    <fill>
      <patternFill patternType="solid">
        <fgColor rgb="FFFFFF00"/>
        <bgColor rgb="FFFBE4D5"/>
      </patternFill>
    </fill>
    <fill>
      <patternFill patternType="solid">
        <fgColor theme="8" tint="0.79998168889431442"/>
        <bgColor rgb="FFDEEAF6"/>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rgb="FF000000"/>
      </left>
      <right style="thin">
        <color rgb="FF000000"/>
      </right>
      <top style="thin">
        <color rgb="FF000000"/>
      </top>
      <bottom/>
      <diagonal/>
    </border>
  </borders>
  <cellStyleXfs count="3">
    <xf numFmtId="0" fontId="0" fillId="0" borderId="0"/>
    <xf numFmtId="43" fontId="39" fillId="0" borderId="0" applyFont="0" applyFill="0" applyBorder="0" applyAlignment="0" applyProtection="0"/>
    <xf numFmtId="0" fontId="41" fillId="0" borderId="0" applyNumberFormat="0" applyFill="0" applyBorder="0" applyAlignment="0" applyProtection="0"/>
  </cellStyleXfs>
  <cellXfs count="32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10" fillId="9" borderId="19" xfId="0" applyFont="1" applyFill="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10" fillId="10" borderId="39" xfId="0" applyFont="1" applyFill="1" applyBorder="1" applyAlignment="1">
      <alignment horizontal="center" vertical="center"/>
    </xf>
    <xf numFmtId="0" fontId="10" fillId="10" borderId="41" xfId="0" applyFont="1" applyFill="1" applyBorder="1" applyAlignment="1">
      <alignment horizontal="center" vertical="center"/>
    </xf>
    <xf numFmtId="0" fontId="25" fillId="11" borderId="19" xfId="0" applyFont="1" applyFill="1" applyBorder="1" applyAlignment="1">
      <alignment horizontal="center" vertical="center"/>
    </xf>
    <xf numFmtId="0" fontId="26" fillId="12" borderId="19" xfId="0" applyFont="1" applyFill="1" applyBorder="1" applyAlignment="1">
      <alignment horizontal="center" vertical="center"/>
    </xf>
    <xf numFmtId="0" fontId="9" fillId="13" borderId="1" xfId="0" applyFont="1" applyFill="1" applyBorder="1" applyAlignment="1">
      <alignment horizontal="center" vertical="center"/>
    </xf>
    <xf numFmtId="0" fontId="40" fillId="0" borderId="0" xfId="0" applyFont="1" applyAlignment="1"/>
    <xf numFmtId="0" fontId="10" fillId="9" borderId="19" xfId="0" applyFont="1" applyFill="1" applyBorder="1" applyAlignment="1">
      <alignment horizontal="left" vertical="center"/>
    </xf>
    <xf numFmtId="0" fontId="10" fillId="9" borderId="39" xfId="0" applyFont="1" applyFill="1" applyBorder="1" applyAlignment="1">
      <alignment horizontal="center" vertical="center"/>
    </xf>
    <xf numFmtId="0" fontId="10" fillId="9" borderId="41"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39" fillId="0" borderId="15" xfId="0" applyFont="1" applyBorder="1"/>
    <xf numFmtId="14" fontId="47" fillId="0" borderId="57" xfId="0" applyNumberFormat="1" applyFont="1" applyBorder="1" applyAlignment="1">
      <alignment horizontal="center" textRotation="90"/>
    </xf>
    <xf numFmtId="0" fontId="48" fillId="0" borderId="57" xfId="0" applyFont="1" applyBorder="1" applyAlignment="1">
      <alignment horizontal="center" vertical="center"/>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38"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55" fillId="0" borderId="0" xfId="0" applyFont="1" applyAlignment="1"/>
    <xf numFmtId="0" fontId="45" fillId="0" borderId="15" xfId="0" applyFont="1" applyBorder="1" applyAlignment="1">
      <alignment vertical="center" wrapText="1"/>
    </xf>
    <xf numFmtId="0" fontId="44" fillId="0" borderId="57" xfId="0" applyFont="1" applyBorder="1" applyAlignment="1"/>
    <xf numFmtId="0" fontId="59" fillId="0" borderId="57" xfId="0" applyFont="1" applyBorder="1" applyAlignment="1">
      <alignment horizontal="center" vertical="center" wrapText="1"/>
    </xf>
    <xf numFmtId="0" fontId="0" fillId="0" borderId="15" xfId="0" applyBorder="1"/>
    <xf numFmtId="166" fontId="51" fillId="0" borderId="19" xfId="1" applyNumberFormat="1" applyFont="1" applyFill="1" applyBorder="1" applyAlignment="1">
      <alignment horizontal="left" vertical="center"/>
    </xf>
    <xf numFmtId="166" fontId="0" fillId="0" borderId="15" xfId="0" applyNumberFormat="1" applyBorder="1"/>
    <xf numFmtId="0" fontId="55" fillId="0" borderId="15" xfId="0" applyFont="1" applyBorder="1"/>
    <xf numFmtId="0" fontId="55" fillId="0" borderId="15" xfId="0" applyFont="1" applyFill="1" applyBorder="1" applyAlignment="1"/>
    <xf numFmtId="166" fontId="55" fillId="0" borderId="15" xfId="0" applyNumberFormat="1" applyFont="1" applyBorder="1"/>
    <xf numFmtId="0" fontId="46" fillId="0" borderId="57" xfId="0" applyFont="1" applyBorder="1" applyAlignment="1">
      <alignment horizontal="center" vertical="center"/>
    </xf>
    <xf numFmtId="166" fontId="55" fillId="0" borderId="0" xfId="0" applyNumberFormat="1" applyFont="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6" fillId="0" borderId="57" xfId="0" applyFont="1" applyBorder="1" applyAlignment="1">
      <alignment horizontal="center" vertical="center"/>
    </xf>
    <xf numFmtId="0" fontId="39" fillId="0" borderId="15" xfId="0" applyFont="1" applyBorder="1" applyAlignment="1">
      <alignment horizontal="center"/>
    </xf>
    <xf numFmtId="0" fontId="42" fillId="0" borderId="57" xfId="0" applyFont="1" applyBorder="1" applyAlignment="1">
      <alignment horizontal="left"/>
    </xf>
    <xf numFmtId="0" fontId="43" fillId="0" borderId="57" xfId="0" applyFont="1" applyBorder="1" applyAlignment="1">
      <alignment horizontal="center"/>
    </xf>
    <xf numFmtId="0" fontId="42" fillId="0" borderId="57" xfId="0" applyFont="1" applyBorder="1" applyAlignment="1">
      <alignment horizontal="center"/>
    </xf>
    <xf numFmtId="0" fontId="43" fillId="0" borderId="58" xfId="0" applyFont="1" applyBorder="1" applyAlignment="1">
      <alignment horizontal="center"/>
    </xf>
    <xf numFmtId="0" fontId="43" fillId="0" borderId="59" xfId="0" applyFont="1" applyBorder="1" applyAlignment="1">
      <alignment horizontal="center"/>
    </xf>
    <xf numFmtId="0" fontId="43" fillId="0" borderId="60" xfId="0" applyFont="1" applyBorder="1" applyAlignment="1">
      <alignment horizontal="center"/>
    </xf>
    <xf numFmtId="0" fontId="43" fillId="0" borderId="57" xfId="0" applyFont="1" applyBorder="1" applyAlignment="1">
      <alignment horizontal="left"/>
    </xf>
    <xf numFmtId="0" fontId="53" fillId="0" borderId="57" xfId="0" applyFont="1" applyBorder="1" applyAlignment="1">
      <alignment horizontal="right" vertical="center"/>
    </xf>
    <xf numFmtId="0" fontId="51" fillId="0" borderId="57" xfId="0" applyFont="1" applyBorder="1" applyAlignment="1">
      <alignment horizontal="right" vertical="center"/>
    </xf>
    <xf numFmtId="0" fontId="53" fillId="0" borderId="61" xfId="0" applyFont="1" applyBorder="1" applyAlignment="1">
      <alignment horizontal="left" vertical="center" wrapText="1"/>
    </xf>
    <xf numFmtId="0" fontId="53" fillId="0" borderId="15" xfId="0" applyFont="1" applyBorder="1" applyAlignment="1">
      <alignment horizontal="left" vertical="center" wrapText="1"/>
    </xf>
    <xf numFmtId="0" fontId="49" fillId="0" borderId="57" xfId="0" applyFont="1" applyBorder="1" applyAlignment="1">
      <alignment horizontal="center"/>
    </xf>
    <xf numFmtId="0" fontId="58" fillId="0" borderId="57" xfId="2" applyFont="1" applyFill="1" applyBorder="1" applyAlignment="1">
      <alignment horizontal="left"/>
    </xf>
    <xf numFmtId="0" fontId="48" fillId="0" borderId="57" xfId="0" applyFont="1" applyBorder="1" applyAlignment="1">
      <alignment horizontal="left"/>
    </xf>
    <xf numFmtId="0" fontId="57" fillId="0" borderId="57" xfId="2" applyFont="1" applyFill="1" applyBorder="1" applyAlignment="1">
      <alignment horizontal="left"/>
    </xf>
    <xf numFmtId="1" fontId="54" fillId="0" borderId="57" xfId="0" applyNumberFormat="1" applyFont="1" applyBorder="1" applyAlignment="1">
      <alignment horizontal="center"/>
    </xf>
    <xf numFmtId="0" fontId="43" fillId="0" borderId="58" xfId="0" applyFont="1" applyBorder="1" applyAlignment="1">
      <alignment horizontal="left"/>
    </xf>
    <xf numFmtId="0" fontId="43" fillId="0" borderId="59" xfId="0" applyFont="1" applyBorder="1" applyAlignment="1">
      <alignment horizontal="left"/>
    </xf>
    <xf numFmtId="0" fontId="43" fillId="0" borderId="60" xfId="0" applyFont="1" applyBorder="1" applyAlignment="1">
      <alignment horizontal="left"/>
    </xf>
    <xf numFmtId="0" fontId="56" fillId="0" borderId="57" xfId="0" applyFont="1" applyBorder="1" applyAlignment="1">
      <alignment horizontal="center" vertical="center"/>
    </xf>
    <xf numFmtId="0" fontId="46" fillId="0" borderId="15"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4" fontId="60" fillId="0" borderId="57" xfId="0" applyNumberFormat="1" applyFont="1" applyBorder="1" applyAlignment="1">
      <alignment horizontal="center" textRotation="90"/>
    </xf>
    <xf numFmtId="14" fontId="61" fillId="0" borderId="57" xfId="0" applyNumberFormat="1" applyFont="1" applyBorder="1" applyAlignment="1">
      <alignment horizontal="center" textRotation="90"/>
    </xf>
    <xf numFmtId="14" fontId="51" fillId="0" borderId="57" xfId="0" applyNumberFormat="1" applyFont="1" applyBorder="1" applyAlignment="1">
      <alignment horizontal="right" vertical="center"/>
    </xf>
    <xf numFmtId="0" fontId="50" fillId="0" borderId="57" xfId="2" applyFont="1" applyFill="1" applyBorder="1" applyAlignment="1">
      <alignment horizontal="left"/>
    </xf>
    <xf numFmtId="0" fontId="52" fillId="0" borderId="57" xfId="2" applyFont="1" applyFill="1" applyBorder="1" applyAlignment="1">
      <alignment horizontal="left"/>
    </xf>
    <xf numFmtId="0" fontId="48" fillId="0" borderId="57" xfId="0" applyFont="1" applyBorder="1" applyAlignment="1">
      <alignment horizontal="center"/>
    </xf>
    <xf numFmtId="0" fontId="49" fillId="0" borderId="57" xfId="0" applyFont="1" applyBorder="1" applyAlignment="1">
      <alignment horizontal="right"/>
    </xf>
    <xf numFmtId="0" fontId="50" fillId="0" borderId="57" xfId="2" applyFont="1" applyFill="1" applyBorder="1" applyAlignment="1">
      <alignment horizontal="left" wrapText="1"/>
    </xf>
    <xf numFmtId="14" fontId="49" fillId="0" borderId="57" xfId="0" applyNumberFormat="1" applyFont="1" applyBorder="1" applyAlignment="1">
      <alignment horizontal="right"/>
    </xf>
    <xf numFmtId="0" fontId="52" fillId="0" borderId="57" xfId="2" applyFont="1" applyFill="1" applyBorder="1" applyAlignment="1">
      <alignment horizontal="center"/>
    </xf>
    <xf numFmtId="0" fontId="44" fillId="0" borderId="57" xfId="0" applyFont="1" applyBorder="1" applyAlignment="1">
      <alignment horizontal="center" vertical="center"/>
    </xf>
  </cellXfs>
  <cellStyles count="3">
    <cellStyle name="Hipervínculo" xfId="2" builtinId="8"/>
    <cellStyle name="Millares" xfId="1" builtinId="3"/>
    <cellStyle name="Normal" xfId="0" builtinId="0"/>
  </cellStyles>
  <dxfs count="62">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0.72222222222222221</c:v>
                </c:pt>
                <c:pt idx="1">
                  <c:v>0.27777777777777779</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60849</xdr:rowOff>
    </xdr:to>
    <xdr:pic>
      <xdr:nvPicPr>
        <xdr:cNvPr id="3" name="Imagen 2">
          <a:extLst>
            <a:ext uri="{FF2B5EF4-FFF2-40B4-BE49-F238E27FC236}">
              <a16:creationId xmlns:a16="http://schemas.microsoft.com/office/drawing/2014/main" id="{4103E7A7-F628-4D88-9F33-695F1FF26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0611" y="1"/>
          <a:ext cx="778563" cy="457200"/>
        </a:xfrm>
        <a:prstGeom prst="rect">
          <a:avLst/>
        </a:prstGeom>
      </xdr:spPr>
    </xdr:pic>
    <xdr:clientData/>
  </xdr:twoCellAnchor>
  <xdr:twoCellAnchor>
    <xdr:from>
      <xdr:col>15</xdr:col>
      <xdr:colOff>251888</xdr:colOff>
      <xdr:row>32</xdr:row>
      <xdr:rowOff>41844</xdr:rowOff>
    </xdr:from>
    <xdr:to>
      <xdr:col>20</xdr:col>
      <xdr:colOff>88831</xdr:colOff>
      <xdr:row>35</xdr:row>
      <xdr:rowOff>61432</xdr:rowOff>
    </xdr:to>
    <xdr:sp macro="" textlink="">
      <xdr:nvSpPr>
        <xdr:cNvPr id="5" name="Cuadro de texto 2">
          <a:extLst>
            <a:ext uri="{FF2B5EF4-FFF2-40B4-BE49-F238E27FC236}">
              <a16:creationId xmlns:a16="http://schemas.microsoft.com/office/drawing/2014/main" id="{0DDE37EE-1FD8-40B2-8DAE-E77E02CA7380}"/>
            </a:ext>
          </a:extLst>
        </xdr:cNvPr>
        <xdr:cNvSpPr txBox="1">
          <a:spLocks noChangeArrowheads="1"/>
        </xdr:cNvSpPr>
      </xdr:nvSpPr>
      <xdr:spPr bwMode="auto">
        <a:xfrm>
          <a:off x="4177845" y="6386322"/>
          <a:ext cx="1120747" cy="615936"/>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EF77DD-C60D-4FD9-AA91-CC07CBDC3559}" name="Tabla1" displayName="Tabla1" ref="A7:BE31" totalsRowShown="0" headerRowDxfId="61" dataDxfId="59" headerRowBorderDxfId="60" tableBorderDxfId="58" totalsRowBorderDxfId="57">
  <autoFilter ref="A7:BE31" xr:uid="{2CEF77DD-C60D-4FD9-AA91-CC07CBDC355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A3692301-231D-4E44-8D03-B61F54582550}" name="Nº" dataDxfId="56"/>
    <tableColumn id="2" xr3:uid="{C9BA4894-5F87-459A-94DB-016B53286302}" name="NÓMINA DE ESTUDIANTES" dataDxfId="55">
      <calculatedColumnFormula>'C. FILIACION'!B8</calculatedColumnFormula>
    </tableColumn>
    <tableColumn id="3" xr3:uid="{A4CC1B87-F523-417C-B31B-4058B51389BE}" name="10/5/2021" dataDxfId="54"/>
    <tableColumn id="4" xr3:uid="{B58C89CC-C606-4319-92E3-032691474C35}" name="12/5/2021" dataDxfId="53"/>
    <tableColumn id="5" xr3:uid="{4F9E35F7-AE4B-44A2-885C-DFB33FCBFEF9}" name="17/5/2021" dataDxfId="52"/>
    <tableColumn id="6" xr3:uid="{BF7D8B6B-E955-47F0-AF9F-516EBB809AD5}" name="19/5/2021" dataDxfId="51"/>
    <tableColumn id="7" xr3:uid="{A33211AF-A62B-4C54-B4CA-74F6E4C9FA84}" name="24/5/2021" dataDxfId="50"/>
    <tableColumn id="8" xr3:uid="{A6624952-56F3-4C50-976E-DD078B531033}" name="26/5/2021" dataDxfId="49"/>
    <tableColumn id="9" xr3:uid="{4C58D577-E960-4E38-816D-71BF9A7D2D4A}" name="31/5/2021" dataDxfId="48"/>
    <tableColumn id="10" xr3:uid="{40F9DD92-3939-4258-A2DB-253D972BA999}" name="28/6/2021" dataDxfId="47"/>
    <tableColumn id="11" xr3:uid="{D647E9C2-9AF7-4B54-9FFA-FDF02605FC35}" name="30/6/2021" dataDxfId="46"/>
    <tableColumn id="12" xr3:uid="{9F2477BA-35AF-4BAA-A36F-2DF37A725481}" name="5/7/2021" dataDxfId="45"/>
    <tableColumn id="13" xr3:uid="{9B9966DB-3A18-4334-A367-4E0E268EFD3A}" name="7/7/2021" dataDxfId="44"/>
    <tableColumn id="14" xr3:uid="{F8E67400-B10D-49DF-8694-0E65A5694454}" name="12/7/2021" dataDxfId="43"/>
    <tableColumn id="15" xr3:uid="{62F97236-FA0D-4B13-943A-2C848A1EFBE8}" name="14/7/2021" dataDxfId="42"/>
    <tableColumn id="16" xr3:uid="{FAB95E3A-A498-439E-8F01-01040D08FB1F}" name="19/7/2021" dataDxfId="41"/>
    <tableColumn id="17" xr3:uid="{679C4FDC-9AAD-41B5-A8AC-7CE8AAF7D553}" name="26/7/2021" dataDxfId="40"/>
    <tableColumn id="18" xr3:uid="{2148CFBE-D565-42AF-B4A7-A32332DC9C66}" name="28/7/2021" dataDxfId="39"/>
    <tableColumn id="19" xr3:uid="{975E1472-D1F2-43A4-AB32-9271978F0989}" name="2/8/2021" dataDxfId="38"/>
    <tableColumn id="20" xr3:uid="{E5ECD57C-AD1A-4581-B096-FD38E337FCCE}" name="4/8/2021" dataDxfId="37"/>
    <tableColumn id="21" xr3:uid="{06AAF16C-5979-4C42-BC48-99989594078A}" name="9/8/2021" dataDxfId="36"/>
    <tableColumn id="22" xr3:uid="{1D4BAC81-9839-4FBA-BC77-37FA33AF1DB0}" name="11/8/2021" dataDxfId="35"/>
    <tableColumn id="23" xr3:uid="{1C0D56BF-43A9-4383-83F9-8FF3F9B94F7E}" name="Columna1" dataDxfId="34"/>
    <tableColumn id="24" xr3:uid="{680176C9-8448-4017-BC66-4A245E9CE5AF}" name="Columna2" dataDxfId="33"/>
    <tableColumn id="25" xr3:uid="{00DC2D40-2159-4532-8320-2C88031CBFE0}" name="Columna3" dataDxfId="32"/>
    <tableColumn id="26" xr3:uid="{769027AE-8017-43B5-8288-23182AE3662F}" name="Columna4" dataDxfId="31"/>
    <tableColumn id="27" xr3:uid="{D13799AF-6F76-40F7-9C60-9845DDF48B3D}" name="Columna5" dataDxfId="30"/>
    <tableColumn id="28" xr3:uid="{DF8C2420-B813-43DF-994A-336B46D7DC99}" name="Columna6" dataDxfId="29"/>
    <tableColumn id="29" xr3:uid="{5BC934D7-EA9D-4A49-9F97-F82F1ECF7FE1}" name="Columna7" dataDxfId="28"/>
    <tableColumn id="30" xr3:uid="{AF281DA4-0637-4080-BB08-D58EE282A533}" name="Columna8" dataDxfId="27"/>
    <tableColumn id="31" xr3:uid="{54F0E869-3A26-4B43-85F1-594A1460F165}" name="Columna9" dataDxfId="26"/>
    <tableColumn id="32" xr3:uid="{79D476F7-2C3A-4E45-AF9D-A41DDA181847}" name="Columna10" dataDxfId="25"/>
    <tableColumn id="33" xr3:uid="{7DD0DA2B-E721-4911-BD03-A2355CBC13F2}" name="Columna11" dataDxfId="24"/>
    <tableColumn id="34" xr3:uid="{514B0DC4-0CD1-4D3F-9F8B-AD0CCA266F1E}" name="Columna12" dataDxfId="23"/>
    <tableColumn id="35" xr3:uid="{FBB5CB2E-23EA-40E2-B7CC-8818AC35B3FA}" name="Columna13" dataDxfId="22"/>
    <tableColumn id="36" xr3:uid="{D0007627-0788-45AD-93EB-BA91A9EF7BEE}" name="Columna14" dataDxfId="21"/>
    <tableColumn id="37" xr3:uid="{B1135F86-DFA7-425F-8375-ACB4D5B1B9CB}" name="Columna15" dataDxfId="20"/>
    <tableColumn id="38" xr3:uid="{7A1C5EA4-AE48-426A-ABF9-D938A8FC0413}" name="Columna16" dataDxfId="19"/>
    <tableColumn id="39" xr3:uid="{58FEE004-6372-4836-972B-5F70E39FEE26}" name="Columna17" dataDxfId="18"/>
    <tableColumn id="40" xr3:uid="{1EC7F7A6-1BF9-45BF-9315-271E0D97C62E}" name="Columna18" dataDxfId="17"/>
    <tableColumn id="41" xr3:uid="{07BD0C4E-3029-4111-9A65-953B1D0E5FE3}" name="Columna19" dataDxfId="16"/>
    <tableColumn id="42" xr3:uid="{087D2F3C-A205-4A47-A859-FE1EE949DD0D}" name="Columna20" dataDxfId="15"/>
    <tableColumn id="43" xr3:uid="{44764A89-9DEF-4962-AE2B-D2E7823BE387}" name="Columna21" dataDxfId="14"/>
    <tableColumn id="44" xr3:uid="{855A95DF-6A3B-449F-A565-C0625F200691}" name="Columna22" dataDxfId="13"/>
    <tableColumn id="45" xr3:uid="{33E86980-2D57-4585-AFEA-D169B6DC08FE}" name="Columna23" dataDxfId="12"/>
    <tableColumn id="46" xr3:uid="{1933966A-775F-4848-8D7F-45C9234144E7}" name="Columna24" dataDxfId="11"/>
    <tableColumn id="47" xr3:uid="{2AF63222-A6D6-4F5F-BA87-4EF5211E925B}" name="Columna25" dataDxfId="10"/>
    <tableColumn id="48" xr3:uid="{2FB6A213-514C-45DD-885D-A4F2DC1CC1D6}" name="Columna26" dataDxfId="9"/>
    <tableColumn id="49" xr3:uid="{A75F2681-E878-4F6A-A519-315BF960710B}" name="Columna27" dataDxfId="8"/>
    <tableColumn id="50" xr3:uid="{A8FF898C-D00D-4F19-AC2D-B676108E954E}" name="Columna28" dataDxfId="7"/>
    <tableColumn id="51" xr3:uid="{910FA821-E441-47F3-8F71-38F2B232BA08}" name="Columna29" dataDxfId="6"/>
    <tableColumn id="52" xr3:uid="{303F071B-66FA-45FD-AFA4-67B4C93FCC8C}" name="Columna30" dataDxfId="5"/>
    <tableColumn id="53" xr3:uid="{949558F9-E65E-4A21-9624-AFA256C8CF62}" name="Asist. (A)" dataDxfId="4">
      <calculatedColumnFormula>IF(COUNTIF(C8:AZ8,"A")=0,"0",COUNTIF(C8:AZ8,"A"))</calculatedColumnFormula>
    </tableColumn>
    <tableColumn id="54" xr3:uid="{A9557B55-CFE8-472D-8FE5-66166E24CCF4}" name="Faltas (F)" dataDxfId="3">
      <calculatedColumnFormula>IF(COUNTIF(C8:AZ8,"F")=0,"0",COUNTIF(C8:AZ8,"F"))</calculatedColumnFormula>
    </tableColumn>
    <tableColumn id="55" xr3:uid="{76AFFE24-958B-4588-8691-5AAF6D565753}" name="Retrasos (R)" dataDxfId="2">
      <calculatedColumnFormula>IF(COUNTIF(C8:AZ8,"R")=0,"0",COUNTIF(C8:AZ8,"R"))</calculatedColumnFormula>
    </tableColumn>
    <tableColumn id="56" xr3:uid="{C460ACBC-2FDF-4146-B185-2F372C0F3857}" name="Licencias (L)" dataDxfId="1">
      <calculatedColumnFormula>IF(COUNTIF(C8:AZ8,"L")=0,"0",COUNTIF(C8:AZ8,"L"))</calculatedColumnFormula>
    </tableColumn>
    <tableColumn id="57" xr3:uid="{7DCA7F44-BDAE-4000-B5FE-BF2238C3B1A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yMDM1ODM0NTEw/a/MzQyMDUzOTAwNjYx/details" TargetMode="External"/><Relationship Id="rId3" Type="http://schemas.openxmlformats.org/officeDocument/2006/relationships/hyperlink" Target="https://classroom.google.com/c/MzQyMDM1ODM0NTEw/m/MzY5NTEwNzQ2Mjkw/details" TargetMode="External"/><Relationship Id="rId7" Type="http://schemas.openxmlformats.org/officeDocument/2006/relationships/hyperlink" Target="https://classroom.google.com/c/MzA5MDgzNjE2NDQ2/a/MzM2NjMwMzAxODk0/details" TargetMode="External"/><Relationship Id="rId2" Type="http://schemas.openxmlformats.org/officeDocument/2006/relationships/hyperlink" Target="https://classroom.google.com/c/MzQyMDM1ODM0NTEw/a/MzY5NTExMjQ0OTM1/details" TargetMode="External"/><Relationship Id="rId1" Type="http://schemas.openxmlformats.org/officeDocument/2006/relationships/hyperlink" Target="https://classroom.google.com/c/MzQyMDM1ODM0NTEw/a/MzY5ODQ0ODQ5Nzk4/details" TargetMode="External"/><Relationship Id="rId6" Type="http://schemas.openxmlformats.org/officeDocument/2006/relationships/hyperlink" Target="https://classroom.google.com/c/MzQyMDM1ODM0NTEw/a/MzcyOTE0OTE5OTcz/details" TargetMode="External"/><Relationship Id="rId5" Type="http://schemas.openxmlformats.org/officeDocument/2006/relationships/hyperlink" Target="https://classroom.google.com/c/MzQyMDM1ODM0NTEw/a/MzY3MTUxNjQ5MDQ3/details" TargetMode="External"/><Relationship Id="rId10" Type="http://schemas.openxmlformats.org/officeDocument/2006/relationships/drawing" Target="../drawings/drawing2.xml"/><Relationship Id="rId4" Type="http://schemas.openxmlformats.org/officeDocument/2006/relationships/hyperlink" Target="https://classroom.google.com/c/MzQyMDM1ODM0NTEw/a/MzA1ODQ1MDY4Mzk4/details" TargetMode="External"/><Relationship Id="rId9"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3281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06" t="s">
        <v>0</v>
      </c>
      <c r="D8" s="207"/>
      <c r="E8" s="208"/>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09" t="s">
        <v>1</v>
      </c>
      <c r="I9" s="210"/>
      <c r="J9" s="211"/>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12"/>
      <c r="I10" s="213"/>
      <c r="J10" s="214"/>
      <c r="K10" s="7"/>
      <c r="L10" s="1"/>
      <c r="M10" s="1"/>
      <c r="N10" s="1"/>
      <c r="O10" s="1"/>
      <c r="P10" s="1"/>
      <c r="Q10" s="1"/>
      <c r="R10" s="1"/>
      <c r="S10" s="1"/>
      <c r="T10" s="1"/>
      <c r="U10" s="1"/>
      <c r="V10" s="1"/>
      <c r="W10" s="1"/>
      <c r="X10" s="1"/>
      <c r="Y10" s="1"/>
      <c r="Z10" s="1"/>
    </row>
    <row r="11" spans="1:26" ht="15" customHeight="1" x14ac:dyDescent="0.35">
      <c r="A11" s="1"/>
      <c r="B11" s="8" t="s">
        <v>2</v>
      </c>
      <c r="C11" s="203" t="s">
        <v>3</v>
      </c>
      <c r="D11" s="204"/>
      <c r="E11" s="205"/>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15" t="s">
        <v>4</v>
      </c>
      <c r="I12" s="216"/>
      <c r="J12" s="216"/>
      <c r="K12" s="7"/>
      <c r="L12" s="1"/>
      <c r="M12" s="1"/>
      <c r="N12" s="1"/>
      <c r="O12" s="1"/>
      <c r="P12" s="1"/>
      <c r="Q12" s="1"/>
      <c r="R12" s="1"/>
      <c r="S12" s="1"/>
      <c r="T12" s="1"/>
      <c r="U12" s="1"/>
      <c r="V12" s="1"/>
      <c r="W12" s="1"/>
      <c r="X12" s="1"/>
      <c r="Y12" s="1"/>
      <c r="Z12" s="1"/>
    </row>
    <row r="13" spans="1:26" ht="20.399999999999999" x14ac:dyDescent="0.35">
      <c r="A13" s="1"/>
      <c r="B13" s="8" t="s">
        <v>5</v>
      </c>
      <c r="C13" s="203"/>
      <c r="D13" s="204"/>
      <c r="E13" s="205"/>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03" t="s">
        <v>9</v>
      </c>
      <c r="D15" s="204"/>
      <c r="E15" s="205"/>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17" t="s">
        <v>10</v>
      </c>
      <c r="I16" s="216"/>
      <c r="J16" s="216"/>
      <c r="K16" s="7"/>
      <c r="L16" s="1"/>
      <c r="M16" s="1"/>
      <c r="N16" s="1"/>
      <c r="O16" s="1"/>
      <c r="P16" s="1"/>
      <c r="Q16" s="1"/>
      <c r="R16" s="1"/>
      <c r="S16" s="1"/>
      <c r="T16" s="1"/>
      <c r="U16" s="1"/>
      <c r="V16" s="1"/>
      <c r="W16" s="1"/>
      <c r="X16" s="1"/>
      <c r="Y16" s="1"/>
      <c r="Z16" s="1"/>
    </row>
    <row r="17" spans="1:26" ht="20.399999999999999" x14ac:dyDescent="0.35">
      <c r="A17" s="1"/>
      <c r="B17" s="8" t="s">
        <v>11</v>
      </c>
      <c r="C17" s="203" t="s">
        <v>12</v>
      </c>
      <c r="D17" s="204"/>
      <c r="E17" s="205"/>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03"/>
      <c r="D19" s="204"/>
      <c r="E19" s="205"/>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03" t="s">
        <v>15</v>
      </c>
      <c r="D21" s="204"/>
      <c r="E21" s="205"/>
      <c r="F21" s="9"/>
      <c r="G21" s="6"/>
      <c r="H21" s="217" t="s">
        <v>16</v>
      </c>
      <c r="I21" s="216"/>
      <c r="J21" s="216"/>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03" t="s">
        <v>18</v>
      </c>
      <c r="D23" s="204"/>
      <c r="E23" s="205"/>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03"/>
      <c r="D25" s="204"/>
      <c r="E25" s="205"/>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03">
        <v>2021</v>
      </c>
      <c r="D27" s="204"/>
      <c r="E27" s="205"/>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4" workbookViewId="0">
      <selection activeCell="E31" sqref="E31"/>
    </sheetView>
  </sheetViews>
  <sheetFormatPr baseColWidth="10" defaultColWidth="9.1328125" defaultRowHeight="15" customHeight="1" x14ac:dyDescent="0.35"/>
  <cols>
    <col min="1" max="1" width="2" customWidth="1"/>
    <col min="2" max="2" width="23.79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20" t="s">
        <v>21</v>
      </c>
      <c r="C2" s="216"/>
      <c r="D2" s="216"/>
      <c r="E2" s="216"/>
      <c r="F2" s="216"/>
      <c r="G2" s="216"/>
      <c r="H2" s="216"/>
      <c r="I2" s="216"/>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18" t="str">
        <f>CARÁTULA!$C$15</f>
        <v>Instituto Tecnico Humanistico Jauzel Arrieta</v>
      </c>
      <c r="D4" s="216"/>
      <c r="E4" s="216"/>
      <c r="F4" s="22" t="s">
        <v>19</v>
      </c>
      <c r="G4" s="218">
        <f>CARÁTULA!$C$25</f>
        <v>0</v>
      </c>
      <c r="H4" s="216"/>
      <c r="I4" s="216"/>
      <c r="J4" s="19"/>
      <c r="K4" s="19"/>
      <c r="L4" s="19"/>
      <c r="M4" s="19"/>
      <c r="N4" s="19"/>
      <c r="O4" s="19"/>
      <c r="P4" s="19"/>
      <c r="Q4" s="19"/>
      <c r="R4" s="19"/>
      <c r="S4" s="19"/>
      <c r="T4" s="19"/>
      <c r="U4" s="19"/>
      <c r="V4" s="19"/>
      <c r="W4" s="19"/>
      <c r="X4" s="19"/>
      <c r="Y4" s="19"/>
      <c r="Z4" s="19"/>
    </row>
    <row r="5" spans="1:26" ht="12" customHeight="1" x14ac:dyDescent="0.35">
      <c r="A5" s="20"/>
      <c r="B5" s="21" t="s">
        <v>14</v>
      </c>
      <c r="C5" s="218" t="str">
        <f>CARÁTULA!$C$21</f>
        <v>Secundaria</v>
      </c>
      <c r="D5" s="216"/>
      <c r="E5" s="216"/>
      <c r="F5" s="22" t="s">
        <v>13</v>
      </c>
      <c r="G5" s="218">
        <f>CARÁTULA!$C$19</f>
        <v>0</v>
      </c>
      <c r="H5" s="216"/>
      <c r="I5" s="216"/>
      <c r="J5" s="19"/>
      <c r="K5" s="19"/>
      <c r="L5" s="19"/>
      <c r="M5" s="19"/>
      <c r="N5" s="19"/>
      <c r="O5" s="19"/>
      <c r="P5" s="19"/>
      <c r="Q5" s="19"/>
      <c r="R5" s="19"/>
      <c r="S5" s="19"/>
      <c r="T5" s="19"/>
      <c r="U5" s="19"/>
      <c r="V5" s="19"/>
      <c r="W5" s="19"/>
      <c r="X5" s="19"/>
      <c r="Y5" s="19"/>
      <c r="Z5" s="19"/>
    </row>
    <row r="6" spans="1:26" ht="12" customHeight="1" x14ac:dyDescent="0.35">
      <c r="A6" s="20"/>
      <c r="B6" s="21" t="s">
        <v>22</v>
      </c>
      <c r="C6" s="218" t="str">
        <f>CARÁTULA!$C$23</f>
        <v>5to de Secundaria</v>
      </c>
      <c r="D6" s="216"/>
      <c r="E6" s="216"/>
      <c r="F6" s="22" t="s">
        <v>23</v>
      </c>
      <c r="G6" s="219">
        <f ca="1">TODAY()</f>
        <v>44421</v>
      </c>
      <c r="H6" s="216"/>
      <c r="I6" s="216"/>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v>40159</v>
      </c>
      <c r="D8" s="30">
        <f t="shared" ref="D8:D43" ca="1" si="0">TODAY()</f>
        <v>44421</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v>39569</v>
      </c>
      <c r="D9" s="30">
        <f t="shared" ca="1" si="0"/>
        <v>44421</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v>40665</v>
      </c>
      <c r="D10" s="30">
        <f t="shared" ca="1" si="0"/>
        <v>44421</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v>37014</v>
      </c>
      <c r="D11" s="30">
        <f t="shared" ca="1" si="0"/>
        <v>44421</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v>37015</v>
      </c>
      <c r="D12" s="30">
        <f t="shared" ca="1" si="0"/>
        <v>44421</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v>37016</v>
      </c>
      <c r="D13" s="30">
        <f t="shared" ca="1" si="0"/>
        <v>44421</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v>37017</v>
      </c>
      <c r="D14" s="30">
        <f t="shared" ca="1" si="0"/>
        <v>44421</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v>37018</v>
      </c>
      <c r="D15" s="30">
        <f t="shared" ca="1" si="0"/>
        <v>44421</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v>37019</v>
      </c>
      <c r="D16" s="30">
        <f t="shared" ca="1" si="0"/>
        <v>44421</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v>37020</v>
      </c>
      <c r="D17" s="30">
        <f t="shared" ca="1" si="0"/>
        <v>44421</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v>37021</v>
      </c>
      <c r="D18" s="30">
        <f t="shared" ca="1" si="0"/>
        <v>44421</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v>37022</v>
      </c>
      <c r="D19" s="30">
        <f t="shared" ca="1" si="0"/>
        <v>44421</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v>37023</v>
      </c>
      <c r="D20" s="30">
        <f t="shared" ca="1" si="0"/>
        <v>44421</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v>37024</v>
      </c>
      <c r="D21" s="30">
        <f t="shared" ca="1" si="0"/>
        <v>44421</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v>37025</v>
      </c>
      <c r="D22" s="30">
        <f t="shared" ca="1" si="0"/>
        <v>44421</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v>37026</v>
      </c>
      <c r="D23" s="30">
        <f t="shared" ca="1" si="0"/>
        <v>44421</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v>37027</v>
      </c>
      <c r="D24" s="30">
        <f t="shared" ca="1" si="0"/>
        <v>44421</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49</v>
      </c>
      <c r="C25" s="35">
        <v>37028</v>
      </c>
      <c r="D25" s="30">
        <f t="shared" ca="1" si="0"/>
        <v>44421</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28" t="s">
        <v>50</v>
      </c>
      <c r="C26" s="35">
        <v>37029</v>
      </c>
      <c r="D26" s="30">
        <f t="shared" ca="1" si="0"/>
        <v>44421</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28" t="s">
        <v>51</v>
      </c>
      <c r="C27" s="35">
        <v>37030</v>
      </c>
      <c r="D27" s="30">
        <f t="shared" ca="1" si="0"/>
        <v>44421</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28" t="s">
        <v>52</v>
      </c>
      <c r="C28" s="35">
        <v>37031</v>
      </c>
      <c r="D28" s="30">
        <f t="shared" ca="1" si="0"/>
        <v>44421</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28" t="s">
        <v>53</v>
      </c>
      <c r="C29" s="35">
        <v>37032</v>
      </c>
      <c r="D29" s="30">
        <f t="shared" ca="1" si="0"/>
        <v>44421</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28" t="s">
        <v>54</v>
      </c>
      <c r="C30" s="35">
        <v>37033</v>
      </c>
      <c r="D30" s="30">
        <f t="shared" ca="1" si="0"/>
        <v>44421</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t="s">
        <v>202</v>
      </c>
      <c r="C31" s="35">
        <v>37034</v>
      </c>
      <c r="D31" s="30">
        <f t="shared" ca="1" si="0"/>
        <v>44421</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C32" s="35">
        <v>37035</v>
      </c>
      <c r="D32" s="30">
        <f t="shared" ca="1" si="0"/>
        <v>44421</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v>37036</v>
      </c>
      <c r="D33" s="30">
        <f t="shared" ca="1" si="0"/>
        <v>44421</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v>37037</v>
      </c>
      <c r="D34" s="30">
        <f t="shared" ca="1" si="0"/>
        <v>44421</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v>37038</v>
      </c>
      <c r="D35" s="30">
        <f t="shared" ca="1" si="0"/>
        <v>44421</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v>37039</v>
      </c>
      <c r="D36" s="30">
        <f t="shared" ca="1" si="0"/>
        <v>44421</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v>37040</v>
      </c>
      <c r="D37" s="30">
        <f t="shared" ca="1" si="0"/>
        <v>44421</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v>37041</v>
      </c>
      <c r="D38" s="30">
        <f t="shared" ca="1" si="0"/>
        <v>44421</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v>37042</v>
      </c>
      <c r="D39" s="30">
        <f t="shared" ca="1" si="0"/>
        <v>44421</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v>37043</v>
      </c>
      <c r="D40" s="30">
        <f t="shared" ca="1" si="0"/>
        <v>44421</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v>37044</v>
      </c>
      <c r="D41" s="30">
        <f t="shared" ca="1" si="0"/>
        <v>44421</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v>37045</v>
      </c>
      <c r="D42" s="30">
        <f t="shared" ca="1" si="0"/>
        <v>44421</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v>37046</v>
      </c>
      <c r="D43" s="30">
        <f t="shared" ca="1" si="0"/>
        <v>44421</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328125" defaultRowHeight="15" customHeight="1" x14ac:dyDescent="0.35"/>
  <cols>
    <col min="1" max="1" width="1.6640625" customWidth="1"/>
    <col min="2" max="2" width="20.6640625" customWidth="1"/>
    <col min="3" max="52" width="1.265625" customWidth="1"/>
    <col min="53" max="57" width="1.46484375" customWidth="1"/>
    <col min="58" max="61" width="1.6640625" customWidth="1"/>
  </cols>
  <sheetData>
    <row r="1" spans="1:61" ht="4.5" customHeight="1" x14ac:dyDescent="0.35"/>
    <row r="2" spans="1:61" ht="12.75" customHeight="1" x14ac:dyDescent="0.35">
      <c r="B2" s="220" t="s">
        <v>55</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1">
        <f>CARÁTULA!$H$14</f>
        <v>44228</v>
      </c>
      <c r="AU3" s="216"/>
      <c r="AV3" s="216"/>
      <c r="AW3" s="216"/>
      <c r="AX3" s="216"/>
      <c r="AY3" s="216"/>
      <c r="AZ3" s="216"/>
      <c r="BA3" s="222" t="s">
        <v>57</v>
      </c>
      <c r="BB3" s="223"/>
      <c r="BC3" s="223"/>
      <c r="BD3" s="223"/>
      <c r="BE3" s="224"/>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1">
        <f>CARÁTULA!$J$14</f>
        <v>44323</v>
      </c>
      <c r="AU4" s="216"/>
      <c r="AV4" s="216"/>
      <c r="AW4" s="216"/>
      <c r="AX4" s="216"/>
      <c r="AY4" s="216"/>
      <c r="AZ4" s="216"/>
      <c r="BA4" s="225">
        <f ca="1">AT4-AT5</f>
        <v>-98</v>
      </c>
      <c r="BB4" s="226"/>
      <c r="BC4" s="226"/>
      <c r="BD4" s="226"/>
      <c r="BE4" s="227"/>
    </row>
    <row r="5" spans="1:61" ht="12.75" customHeight="1" x14ac:dyDescent="0.35">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31">
        <f ca="1">TODAY()</f>
        <v>44421</v>
      </c>
      <c r="Y5" s="216"/>
      <c r="Z5" s="216"/>
      <c r="AA5" s="216"/>
      <c r="AB5" s="216"/>
      <c r="AC5" s="216"/>
      <c r="AD5" s="40"/>
      <c r="AE5" s="40"/>
      <c r="AF5" s="40"/>
      <c r="AG5" s="40"/>
      <c r="AH5" s="40"/>
      <c r="AI5" s="40"/>
      <c r="AJ5" s="40"/>
      <c r="AK5" s="45" t="s">
        <v>60</v>
      </c>
      <c r="AL5" s="46"/>
      <c r="AM5" s="46"/>
      <c r="AN5" s="46"/>
      <c r="AO5" s="46"/>
      <c r="AP5" s="46"/>
      <c r="AQ5" s="46"/>
      <c r="AR5" s="40"/>
      <c r="AS5" s="40"/>
      <c r="AT5" s="232">
        <f ca="1">TODAY()</f>
        <v>44421</v>
      </c>
      <c r="AU5" s="216"/>
      <c r="AV5" s="216"/>
      <c r="AW5" s="216"/>
      <c r="AX5" s="216"/>
      <c r="AY5" s="216"/>
      <c r="AZ5" s="216"/>
      <c r="BA5" s="228"/>
      <c r="BB5" s="229"/>
      <c r="BC5" s="229"/>
      <c r="BD5" s="229"/>
      <c r="BE5" s="230"/>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35">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5">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5">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5">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5">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5">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5">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5">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5">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5">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5">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5">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5">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5">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5">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5">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5">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5">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5">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5">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5">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5">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5">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5">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5">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6" workbookViewId="0">
      <selection activeCell="C7" sqref="C7:K31"/>
    </sheetView>
  </sheetViews>
  <sheetFormatPr baseColWidth="10" defaultColWidth="9.1328125" defaultRowHeight="15" customHeight="1" x14ac:dyDescent="0.35"/>
  <cols>
    <col min="1" max="1" width="1.73046875" customWidth="1"/>
    <col min="2" max="2" width="18.59765625" customWidth="1"/>
    <col min="3" max="57" width="1.73046875" customWidth="1"/>
    <col min="58" max="61" width="1.6640625" customWidth="1"/>
  </cols>
  <sheetData>
    <row r="1" spans="1:61" ht="4.5" customHeight="1" x14ac:dyDescent="0.35"/>
    <row r="2" spans="1:61" ht="12.75" customHeight="1" x14ac:dyDescent="0.35">
      <c r="B2" s="220" t="s">
        <v>70</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1">
        <f>CARÁTULA!$H$19</f>
        <v>44326</v>
      </c>
      <c r="AU3" s="216"/>
      <c r="AV3" s="216"/>
      <c r="AW3" s="216"/>
      <c r="AX3" s="216"/>
      <c r="AY3" s="216"/>
      <c r="AZ3" s="216"/>
      <c r="BA3" s="222" t="s">
        <v>57</v>
      </c>
      <c r="BB3" s="223"/>
      <c r="BC3" s="223"/>
      <c r="BD3" s="223"/>
      <c r="BE3" s="224"/>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1">
        <f>CARÁTULA!$J$19</f>
        <v>44439</v>
      </c>
      <c r="AU4" s="216"/>
      <c r="AV4" s="216"/>
      <c r="AW4" s="216"/>
      <c r="AX4" s="216"/>
      <c r="AY4" s="216"/>
      <c r="AZ4" s="216"/>
      <c r="BA4" s="233">
        <f ca="1">AT4-AT5</f>
        <v>18</v>
      </c>
      <c r="BB4" s="226"/>
      <c r="BC4" s="226"/>
      <c r="BD4" s="226"/>
      <c r="BE4" s="227"/>
    </row>
    <row r="5" spans="1:61" ht="12.75" customHeight="1" x14ac:dyDescent="0.35">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34">
        <f ca="1">TODAY()</f>
        <v>44421</v>
      </c>
      <c r="Y5" s="216"/>
      <c r="Z5" s="216"/>
      <c r="AA5" s="216"/>
      <c r="AB5" s="216"/>
      <c r="AC5" s="216"/>
      <c r="AD5" s="40"/>
      <c r="AE5" s="40"/>
      <c r="AF5" s="40"/>
      <c r="AG5" s="40"/>
      <c r="AH5" s="40"/>
      <c r="AI5" s="40"/>
      <c r="AJ5" s="40"/>
      <c r="AK5" s="45" t="s">
        <v>60</v>
      </c>
      <c r="AL5" s="46"/>
      <c r="AM5" s="46"/>
      <c r="AN5" s="46"/>
      <c r="AO5" s="46"/>
      <c r="AP5" s="46"/>
      <c r="AQ5" s="46"/>
      <c r="AR5" s="40"/>
      <c r="AS5" s="40"/>
      <c r="AT5" s="232">
        <f ca="1">TODAY()</f>
        <v>44421</v>
      </c>
      <c r="AU5" s="216"/>
      <c r="AV5" s="216"/>
      <c r="AW5" s="216"/>
      <c r="AX5" s="216"/>
      <c r="AY5" s="216"/>
      <c r="AZ5" s="216"/>
      <c r="BA5" s="228"/>
      <c r="BB5" s="229"/>
      <c r="BC5" s="229"/>
      <c r="BD5" s="229"/>
      <c r="BE5" s="230"/>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1" ht="67.5" customHeight="1" x14ac:dyDescent="0.35">
      <c r="A7" s="182" t="s">
        <v>61</v>
      </c>
      <c r="B7" s="49" t="s">
        <v>62</v>
      </c>
      <c r="C7" s="67" t="s">
        <v>203</v>
      </c>
      <c r="D7" s="67" t="s">
        <v>204</v>
      </c>
      <c r="E7" s="67" t="s">
        <v>205</v>
      </c>
      <c r="F7" s="67" t="s">
        <v>206</v>
      </c>
      <c r="G7" s="67" t="s">
        <v>207</v>
      </c>
      <c r="H7" s="67" t="s">
        <v>208</v>
      </c>
      <c r="I7" s="67" t="s">
        <v>209</v>
      </c>
      <c r="J7" s="67" t="s">
        <v>210</v>
      </c>
      <c r="K7" s="67" t="s">
        <v>211</v>
      </c>
      <c r="L7" s="67" t="s">
        <v>212</v>
      </c>
      <c r="M7" s="67" t="s">
        <v>213</v>
      </c>
      <c r="N7" s="67" t="s">
        <v>214</v>
      </c>
      <c r="O7" s="67" t="s">
        <v>215</v>
      </c>
      <c r="P7" s="67" t="s">
        <v>216</v>
      </c>
      <c r="Q7" s="67" t="s">
        <v>217</v>
      </c>
      <c r="R7" s="67" t="s">
        <v>218</v>
      </c>
      <c r="S7" s="67" t="s">
        <v>219</v>
      </c>
      <c r="T7" s="67" t="s">
        <v>220</v>
      </c>
      <c r="U7" s="67" t="s">
        <v>221</v>
      </c>
      <c r="V7" s="67" t="s">
        <v>222</v>
      </c>
      <c r="W7" s="67" t="s">
        <v>223</v>
      </c>
      <c r="X7" s="52" t="s">
        <v>224</v>
      </c>
      <c r="Y7" s="52" t="s">
        <v>225</v>
      </c>
      <c r="Z7" s="52" t="s">
        <v>226</v>
      </c>
      <c r="AA7" s="52" t="s">
        <v>227</v>
      </c>
      <c r="AB7" s="52" t="s">
        <v>228</v>
      </c>
      <c r="AC7" s="52" t="s">
        <v>229</v>
      </c>
      <c r="AD7" s="52" t="s">
        <v>230</v>
      </c>
      <c r="AE7" s="52" t="s">
        <v>231</v>
      </c>
      <c r="AF7" s="52" t="s">
        <v>232</v>
      </c>
      <c r="AG7" s="52" t="s">
        <v>233</v>
      </c>
      <c r="AH7" s="52" t="s">
        <v>234</v>
      </c>
      <c r="AI7" s="52" t="s">
        <v>235</v>
      </c>
      <c r="AJ7" s="52" t="s">
        <v>236</v>
      </c>
      <c r="AK7" s="52" t="s">
        <v>237</v>
      </c>
      <c r="AL7" s="52" t="s">
        <v>238</v>
      </c>
      <c r="AM7" s="52" t="s">
        <v>239</v>
      </c>
      <c r="AN7" s="52" t="s">
        <v>240</v>
      </c>
      <c r="AO7" s="52" t="s">
        <v>241</v>
      </c>
      <c r="AP7" s="52" t="s">
        <v>242</v>
      </c>
      <c r="AQ7" s="52" t="s">
        <v>243</v>
      </c>
      <c r="AR7" s="52" t="s">
        <v>244</v>
      </c>
      <c r="AS7" s="52" t="s">
        <v>245</v>
      </c>
      <c r="AT7" s="52" t="s">
        <v>246</v>
      </c>
      <c r="AU7" s="52" t="s">
        <v>247</v>
      </c>
      <c r="AV7" s="52" t="s">
        <v>248</v>
      </c>
      <c r="AW7" s="52" t="s">
        <v>249</v>
      </c>
      <c r="AX7" s="52" t="s">
        <v>250</v>
      </c>
      <c r="AY7" s="52" t="s">
        <v>251</v>
      </c>
      <c r="AZ7" s="53" t="s">
        <v>252</v>
      </c>
      <c r="BA7" s="54" t="s">
        <v>71</v>
      </c>
      <c r="BB7" s="55" t="s">
        <v>72</v>
      </c>
      <c r="BC7" s="55" t="s">
        <v>73</v>
      </c>
      <c r="BD7" s="55" t="s">
        <v>74</v>
      </c>
      <c r="BE7" s="184" t="s">
        <v>67</v>
      </c>
    </row>
    <row r="8" spans="1:61" ht="12" customHeight="1" x14ac:dyDescent="0.35">
      <c r="A8" s="183">
        <v>1</v>
      </c>
      <c r="B8" s="58" t="str">
        <f>'C. FILIACION'!B8</f>
        <v>ARAMAYO CARVALLO LITZI</v>
      </c>
      <c r="C8" s="48" t="s">
        <v>68</v>
      </c>
      <c r="D8" s="48" t="s">
        <v>68</v>
      </c>
      <c r="E8" s="48" t="s">
        <v>68</v>
      </c>
      <c r="F8" s="48" t="s">
        <v>68</v>
      </c>
      <c r="G8" s="48" t="s">
        <v>68</v>
      </c>
      <c r="H8" s="48" t="s">
        <v>68</v>
      </c>
      <c r="I8" s="48" t="s">
        <v>68</v>
      </c>
      <c r="J8" s="48" t="s">
        <v>68</v>
      </c>
      <c r="K8" s="48" t="s">
        <v>68</v>
      </c>
      <c r="L8" s="90" t="s">
        <v>68</v>
      </c>
      <c r="M8" s="48" t="s">
        <v>68</v>
      </c>
      <c r="N8" s="90" t="s">
        <v>68</v>
      </c>
      <c r="O8" s="90" t="s">
        <v>68</v>
      </c>
      <c r="P8" s="156" t="s">
        <v>68</v>
      </c>
      <c r="Q8" s="90" t="s">
        <v>68</v>
      </c>
      <c r="R8" s="90" t="s">
        <v>68</v>
      </c>
      <c r="S8" s="90" t="s">
        <v>68</v>
      </c>
      <c r="T8" s="90" t="s">
        <v>68</v>
      </c>
      <c r="U8" s="90" t="s">
        <v>68</v>
      </c>
      <c r="V8" s="90" t="s">
        <v>68</v>
      </c>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31" si="0">IF(COUNTIF(C8:AZ8,"A")=0,"0",COUNTIF(C8:AZ8,"A"))</f>
        <v>20</v>
      </c>
      <c r="BB8" s="48" t="str">
        <f t="shared" ref="BB8:BB31" si="1">IF(COUNTIF(C8:AZ8,"F")=0,"0",COUNTIF(C8:AZ8,"F"))</f>
        <v>0</v>
      </c>
      <c r="BC8" s="48" t="str">
        <f t="shared" ref="BC8:BC31" si="2">IF(COUNTIF(C8:AZ8,"R")=0,"0",COUNTIF(C8:AZ8,"R"))</f>
        <v>0</v>
      </c>
      <c r="BD8" s="48" t="str">
        <f t="shared" ref="BD8:BD31" si="3">IF(COUNTIF(C8:AZ8,"L")=0,"0",COUNTIF(C8:AZ8,"L"))</f>
        <v>0</v>
      </c>
      <c r="BE8" s="162">
        <f t="shared" ref="BE8:BE31" si="4">SUM(BA8:BD8)</f>
        <v>20</v>
      </c>
    </row>
    <row r="9" spans="1:61" ht="12" customHeight="1" x14ac:dyDescent="0.35">
      <c r="A9" s="183">
        <v>2</v>
      </c>
      <c r="B9" s="58" t="str">
        <f>'C. FILIACION'!B9</f>
        <v>BLANCO SALVATIERRA LIZETH BRIGIDA</v>
      </c>
      <c r="C9" s="48" t="s">
        <v>68</v>
      </c>
      <c r="D9" s="48" t="s">
        <v>68</v>
      </c>
      <c r="E9" s="48" t="s">
        <v>68</v>
      </c>
      <c r="F9" s="48" t="s">
        <v>68</v>
      </c>
      <c r="G9" s="48" t="s">
        <v>68</v>
      </c>
      <c r="H9" s="48" t="s">
        <v>68</v>
      </c>
      <c r="I9" s="48" t="s">
        <v>68</v>
      </c>
      <c r="J9" s="48" t="s">
        <v>68</v>
      </c>
      <c r="K9" s="48" t="s">
        <v>68</v>
      </c>
      <c r="L9" s="90" t="s">
        <v>68</v>
      </c>
      <c r="M9" s="48" t="s">
        <v>68</v>
      </c>
      <c r="N9" s="90" t="s">
        <v>68</v>
      </c>
      <c r="O9" s="90" t="s">
        <v>68</v>
      </c>
      <c r="P9" s="156" t="s">
        <v>68</v>
      </c>
      <c r="Q9" s="90" t="s">
        <v>68</v>
      </c>
      <c r="R9" s="90" t="s">
        <v>68</v>
      </c>
      <c r="S9" s="90" t="s">
        <v>68</v>
      </c>
      <c r="T9" s="90" t="s">
        <v>68</v>
      </c>
      <c r="U9" s="90" t="s">
        <v>68</v>
      </c>
      <c r="V9" s="90" t="s">
        <v>68</v>
      </c>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20</v>
      </c>
      <c r="BB9" s="48" t="str">
        <f t="shared" si="1"/>
        <v>0</v>
      </c>
      <c r="BC9" s="48" t="str">
        <f t="shared" si="2"/>
        <v>0</v>
      </c>
      <c r="BD9" s="48" t="str">
        <f t="shared" si="3"/>
        <v>0</v>
      </c>
      <c r="BE9" s="162">
        <f t="shared" si="4"/>
        <v>20</v>
      </c>
    </row>
    <row r="10" spans="1:61" ht="12" customHeight="1" x14ac:dyDescent="0.35">
      <c r="A10" s="183">
        <v>3</v>
      </c>
      <c r="B10" s="58" t="str">
        <f>'C. FILIACION'!B10</f>
        <v>GARCIA FAUCA NIELS HAMILTON</v>
      </c>
      <c r="C10" s="48" t="s">
        <v>68</v>
      </c>
      <c r="D10" s="48" t="s">
        <v>68</v>
      </c>
      <c r="E10" s="48" t="s">
        <v>68</v>
      </c>
      <c r="F10" s="48" t="s">
        <v>68</v>
      </c>
      <c r="G10" s="48" t="s">
        <v>68</v>
      </c>
      <c r="H10" s="48" t="s">
        <v>68</v>
      </c>
      <c r="I10" s="48" t="s">
        <v>68</v>
      </c>
      <c r="J10" s="48" t="s">
        <v>68</v>
      </c>
      <c r="K10" s="48" t="s">
        <v>68</v>
      </c>
      <c r="L10" s="90" t="s">
        <v>68</v>
      </c>
      <c r="M10" s="156" t="s">
        <v>68</v>
      </c>
      <c r="N10" s="90" t="s">
        <v>173</v>
      </c>
      <c r="O10" s="90" t="s">
        <v>68</v>
      </c>
      <c r="P10" s="156" t="s">
        <v>68</v>
      </c>
      <c r="Q10" s="90" t="s">
        <v>68</v>
      </c>
      <c r="R10" s="90" t="s">
        <v>68</v>
      </c>
      <c r="S10" s="90" t="s">
        <v>68</v>
      </c>
      <c r="T10" s="90" t="s">
        <v>68</v>
      </c>
      <c r="U10" s="90" t="s">
        <v>68</v>
      </c>
      <c r="V10" s="90" t="s">
        <v>69</v>
      </c>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18</v>
      </c>
      <c r="BB10" s="48">
        <f t="shared" si="1"/>
        <v>1</v>
      </c>
      <c r="BC10" s="48">
        <f t="shared" si="2"/>
        <v>1</v>
      </c>
      <c r="BD10" s="48" t="str">
        <f t="shared" si="3"/>
        <v>0</v>
      </c>
      <c r="BE10" s="162">
        <f t="shared" si="4"/>
        <v>20</v>
      </c>
    </row>
    <row r="11" spans="1:61" ht="12" customHeight="1" x14ac:dyDescent="0.35">
      <c r="A11" s="183">
        <v>4</v>
      </c>
      <c r="B11" s="58" t="str">
        <f>'C. FILIACION'!B11</f>
        <v>GOITIA VEIZAN MORGAN CRISTHIAN</v>
      </c>
      <c r="C11" s="48" t="s">
        <v>68</v>
      </c>
      <c r="D11" s="48" t="s">
        <v>68</v>
      </c>
      <c r="E11" s="48" t="s">
        <v>68</v>
      </c>
      <c r="F11" s="48" t="s">
        <v>69</v>
      </c>
      <c r="G11" s="48" t="s">
        <v>68</v>
      </c>
      <c r="H11" s="48" t="s">
        <v>68</v>
      </c>
      <c r="I11" s="48" t="s">
        <v>68</v>
      </c>
      <c r="J11" s="48" t="s">
        <v>68</v>
      </c>
      <c r="K11" s="48" t="s">
        <v>68</v>
      </c>
      <c r="L11" s="90" t="s">
        <v>68</v>
      </c>
      <c r="M11" s="48" t="s">
        <v>68</v>
      </c>
      <c r="N11" s="90" t="s">
        <v>173</v>
      </c>
      <c r="O11" s="90" t="s">
        <v>68</v>
      </c>
      <c r="P11" s="156" t="s">
        <v>68</v>
      </c>
      <c r="Q11" s="90" t="s">
        <v>69</v>
      </c>
      <c r="R11" s="90" t="s">
        <v>173</v>
      </c>
      <c r="S11" s="90" t="s">
        <v>68</v>
      </c>
      <c r="T11" s="90" t="s">
        <v>68</v>
      </c>
      <c r="U11" s="90" t="s">
        <v>68</v>
      </c>
      <c r="V11" s="90" t="s">
        <v>68</v>
      </c>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16</v>
      </c>
      <c r="BB11" s="48">
        <f t="shared" si="1"/>
        <v>2</v>
      </c>
      <c r="BC11" s="48">
        <f t="shared" si="2"/>
        <v>2</v>
      </c>
      <c r="BD11" s="48" t="str">
        <f t="shared" si="3"/>
        <v>0</v>
      </c>
      <c r="BE11" s="162">
        <f t="shared" si="4"/>
        <v>20</v>
      </c>
    </row>
    <row r="12" spans="1:61" ht="12" customHeight="1" x14ac:dyDescent="0.35">
      <c r="A12" s="183">
        <v>5</v>
      </c>
      <c r="B12" s="58" t="str">
        <f>'C. FILIACION'!B12</f>
        <v>GOMEZ LUCANA ALISON NAYR</v>
      </c>
      <c r="C12" s="48" t="s">
        <v>68</v>
      </c>
      <c r="D12" s="48" t="s">
        <v>68</v>
      </c>
      <c r="E12" s="48" t="s">
        <v>69</v>
      </c>
      <c r="F12" s="48" t="s">
        <v>68</v>
      </c>
      <c r="G12" s="48" t="s">
        <v>68</v>
      </c>
      <c r="H12" s="48" t="s">
        <v>68</v>
      </c>
      <c r="I12" s="48" t="s">
        <v>69</v>
      </c>
      <c r="J12" s="48" t="s">
        <v>68</v>
      </c>
      <c r="K12" s="48" t="s">
        <v>68</v>
      </c>
      <c r="L12" s="90" t="s">
        <v>68</v>
      </c>
      <c r="M12" s="48" t="s">
        <v>68</v>
      </c>
      <c r="N12" s="90" t="s">
        <v>69</v>
      </c>
      <c r="O12" s="90" t="s">
        <v>68</v>
      </c>
      <c r="P12" s="90" t="s">
        <v>69</v>
      </c>
      <c r="Q12" s="90" t="s">
        <v>69</v>
      </c>
      <c r="R12" s="90" t="s">
        <v>68</v>
      </c>
      <c r="S12" s="90" t="s">
        <v>173</v>
      </c>
      <c r="T12" s="90" t="s">
        <v>68</v>
      </c>
      <c r="U12" s="90" t="s">
        <v>68</v>
      </c>
      <c r="V12" s="90" t="s">
        <v>69</v>
      </c>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13</v>
      </c>
      <c r="BB12" s="48">
        <f t="shared" si="1"/>
        <v>6</v>
      </c>
      <c r="BC12" s="48">
        <f t="shared" si="2"/>
        <v>1</v>
      </c>
      <c r="BD12" s="48" t="str">
        <f t="shared" si="3"/>
        <v>0</v>
      </c>
      <c r="BE12" s="162">
        <f t="shared" si="4"/>
        <v>20</v>
      </c>
    </row>
    <row r="13" spans="1:61" ht="12" customHeight="1" x14ac:dyDescent="0.35">
      <c r="A13" s="183">
        <v>6</v>
      </c>
      <c r="B13" s="58" t="str">
        <f>'C. FILIACION'!B13</f>
        <v>GUTIERREZ ALVAREZ ALEX BEYMAR</v>
      </c>
      <c r="C13" s="48" t="s">
        <v>68</v>
      </c>
      <c r="D13" s="48" t="s">
        <v>68</v>
      </c>
      <c r="E13" s="48" t="s">
        <v>68</v>
      </c>
      <c r="F13" s="48" t="s">
        <v>68</v>
      </c>
      <c r="G13" s="48" t="s">
        <v>68</v>
      </c>
      <c r="H13" s="48" t="s">
        <v>68</v>
      </c>
      <c r="I13" s="48" t="s">
        <v>68</v>
      </c>
      <c r="J13" s="48" t="s">
        <v>68</v>
      </c>
      <c r="K13" s="48" t="s">
        <v>68</v>
      </c>
      <c r="L13" s="90" t="s">
        <v>68</v>
      </c>
      <c r="M13" s="48" t="s">
        <v>68</v>
      </c>
      <c r="N13" s="90" t="s">
        <v>68</v>
      </c>
      <c r="O13" s="90" t="s">
        <v>68</v>
      </c>
      <c r="P13" s="156" t="s">
        <v>68</v>
      </c>
      <c r="Q13" s="90" t="s">
        <v>68</v>
      </c>
      <c r="R13" s="90" t="s">
        <v>68</v>
      </c>
      <c r="S13" s="90" t="s">
        <v>68</v>
      </c>
      <c r="T13" s="90" t="s">
        <v>68</v>
      </c>
      <c r="U13" s="90" t="s">
        <v>68</v>
      </c>
      <c r="V13" s="90" t="s">
        <v>68</v>
      </c>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20</v>
      </c>
      <c r="BB13" s="48" t="str">
        <f t="shared" si="1"/>
        <v>0</v>
      </c>
      <c r="BC13" s="48" t="str">
        <f t="shared" si="2"/>
        <v>0</v>
      </c>
      <c r="BD13" s="48" t="str">
        <f t="shared" si="3"/>
        <v>0</v>
      </c>
      <c r="BE13" s="162">
        <f t="shared" si="4"/>
        <v>20</v>
      </c>
    </row>
    <row r="14" spans="1:61" ht="12" customHeight="1" x14ac:dyDescent="0.35">
      <c r="A14" s="183">
        <v>7</v>
      </c>
      <c r="B14" s="58" t="str">
        <f>'C. FILIACION'!B14</f>
        <v>LOPEZ PACO MIGUEL ANGEL</v>
      </c>
      <c r="C14" s="48" t="s">
        <v>68</v>
      </c>
      <c r="D14" s="48" t="s">
        <v>68</v>
      </c>
      <c r="E14" s="48" t="s">
        <v>68</v>
      </c>
      <c r="F14" s="48" t="s">
        <v>68</v>
      </c>
      <c r="G14" s="48" t="s">
        <v>68</v>
      </c>
      <c r="H14" s="48" t="s">
        <v>68</v>
      </c>
      <c r="I14" s="48" t="s">
        <v>68</v>
      </c>
      <c r="J14" s="48" t="s">
        <v>68</v>
      </c>
      <c r="K14" s="48" t="s">
        <v>68</v>
      </c>
      <c r="L14" s="90" t="s">
        <v>68</v>
      </c>
      <c r="M14" s="48" t="s">
        <v>68</v>
      </c>
      <c r="N14" s="90" t="s">
        <v>68</v>
      </c>
      <c r="O14" s="90" t="s">
        <v>68</v>
      </c>
      <c r="P14" s="156" t="s">
        <v>68</v>
      </c>
      <c r="Q14" s="90" t="s">
        <v>68</v>
      </c>
      <c r="R14" s="90" t="s">
        <v>68</v>
      </c>
      <c r="S14" s="90" t="s">
        <v>68</v>
      </c>
      <c r="T14" s="90" t="s">
        <v>68</v>
      </c>
      <c r="U14" s="90" t="s">
        <v>68</v>
      </c>
      <c r="V14" s="90" t="s">
        <v>68</v>
      </c>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20</v>
      </c>
      <c r="BB14" s="48" t="str">
        <f t="shared" si="1"/>
        <v>0</v>
      </c>
      <c r="BC14" s="48" t="str">
        <f t="shared" si="2"/>
        <v>0</v>
      </c>
      <c r="BD14" s="48" t="str">
        <f t="shared" si="3"/>
        <v>0</v>
      </c>
      <c r="BE14" s="162">
        <f t="shared" si="4"/>
        <v>20</v>
      </c>
    </row>
    <row r="15" spans="1:61" ht="12" customHeight="1" x14ac:dyDescent="0.35">
      <c r="A15" s="183">
        <v>8</v>
      </c>
      <c r="B15" s="58" t="str">
        <f>'C. FILIACION'!B15</f>
        <v>MAMANI AQUINO LUCAS</v>
      </c>
      <c r="C15" s="48" t="s">
        <v>68</v>
      </c>
      <c r="D15" s="48" t="s">
        <v>68</v>
      </c>
      <c r="E15" s="48" t="s">
        <v>68</v>
      </c>
      <c r="F15" s="48" t="s">
        <v>69</v>
      </c>
      <c r="G15" s="48" t="s">
        <v>68</v>
      </c>
      <c r="H15" s="48" t="s">
        <v>68</v>
      </c>
      <c r="I15" s="48" t="s">
        <v>68</v>
      </c>
      <c r="J15" s="48" t="s">
        <v>68</v>
      </c>
      <c r="K15" s="48" t="s">
        <v>68</v>
      </c>
      <c r="L15" s="90" t="s">
        <v>68</v>
      </c>
      <c r="M15" s="48" t="s">
        <v>68</v>
      </c>
      <c r="N15" s="90" t="s">
        <v>68</v>
      </c>
      <c r="O15" s="90" t="s">
        <v>68</v>
      </c>
      <c r="P15" s="90" t="s">
        <v>69</v>
      </c>
      <c r="Q15" s="90" t="s">
        <v>68</v>
      </c>
      <c r="R15" s="90" t="s">
        <v>68</v>
      </c>
      <c r="S15" s="90" t="s">
        <v>68</v>
      </c>
      <c r="T15" s="90" t="s">
        <v>173</v>
      </c>
      <c r="U15" s="90" t="s">
        <v>68</v>
      </c>
      <c r="V15" s="90" t="s">
        <v>68</v>
      </c>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17</v>
      </c>
      <c r="BB15" s="48">
        <f t="shared" si="1"/>
        <v>2</v>
      </c>
      <c r="BC15" s="48">
        <f t="shared" si="2"/>
        <v>1</v>
      </c>
      <c r="BD15" s="48" t="str">
        <f t="shared" si="3"/>
        <v>0</v>
      </c>
      <c r="BE15" s="162">
        <f t="shared" si="4"/>
        <v>20</v>
      </c>
    </row>
    <row r="16" spans="1:61" ht="12" customHeight="1" x14ac:dyDescent="0.35">
      <c r="A16" s="183">
        <v>9</v>
      </c>
      <c r="B16" s="58" t="str">
        <f>'C. FILIACION'!B16</f>
        <v>MAMANI VASQUEZ FRANZ DARWIN</v>
      </c>
      <c r="C16" s="48" t="s">
        <v>68</v>
      </c>
      <c r="D16" s="48" t="s">
        <v>68</v>
      </c>
      <c r="E16" s="48" t="s">
        <v>68</v>
      </c>
      <c r="F16" s="48" t="s">
        <v>68</v>
      </c>
      <c r="G16" s="48" t="s">
        <v>68</v>
      </c>
      <c r="H16" s="48" t="s">
        <v>68</v>
      </c>
      <c r="I16" s="48" t="s">
        <v>68</v>
      </c>
      <c r="J16" s="48" t="s">
        <v>68</v>
      </c>
      <c r="K16" s="48" t="s">
        <v>68</v>
      </c>
      <c r="L16" s="90" t="s">
        <v>68</v>
      </c>
      <c r="M16" s="48" t="s">
        <v>68</v>
      </c>
      <c r="N16" s="90" t="s">
        <v>68</v>
      </c>
      <c r="O16" s="90" t="s">
        <v>68</v>
      </c>
      <c r="P16" s="156" t="s">
        <v>68</v>
      </c>
      <c r="Q16" s="90" t="s">
        <v>68</v>
      </c>
      <c r="R16" s="90" t="s">
        <v>68</v>
      </c>
      <c r="S16" s="90" t="s">
        <v>68</v>
      </c>
      <c r="T16" s="90" t="s">
        <v>68</v>
      </c>
      <c r="U16" s="90" t="s">
        <v>68</v>
      </c>
      <c r="V16" s="90" t="s">
        <v>68</v>
      </c>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20</v>
      </c>
      <c r="BB16" s="48" t="str">
        <f t="shared" si="1"/>
        <v>0</v>
      </c>
      <c r="BC16" s="48" t="str">
        <f t="shared" si="2"/>
        <v>0</v>
      </c>
      <c r="BD16" s="48" t="str">
        <f t="shared" si="3"/>
        <v>0</v>
      </c>
      <c r="BE16" s="162">
        <f t="shared" si="4"/>
        <v>20</v>
      </c>
    </row>
    <row r="17" spans="1:57" ht="12" customHeight="1" x14ac:dyDescent="0.35">
      <c r="A17" s="183">
        <v>10</v>
      </c>
      <c r="B17" s="58" t="str">
        <f>'C. FILIACION'!B17</f>
        <v>MARTINEZ MAMANI JORGE ARMANDO</v>
      </c>
      <c r="C17" s="48" t="s">
        <v>68</v>
      </c>
      <c r="D17" s="48" t="s">
        <v>68</v>
      </c>
      <c r="E17" s="48" t="s">
        <v>68</v>
      </c>
      <c r="F17" s="48" t="s">
        <v>68</v>
      </c>
      <c r="G17" s="48" t="s">
        <v>68</v>
      </c>
      <c r="H17" s="48" t="s">
        <v>68</v>
      </c>
      <c r="I17" s="48" t="s">
        <v>68</v>
      </c>
      <c r="J17" s="48" t="s">
        <v>68</v>
      </c>
      <c r="K17" s="48" t="s">
        <v>68</v>
      </c>
      <c r="L17" s="90" t="s">
        <v>68</v>
      </c>
      <c r="M17" s="48" t="s">
        <v>68</v>
      </c>
      <c r="N17" s="90" t="s">
        <v>68</v>
      </c>
      <c r="O17" s="90" t="s">
        <v>69</v>
      </c>
      <c r="P17" s="156" t="s">
        <v>68</v>
      </c>
      <c r="Q17" s="90" t="s">
        <v>68</v>
      </c>
      <c r="R17" s="90" t="s">
        <v>68</v>
      </c>
      <c r="S17" s="90" t="s">
        <v>68</v>
      </c>
      <c r="T17" s="90" t="s">
        <v>173</v>
      </c>
      <c r="U17" s="90" t="s">
        <v>68</v>
      </c>
      <c r="V17" s="90" t="s">
        <v>68</v>
      </c>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18</v>
      </c>
      <c r="BB17" s="48">
        <f t="shared" si="1"/>
        <v>1</v>
      </c>
      <c r="BC17" s="48">
        <f t="shared" si="2"/>
        <v>1</v>
      </c>
      <c r="BD17" s="48" t="str">
        <f t="shared" si="3"/>
        <v>0</v>
      </c>
      <c r="BE17" s="162">
        <f t="shared" si="4"/>
        <v>20</v>
      </c>
    </row>
    <row r="18" spans="1:57" ht="12" customHeight="1" x14ac:dyDescent="0.35">
      <c r="A18" s="183">
        <v>11</v>
      </c>
      <c r="B18" s="58" t="str">
        <f>'C. FILIACION'!B18</f>
        <v>MEDINA PEREIRA GABRIEL LEANDRO</v>
      </c>
      <c r="C18" s="48" t="s">
        <v>68</v>
      </c>
      <c r="D18" s="48" t="s">
        <v>68</v>
      </c>
      <c r="E18" s="48" t="s">
        <v>68</v>
      </c>
      <c r="F18" s="48" t="s">
        <v>69</v>
      </c>
      <c r="G18" s="48" t="s">
        <v>68</v>
      </c>
      <c r="H18" s="48" t="s">
        <v>69</v>
      </c>
      <c r="I18" s="48" t="s">
        <v>68</v>
      </c>
      <c r="J18" s="48" t="s">
        <v>68</v>
      </c>
      <c r="K18" s="48" t="s">
        <v>69</v>
      </c>
      <c r="L18" s="90" t="s">
        <v>69</v>
      </c>
      <c r="M18" s="48" t="s">
        <v>68</v>
      </c>
      <c r="N18" s="90" t="s">
        <v>68</v>
      </c>
      <c r="O18" s="90" t="s">
        <v>68</v>
      </c>
      <c r="P18" s="156" t="s">
        <v>68</v>
      </c>
      <c r="Q18" s="90" t="s">
        <v>68</v>
      </c>
      <c r="R18" s="90" t="s">
        <v>69</v>
      </c>
      <c r="S18" s="90" t="s">
        <v>69</v>
      </c>
      <c r="T18" s="90" t="s">
        <v>69</v>
      </c>
      <c r="U18" s="90" t="s">
        <v>68</v>
      </c>
      <c r="V18" s="90" t="s">
        <v>68</v>
      </c>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13</v>
      </c>
      <c r="BB18" s="48">
        <f t="shared" si="1"/>
        <v>7</v>
      </c>
      <c r="BC18" s="48" t="str">
        <f t="shared" si="2"/>
        <v>0</v>
      </c>
      <c r="BD18" s="48" t="str">
        <f t="shared" si="3"/>
        <v>0</v>
      </c>
      <c r="BE18" s="162">
        <f t="shared" si="4"/>
        <v>20</v>
      </c>
    </row>
    <row r="19" spans="1:57" ht="12" customHeight="1" x14ac:dyDescent="0.35">
      <c r="A19" s="183">
        <v>12</v>
      </c>
      <c r="B19" s="58" t="str">
        <f>'C. FILIACION'!B19</f>
        <v>MEDINA PEREIRA YULIANA</v>
      </c>
      <c r="C19" s="48" t="s">
        <v>68</v>
      </c>
      <c r="D19" s="48" t="s">
        <v>69</v>
      </c>
      <c r="E19" s="48" t="s">
        <v>68</v>
      </c>
      <c r="F19" s="48" t="s">
        <v>68</v>
      </c>
      <c r="G19" s="48" t="s">
        <v>69</v>
      </c>
      <c r="H19" s="48" t="s">
        <v>68</v>
      </c>
      <c r="I19" s="48" t="s">
        <v>68</v>
      </c>
      <c r="J19" s="48" t="s">
        <v>68</v>
      </c>
      <c r="K19" s="48" t="s">
        <v>68</v>
      </c>
      <c r="L19" s="90" t="s">
        <v>68</v>
      </c>
      <c r="M19" s="48" t="s">
        <v>68</v>
      </c>
      <c r="N19" s="90" t="s">
        <v>68</v>
      </c>
      <c r="O19" s="90" t="s">
        <v>68</v>
      </c>
      <c r="P19" s="156" t="s">
        <v>68</v>
      </c>
      <c r="Q19" s="90" t="s">
        <v>68</v>
      </c>
      <c r="R19" s="90" t="s">
        <v>69</v>
      </c>
      <c r="S19" s="90" t="s">
        <v>69</v>
      </c>
      <c r="T19" s="90" t="s">
        <v>69</v>
      </c>
      <c r="U19" s="90" t="s">
        <v>68</v>
      </c>
      <c r="V19" s="90" t="s">
        <v>68</v>
      </c>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15</v>
      </c>
      <c r="BB19" s="48">
        <f t="shared" si="1"/>
        <v>5</v>
      </c>
      <c r="BC19" s="48" t="str">
        <f t="shared" si="2"/>
        <v>0</v>
      </c>
      <c r="BD19" s="48" t="str">
        <f t="shared" si="3"/>
        <v>0</v>
      </c>
      <c r="BE19" s="162">
        <f t="shared" si="4"/>
        <v>20</v>
      </c>
    </row>
    <row r="20" spans="1:57" ht="12" customHeight="1" x14ac:dyDescent="0.35">
      <c r="A20" s="183">
        <v>13</v>
      </c>
      <c r="B20" s="58" t="str">
        <f>'C. FILIACION'!B20</f>
        <v>MORALES BERNABEL JULETH CHANTAL</v>
      </c>
      <c r="C20" s="48" t="s">
        <v>68</v>
      </c>
      <c r="D20" s="48" t="s">
        <v>68</v>
      </c>
      <c r="E20" s="48" t="s">
        <v>68</v>
      </c>
      <c r="F20" s="48" t="s">
        <v>68</v>
      </c>
      <c r="G20" s="48" t="s">
        <v>68</v>
      </c>
      <c r="H20" s="48" t="s">
        <v>68</v>
      </c>
      <c r="I20" s="48" t="s">
        <v>68</v>
      </c>
      <c r="J20" s="48" t="s">
        <v>68</v>
      </c>
      <c r="K20" s="48" t="s">
        <v>68</v>
      </c>
      <c r="L20" s="90" t="s">
        <v>68</v>
      </c>
      <c r="M20" s="48" t="s">
        <v>68</v>
      </c>
      <c r="N20" s="90" t="s">
        <v>69</v>
      </c>
      <c r="O20" s="90" t="s">
        <v>68</v>
      </c>
      <c r="P20" s="156" t="s">
        <v>68</v>
      </c>
      <c r="Q20" s="90" t="s">
        <v>68</v>
      </c>
      <c r="R20" s="90" t="s">
        <v>68</v>
      </c>
      <c r="S20" s="90" t="s">
        <v>68</v>
      </c>
      <c r="T20" s="90" t="s">
        <v>68</v>
      </c>
      <c r="U20" s="90" t="s">
        <v>68</v>
      </c>
      <c r="V20" s="90" t="s">
        <v>68</v>
      </c>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19</v>
      </c>
      <c r="BB20" s="48">
        <f t="shared" si="1"/>
        <v>1</v>
      </c>
      <c r="BC20" s="48" t="str">
        <f t="shared" si="2"/>
        <v>0</v>
      </c>
      <c r="BD20" s="48" t="str">
        <f t="shared" si="3"/>
        <v>0</v>
      </c>
      <c r="BE20" s="162">
        <f t="shared" si="4"/>
        <v>20</v>
      </c>
    </row>
    <row r="21" spans="1:57" ht="12" customHeight="1" x14ac:dyDescent="0.35">
      <c r="A21" s="183">
        <v>14</v>
      </c>
      <c r="B21" s="58" t="str">
        <f>'C. FILIACION'!B21</f>
        <v>ORELLANA MOGRO ADAMO LEVING</v>
      </c>
      <c r="C21" s="48" t="s">
        <v>68</v>
      </c>
      <c r="D21" s="48" t="s">
        <v>68</v>
      </c>
      <c r="E21" s="48" t="s">
        <v>68</v>
      </c>
      <c r="F21" s="48" t="s">
        <v>68</v>
      </c>
      <c r="G21" s="48" t="s">
        <v>68</v>
      </c>
      <c r="H21" s="48" t="s">
        <v>68</v>
      </c>
      <c r="I21" s="48" t="s">
        <v>68</v>
      </c>
      <c r="J21" s="48" t="s">
        <v>68</v>
      </c>
      <c r="K21" s="48" t="s">
        <v>69</v>
      </c>
      <c r="L21" s="90" t="s">
        <v>69</v>
      </c>
      <c r="M21" s="48" t="s">
        <v>68</v>
      </c>
      <c r="N21" s="90" t="s">
        <v>173</v>
      </c>
      <c r="O21" s="90" t="s">
        <v>68</v>
      </c>
      <c r="P21" s="156" t="s">
        <v>174</v>
      </c>
      <c r="Q21" s="90" t="s">
        <v>68</v>
      </c>
      <c r="R21" s="90" t="s">
        <v>68</v>
      </c>
      <c r="S21" s="90" t="s">
        <v>68</v>
      </c>
      <c r="T21" s="90" t="s">
        <v>68</v>
      </c>
      <c r="U21" s="90" t="s">
        <v>68</v>
      </c>
      <c r="V21" s="90" t="s">
        <v>68</v>
      </c>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16</v>
      </c>
      <c r="BB21" s="48">
        <f t="shared" si="1"/>
        <v>2</v>
      </c>
      <c r="BC21" s="48">
        <f t="shared" si="2"/>
        <v>1</v>
      </c>
      <c r="BD21" s="48">
        <f t="shared" si="3"/>
        <v>1</v>
      </c>
      <c r="BE21" s="162">
        <f t="shared" si="4"/>
        <v>20</v>
      </c>
    </row>
    <row r="22" spans="1:57" ht="12" customHeight="1" x14ac:dyDescent="0.35">
      <c r="A22" s="183">
        <v>15</v>
      </c>
      <c r="B22" s="154" t="str">
        <f>'C. FILIACION'!B22</f>
        <v>PAHUASI HUAYTA LUZ ADRIANA</v>
      </c>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180"/>
      <c r="BA22" s="181" t="str">
        <f t="shared" si="0"/>
        <v>0</v>
      </c>
      <c r="BB22" s="155" t="str">
        <f t="shared" si="1"/>
        <v>0</v>
      </c>
      <c r="BC22" s="155" t="str">
        <f t="shared" si="2"/>
        <v>0</v>
      </c>
      <c r="BD22" s="155" t="str">
        <f t="shared" si="3"/>
        <v>0</v>
      </c>
      <c r="BE22" s="180">
        <f t="shared" si="4"/>
        <v>0</v>
      </c>
    </row>
    <row r="23" spans="1:57" ht="12" customHeight="1" x14ac:dyDescent="0.35">
      <c r="A23" s="183">
        <v>16</v>
      </c>
      <c r="B23" s="58" t="str">
        <f>'C. FILIACION'!B23</f>
        <v>PEREZ HUARACHI ESPERANZA ALEJANDRA</v>
      </c>
      <c r="C23" s="48" t="s">
        <v>68</v>
      </c>
      <c r="D23" s="48" t="s">
        <v>68</v>
      </c>
      <c r="E23" s="48" t="s">
        <v>68</v>
      </c>
      <c r="F23" s="48" t="s">
        <v>68</v>
      </c>
      <c r="G23" s="48" t="s">
        <v>68</v>
      </c>
      <c r="H23" s="48" t="s">
        <v>68</v>
      </c>
      <c r="I23" s="48" t="s">
        <v>68</v>
      </c>
      <c r="J23" s="48" t="s">
        <v>68</v>
      </c>
      <c r="K23" s="48" t="s">
        <v>68</v>
      </c>
      <c r="L23" s="90" t="s">
        <v>68</v>
      </c>
      <c r="M23" s="48" t="s">
        <v>68</v>
      </c>
      <c r="N23" s="90" t="s">
        <v>68</v>
      </c>
      <c r="O23" s="90" t="s">
        <v>68</v>
      </c>
      <c r="P23" s="156" t="s">
        <v>68</v>
      </c>
      <c r="Q23" s="90" t="s">
        <v>68</v>
      </c>
      <c r="R23" s="90" t="s">
        <v>68</v>
      </c>
      <c r="S23" s="90" t="s">
        <v>68</v>
      </c>
      <c r="T23" s="90" t="s">
        <v>68</v>
      </c>
      <c r="U23" s="90" t="s">
        <v>68</v>
      </c>
      <c r="V23" s="90" t="s">
        <v>68</v>
      </c>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20</v>
      </c>
      <c r="BB23" s="48" t="str">
        <f t="shared" si="1"/>
        <v>0</v>
      </c>
      <c r="BC23" s="48" t="str">
        <f t="shared" si="2"/>
        <v>0</v>
      </c>
      <c r="BD23" s="48" t="str">
        <f t="shared" si="3"/>
        <v>0</v>
      </c>
      <c r="BE23" s="162">
        <f t="shared" si="4"/>
        <v>20</v>
      </c>
    </row>
    <row r="24" spans="1:57" ht="12" customHeight="1" x14ac:dyDescent="0.35">
      <c r="A24" s="183">
        <v>17</v>
      </c>
      <c r="B24" s="58" t="str">
        <f>'C. FILIACION'!B24</f>
        <v>PEREZ ZAMBRANA DAYRIS CONZUELO</v>
      </c>
      <c r="C24" s="48" t="s">
        <v>68</v>
      </c>
      <c r="D24" s="48" t="s">
        <v>68</v>
      </c>
      <c r="E24" s="48" t="s">
        <v>68</v>
      </c>
      <c r="F24" s="48" t="s">
        <v>68</v>
      </c>
      <c r="G24" s="48" t="s">
        <v>68</v>
      </c>
      <c r="H24" s="48" t="s">
        <v>68</v>
      </c>
      <c r="I24" s="48" t="s">
        <v>68</v>
      </c>
      <c r="J24" s="48" t="s">
        <v>68</v>
      </c>
      <c r="K24" s="48" t="s">
        <v>68</v>
      </c>
      <c r="L24" s="90" t="s">
        <v>68</v>
      </c>
      <c r="M24" s="48" t="s">
        <v>68</v>
      </c>
      <c r="N24" s="90" t="s">
        <v>68</v>
      </c>
      <c r="O24" s="90" t="s">
        <v>68</v>
      </c>
      <c r="P24" s="156" t="s">
        <v>68</v>
      </c>
      <c r="Q24" s="90" t="s">
        <v>68</v>
      </c>
      <c r="R24" s="90" t="s">
        <v>68</v>
      </c>
      <c r="S24" s="90" t="s">
        <v>68</v>
      </c>
      <c r="T24" s="90" t="s">
        <v>68</v>
      </c>
      <c r="U24" s="90" t="s">
        <v>68</v>
      </c>
      <c r="V24" s="90" t="s">
        <v>68</v>
      </c>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20</v>
      </c>
      <c r="BB24" s="48" t="str">
        <f t="shared" si="1"/>
        <v>0</v>
      </c>
      <c r="BC24" s="48" t="str">
        <f t="shared" si="2"/>
        <v>0</v>
      </c>
      <c r="BD24" s="48" t="str">
        <f t="shared" si="3"/>
        <v>0</v>
      </c>
      <c r="BE24" s="162">
        <f t="shared" si="4"/>
        <v>20</v>
      </c>
    </row>
    <row r="25" spans="1:57" ht="12" customHeight="1" x14ac:dyDescent="0.35">
      <c r="A25" s="183">
        <v>18</v>
      </c>
      <c r="B25" s="58" t="str">
        <f>'C. FILIACION'!B25</f>
        <v>QUISPAYA ENCINAS GATHERING ZAMANTHA</v>
      </c>
      <c r="C25" s="48" t="s">
        <v>68</v>
      </c>
      <c r="D25" s="48" t="s">
        <v>68</v>
      </c>
      <c r="E25" s="48" t="s">
        <v>68</v>
      </c>
      <c r="F25" s="48" t="s">
        <v>68</v>
      </c>
      <c r="G25" s="48" t="s">
        <v>68</v>
      </c>
      <c r="H25" s="48" t="s">
        <v>68</v>
      </c>
      <c r="I25" s="48" t="s">
        <v>68</v>
      </c>
      <c r="J25" s="48" t="s">
        <v>68</v>
      </c>
      <c r="K25" s="48" t="s">
        <v>68</v>
      </c>
      <c r="L25" s="90" t="s">
        <v>68</v>
      </c>
      <c r="M25" s="48" t="s">
        <v>68</v>
      </c>
      <c r="N25" s="90" t="s">
        <v>68</v>
      </c>
      <c r="O25" s="90" t="s">
        <v>68</v>
      </c>
      <c r="P25" s="156" t="s">
        <v>68</v>
      </c>
      <c r="Q25" s="90" t="s">
        <v>68</v>
      </c>
      <c r="R25" s="90" t="s">
        <v>68</v>
      </c>
      <c r="S25" s="90" t="s">
        <v>68</v>
      </c>
      <c r="T25" s="90" t="s">
        <v>68</v>
      </c>
      <c r="U25" s="90" t="s">
        <v>68</v>
      </c>
      <c r="V25" s="90" t="s">
        <v>173</v>
      </c>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19</v>
      </c>
      <c r="BB25" s="48" t="str">
        <f t="shared" si="1"/>
        <v>0</v>
      </c>
      <c r="BC25" s="48">
        <f t="shared" si="2"/>
        <v>1</v>
      </c>
      <c r="BD25" s="48" t="str">
        <f t="shared" si="3"/>
        <v>0</v>
      </c>
      <c r="BE25" s="162">
        <f t="shared" si="4"/>
        <v>20</v>
      </c>
    </row>
    <row r="26" spans="1:57" ht="12" customHeight="1" x14ac:dyDescent="0.35">
      <c r="A26" s="183">
        <v>19</v>
      </c>
      <c r="B26" s="58" t="str">
        <f>'C. FILIACION'!B26</f>
        <v>SANDOVAL MORANGO EDGAR JORGE</v>
      </c>
      <c r="C26" s="48" t="s">
        <v>68</v>
      </c>
      <c r="D26" s="48" t="s">
        <v>68</v>
      </c>
      <c r="E26" s="48" t="s">
        <v>68</v>
      </c>
      <c r="F26" s="48" t="s">
        <v>68</v>
      </c>
      <c r="G26" s="48" t="s">
        <v>69</v>
      </c>
      <c r="H26" s="48" t="s">
        <v>68</v>
      </c>
      <c r="I26" s="48" t="s">
        <v>68</v>
      </c>
      <c r="J26" s="48" t="s">
        <v>68</v>
      </c>
      <c r="K26" s="48" t="s">
        <v>68</v>
      </c>
      <c r="L26" s="90" t="s">
        <v>68</v>
      </c>
      <c r="M26" s="48" t="s">
        <v>68</v>
      </c>
      <c r="N26" s="90" t="s">
        <v>69</v>
      </c>
      <c r="O26" s="90" t="s">
        <v>68</v>
      </c>
      <c r="P26" s="156" t="s">
        <v>68</v>
      </c>
      <c r="Q26" s="90" t="s">
        <v>68</v>
      </c>
      <c r="R26" s="90" t="s">
        <v>68</v>
      </c>
      <c r="S26" s="90" t="s">
        <v>68</v>
      </c>
      <c r="T26" s="90" t="s">
        <v>68</v>
      </c>
      <c r="U26" s="90" t="s">
        <v>68</v>
      </c>
      <c r="V26" s="90" t="s">
        <v>68</v>
      </c>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18</v>
      </c>
      <c r="BB26" s="48">
        <f t="shared" si="1"/>
        <v>2</v>
      </c>
      <c r="BC26" s="48" t="str">
        <f t="shared" si="2"/>
        <v>0</v>
      </c>
      <c r="BD26" s="48" t="str">
        <f t="shared" si="3"/>
        <v>0</v>
      </c>
      <c r="BE26" s="162">
        <f t="shared" si="4"/>
        <v>20</v>
      </c>
    </row>
    <row r="27" spans="1:57" ht="12" customHeight="1" x14ac:dyDescent="0.35">
      <c r="A27" s="183">
        <v>20</v>
      </c>
      <c r="B27" s="58" t="str">
        <f>'C. FILIACION'!B27</f>
        <v>SEVILLANO BALTAZAR ALEXIA LIZZY</v>
      </c>
      <c r="C27" s="48" t="s">
        <v>68</v>
      </c>
      <c r="D27" s="48" t="s">
        <v>68</v>
      </c>
      <c r="E27" s="48" t="s">
        <v>68</v>
      </c>
      <c r="F27" s="48" t="s">
        <v>68</v>
      </c>
      <c r="G27" s="48" t="s">
        <v>68</v>
      </c>
      <c r="H27" s="48" t="s">
        <v>68</v>
      </c>
      <c r="I27" s="48" t="s">
        <v>68</v>
      </c>
      <c r="J27" s="48" t="s">
        <v>68</v>
      </c>
      <c r="K27" s="48" t="s">
        <v>68</v>
      </c>
      <c r="L27" s="90" t="s">
        <v>68</v>
      </c>
      <c r="M27" s="48" t="s">
        <v>68</v>
      </c>
      <c r="N27" s="90" t="s">
        <v>68</v>
      </c>
      <c r="O27" s="90" t="s">
        <v>68</v>
      </c>
      <c r="P27" s="156" t="s">
        <v>68</v>
      </c>
      <c r="Q27" s="90" t="s">
        <v>68</v>
      </c>
      <c r="R27" s="90" t="s">
        <v>68</v>
      </c>
      <c r="S27" s="90" t="s">
        <v>68</v>
      </c>
      <c r="T27" s="90" t="s">
        <v>68</v>
      </c>
      <c r="U27" s="90" t="s">
        <v>68</v>
      </c>
      <c r="V27" s="90" t="s">
        <v>68</v>
      </c>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20</v>
      </c>
      <c r="BB27" s="48" t="str">
        <f t="shared" si="1"/>
        <v>0</v>
      </c>
      <c r="BC27" s="48" t="str">
        <f t="shared" si="2"/>
        <v>0</v>
      </c>
      <c r="BD27" s="48" t="str">
        <f t="shared" si="3"/>
        <v>0</v>
      </c>
      <c r="BE27" s="162">
        <f t="shared" si="4"/>
        <v>20</v>
      </c>
    </row>
    <row r="28" spans="1:57" ht="12" customHeight="1" x14ac:dyDescent="0.35">
      <c r="A28" s="183">
        <v>21</v>
      </c>
      <c r="B28" s="58" t="str">
        <f>'C. FILIACION'!B28</f>
        <v>TORREZ PACO JOSE MANUEL</v>
      </c>
      <c r="C28" s="48" t="s">
        <v>68</v>
      </c>
      <c r="D28" s="48" t="s">
        <v>68</v>
      </c>
      <c r="E28" s="48" t="s">
        <v>68</v>
      </c>
      <c r="F28" s="48" t="s">
        <v>68</v>
      </c>
      <c r="G28" s="48" t="s">
        <v>69</v>
      </c>
      <c r="H28" s="48" t="s">
        <v>68</v>
      </c>
      <c r="I28" s="48" t="s">
        <v>68</v>
      </c>
      <c r="J28" s="48" t="s">
        <v>68</v>
      </c>
      <c r="K28" s="48" t="s">
        <v>68</v>
      </c>
      <c r="L28" s="90" t="s">
        <v>68</v>
      </c>
      <c r="M28" s="48" t="s">
        <v>68</v>
      </c>
      <c r="N28" s="90" t="s">
        <v>68</v>
      </c>
      <c r="O28" s="90" t="s">
        <v>68</v>
      </c>
      <c r="P28" s="156" t="s">
        <v>68</v>
      </c>
      <c r="Q28" s="90" t="s">
        <v>68</v>
      </c>
      <c r="R28" s="90" t="s">
        <v>68</v>
      </c>
      <c r="S28" s="90" t="s">
        <v>69</v>
      </c>
      <c r="T28" s="90" t="s">
        <v>173</v>
      </c>
      <c r="U28" s="90" t="s">
        <v>68</v>
      </c>
      <c r="V28" s="90" t="s">
        <v>68</v>
      </c>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17</v>
      </c>
      <c r="BB28" s="48">
        <f t="shared" si="1"/>
        <v>2</v>
      </c>
      <c r="BC28" s="48">
        <f t="shared" si="2"/>
        <v>1</v>
      </c>
      <c r="BD28" s="48" t="str">
        <f t="shared" si="3"/>
        <v>0</v>
      </c>
      <c r="BE28" s="162">
        <f t="shared" si="4"/>
        <v>20</v>
      </c>
    </row>
    <row r="29" spans="1:57" ht="12" customHeight="1" x14ac:dyDescent="0.35">
      <c r="A29" s="183">
        <v>22</v>
      </c>
      <c r="B29" s="154" t="str">
        <f>'C. FILIACION'!B29</f>
        <v>VELASQUEZ GUTIERREZ ALEJANDRA ANAHI</v>
      </c>
      <c r="C29" s="155"/>
      <c r="D29" s="155"/>
      <c r="E29" s="155"/>
      <c r="F29" s="155"/>
      <c r="G29" s="155"/>
      <c r="H29" s="155"/>
      <c r="I29" s="155"/>
      <c r="J29" s="155"/>
      <c r="K29" s="155" t="s">
        <v>68</v>
      </c>
      <c r="L29" s="155" t="s">
        <v>68</v>
      </c>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80"/>
      <c r="BA29" s="181">
        <f t="shared" si="0"/>
        <v>2</v>
      </c>
      <c r="BB29" s="155" t="str">
        <f t="shared" si="1"/>
        <v>0</v>
      </c>
      <c r="BC29" s="155" t="str">
        <f t="shared" si="2"/>
        <v>0</v>
      </c>
      <c r="BD29" s="155" t="str">
        <f t="shared" si="3"/>
        <v>0</v>
      </c>
      <c r="BE29" s="180">
        <f t="shared" si="4"/>
        <v>2</v>
      </c>
    </row>
    <row r="30" spans="1:57" ht="12" customHeight="1" x14ac:dyDescent="0.35">
      <c r="A30" s="183">
        <v>23</v>
      </c>
      <c r="B30" s="58" t="str">
        <f>'C. FILIACION'!B30</f>
        <v>VIDEA JHENDAVIEL PAOLA</v>
      </c>
      <c r="C30" s="48" t="s">
        <v>68</v>
      </c>
      <c r="D30" s="48" t="s">
        <v>68</v>
      </c>
      <c r="E30" s="48" t="s">
        <v>68</v>
      </c>
      <c r="F30" s="48" t="s">
        <v>68</v>
      </c>
      <c r="G30" s="48" t="s">
        <v>68</v>
      </c>
      <c r="H30" s="48" t="s">
        <v>68</v>
      </c>
      <c r="I30" s="48" t="s">
        <v>68</v>
      </c>
      <c r="J30" s="48" t="s">
        <v>68</v>
      </c>
      <c r="K30" s="48" t="s">
        <v>68</v>
      </c>
      <c r="L30" s="90" t="s">
        <v>68</v>
      </c>
      <c r="M30" s="48" t="s">
        <v>68</v>
      </c>
      <c r="N30" s="90" t="s">
        <v>68</v>
      </c>
      <c r="O30" s="90" t="s">
        <v>68</v>
      </c>
      <c r="P30" s="156" t="s">
        <v>68</v>
      </c>
      <c r="Q30" s="90" t="s">
        <v>68</v>
      </c>
      <c r="R30" s="90" t="s">
        <v>173</v>
      </c>
      <c r="S30" s="90" t="s">
        <v>68</v>
      </c>
      <c r="T30" s="90" t="s">
        <v>68</v>
      </c>
      <c r="U30" s="90" t="s">
        <v>68</v>
      </c>
      <c r="V30" s="90" t="s">
        <v>68</v>
      </c>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19</v>
      </c>
      <c r="BB30" s="48" t="str">
        <f t="shared" si="1"/>
        <v>0</v>
      </c>
      <c r="BC30" s="48">
        <f t="shared" si="2"/>
        <v>1</v>
      </c>
      <c r="BD30" s="48" t="str">
        <f t="shared" si="3"/>
        <v>0</v>
      </c>
      <c r="BE30" s="162">
        <f t="shared" si="4"/>
        <v>20</v>
      </c>
    </row>
    <row r="31" spans="1:57" ht="12" customHeight="1" x14ac:dyDescent="0.35">
      <c r="A31" s="185">
        <v>24</v>
      </c>
      <c r="B31" s="186" t="str">
        <f>'C. FILIACION'!B31</f>
        <v>MIRANDA LOPEZ KRISTEL DARLYN</v>
      </c>
      <c r="C31" s="187" t="s">
        <v>68</v>
      </c>
      <c r="D31" s="187" t="s">
        <v>69</v>
      </c>
      <c r="E31" s="187" t="s">
        <v>69</v>
      </c>
      <c r="F31" s="187" t="s">
        <v>69</v>
      </c>
      <c r="G31" s="187" t="s">
        <v>68</v>
      </c>
      <c r="H31" s="187" t="s">
        <v>68</v>
      </c>
      <c r="I31" s="187" t="s">
        <v>68</v>
      </c>
      <c r="J31" s="187" t="s">
        <v>68</v>
      </c>
      <c r="K31" s="187" t="s">
        <v>68</v>
      </c>
      <c r="L31" s="187" t="s">
        <v>68</v>
      </c>
      <c r="M31" s="187" t="s">
        <v>69</v>
      </c>
      <c r="N31" s="187" t="s">
        <v>68</v>
      </c>
      <c r="O31" s="187" t="s">
        <v>68</v>
      </c>
      <c r="P31" s="188" t="s">
        <v>68</v>
      </c>
      <c r="Q31" s="187" t="s">
        <v>69</v>
      </c>
      <c r="R31" s="187" t="s">
        <v>173</v>
      </c>
      <c r="S31" s="187" t="s">
        <v>173</v>
      </c>
      <c r="T31" s="187" t="s">
        <v>68</v>
      </c>
      <c r="U31" s="187" t="s">
        <v>69</v>
      </c>
      <c r="V31" s="187" t="s">
        <v>69</v>
      </c>
      <c r="W31" s="187"/>
      <c r="X31" s="187"/>
      <c r="Y31" s="187"/>
      <c r="Z31" s="187"/>
      <c r="AA31" s="187"/>
      <c r="AB31" s="187"/>
      <c r="AC31" s="187"/>
      <c r="AD31" s="187"/>
      <c r="AE31" s="187"/>
      <c r="AF31" s="187"/>
      <c r="AG31" s="187"/>
      <c r="AH31" s="187"/>
      <c r="AI31" s="187"/>
      <c r="AJ31" s="187"/>
      <c r="AK31" s="187"/>
      <c r="AL31" s="187"/>
      <c r="AM31" s="187"/>
      <c r="AN31" s="187"/>
      <c r="AO31" s="187"/>
      <c r="AP31" s="187"/>
      <c r="AQ31" s="187"/>
      <c r="AR31" s="187"/>
      <c r="AS31" s="187"/>
      <c r="AT31" s="187"/>
      <c r="AU31" s="187"/>
      <c r="AV31" s="187"/>
      <c r="AW31" s="187"/>
      <c r="AX31" s="187"/>
      <c r="AY31" s="187"/>
      <c r="AZ31" s="189"/>
      <c r="BA31" s="190">
        <f t="shared" si="0"/>
        <v>11</v>
      </c>
      <c r="BB31" s="187">
        <f t="shared" si="1"/>
        <v>7</v>
      </c>
      <c r="BC31" s="187">
        <f t="shared" si="2"/>
        <v>2</v>
      </c>
      <c r="BD31" s="187" t="str">
        <f t="shared" si="3"/>
        <v>0</v>
      </c>
      <c r="BE31" s="189">
        <f t="shared" si="4"/>
        <v>20</v>
      </c>
    </row>
    <row r="32" spans="1:57" ht="12" customHeight="1" x14ac:dyDescent="0.35">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32:BA43" si="5">IF(COUNTIF(C32:AZ32,"A")=0,"",COUNTIF(C32:AZ32,"A"))</f>
        <v/>
      </c>
      <c r="BB32" s="48" t="str">
        <f t="shared" ref="BB32:BB43" si="6">IF(COUNTIF(C32:AZ32,"F")=0,"",COUNTIF(C32:AZ32,"F"))</f>
        <v/>
      </c>
      <c r="BC32" s="48" t="str">
        <f t="shared" ref="BC32:BC43" si="7">IF(COUNTIF(C32:AZ32,"R")=0,"",COUNTIF(C32:AZ32,"R"))</f>
        <v/>
      </c>
      <c r="BD32" s="48" t="str">
        <f t="shared" ref="BD32:BD43" si="8">IF(COUNTIF(C32:AZ32,"L")=0,"",COUNTIF(C32:AZ32,"L"))</f>
        <v/>
      </c>
      <c r="BE32" s="62" t="str">
        <f t="shared" ref="BE32:BE43" si="9">IF(COUNTIF(C32:AZ32,"L")=0,"",COUNTIF(C32:AZ32,"L"))</f>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5"/>
        <v/>
      </c>
      <c r="BB33" s="48" t="str">
        <f t="shared" si="6"/>
        <v/>
      </c>
      <c r="BC33" s="48" t="str">
        <f t="shared" si="7"/>
        <v/>
      </c>
      <c r="BD33" s="48" t="str">
        <f t="shared" si="8"/>
        <v/>
      </c>
      <c r="BE33" s="62" t="str">
        <f t="shared" si="9"/>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5"/>
        <v/>
      </c>
      <c r="BB34" s="48" t="str">
        <f t="shared" si="6"/>
        <v/>
      </c>
      <c r="BC34" s="48" t="str">
        <f t="shared" si="7"/>
        <v/>
      </c>
      <c r="BD34" s="48" t="str">
        <f t="shared" si="8"/>
        <v/>
      </c>
      <c r="BE34" s="62" t="str">
        <f t="shared" si="9"/>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5"/>
        <v/>
      </c>
      <c r="BB35" s="48" t="str">
        <f t="shared" si="6"/>
        <v/>
      </c>
      <c r="BC35" s="48" t="str">
        <f t="shared" si="7"/>
        <v/>
      </c>
      <c r="BD35" s="48" t="str">
        <f t="shared" si="8"/>
        <v/>
      </c>
      <c r="BE35" s="62" t="str">
        <f t="shared" si="9"/>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5"/>
        <v/>
      </c>
      <c r="BB36" s="48" t="str">
        <f t="shared" si="6"/>
        <v/>
      </c>
      <c r="BC36" s="48" t="str">
        <f t="shared" si="7"/>
        <v/>
      </c>
      <c r="BD36" s="48" t="str">
        <f t="shared" si="8"/>
        <v/>
      </c>
      <c r="BE36" s="62" t="str">
        <f t="shared" si="9"/>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5"/>
        <v/>
      </c>
      <c r="BB37" s="48" t="str">
        <f t="shared" si="6"/>
        <v/>
      </c>
      <c r="BC37" s="48" t="str">
        <f t="shared" si="7"/>
        <v/>
      </c>
      <c r="BD37" s="48" t="str">
        <f t="shared" si="8"/>
        <v/>
      </c>
      <c r="BE37" s="62" t="str">
        <f t="shared" si="9"/>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5"/>
        <v/>
      </c>
      <c r="BB38" s="48" t="str">
        <f t="shared" si="6"/>
        <v/>
      </c>
      <c r="BC38" s="48" t="str">
        <f t="shared" si="7"/>
        <v/>
      </c>
      <c r="BD38" s="48" t="str">
        <f t="shared" si="8"/>
        <v/>
      </c>
      <c r="BE38" s="62" t="str">
        <f t="shared" si="9"/>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5"/>
        <v/>
      </c>
      <c r="BB39" s="48" t="str">
        <f t="shared" si="6"/>
        <v/>
      </c>
      <c r="BC39" s="48" t="str">
        <f t="shared" si="7"/>
        <v/>
      </c>
      <c r="BD39" s="48" t="str">
        <f t="shared" si="8"/>
        <v/>
      </c>
      <c r="BE39" s="62" t="str">
        <f t="shared" si="9"/>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5"/>
        <v/>
      </c>
      <c r="BB40" s="48" t="str">
        <f t="shared" si="6"/>
        <v/>
      </c>
      <c r="BC40" s="48" t="str">
        <f t="shared" si="7"/>
        <v/>
      </c>
      <c r="BD40" s="48" t="str">
        <f t="shared" si="8"/>
        <v/>
      </c>
      <c r="BE40" s="62" t="str">
        <f t="shared" si="9"/>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5"/>
        <v/>
      </c>
      <c r="BB41" s="48" t="str">
        <f t="shared" si="6"/>
        <v/>
      </c>
      <c r="BC41" s="48" t="str">
        <f t="shared" si="7"/>
        <v/>
      </c>
      <c r="BD41" s="48" t="str">
        <f t="shared" si="8"/>
        <v/>
      </c>
      <c r="BE41" s="62" t="str">
        <f t="shared" si="9"/>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5"/>
        <v/>
      </c>
      <c r="BB42" s="48" t="str">
        <f t="shared" si="6"/>
        <v/>
      </c>
      <c r="BC42" s="48" t="str">
        <f t="shared" si="7"/>
        <v/>
      </c>
      <c r="BD42" s="48" t="str">
        <f t="shared" si="8"/>
        <v/>
      </c>
      <c r="BE42" s="62" t="str">
        <f t="shared" si="9"/>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5"/>
        <v/>
      </c>
      <c r="BB43" s="48" t="str">
        <f t="shared" si="6"/>
        <v/>
      </c>
      <c r="BC43" s="48" t="str">
        <f t="shared" si="7"/>
        <v/>
      </c>
      <c r="BD43" s="48" t="str">
        <f t="shared" si="8"/>
        <v/>
      </c>
      <c r="BE43" s="62" t="str">
        <f t="shared" si="9"/>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B2CA-3655-42FB-A132-A0A866A6B956}">
  <sheetPr>
    <tabColor rgb="FFC00000"/>
    <pageSetUpPr fitToPage="1"/>
  </sheetPr>
  <dimension ref="A1:BP36"/>
  <sheetViews>
    <sheetView tabSelected="1" topLeftCell="E1" zoomScale="115" zoomScaleNormal="115" workbookViewId="0">
      <selection activeCell="AB35" sqref="A1:AB35"/>
    </sheetView>
  </sheetViews>
  <sheetFormatPr baseColWidth="10" defaultRowHeight="20.399999999999999" x14ac:dyDescent="0.35"/>
  <cols>
    <col min="1" max="11" width="2.265625" customWidth="1"/>
    <col min="12" max="12" width="2.796875" customWidth="1"/>
    <col min="13" max="13" width="2.265625" customWidth="1"/>
    <col min="14" max="14" width="2.33203125" customWidth="1"/>
    <col min="15" max="26" width="2.265625" customWidth="1"/>
    <col min="27" max="27" width="10.46484375" customWidth="1"/>
    <col min="28" max="28" width="7.3984375" customWidth="1"/>
    <col min="29" max="29" width="2" customWidth="1"/>
    <col min="30" max="30" width="3.06640625" customWidth="1"/>
    <col min="31" max="68" width="1.59765625" customWidth="1"/>
  </cols>
  <sheetData>
    <row r="1" spans="1:68" ht="10.5"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row>
    <row r="2" spans="1:68" ht="20.25" customHeight="1" x14ac:dyDescent="0.35">
      <c r="A2" s="236" t="s">
        <v>188</v>
      </c>
      <c r="B2" s="236"/>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row>
    <row r="3" spans="1:68" ht="8.25" customHeight="1" x14ac:dyDescent="0.35">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row>
    <row r="4" spans="1:68" ht="15.9" hidden="1" customHeight="1" x14ac:dyDescent="0.35">
      <c r="A4" s="237" t="s">
        <v>189</v>
      </c>
      <c r="B4" s="237"/>
      <c r="C4" s="237"/>
      <c r="D4" s="237"/>
      <c r="E4" s="237"/>
      <c r="F4" s="238" t="str">
        <f>[1]CARÁTULA!C25</f>
        <v>Tecnica Tecnologica (Programacion)</v>
      </c>
      <c r="G4" s="238"/>
      <c r="H4" s="238"/>
      <c r="I4" s="238"/>
      <c r="J4" s="238"/>
      <c r="K4" s="238"/>
      <c r="L4" s="238"/>
      <c r="M4" s="238"/>
      <c r="N4" s="238"/>
      <c r="O4" s="239" t="s">
        <v>190</v>
      </c>
      <c r="P4" s="239"/>
      <c r="Q4" s="239"/>
      <c r="R4" s="240" t="str">
        <f>CARÁTULA!C23</f>
        <v>5to de Secundaria</v>
      </c>
      <c r="S4" s="241"/>
      <c r="T4" s="241"/>
      <c r="U4" s="241"/>
      <c r="V4" s="241"/>
      <c r="W4" s="241"/>
      <c r="X4" s="241"/>
      <c r="Y4" s="241"/>
      <c r="Z4" s="242"/>
      <c r="AA4" s="322" t="s">
        <v>191</v>
      </c>
      <c r="AB4" s="256" t="s">
        <v>263</v>
      </c>
    </row>
    <row r="5" spans="1:68" ht="15.9" customHeight="1" x14ac:dyDescent="0.35">
      <c r="A5" s="237" t="s">
        <v>192</v>
      </c>
      <c r="B5" s="237"/>
      <c r="C5" s="237"/>
      <c r="D5" s="237"/>
      <c r="E5" s="237"/>
      <c r="F5" s="243" t="s">
        <v>202</v>
      </c>
      <c r="G5" s="243"/>
      <c r="H5" s="243"/>
      <c r="I5" s="243"/>
      <c r="J5" s="243"/>
      <c r="K5" s="243"/>
      <c r="L5" s="243"/>
      <c r="M5" s="243"/>
      <c r="N5" s="243"/>
      <c r="O5" s="243"/>
      <c r="P5" s="243"/>
      <c r="Q5" s="243"/>
      <c r="R5" s="243"/>
      <c r="S5" s="243"/>
      <c r="T5" s="243"/>
      <c r="U5" s="243"/>
      <c r="V5" s="243"/>
      <c r="W5" s="243"/>
      <c r="X5" s="243"/>
      <c r="Y5" s="243"/>
      <c r="Z5" s="243"/>
      <c r="AA5" s="322"/>
      <c r="AB5" s="256"/>
    </row>
    <row r="6" spans="1:68" ht="15.9" customHeight="1" x14ac:dyDescent="0.35">
      <c r="A6" s="237" t="s">
        <v>194</v>
      </c>
      <c r="B6" s="237"/>
      <c r="C6" s="237"/>
      <c r="D6" s="237"/>
      <c r="E6" s="237"/>
      <c r="F6" s="253" t="s">
        <v>195</v>
      </c>
      <c r="G6" s="254"/>
      <c r="H6" s="254"/>
      <c r="I6" s="254"/>
      <c r="J6" s="254"/>
      <c r="K6" s="254"/>
      <c r="L6" s="254"/>
      <c r="M6" s="254"/>
      <c r="N6" s="254"/>
      <c r="O6" s="254"/>
      <c r="P6" s="254"/>
      <c r="Q6" s="254"/>
      <c r="R6" s="254"/>
      <c r="S6" s="254"/>
      <c r="T6" s="254"/>
      <c r="U6" s="254"/>
      <c r="V6" s="254"/>
      <c r="W6" s="254"/>
      <c r="X6" s="254"/>
      <c r="Y6" s="254"/>
      <c r="Z6" s="255"/>
      <c r="AA6" s="193" t="s">
        <v>193</v>
      </c>
      <c r="AB6" s="194" t="s">
        <v>253</v>
      </c>
    </row>
    <row r="7" spans="1:68" ht="7.5" customHeight="1" x14ac:dyDescent="0.35">
      <c r="A7" s="177"/>
      <c r="B7" s="177"/>
      <c r="C7" s="177"/>
      <c r="D7" s="177"/>
      <c r="E7" s="177"/>
      <c r="F7" s="177"/>
      <c r="G7" s="177"/>
      <c r="H7" s="177"/>
      <c r="I7" s="177"/>
      <c r="J7" s="177"/>
      <c r="K7" s="177"/>
      <c r="L7" s="177"/>
      <c r="M7" s="177"/>
      <c r="N7" s="177"/>
      <c r="O7" s="177"/>
      <c r="P7" s="177"/>
      <c r="Q7" s="177"/>
      <c r="R7" s="177"/>
      <c r="S7" s="177"/>
      <c r="T7" s="177"/>
      <c r="U7" s="177"/>
      <c r="V7" s="177"/>
      <c r="W7" s="177"/>
      <c r="X7" s="177"/>
      <c r="Y7" s="177"/>
      <c r="Z7" s="177"/>
      <c r="AA7" s="177"/>
      <c r="AB7" s="192"/>
    </row>
    <row r="8" spans="1:68" ht="15.9" customHeight="1" x14ac:dyDescent="0.35">
      <c r="A8" s="257" t="s">
        <v>196</v>
      </c>
      <c r="B8" s="257"/>
      <c r="C8" s="257"/>
      <c r="D8" s="257"/>
      <c r="E8" s="257"/>
      <c r="F8" s="257"/>
      <c r="G8" s="257"/>
      <c r="H8" s="257"/>
      <c r="I8" s="257"/>
      <c r="J8" s="257"/>
      <c r="K8" s="257"/>
      <c r="L8" s="257"/>
      <c r="M8" s="257"/>
      <c r="N8" s="257"/>
      <c r="O8" s="257"/>
      <c r="P8" s="257"/>
      <c r="Q8" s="257"/>
      <c r="R8" s="257"/>
      <c r="S8" s="257"/>
      <c r="T8" s="257"/>
      <c r="U8" s="257"/>
      <c r="V8" s="257"/>
      <c r="W8" s="257"/>
      <c r="X8" s="257"/>
      <c r="Y8" s="257"/>
      <c r="Z8" s="257"/>
      <c r="AA8" s="257"/>
      <c r="AB8" s="257"/>
    </row>
    <row r="9" spans="1:68" ht="4.5" customHeight="1" x14ac:dyDescent="0.35">
      <c r="A9" s="177"/>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s="177"/>
      <c r="AB9" s="177"/>
    </row>
    <row r="10" spans="1:68" ht="70.5" customHeight="1" x14ac:dyDescent="0.35">
      <c r="A10" s="177"/>
      <c r="B10" s="178" t="str">
        <f>Tabla1[[#Headers],[10/5/2021]]</f>
        <v>10/5/2021</v>
      </c>
      <c r="C10" s="178" t="str">
        <f>Tabla1[[#Headers],[12/5/2021]]</f>
        <v>12/5/2021</v>
      </c>
      <c r="D10" s="178" t="str">
        <f>Tabla1[[#Headers],[17/5/2021]]</f>
        <v>17/5/2021</v>
      </c>
      <c r="E10" s="178" t="str">
        <f>Tabla1[[#Headers],[19/5/2021]]</f>
        <v>19/5/2021</v>
      </c>
      <c r="F10" s="178" t="str">
        <f>Tabla1[[#Headers],[24/5/2021]]</f>
        <v>24/5/2021</v>
      </c>
      <c r="G10" s="178" t="str">
        <f>Tabla1[[#Headers],[26/5/2021]]</f>
        <v>26/5/2021</v>
      </c>
      <c r="H10" s="178" t="str">
        <f>Tabla1[[#Headers],[31/5/2021]]</f>
        <v>31/5/2021</v>
      </c>
      <c r="I10" s="178" t="str">
        <f>Tabla1[[#Headers],[28/6/2021]]</f>
        <v>28/6/2021</v>
      </c>
      <c r="J10" s="178" t="str">
        <f>Tabla1[[#Headers],[30/6/2021]]</f>
        <v>30/6/2021</v>
      </c>
      <c r="K10" s="178" t="str">
        <f>Tabla1[[#Headers],[5/7/2021]]</f>
        <v>5/7/2021</v>
      </c>
      <c r="L10" s="178" t="str">
        <f>Tabla1[[#Headers],[7/7/2021]]</f>
        <v>7/7/2021</v>
      </c>
      <c r="M10" s="178" t="str">
        <f>Tabla1[[#Headers],[12/7/2021]]</f>
        <v>12/7/2021</v>
      </c>
      <c r="N10" s="178" t="str">
        <f>Tabla1[[#Headers],[14/7/2021]]</f>
        <v>14/7/2021</v>
      </c>
      <c r="O10" s="178" t="str">
        <f>Tabla1[[#Headers],[19/7/2021]]</f>
        <v>19/7/2021</v>
      </c>
      <c r="P10" s="178" t="str">
        <f>Tabla1[[#Headers],[26/7/2021]]</f>
        <v>26/7/2021</v>
      </c>
      <c r="Q10" s="178" t="str">
        <f>Tabla1[[#Headers],[28/7/2021]]</f>
        <v>28/7/2021</v>
      </c>
      <c r="R10" s="178" t="str">
        <f>Tabla1[[#Headers],[2/8/2021]]</f>
        <v>2/8/2021</v>
      </c>
      <c r="S10" s="178" t="str">
        <f>Tabla1[[#Headers],[4/8/2021]]</f>
        <v>4/8/2021</v>
      </c>
      <c r="T10" s="178" t="str">
        <f>Tabla1[[#Headers],[9/8/2021]]</f>
        <v>9/8/2021</v>
      </c>
      <c r="U10" s="178" t="str">
        <f>Tabla1[[#Headers],[11/8/2021]]</f>
        <v>11/8/2021</v>
      </c>
      <c r="V10" s="312" t="str">
        <f>'[1]ASIS 2 TRIM'!BA7</f>
        <v>Asist. (A)</v>
      </c>
      <c r="W10" s="312" t="str">
        <f>'[1]ASIS 2 TRIM'!BB7</f>
        <v>Faltas (F)</v>
      </c>
      <c r="X10" s="312" t="str">
        <f>'[1]ASIS 2 TRIM'!BC7</f>
        <v>Retrasos (R)</v>
      </c>
      <c r="Y10" s="312" t="str">
        <f>'[1]ASIS 2 TRIM'!BD7</f>
        <v>Licencias (L)</v>
      </c>
      <c r="Z10" s="313" t="str">
        <f>'[1]ASIS 2 TRIM'!BE7</f>
        <v>DÍAS TRABAJADOS</v>
      </c>
      <c r="AA10" s="177"/>
      <c r="AB10" s="177"/>
    </row>
    <row r="11" spans="1:68" ht="12.75" customHeight="1" x14ac:dyDescent="0.35">
      <c r="A11" s="177"/>
      <c r="B11" s="179" t="str">
        <f>VLOOKUP($F$5,Tabla1[[NÓMINA DE ESTUDIANTES]:[DÍAS TRABAJADOS]],1+AE11,FALSE)</f>
        <v>a</v>
      </c>
      <c r="C11" s="179" t="str">
        <f>VLOOKUP($F$5,Tabla1[[NÓMINA DE ESTUDIANTES]:[DÍAS TRABAJADOS]],1+AF11,FALSE)</f>
        <v>f</v>
      </c>
      <c r="D11" s="179" t="str">
        <f>VLOOKUP($F$5,Tabla1[[NÓMINA DE ESTUDIANTES]:[DÍAS TRABAJADOS]],1+AG11,FALSE)</f>
        <v>f</v>
      </c>
      <c r="E11" s="179" t="str">
        <f>VLOOKUP($F$5,Tabla1[[NÓMINA DE ESTUDIANTES]:[DÍAS TRABAJADOS]],1+AH11,FALSE)</f>
        <v>f</v>
      </c>
      <c r="F11" s="179" t="str">
        <f>VLOOKUP($F$5,Tabla1[[NÓMINA DE ESTUDIANTES]:[DÍAS TRABAJADOS]],1+AI11,FALSE)</f>
        <v>a</v>
      </c>
      <c r="G11" s="179" t="str">
        <f>VLOOKUP($F$5,Tabla1[[NÓMINA DE ESTUDIANTES]:[DÍAS TRABAJADOS]],1+AJ11,FALSE)</f>
        <v>a</v>
      </c>
      <c r="H11" s="179" t="str">
        <f>VLOOKUP($F$5,Tabla1[[NÓMINA DE ESTUDIANTES]:[DÍAS TRABAJADOS]],1+AK11,FALSE)</f>
        <v>a</v>
      </c>
      <c r="I11" s="179" t="str">
        <f>VLOOKUP($F$5,Tabla1[[NÓMINA DE ESTUDIANTES]:[DÍAS TRABAJADOS]],1+AL11,FALSE)</f>
        <v>a</v>
      </c>
      <c r="J11" s="179" t="str">
        <f>VLOOKUP($F$5,Tabla1[[NÓMINA DE ESTUDIANTES]:[DÍAS TRABAJADOS]],1+AM11,FALSE)</f>
        <v>a</v>
      </c>
      <c r="K11" s="179" t="str">
        <f>VLOOKUP($F$5,Tabla1[[NÓMINA DE ESTUDIANTES]:[DÍAS TRABAJADOS]],1+AN11,FALSE)</f>
        <v>a</v>
      </c>
      <c r="L11" s="179" t="str">
        <f>VLOOKUP($F$5,Tabla1[[NÓMINA DE ESTUDIANTES]:[DÍAS TRABAJADOS]],1+AO11,FALSE)</f>
        <v>f</v>
      </c>
      <c r="M11" s="179" t="str">
        <f>VLOOKUP($F$5,Tabla1[[NÓMINA DE ESTUDIANTES]:[DÍAS TRABAJADOS]],1+AP11,FALSE)</f>
        <v>a</v>
      </c>
      <c r="N11" s="179" t="str">
        <f>VLOOKUP($F$5,Tabla1[[NÓMINA DE ESTUDIANTES]:[DÍAS TRABAJADOS]],1+AQ11,FALSE)</f>
        <v>a</v>
      </c>
      <c r="O11" s="179" t="str">
        <f>VLOOKUP($F$5,Tabla1[[NÓMINA DE ESTUDIANTES]:[DÍAS TRABAJADOS]],1+AR11,FALSE)</f>
        <v>a</v>
      </c>
      <c r="P11" s="179" t="str">
        <f>VLOOKUP($F$5,Tabla1[[NÓMINA DE ESTUDIANTES]:[DÍAS TRABAJADOS]],1+AS11,FALSE)</f>
        <v>f</v>
      </c>
      <c r="Q11" s="179" t="str">
        <f>VLOOKUP($F$5,Tabla1[[NÓMINA DE ESTUDIANTES]:[DÍAS TRABAJADOS]],1+AT11,FALSE)</f>
        <v>r</v>
      </c>
      <c r="R11" s="179" t="str">
        <f>VLOOKUP($F$5,Tabla1[[NÓMINA DE ESTUDIANTES]:[DÍAS TRABAJADOS]],1+AU11,FALSE)</f>
        <v>r</v>
      </c>
      <c r="S11" s="179" t="str">
        <f>VLOOKUP($F$5,Tabla1[[NÓMINA DE ESTUDIANTES]:[DÍAS TRABAJADOS]],1+AV11,FALSE)</f>
        <v>a</v>
      </c>
      <c r="T11" s="179" t="str">
        <f>VLOOKUP($F$5,Tabla1[[NÓMINA DE ESTUDIANTES]:[DÍAS TRABAJADOS]],1+AW11,FALSE)</f>
        <v>f</v>
      </c>
      <c r="U11" s="179" t="str">
        <f>VLOOKUP($F$5,Tabla1[[NÓMINA DE ESTUDIANTES]:[DÍAS TRABAJADOS]],1+AX11,FALSE)</f>
        <v>f</v>
      </c>
      <c r="V11" s="201">
        <f>VLOOKUP($F$5,Tabla1[[NÓMINA DE ESTUDIANTES]:[DÍAS TRABAJADOS]],51+AE11,FALSE)</f>
        <v>11</v>
      </c>
      <c r="W11" s="201">
        <f>VLOOKUP($F$5,Tabla1[[NÓMINA DE ESTUDIANTES]:[DÍAS TRABAJADOS]],51+AF11,FALSE)</f>
        <v>7</v>
      </c>
      <c r="X11" s="201">
        <f>VLOOKUP($F$5,Tabla1[[NÓMINA DE ESTUDIANTES]:[DÍAS TRABAJADOS]],51+AG11,FALSE)</f>
        <v>2</v>
      </c>
      <c r="Y11" s="201" t="str">
        <f>VLOOKUP($F$5,Tabla1[[NÓMINA DE ESTUDIANTES]:[DÍAS TRABAJADOS]],51+AH11,FALSE)</f>
        <v>0</v>
      </c>
      <c r="Z11" s="201">
        <f>VLOOKUP($F$5,Tabla1[[NÓMINA DE ESTUDIANTES]:[DÍAS TRABAJADOS]],51+AI11,FALSE)</f>
        <v>20</v>
      </c>
      <c r="AA11" s="177"/>
      <c r="AB11" s="177"/>
      <c r="AE11" s="191">
        <v>1</v>
      </c>
      <c r="AF11" s="191">
        <f>AE11+1</f>
        <v>2</v>
      </c>
      <c r="AG11" s="191">
        <f t="shared" ref="AG11:BP11" si="0">AF11+1</f>
        <v>3</v>
      </c>
      <c r="AH11" s="191">
        <f t="shared" si="0"/>
        <v>4</v>
      </c>
      <c r="AI11" s="191">
        <f t="shared" si="0"/>
        <v>5</v>
      </c>
      <c r="AJ11" s="191">
        <f t="shared" si="0"/>
        <v>6</v>
      </c>
      <c r="AK11" s="191">
        <f t="shared" si="0"/>
        <v>7</v>
      </c>
      <c r="AL11" s="191">
        <f t="shared" si="0"/>
        <v>8</v>
      </c>
      <c r="AM11" s="191">
        <f t="shared" si="0"/>
        <v>9</v>
      </c>
      <c r="AN11" s="191">
        <f t="shared" si="0"/>
        <v>10</v>
      </c>
      <c r="AO11" s="191">
        <f t="shared" si="0"/>
        <v>11</v>
      </c>
      <c r="AP11" s="191">
        <f t="shared" si="0"/>
        <v>12</v>
      </c>
      <c r="AQ11" s="191">
        <f t="shared" si="0"/>
        <v>13</v>
      </c>
      <c r="AR11" s="191">
        <f t="shared" si="0"/>
        <v>14</v>
      </c>
      <c r="AS11" s="191">
        <f t="shared" si="0"/>
        <v>15</v>
      </c>
      <c r="AT11" s="191">
        <f t="shared" si="0"/>
        <v>16</v>
      </c>
      <c r="AU11" s="191">
        <f t="shared" si="0"/>
        <v>17</v>
      </c>
      <c r="AV11" s="191">
        <f t="shared" si="0"/>
        <v>18</v>
      </c>
      <c r="AW11" s="191">
        <f t="shared" si="0"/>
        <v>19</v>
      </c>
      <c r="AX11" s="191">
        <f t="shared" si="0"/>
        <v>20</v>
      </c>
      <c r="AY11" s="191">
        <f t="shared" si="0"/>
        <v>21</v>
      </c>
      <c r="AZ11" s="191">
        <f t="shared" si="0"/>
        <v>22</v>
      </c>
      <c r="BA11" s="191">
        <f t="shared" si="0"/>
        <v>23</v>
      </c>
      <c r="BB11" s="191">
        <f t="shared" si="0"/>
        <v>24</v>
      </c>
      <c r="BC11" s="191">
        <f t="shared" si="0"/>
        <v>25</v>
      </c>
      <c r="BD11" s="191">
        <f t="shared" si="0"/>
        <v>26</v>
      </c>
      <c r="BE11" s="191">
        <f t="shared" si="0"/>
        <v>27</v>
      </c>
      <c r="BF11" s="191">
        <f t="shared" si="0"/>
        <v>28</v>
      </c>
      <c r="BG11" s="191">
        <f t="shared" si="0"/>
        <v>29</v>
      </c>
      <c r="BH11" s="191">
        <f t="shared" si="0"/>
        <v>30</v>
      </c>
      <c r="BI11" s="191">
        <f t="shared" si="0"/>
        <v>31</v>
      </c>
      <c r="BJ11" s="191">
        <f t="shared" si="0"/>
        <v>32</v>
      </c>
      <c r="BK11" s="191">
        <f t="shared" si="0"/>
        <v>33</v>
      </c>
      <c r="BL11" s="191">
        <f t="shared" si="0"/>
        <v>34</v>
      </c>
      <c r="BM11" s="191">
        <f t="shared" si="0"/>
        <v>35</v>
      </c>
      <c r="BN11" s="191">
        <f t="shared" si="0"/>
        <v>36</v>
      </c>
      <c r="BO11" s="191">
        <f t="shared" si="0"/>
        <v>37</v>
      </c>
      <c r="BP11" s="191">
        <f t="shared" si="0"/>
        <v>38</v>
      </c>
    </row>
    <row r="12" spans="1:68" ht="6" customHeight="1" x14ac:dyDescent="0.35">
      <c r="A12" s="177"/>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7"/>
    </row>
    <row r="13" spans="1:68" ht="15" customHeight="1" x14ac:dyDescent="0.35">
      <c r="A13" s="235" t="s">
        <v>197</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row>
    <row r="14" spans="1:68" ht="15" customHeight="1" x14ac:dyDescent="0.35">
      <c r="A14" s="235" t="s">
        <v>198</v>
      </c>
      <c r="B14" s="235"/>
      <c r="C14" s="235"/>
      <c r="D14" s="235"/>
      <c r="E14" s="235"/>
      <c r="F14" s="235"/>
      <c r="G14" s="235"/>
      <c r="H14" s="235"/>
      <c r="I14" s="235" t="s">
        <v>199</v>
      </c>
      <c r="J14" s="235"/>
      <c r="K14" s="235" t="s">
        <v>200</v>
      </c>
      <c r="L14" s="235"/>
      <c r="M14" s="235"/>
      <c r="N14" s="235"/>
      <c r="O14" s="235"/>
      <c r="P14" s="235"/>
      <c r="Q14" s="235"/>
      <c r="R14" s="235"/>
      <c r="S14" s="235"/>
      <c r="T14" s="235"/>
      <c r="U14" s="235"/>
      <c r="V14" s="235"/>
      <c r="W14" s="235"/>
      <c r="X14" s="235"/>
      <c r="Y14" s="235"/>
      <c r="Z14" s="235"/>
      <c r="AA14" s="235"/>
      <c r="AB14" s="235"/>
    </row>
    <row r="15" spans="1:68" ht="15" customHeight="1" x14ac:dyDescent="0.35">
      <c r="A15" s="318" t="str">
        <f>'VAL 2 TRIM'!D$8</f>
        <v>24/5/2021(List Estudiante clase)</v>
      </c>
      <c r="B15" s="318"/>
      <c r="C15" s="318"/>
      <c r="D15" s="318"/>
      <c r="E15" s="318"/>
      <c r="F15" s="318"/>
      <c r="G15" s="318"/>
      <c r="H15" s="318"/>
      <c r="I15" s="248">
        <f>VLOOKUP($F$5,'VAL 2 TRIM'!$B$9:$Z$32,3,FALSE)</f>
        <v>0</v>
      </c>
      <c r="J15" s="248"/>
      <c r="K15" s="319" t="s">
        <v>258</v>
      </c>
      <c r="L15" s="243"/>
      <c r="M15" s="243"/>
      <c r="N15" s="243"/>
      <c r="O15" s="243"/>
      <c r="P15" s="243"/>
      <c r="Q15" s="243"/>
      <c r="R15" s="243"/>
      <c r="S15" s="243"/>
      <c r="T15" s="243"/>
      <c r="U15" s="243"/>
      <c r="V15" s="243"/>
      <c r="W15" s="243"/>
      <c r="X15" s="243"/>
      <c r="Y15" s="243"/>
      <c r="Z15" s="243"/>
      <c r="AA15" s="243"/>
      <c r="AB15" s="243"/>
      <c r="AC15" s="198">
        <f>IF(I15=0,1,0)</f>
        <v>1</v>
      </c>
      <c r="AD15" s="196">
        <v>1</v>
      </c>
      <c r="AE15" s="196"/>
    </row>
    <row r="16" spans="1:68" ht="15" customHeight="1" x14ac:dyDescent="0.35">
      <c r="A16" s="318" t="str">
        <f>'VAL 2 TRIM'!E$8</f>
        <v>28/6/2021(Repaso)</v>
      </c>
      <c r="B16" s="318"/>
      <c r="C16" s="318"/>
      <c r="D16" s="318"/>
      <c r="E16" s="318"/>
      <c r="F16" s="318"/>
      <c r="G16" s="318"/>
      <c r="H16" s="318"/>
      <c r="I16" s="248">
        <f>VLOOKUP($F$5,'VAL 2 TRIM'!$B$9:$Z$32,4,FALSE)</f>
        <v>0</v>
      </c>
      <c r="J16" s="248"/>
      <c r="K16" s="249" t="s">
        <v>259</v>
      </c>
      <c r="L16" s="250"/>
      <c r="M16" s="250"/>
      <c r="N16" s="250"/>
      <c r="O16" s="250"/>
      <c r="P16" s="250"/>
      <c r="Q16" s="250"/>
      <c r="R16" s="250"/>
      <c r="S16" s="250"/>
      <c r="T16" s="250"/>
      <c r="U16" s="250"/>
      <c r="V16" s="250"/>
      <c r="W16" s="250"/>
      <c r="X16" s="250"/>
      <c r="Y16" s="250"/>
      <c r="Z16" s="250"/>
      <c r="AA16" s="250"/>
      <c r="AB16" s="250"/>
      <c r="AC16" s="198">
        <f t="shared" ref="AC16:AC18" si="1">IF(I16=0,1,0)</f>
        <v>1</v>
      </c>
      <c r="AD16" s="196">
        <v>1</v>
      </c>
      <c r="AE16" s="196"/>
    </row>
    <row r="17" spans="1:31" s="161" customFormat="1" ht="15" customHeight="1" x14ac:dyDescent="0.35">
      <c r="A17" s="318" t="str">
        <f>'VAL 2 TRIM'!F$8</f>
        <v>14/72021 Elementos mayores Arrays</v>
      </c>
      <c r="B17" s="318"/>
      <c r="C17" s="318"/>
      <c r="D17" s="318"/>
      <c r="E17" s="318"/>
      <c r="F17" s="318"/>
      <c r="G17" s="318"/>
      <c r="H17" s="318"/>
      <c r="I17" s="248">
        <f>VLOOKUP($F$5,'VAL 2 TRIM'!$B$9:$Z$32,5,FALSE)</f>
        <v>0</v>
      </c>
      <c r="J17" s="248"/>
      <c r="K17" s="249" t="s">
        <v>260</v>
      </c>
      <c r="L17" s="316"/>
      <c r="M17" s="316"/>
      <c r="N17" s="316"/>
      <c r="O17" s="316"/>
      <c r="P17" s="316"/>
      <c r="Q17" s="316"/>
      <c r="R17" s="316"/>
      <c r="S17" s="316"/>
      <c r="T17" s="316"/>
      <c r="U17" s="316"/>
      <c r="V17" s="316"/>
      <c r="W17" s="316"/>
      <c r="X17" s="316"/>
      <c r="Y17" s="316"/>
      <c r="Z17" s="316"/>
      <c r="AA17" s="316"/>
      <c r="AB17" s="316"/>
      <c r="AC17" s="198">
        <f t="shared" si="1"/>
        <v>1</v>
      </c>
      <c r="AD17" s="196">
        <v>1</v>
      </c>
      <c r="AE17" s="195"/>
    </row>
    <row r="18" spans="1:31" s="161" customFormat="1" ht="15" customHeight="1" x14ac:dyDescent="0.35">
      <c r="A18" s="320" t="str">
        <f>'VAL 2 TRIM'!G$8</f>
        <v>26/7/2021 Primer parcial 2do trim</v>
      </c>
      <c r="B18" s="318"/>
      <c r="C18" s="318"/>
      <c r="D18" s="318"/>
      <c r="E18" s="318"/>
      <c r="F18" s="318"/>
      <c r="G18" s="318"/>
      <c r="H18" s="318"/>
      <c r="I18" s="248">
        <f>VLOOKUP($F$5,'VAL 2 TRIM'!$B$9:$Z$32,6,FALSE)</f>
        <v>0</v>
      </c>
      <c r="J18" s="248"/>
      <c r="K18" s="321"/>
      <c r="L18" s="321"/>
      <c r="M18" s="321"/>
      <c r="N18" s="321"/>
      <c r="O18" s="321"/>
      <c r="P18" s="321"/>
      <c r="Q18" s="321"/>
      <c r="R18" s="321"/>
      <c r="S18" s="321"/>
      <c r="T18" s="321"/>
      <c r="U18" s="321"/>
      <c r="V18" s="321"/>
      <c r="W18" s="321"/>
      <c r="X18" s="321"/>
      <c r="Y18" s="321"/>
      <c r="Z18" s="321"/>
      <c r="AA18" s="321"/>
      <c r="AB18" s="321"/>
      <c r="AC18" s="198">
        <f t="shared" si="1"/>
        <v>1</v>
      </c>
      <c r="AD18" s="196">
        <v>1</v>
      </c>
      <c r="AE18" s="195"/>
    </row>
    <row r="19" spans="1:31" ht="15" customHeight="1" x14ac:dyDescent="0.35">
      <c r="A19" s="244" t="s">
        <v>89</v>
      </c>
      <c r="B19" s="245"/>
      <c r="C19" s="245"/>
      <c r="D19" s="245"/>
      <c r="E19" s="245"/>
      <c r="F19" s="245"/>
      <c r="G19" s="245"/>
      <c r="H19" s="245"/>
      <c r="I19" s="252">
        <f>SUM(I15:J18)/4</f>
        <v>0</v>
      </c>
      <c r="J19" s="252"/>
      <c r="K19" s="248"/>
      <c r="L19" s="248"/>
      <c r="M19" s="248"/>
      <c r="N19" s="248"/>
      <c r="O19" s="248"/>
      <c r="P19" s="248"/>
      <c r="Q19" s="248"/>
      <c r="R19" s="248"/>
      <c r="S19" s="248"/>
      <c r="T19" s="248"/>
      <c r="U19" s="248"/>
      <c r="V19" s="248"/>
      <c r="W19" s="248"/>
      <c r="X19" s="248"/>
      <c r="Y19" s="248"/>
      <c r="Z19" s="248"/>
      <c r="AA19" s="248"/>
      <c r="AB19" s="248"/>
      <c r="AC19" s="198">
        <f>SUM(AC15:AC18)</f>
        <v>4</v>
      </c>
      <c r="AD19" s="195"/>
      <c r="AE19" s="195"/>
    </row>
    <row r="20" spans="1:31" ht="15" customHeight="1" x14ac:dyDescent="0.35">
      <c r="A20" s="177"/>
      <c r="B20" s="177"/>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7"/>
      <c r="AC20" s="198"/>
      <c r="AD20" s="195"/>
      <c r="AE20" s="195"/>
    </row>
    <row r="21" spans="1:31" ht="15" customHeight="1" x14ac:dyDescent="0.35">
      <c r="A21" s="235" t="s">
        <v>201</v>
      </c>
      <c r="B21" s="235"/>
      <c r="C21" s="235"/>
      <c r="D21" s="235"/>
      <c r="E21" s="235"/>
      <c r="F21" s="235"/>
      <c r="G21" s="235"/>
      <c r="H21" s="235"/>
      <c r="I21" s="235"/>
      <c r="J21" s="235"/>
      <c r="K21" s="235"/>
      <c r="L21" s="235"/>
      <c r="M21" s="235"/>
      <c r="N21" s="235"/>
      <c r="O21" s="235"/>
      <c r="P21" s="235"/>
      <c r="Q21" s="235"/>
      <c r="R21" s="235"/>
      <c r="S21" s="235"/>
      <c r="T21" s="235"/>
      <c r="U21" s="235"/>
      <c r="V21" s="235"/>
      <c r="W21" s="235"/>
      <c r="X21" s="235"/>
      <c r="Y21" s="235"/>
      <c r="Z21" s="235"/>
      <c r="AA21" s="235"/>
      <c r="AB21" s="235"/>
      <c r="AC21" s="198"/>
      <c r="AD21" s="195"/>
      <c r="AE21" s="195">
        <v>1</v>
      </c>
    </row>
    <row r="22" spans="1:31" ht="15" customHeight="1" x14ac:dyDescent="0.35">
      <c r="A22" s="235" t="s">
        <v>198</v>
      </c>
      <c r="B22" s="235"/>
      <c r="C22" s="235"/>
      <c r="D22" s="235"/>
      <c r="E22" s="235"/>
      <c r="F22" s="235"/>
      <c r="G22" s="235"/>
      <c r="H22" s="235"/>
      <c r="I22" s="235" t="s">
        <v>199</v>
      </c>
      <c r="J22" s="235"/>
      <c r="K22" s="235" t="s">
        <v>200</v>
      </c>
      <c r="L22" s="235"/>
      <c r="M22" s="235"/>
      <c r="N22" s="235"/>
      <c r="O22" s="235"/>
      <c r="P22" s="235"/>
      <c r="Q22" s="235"/>
      <c r="R22" s="235"/>
      <c r="S22" s="235"/>
      <c r="T22" s="235"/>
      <c r="U22" s="235"/>
      <c r="V22" s="235"/>
      <c r="W22" s="235"/>
      <c r="X22" s="235"/>
      <c r="Y22" s="235"/>
      <c r="Z22" s="235"/>
      <c r="AA22" s="235"/>
      <c r="AB22" s="235"/>
      <c r="AC22" s="198"/>
      <c r="AD22" s="195"/>
      <c r="AE22" s="195">
        <v>1</v>
      </c>
    </row>
    <row r="23" spans="1:31" ht="15" customHeight="1" x14ac:dyDescent="0.35">
      <c r="A23" s="245" t="str">
        <f>'VAL 2 TRIM'!P$8</f>
        <v>(17/05/2021)Investigar Constr,Destr de Clase</v>
      </c>
      <c r="B23" s="245"/>
      <c r="C23" s="245"/>
      <c r="D23" s="245"/>
      <c r="E23" s="245"/>
      <c r="F23" s="245"/>
      <c r="G23" s="245"/>
      <c r="H23" s="245"/>
      <c r="I23" s="248">
        <f>VLOOKUP($F$5,'VAL 2 TRIM'!$B$9:$Z$32,15,FALSE)</f>
        <v>0</v>
      </c>
      <c r="J23" s="248"/>
      <c r="K23" s="249" t="s">
        <v>261</v>
      </c>
      <c r="L23" s="250"/>
      <c r="M23" s="250"/>
      <c r="N23" s="250"/>
      <c r="O23" s="250"/>
      <c r="P23" s="250"/>
      <c r="Q23" s="250"/>
      <c r="R23" s="250"/>
      <c r="S23" s="250"/>
      <c r="T23" s="250"/>
      <c r="U23" s="250"/>
      <c r="V23" s="250"/>
      <c r="W23" s="250"/>
      <c r="X23" s="250"/>
      <c r="Y23" s="250"/>
      <c r="Z23" s="250"/>
      <c r="AA23" s="250"/>
      <c r="AB23" s="250"/>
      <c r="AC23" s="198">
        <f>IF(I23=0,1,0)</f>
        <v>1</v>
      </c>
      <c r="AD23" s="198">
        <v>1</v>
      </c>
      <c r="AE23" s="195">
        <v>1</v>
      </c>
    </row>
    <row r="24" spans="1:31" ht="15" customHeight="1" x14ac:dyDescent="0.35">
      <c r="A24" s="245" t="str">
        <f>'VAL 2 TRIM'!Q$8</f>
        <v>26/5/2021(reportes persona)</v>
      </c>
      <c r="B24" s="245"/>
      <c r="C24" s="245"/>
      <c r="D24" s="245"/>
      <c r="E24" s="245"/>
      <c r="F24" s="245"/>
      <c r="G24" s="245"/>
      <c r="H24" s="245"/>
      <c r="I24" s="248">
        <f>VLOOKUP($F$5,'VAL 2 TRIM'!$B$9:$Z$32,16,FALSE)</f>
        <v>0</v>
      </c>
      <c r="J24" s="248"/>
      <c r="K24" s="251" t="s">
        <v>262</v>
      </c>
      <c r="L24" s="243"/>
      <c r="M24" s="243"/>
      <c r="N24" s="243"/>
      <c r="O24" s="243"/>
      <c r="P24" s="243"/>
      <c r="Q24" s="243"/>
      <c r="R24" s="243"/>
      <c r="S24" s="243"/>
      <c r="T24" s="243"/>
      <c r="U24" s="243"/>
      <c r="V24" s="243"/>
      <c r="W24" s="243"/>
      <c r="X24" s="243"/>
      <c r="Y24" s="243"/>
      <c r="Z24" s="243"/>
      <c r="AA24" s="243"/>
      <c r="AB24" s="243"/>
      <c r="AC24" s="198">
        <f t="shared" ref="AC24:AC28" si="2">IF(I24=0,1,0)</f>
        <v>1</v>
      </c>
      <c r="AD24" s="198">
        <v>1</v>
      </c>
      <c r="AE24" s="195"/>
    </row>
    <row r="25" spans="1:31" ht="15" customHeight="1" x14ac:dyDescent="0.35">
      <c r="A25" s="245" t="str">
        <f>'VAL 2 TRIM'!R$8</f>
        <v>5/7/2021 (Array Modificacion de codigo)</v>
      </c>
      <c r="B25" s="245"/>
      <c r="C25" s="245"/>
      <c r="D25" s="245"/>
      <c r="E25" s="245"/>
      <c r="F25" s="245"/>
      <c r="G25" s="245"/>
      <c r="H25" s="245"/>
      <c r="I25" s="248">
        <f>VLOOKUP($F$5,'VAL 2 TRIM'!$B$9:$Z$32,17,FALSE)</f>
        <v>0</v>
      </c>
      <c r="J25" s="248"/>
      <c r="K25" s="249" t="s">
        <v>256</v>
      </c>
      <c r="L25" s="250"/>
      <c r="M25" s="250"/>
      <c r="N25" s="250"/>
      <c r="O25" s="250"/>
      <c r="P25" s="250"/>
      <c r="Q25" s="250"/>
      <c r="R25" s="250"/>
      <c r="S25" s="250"/>
      <c r="T25" s="250"/>
      <c r="U25" s="250"/>
      <c r="V25" s="250"/>
      <c r="W25" s="250"/>
      <c r="X25" s="250"/>
      <c r="Y25" s="250"/>
      <c r="Z25" s="250"/>
      <c r="AA25" s="250"/>
      <c r="AB25" s="250"/>
      <c r="AC25" s="198">
        <f t="shared" si="2"/>
        <v>1</v>
      </c>
      <c r="AD25" s="200">
        <v>1</v>
      </c>
      <c r="AE25" s="197">
        <f>SUM(AE15:AE23)</f>
        <v>3</v>
      </c>
    </row>
    <row r="26" spans="1:31" ht="15" customHeight="1" x14ac:dyDescent="0.35">
      <c r="A26" s="314" t="str">
        <f>'VAL 2 TRIM'!S$8</f>
        <v>12/7/2021(Ejercicio vectores)</v>
      </c>
      <c r="B26" s="245"/>
      <c r="C26" s="245"/>
      <c r="D26" s="245"/>
      <c r="E26" s="245"/>
      <c r="F26" s="245"/>
      <c r="G26" s="245"/>
      <c r="H26" s="245"/>
      <c r="I26" s="248">
        <f>VLOOKUP($F$5,'VAL 2 TRIM'!$B$9:$Z$32,18,FALSE)</f>
        <v>0</v>
      </c>
      <c r="J26" s="248"/>
      <c r="K26" s="251" t="s">
        <v>255</v>
      </c>
      <c r="L26" s="315"/>
      <c r="M26" s="315"/>
      <c r="N26" s="315"/>
      <c r="O26" s="315"/>
      <c r="P26" s="315"/>
      <c r="Q26" s="315"/>
      <c r="R26" s="315"/>
      <c r="S26" s="315"/>
      <c r="T26" s="315"/>
      <c r="U26" s="315"/>
      <c r="V26" s="315"/>
      <c r="W26" s="315"/>
      <c r="X26" s="315"/>
      <c r="Y26" s="315"/>
      <c r="Z26" s="315"/>
      <c r="AA26" s="315"/>
      <c r="AB26" s="315"/>
      <c r="AC26" s="198">
        <f t="shared" si="2"/>
        <v>1</v>
      </c>
      <c r="AD26" s="198">
        <v>1</v>
      </c>
      <c r="AE26" s="195"/>
    </row>
    <row r="27" spans="1:31" s="161" customFormat="1" ht="15" customHeight="1" x14ac:dyDescent="0.35">
      <c r="A27" s="245" t="str">
        <f>'VAL 2 TRIM'!T$8</f>
        <v>14/7/2021 (Ejercicio Matrices)</v>
      </c>
      <c r="B27" s="245"/>
      <c r="C27" s="245"/>
      <c r="D27" s="245"/>
      <c r="E27" s="245"/>
      <c r="F27" s="245"/>
      <c r="G27" s="245"/>
      <c r="H27" s="245"/>
      <c r="I27" s="248">
        <f>VLOOKUP($F$5,'VAL 2 TRIM'!$B$9:$Z$32,19,FALSE)</f>
        <v>0</v>
      </c>
      <c r="J27" s="248"/>
      <c r="K27" s="249" t="s">
        <v>254</v>
      </c>
      <c r="L27" s="316"/>
      <c r="M27" s="316"/>
      <c r="N27" s="316"/>
      <c r="O27" s="316"/>
      <c r="P27" s="316"/>
      <c r="Q27" s="316"/>
      <c r="R27" s="316"/>
      <c r="S27" s="316"/>
      <c r="T27" s="316"/>
      <c r="U27" s="316"/>
      <c r="V27" s="316"/>
      <c r="W27" s="316"/>
      <c r="X27" s="316"/>
      <c r="Y27" s="316"/>
      <c r="Z27" s="316"/>
      <c r="AA27" s="316"/>
      <c r="AB27" s="316"/>
      <c r="AC27" s="198">
        <f t="shared" si="2"/>
        <v>1</v>
      </c>
      <c r="AD27" s="199">
        <v>1</v>
      </c>
    </row>
    <row r="28" spans="1:31" s="161" customFormat="1" ht="15" customHeight="1" x14ac:dyDescent="0.35">
      <c r="A28" s="245" t="str">
        <f>'VAL 2 TRIM'!U$8</f>
        <v>21/7/2021 Ejercicios resueltos</v>
      </c>
      <c r="B28" s="245"/>
      <c r="C28" s="245"/>
      <c r="D28" s="245"/>
      <c r="E28" s="245"/>
      <c r="F28" s="245"/>
      <c r="G28" s="245"/>
      <c r="H28" s="245"/>
      <c r="I28" s="248">
        <f>VLOOKUP($F$5,'VAL 2 TRIM'!$B$9:$Z$32,20,FALSE)</f>
        <v>0</v>
      </c>
      <c r="J28" s="248"/>
      <c r="K28" s="251" t="s">
        <v>257</v>
      </c>
      <c r="L28" s="315"/>
      <c r="M28" s="315"/>
      <c r="N28" s="315"/>
      <c r="O28" s="315"/>
      <c r="P28" s="315"/>
      <c r="Q28" s="315"/>
      <c r="R28" s="315"/>
      <c r="S28" s="315"/>
      <c r="T28" s="315"/>
      <c r="U28" s="315"/>
      <c r="V28" s="315"/>
      <c r="W28" s="315"/>
      <c r="X28" s="315"/>
      <c r="Y28" s="315"/>
      <c r="Z28" s="315"/>
      <c r="AA28" s="315"/>
      <c r="AB28" s="315"/>
      <c r="AC28" s="198">
        <f t="shared" si="2"/>
        <v>1</v>
      </c>
      <c r="AD28" s="199">
        <v>1</v>
      </c>
    </row>
    <row r="29" spans="1:31" ht="15" customHeight="1" x14ac:dyDescent="0.35">
      <c r="A29" s="244" t="s">
        <v>89</v>
      </c>
      <c r="B29" s="245"/>
      <c r="C29" s="245"/>
      <c r="D29" s="245"/>
      <c r="E29" s="245"/>
      <c r="F29" s="245"/>
      <c r="G29" s="245"/>
      <c r="H29" s="245"/>
      <c r="I29" s="252">
        <f>SUM(I23:J28)/6</f>
        <v>0</v>
      </c>
      <c r="J29" s="252"/>
      <c r="K29" s="317"/>
      <c r="L29" s="317"/>
      <c r="M29" s="317"/>
      <c r="N29" s="317"/>
      <c r="O29" s="317"/>
      <c r="P29" s="317"/>
      <c r="Q29" s="317"/>
      <c r="R29" s="317"/>
      <c r="S29" s="317"/>
      <c r="T29" s="317"/>
      <c r="U29" s="317"/>
      <c r="V29" s="317"/>
      <c r="W29" s="317"/>
      <c r="X29" s="317"/>
      <c r="Y29" s="317"/>
      <c r="Z29" s="317"/>
      <c r="AA29" s="317"/>
      <c r="AB29" s="317"/>
      <c r="AC29" s="199">
        <f>SUM(AC23:AC28)</f>
        <v>6</v>
      </c>
      <c r="AD29" s="202">
        <f>SUM(AD15:AD28)</f>
        <v>10</v>
      </c>
    </row>
    <row r="30" spans="1:31" ht="15.9" customHeight="1" x14ac:dyDescent="0.35">
      <c r="A30" s="246"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Observaciones:El estudiante  MIRANDA LOPEZ KRISTEL DARLYN  durante el segundo trimestre tuvo 11 Asistencias, 7 Faltas, 2 Retrasos, 0 Licencias,  Total de Dias Trabajados 20, en relacion a las practicas No presentó 10 Practicas de las 10  tareas (El estudiante puede presentar practicas por una ponderacion de 20 puntos)</v>
      </c>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199">
        <f>AC19+AC29</f>
        <v>10</v>
      </c>
    </row>
    <row r="31" spans="1:31" ht="22.5" customHeight="1" x14ac:dyDescent="0.35">
      <c r="A31" s="247"/>
      <c r="B31" s="247"/>
      <c r="C31" s="247"/>
      <c r="D31" s="247"/>
      <c r="E31" s="247"/>
      <c r="F31" s="247"/>
      <c r="G31" s="247"/>
      <c r="H31" s="247"/>
      <c r="I31" s="247"/>
      <c r="J31" s="247"/>
      <c r="K31" s="247"/>
      <c r="L31" s="247"/>
      <c r="M31" s="247"/>
      <c r="N31" s="247"/>
      <c r="O31" s="247"/>
      <c r="P31" s="247"/>
      <c r="Q31" s="247"/>
      <c r="R31" s="247"/>
      <c r="S31" s="247"/>
      <c r="T31" s="247"/>
      <c r="U31" s="247"/>
      <c r="V31" s="247"/>
      <c r="W31" s="247"/>
      <c r="X31" s="247"/>
      <c r="Y31" s="247"/>
      <c r="Z31" s="247"/>
      <c r="AA31" s="247"/>
      <c r="AB31" s="247"/>
    </row>
    <row r="32" spans="1:31" ht="19.5" customHeight="1" x14ac:dyDescent="0.35">
      <c r="A32" s="177"/>
      <c r="B32" s="177"/>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c r="AA32" s="177"/>
      <c r="AB32" s="177"/>
    </row>
    <row r="33" spans="1:28" ht="15.9" customHeight="1" x14ac:dyDescent="0.35">
      <c r="A33" s="177"/>
      <c r="B33" s="177"/>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c r="AA33" s="177"/>
      <c r="AB33" s="177"/>
    </row>
    <row r="34" spans="1:28" ht="15.9" customHeight="1" x14ac:dyDescent="0.35">
      <c r="A34" s="177"/>
      <c r="B34" s="177"/>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77"/>
      <c r="AB34" s="177"/>
    </row>
    <row r="35" spans="1:28" ht="15.9" customHeight="1" x14ac:dyDescent="0.35">
      <c r="A35" s="177"/>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row>
    <row r="36" spans="1:28" ht="15.9" customHeight="1" x14ac:dyDescent="0.35">
      <c r="A36" s="177"/>
      <c r="B36" s="177"/>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7"/>
    </row>
  </sheetData>
  <mergeCells count="57">
    <mergeCell ref="I18:J18"/>
    <mergeCell ref="F6:Z6"/>
    <mergeCell ref="AB4:AB5"/>
    <mergeCell ref="I27:J27"/>
    <mergeCell ref="K27:AB27"/>
    <mergeCell ref="K22:AB22"/>
    <mergeCell ref="A15:H15"/>
    <mergeCell ref="I15:J15"/>
    <mergeCell ref="K15:AB15"/>
    <mergeCell ref="A16:H16"/>
    <mergeCell ref="I16:J16"/>
    <mergeCell ref="K16:AB16"/>
    <mergeCell ref="A6:E6"/>
    <mergeCell ref="A8:AB8"/>
    <mergeCell ref="A13:AB13"/>
    <mergeCell ref="A14:H14"/>
    <mergeCell ref="A28:H28"/>
    <mergeCell ref="I28:J28"/>
    <mergeCell ref="K28:AB28"/>
    <mergeCell ref="A17:H17"/>
    <mergeCell ref="A18:H18"/>
    <mergeCell ref="K17:AB17"/>
    <mergeCell ref="K18:AB18"/>
    <mergeCell ref="I17:J17"/>
    <mergeCell ref="I24:J24"/>
    <mergeCell ref="K24:AB24"/>
    <mergeCell ref="A19:H19"/>
    <mergeCell ref="I19:J19"/>
    <mergeCell ref="K19:AB19"/>
    <mergeCell ref="A21:AB21"/>
    <mergeCell ref="A22:H22"/>
    <mergeCell ref="I22:J22"/>
    <mergeCell ref="A29:H29"/>
    <mergeCell ref="I29:J29"/>
    <mergeCell ref="K29:AB29"/>
    <mergeCell ref="A30:AB31"/>
    <mergeCell ref="AA4:AA5"/>
    <mergeCell ref="A27:H27"/>
    <mergeCell ref="A25:H25"/>
    <mergeCell ref="I25:J25"/>
    <mergeCell ref="K25:AB25"/>
    <mergeCell ref="A26:H26"/>
    <mergeCell ref="I26:J26"/>
    <mergeCell ref="K26:AB26"/>
    <mergeCell ref="A23:H23"/>
    <mergeCell ref="I23:J23"/>
    <mergeCell ref="K23:AB23"/>
    <mergeCell ref="A24:H24"/>
    <mergeCell ref="I14:J14"/>
    <mergeCell ref="K14:AB14"/>
    <mergeCell ref="A2:AB2"/>
    <mergeCell ref="A4:E4"/>
    <mergeCell ref="F4:N4"/>
    <mergeCell ref="O4:Q4"/>
    <mergeCell ref="R4:Z4"/>
    <mergeCell ref="A5:E5"/>
    <mergeCell ref="F5:Z5"/>
  </mergeCells>
  <hyperlinks>
    <hyperlink ref="K27" r:id="rId1" xr:uid="{650B3630-694E-4937-9B28-9DBE0781C398}"/>
    <hyperlink ref="K26" r:id="rId2" xr:uid="{A9CC7077-2D89-403B-B5AB-02FF4F69A0C2}"/>
    <hyperlink ref="K25" r:id="rId3" xr:uid="{AC34BD29-B515-4D1E-A3C9-5A5C7CFC5F89}"/>
    <hyperlink ref="K28" r:id="rId4" xr:uid="{1408D1E9-6FF5-4C3C-BFDA-4E8273C9754C}"/>
    <hyperlink ref="K16" r:id="rId5" xr:uid="{370C2159-037C-4B9F-9E3E-0C838C18A1B8}"/>
    <hyperlink ref="K17" r:id="rId6" xr:uid="{62C645B0-AD90-40FB-B6AC-F94E06E8936A}"/>
    <hyperlink ref="K23" r:id="rId7" xr:uid="{F7FE68C6-3315-4931-A548-8C53F04E412B}"/>
    <hyperlink ref="K24" r:id="rId8" xr:uid="{F4813F3F-DD92-43B7-B8F2-519480782120}"/>
  </hyperlinks>
  <pageMargins left="1.4960629921259843" right="0.70866141732283472" top="0.74803149606299213" bottom="0.74803149606299213" header="0" footer="0"/>
  <pageSetup paperSize="122" scale="54"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A59B2F80-663C-4629-9BDE-46FB3772FAED}">
          <x14:formula1>
            <xm:f>'ASIS 2 TRIM'!$B$8:$B$31</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1328125" defaultRowHeight="15" customHeight="1" x14ac:dyDescent="0.35"/>
  <cols>
    <col min="1" max="1" width="1.6640625" customWidth="1"/>
    <col min="2" max="2" width="20.6640625" customWidth="1"/>
    <col min="3" max="52" width="1.265625" customWidth="1"/>
    <col min="53" max="57" width="1.46484375" customWidth="1"/>
    <col min="58" max="61" width="1.6640625" customWidth="1"/>
  </cols>
  <sheetData>
    <row r="1" spans="1:61" ht="4.5" customHeight="1" x14ac:dyDescent="0.35"/>
    <row r="2" spans="1:61" ht="12.75" customHeight="1" x14ac:dyDescent="0.35">
      <c r="B2" s="220" t="s">
        <v>79</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1">
        <f>CARÁTULA!$H$24</f>
        <v>44440</v>
      </c>
      <c r="AU3" s="216"/>
      <c r="AV3" s="216"/>
      <c r="AW3" s="216"/>
      <c r="AX3" s="216"/>
      <c r="AY3" s="216"/>
      <c r="AZ3" s="216"/>
      <c r="BA3" s="258"/>
      <c r="BB3" s="216"/>
      <c r="BC3" s="216"/>
      <c r="BD3" s="216"/>
      <c r="BE3" s="216"/>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1">
        <f>CARÁTULA!$J$24</f>
        <v>44531</v>
      </c>
      <c r="AU4" s="216"/>
      <c r="AV4" s="216"/>
      <c r="AW4" s="216"/>
      <c r="AX4" s="216"/>
      <c r="AY4" s="216"/>
      <c r="AZ4" s="216"/>
      <c r="BA4" s="259">
        <f ca="1">AT4-AT5</f>
        <v>110</v>
      </c>
      <c r="BB4" s="226"/>
      <c r="BC4" s="226"/>
      <c r="BD4" s="226"/>
      <c r="BE4" s="227"/>
    </row>
    <row r="5" spans="1:61" ht="12.75" customHeight="1" x14ac:dyDescent="0.35">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234">
        <f ca="1">TODAY()</f>
        <v>44421</v>
      </c>
      <c r="Y5" s="216"/>
      <c r="Z5" s="216"/>
      <c r="AA5" s="216"/>
      <c r="AB5" s="216"/>
      <c r="AC5" s="216"/>
      <c r="AD5" s="40"/>
      <c r="AE5" s="40"/>
      <c r="AF5" s="40"/>
      <c r="AG5" s="40"/>
      <c r="AH5" s="40"/>
      <c r="AI5" s="40"/>
      <c r="AJ5" s="40"/>
      <c r="AK5" s="45" t="s">
        <v>60</v>
      </c>
      <c r="AL5" s="46"/>
      <c r="AM5" s="46"/>
      <c r="AN5" s="46"/>
      <c r="AO5" s="46"/>
      <c r="AP5" s="46"/>
      <c r="AQ5" s="46"/>
      <c r="AR5" s="40"/>
      <c r="AS5" s="40"/>
      <c r="AT5" s="232">
        <f ca="1">TODAY()</f>
        <v>44421</v>
      </c>
      <c r="AU5" s="216"/>
      <c r="AV5" s="216"/>
      <c r="AW5" s="216"/>
      <c r="AX5" s="216"/>
      <c r="AY5" s="216"/>
      <c r="AZ5" s="216"/>
      <c r="BA5" s="228"/>
      <c r="BB5" s="229"/>
      <c r="BC5" s="229"/>
      <c r="BD5" s="229"/>
      <c r="BE5" s="230"/>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5">
      <c r="A7" s="48" t="s">
        <v>61</v>
      </c>
      <c r="B7" s="49" t="s">
        <v>62</v>
      </c>
      <c r="C7" s="67">
        <v>43854</v>
      </c>
      <c r="D7" s="67">
        <v>43855</v>
      </c>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80</v>
      </c>
      <c r="BB7" s="55" t="s">
        <v>81</v>
      </c>
      <c r="BC7" s="55" t="s">
        <v>82</v>
      </c>
      <c r="BD7" s="55" t="s">
        <v>83</v>
      </c>
      <c r="BE7" s="56" t="s">
        <v>67</v>
      </c>
    </row>
    <row r="8" spans="1:61" ht="12" customHeight="1" x14ac:dyDescent="0.35">
      <c r="A8" s="57">
        <v>1</v>
      </c>
      <c r="B8" s="58" t="str">
        <f>'C. FILIACION'!B8</f>
        <v>ARAMAYO CARVALLO LITZI</v>
      </c>
      <c r="C8" s="48" t="s">
        <v>75</v>
      </c>
      <c r="D8" s="48" t="s">
        <v>76</v>
      </c>
      <c r="E8" s="48" t="s">
        <v>77</v>
      </c>
      <c r="F8" s="48" t="s">
        <v>78</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2">
        <f t="shared" ref="BE8:BE43" si="4">IF(COUNTIF(C8:AZ8,"L")=0,"",COUNTIF(C8:AZ8,"L"))</f>
        <v>2</v>
      </c>
    </row>
    <row r="9" spans="1:61" ht="12" customHeight="1" x14ac:dyDescent="0.35">
      <c r="A9" s="57">
        <v>2</v>
      </c>
      <c r="B9" s="58" t="str">
        <f>'C. FILIACION'!B9</f>
        <v>BLANCO SALVATIERRA LIZETH BRIGIDA</v>
      </c>
      <c r="C9" s="48"/>
      <c r="D9" s="48"/>
      <c r="E9" s="48"/>
      <c r="F9" s="48"/>
      <c r="G9" s="48"/>
      <c r="H9" s="48"/>
      <c r="I9" s="48"/>
      <c r="J9" s="48"/>
      <c r="K9" s="48"/>
      <c r="L9" s="48" t="s">
        <v>78</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t="str">
        <f t="shared" si="0"/>
        <v/>
      </c>
      <c r="BB9" s="48" t="str">
        <f t="shared" si="1"/>
        <v/>
      </c>
      <c r="BC9" s="48" t="str">
        <f t="shared" si="2"/>
        <v/>
      </c>
      <c r="BD9" s="48">
        <f t="shared" si="3"/>
        <v>1</v>
      </c>
      <c r="BE9" s="62">
        <f t="shared" si="4"/>
        <v>1</v>
      </c>
    </row>
    <row r="10" spans="1:61" ht="12" customHeight="1" x14ac:dyDescent="0.35">
      <c r="A10" s="57">
        <v>3</v>
      </c>
      <c r="B10" s="58" t="str">
        <f>'C. FILIACION'!B10</f>
        <v>GARCIA FAUCA NIELS HAMILTON</v>
      </c>
      <c r="C10" s="48"/>
      <c r="D10" s="48" t="s">
        <v>76</v>
      </c>
      <c r="E10" s="48" t="s">
        <v>76</v>
      </c>
      <c r="F10" s="48" t="s">
        <v>76</v>
      </c>
      <c r="G10" s="48" t="s">
        <v>76</v>
      </c>
      <c r="H10" s="48" t="s">
        <v>76</v>
      </c>
      <c r="I10" s="48" t="s">
        <v>76</v>
      </c>
      <c r="J10" s="48" t="s">
        <v>76</v>
      </c>
      <c r="K10" s="48" t="s">
        <v>76</v>
      </c>
      <c r="L10" s="48" t="s">
        <v>76</v>
      </c>
      <c r="M10" s="48" t="s">
        <v>76</v>
      </c>
      <c r="N10" s="48" t="s">
        <v>76</v>
      </c>
      <c r="O10" s="48" t="s">
        <v>69</v>
      </c>
      <c r="P10" s="48" t="s">
        <v>69</v>
      </c>
      <c r="Q10" s="48" t="s">
        <v>69</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t="str">
        <f t="shared" si="0"/>
        <v/>
      </c>
      <c r="BB10" s="48">
        <f t="shared" si="1"/>
        <v>14</v>
      </c>
      <c r="BC10" s="48" t="str">
        <f t="shared" si="2"/>
        <v/>
      </c>
      <c r="BD10" s="48" t="str">
        <f t="shared" si="3"/>
        <v/>
      </c>
      <c r="BE10" s="62" t="str">
        <f t="shared" si="4"/>
        <v/>
      </c>
    </row>
    <row r="11" spans="1:61" ht="12" customHeight="1" x14ac:dyDescent="0.35">
      <c r="A11" s="57">
        <v>4</v>
      </c>
      <c r="B11" s="58" t="str">
        <f>'C. FILIACION'!B11</f>
        <v>GOITIA VEIZAN MORGAN CRISTHIAN</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t="str">
        <f t="shared" si="0"/>
        <v/>
      </c>
      <c r="BB11" s="48" t="str">
        <f t="shared" si="1"/>
        <v/>
      </c>
      <c r="BC11" s="48" t="str">
        <f t="shared" si="2"/>
        <v/>
      </c>
      <c r="BD11" s="48" t="str">
        <f t="shared" si="3"/>
        <v/>
      </c>
      <c r="BE11" s="62" t="str">
        <f t="shared" si="4"/>
        <v/>
      </c>
    </row>
    <row r="12" spans="1:61" ht="12" customHeight="1" x14ac:dyDescent="0.35">
      <c r="A12" s="57">
        <v>5</v>
      </c>
      <c r="B12" s="58" t="str">
        <f>'C. FILIACION'!B12</f>
        <v>GOMEZ LUCANA ALISON NAYR</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t="str">
        <f t="shared" si="0"/>
        <v/>
      </c>
      <c r="BB12" s="48" t="str">
        <f t="shared" si="1"/>
        <v/>
      </c>
      <c r="BC12" s="48" t="str">
        <f t="shared" si="2"/>
        <v/>
      </c>
      <c r="BD12" s="48" t="str">
        <f t="shared" si="3"/>
        <v/>
      </c>
      <c r="BE12" s="62" t="str">
        <f t="shared" si="4"/>
        <v/>
      </c>
    </row>
    <row r="13" spans="1:61" ht="12" customHeight="1" x14ac:dyDescent="0.35">
      <c r="A13" s="57">
        <v>6</v>
      </c>
      <c r="B13" s="58" t="str">
        <f>'C. FILIACION'!B13</f>
        <v>GUTIERREZ ALVAREZ ALEX BEYMAR</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t="str">
        <f t="shared" si="0"/>
        <v/>
      </c>
      <c r="BB13" s="48" t="str">
        <f t="shared" si="1"/>
        <v/>
      </c>
      <c r="BC13" s="48" t="str">
        <f t="shared" si="2"/>
        <v/>
      </c>
      <c r="BD13" s="48" t="str">
        <f t="shared" si="3"/>
        <v/>
      </c>
      <c r="BE13" s="62" t="str">
        <f t="shared" si="4"/>
        <v/>
      </c>
    </row>
    <row r="14" spans="1:61" ht="12" customHeight="1" x14ac:dyDescent="0.35">
      <c r="A14" s="57">
        <v>7</v>
      </c>
      <c r="B14" s="58" t="str">
        <f>'C. FILIACION'!B14</f>
        <v>LOPEZ PACO MIGUEL ANGEL</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t="str">
        <f t="shared" si="0"/>
        <v/>
      </c>
      <c r="BB14" s="48" t="str">
        <f t="shared" si="1"/>
        <v/>
      </c>
      <c r="BC14" s="48" t="str">
        <f t="shared" si="2"/>
        <v/>
      </c>
      <c r="BD14" s="48" t="str">
        <f t="shared" si="3"/>
        <v/>
      </c>
      <c r="BE14" s="62" t="str">
        <f t="shared" si="4"/>
        <v/>
      </c>
    </row>
    <row r="15" spans="1:61" ht="12" customHeight="1" x14ac:dyDescent="0.35">
      <c r="A15" s="57">
        <v>8</v>
      </c>
      <c r="B15" s="58" t="str">
        <f>'C. FILIACION'!B15</f>
        <v>MAMANI AQUINO LUCAS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t="str">
        <f t="shared" si="0"/>
        <v/>
      </c>
      <c r="BB15" s="48" t="str">
        <f t="shared" si="1"/>
        <v/>
      </c>
      <c r="BC15" s="48" t="str">
        <f t="shared" si="2"/>
        <v/>
      </c>
      <c r="BD15" s="48" t="str">
        <f t="shared" si="3"/>
        <v/>
      </c>
      <c r="BE15" s="62" t="str">
        <f t="shared" si="4"/>
        <v/>
      </c>
    </row>
    <row r="16" spans="1:61" ht="12" customHeight="1" x14ac:dyDescent="0.35">
      <c r="A16" s="57">
        <v>9</v>
      </c>
      <c r="B16" s="58" t="str">
        <f>'C. FILIACION'!B16</f>
        <v>MAMANI VASQUEZ FRANZ DARWIN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t="str">
        <f t="shared" si="0"/>
        <v/>
      </c>
      <c r="BB16" s="48" t="str">
        <f t="shared" si="1"/>
        <v/>
      </c>
      <c r="BC16" s="48" t="str">
        <f t="shared" si="2"/>
        <v/>
      </c>
      <c r="BD16" s="48" t="str">
        <f t="shared" si="3"/>
        <v/>
      </c>
      <c r="BE16" s="62" t="str">
        <f t="shared" si="4"/>
        <v/>
      </c>
    </row>
    <row r="17" spans="1:57" ht="12" customHeight="1" x14ac:dyDescent="0.35">
      <c r="A17" s="57">
        <v>10</v>
      </c>
      <c r="B17" s="58" t="str">
        <f>'C. FILIACION'!B17</f>
        <v>MARTINEZ MAMANI JORGE ARMANDO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t="str">
        <f t="shared" si="0"/>
        <v/>
      </c>
      <c r="BB17" s="48" t="str">
        <f t="shared" si="1"/>
        <v/>
      </c>
      <c r="BC17" s="48" t="str">
        <f t="shared" si="2"/>
        <v/>
      </c>
      <c r="BD17" s="48" t="str">
        <f t="shared" si="3"/>
        <v/>
      </c>
      <c r="BE17" s="62" t="str">
        <f t="shared" si="4"/>
        <v/>
      </c>
    </row>
    <row r="18" spans="1:57" ht="12" customHeight="1" x14ac:dyDescent="0.35">
      <c r="A18" s="57">
        <v>11</v>
      </c>
      <c r="B18" s="58" t="str">
        <f>'C. FILIACION'!B18</f>
        <v>MEDINA PEREIRA GABRIEL LEANDRO</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t="str">
        <f t="shared" si="0"/>
        <v/>
      </c>
      <c r="BB18" s="48" t="str">
        <f t="shared" si="1"/>
        <v/>
      </c>
      <c r="BC18" s="48" t="str">
        <f t="shared" si="2"/>
        <v/>
      </c>
      <c r="BD18" s="48" t="str">
        <f t="shared" si="3"/>
        <v/>
      </c>
      <c r="BE18" s="62" t="str">
        <f t="shared" si="4"/>
        <v/>
      </c>
    </row>
    <row r="19" spans="1:57" ht="12" customHeight="1" x14ac:dyDescent="0.35">
      <c r="A19" s="57">
        <v>12</v>
      </c>
      <c r="B19" s="58" t="str">
        <f>'C. FILIACION'!B19</f>
        <v>MEDINA PEREIRA YULIANA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t="str">
        <f t="shared" si="0"/>
        <v/>
      </c>
      <c r="BB19" s="48" t="str">
        <f t="shared" si="1"/>
        <v/>
      </c>
      <c r="BC19" s="48" t="str">
        <f t="shared" si="2"/>
        <v/>
      </c>
      <c r="BD19" s="48" t="str">
        <f t="shared" si="3"/>
        <v/>
      </c>
      <c r="BE19" s="62" t="str">
        <f t="shared" si="4"/>
        <v/>
      </c>
    </row>
    <row r="20" spans="1:57" ht="12" customHeight="1" x14ac:dyDescent="0.35">
      <c r="A20" s="57">
        <v>13</v>
      </c>
      <c r="B20" s="58" t="str">
        <f>'C. FILIACION'!B20</f>
        <v>MORALES BERNABEL JULETH CHANTAL</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t="str">
        <f t="shared" si="0"/>
        <v/>
      </c>
      <c r="BB20" s="48" t="str">
        <f t="shared" si="1"/>
        <v/>
      </c>
      <c r="BC20" s="48" t="str">
        <f t="shared" si="2"/>
        <v/>
      </c>
      <c r="BD20" s="48" t="str">
        <f t="shared" si="3"/>
        <v/>
      </c>
      <c r="BE20" s="62" t="str">
        <f t="shared" si="4"/>
        <v/>
      </c>
    </row>
    <row r="21" spans="1:57" ht="12" customHeight="1" x14ac:dyDescent="0.35">
      <c r="A21" s="57">
        <v>14</v>
      </c>
      <c r="B21" s="58" t="str">
        <f>'C. FILIACION'!B21</f>
        <v>ORELLANA MOGRO ADAMO LEVING</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t="str">
        <f t="shared" si="0"/>
        <v/>
      </c>
      <c r="BB21" s="48" t="str">
        <f t="shared" si="1"/>
        <v/>
      </c>
      <c r="BC21" s="48" t="str">
        <f t="shared" si="2"/>
        <v/>
      </c>
      <c r="BD21" s="48" t="str">
        <f t="shared" si="3"/>
        <v/>
      </c>
      <c r="BE21" s="62" t="str">
        <f t="shared" si="4"/>
        <v/>
      </c>
    </row>
    <row r="22" spans="1:57" ht="12" customHeight="1" x14ac:dyDescent="0.35">
      <c r="A22" s="57">
        <v>15</v>
      </c>
      <c r="B22" s="58" t="str">
        <f>'C. FILIACION'!B22</f>
        <v>PAHUASI HUAYTA LUZ ADRIANA</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35">
      <c r="A23" s="57">
        <v>16</v>
      </c>
      <c r="B23" s="58" t="str">
        <f>'C. FILIACION'!B23</f>
        <v>PEREZ HUARACHI ESPERANZA ALEJANDRA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t="str">
        <f t="shared" si="0"/>
        <v/>
      </c>
      <c r="BB23" s="48" t="str">
        <f t="shared" si="1"/>
        <v/>
      </c>
      <c r="BC23" s="48" t="str">
        <f t="shared" si="2"/>
        <v/>
      </c>
      <c r="BD23" s="48" t="str">
        <f t="shared" si="3"/>
        <v/>
      </c>
      <c r="BE23" s="62" t="str">
        <f t="shared" si="4"/>
        <v/>
      </c>
    </row>
    <row r="24" spans="1:57" ht="12" customHeight="1" x14ac:dyDescent="0.35">
      <c r="A24" s="57">
        <v>17</v>
      </c>
      <c r="B24" s="58" t="str">
        <f>'C. FILIACION'!B24</f>
        <v>PEREZ ZAMBRANA DAYRIS CONZUELO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t="str">
        <f t="shared" si="0"/>
        <v/>
      </c>
      <c r="BB24" s="48" t="str">
        <f t="shared" si="1"/>
        <v/>
      </c>
      <c r="BC24" s="48" t="str">
        <f t="shared" si="2"/>
        <v/>
      </c>
      <c r="BD24" s="48" t="str">
        <f t="shared" si="3"/>
        <v/>
      </c>
      <c r="BE24" s="62" t="str">
        <f t="shared" si="4"/>
        <v/>
      </c>
    </row>
    <row r="25" spans="1:57" ht="12" customHeight="1" x14ac:dyDescent="0.35">
      <c r="A25" s="57">
        <v>18</v>
      </c>
      <c r="B25" s="58" t="str">
        <f>'C. FILIACION'!B25</f>
        <v>QUISPAYA ENCINAS GATHERING ZAMANTHA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t="str">
        <f t="shared" si="0"/>
        <v/>
      </c>
      <c r="BB25" s="48" t="str">
        <f t="shared" si="1"/>
        <v/>
      </c>
      <c r="BC25" s="48" t="str">
        <f t="shared" si="2"/>
        <v/>
      </c>
      <c r="BD25" s="48" t="str">
        <f t="shared" si="3"/>
        <v/>
      </c>
      <c r="BE25" s="62" t="str">
        <f t="shared" si="4"/>
        <v/>
      </c>
    </row>
    <row r="26" spans="1:57" ht="12" customHeight="1" x14ac:dyDescent="0.35">
      <c r="A26" s="57">
        <v>19</v>
      </c>
      <c r="B26" s="58" t="str">
        <f>'C. FILIACION'!B26</f>
        <v>SANDOVAL MORANGO EDGAR JORGE</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t="str">
        <f t="shared" si="0"/>
        <v/>
      </c>
      <c r="BB26" s="48" t="str">
        <f t="shared" si="1"/>
        <v/>
      </c>
      <c r="BC26" s="48" t="str">
        <f t="shared" si="2"/>
        <v/>
      </c>
      <c r="BD26" s="48" t="str">
        <f t="shared" si="3"/>
        <v/>
      </c>
      <c r="BE26" s="62" t="str">
        <f t="shared" si="4"/>
        <v/>
      </c>
    </row>
    <row r="27" spans="1:57" ht="12" customHeight="1" x14ac:dyDescent="0.35">
      <c r="A27" s="57">
        <v>20</v>
      </c>
      <c r="B27" s="58" t="str">
        <f>'C. FILIACION'!B27</f>
        <v>SEVILLANO BALTAZAR ALEXIA LIZZY</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t="str">
        <f t="shared" si="0"/>
        <v/>
      </c>
      <c r="BB27" s="48" t="str">
        <f t="shared" si="1"/>
        <v/>
      </c>
      <c r="BC27" s="48" t="str">
        <f t="shared" si="2"/>
        <v/>
      </c>
      <c r="BD27" s="48" t="str">
        <f t="shared" si="3"/>
        <v/>
      </c>
      <c r="BE27" s="62" t="str">
        <f t="shared" si="4"/>
        <v/>
      </c>
    </row>
    <row r="28" spans="1:57" ht="12" customHeight="1" x14ac:dyDescent="0.35">
      <c r="A28" s="57">
        <v>21</v>
      </c>
      <c r="B28" s="58" t="str">
        <f>'C. FILIACION'!B28</f>
        <v>TORREZ PACO JOSE MANUEL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t="str">
        <f t="shared" si="0"/>
        <v/>
      </c>
      <c r="BB28" s="48" t="str">
        <f t="shared" si="1"/>
        <v/>
      </c>
      <c r="BC28" s="48" t="str">
        <f t="shared" si="2"/>
        <v/>
      </c>
      <c r="BD28" s="48" t="str">
        <f t="shared" si="3"/>
        <v/>
      </c>
      <c r="BE28" s="62" t="str">
        <f t="shared" si="4"/>
        <v/>
      </c>
    </row>
    <row r="29" spans="1:57" ht="12" customHeight="1" x14ac:dyDescent="0.35">
      <c r="A29" s="57">
        <v>22</v>
      </c>
      <c r="B29" s="58" t="str">
        <f>'C. FILIACION'!B29</f>
        <v>VELASQUEZ GUTIERREZ ALEJANDRA ANAHI</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t="str">
        <f t="shared" si="0"/>
        <v/>
      </c>
      <c r="BB29" s="48" t="str">
        <f t="shared" si="1"/>
        <v/>
      </c>
      <c r="BC29" s="48" t="str">
        <f t="shared" si="2"/>
        <v/>
      </c>
      <c r="BD29" s="48" t="str">
        <f t="shared" si="3"/>
        <v/>
      </c>
      <c r="BE29" s="62" t="str">
        <f t="shared" si="4"/>
        <v/>
      </c>
    </row>
    <row r="30" spans="1:57" ht="12" customHeight="1" x14ac:dyDescent="0.35">
      <c r="A30" s="57">
        <v>23</v>
      </c>
      <c r="B30" s="58" t="str">
        <f>'C. FILIACION'!B30</f>
        <v>VIDEA JHENDAVIEL PAOLA</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t="str">
        <f t="shared" si="0"/>
        <v/>
      </c>
      <c r="BB30" s="48" t="str">
        <f t="shared" si="1"/>
        <v/>
      </c>
      <c r="BC30" s="48" t="str">
        <f t="shared" si="2"/>
        <v/>
      </c>
      <c r="BD30" s="48" t="str">
        <f t="shared" si="3"/>
        <v/>
      </c>
      <c r="BE30" s="62" t="str">
        <f t="shared" si="4"/>
        <v/>
      </c>
    </row>
    <row r="31" spans="1:57" ht="12" customHeight="1" x14ac:dyDescent="0.35">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5">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79" t="s">
        <v>84</v>
      </c>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8"/>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7" t="s">
        <v>56</v>
      </c>
      <c r="AD3" s="261"/>
      <c r="AE3" s="261"/>
      <c r="AF3" s="261"/>
      <c r="AG3" s="261"/>
      <c r="AH3" s="262"/>
      <c r="AI3" s="234">
        <f>CARÁTULA!$H$14</f>
        <v>44228</v>
      </c>
      <c r="AJ3" s="216"/>
      <c r="AK3" s="216"/>
      <c r="AL3" s="216"/>
      <c r="AM3" s="216"/>
      <c r="AN3" s="280" t="s">
        <v>57</v>
      </c>
      <c r="AO3" s="207"/>
      <c r="AP3" s="207"/>
      <c r="AQ3" s="207"/>
      <c r="AR3" s="208"/>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7" t="s">
        <v>59</v>
      </c>
      <c r="AD4" s="261"/>
      <c r="AE4" s="261"/>
      <c r="AF4" s="261"/>
      <c r="AG4" s="261"/>
      <c r="AH4" s="262"/>
      <c r="AI4" s="234">
        <f>CARÁTULA!$J$14</f>
        <v>44323</v>
      </c>
      <c r="AJ4" s="216"/>
      <c r="AK4" s="216"/>
      <c r="AL4" s="216"/>
      <c r="AM4" s="216"/>
      <c r="AN4" s="259">
        <f ca="1">AI4-AI5</f>
        <v>-98</v>
      </c>
      <c r="AO4" s="226"/>
      <c r="AP4" s="226"/>
      <c r="AQ4" s="226"/>
      <c r="AR4" s="227"/>
    </row>
    <row r="5" spans="1:48" ht="12.75" customHeight="1" x14ac:dyDescent="0.4">
      <c r="A5" s="69"/>
      <c r="B5" s="72" t="s">
        <v>22</v>
      </c>
      <c r="C5" s="73" t="str">
        <f>CARÁTULA!$C$23</f>
        <v>5to de Secundaria</v>
      </c>
      <c r="D5" s="74"/>
      <c r="E5" s="74"/>
      <c r="F5" s="74"/>
      <c r="G5" s="72"/>
      <c r="H5" s="72"/>
      <c r="I5" s="72"/>
      <c r="J5" s="72"/>
      <c r="K5" s="72"/>
      <c r="L5" s="72"/>
      <c r="M5" s="72"/>
      <c r="N5" s="72"/>
      <c r="O5" s="75" t="s">
        <v>23</v>
      </c>
      <c r="P5" s="77"/>
      <c r="Q5" s="77"/>
      <c r="R5" s="77"/>
      <c r="S5" s="273">
        <f ca="1">TODAY()</f>
        <v>44421</v>
      </c>
      <c r="T5" s="207"/>
      <c r="U5" s="207"/>
      <c r="V5" s="207"/>
      <c r="W5" s="207"/>
      <c r="X5" s="207"/>
      <c r="Y5" s="207"/>
      <c r="Z5" s="207"/>
      <c r="AA5" s="208"/>
      <c r="AB5" s="74"/>
      <c r="AC5" s="278" t="s">
        <v>60</v>
      </c>
      <c r="AD5" s="261"/>
      <c r="AE5" s="261"/>
      <c r="AF5" s="261"/>
      <c r="AG5" s="261"/>
      <c r="AH5" s="262"/>
      <c r="AI5" s="281">
        <f ca="1">TODAY()</f>
        <v>44421</v>
      </c>
      <c r="AJ5" s="216"/>
      <c r="AK5" s="216"/>
      <c r="AL5" s="216"/>
      <c r="AM5" s="216"/>
      <c r="AN5" s="228"/>
      <c r="AO5" s="229"/>
      <c r="AP5" s="229"/>
      <c r="AQ5" s="229"/>
      <c r="AR5" s="230"/>
    </row>
    <row r="6" spans="1:48" ht="12.75" customHeight="1" x14ac:dyDescent="0.4">
      <c r="A6" s="69"/>
      <c r="B6" s="72"/>
      <c r="C6" s="222" t="s">
        <v>85</v>
      </c>
      <c r="D6" s="223"/>
      <c r="E6" s="223"/>
      <c r="F6" s="223"/>
      <c r="G6" s="223"/>
      <c r="H6" s="223"/>
      <c r="I6" s="223"/>
      <c r="J6" s="223"/>
      <c r="K6" s="223"/>
      <c r="L6" s="223"/>
      <c r="M6" s="223"/>
      <c r="N6" s="223"/>
      <c r="O6" s="223"/>
      <c r="P6" s="223"/>
      <c r="Q6" s="223"/>
      <c r="R6" s="223"/>
      <c r="S6" s="223"/>
      <c r="T6" s="223"/>
      <c r="U6" s="223"/>
      <c r="V6" s="223"/>
      <c r="W6" s="223"/>
      <c r="X6" s="223"/>
      <c r="Y6" s="223"/>
      <c r="Z6" s="223"/>
      <c r="AA6" s="224"/>
      <c r="AB6" s="274" t="s">
        <v>86</v>
      </c>
      <c r="AC6" s="261"/>
      <c r="AD6" s="261"/>
      <c r="AE6" s="262"/>
      <c r="AF6" s="78"/>
      <c r="AG6" s="79"/>
      <c r="AH6" s="79"/>
      <c r="AI6" s="80"/>
      <c r="AJ6" s="81"/>
      <c r="AK6" s="81"/>
      <c r="AL6" s="81"/>
      <c r="AM6" s="81"/>
      <c r="AN6" s="82"/>
      <c r="AO6" s="82"/>
      <c r="AP6" s="82"/>
      <c r="AQ6" s="82"/>
      <c r="AR6" s="82"/>
    </row>
    <row r="7" spans="1:48" ht="12" customHeight="1" x14ac:dyDescent="0.4">
      <c r="A7" s="69"/>
      <c r="B7" s="83"/>
      <c r="C7" s="275" t="s">
        <v>87</v>
      </c>
      <c r="D7" s="276" t="s">
        <v>88</v>
      </c>
      <c r="E7" s="261"/>
      <c r="F7" s="261"/>
      <c r="G7" s="261"/>
      <c r="H7" s="261"/>
      <c r="I7" s="261"/>
      <c r="J7" s="261"/>
      <c r="K7" s="261"/>
      <c r="L7" s="261"/>
      <c r="M7" s="261"/>
      <c r="N7" s="261"/>
      <c r="O7" s="272" t="s">
        <v>89</v>
      </c>
      <c r="P7" s="276" t="s">
        <v>90</v>
      </c>
      <c r="Q7" s="261"/>
      <c r="R7" s="261"/>
      <c r="S7" s="261"/>
      <c r="T7" s="261"/>
      <c r="U7" s="261"/>
      <c r="V7" s="261"/>
      <c r="W7" s="261"/>
      <c r="X7" s="261"/>
      <c r="Y7" s="261"/>
      <c r="Z7" s="261"/>
      <c r="AA7" s="271" t="s">
        <v>91</v>
      </c>
      <c r="AB7" s="272" t="s">
        <v>89</v>
      </c>
      <c r="AC7" s="271" t="s">
        <v>92</v>
      </c>
      <c r="AD7" s="271" t="s">
        <v>93</v>
      </c>
      <c r="AE7" s="272" t="s">
        <v>89</v>
      </c>
      <c r="AF7" s="264" t="s">
        <v>94</v>
      </c>
      <c r="AG7" s="266" t="s">
        <v>95</v>
      </c>
      <c r="AH7" s="267" t="s">
        <v>96</v>
      </c>
      <c r="AI7" s="223"/>
      <c r="AJ7" s="223"/>
      <c r="AK7" s="223"/>
      <c r="AL7" s="223"/>
      <c r="AM7" s="224"/>
      <c r="AN7" s="84"/>
      <c r="AO7" s="74"/>
      <c r="AP7" s="74"/>
      <c r="AQ7" s="74"/>
      <c r="AR7" s="69"/>
    </row>
    <row r="8" spans="1:48" ht="146.4" x14ac:dyDescent="0.35">
      <c r="A8" s="48" t="s">
        <v>61</v>
      </c>
      <c r="B8" s="49" t="s">
        <v>62</v>
      </c>
      <c r="C8" s="265"/>
      <c r="D8" s="85" t="s">
        <v>97</v>
      </c>
      <c r="E8" s="85" t="s">
        <v>98</v>
      </c>
      <c r="F8" s="52"/>
      <c r="G8" s="52"/>
      <c r="H8" s="52"/>
      <c r="I8" s="52"/>
      <c r="J8" s="52"/>
      <c r="K8" s="52"/>
      <c r="L8" s="52"/>
      <c r="M8" s="52"/>
      <c r="N8" s="53"/>
      <c r="O8" s="265"/>
      <c r="P8" s="85" t="s">
        <v>99</v>
      </c>
      <c r="Q8" s="85" t="s">
        <v>100</v>
      </c>
      <c r="R8" s="52"/>
      <c r="S8" s="52"/>
      <c r="T8" s="52"/>
      <c r="U8" s="52"/>
      <c r="V8" s="52"/>
      <c r="W8" s="52"/>
      <c r="X8" s="52"/>
      <c r="Y8" s="52"/>
      <c r="Z8" s="52"/>
      <c r="AA8" s="265"/>
      <c r="AB8" s="265"/>
      <c r="AC8" s="265"/>
      <c r="AD8" s="265"/>
      <c r="AE8" s="265"/>
      <c r="AF8" s="265"/>
      <c r="AG8" s="265"/>
      <c r="AH8" s="268"/>
      <c r="AI8" s="269"/>
      <c r="AJ8" s="269"/>
      <c r="AK8" s="269"/>
      <c r="AL8" s="269"/>
      <c r="AM8" s="270"/>
      <c r="AN8" s="86"/>
      <c r="AO8" s="86"/>
      <c r="AP8" s="86"/>
      <c r="AQ8" s="86"/>
      <c r="AR8" s="87"/>
    </row>
    <row r="9" spans="1:48" ht="12" customHeight="1" x14ac:dyDescent="0.35">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260" t="str">
        <f t="shared" ref="AH9:AH44" si="5">IF(AG9="","",(IF(AND(AG9&gt;=1,AG9&lt;=50.499),"REPROBADO",IF(AND(AG9&gt;=50.5,AG9&lt;=100),"APROBADO"))))</f>
        <v>APROBADO</v>
      </c>
      <c r="AI9" s="261"/>
      <c r="AJ9" s="261"/>
      <c r="AK9" s="261"/>
      <c r="AL9" s="261"/>
      <c r="AM9" s="262"/>
      <c r="AN9" s="93" t="s">
        <v>101</v>
      </c>
      <c r="AO9" s="263">
        <f>COUNTIF(AF9:AF44,"ED")</f>
        <v>0</v>
      </c>
      <c r="AP9" s="262"/>
      <c r="AQ9" s="94"/>
      <c r="AR9" s="94"/>
    </row>
    <row r="10" spans="1:48" ht="12" customHeight="1" x14ac:dyDescent="0.35">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260" t="str">
        <f t="shared" si="5"/>
        <v>APROBADO</v>
      </c>
      <c r="AI10" s="261"/>
      <c r="AJ10" s="261"/>
      <c r="AK10" s="261"/>
      <c r="AL10" s="261"/>
      <c r="AM10" s="262"/>
      <c r="AN10" s="48" t="s">
        <v>102</v>
      </c>
      <c r="AO10" s="263">
        <f>COUNTIF(AF9:AF44,"DA")</f>
        <v>0</v>
      </c>
      <c r="AP10" s="262"/>
      <c r="AQ10" s="94"/>
      <c r="AR10" s="94"/>
    </row>
    <row r="11" spans="1:48" ht="12" customHeight="1" x14ac:dyDescent="0.35">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260" t="str">
        <f t="shared" si="5"/>
        <v>APROBADO</v>
      </c>
      <c r="AI11" s="261"/>
      <c r="AJ11" s="261"/>
      <c r="AK11" s="261"/>
      <c r="AL11" s="261"/>
      <c r="AM11" s="262"/>
      <c r="AN11" s="48" t="s">
        <v>103</v>
      </c>
      <c r="AO11" s="263">
        <f>COUNTIF(AF9:AF44,"DO")</f>
        <v>1</v>
      </c>
      <c r="AP11" s="262"/>
      <c r="AQ11" s="94"/>
      <c r="AR11" s="94"/>
    </row>
    <row r="12" spans="1:48" ht="12" customHeight="1" x14ac:dyDescent="0.35">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260" t="str">
        <f t="shared" si="5"/>
        <v>APROBADO</v>
      </c>
      <c r="AI12" s="261"/>
      <c r="AJ12" s="261"/>
      <c r="AK12" s="261"/>
      <c r="AL12" s="261"/>
      <c r="AM12" s="262"/>
      <c r="AN12" s="48" t="s">
        <v>104</v>
      </c>
      <c r="AO12" s="263">
        <f>COUNTIF(AF9:AF44,"DP")</f>
        <v>35</v>
      </c>
      <c r="AP12" s="262"/>
      <c r="AQ12" s="94"/>
      <c r="AR12" s="94"/>
    </row>
    <row r="13" spans="1:48" ht="12" customHeight="1" x14ac:dyDescent="0.35">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260" t="str">
        <f t="shared" si="5"/>
        <v>APROBADO</v>
      </c>
      <c r="AI13" s="261"/>
      <c r="AJ13" s="261"/>
      <c r="AK13" s="261"/>
      <c r="AL13" s="261"/>
      <c r="AM13" s="262"/>
      <c r="AN13" s="94"/>
      <c r="AO13" s="94"/>
      <c r="AP13" s="94"/>
      <c r="AQ13" s="94"/>
      <c r="AR13" s="94"/>
    </row>
    <row r="14" spans="1:48" ht="12" customHeight="1" x14ac:dyDescent="0.35">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260" t="str">
        <f t="shared" si="5"/>
        <v>APROBADO</v>
      </c>
      <c r="AI14" s="261"/>
      <c r="AJ14" s="261"/>
      <c r="AK14" s="261"/>
      <c r="AL14" s="261"/>
      <c r="AM14" s="262"/>
      <c r="AN14" s="94"/>
      <c r="AO14" s="94"/>
      <c r="AP14" s="94"/>
      <c r="AQ14" s="94"/>
      <c r="AR14" s="94"/>
    </row>
    <row r="15" spans="1:48" ht="12" customHeight="1" x14ac:dyDescent="0.35">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260" t="str">
        <f t="shared" si="5"/>
        <v>APROBADO</v>
      </c>
      <c r="AI15" s="261"/>
      <c r="AJ15" s="261"/>
      <c r="AK15" s="261"/>
      <c r="AL15" s="261"/>
      <c r="AM15" s="262"/>
      <c r="AN15" s="94"/>
      <c r="AO15" s="94"/>
      <c r="AP15" s="94"/>
      <c r="AQ15" s="94"/>
      <c r="AR15" s="94"/>
    </row>
    <row r="16" spans="1:48" ht="12" customHeight="1" x14ac:dyDescent="0.35">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260" t="str">
        <f t="shared" si="5"/>
        <v>APROBADO</v>
      </c>
      <c r="AI16" s="261"/>
      <c r="AJ16" s="261"/>
      <c r="AK16" s="261"/>
      <c r="AL16" s="261"/>
      <c r="AM16" s="262"/>
      <c r="AN16" s="94"/>
      <c r="AO16" s="94"/>
      <c r="AP16" s="94"/>
      <c r="AQ16" s="94"/>
      <c r="AR16" s="94"/>
    </row>
    <row r="17" spans="1:44" ht="12" customHeight="1" x14ac:dyDescent="0.35">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260" t="str">
        <f t="shared" si="5"/>
        <v>APROBADO</v>
      </c>
      <c r="AI17" s="261"/>
      <c r="AJ17" s="261"/>
      <c r="AK17" s="261"/>
      <c r="AL17" s="261"/>
      <c r="AM17" s="262"/>
      <c r="AN17" s="94"/>
      <c r="AO17" s="94"/>
      <c r="AP17" s="94"/>
      <c r="AQ17" s="94"/>
      <c r="AR17" s="94"/>
    </row>
    <row r="18" spans="1:44" ht="12" customHeight="1" x14ac:dyDescent="0.35">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260" t="str">
        <f t="shared" si="5"/>
        <v>APROBADO</v>
      </c>
      <c r="AI18" s="261"/>
      <c r="AJ18" s="261"/>
      <c r="AK18" s="261"/>
      <c r="AL18" s="261"/>
      <c r="AM18" s="262"/>
      <c r="AN18" s="94"/>
      <c r="AO18" s="94"/>
      <c r="AP18" s="94"/>
      <c r="AQ18" s="94"/>
      <c r="AR18" s="94"/>
    </row>
    <row r="19" spans="1:44" ht="12" customHeight="1" x14ac:dyDescent="0.35">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260" t="str">
        <f t="shared" si="5"/>
        <v>APROBADO</v>
      </c>
      <c r="AI19" s="261"/>
      <c r="AJ19" s="261"/>
      <c r="AK19" s="261"/>
      <c r="AL19" s="261"/>
      <c r="AM19" s="262"/>
      <c r="AN19" s="94"/>
      <c r="AO19" s="94"/>
      <c r="AP19" s="94"/>
      <c r="AQ19" s="94"/>
      <c r="AR19" s="94"/>
    </row>
    <row r="20" spans="1:44" ht="12" customHeight="1" x14ac:dyDescent="0.35">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260" t="str">
        <f t="shared" si="5"/>
        <v>APROBADO</v>
      </c>
      <c r="AI20" s="261"/>
      <c r="AJ20" s="261"/>
      <c r="AK20" s="261"/>
      <c r="AL20" s="261"/>
      <c r="AM20" s="262"/>
      <c r="AN20" s="94"/>
      <c r="AO20" s="94"/>
      <c r="AP20" s="94"/>
      <c r="AQ20" s="94"/>
      <c r="AR20" s="94"/>
    </row>
    <row r="21" spans="1:44" ht="12" customHeight="1" x14ac:dyDescent="0.35">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260" t="str">
        <f t="shared" si="5"/>
        <v>APROBADO</v>
      </c>
      <c r="AI21" s="261"/>
      <c r="AJ21" s="261"/>
      <c r="AK21" s="261"/>
      <c r="AL21" s="261"/>
      <c r="AM21" s="262"/>
      <c r="AN21" s="94"/>
      <c r="AO21" s="94"/>
      <c r="AP21" s="94"/>
      <c r="AQ21" s="94"/>
      <c r="AR21" s="94"/>
    </row>
    <row r="22" spans="1:44" ht="12" customHeight="1" x14ac:dyDescent="0.35">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260" t="str">
        <f t="shared" si="5"/>
        <v>APROBADO</v>
      </c>
      <c r="AI22" s="261"/>
      <c r="AJ22" s="261"/>
      <c r="AK22" s="261"/>
      <c r="AL22" s="261"/>
      <c r="AM22" s="262"/>
      <c r="AN22" s="94"/>
      <c r="AO22" s="94"/>
      <c r="AP22" s="94"/>
      <c r="AQ22" s="94"/>
      <c r="AR22" s="94"/>
    </row>
    <row r="23" spans="1:44" ht="12" customHeight="1" x14ac:dyDescent="0.35">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260" t="str">
        <f t="shared" si="5"/>
        <v>APROBADO</v>
      </c>
      <c r="AI23" s="261"/>
      <c r="AJ23" s="261"/>
      <c r="AK23" s="261"/>
      <c r="AL23" s="261"/>
      <c r="AM23" s="262"/>
      <c r="AN23" s="94"/>
      <c r="AO23" s="94"/>
      <c r="AP23" s="94"/>
      <c r="AQ23" s="94"/>
      <c r="AR23" s="94"/>
    </row>
    <row r="24" spans="1:44" ht="12" customHeight="1" x14ac:dyDescent="0.35">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260" t="str">
        <f t="shared" si="5"/>
        <v>APROBADO</v>
      </c>
      <c r="AI24" s="261"/>
      <c r="AJ24" s="261"/>
      <c r="AK24" s="261"/>
      <c r="AL24" s="261"/>
      <c r="AM24" s="262"/>
      <c r="AN24" s="94"/>
      <c r="AO24" s="94"/>
      <c r="AP24" s="94"/>
      <c r="AQ24" s="94"/>
      <c r="AR24" s="94"/>
    </row>
    <row r="25" spans="1:44" ht="12" customHeight="1" x14ac:dyDescent="0.35">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260" t="str">
        <f t="shared" si="5"/>
        <v>APROBADO</v>
      </c>
      <c r="AI25" s="261"/>
      <c r="AJ25" s="261"/>
      <c r="AK25" s="261"/>
      <c r="AL25" s="261"/>
      <c r="AM25" s="262"/>
      <c r="AN25" s="94"/>
      <c r="AO25" s="94"/>
      <c r="AP25" s="94"/>
      <c r="AQ25" s="94"/>
      <c r="AR25" s="94"/>
    </row>
    <row r="26" spans="1:44" ht="12" customHeight="1" x14ac:dyDescent="0.35">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260" t="str">
        <f t="shared" si="5"/>
        <v>APROBADO</v>
      </c>
      <c r="AI26" s="261"/>
      <c r="AJ26" s="261"/>
      <c r="AK26" s="261"/>
      <c r="AL26" s="261"/>
      <c r="AM26" s="262"/>
      <c r="AN26" s="94"/>
      <c r="AO26" s="94"/>
      <c r="AP26" s="94"/>
      <c r="AQ26" s="94"/>
      <c r="AR26" s="94"/>
    </row>
    <row r="27" spans="1:44" ht="12" customHeight="1" x14ac:dyDescent="0.35">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260" t="str">
        <f t="shared" si="5"/>
        <v>APROBADO</v>
      </c>
      <c r="AI27" s="261"/>
      <c r="AJ27" s="261"/>
      <c r="AK27" s="261"/>
      <c r="AL27" s="261"/>
      <c r="AM27" s="262"/>
      <c r="AN27" s="94"/>
      <c r="AO27" s="94"/>
      <c r="AP27" s="94"/>
      <c r="AQ27" s="94"/>
      <c r="AR27" s="94"/>
    </row>
    <row r="28" spans="1:44" ht="12" customHeight="1" x14ac:dyDescent="0.35">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260" t="str">
        <f t="shared" si="5"/>
        <v>APROBADO</v>
      </c>
      <c r="AI28" s="261"/>
      <c r="AJ28" s="261"/>
      <c r="AK28" s="261"/>
      <c r="AL28" s="261"/>
      <c r="AM28" s="262"/>
      <c r="AN28" s="94"/>
      <c r="AO28" s="94"/>
      <c r="AP28" s="94"/>
      <c r="AQ28" s="94"/>
      <c r="AR28" s="94"/>
    </row>
    <row r="29" spans="1:44" ht="12" customHeight="1" x14ac:dyDescent="0.35">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260" t="str">
        <f t="shared" si="5"/>
        <v>APROBADO</v>
      </c>
      <c r="AI29" s="261"/>
      <c r="AJ29" s="261"/>
      <c r="AK29" s="261"/>
      <c r="AL29" s="261"/>
      <c r="AM29" s="262"/>
      <c r="AN29" s="94"/>
      <c r="AO29" s="94"/>
      <c r="AP29" s="94"/>
      <c r="AQ29" s="94"/>
      <c r="AR29" s="94"/>
    </row>
    <row r="30" spans="1:44" ht="12" customHeight="1" x14ac:dyDescent="0.35">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260" t="str">
        <f t="shared" si="5"/>
        <v>APROBADO</v>
      </c>
      <c r="AI30" s="261"/>
      <c r="AJ30" s="261"/>
      <c r="AK30" s="261"/>
      <c r="AL30" s="261"/>
      <c r="AM30" s="262"/>
      <c r="AN30" s="94"/>
      <c r="AO30" s="94"/>
      <c r="AP30" s="94"/>
      <c r="AQ30" s="94"/>
      <c r="AR30" s="94"/>
    </row>
    <row r="31" spans="1:44" ht="12" customHeight="1" x14ac:dyDescent="0.35">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260" t="str">
        <f t="shared" si="5"/>
        <v>APROBADO</v>
      </c>
      <c r="AI31" s="261"/>
      <c r="AJ31" s="261"/>
      <c r="AK31" s="261"/>
      <c r="AL31" s="261"/>
      <c r="AM31" s="262"/>
      <c r="AN31" s="94"/>
      <c r="AO31" s="94"/>
      <c r="AP31" s="94"/>
      <c r="AQ31" s="94"/>
      <c r="AR31" s="94"/>
    </row>
    <row r="32" spans="1:44" ht="12" customHeight="1" x14ac:dyDescent="0.35">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60" t="str">
        <f t="shared" si="5"/>
        <v>APROBADO</v>
      </c>
      <c r="AI32" s="261"/>
      <c r="AJ32" s="261"/>
      <c r="AK32" s="261"/>
      <c r="AL32" s="261"/>
      <c r="AM32" s="262"/>
      <c r="AN32" s="94"/>
      <c r="AO32" s="94"/>
      <c r="AP32" s="94"/>
      <c r="AQ32" s="94"/>
      <c r="AR32" s="94"/>
    </row>
    <row r="33" spans="1:44" ht="12" customHeight="1" x14ac:dyDescent="0.35">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60" t="str">
        <f t="shared" si="5"/>
        <v>APROBADO</v>
      </c>
      <c r="AI33" s="261"/>
      <c r="AJ33" s="261"/>
      <c r="AK33" s="261"/>
      <c r="AL33" s="261"/>
      <c r="AM33" s="262"/>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60" t="str">
        <f t="shared" si="5"/>
        <v>APROBADO</v>
      </c>
      <c r="AI34" s="261"/>
      <c r="AJ34" s="261"/>
      <c r="AK34" s="261"/>
      <c r="AL34" s="261"/>
      <c r="AM34" s="262"/>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60" t="str">
        <f t="shared" si="5"/>
        <v>APROBADO</v>
      </c>
      <c r="AI35" s="261"/>
      <c r="AJ35" s="261"/>
      <c r="AK35" s="261"/>
      <c r="AL35" s="261"/>
      <c r="AM35" s="262"/>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60" t="str">
        <f t="shared" si="5"/>
        <v>APROBADO</v>
      </c>
      <c r="AI36" s="261"/>
      <c r="AJ36" s="261"/>
      <c r="AK36" s="261"/>
      <c r="AL36" s="261"/>
      <c r="AM36" s="262"/>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60" t="str">
        <f t="shared" si="5"/>
        <v>APROBADO</v>
      </c>
      <c r="AI37" s="261"/>
      <c r="AJ37" s="261"/>
      <c r="AK37" s="261"/>
      <c r="AL37" s="261"/>
      <c r="AM37" s="262"/>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0" t="str">
        <f t="shared" si="5"/>
        <v>APROBADO</v>
      </c>
      <c r="AI38" s="261"/>
      <c r="AJ38" s="261"/>
      <c r="AK38" s="261"/>
      <c r="AL38" s="261"/>
      <c r="AM38" s="262"/>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0" t="str">
        <f t="shared" si="5"/>
        <v>APROBADO</v>
      </c>
      <c r="AI39" s="261"/>
      <c r="AJ39" s="261"/>
      <c r="AK39" s="261"/>
      <c r="AL39" s="261"/>
      <c r="AM39" s="262"/>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0" t="str">
        <f t="shared" si="5"/>
        <v>APROBADO</v>
      </c>
      <c r="AI40" s="261"/>
      <c r="AJ40" s="261"/>
      <c r="AK40" s="261"/>
      <c r="AL40" s="261"/>
      <c r="AM40" s="262"/>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0" t="str">
        <f t="shared" si="5"/>
        <v>APROBADO</v>
      </c>
      <c r="AI41" s="261"/>
      <c r="AJ41" s="261"/>
      <c r="AK41" s="261"/>
      <c r="AL41" s="261"/>
      <c r="AM41" s="262"/>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0" t="str">
        <f t="shared" si="5"/>
        <v>APROBADO</v>
      </c>
      <c r="AI42" s="261"/>
      <c r="AJ42" s="261"/>
      <c r="AK42" s="261"/>
      <c r="AL42" s="261"/>
      <c r="AM42" s="262"/>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0" t="str">
        <f t="shared" si="5"/>
        <v>APROBADO</v>
      </c>
      <c r="AI43" s="261"/>
      <c r="AJ43" s="261"/>
      <c r="AK43" s="261"/>
      <c r="AL43" s="261"/>
      <c r="AM43" s="262"/>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0" t="str">
        <f t="shared" si="5"/>
        <v>APROBADO</v>
      </c>
      <c r="AI44" s="261"/>
      <c r="AJ44" s="261"/>
      <c r="AK44" s="261"/>
      <c r="AL44" s="261"/>
      <c r="AM44" s="262"/>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zoomScale="89" zoomScaleNormal="89" workbookViewId="0">
      <selection activeCell="B9" sqref="B9"/>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79" t="s">
        <v>105</v>
      </c>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8"/>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7" t="s">
        <v>56</v>
      </c>
      <c r="AD3" s="261"/>
      <c r="AE3" s="261"/>
      <c r="AF3" s="261"/>
      <c r="AG3" s="261"/>
      <c r="AH3" s="262"/>
      <c r="AI3" s="234">
        <f>CARÁTULA!$H$19</f>
        <v>44326</v>
      </c>
      <c r="AJ3" s="216"/>
      <c r="AK3" s="216"/>
      <c r="AL3" s="216"/>
      <c r="AM3" s="216"/>
      <c r="AN3" s="280" t="s">
        <v>57</v>
      </c>
      <c r="AO3" s="207"/>
      <c r="AP3" s="207"/>
      <c r="AQ3" s="207"/>
      <c r="AR3" s="208"/>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7" t="s">
        <v>59</v>
      </c>
      <c r="AD4" s="261"/>
      <c r="AE4" s="261"/>
      <c r="AF4" s="261"/>
      <c r="AG4" s="261"/>
      <c r="AH4" s="262"/>
      <c r="AI4" s="234">
        <f>CARÁTULA!$J$19</f>
        <v>44439</v>
      </c>
      <c r="AJ4" s="216"/>
      <c r="AK4" s="216"/>
      <c r="AL4" s="216"/>
      <c r="AM4" s="216"/>
      <c r="AN4" s="259">
        <f ca="1">AI4-AI5</f>
        <v>18</v>
      </c>
      <c r="AO4" s="226"/>
      <c r="AP4" s="226"/>
      <c r="AQ4" s="226"/>
      <c r="AR4" s="227"/>
    </row>
    <row r="5" spans="1:48" ht="12.75" customHeight="1" x14ac:dyDescent="0.4">
      <c r="A5" s="69"/>
      <c r="B5" s="72" t="s">
        <v>22</v>
      </c>
      <c r="C5" s="73" t="str">
        <f>CARÁTULA!$C$23</f>
        <v>5to de Secundaria</v>
      </c>
      <c r="D5" s="74"/>
      <c r="E5" s="74"/>
      <c r="F5" s="74"/>
      <c r="G5" s="72"/>
      <c r="H5" s="72"/>
      <c r="I5" s="72"/>
      <c r="J5" s="72"/>
      <c r="K5" s="72"/>
      <c r="L5" s="72"/>
      <c r="M5" s="72"/>
      <c r="N5" s="72"/>
      <c r="O5" s="72" t="s">
        <v>23</v>
      </c>
      <c r="P5" s="77"/>
      <c r="Q5" s="77"/>
      <c r="R5" s="77"/>
      <c r="S5" s="273">
        <f ca="1">TODAY()</f>
        <v>44421</v>
      </c>
      <c r="T5" s="207"/>
      <c r="U5" s="207"/>
      <c r="V5" s="207"/>
      <c r="W5" s="207"/>
      <c r="X5" s="207"/>
      <c r="Y5" s="207"/>
      <c r="Z5" s="207"/>
      <c r="AA5" s="208"/>
      <c r="AB5" s="74"/>
      <c r="AC5" s="278" t="s">
        <v>60</v>
      </c>
      <c r="AD5" s="261"/>
      <c r="AE5" s="261"/>
      <c r="AF5" s="261"/>
      <c r="AG5" s="261"/>
      <c r="AH5" s="262"/>
      <c r="AI5" s="281">
        <f ca="1">TODAY()</f>
        <v>44421</v>
      </c>
      <c r="AJ5" s="216"/>
      <c r="AK5" s="216"/>
      <c r="AL5" s="216"/>
      <c r="AM5" s="216"/>
      <c r="AN5" s="228"/>
      <c r="AO5" s="229"/>
      <c r="AP5" s="229"/>
      <c r="AQ5" s="229"/>
      <c r="AR5" s="230"/>
    </row>
    <row r="6" spans="1:48" ht="12.75" customHeight="1" x14ac:dyDescent="0.4">
      <c r="A6" s="69"/>
      <c r="B6" s="72"/>
      <c r="C6" s="222" t="s">
        <v>85</v>
      </c>
      <c r="D6" s="223"/>
      <c r="E6" s="223"/>
      <c r="F6" s="223"/>
      <c r="G6" s="223"/>
      <c r="H6" s="223"/>
      <c r="I6" s="223"/>
      <c r="J6" s="223"/>
      <c r="K6" s="223"/>
      <c r="L6" s="223"/>
      <c r="M6" s="223"/>
      <c r="N6" s="223"/>
      <c r="O6" s="223"/>
      <c r="P6" s="223"/>
      <c r="Q6" s="223"/>
      <c r="R6" s="223"/>
      <c r="S6" s="223"/>
      <c r="T6" s="223"/>
      <c r="U6" s="223"/>
      <c r="V6" s="223"/>
      <c r="W6" s="223"/>
      <c r="X6" s="223"/>
      <c r="Y6" s="223"/>
      <c r="Z6" s="223"/>
      <c r="AA6" s="224"/>
      <c r="AB6" s="274" t="s">
        <v>86</v>
      </c>
      <c r="AC6" s="261"/>
      <c r="AD6" s="261"/>
      <c r="AE6" s="262"/>
      <c r="AF6" s="78"/>
      <c r="AG6" s="79"/>
      <c r="AH6" s="79"/>
      <c r="AI6" s="80"/>
      <c r="AJ6" s="81"/>
      <c r="AK6" s="81"/>
      <c r="AL6" s="81"/>
      <c r="AM6" s="81"/>
      <c r="AN6" s="82"/>
      <c r="AO6" s="82"/>
      <c r="AP6" s="82"/>
      <c r="AQ6" s="82"/>
      <c r="AR6" s="82"/>
    </row>
    <row r="7" spans="1:48" ht="12" customHeight="1" x14ac:dyDescent="0.4">
      <c r="A7" s="69"/>
      <c r="B7" s="83"/>
      <c r="C7" s="275" t="s">
        <v>87</v>
      </c>
      <c r="D7" s="276" t="s">
        <v>88</v>
      </c>
      <c r="E7" s="223"/>
      <c r="F7" s="261"/>
      <c r="G7" s="261"/>
      <c r="H7" s="261"/>
      <c r="I7" s="261"/>
      <c r="J7" s="261"/>
      <c r="K7" s="261"/>
      <c r="L7" s="261"/>
      <c r="M7" s="261"/>
      <c r="N7" s="261"/>
      <c r="O7" s="272" t="s">
        <v>89</v>
      </c>
      <c r="P7" s="276" t="s">
        <v>90</v>
      </c>
      <c r="Q7" s="261"/>
      <c r="R7" s="261"/>
      <c r="S7" s="261"/>
      <c r="T7" s="261"/>
      <c r="U7" s="261"/>
      <c r="V7" s="261"/>
      <c r="W7" s="261"/>
      <c r="X7" s="261"/>
      <c r="Y7" s="261"/>
      <c r="Z7" s="261"/>
      <c r="AA7" s="271" t="s">
        <v>91</v>
      </c>
      <c r="AB7" s="272" t="s">
        <v>89</v>
      </c>
      <c r="AC7" s="271" t="s">
        <v>92</v>
      </c>
      <c r="AD7" s="271" t="s">
        <v>93</v>
      </c>
      <c r="AE7" s="272" t="s">
        <v>89</v>
      </c>
      <c r="AF7" s="264" t="s">
        <v>94</v>
      </c>
      <c r="AG7" s="266" t="s">
        <v>95</v>
      </c>
      <c r="AH7" s="267" t="s">
        <v>96</v>
      </c>
      <c r="AI7" s="223"/>
      <c r="AJ7" s="223"/>
      <c r="AK7" s="223"/>
      <c r="AL7" s="223"/>
      <c r="AM7" s="224"/>
      <c r="AN7" s="84"/>
      <c r="AO7" s="74"/>
      <c r="AP7" s="74"/>
      <c r="AQ7" s="74"/>
      <c r="AR7" s="69"/>
    </row>
    <row r="8" spans="1:48" ht="67.5" customHeight="1" x14ac:dyDescent="0.35">
      <c r="A8" s="48" t="s">
        <v>61</v>
      </c>
      <c r="B8" s="49" t="s">
        <v>62</v>
      </c>
      <c r="C8" s="265"/>
      <c r="D8" s="53" t="s">
        <v>176</v>
      </c>
      <c r="E8" s="53" t="s">
        <v>178</v>
      </c>
      <c r="F8" s="95" t="s">
        <v>182</v>
      </c>
      <c r="G8" s="67" t="s">
        <v>184</v>
      </c>
      <c r="H8" s="52" t="s">
        <v>185</v>
      </c>
      <c r="I8" s="52"/>
      <c r="J8" s="52"/>
      <c r="K8" s="52"/>
      <c r="L8" s="52"/>
      <c r="M8" s="52"/>
      <c r="N8" s="53"/>
      <c r="O8" s="265"/>
      <c r="P8" s="95" t="s">
        <v>175</v>
      </c>
      <c r="Q8" s="52" t="s">
        <v>177</v>
      </c>
      <c r="R8" s="52" t="s">
        <v>179</v>
      </c>
      <c r="S8" s="67" t="s">
        <v>180</v>
      </c>
      <c r="T8" s="52" t="s">
        <v>181</v>
      </c>
      <c r="U8" s="52" t="s">
        <v>183</v>
      </c>
      <c r="V8" s="52"/>
      <c r="W8" s="52"/>
      <c r="X8" s="52"/>
      <c r="Y8" s="52"/>
      <c r="Z8" s="52"/>
      <c r="AA8" s="265"/>
      <c r="AB8" s="265"/>
      <c r="AC8" s="265"/>
      <c r="AD8" s="265"/>
      <c r="AE8" s="265"/>
      <c r="AF8" s="265"/>
      <c r="AG8" s="265"/>
      <c r="AH8" s="268"/>
      <c r="AI8" s="269"/>
      <c r="AJ8" s="269"/>
      <c r="AK8" s="269"/>
      <c r="AL8" s="269"/>
      <c r="AM8" s="270"/>
      <c r="AN8" s="86"/>
      <c r="AO8" s="86"/>
      <c r="AP8" s="86"/>
      <c r="AQ8" s="86"/>
      <c r="AR8" s="87"/>
    </row>
    <row r="9" spans="1:48" ht="12" customHeight="1" x14ac:dyDescent="0.35">
      <c r="A9" s="57">
        <v>1</v>
      </c>
      <c r="B9" s="88" t="str">
        <f>'C. FILIACION'!B8</f>
        <v>ARAMAYO CARVALLO LITZI</v>
      </c>
      <c r="C9" s="31">
        <v>10</v>
      </c>
      <c r="D9" s="157">
        <v>35</v>
      </c>
      <c r="E9" s="158">
        <v>23</v>
      </c>
      <c r="F9" s="158">
        <v>18</v>
      </c>
      <c r="G9" s="31">
        <v>30</v>
      </c>
      <c r="H9" s="31">
        <v>18</v>
      </c>
      <c r="I9" s="31"/>
      <c r="J9" s="31"/>
      <c r="K9" s="31"/>
      <c r="L9" s="31"/>
      <c r="M9" s="31"/>
      <c r="N9" s="31"/>
      <c r="O9" s="91">
        <f t="shared" ref="O9:O44" si="0">IFERROR(ROUND(AVERAGE(D9:N9),0),"")</f>
        <v>25</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85</v>
      </c>
      <c r="AH9" s="260" t="str">
        <f t="shared" ref="AH9:AH44" si="5">IF(AG9="","",(IF(AND(AG9&gt;=1,AG9&lt;=50.499),"REPROBADO",IF(AND(AG9&gt;=50.5,AG9&lt;=100),"APROBADO"))))</f>
        <v>APROBADO</v>
      </c>
      <c r="AI9" s="261"/>
      <c r="AJ9" s="261"/>
      <c r="AK9" s="261"/>
      <c r="AL9" s="261"/>
      <c r="AM9" s="262"/>
      <c r="AN9" s="93" t="s">
        <v>101</v>
      </c>
      <c r="AO9" s="263">
        <f>COUNTIF(AF9:AF44,"ED")</f>
        <v>10</v>
      </c>
      <c r="AP9" s="262"/>
      <c r="AQ9" s="94"/>
      <c r="AR9" s="94"/>
    </row>
    <row r="10" spans="1:48" ht="12" customHeight="1" x14ac:dyDescent="0.35">
      <c r="A10" s="57">
        <v>2</v>
      </c>
      <c r="B10" s="88" t="str">
        <f>'C. FILIACION'!B9</f>
        <v>BLANCO SALVATIERRA LIZETH BRIGIDA</v>
      </c>
      <c r="C10" s="31">
        <v>10</v>
      </c>
      <c r="D10" s="157">
        <v>20</v>
      </c>
      <c r="E10" s="158">
        <v>28</v>
      </c>
      <c r="F10" s="158">
        <v>20</v>
      </c>
      <c r="G10" s="31">
        <v>25</v>
      </c>
      <c r="H10" s="31"/>
      <c r="I10" s="31"/>
      <c r="J10" s="31"/>
      <c r="K10" s="31"/>
      <c r="L10" s="31"/>
      <c r="M10" s="31"/>
      <c r="N10" s="31"/>
      <c r="O10" s="91">
        <f t="shared" si="0"/>
        <v>23</v>
      </c>
      <c r="P10" s="31">
        <v>32</v>
      </c>
      <c r="Q10" s="31">
        <v>30</v>
      </c>
      <c r="R10" s="31">
        <v>35</v>
      </c>
      <c r="S10" s="31">
        <v>25</v>
      </c>
      <c r="T10" s="31">
        <v>0</v>
      </c>
      <c r="U10" s="31">
        <v>20</v>
      </c>
      <c r="V10" s="31"/>
      <c r="W10" s="31"/>
      <c r="X10" s="31"/>
      <c r="Y10" s="31"/>
      <c r="Z10" s="31"/>
      <c r="AA10" s="31">
        <v>10</v>
      </c>
      <c r="AB10" s="91">
        <f t="shared" si="1"/>
        <v>24</v>
      </c>
      <c r="AC10" s="31">
        <v>5</v>
      </c>
      <c r="AD10" s="31">
        <v>5</v>
      </c>
      <c r="AE10" s="91">
        <f t="shared" si="2"/>
        <v>10</v>
      </c>
      <c r="AF10" s="92" t="str">
        <f t="shared" si="3"/>
        <v>DO</v>
      </c>
      <c r="AG10" s="91">
        <f t="shared" si="4"/>
        <v>77</v>
      </c>
      <c r="AH10" s="260" t="str">
        <f t="shared" si="5"/>
        <v>APROBADO</v>
      </c>
      <c r="AI10" s="261"/>
      <c r="AJ10" s="261"/>
      <c r="AK10" s="261"/>
      <c r="AL10" s="261"/>
      <c r="AM10" s="262"/>
      <c r="AN10" s="48" t="s">
        <v>102</v>
      </c>
      <c r="AO10" s="263">
        <f>COUNTIF(AF9:AF44,"DA")</f>
        <v>4</v>
      </c>
      <c r="AP10" s="262"/>
      <c r="AQ10" s="94"/>
      <c r="AR10" s="94"/>
    </row>
    <row r="11" spans="1:48" ht="12" customHeight="1" x14ac:dyDescent="0.35">
      <c r="A11" s="57">
        <v>3</v>
      </c>
      <c r="B11" s="88" t="str">
        <f>'C. FILIACION'!B10</f>
        <v>GARCIA FAUCA NIELS HAMILTON</v>
      </c>
      <c r="C11" s="31">
        <v>10</v>
      </c>
      <c r="D11" s="157">
        <v>20</v>
      </c>
      <c r="E11" s="158">
        <v>21</v>
      </c>
      <c r="F11" s="158">
        <v>35</v>
      </c>
      <c r="G11" s="31">
        <v>35</v>
      </c>
      <c r="H11" s="31"/>
      <c r="I11" s="31"/>
      <c r="J11" s="31"/>
      <c r="K11" s="31"/>
      <c r="L11" s="31"/>
      <c r="M11" s="31"/>
      <c r="N11" s="31"/>
      <c r="O11" s="91">
        <f t="shared" si="0"/>
        <v>28</v>
      </c>
      <c r="P11" s="31">
        <v>20</v>
      </c>
      <c r="Q11" s="31">
        <v>20</v>
      </c>
      <c r="R11" s="89">
        <v>20</v>
      </c>
      <c r="S11" s="31">
        <v>20</v>
      </c>
      <c r="T11" s="31">
        <v>35</v>
      </c>
      <c r="U11" s="31">
        <v>35</v>
      </c>
      <c r="V11" s="31"/>
      <c r="W11" s="31"/>
      <c r="X11" s="31"/>
      <c r="Y11" s="31"/>
      <c r="Z11" s="31"/>
      <c r="AA11" s="31">
        <v>10</v>
      </c>
      <c r="AB11" s="91">
        <f t="shared" si="1"/>
        <v>25</v>
      </c>
      <c r="AC11" s="31">
        <v>5</v>
      </c>
      <c r="AD11" s="31">
        <v>5</v>
      </c>
      <c r="AE11" s="91">
        <f t="shared" si="2"/>
        <v>10</v>
      </c>
      <c r="AF11" s="92" t="str">
        <f t="shared" si="3"/>
        <v>DO</v>
      </c>
      <c r="AG11" s="91">
        <f t="shared" si="4"/>
        <v>83</v>
      </c>
      <c r="AH11" s="260" t="str">
        <f t="shared" si="5"/>
        <v>APROBADO</v>
      </c>
      <c r="AI11" s="261"/>
      <c r="AJ11" s="261"/>
      <c r="AK11" s="261"/>
      <c r="AL11" s="261"/>
      <c r="AM11" s="262"/>
      <c r="AN11" s="48" t="s">
        <v>103</v>
      </c>
      <c r="AO11" s="263">
        <f>COUNTIF(AF9:AF44,"DO")</f>
        <v>7</v>
      </c>
      <c r="AP11" s="262"/>
      <c r="AQ11" s="94"/>
      <c r="AR11" s="94"/>
    </row>
    <row r="12" spans="1:48" ht="12" customHeight="1" x14ac:dyDescent="0.35">
      <c r="A12" s="57">
        <v>4</v>
      </c>
      <c r="B12" s="171" t="str">
        <f>'C. FILIACION'!B11</f>
        <v>GOITIA VEIZAN MORGAN CRISTHIAN</v>
      </c>
      <c r="C12" s="160">
        <v>10</v>
      </c>
      <c r="D12" s="172">
        <v>0</v>
      </c>
      <c r="E12" s="173">
        <v>0</v>
      </c>
      <c r="F12" s="173">
        <v>0</v>
      </c>
      <c r="G12" s="160">
        <v>0</v>
      </c>
      <c r="H12" s="160"/>
      <c r="I12" s="160"/>
      <c r="J12" s="160"/>
      <c r="K12" s="160"/>
      <c r="L12" s="160"/>
      <c r="M12" s="160"/>
      <c r="N12" s="160"/>
      <c r="O12" s="174">
        <f t="shared" si="0"/>
        <v>0</v>
      </c>
      <c r="P12" s="160">
        <v>0</v>
      </c>
      <c r="Q12" s="160">
        <v>0</v>
      </c>
      <c r="R12" s="160">
        <v>0</v>
      </c>
      <c r="S12" s="160">
        <v>0</v>
      </c>
      <c r="T12" s="160">
        <v>0</v>
      </c>
      <c r="U12" s="160">
        <v>0</v>
      </c>
      <c r="V12" s="160"/>
      <c r="W12" s="160"/>
      <c r="X12" s="160"/>
      <c r="Y12" s="160"/>
      <c r="Z12" s="160"/>
      <c r="AA12" s="160">
        <v>10</v>
      </c>
      <c r="AB12" s="174">
        <f t="shared" si="1"/>
        <v>0</v>
      </c>
      <c r="AC12" s="160">
        <v>5</v>
      </c>
      <c r="AD12" s="160">
        <v>5</v>
      </c>
      <c r="AE12" s="174">
        <f t="shared" si="2"/>
        <v>10</v>
      </c>
      <c r="AF12" s="175" t="str">
        <f t="shared" si="3"/>
        <v>ED</v>
      </c>
      <c r="AG12" s="174">
        <f t="shared" si="4"/>
        <v>30</v>
      </c>
      <c r="AH12" s="282" t="str">
        <f t="shared" si="5"/>
        <v>REPROBADO</v>
      </c>
      <c r="AI12" s="283"/>
      <c r="AJ12" s="283"/>
      <c r="AK12" s="283"/>
      <c r="AL12" s="283"/>
      <c r="AM12" s="284"/>
      <c r="AN12" s="48" t="s">
        <v>104</v>
      </c>
      <c r="AO12" s="263">
        <f>COUNTIF(AF9:AF44,"DP")</f>
        <v>15</v>
      </c>
      <c r="AP12" s="262"/>
      <c r="AQ12" s="94"/>
      <c r="AR12" s="94"/>
    </row>
    <row r="13" spans="1:48" ht="12" customHeight="1" x14ac:dyDescent="0.35">
      <c r="A13" s="57">
        <v>5</v>
      </c>
      <c r="B13" s="171" t="str">
        <f>'C. FILIACION'!B12</f>
        <v>GOMEZ LUCANA ALISON NAYR</v>
      </c>
      <c r="C13" s="160">
        <v>10</v>
      </c>
      <c r="D13" s="172">
        <v>0</v>
      </c>
      <c r="E13" s="173">
        <v>0</v>
      </c>
      <c r="F13" s="173">
        <v>0</v>
      </c>
      <c r="G13" s="160">
        <v>0</v>
      </c>
      <c r="H13" s="160"/>
      <c r="I13" s="160"/>
      <c r="J13" s="160"/>
      <c r="K13" s="160"/>
      <c r="L13" s="160"/>
      <c r="M13" s="160"/>
      <c r="N13" s="160"/>
      <c r="O13" s="174">
        <f t="shared" si="0"/>
        <v>0</v>
      </c>
      <c r="P13" s="160">
        <v>0</v>
      </c>
      <c r="Q13" s="160">
        <v>0</v>
      </c>
      <c r="R13" s="160">
        <v>0</v>
      </c>
      <c r="S13" s="160">
        <v>0</v>
      </c>
      <c r="T13" s="160">
        <v>0</v>
      </c>
      <c r="U13" s="160">
        <v>0</v>
      </c>
      <c r="V13" s="160"/>
      <c r="W13" s="160"/>
      <c r="X13" s="160"/>
      <c r="Y13" s="160"/>
      <c r="Z13" s="160"/>
      <c r="AA13" s="160">
        <v>10</v>
      </c>
      <c r="AB13" s="174">
        <f t="shared" si="1"/>
        <v>0</v>
      </c>
      <c r="AC13" s="160">
        <v>5</v>
      </c>
      <c r="AD13" s="160">
        <v>5</v>
      </c>
      <c r="AE13" s="174">
        <f t="shared" si="2"/>
        <v>10</v>
      </c>
      <c r="AF13" s="175" t="str">
        <f t="shared" si="3"/>
        <v>ED</v>
      </c>
      <c r="AG13" s="174">
        <f t="shared" si="4"/>
        <v>30</v>
      </c>
      <c r="AH13" s="282" t="str">
        <f t="shared" si="5"/>
        <v>REPROBADO</v>
      </c>
      <c r="AI13" s="283"/>
      <c r="AJ13" s="283"/>
      <c r="AK13" s="283"/>
      <c r="AL13" s="283"/>
      <c r="AM13" s="284"/>
      <c r="AN13" s="94"/>
      <c r="AO13" s="94"/>
      <c r="AP13" s="94"/>
      <c r="AQ13" s="94"/>
      <c r="AR13" s="94"/>
    </row>
    <row r="14" spans="1:48" ht="12" customHeight="1" x14ac:dyDescent="0.35">
      <c r="A14" s="57">
        <v>6</v>
      </c>
      <c r="B14" s="171" t="str">
        <f>'C. FILIACION'!B13</f>
        <v>GUTIERREZ ALVAREZ ALEX BEYMAR</v>
      </c>
      <c r="C14" s="160">
        <v>10</v>
      </c>
      <c r="D14" s="172">
        <v>0</v>
      </c>
      <c r="E14" s="173">
        <v>0</v>
      </c>
      <c r="F14" s="173">
        <v>0</v>
      </c>
      <c r="G14" s="160">
        <v>10</v>
      </c>
      <c r="H14" s="160"/>
      <c r="I14" s="160"/>
      <c r="J14" s="160"/>
      <c r="K14" s="160"/>
      <c r="L14" s="160"/>
      <c r="M14" s="160"/>
      <c r="N14" s="160"/>
      <c r="O14" s="174">
        <f t="shared" si="0"/>
        <v>3</v>
      </c>
      <c r="P14" s="160">
        <v>0</v>
      </c>
      <c r="Q14" s="160">
        <v>0</v>
      </c>
      <c r="R14" s="160">
        <v>0</v>
      </c>
      <c r="S14" s="160">
        <v>0</v>
      </c>
      <c r="T14" s="160">
        <v>20</v>
      </c>
      <c r="U14" s="160">
        <v>0</v>
      </c>
      <c r="V14" s="160"/>
      <c r="W14" s="160"/>
      <c r="X14" s="160"/>
      <c r="Y14" s="160"/>
      <c r="Z14" s="160"/>
      <c r="AA14" s="160">
        <v>10</v>
      </c>
      <c r="AB14" s="174">
        <f t="shared" si="1"/>
        <v>3</v>
      </c>
      <c r="AC14" s="160">
        <v>5</v>
      </c>
      <c r="AD14" s="160">
        <v>5</v>
      </c>
      <c r="AE14" s="174">
        <f t="shared" si="2"/>
        <v>10</v>
      </c>
      <c r="AF14" s="175" t="str">
        <f t="shared" si="3"/>
        <v>ED</v>
      </c>
      <c r="AG14" s="174">
        <f t="shared" si="4"/>
        <v>36</v>
      </c>
      <c r="AH14" s="282" t="str">
        <f t="shared" si="5"/>
        <v>REPROBADO</v>
      </c>
      <c r="AI14" s="283"/>
      <c r="AJ14" s="283"/>
      <c r="AK14" s="283"/>
      <c r="AL14" s="283"/>
      <c r="AM14" s="284"/>
      <c r="AN14" s="94"/>
      <c r="AO14" s="94"/>
      <c r="AP14" s="94"/>
      <c r="AQ14" s="94"/>
      <c r="AR14" s="94"/>
    </row>
    <row r="15" spans="1:48" ht="12" customHeight="1" x14ac:dyDescent="0.35">
      <c r="A15" s="57">
        <v>7</v>
      </c>
      <c r="B15" s="88" t="str">
        <f>'C. FILIACION'!B14</f>
        <v>LOPEZ PACO MIGUEL ANGEL</v>
      </c>
      <c r="C15" s="31">
        <v>10</v>
      </c>
      <c r="D15" s="157">
        <v>15</v>
      </c>
      <c r="E15" s="158">
        <v>28</v>
      </c>
      <c r="F15" s="158">
        <v>20</v>
      </c>
      <c r="G15" s="31">
        <v>18</v>
      </c>
      <c r="H15" s="31">
        <v>34</v>
      </c>
      <c r="I15" s="31"/>
      <c r="J15" s="31"/>
      <c r="K15" s="31"/>
      <c r="L15" s="31"/>
      <c r="M15" s="31"/>
      <c r="N15" s="31"/>
      <c r="O15" s="91">
        <f t="shared" si="0"/>
        <v>23</v>
      </c>
      <c r="P15" s="89">
        <v>15</v>
      </c>
      <c r="Q15" s="31">
        <v>15</v>
      </c>
      <c r="R15" s="31">
        <v>35</v>
      </c>
      <c r="S15" s="160">
        <v>15</v>
      </c>
      <c r="T15" s="31">
        <v>20</v>
      </c>
      <c r="U15" s="31">
        <v>15</v>
      </c>
      <c r="V15" s="31"/>
      <c r="W15" s="31"/>
      <c r="X15" s="31"/>
      <c r="Y15" s="31"/>
      <c r="Z15" s="31"/>
      <c r="AA15" s="31">
        <v>10</v>
      </c>
      <c r="AB15" s="91">
        <f t="shared" si="1"/>
        <v>19</v>
      </c>
      <c r="AC15" s="31">
        <v>5</v>
      </c>
      <c r="AD15" s="31">
        <v>5</v>
      </c>
      <c r="AE15" s="91">
        <f t="shared" si="2"/>
        <v>10</v>
      </c>
      <c r="AF15" s="92" t="str">
        <f t="shared" si="3"/>
        <v>DO</v>
      </c>
      <c r="AG15" s="91">
        <f t="shared" si="4"/>
        <v>72</v>
      </c>
      <c r="AH15" s="260" t="str">
        <f t="shared" si="5"/>
        <v>APROBADO</v>
      </c>
      <c r="AI15" s="261"/>
      <c r="AJ15" s="261"/>
      <c r="AK15" s="261"/>
      <c r="AL15" s="261"/>
      <c r="AM15" s="262"/>
      <c r="AN15" s="94"/>
      <c r="AO15" s="94"/>
      <c r="AP15" s="94"/>
      <c r="AQ15" s="94"/>
      <c r="AR15" s="94"/>
    </row>
    <row r="16" spans="1:48" ht="12" customHeight="1" x14ac:dyDescent="0.35">
      <c r="A16" s="57">
        <v>8</v>
      </c>
      <c r="B16" s="171" t="str">
        <f>'C. FILIACION'!B15</f>
        <v>MAMANI AQUINO LUCAS</v>
      </c>
      <c r="C16" s="160">
        <v>10</v>
      </c>
      <c r="D16" s="172">
        <v>0</v>
      </c>
      <c r="E16" s="173">
        <v>0</v>
      </c>
      <c r="F16" s="173">
        <v>0</v>
      </c>
      <c r="G16" s="160">
        <v>0</v>
      </c>
      <c r="H16" s="160">
        <v>18</v>
      </c>
      <c r="I16" s="160"/>
      <c r="J16" s="160"/>
      <c r="K16" s="160"/>
      <c r="L16" s="160"/>
      <c r="M16" s="160"/>
      <c r="N16" s="160"/>
      <c r="O16" s="174">
        <f t="shared" si="0"/>
        <v>4</v>
      </c>
      <c r="P16" s="160">
        <v>0</v>
      </c>
      <c r="Q16" s="160">
        <v>0</v>
      </c>
      <c r="R16" s="160">
        <v>0</v>
      </c>
      <c r="S16" s="160">
        <v>0</v>
      </c>
      <c r="T16" s="160">
        <v>0</v>
      </c>
      <c r="U16" s="160">
        <v>0</v>
      </c>
      <c r="V16" s="160"/>
      <c r="W16" s="160"/>
      <c r="X16" s="160"/>
      <c r="Y16" s="160"/>
      <c r="Z16" s="160"/>
      <c r="AA16" s="160">
        <v>10</v>
      </c>
      <c r="AB16" s="174">
        <f t="shared" si="1"/>
        <v>0</v>
      </c>
      <c r="AC16" s="160">
        <v>5</v>
      </c>
      <c r="AD16" s="160">
        <v>5</v>
      </c>
      <c r="AE16" s="174">
        <f t="shared" si="2"/>
        <v>10</v>
      </c>
      <c r="AF16" s="175" t="str">
        <f t="shared" si="3"/>
        <v>ED</v>
      </c>
      <c r="AG16" s="174">
        <f t="shared" si="4"/>
        <v>34</v>
      </c>
      <c r="AH16" s="282" t="str">
        <f t="shared" si="5"/>
        <v>REPROBADO</v>
      </c>
      <c r="AI16" s="283"/>
      <c r="AJ16" s="283"/>
      <c r="AK16" s="283"/>
      <c r="AL16" s="283"/>
      <c r="AM16" s="284"/>
      <c r="AN16" s="176"/>
      <c r="AO16" s="176"/>
      <c r="AP16" s="176"/>
      <c r="AQ16" s="176"/>
      <c r="AR16" s="176"/>
    </row>
    <row r="17" spans="1:45" ht="12" customHeight="1" x14ac:dyDescent="0.35">
      <c r="A17" s="57">
        <v>9</v>
      </c>
      <c r="B17" s="88" t="str">
        <f>'C. FILIACION'!B16</f>
        <v>MAMANI VASQUEZ FRANZ DARWIN</v>
      </c>
      <c r="C17" s="31">
        <v>10</v>
      </c>
      <c r="D17" s="157">
        <v>35</v>
      </c>
      <c r="E17" s="158">
        <v>28</v>
      </c>
      <c r="F17" s="158">
        <v>30</v>
      </c>
      <c r="G17" s="31">
        <v>35</v>
      </c>
      <c r="H17" s="31">
        <v>35</v>
      </c>
      <c r="I17" s="31"/>
      <c r="J17" s="31"/>
      <c r="K17" s="31"/>
      <c r="L17" s="31"/>
      <c r="M17" s="31"/>
      <c r="N17" s="31"/>
      <c r="O17" s="91">
        <f t="shared" si="0"/>
        <v>33</v>
      </c>
      <c r="P17" s="31">
        <v>32</v>
      </c>
      <c r="Q17" s="31">
        <v>35</v>
      </c>
      <c r="R17" s="31">
        <v>35</v>
      </c>
      <c r="S17" s="31">
        <v>30</v>
      </c>
      <c r="T17" s="31">
        <v>35</v>
      </c>
      <c r="U17" s="31">
        <v>35</v>
      </c>
      <c r="V17" s="31"/>
      <c r="W17" s="31"/>
      <c r="X17" s="31"/>
      <c r="Y17" s="31"/>
      <c r="Z17" s="31"/>
      <c r="AA17" s="31">
        <v>10</v>
      </c>
      <c r="AB17" s="91">
        <f t="shared" si="1"/>
        <v>34</v>
      </c>
      <c r="AC17" s="31">
        <v>5</v>
      </c>
      <c r="AD17" s="31">
        <v>5</v>
      </c>
      <c r="AE17" s="91">
        <f t="shared" si="2"/>
        <v>10</v>
      </c>
      <c r="AF17" s="92" t="str">
        <f t="shared" si="3"/>
        <v>DP</v>
      </c>
      <c r="AG17" s="91">
        <f t="shared" si="4"/>
        <v>97</v>
      </c>
      <c r="AH17" s="260" t="str">
        <f t="shared" si="5"/>
        <v>APROBADO</v>
      </c>
      <c r="AI17" s="261"/>
      <c r="AJ17" s="261"/>
      <c r="AK17" s="261"/>
      <c r="AL17" s="261"/>
      <c r="AM17" s="262"/>
      <c r="AN17" s="176"/>
      <c r="AO17" s="176"/>
      <c r="AP17" s="176"/>
      <c r="AQ17" s="176"/>
      <c r="AR17" s="176"/>
    </row>
    <row r="18" spans="1:45" ht="12" customHeight="1" x14ac:dyDescent="0.35">
      <c r="A18" s="57">
        <v>10</v>
      </c>
      <c r="B18" s="171" t="str">
        <f>'C. FILIACION'!B17</f>
        <v>MARTINEZ MAMANI JORGE ARMANDO</v>
      </c>
      <c r="C18" s="160">
        <v>10</v>
      </c>
      <c r="D18" s="172">
        <v>0</v>
      </c>
      <c r="E18" s="173">
        <v>0</v>
      </c>
      <c r="F18" s="173">
        <v>0</v>
      </c>
      <c r="G18" s="160">
        <v>20</v>
      </c>
      <c r="H18" s="160"/>
      <c r="I18" s="160"/>
      <c r="J18" s="160"/>
      <c r="K18" s="160"/>
      <c r="L18" s="160"/>
      <c r="M18" s="160"/>
      <c r="N18" s="160"/>
      <c r="O18" s="174">
        <f t="shared" si="0"/>
        <v>5</v>
      </c>
      <c r="P18" s="160">
        <v>0</v>
      </c>
      <c r="Q18" s="160">
        <v>0</v>
      </c>
      <c r="R18" s="160">
        <v>0</v>
      </c>
      <c r="S18" s="160">
        <v>0</v>
      </c>
      <c r="T18" s="160">
        <v>0</v>
      </c>
      <c r="U18" s="160">
        <v>0</v>
      </c>
      <c r="V18" s="160"/>
      <c r="W18" s="160"/>
      <c r="X18" s="160"/>
      <c r="Y18" s="160"/>
      <c r="Z18" s="160"/>
      <c r="AA18" s="160">
        <v>10</v>
      </c>
      <c r="AB18" s="174">
        <f t="shared" si="1"/>
        <v>0</v>
      </c>
      <c r="AC18" s="160">
        <v>5</v>
      </c>
      <c r="AD18" s="160">
        <v>5</v>
      </c>
      <c r="AE18" s="174">
        <f t="shared" si="2"/>
        <v>10</v>
      </c>
      <c r="AF18" s="175" t="str">
        <f t="shared" si="3"/>
        <v>ED</v>
      </c>
      <c r="AG18" s="174">
        <f t="shared" si="4"/>
        <v>35</v>
      </c>
      <c r="AH18" s="282" t="str">
        <f t="shared" si="5"/>
        <v>REPROBADO</v>
      </c>
      <c r="AI18" s="283"/>
      <c r="AJ18" s="283"/>
      <c r="AK18" s="283"/>
      <c r="AL18" s="283"/>
      <c r="AM18" s="284"/>
      <c r="AN18" s="176"/>
      <c r="AO18" s="176"/>
      <c r="AP18" s="176"/>
      <c r="AQ18" s="176"/>
      <c r="AR18" s="176"/>
    </row>
    <row r="19" spans="1:45" ht="12" customHeight="1" x14ac:dyDescent="0.35">
      <c r="A19" s="57">
        <v>11</v>
      </c>
      <c r="B19" s="171" t="str">
        <f>'C. FILIACION'!B18</f>
        <v>MEDINA PEREIRA GABRIEL LEANDRO</v>
      </c>
      <c r="C19" s="160">
        <v>10</v>
      </c>
      <c r="D19" s="172">
        <v>0</v>
      </c>
      <c r="E19" s="173">
        <v>0</v>
      </c>
      <c r="F19" s="173">
        <v>0</v>
      </c>
      <c r="G19" s="160">
        <v>0</v>
      </c>
      <c r="H19" s="160"/>
      <c r="I19" s="160"/>
      <c r="J19" s="160"/>
      <c r="K19" s="160"/>
      <c r="L19" s="160"/>
      <c r="M19" s="160"/>
      <c r="N19" s="160"/>
      <c r="O19" s="174">
        <f t="shared" si="0"/>
        <v>0</v>
      </c>
      <c r="P19" s="160">
        <v>0</v>
      </c>
      <c r="Q19" s="160">
        <v>0</v>
      </c>
      <c r="R19" s="160">
        <v>0</v>
      </c>
      <c r="S19" s="160">
        <v>0</v>
      </c>
      <c r="T19" s="160">
        <v>0</v>
      </c>
      <c r="U19" s="160">
        <v>0</v>
      </c>
      <c r="V19" s="160"/>
      <c r="W19" s="160"/>
      <c r="X19" s="160"/>
      <c r="Y19" s="160"/>
      <c r="Z19" s="160"/>
      <c r="AA19" s="160">
        <v>10</v>
      </c>
      <c r="AB19" s="174">
        <f t="shared" si="1"/>
        <v>0</v>
      </c>
      <c r="AC19" s="160">
        <v>5</v>
      </c>
      <c r="AD19" s="160">
        <v>5</v>
      </c>
      <c r="AE19" s="174">
        <f t="shared" si="2"/>
        <v>10</v>
      </c>
      <c r="AF19" s="175" t="str">
        <f t="shared" si="3"/>
        <v>ED</v>
      </c>
      <c r="AG19" s="174">
        <f t="shared" si="4"/>
        <v>30</v>
      </c>
      <c r="AH19" s="282" t="str">
        <f t="shared" si="5"/>
        <v>REPROBADO</v>
      </c>
      <c r="AI19" s="283"/>
      <c r="AJ19" s="283"/>
      <c r="AK19" s="283"/>
      <c r="AL19" s="283"/>
      <c r="AM19" s="284"/>
      <c r="AN19" s="176"/>
      <c r="AO19" s="176"/>
      <c r="AP19" s="176"/>
      <c r="AQ19" s="176"/>
      <c r="AR19" s="176"/>
    </row>
    <row r="20" spans="1:45" ht="12" customHeight="1" x14ac:dyDescent="0.35">
      <c r="A20" s="57">
        <v>12</v>
      </c>
      <c r="B20" s="171" t="str">
        <f>'C. FILIACION'!B19</f>
        <v>MEDINA PEREIRA YULIANA</v>
      </c>
      <c r="C20" s="160">
        <v>10</v>
      </c>
      <c r="D20" s="172">
        <v>0</v>
      </c>
      <c r="E20" s="173">
        <v>0</v>
      </c>
      <c r="F20" s="173">
        <v>0</v>
      </c>
      <c r="G20" s="160">
        <v>0</v>
      </c>
      <c r="H20" s="160"/>
      <c r="I20" s="160"/>
      <c r="J20" s="160"/>
      <c r="K20" s="160"/>
      <c r="L20" s="160"/>
      <c r="M20" s="160"/>
      <c r="N20" s="160"/>
      <c r="O20" s="174">
        <f t="shared" si="0"/>
        <v>0</v>
      </c>
      <c r="P20" s="160">
        <v>0</v>
      </c>
      <c r="Q20" s="160">
        <v>0</v>
      </c>
      <c r="R20" s="160">
        <v>0</v>
      </c>
      <c r="S20" s="160">
        <v>0</v>
      </c>
      <c r="T20" s="160">
        <v>0</v>
      </c>
      <c r="U20" s="160">
        <v>0</v>
      </c>
      <c r="V20" s="160"/>
      <c r="W20" s="160"/>
      <c r="X20" s="160"/>
      <c r="Y20" s="160"/>
      <c r="Z20" s="160"/>
      <c r="AA20" s="160">
        <v>10</v>
      </c>
      <c r="AB20" s="174">
        <f t="shared" si="1"/>
        <v>0</v>
      </c>
      <c r="AC20" s="160">
        <v>5</v>
      </c>
      <c r="AD20" s="160">
        <v>5</v>
      </c>
      <c r="AE20" s="174">
        <f t="shared" si="2"/>
        <v>10</v>
      </c>
      <c r="AF20" s="175" t="str">
        <f t="shared" si="3"/>
        <v>ED</v>
      </c>
      <c r="AG20" s="174">
        <f t="shared" si="4"/>
        <v>30</v>
      </c>
      <c r="AH20" s="282" t="str">
        <f t="shared" si="5"/>
        <v>REPROBADO</v>
      </c>
      <c r="AI20" s="283"/>
      <c r="AJ20" s="283"/>
      <c r="AK20" s="283"/>
      <c r="AL20" s="283"/>
      <c r="AM20" s="284"/>
      <c r="AN20" s="176"/>
      <c r="AO20" s="176"/>
      <c r="AP20" s="176"/>
      <c r="AQ20" s="176"/>
      <c r="AR20" s="176"/>
    </row>
    <row r="21" spans="1:45" ht="12" customHeight="1" x14ac:dyDescent="0.35">
      <c r="A21" s="57">
        <v>13</v>
      </c>
      <c r="B21" s="88" t="str">
        <f>'C. FILIACION'!B20</f>
        <v>MORALES BERNABEL JULETH CHANTAL</v>
      </c>
      <c r="C21" s="31">
        <v>10</v>
      </c>
      <c r="D21" s="157">
        <v>35</v>
      </c>
      <c r="E21" s="158">
        <v>25</v>
      </c>
      <c r="F21" s="158">
        <v>35</v>
      </c>
      <c r="G21" s="31">
        <v>28</v>
      </c>
      <c r="H21" s="31"/>
      <c r="I21" s="31"/>
      <c r="J21" s="31"/>
      <c r="K21" s="31"/>
      <c r="L21" s="31"/>
      <c r="M21" s="31"/>
      <c r="N21" s="31"/>
      <c r="O21" s="91">
        <f t="shared" si="0"/>
        <v>31</v>
      </c>
      <c r="P21" s="89">
        <v>33</v>
      </c>
      <c r="Q21" s="31">
        <v>35</v>
      </c>
      <c r="R21" s="31">
        <v>18</v>
      </c>
      <c r="S21" s="31">
        <v>20</v>
      </c>
      <c r="T21" s="31">
        <v>18</v>
      </c>
      <c r="U21" s="31">
        <v>35</v>
      </c>
      <c r="V21" s="31"/>
      <c r="W21" s="31"/>
      <c r="X21" s="31"/>
      <c r="Y21" s="31"/>
      <c r="Z21" s="31"/>
      <c r="AA21" s="31">
        <v>10</v>
      </c>
      <c r="AB21" s="91">
        <f t="shared" si="1"/>
        <v>27</v>
      </c>
      <c r="AC21" s="31">
        <v>5</v>
      </c>
      <c r="AD21" s="31">
        <v>5</v>
      </c>
      <c r="AE21" s="91">
        <f t="shared" si="2"/>
        <v>10</v>
      </c>
      <c r="AF21" s="92" t="str">
        <f t="shared" si="3"/>
        <v>DP</v>
      </c>
      <c r="AG21" s="91">
        <f t="shared" si="4"/>
        <v>88</v>
      </c>
      <c r="AH21" s="260" t="str">
        <f t="shared" si="5"/>
        <v>APROBADO</v>
      </c>
      <c r="AI21" s="261"/>
      <c r="AJ21" s="261"/>
      <c r="AK21" s="261"/>
      <c r="AL21" s="261"/>
      <c r="AM21" s="262"/>
      <c r="AN21" s="94"/>
      <c r="AO21" s="94"/>
      <c r="AP21" s="94"/>
      <c r="AQ21" s="94"/>
      <c r="AR21" s="94"/>
    </row>
    <row r="22" spans="1:45" ht="12" customHeight="1" x14ac:dyDescent="0.35">
      <c r="A22" s="57">
        <v>14</v>
      </c>
      <c r="B22" s="88" t="str">
        <f>'C. FILIACION'!B21</f>
        <v>ORELLANA MOGRO ADAMO LEVING</v>
      </c>
      <c r="C22" s="31">
        <v>10</v>
      </c>
      <c r="D22" s="157">
        <v>35</v>
      </c>
      <c r="E22" s="158">
        <v>21</v>
      </c>
      <c r="F22" s="158">
        <v>20</v>
      </c>
      <c r="G22" s="31">
        <v>30</v>
      </c>
      <c r="H22" s="31">
        <v>24</v>
      </c>
      <c r="I22" s="31"/>
      <c r="J22" s="31"/>
      <c r="K22" s="31"/>
      <c r="L22" s="31"/>
      <c r="M22" s="31"/>
      <c r="N22" s="31"/>
      <c r="O22" s="91">
        <f t="shared" si="0"/>
        <v>26</v>
      </c>
      <c r="P22" s="31">
        <v>30</v>
      </c>
      <c r="Q22" s="31">
        <v>15</v>
      </c>
      <c r="R22" s="31">
        <v>20</v>
      </c>
      <c r="S22" s="31">
        <v>20</v>
      </c>
      <c r="T22" s="31">
        <v>18</v>
      </c>
      <c r="U22" s="31">
        <v>30</v>
      </c>
      <c r="V22" s="31"/>
      <c r="W22" s="31"/>
      <c r="X22" s="31"/>
      <c r="Y22" s="31"/>
      <c r="Z22" s="31"/>
      <c r="AA22" s="31">
        <v>10</v>
      </c>
      <c r="AB22" s="91">
        <f t="shared" si="1"/>
        <v>22</v>
      </c>
      <c r="AC22" s="31">
        <v>5</v>
      </c>
      <c r="AD22" s="31">
        <v>5</v>
      </c>
      <c r="AE22" s="91">
        <f t="shared" si="2"/>
        <v>10</v>
      </c>
      <c r="AF22" s="92" t="str">
        <f t="shared" si="3"/>
        <v>DO</v>
      </c>
      <c r="AG22" s="91">
        <f t="shared" si="4"/>
        <v>78</v>
      </c>
      <c r="AH22" s="260" t="str">
        <f t="shared" si="5"/>
        <v>APROBADO</v>
      </c>
      <c r="AI22" s="261"/>
      <c r="AJ22" s="261"/>
      <c r="AK22" s="261"/>
      <c r="AL22" s="261"/>
      <c r="AM22" s="262"/>
      <c r="AN22" s="94"/>
      <c r="AO22" s="94"/>
      <c r="AP22" s="94"/>
      <c r="AQ22" s="94"/>
      <c r="AR22" s="94"/>
    </row>
    <row r="23" spans="1:45" ht="12" customHeight="1" x14ac:dyDescent="0.35">
      <c r="A23" s="57">
        <v>15</v>
      </c>
      <c r="B23" s="163" t="str">
        <f>'C. FILIACION'!B22</f>
        <v>PAHUASI HUAYTA LUZ ADRIANA</v>
      </c>
      <c r="C23" s="164">
        <v>10</v>
      </c>
      <c r="D23" s="165">
        <v>0</v>
      </c>
      <c r="E23" s="166">
        <v>0</v>
      </c>
      <c r="F23" s="166">
        <v>0</v>
      </c>
      <c r="G23" s="164">
        <v>0</v>
      </c>
      <c r="H23" s="164"/>
      <c r="I23" s="164"/>
      <c r="J23" s="164"/>
      <c r="K23" s="164"/>
      <c r="L23" s="164"/>
      <c r="M23" s="164"/>
      <c r="N23" s="164"/>
      <c r="O23" s="167">
        <f t="shared" si="0"/>
        <v>0</v>
      </c>
      <c r="P23" s="164">
        <v>0</v>
      </c>
      <c r="Q23" s="164">
        <v>0</v>
      </c>
      <c r="R23" s="164">
        <v>0</v>
      </c>
      <c r="S23" s="164">
        <v>0</v>
      </c>
      <c r="T23" s="164">
        <v>0</v>
      </c>
      <c r="U23" s="164">
        <v>0</v>
      </c>
      <c r="V23" s="164"/>
      <c r="W23" s="164"/>
      <c r="X23" s="164"/>
      <c r="Y23" s="164"/>
      <c r="Z23" s="164"/>
      <c r="AA23" s="164">
        <v>10</v>
      </c>
      <c r="AB23" s="167">
        <f t="shared" si="1"/>
        <v>0</v>
      </c>
      <c r="AC23" s="164">
        <v>5</v>
      </c>
      <c r="AD23" s="164">
        <v>5</v>
      </c>
      <c r="AE23" s="167">
        <f t="shared" si="2"/>
        <v>10</v>
      </c>
      <c r="AF23" s="168" t="str">
        <f t="shared" si="3"/>
        <v>ED</v>
      </c>
      <c r="AG23" s="167">
        <f t="shared" si="4"/>
        <v>30</v>
      </c>
      <c r="AH23" s="285" t="str">
        <f t="shared" si="5"/>
        <v>REPROBADO</v>
      </c>
      <c r="AI23" s="286"/>
      <c r="AJ23" s="286"/>
      <c r="AK23" s="286"/>
      <c r="AL23" s="286"/>
      <c r="AM23" s="287"/>
      <c r="AN23" s="94"/>
      <c r="AO23" s="94"/>
      <c r="AP23" s="94"/>
      <c r="AQ23" s="94"/>
      <c r="AR23" s="94"/>
      <c r="AS23" s="170" t="s">
        <v>186</v>
      </c>
    </row>
    <row r="24" spans="1:45" ht="12" customHeight="1" x14ac:dyDescent="0.35">
      <c r="A24" s="57">
        <v>16</v>
      </c>
      <c r="B24" s="88" t="str">
        <f>'C. FILIACION'!B23</f>
        <v>PEREZ HUARACHI ESPERANZA ALEJANDRA</v>
      </c>
      <c r="C24" s="31">
        <v>10</v>
      </c>
      <c r="D24" s="157">
        <v>33</v>
      </c>
      <c r="E24" s="158">
        <v>24</v>
      </c>
      <c r="F24" s="158">
        <v>18</v>
      </c>
      <c r="G24" s="31">
        <v>18</v>
      </c>
      <c r="H24" s="31">
        <v>18</v>
      </c>
      <c r="I24" s="31"/>
      <c r="J24" s="31"/>
      <c r="K24" s="31"/>
      <c r="L24" s="31"/>
      <c r="M24" s="31"/>
      <c r="N24" s="31"/>
      <c r="O24" s="91">
        <f t="shared" si="0"/>
        <v>22</v>
      </c>
      <c r="P24" s="31">
        <v>30</v>
      </c>
      <c r="Q24" s="31">
        <v>30</v>
      </c>
      <c r="R24" s="31">
        <v>18</v>
      </c>
      <c r="S24" s="31">
        <v>20</v>
      </c>
      <c r="T24" s="31">
        <v>18</v>
      </c>
      <c r="U24" s="31">
        <v>35</v>
      </c>
      <c r="V24" s="31"/>
      <c r="W24" s="31"/>
      <c r="X24" s="31"/>
      <c r="Y24" s="31"/>
      <c r="Z24" s="31"/>
      <c r="AA24" s="31">
        <v>10</v>
      </c>
      <c r="AB24" s="91">
        <f t="shared" si="1"/>
        <v>25</v>
      </c>
      <c r="AC24" s="31">
        <v>5</v>
      </c>
      <c r="AD24" s="31">
        <v>5</v>
      </c>
      <c r="AE24" s="91">
        <f t="shared" si="2"/>
        <v>10</v>
      </c>
      <c r="AF24" s="92" t="str">
        <f t="shared" si="3"/>
        <v>DO</v>
      </c>
      <c r="AG24" s="91">
        <f t="shared" si="4"/>
        <v>77</v>
      </c>
      <c r="AH24" s="260" t="str">
        <f t="shared" si="5"/>
        <v>APROBADO</v>
      </c>
      <c r="AI24" s="261"/>
      <c r="AJ24" s="261"/>
      <c r="AK24" s="261"/>
      <c r="AL24" s="261"/>
      <c r="AM24" s="262"/>
      <c r="AN24" s="94"/>
      <c r="AO24" s="94"/>
      <c r="AP24" s="94"/>
      <c r="AQ24" s="94"/>
      <c r="AR24" s="94"/>
    </row>
    <row r="25" spans="1:45" ht="12" customHeight="1" x14ac:dyDescent="0.35">
      <c r="A25" s="57">
        <v>17</v>
      </c>
      <c r="B25" s="88" t="str">
        <f>'C. FILIACION'!B24</f>
        <v>PEREZ ZAMBRANA DAYRIS CONZUELO</v>
      </c>
      <c r="C25" s="31">
        <v>10</v>
      </c>
      <c r="D25" s="157">
        <v>35</v>
      </c>
      <c r="E25" s="158">
        <v>22</v>
      </c>
      <c r="F25" s="158">
        <v>15</v>
      </c>
      <c r="G25" s="31">
        <v>22</v>
      </c>
      <c r="H25" s="31">
        <v>18</v>
      </c>
      <c r="I25" s="31"/>
      <c r="J25" s="31"/>
      <c r="K25" s="31"/>
      <c r="L25" s="31"/>
      <c r="M25" s="31"/>
      <c r="N25" s="31"/>
      <c r="O25" s="91">
        <f t="shared" si="0"/>
        <v>22</v>
      </c>
      <c r="P25" s="31">
        <v>28</v>
      </c>
      <c r="Q25" s="31">
        <v>25</v>
      </c>
      <c r="R25" s="31">
        <v>32</v>
      </c>
      <c r="S25" s="31">
        <v>18</v>
      </c>
      <c r="T25" s="31">
        <v>20</v>
      </c>
      <c r="U25" s="31">
        <v>18</v>
      </c>
      <c r="V25" s="31"/>
      <c r="W25" s="31"/>
      <c r="X25" s="31"/>
      <c r="Y25" s="31"/>
      <c r="Z25" s="31"/>
      <c r="AA25" s="31">
        <v>10</v>
      </c>
      <c r="AB25" s="91">
        <f t="shared" si="1"/>
        <v>24</v>
      </c>
      <c r="AC25" s="31">
        <v>5</v>
      </c>
      <c r="AD25" s="31">
        <v>5</v>
      </c>
      <c r="AE25" s="91">
        <f t="shared" si="2"/>
        <v>10</v>
      </c>
      <c r="AF25" s="92" t="str">
        <f t="shared" si="3"/>
        <v>DO</v>
      </c>
      <c r="AG25" s="91">
        <f t="shared" si="4"/>
        <v>76</v>
      </c>
      <c r="AH25" s="260" t="str">
        <f t="shared" si="5"/>
        <v>APROBADO</v>
      </c>
      <c r="AI25" s="261"/>
      <c r="AJ25" s="261"/>
      <c r="AK25" s="261"/>
      <c r="AL25" s="261"/>
      <c r="AM25" s="262"/>
      <c r="AN25" s="94"/>
      <c r="AO25" s="94"/>
      <c r="AP25" s="94"/>
      <c r="AQ25" s="94"/>
      <c r="AR25" s="94"/>
    </row>
    <row r="26" spans="1:45" ht="12" customHeight="1" x14ac:dyDescent="0.35">
      <c r="A26" s="57">
        <v>18</v>
      </c>
      <c r="B26" s="88" t="str">
        <f>'C. FILIACION'!B25</f>
        <v>QUISPAYA ENCINAS GATHERING ZAMANTHA</v>
      </c>
      <c r="C26" s="31">
        <v>10</v>
      </c>
      <c r="D26" s="157">
        <v>23</v>
      </c>
      <c r="E26" s="158">
        <v>28</v>
      </c>
      <c r="F26" s="158">
        <v>20</v>
      </c>
      <c r="G26" s="31">
        <v>18</v>
      </c>
      <c r="H26" s="31">
        <v>30</v>
      </c>
      <c r="I26" s="31"/>
      <c r="J26" s="31"/>
      <c r="K26" s="31"/>
      <c r="L26" s="31"/>
      <c r="M26" s="31"/>
      <c r="N26" s="31"/>
      <c r="O26" s="91">
        <f t="shared" si="0"/>
        <v>24</v>
      </c>
      <c r="P26" s="31">
        <v>30</v>
      </c>
      <c r="Q26" s="31">
        <v>20</v>
      </c>
      <c r="R26" s="31">
        <v>18</v>
      </c>
      <c r="S26" s="31">
        <v>20</v>
      </c>
      <c r="T26" s="31">
        <v>18</v>
      </c>
      <c r="U26" s="31">
        <v>35</v>
      </c>
      <c r="V26" s="31"/>
      <c r="W26" s="31"/>
      <c r="X26" s="31"/>
      <c r="Y26" s="31"/>
      <c r="Z26" s="31"/>
      <c r="AA26" s="31">
        <v>10</v>
      </c>
      <c r="AB26" s="91">
        <f t="shared" si="1"/>
        <v>24</v>
      </c>
      <c r="AC26" s="31">
        <v>5</v>
      </c>
      <c r="AD26" s="31">
        <v>5</v>
      </c>
      <c r="AE26" s="91">
        <f t="shared" si="2"/>
        <v>10</v>
      </c>
      <c r="AF26" s="92" t="str">
        <f t="shared" si="3"/>
        <v>DO</v>
      </c>
      <c r="AG26" s="91">
        <f t="shared" si="4"/>
        <v>78</v>
      </c>
      <c r="AH26" s="260" t="str">
        <f t="shared" si="5"/>
        <v>APROBADO</v>
      </c>
      <c r="AI26" s="261"/>
      <c r="AJ26" s="261"/>
      <c r="AK26" s="261"/>
      <c r="AL26" s="261"/>
      <c r="AM26" s="262"/>
      <c r="AN26" s="94"/>
      <c r="AO26" s="94"/>
      <c r="AP26" s="94"/>
      <c r="AQ26" s="94"/>
      <c r="AR26" s="94"/>
    </row>
    <row r="27" spans="1:45" ht="12" customHeight="1" x14ac:dyDescent="0.35">
      <c r="A27" s="57">
        <v>19</v>
      </c>
      <c r="B27" s="88" t="str">
        <f>'C. FILIACION'!B26</f>
        <v>SANDOVAL MORANGO EDGAR JORGE</v>
      </c>
      <c r="C27" s="31">
        <v>10</v>
      </c>
      <c r="D27" s="157">
        <v>18</v>
      </c>
      <c r="E27" s="158">
        <v>21</v>
      </c>
      <c r="F27" s="158">
        <v>15</v>
      </c>
      <c r="G27" s="31">
        <v>18</v>
      </c>
      <c r="H27" s="31">
        <v>18</v>
      </c>
      <c r="I27" s="31"/>
      <c r="J27" s="31"/>
      <c r="K27" s="31"/>
      <c r="L27" s="31"/>
      <c r="M27" s="31"/>
      <c r="N27" s="31"/>
      <c r="O27" s="91">
        <f t="shared" si="0"/>
        <v>18</v>
      </c>
      <c r="P27" s="31">
        <v>33</v>
      </c>
      <c r="Q27" s="31">
        <v>0</v>
      </c>
      <c r="R27" s="31">
        <v>18</v>
      </c>
      <c r="S27" s="31">
        <v>18</v>
      </c>
      <c r="T27" s="31">
        <v>18</v>
      </c>
      <c r="U27" s="31">
        <v>0</v>
      </c>
      <c r="V27" s="31"/>
      <c r="W27" s="31"/>
      <c r="X27" s="31"/>
      <c r="Y27" s="31"/>
      <c r="Z27" s="31"/>
      <c r="AA27" s="31">
        <v>10</v>
      </c>
      <c r="AB27" s="91">
        <f t="shared" si="1"/>
        <v>15</v>
      </c>
      <c r="AC27" s="31">
        <v>5</v>
      </c>
      <c r="AD27" s="31">
        <v>5</v>
      </c>
      <c r="AE27" s="91">
        <f t="shared" si="2"/>
        <v>10</v>
      </c>
      <c r="AF27" s="92" t="str">
        <f t="shared" si="3"/>
        <v>DA</v>
      </c>
      <c r="AG27" s="91">
        <f t="shared" si="4"/>
        <v>63</v>
      </c>
      <c r="AH27" s="260" t="str">
        <f t="shared" si="5"/>
        <v>APROBADO</v>
      </c>
      <c r="AI27" s="261"/>
      <c r="AJ27" s="261"/>
      <c r="AK27" s="261"/>
      <c r="AL27" s="261"/>
      <c r="AM27" s="262"/>
      <c r="AN27" s="94"/>
      <c r="AO27" s="94"/>
      <c r="AP27" s="94"/>
      <c r="AQ27" s="94"/>
      <c r="AR27" s="94"/>
    </row>
    <row r="28" spans="1:45" ht="12" customHeight="1" x14ac:dyDescent="0.35">
      <c r="A28" s="57">
        <v>20</v>
      </c>
      <c r="B28" s="88" t="str">
        <f>'C. FILIACION'!B27</f>
        <v>SEVILLANO BALTAZAR ALEXIA LIZZY</v>
      </c>
      <c r="C28" s="31">
        <v>10</v>
      </c>
      <c r="D28" s="157">
        <v>0</v>
      </c>
      <c r="E28" s="158">
        <v>22</v>
      </c>
      <c r="F28" s="158">
        <v>18</v>
      </c>
      <c r="G28" s="31">
        <v>10</v>
      </c>
      <c r="H28" s="31">
        <v>17</v>
      </c>
      <c r="I28" s="31"/>
      <c r="J28" s="31"/>
      <c r="K28" s="31"/>
      <c r="L28" s="31"/>
      <c r="M28" s="31"/>
      <c r="N28" s="31"/>
      <c r="O28" s="91">
        <f t="shared" si="0"/>
        <v>13</v>
      </c>
      <c r="P28" s="31">
        <v>18</v>
      </c>
      <c r="Q28" s="160">
        <v>16</v>
      </c>
      <c r="R28" s="31">
        <v>18</v>
      </c>
      <c r="S28" s="160">
        <v>16</v>
      </c>
      <c r="T28" s="160">
        <v>15</v>
      </c>
      <c r="U28" s="160">
        <v>12</v>
      </c>
      <c r="V28" s="31"/>
      <c r="W28" s="31"/>
      <c r="X28" s="31"/>
      <c r="Y28" s="31"/>
      <c r="Z28" s="31"/>
      <c r="AA28" s="31">
        <v>10</v>
      </c>
      <c r="AB28" s="91">
        <f t="shared" si="1"/>
        <v>16</v>
      </c>
      <c r="AC28" s="31">
        <v>5</v>
      </c>
      <c r="AD28" s="31">
        <v>5</v>
      </c>
      <c r="AE28" s="91">
        <f t="shared" si="2"/>
        <v>10</v>
      </c>
      <c r="AF28" s="92" t="str">
        <f t="shared" si="3"/>
        <v>DA</v>
      </c>
      <c r="AG28" s="91">
        <f t="shared" si="4"/>
        <v>59</v>
      </c>
      <c r="AH28" s="260" t="str">
        <f t="shared" si="5"/>
        <v>APROBADO</v>
      </c>
      <c r="AI28" s="261"/>
      <c r="AJ28" s="261"/>
      <c r="AK28" s="261"/>
      <c r="AL28" s="261"/>
      <c r="AM28" s="262"/>
      <c r="AN28" s="94"/>
      <c r="AO28" s="94"/>
      <c r="AP28" s="94"/>
      <c r="AQ28" s="94"/>
      <c r="AR28" s="94"/>
    </row>
    <row r="29" spans="1:45" ht="12" customHeight="1" x14ac:dyDescent="0.35">
      <c r="A29" s="57">
        <v>21</v>
      </c>
      <c r="B29" s="88" t="str">
        <f>'C. FILIACION'!B28</f>
        <v>TORREZ PACO JOSE MANUEL</v>
      </c>
      <c r="C29" s="31">
        <v>10</v>
      </c>
      <c r="D29" s="157">
        <v>18</v>
      </c>
      <c r="E29" s="158">
        <v>22</v>
      </c>
      <c r="F29" s="158">
        <v>10</v>
      </c>
      <c r="G29" s="31">
        <v>20</v>
      </c>
      <c r="H29" s="31"/>
      <c r="I29" s="31"/>
      <c r="J29" s="31"/>
      <c r="K29" s="31"/>
      <c r="L29" s="31"/>
      <c r="M29" s="31"/>
      <c r="N29" s="31"/>
      <c r="O29" s="91">
        <f t="shared" si="0"/>
        <v>18</v>
      </c>
      <c r="P29" s="31">
        <v>0</v>
      </c>
      <c r="Q29" s="31">
        <v>0</v>
      </c>
      <c r="R29" s="31">
        <v>35</v>
      </c>
      <c r="S29" s="31">
        <v>20</v>
      </c>
      <c r="T29" s="31">
        <v>0</v>
      </c>
      <c r="U29" s="31">
        <v>35</v>
      </c>
      <c r="V29" s="31"/>
      <c r="W29" s="31"/>
      <c r="X29" s="31"/>
      <c r="Y29" s="31"/>
      <c r="Z29" s="31"/>
      <c r="AA29" s="31">
        <v>10</v>
      </c>
      <c r="AB29" s="91">
        <f t="shared" si="1"/>
        <v>15</v>
      </c>
      <c r="AC29" s="31">
        <v>5</v>
      </c>
      <c r="AD29" s="31">
        <v>5</v>
      </c>
      <c r="AE29" s="91">
        <f t="shared" si="2"/>
        <v>10</v>
      </c>
      <c r="AF29" s="92" t="str">
        <f t="shared" si="3"/>
        <v>DA</v>
      </c>
      <c r="AG29" s="91">
        <f t="shared" si="4"/>
        <v>63</v>
      </c>
      <c r="AH29" s="260" t="str">
        <f t="shared" si="5"/>
        <v>APROBADO</v>
      </c>
      <c r="AI29" s="261"/>
      <c r="AJ29" s="261"/>
      <c r="AK29" s="261"/>
      <c r="AL29" s="261"/>
      <c r="AM29" s="262"/>
      <c r="AN29" s="94"/>
      <c r="AO29" s="94"/>
      <c r="AP29" s="94"/>
      <c r="AQ29" s="94"/>
      <c r="AR29" s="94"/>
    </row>
    <row r="30" spans="1:45" ht="12" customHeight="1" x14ac:dyDescent="0.35">
      <c r="A30" s="57">
        <v>22</v>
      </c>
      <c r="B30" s="163" t="str">
        <f>'C. FILIACION'!B29</f>
        <v>VELASQUEZ GUTIERREZ ALEJANDRA ANAHI</v>
      </c>
      <c r="C30" s="164">
        <v>10</v>
      </c>
      <c r="D30" s="165">
        <v>0</v>
      </c>
      <c r="E30" s="166">
        <v>0</v>
      </c>
      <c r="F30" s="166">
        <v>0</v>
      </c>
      <c r="G30" s="164">
        <v>0</v>
      </c>
      <c r="H30" s="164"/>
      <c r="I30" s="164"/>
      <c r="J30" s="164"/>
      <c r="K30" s="164"/>
      <c r="L30" s="164"/>
      <c r="M30" s="164"/>
      <c r="N30" s="164"/>
      <c r="O30" s="167">
        <f t="shared" si="0"/>
        <v>0</v>
      </c>
      <c r="P30" s="164">
        <v>0</v>
      </c>
      <c r="Q30" s="164">
        <v>0</v>
      </c>
      <c r="R30" s="164">
        <v>0</v>
      </c>
      <c r="S30" s="164">
        <v>0</v>
      </c>
      <c r="T30" s="164">
        <v>0</v>
      </c>
      <c r="U30" s="164">
        <v>0</v>
      </c>
      <c r="V30" s="164"/>
      <c r="W30" s="164"/>
      <c r="X30" s="164"/>
      <c r="Y30" s="164"/>
      <c r="Z30" s="164"/>
      <c r="AA30" s="164">
        <v>10</v>
      </c>
      <c r="AB30" s="167">
        <f t="shared" si="1"/>
        <v>0</v>
      </c>
      <c r="AC30" s="164">
        <v>5</v>
      </c>
      <c r="AD30" s="164">
        <v>5</v>
      </c>
      <c r="AE30" s="167">
        <f t="shared" si="2"/>
        <v>10</v>
      </c>
      <c r="AF30" s="168" t="str">
        <f t="shared" si="3"/>
        <v>ED</v>
      </c>
      <c r="AG30" s="167">
        <f t="shared" si="4"/>
        <v>30</v>
      </c>
      <c r="AH30" s="285" t="str">
        <f t="shared" si="5"/>
        <v>REPROBADO</v>
      </c>
      <c r="AI30" s="286"/>
      <c r="AJ30" s="286"/>
      <c r="AK30" s="286"/>
      <c r="AL30" s="286"/>
      <c r="AM30" s="287"/>
      <c r="AN30" s="169"/>
      <c r="AO30" s="169"/>
      <c r="AP30" s="169"/>
      <c r="AQ30" s="169"/>
      <c r="AR30" s="169"/>
      <c r="AS30" s="170" t="s">
        <v>187</v>
      </c>
    </row>
    <row r="31" spans="1:45" ht="12" customHeight="1" x14ac:dyDescent="0.35">
      <c r="A31" s="57">
        <v>23</v>
      </c>
      <c r="B31" s="88" t="str">
        <f>'C. FILIACION'!B30</f>
        <v>VIDEA JHENDAVIEL PAOLA</v>
      </c>
      <c r="C31" s="31">
        <v>10</v>
      </c>
      <c r="D31" s="157">
        <v>0</v>
      </c>
      <c r="E31" s="158">
        <v>21</v>
      </c>
      <c r="F31" s="158">
        <v>0</v>
      </c>
      <c r="G31" s="31">
        <v>18</v>
      </c>
      <c r="H31" s="31">
        <v>20</v>
      </c>
      <c r="I31" s="31"/>
      <c r="J31" s="31"/>
      <c r="K31" s="31"/>
      <c r="L31" s="31"/>
      <c r="M31" s="31"/>
      <c r="N31" s="31"/>
      <c r="O31" s="91">
        <f t="shared" si="0"/>
        <v>12</v>
      </c>
      <c r="P31" s="31">
        <v>33</v>
      </c>
      <c r="Q31" s="31">
        <v>0</v>
      </c>
      <c r="R31" s="31">
        <v>35</v>
      </c>
      <c r="S31" s="31">
        <v>20</v>
      </c>
      <c r="T31" s="31">
        <v>0</v>
      </c>
      <c r="U31" s="31">
        <v>35</v>
      </c>
      <c r="V31" s="31"/>
      <c r="W31" s="31"/>
      <c r="X31" s="31"/>
      <c r="Y31" s="31"/>
      <c r="Z31" s="31"/>
      <c r="AA31" s="31">
        <v>10</v>
      </c>
      <c r="AB31" s="91">
        <f t="shared" si="1"/>
        <v>21</v>
      </c>
      <c r="AC31" s="31">
        <v>5</v>
      </c>
      <c r="AD31" s="31">
        <v>5</v>
      </c>
      <c r="AE31" s="91">
        <f t="shared" si="2"/>
        <v>10</v>
      </c>
      <c r="AF31" s="92" t="str">
        <f t="shared" si="3"/>
        <v>DA</v>
      </c>
      <c r="AG31" s="91">
        <f t="shared" si="4"/>
        <v>63</v>
      </c>
      <c r="AH31" s="260" t="str">
        <f t="shared" si="5"/>
        <v>APROBADO</v>
      </c>
      <c r="AI31" s="261"/>
      <c r="AJ31" s="261"/>
      <c r="AK31" s="261"/>
      <c r="AL31" s="261"/>
      <c r="AM31" s="262"/>
      <c r="AN31" s="94"/>
      <c r="AO31" s="94"/>
      <c r="AP31" s="94"/>
      <c r="AQ31" s="94"/>
      <c r="AR31" s="94"/>
    </row>
    <row r="32" spans="1:45" ht="12" customHeight="1" x14ac:dyDescent="0.35">
      <c r="A32" s="57">
        <v>24</v>
      </c>
      <c r="B32" s="88" t="str">
        <f>'C. FILIACION'!B31</f>
        <v>MIRANDA LOPEZ KRISTEL DARLYN</v>
      </c>
      <c r="C32" s="31">
        <v>10</v>
      </c>
      <c r="D32" s="31">
        <v>0</v>
      </c>
      <c r="E32" s="159">
        <v>0</v>
      </c>
      <c r="F32" s="31">
        <v>0</v>
      </c>
      <c r="G32" s="31">
        <v>0</v>
      </c>
      <c r="H32" s="31">
        <v>0</v>
      </c>
      <c r="I32" s="31"/>
      <c r="J32" s="31"/>
      <c r="K32" s="31"/>
      <c r="L32" s="31"/>
      <c r="M32" s="31"/>
      <c r="N32" s="31"/>
      <c r="O32" s="91">
        <f t="shared" si="0"/>
        <v>0</v>
      </c>
      <c r="P32" s="31">
        <v>0</v>
      </c>
      <c r="Q32" s="31">
        <v>0</v>
      </c>
      <c r="R32" s="31">
        <v>0</v>
      </c>
      <c r="S32" s="31">
        <v>0</v>
      </c>
      <c r="T32" s="31">
        <v>0</v>
      </c>
      <c r="U32" s="31">
        <v>0</v>
      </c>
      <c r="V32" s="31"/>
      <c r="W32" s="31"/>
      <c r="X32" s="31"/>
      <c r="Y32" s="31"/>
      <c r="Z32" s="31"/>
      <c r="AA32" s="31">
        <v>10</v>
      </c>
      <c r="AB32" s="91">
        <f t="shared" si="1"/>
        <v>0</v>
      </c>
      <c r="AC32" s="31">
        <v>5</v>
      </c>
      <c r="AD32" s="31">
        <v>5</v>
      </c>
      <c r="AE32" s="91">
        <f t="shared" si="2"/>
        <v>10</v>
      </c>
      <c r="AF32" s="92" t="str">
        <f t="shared" si="3"/>
        <v>ED</v>
      </c>
      <c r="AG32" s="91">
        <f t="shared" si="4"/>
        <v>30</v>
      </c>
      <c r="AH32" s="260" t="str">
        <f t="shared" si="5"/>
        <v>REPROBADO</v>
      </c>
      <c r="AI32" s="261"/>
      <c r="AJ32" s="261"/>
      <c r="AK32" s="261"/>
      <c r="AL32" s="261"/>
      <c r="AM32" s="262"/>
      <c r="AN32" s="94"/>
      <c r="AO32" s="94"/>
      <c r="AP32" s="94"/>
      <c r="AQ32" s="94"/>
      <c r="AR32" s="94"/>
    </row>
    <row r="33" spans="1:44" ht="12" customHeight="1" x14ac:dyDescent="0.35">
      <c r="A33" s="57">
        <v>25</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60" t="str">
        <f t="shared" si="5"/>
        <v>APROBADO</v>
      </c>
      <c r="AI33" s="261"/>
      <c r="AJ33" s="261"/>
      <c r="AK33" s="261"/>
      <c r="AL33" s="261"/>
      <c r="AM33" s="262"/>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60" t="str">
        <f t="shared" si="5"/>
        <v>APROBADO</v>
      </c>
      <c r="AI34" s="261"/>
      <c r="AJ34" s="261"/>
      <c r="AK34" s="261"/>
      <c r="AL34" s="261"/>
      <c r="AM34" s="262"/>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60" t="str">
        <f t="shared" si="5"/>
        <v>APROBADO</v>
      </c>
      <c r="AI35" s="261"/>
      <c r="AJ35" s="261"/>
      <c r="AK35" s="261"/>
      <c r="AL35" s="261"/>
      <c r="AM35" s="262"/>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60" t="str">
        <f t="shared" si="5"/>
        <v>APROBADO</v>
      </c>
      <c r="AI36" s="261"/>
      <c r="AJ36" s="261"/>
      <c r="AK36" s="261"/>
      <c r="AL36" s="261"/>
      <c r="AM36" s="262"/>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60" t="str">
        <f t="shared" si="5"/>
        <v>APROBADO</v>
      </c>
      <c r="AI37" s="261"/>
      <c r="AJ37" s="261"/>
      <c r="AK37" s="261"/>
      <c r="AL37" s="261"/>
      <c r="AM37" s="262"/>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0" t="str">
        <f t="shared" si="5"/>
        <v>APROBADO</v>
      </c>
      <c r="AI38" s="261"/>
      <c r="AJ38" s="261"/>
      <c r="AK38" s="261"/>
      <c r="AL38" s="261"/>
      <c r="AM38" s="262"/>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0" t="str">
        <f t="shared" si="5"/>
        <v>APROBADO</v>
      </c>
      <c r="AI39" s="261"/>
      <c r="AJ39" s="261"/>
      <c r="AK39" s="261"/>
      <c r="AL39" s="261"/>
      <c r="AM39" s="262"/>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0" t="str">
        <f t="shared" si="5"/>
        <v>APROBADO</v>
      </c>
      <c r="AI40" s="261"/>
      <c r="AJ40" s="261"/>
      <c r="AK40" s="261"/>
      <c r="AL40" s="261"/>
      <c r="AM40" s="262"/>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0" t="str">
        <f t="shared" si="5"/>
        <v>APROBADO</v>
      </c>
      <c r="AI41" s="261"/>
      <c r="AJ41" s="261"/>
      <c r="AK41" s="261"/>
      <c r="AL41" s="261"/>
      <c r="AM41" s="262"/>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0" t="str">
        <f t="shared" si="5"/>
        <v>APROBADO</v>
      </c>
      <c r="AI42" s="261"/>
      <c r="AJ42" s="261"/>
      <c r="AK42" s="261"/>
      <c r="AL42" s="261"/>
      <c r="AM42" s="262"/>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0" t="str">
        <f t="shared" si="5"/>
        <v>APROBADO</v>
      </c>
      <c r="AI43" s="261"/>
      <c r="AJ43" s="261"/>
      <c r="AK43" s="261"/>
      <c r="AL43" s="261"/>
      <c r="AM43" s="262"/>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0" t="str">
        <f t="shared" si="5"/>
        <v>APROBADO</v>
      </c>
      <c r="AI44" s="261"/>
      <c r="AJ44" s="261"/>
      <c r="AK44" s="261"/>
      <c r="AL44" s="261"/>
      <c r="AM44" s="262"/>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79" t="s">
        <v>106</v>
      </c>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8"/>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7" t="s">
        <v>56</v>
      </c>
      <c r="AD3" s="261"/>
      <c r="AE3" s="261"/>
      <c r="AF3" s="261"/>
      <c r="AG3" s="261"/>
      <c r="AH3" s="262"/>
      <c r="AI3" s="234">
        <f>CARÁTULA!$H$24</f>
        <v>44440</v>
      </c>
      <c r="AJ3" s="216"/>
      <c r="AK3" s="216"/>
      <c r="AL3" s="216"/>
      <c r="AM3" s="216"/>
      <c r="AN3" s="280" t="s">
        <v>57</v>
      </c>
      <c r="AO3" s="207"/>
      <c r="AP3" s="207"/>
      <c r="AQ3" s="207"/>
      <c r="AR3" s="208"/>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7" t="s">
        <v>59</v>
      </c>
      <c r="AD4" s="261"/>
      <c r="AE4" s="261"/>
      <c r="AF4" s="261"/>
      <c r="AG4" s="261"/>
      <c r="AH4" s="262"/>
      <c r="AI4" s="234">
        <f>CARÁTULA!$J$24</f>
        <v>44531</v>
      </c>
      <c r="AJ4" s="216"/>
      <c r="AK4" s="216"/>
      <c r="AL4" s="216"/>
      <c r="AM4" s="216"/>
      <c r="AN4" s="259">
        <f ca="1">AI4-AI5</f>
        <v>110</v>
      </c>
      <c r="AO4" s="226"/>
      <c r="AP4" s="226"/>
      <c r="AQ4" s="226"/>
      <c r="AR4" s="227"/>
    </row>
    <row r="5" spans="1:48" ht="12.75" customHeight="1" x14ac:dyDescent="0.4">
      <c r="A5" s="69"/>
      <c r="B5" s="72" t="s">
        <v>22</v>
      </c>
      <c r="C5" s="73" t="str">
        <f>CARÁTULA!$C$23</f>
        <v>5to de Secundaria</v>
      </c>
      <c r="D5" s="74"/>
      <c r="E5" s="74"/>
      <c r="F5" s="74"/>
      <c r="G5" s="72"/>
      <c r="H5" s="72"/>
      <c r="I5" s="72"/>
      <c r="J5" s="72"/>
      <c r="K5" s="72"/>
      <c r="L5" s="72"/>
      <c r="M5" s="72"/>
      <c r="N5" s="72"/>
      <c r="O5" s="75" t="s">
        <v>23</v>
      </c>
      <c r="P5" s="77"/>
      <c r="Q5" s="77"/>
      <c r="R5" s="77"/>
      <c r="S5" s="273">
        <f ca="1">TODAY()</f>
        <v>44421</v>
      </c>
      <c r="T5" s="207"/>
      <c r="U5" s="207"/>
      <c r="V5" s="207"/>
      <c r="W5" s="207"/>
      <c r="X5" s="207"/>
      <c r="Y5" s="207"/>
      <c r="Z5" s="207"/>
      <c r="AA5" s="208"/>
      <c r="AB5" s="74"/>
      <c r="AC5" s="278" t="s">
        <v>60</v>
      </c>
      <c r="AD5" s="261"/>
      <c r="AE5" s="261"/>
      <c r="AF5" s="261"/>
      <c r="AG5" s="261"/>
      <c r="AH5" s="262"/>
      <c r="AI5" s="281">
        <f ca="1">TODAY()</f>
        <v>44421</v>
      </c>
      <c r="AJ5" s="216"/>
      <c r="AK5" s="216"/>
      <c r="AL5" s="216"/>
      <c r="AM5" s="216"/>
      <c r="AN5" s="228"/>
      <c r="AO5" s="229"/>
      <c r="AP5" s="229"/>
      <c r="AQ5" s="229"/>
      <c r="AR5" s="230"/>
    </row>
    <row r="6" spans="1:48" ht="12.75" customHeight="1" x14ac:dyDescent="0.4">
      <c r="A6" s="69"/>
      <c r="B6" s="72"/>
      <c r="C6" s="222" t="s">
        <v>85</v>
      </c>
      <c r="D6" s="223"/>
      <c r="E6" s="223"/>
      <c r="F6" s="223"/>
      <c r="G6" s="223"/>
      <c r="H6" s="223"/>
      <c r="I6" s="223"/>
      <c r="J6" s="223"/>
      <c r="K6" s="223"/>
      <c r="L6" s="223"/>
      <c r="M6" s="223"/>
      <c r="N6" s="223"/>
      <c r="O6" s="223"/>
      <c r="P6" s="223"/>
      <c r="Q6" s="223"/>
      <c r="R6" s="223"/>
      <c r="S6" s="223"/>
      <c r="T6" s="223"/>
      <c r="U6" s="223"/>
      <c r="V6" s="223"/>
      <c r="W6" s="223"/>
      <c r="X6" s="223"/>
      <c r="Y6" s="223"/>
      <c r="Z6" s="223"/>
      <c r="AA6" s="224"/>
      <c r="AB6" s="274" t="s">
        <v>86</v>
      </c>
      <c r="AC6" s="261"/>
      <c r="AD6" s="261"/>
      <c r="AE6" s="262"/>
      <c r="AF6" s="78"/>
      <c r="AG6" s="79"/>
      <c r="AH6" s="79"/>
      <c r="AI6" s="80"/>
      <c r="AJ6" s="81"/>
      <c r="AK6" s="81"/>
      <c r="AL6" s="81"/>
      <c r="AM6" s="81"/>
      <c r="AN6" s="82"/>
      <c r="AO6" s="82"/>
      <c r="AP6" s="82"/>
      <c r="AQ6" s="82"/>
      <c r="AR6" s="82"/>
    </row>
    <row r="7" spans="1:48" ht="12" customHeight="1" x14ac:dyDescent="0.4">
      <c r="A7" s="69"/>
      <c r="B7" s="83"/>
      <c r="C7" s="275" t="s">
        <v>87</v>
      </c>
      <c r="D7" s="276" t="s">
        <v>88</v>
      </c>
      <c r="E7" s="261"/>
      <c r="F7" s="261"/>
      <c r="G7" s="261"/>
      <c r="H7" s="261"/>
      <c r="I7" s="261"/>
      <c r="J7" s="261"/>
      <c r="K7" s="261"/>
      <c r="L7" s="261"/>
      <c r="M7" s="261"/>
      <c r="N7" s="261"/>
      <c r="O7" s="272" t="s">
        <v>89</v>
      </c>
      <c r="P7" s="276" t="s">
        <v>90</v>
      </c>
      <c r="Q7" s="261"/>
      <c r="R7" s="261"/>
      <c r="S7" s="261"/>
      <c r="T7" s="261"/>
      <c r="U7" s="261"/>
      <c r="V7" s="261"/>
      <c r="W7" s="261"/>
      <c r="X7" s="261"/>
      <c r="Y7" s="261"/>
      <c r="Z7" s="261"/>
      <c r="AA7" s="271" t="s">
        <v>91</v>
      </c>
      <c r="AB7" s="272" t="s">
        <v>89</v>
      </c>
      <c r="AC7" s="271" t="s">
        <v>92</v>
      </c>
      <c r="AD7" s="271" t="s">
        <v>93</v>
      </c>
      <c r="AE7" s="272" t="s">
        <v>89</v>
      </c>
      <c r="AF7" s="264" t="s">
        <v>94</v>
      </c>
      <c r="AG7" s="266" t="s">
        <v>95</v>
      </c>
      <c r="AH7" s="267" t="s">
        <v>96</v>
      </c>
      <c r="AI7" s="223"/>
      <c r="AJ7" s="223"/>
      <c r="AK7" s="223"/>
      <c r="AL7" s="223"/>
      <c r="AM7" s="224"/>
      <c r="AN7" s="84"/>
      <c r="AO7" s="74"/>
      <c r="AP7" s="74"/>
      <c r="AQ7" s="74"/>
      <c r="AR7" s="69"/>
    </row>
    <row r="8" spans="1:48" ht="67.5" customHeight="1" x14ac:dyDescent="0.35">
      <c r="A8" s="48" t="s">
        <v>61</v>
      </c>
      <c r="B8" s="49" t="s">
        <v>62</v>
      </c>
      <c r="C8" s="265"/>
      <c r="D8" s="52"/>
      <c r="E8" s="52"/>
      <c r="F8" s="52"/>
      <c r="G8" s="52"/>
      <c r="H8" s="52"/>
      <c r="I8" s="52"/>
      <c r="J8" s="52"/>
      <c r="K8" s="52"/>
      <c r="L8" s="52"/>
      <c r="M8" s="52"/>
      <c r="N8" s="53"/>
      <c r="O8" s="265"/>
      <c r="P8" s="95"/>
      <c r="Q8" s="52"/>
      <c r="R8" s="52"/>
      <c r="S8" s="52"/>
      <c r="T8" s="52"/>
      <c r="U8" s="52"/>
      <c r="V8" s="52"/>
      <c r="W8" s="52"/>
      <c r="X8" s="52"/>
      <c r="Y8" s="52"/>
      <c r="Z8" s="52"/>
      <c r="AA8" s="265"/>
      <c r="AB8" s="265"/>
      <c r="AC8" s="265"/>
      <c r="AD8" s="265"/>
      <c r="AE8" s="265"/>
      <c r="AF8" s="265"/>
      <c r="AG8" s="265"/>
      <c r="AH8" s="268"/>
      <c r="AI8" s="269"/>
      <c r="AJ8" s="269"/>
      <c r="AK8" s="269"/>
      <c r="AL8" s="269"/>
      <c r="AM8" s="270"/>
      <c r="AN8" s="86"/>
      <c r="AO8" s="86"/>
      <c r="AP8" s="86"/>
      <c r="AQ8" s="86"/>
      <c r="AR8" s="87"/>
    </row>
    <row r="9" spans="1:48" ht="12" customHeight="1" x14ac:dyDescent="0.35">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60" t="str">
        <f t="shared" ref="AH9:AH44" si="5">IF(AG9="","",(IF(AND(AG9&gt;=1,AG9&lt;=50.499),"REPROBADO",IF(AND(AG9&gt;=50.5,AG9&lt;=100),"APROBADO"))))</f>
        <v>APROBADO</v>
      </c>
      <c r="AI9" s="261"/>
      <c r="AJ9" s="261"/>
      <c r="AK9" s="261"/>
      <c r="AL9" s="261"/>
      <c r="AM9" s="262"/>
      <c r="AN9" s="93" t="s">
        <v>101</v>
      </c>
      <c r="AO9" s="263">
        <f>COUNTIF(AF9:AF44,"ED")</f>
        <v>0</v>
      </c>
      <c r="AP9" s="262"/>
      <c r="AQ9" s="94"/>
      <c r="AR9" s="94"/>
    </row>
    <row r="10" spans="1:48" ht="12" customHeight="1" x14ac:dyDescent="0.35">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60" t="str">
        <f t="shared" si="5"/>
        <v>APROBADO</v>
      </c>
      <c r="AI10" s="261"/>
      <c r="AJ10" s="261"/>
      <c r="AK10" s="261"/>
      <c r="AL10" s="261"/>
      <c r="AM10" s="262"/>
      <c r="AN10" s="48" t="s">
        <v>102</v>
      </c>
      <c r="AO10" s="263">
        <f>COUNTIF(AF9:AF44,"DA")</f>
        <v>0</v>
      </c>
      <c r="AP10" s="262"/>
      <c r="AQ10" s="94"/>
      <c r="AR10" s="94"/>
    </row>
    <row r="11" spans="1:48" ht="12" customHeight="1" x14ac:dyDescent="0.35">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60" t="str">
        <f t="shared" si="5"/>
        <v>APROBADO</v>
      </c>
      <c r="AI11" s="261"/>
      <c r="AJ11" s="261"/>
      <c r="AK11" s="261"/>
      <c r="AL11" s="261"/>
      <c r="AM11" s="262"/>
      <c r="AN11" s="48" t="s">
        <v>103</v>
      </c>
      <c r="AO11" s="263">
        <f>COUNTIF(AF9:AF44,"DO")</f>
        <v>0</v>
      </c>
      <c r="AP11" s="262"/>
      <c r="AQ11" s="94"/>
      <c r="AR11" s="94"/>
    </row>
    <row r="12" spans="1:48" ht="12" customHeight="1" x14ac:dyDescent="0.35">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60" t="str">
        <f t="shared" si="5"/>
        <v>APROBADO</v>
      </c>
      <c r="AI12" s="261"/>
      <c r="AJ12" s="261"/>
      <c r="AK12" s="261"/>
      <c r="AL12" s="261"/>
      <c r="AM12" s="262"/>
      <c r="AN12" s="48" t="s">
        <v>104</v>
      </c>
      <c r="AO12" s="263">
        <f>COUNTIF(AF9:AF44,"DP")</f>
        <v>36</v>
      </c>
      <c r="AP12" s="262"/>
      <c r="AQ12" s="94"/>
      <c r="AR12" s="94"/>
    </row>
    <row r="13" spans="1:48" ht="12" customHeight="1" x14ac:dyDescent="0.35">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60" t="str">
        <f t="shared" si="5"/>
        <v>APROBADO</v>
      </c>
      <c r="AI13" s="261"/>
      <c r="AJ13" s="261"/>
      <c r="AK13" s="261"/>
      <c r="AL13" s="261"/>
      <c r="AM13" s="262"/>
      <c r="AN13" s="94"/>
      <c r="AO13" s="94"/>
      <c r="AP13" s="94"/>
      <c r="AQ13" s="94"/>
      <c r="AR13" s="94"/>
    </row>
    <row r="14" spans="1:48" ht="12" customHeight="1" x14ac:dyDescent="0.35">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60" t="str">
        <f t="shared" si="5"/>
        <v>APROBADO</v>
      </c>
      <c r="AI14" s="261"/>
      <c r="AJ14" s="261"/>
      <c r="AK14" s="261"/>
      <c r="AL14" s="261"/>
      <c r="AM14" s="262"/>
      <c r="AN14" s="94"/>
      <c r="AO14" s="94"/>
      <c r="AP14" s="94"/>
      <c r="AQ14" s="94"/>
      <c r="AR14" s="94"/>
    </row>
    <row r="15" spans="1:48" ht="12" customHeight="1" x14ac:dyDescent="0.35">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60" t="str">
        <f t="shared" si="5"/>
        <v>APROBADO</v>
      </c>
      <c r="AI15" s="261"/>
      <c r="AJ15" s="261"/>
      <c r="AK15" s="261"/>
      <c r="AL15" s="261"/>
      <c r="AM15" s="262"/>
      <c r="AN15" s="94"/>
      <c r="AO15" s="94"/>
      <c r="AP15" s="94"/>
      <c r="AQ15" s="94"/>
      <c r="AR15" s="94"/>
    </row>
    <row r="16" spans="1:48" ht="12" customHeight="1" x14ac:dyDescent="0.35">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60" t="str">
        <f t="shared" si="5"/>
        <v>APROBADO</v>
      </c>
      <c r="AI16" s="261"/>
      <c r="AJ16" s="261"/>
      <c r="AK16" s="261"/>
      <c r="AL16" s="261"/>
      <c r="AM16" s="262"/>
      <c r="AN16" s="94"/>
      <c r="AO16" s="94"/>
      <c r="AP16" s="94"/>
      <c r="AQ16" s="94"/>
      <c r="AR16" s="94"/>
    </row>
    <row r="17" spans="1:44" ht="12" customHeight="1" x14ac:dyDescent="0.35">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60" t="str">
        <f t="shared" si="5"/>
        <v>APROBADO</v>
      </c>
      <c r="AI17" s="261"/>
      <c r="AJ17" s="261"/>
      <c r="AK17" s="261"/>
      <c r="AL17" s="261"/>
      <c r="AM17" s="262"/>
      <c r="AN17" s="94"/>
      <c r="AO17" s="94"/>
      <c r="AP17" s="94"/>
      <c r="AQ17" s="94"/>
      <c r="AR17" s="94"/>
    </row>
    <row r="18" spans="1:44" ht="12" customHeight="1" x14ac:dyDescent="0.35">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60" t="str">
        <f t="shared" si="5"/>
        <v>APROBADO</v>
      </c>
      <c r="AI18" s="261"/>
      <c r="AJ18" s="261"/>
      <c r="AK18" s="261"/>
      <c r="AL18" s="261"/>
      <c r="AM18" s="262"/>
      <c r="AN18" s="94"/>
      <c r="AO18" s="94"/>
      <c r="AP18" s="94"/>
      <c r="AQ18" s="94"/>
      <c r="AR18" s="94"/>
    </row>
    <row r="19" spans="1:44" ht="12" customHeight="1" x14ac:dyDescent="0.35">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60" t="str">
        <f t="shared" si="5"/>
        <v>APROBADO</v>
      </c>
      <c r="AI19" s="261"/>
      <c r="AJ19" s="261"/>
      <c r="AK19" s="261"/>
      <c r="AL19" s="261"/>
      <c r="AM19" s="262"/>
      <c r="AN19" s="94"/>
      <c r="AO19" s="94"/>
      <c r="AP19" s="94"/>
      <c r="AQ19" s="94"/>
      <c r="AR19" s="94"/>
    </row>
    <row r="20" spans="1:44" ht="12" customHeight="1" x14ac:dyDescent="0.35">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60" t="str">
        <f t="shared" si="5"/>
        <v>APROBADO</v>
      </c>
      <c r="AI20" s="261"/>
      <c r="AJ20" s="261"/>
      <c r="AK20" s="261"/>
      <c r="AL20" s="261"/>
      <c r="AM20" s="262"/>
      <c r="AN20" s="94"/>
      <c r="AO20" s="94"/>
      <c r="AP20" s="94"/>
      <c r="AQ20" s="94"/>
      <c r="AR20" s="94"/>
    </row>
    <row r="21" spans="1:44" ht="12" customHeight="1" x14ac:dyDescent="0.35">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60" t="str">
        <f t="shared" si="5"/>
        <v>APROBADO</v>
      </c>
      <c r="AI21" s="261"/>
      <c r="AJ21" s="261"/>
      <c r="AK21" s="261"/>
      <c r="AL21" s="261"/>
      <c r="AM21" s="262"/>
      <c r="AN21" s="94"/>
      <c r="AO21" s="94"/>
      <c r="AP21" s="94"/>
      <c r="AQ21" s="94"/>
      <c r="AR21" s="94"/>
    </row>
    <row r="22" spans="1:44" ht="12" customHeight="1" x14ac:dyDescent="0.35">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60" t="str">
        <f t="shared" si="5"/>
        <v>APROBADO</v>
      </c>
      <c r="AI22" s="261"/>
      <c r="AJ22" s="261"/>
      <c r="AK22" s="261"/>
      <c r="AL22" s="261"/>
      <c r="AM22" s="262"/>
      <c r="AN22" s="94"/>
      <c r="AO22" s="94"/>
      <c r="AP22" s="94"/>
      <c r="AQ22" s="94"/>
      <c r="AR22" s="94"/>
    </row>
    <row r="23" spans="1:44" ht="12" customHeight="1" x14ac:dyDescent="0.35">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60" t="str">
        <f t="shared" si="5"/>
        <v>APROBADO</v>
      </c>
      <c r="AI23" s="261"/>
      <c r="AJ23" s="261"/>
      <c r="AK23" s="261"/>
      <c r="AL23" s="261"/>
      <c r="AM23" s="262"/>
      <c r="AN23" s="94"/>
      <c r="AO23" s="94"/>
      <c r="AP23" s="94"/>
      <c r="AQ23" s="94"/>
      <c r="AR23" s="94"/>
    </row>
    <row r="24" spans="1:44" ht="12" customHeight="1" x14ac:dyDescent="0.35">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60" t="str">
        <f t="shared" si="5"/>
        <v>APROBADO</v>
      </c>
      <c r="AI24" s="261"/>
      <c r="AJ24" s="261"/>
      <c r="AK24" s="261"/>
      <c r="AL24" s="261"/>
      <c r="AM24" s="262"/>
      <c r="AN24" s="94"/>
      <c r="AO24" s="94"/>
      <c r="AP24" s="94"/>
      <c r="AQ24" s="94"/>
      <c r="AR24" s="94"/>
    </row>
    <row r="25" spans="1:44" ht="12" customHeight="1" x14ac:dyDescent="0.35">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60" t="str">
        <f t="shared" si="5"/>
        <v>APROBADO</v>
      </c>
      <c r="AI25" s="261"/>
      <c r="AJ25" s="261"/>
      <c r="AK25" s="261"/>
      <c r="AL25" s="261"/>
      <c r="AM25" s="262"/>
      <c r="AN25" s="94"/>
      <c r="AO25" s="94"/>
      <c r="AP25" s="94"/>
      <c r="AQ25" s="94"/>
      <c r="AR25" s="94"/>
    </row>
    <row r="26" spans="1:44" ht="12" customHeight="1" x14ac:dyDescent="0.35">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60" t="str">
        <f t="shared" si="5"/>
        <v>APROBADO</v>
      </c>
      <c r="AI26" s="261"/>
      <c r="AJ26" s="261"/>
      <c r="AK26" s="261"/>
      <c r="AL26" s="261"/>
      <c r="AM26" s="262"/>
      <c r="AN26" s="94"/>
      <c r="AO26" s="94"/>
      <c r="AP26" s="94"/>
      <c r="AQ26" s="94"/>
      <c r="AR26" s="94"/>
    </row>
    <row r="27" spans="1:44" ht="12" customHeight="1" x14ac:dyDescent="0.35">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60" t="str">
        <f t="shared" si="5"/>
        <v>APROBADO</v>
      </c>
      <c r="AI27" s="261"/>
      <c r="AJ27" s="261"/>
      <c r="AK27" s="261"/>
      <c r="AL27" s="261"/>
      <c r="AM27" s="262"/>
      <c r="AN27" s="94"/>
      <c r="AO27" s="94"/>
      <c r="AP27" s="94"/>
      <c r="AQ27" s="94"/>
      <c r="AR27" s="94"/>
    </row>
    <row r="28" spans="1:44" ht="12" customHeight="1" x14ac:dyDescent="0.35">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60" t="str">
        <f t="shared" si="5"/>
        <v>APROBADO</v>
      </c>
      <c r="AI28" s="261"/>
      <c r="AJ28" s="261"/>
      <c r="AK28" s="261"/>
      <c r="AL28" s="261"/>
      <c r="AM28" s="262"/>
      <c r="AN28" s="94"/>
      <c r="AO28" s="94"/>
      <c r="AP28" s="94"/>
      <c r="AQ28" s="94"/>
      <c r="AR28" s="94"/>
    </row>
    <row r="29" spans="1:44" ht="12" customHeight="1" x14ac:dyDescent="0.35">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60" t="str">
        <f t="shared" si="5"/>
        <v>APROBADO</v>
      </c>
      <c r="AI29" s="261"/>
      <c r="AJ29" s="261"/>
      <c r="AK29" s="261"/>
      <c r="AL29" s="261"/>
      <c r="AM29" s="262"/>
      <c r="AN29" s="94"/>
      <c r="AO29" s="94"/>
      <c r="AP29" s="94"/>
      <c r="AQ29" s="94"/>
      <c r="AR29" s="94"/>
    </row>
    <row r="30" spans="1:44" ht="12" customHeight="1" x14ac:dyDescent="0.35">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60" t="str">
        <f t="shared" si="5"/>
        <v>APROBADO</v>
      </c>
      <c r="AI30" s="261"/>
      <c r="AJ30" s="261"/>
      <c r="AK30" s="261"/>
      <c r="AL30" s="261"/>
      <c r="AM30" s="262"/>
      <c r="AN30" s="94"/>
      <c r="AO30" s="94"/>
      <c r="AP30" s="94"/>
      <c r="AQ30" s="94"/>
      <c r="AR30" s="94"/>
    </row>
    <row r="31" spans="1:44" ht="12" customHeight="1" x14ac:dyDescent="0.35">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60" t="str">
        <f t="shared" si="5"/>
        <v>APROBADO</v>
      </c>
      <c r="AI31" s="261"/>
      <c r="AJ31" s="261"/>
      <c r="AK31" s="261"/>
      <c r="AL31" s="261"/>
      <c r="AM31" s="262"/>
      <c r="AN31" s="94"/>
      <c r="AO31" s="94"/>
      <c r="AP31" s="94"/>
      <c r="AQ31" s="94"/>
      <c r="AR31" s="94"/>
    </row>
    <row r="32" spans="1:44" ht="12" customHeight="1" x14ac:dyDescent="0.35">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60" t="str">
        <f t="shared" si="5"/>
        <v>APROBADO</v>
      </c>
      <c r="AI32" s="261"/>
      <c r="AJ32" s="261"/>
      <c r="AK32" s="261"/>
      <c r="AL32" s="261"/>
      <c r="AM32" s="262"/>
      <c r="AN32" s="94"/>
      <c r="AO32" s="94"/>
      <c r="AP32" s="94"/>
      <c r="AQ32" s="94"/>
      <c r="AR32" s="94"/>
    </row>
    <row r="33" spans="1:44" ht="12" customHeight="1" x14ac:dyDescent="0.35">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60" t="str">
        <f t="shared" si="5"/>
        <v>APROBADO</v>
      </c>
      <c r="AI33" s="261"/>
      <c r="AJ33" s="261"/>
      <c r="AK33" s="261"/>
      <c r="AL33" s="261"/>
      <c r="AM33" s="262"/>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60" t="str">
        <f t="shared" si="5"/>
        <v>APROBADO</v>
      </c>
      <c r="AI34" s="261"/>
      <c r="AJ34" s="261"/>
      <c r="AK34" s="261"/>
      <c r="AL34" s="261"/>
      <c r="AM34" s="262"/>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60" t="str">
        <f t="shared" si="5"/>
        <v>APROBADO</v>
      </c>
      <c r="AI35" s="261"/>
      <c r="AJ35" s="261"/>
      <c r="AK35" s="261"/>
      <c r="AL35" s="261"/>
      <c r="AM35" s="262"/>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60" t="str">
        <f t="shared" si="5"/>
        <v>APROBADO</v>
      </c>
      <c r="AI36" s="261"/>
      <c r="AJ36" s="261"/>
      <c r="AK36" s="261"/>
      <c r="AL36" s="261"/>
      <c r="AM36" s="262"/>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60" t="str">
        <f t="shared" si="5"/>
        <v>APROBADO</v>
      </c>
      <c r="AI37" s="261"/>
      <c r="AJ37" s="261"/>
      <c r="AK37" s="261"/>
      <c r="AL37" s="261"/>
      <c r="AM37" s="262"/>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60" t="str">
        <f t="shared" si="5"/>
        <v>APROBADO</v>
      </c>
      <c r="AI38" s="261"/>
      <c r="AJ38" s="261"/>
      <c r="AK38" s="261"/>
      <c r="AL38" s="261"/>
      <c r="AM38" s="262"/>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60" t="str">
        <f t="shared" si="5"/>
        <v>APROBADO</v>
      </c>
      <c r="AI39" s="261"/>
      <c r="AJ39" s="261"/>
      <c r="AK39" s="261"/>
      <c r="AL39" s="261"/>
      <c r="AM39" s="262"/>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60" t="str">
        <f t="shared" si="5"/>
        <v>APROBADO</v>
      </c>
      <c r="AI40" s="261"/>
      <c r="AJ40" s="261"/>
      <c r="AK40" s="261"/>
      <c r="AL40" s="261"/>
      <c r="AM40" s="262"/>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60" t="str">
        <f t="shared" si="5"/>
        <v>APROBADO</v>
      </c>
      <c r="AI41" s="261"/>
      <c r="AJ41" s="261"/>
      <c r="AK41" s="261"/>
      <c r="AL41" s="261"/>
      <c r="AM41" s="262"/>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60" t="str">
        <f t="shared" si="5"/>
        <v>APROBADO</v>
      </c>
      <c r="AI42" s="261"/>
      <c r="AJ42" s="261"/>
      <c r="AK42" s="261"/>
      <c r="AL42" s="261"/>
      <c r="AM42" s="262"/>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60" t="str">
        <f t="shared" si="5"/>
        <v>APROBADO</v>
      </c>
      <c r="AI43" s="261"/>
      <c r="AJ43" s="261"/>
      <c r="AK43" s="261"/>
      <c r="AL43" s="261"/>
      <c r="AM43" s="262"/>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60" t="str">
        <f t="shared" si="5"/>
        <v>APROBADO</v>
      </c>
      <c r="AI44" s="261"/>
      <c r="AJ44" s="261"/>
      <c r="AK44" s="261"/>
      <c r="AL44" s="261"/>
      <c r="AM44" s="262"/>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328125" defaultRowHeight="15" customHeight="1" x14ac:dyDescent="0.35"/>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28" ht="4.5" customHeight="1" x14ac:dyDescent="0.35"/>
    <row r="2" spans="1:28" ht="12.75" customHeight="1" x14ac:dyDescent="0.35">
      <c r="B2" s="220" t="s">
        <v>107</v>
      </c>
      <c r="C2" s="216"/>
      <c r="D2" s="216"/>
      <c r="E2" s="216"/>
      <c r="F2" s="216"/>
      <c r="G2" s="216"/>
      <c r="H2" s="216"/>
      <c r="I2" s="216"/>
      <c r="J2" s="216"/>
      <c r="K2" s="216"/>
      <c r="L2" s="216"/>
      <c r="M2" s="216"/>
      <c r="N2" s="216"/>
      <c r="O2" s="216"/>
      <c r="P2" s="216"/>
      <c r="Q2" s="216"/>
      <c r="R2" s="216"/>
      <c r="S2" s="216"/>
      <c r="T2" s="216"/>
      <c r="U2" s="216"/>
      <c r="V2" s="216"/>
      <c r="W2" s="216"/>
      <c r="X2" s="216"/>
      <c r="Y2" s="71"/>
      <c r="Z2" s="71"/>
      <c r="AA2" s="71"/>
      <c r="AB2" s="71"/>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35">
      <c r="B5" s="38" t="s">
        <v>22</v>
      </c>
      <c r="C5" s="96" t="str">
        <f>CARÁTULA!$C$23</f>
        <v>5to de Secundaria</v>
      </c>
      <c r="D5" s="40"/>
      <c r="E5" s="40"/>
      <c r="F5" s="40"/>
      <c r="G5" s="40"/>
      <c r="H5" s="40"/>
      <c r="I5" s="40"/>
      <c r="J5" s="40"/>
      <c r="K5" s="40"/>
      <c r="L5" s="40"/>
      <c r="M5" s="40"/>
      <c r="N5" s="38"/>
      <c r="O5" s="38"/>
      <c r="P5" s="38"/>
      <c r="Q5" s="38"/>
      <c r="R5" s="43" t="s">
        <v>23</v>
      </c>
      <c r="S5" s="44"/>
      <c r="T5" s="44"/>
      <c r="U5" s="234">
        <f ca="1">TODAY()</f>
        <v>44421</v>
      </c>
      <c r="V5" s="216"/>
      <c r="W5" s="216"/>
      <c r="X5" s="216"/>
    </row>
    <row r="6" spans="1:28" ht="12.75" customHeight="1" x14ac:dyDescent="0.35">
      <c r="B6" s="38"/>
      <c r="C6" s="288" t="s">
        <v>4</v>
      </c>
      <c r="D6" s="261"/>
      <c r="E6" s="261"/>
      <c r="F6" s="261"/>
      <c r="G6" s="261"/>
      <c r="H6" s="262"/>
      <c r="I6" s="288" t="s">
        <v>10</v>
      </c>
      <c r="J6" s="261"/>
      <c r="K6" s="261"/>
      <c r="L6" s="261"/>
      <c r="M6" s="261"/>
      <c r="N6" s="262"/>
      <c r="O6" s="288" t="s">
        <v>16</v>
      </c>
      <c r="P6" s="261"/>
      <c r="Q6" s="261"/>
      <c r="R6" s="261"/>
      <c r="S6" s="261"/>
      <c r="T6" s="262"/>
      <c r="U6" s="293" t="s">
        <v>108</v>
      </c>
      <c r="V6" s="289" t="s">
        <v>109</v>
      </c>
      <c r="W6" s="65"/>
      <c r="X6" s="65"/>
    </row>
    <row r="7" spans="1:28" ht="12" customHeight="1" x14ac:dyDescent="0.35">
      <c r="B7" s="47"/>
      <c r="C7" s="291"/>
      <c r="D7" s="261"/>
      <c r="E7" s="261"/>
      <c r="F7" s="261"/>
      <c r="G7" s="262"/>
      <c r="H7" s="292" t="s">
        <v>110</v>
      </c>
      <c r="I7" s="291"/>
      <c r="J7" s="261"/>
      <c r="K7" s="261"/>
      <c r="L7" s="261"/>
      <c r="M7" s="262"/>
      <c r="N7" s="292" t="s">
        <v>110</v>
      </c>
      <c r="O7" s="291"/>
      <c r="P7" s="261"/>
      <c r="Q7" s="261"/>
      <c r="R7" s="261"/>
      <c r="S7" s="262"/>
      <c r="T7" s="275" t="s">
        <v>110</v>
      </c>
      <c r="U7" s="290"/>
      <c r="V7" s="290"/>
      <c r="W7" s="40"/>
      <c r="X7" s="40"/>
    </row>
    <row r="8" spans="1:28" ht="67.5" customHeight="1" x14ac:dyDescent="0.35">
      <c r="A8" s="48" t="s">
        <v>61</v>
      </c>
      <c r="B8" s="49" t="s">
        <v>62</v>
      </c>
      <c r="C8" s="97" t="s">
        <v>87</v>
      </c>
      <c r="D8" s="98" t="s">
        <v>88</v>
      </c>
      <c r="E8" s="98" t="s">
        <v>90</v>
      </c>
      <c r="F8" s="98" t="s">
        <v>91</v>
      </c>
      <c r="G8" s="98" t="s">
        <v>111</v>
      </c>
      <c r="H8" s="265"/>
      <c r="I8" s="97" t="s">
        <v>87</v>
      </c>
      <c r="J8" s="98" t="s">
        <v>88</v>
      </c>
      <c r="K8" s="98" t="s">
        <v>90</v>
      </c>
      <c r="L8" s="98" t="s">
        <v>91</v>
      </c>
      <c r="M8" s="98" t="s">
        <v>111</v>
      </c>
      <c r="N8" s="265"/>
      <c r="O8" s="97" t="s">
        <v>87</v>
      </c>
      <c r="P8" s="98" t="s">
        <v>88</v>
      </c>
      <c r="Q8" s="98" t="s">
        <v>90</v>
      </c>
      <c r="R8" s="98" t="s">
        <v>91</v>
      </c>
      <c r="S8" s="98" t="s">
        <v>111</v>
      </c>
      <c r="T8" s="265"/>
      <c r="U8" s="265"/>
      <c r="V8" s="265"/>
      <c r="W8" s="99"/>
      <c r="X8" s="99"/>
    </row>
    <row r="9" spans="1:28" ht="12" customHeight="1" x14ac:dyDescent="0.35">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25</v>
      </c>
      <c r="K9" s="31">
        <f>'VAL 2 TRIM'!AB9</f>
        <v>30</v>
      </c>
      <c r="L9" s="31">
        <f>'VAL 2 TRIM'!AA9</f>
        <v>10</v>
      </c>
      <c r="M9" s="31">
        <f>'VAL 2 TRIM'!AE9</f>
        <v>10</v>
      </c>
      <c r="N9" s="100">
        <f>'VAL 2 TRIM'!AG9</f>
        <v>85</v>
      </c>
      <c r="O9" s="31">
        <f>'VAL 3 TRIM'!C9</f>
        <v>10</v>
      </c>
      <c r="P9" s="31">
        <f>'VAL 3 TRIM'!O9</f>
        <v>35</v>
      </c>
      <c r="Q9" s="31">
        <f>'VAL 3 TRIM'!AB9</f>
        <v>35</v>
      </c>
      <c r="R9" s="31">
        <f>'VAL 3 TRIM'!AA9</f>
        <v>10</v>
      </c>
      <c r="S9" s="31">
        <f>'VAL 3 TRIM'!AE9</f>
        <v>10</v>
      </c>
      <c r="T9" s="100">
        <f>'VAL 3 TRIM'!AG9</f>
        <v>100</v>
      </c>
      <c r="U9" s="101">
        <f t="shared" ref="U9:U44" si="0">AVERAGE(H9,N9,T9)</f>
        <v>91</v>
      </c>
      <c r="V9" s="102" t="str">
        <f t="shared" ref="V9:V44" si="1">IF(U9="","",(IF(AND(U9&gt;=1,U9&lt;=50.499),"REPROBADO",IF(AND(U9&gt;=50.5,U9&lt;=100),"APROBADO"))))</f>
        <v>APROBADO</v>
      </c>
      <c r="W9" s="103"/>
      <c r="X9" s="103"/>
    </row>
    <row r="10" spans="1:28" ht="12" customHeight="1" x14ac:dyDescent="0.35">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23</v>
      </c>
      <c r="K10" s="31">
        <f>'VAL 2 TRIM'!AB10</f>
        <v>24</v>
      </c>
      <c r="L10" s="31">
        <f>'VAL 2 TRIM'!AA10</f>
        <v>10</v>
      </c>
      <c r="M10" s="31">
        <f>'VAL 2 TRIM'!AE10</f>
        <v>10</v>
      </c>
      <c r="N10" s="100">
        <f>'VAL 2 TRIM'!AG10</f>
        <v>77</v>
      </c>
      <c r="O10" s="31">
        <f>'VAL 3 TRIM'!C10</f>
        <v>10</v>
      </c>
      <c r="P10" s="31">
        <f>'VAL 3 TRIM'!O10</f>
        <v>35</v>
      </c>
      <c r="Q10" s="31">
        <f>'VAL 3 TRIM'!AB10</f>
        <v>35</v>
      </c>
      <c r="R10" s="31">
        <f>'VAL 3 TRIM'!AA10</f>
        <v>10</v>
      </c>
      <c r="S10" s="48">
        <f>'VAL 3 TRIM'!AE10</f>
        <v>10</v>
      </c>
      <c r="T10" s="100">
        <f>'VAL 3 TRIM'!AG10</f>
        <v>100</v>
      </c>
      <c r="U10" s="101">
        <f t="shared" si="0"/>
        <v>86.666666666666671</v>
      </c>
      <c r="V10" s="102" t="str">
        <f t="shared" si="1"/>
        <v>APROBADO</v>
      </c>
      <c r="W10" s="103"/>
      <c r="X10" s="103"/>
    </row>
    <row r="11" spans="1:28" ht="12" customHeight="1" x14ac:dyDescent="0.35">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10</v>
      </c>
      <c r="J11" s="31">
        <f>'VAL 2 TRIM'!O11</f>
        <v>28</v>
      </c>
      <c r="K11" s="31">
        <f>'VAL 2 TRIM'!AB11</f>
        <v>25</v>
      </c>
      <c r="L11" s="31">
        <f>'VAL 2 TRIM'!AA11</f>
        <v>10</v>
      </c>
      <c r="M11" s="31">
        <f>'VAL 2 TRIM'!AE11</f>
        <v>10</v>
      </c>
      <c r="N11" s="100">
        <f>'VAL 2 TRIM'!AG11</f>
        <v>83</v>
      </c>
      <c r="O11" s="31">
        <f>'VAL 3 TRIM'!C11</f>
        <v>10</v>
      </c>
      <c r="P11" s="31">
        <f>'VAL 3 TRIM'!O11</f>
        <v>35</v>
      </c>
      <c r="Q11" s="31">
        <f>'VAL 3 TRIM'!AB11</f>
        <v>35</v>
      </c>
      <c r="R11" s="31">
        <f>'VAL 3 TRIM'!AA11</f>
        <v>10</v>
      </c>
      <c r="S11" s="48">
        <f>'VAL 3 TRIM'!AE11</f>
        <v>10</v>
      </c>
      <c r="T11" s="100">
        <f>'VAL 3 TRIM'!AG11</f>
        <v>100</v>
      </c>
      <c r="U11" s="101">
        <f t="shared" si="0"/>
        <v>89.333333333333329</v>
      </c>
      <c r="V11" s="102" t="str">
        <f t="shared" si="1"/>
        <v>APROBADO</v>
      </c>
      <c r="W11" s="103"/>
      <c r="X11" s="103"/>
    </row>
    <row r="12" spans="1:28" ht="12" customHeight="1" x14ac:dyDescent="0.35">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72.666666666666671</v>
      </c>
      <c r="V12" s="102" t="str">
        <f t="shared" si="1"/>
        <v>APROBADO</v>
      </c>
      <c r="W12" s="103"/>
      <c r="X12" s="103"/>
    </row>
    <row r="13" spans="1:28" ht="12" customHeight="1" x14ac:dyDescent="0.35">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10</v>
      </c>
      <c r="J13" s="31">
        <f>'VAL 2 TRIM'!O13</f>
        <v>0</v>
      </c>
      <c r="K13" s="31">
        <f>'VAL 2 TRIM'!AB13</f>
        <v>0</v>
      </c>
      <c r="L13" s="31">
        <f>'VAL 2 TRIM'!AA13</f>
        <v>10</v>
      </c>
      <c r="M13" s="31">
        <f>'VAL 2 TRIM'!AE13</f>
        <v>10</v>
      </c>
      <c r="N13" s="100">
        <f>'VAL 2 TRIM'!AG13</f>
        <v>30</v>
      </c>
      <c r="O13" s="31">
        <f>'VAL 3 TRIM'!C13</f>
        <v>10</v>
      </c>
      <c r="P13" s="31">
        <f>'VAL 3 TRIM'!O13</f>
        <v>35</v>
      </c>
      <c r="Q13" s="31">
        <f>'VAL 3 TRIM'!AB13</f>
        <v>35</v>
      </c>
      <c r="R13" s="31">
        <f>'VAL 3 TRIM'!AA13</f>
        <v>10</v>
      </c>
      <c r="S13" s="48">
        <f>'VAL 3 TRIM'!AE13</f>
        <v>10</v>
      </c>
      <c r="T13" s="100">
        <f>'VAL 3 TRIM'!AG13</f>
        <v>100</v>
      </c>
      <c r="U13" s="101">
        <f t="shared" si="0"/>
        <v>72.666666666666671</v>
      </c>
      <c r="V13" s="102" t="str">
        <f t="shared" si="1"/>
        <v>APROBADO</v>
      </c>
      <c r="W13" s="103"/>
      <c r="X13" s="103"/>
    </row>
    <row r="14" spans="1:28" ht="12" customHeight="1" x14ac:dyDescent="0.35">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10</v>
      </c>
      <c r="J14" s="31">
        <f>'VAL 2 TRIM'!O14</f>
        <v>3</v>
      </c>
      <c r="K14" s="31">
        <f>'VAL 2 TRIM'!AB14</f>
        <v>3</v>
      </c>
      <c r="L14" s="31">
        <f>'VAL 2 TRIM'!AA14</f>
        <v>10</v>
      </c>
      <c r="M14" s="31">
        <f>'VAL 2 TRIM'!AE14</f>
        <v>10</v>
      </c>
      <c r="N14" s="100">
        <f>'VAL 2 TRIM'!AG14</f>
        <v>36</v>
      </c>
      <c r="O14" s="31">
        <f>'VAL 3 TRIM'!C14</f>
        <v>10</v>
      </c>
      <c r="P14" s="31">
        <f>'VAL 3 TRIM'!O14</f>
        <v>35</v>
      </c>
      <c r="Q14" s="31">
        <f>'VAL 3 TRIM'!AB14</f>
        <v>35</v>
      </c>
      <c r="R14" s="31">
        <f>'VAL 3 TRIM'!AA14</f>
        <v>10</v>
      </c>
      <c r="S14" s="48">
        <f>'VAL 3 TRIM'!AE14</f>
        <v>10</v>
      </c>
      <c r="T14" s="100">
        <f>'VAL 3 TRIM'!AG14</f>
        <v>100</v>
      </c>
      <c r="U14" s="101">
        <f t="shared" si="0"/>
        <v>73.666666666666671</v>
      </c>
      <c r="V14" s="102" t="str">
        <f t="shared" si="1"/>
        <v>APROBADO</v>
      </c>
      <c r="W14" s="103"/>
      <c r="X14" s="103"/>
    </row>
    <row r="15" spans="1:28" ht="12" customHeight="1" x14ac:dyDescent="0.35">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23</v>
      </c>
      <c r="K15" s="31">
        <f>'VAL 2 TRIM'!AB15</f>
        <v>19</v>
      </c>
      <c r="L15" s="31">
        <f>'VAL 2 TRIM'!AA15</f>
        <v>10</v>
      </c>
      <c r="M15" s="31">
        <f>'VAL 2 TRIM'!AE15</f>
        <v>10</v>
      </c>
      <c r="N15" s="100">
        <f>'VAL 2 TRIM'!AG15</f>
        <v>72</v>
      </c>
      <c r="O15" s="31">
        <f>'VAL 3 TRIM'!C15</f>
        <v>10</v>
      </c>
      <c r="P15" s="31">
        <f>'VAL 3 TRIM'!O15</f>
        <v>35</v>
      </c>
      <c r="Q15" s="31">
        <f>'VAL 3 TRIM'!AB15</f>
        <v>35</v>
      </c>
      <c r="R15" s="31">
        <f>'VAL 3 TRIM'!AA15</f>
        <v>10</v>
      </c>
      <c r="S15" s="48">
        <f>'VAL 3 TRIM'!AE15</f>
        <v>10</v>
      </c>
      <c r="T15" s="100">
        <f>'VAL 3 TRIM'!AG15</f>
        <v>100</v>
      </c>
      <c r="U15" s="101">
        <f t="shared" si="0"/>
        <v>85.666666666666671</v>
      </c>
      <c r="V15" s="102" t="str">
        <f t="shared" si="1"/>
        <v>APROBADO</v>
      </c>
      <c r="W15" s="103"/>
      <c r="X15" s="103"/>
    </row>
    <row r="16" spans="1:28" ht="12" customHeight="1" x14ac:dyDescent="0.35">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10</v>
      </c>
      <c r="J16" s="31">
        <f>'VAL 2 TRIM'!O16</f>
        <v>4</v>
      </c>
      <c r="K16" s="31">
        <f>'VAL 2 TRIM'!AB16</f>
        <v>0</v>
      </c>
      <c r="L16" s="31">
        <f>'VAL 2 TRIM'!AA16</f>
        <v>10</v>
      </c>
      <c r="M16" s="31">
        <f>'VAL 2 TRIM'!AE16</f>
        <v>10</v>
      </c>
      <c r="N16" s="100">
        <f>'VAL 2 TRIM'!AG16</f>
        <v>34</v>
      </c>
      <c r="O16" s="31">
        <f>'VAL 3 TRIM'!C16</f>
        <v>10</v>
      </c>
      <c r="P16" s="31">
        <f>'VAL 3 TRIM'!O16</f>
        <v>35</v>
      </c>
      <c r="Q16" s="31">
        <f>'VAL 3 TRIM'!AB16</f>
        <v>35</v>
      </c>
      <c r="R16" s="31">
        <f>'VAL 3 TRIM'!AA16</f>
        <v>10</v>
      </c>
      <c r="S16" s="48">
        <f>'VAL 3 TRIM'!AE16</f>
        <v>10</v>
      </c>
      <c r="T16" s="100">
        <f>'VAL 3 TRIM'!AG16</f>
        <v>100</v>
      </c>
      <c r="U16" s="101">
        <f t="shared" si="0"/>
        <v>73.666666666666671</v>
      </c>
      <c r="V16" s="102" t="str">
        <f t="shared" si="1"/>
        <v>APROBADO</v>
      </c>
      <c r="W16" s="103"/>
      <c r="X16" s="103"/>
    </row>
    <row r="17" spans="1:24" ht="12" customHeight="1" x14ac:dyDescent="0.35">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10</v>
      </c>
      <c r="J17" s="31">
        <f>'VAL 2 TRIM'!O17</f>
        <v>33</v>
      </c>
      <c r="K17" s="31">
        <f>'VAL 2 TRIM'!AB17</f>
        <v>34</v>
      </c>
      <c r="L17" s="31">
        <f>'VAL 2 TRIM'!AA17</f>
        <v>10</v>
      </c>
      <c r="M17" s="31">
        <f>'VAL 2 TRIM'!AE17</f>
        <v>10</v>
      </c>
      <c r="N17" s="100">
        <f>'VAL 2 TRIM'!AG17</f>
        <v>97</v>
      </c>
      <c r="O17" s="31">
        <f>'VAL 3 TRIM'!C17</f>
        <v>10</v>
      </c>
      <c r="P17" s="31">
        <f>'VAL 3 TRIM'!O17</f>
        <v>35</v>
      </c>
      <c r="Q17" s="31">
        <f>'VAL 3 TRIM'!AB17</f>
        <v>35</v>
      </c>
      <c r="R17" s="31">
        <f>'VAL 3 TRIM'!AA17</f>
        <v>10</v>
      </c>
      <c r="S17" s="48">
        <f>'VAL 3 TRIM'!AE17</f>
        <v>10</v>
      </c>
      <c r="T17" s="100">
        <f>'VAL 3 TRIM'!AG17</f>
        <v>100</v>
      </c>
      <c r="U17" s="101">
        <f t="shared" si="0"/>
        <v>95</v>
      </c>
      <c r="V17" s="102" t="str">
        <f t="shared" si="1"/>
        <v>APROBADO</v>
      </c>
      <c r="W17" s="103"/>
      <c r="X17" s="103"/>
    </row>
    <row r="18" spans="1:24" ht="12" customHeight="1" x14ac:dyDescent="0.35">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10</v>
      </c>
      <c r="J18" s="31">
        <f>'VAL 2 TRIM'!O18</f>
        <v>5</v>
      </c>
      <c r="K18" s="31">
        <f>'VAL 2 TRIM'!AB18</f>
        <v>0</v>
      </c>
      <c r="L18" s="31">
        <f>'VAL 2 TRIM'!AA18</f>
        <v>10</v>
      </c>
      <c r="M18" s="31">
        <f>'VAL 2 TRIM'!AE18</f>
        <v>10</v>
      </c>
      <c r="N18" s="100">
        <f>'VAL 2 TRIM'!AG18</f>
        <v>35</v>
      </c>
      <c r="O18" s="31">
        <f>'VAL 3 TRIM'!C18</f>
        <v>10</v>
      </c>
      <c r="P18" s="31">
        <f>'VAL 3 TRIM'!O18</f>
        <v>35</v>
      </c>
      <c r="Q18" s="31">
        <f>'VAL 3 TRIM'!AB18</f>
        <v>35</v>
      </c>
      <c r="R18" s="31">
        <f>'VAL 3 TRIM'!AA18</f>
        <v>10</v>
      </c>
      <c r="S18" s="48">
        <f>'VAL 3 TRIM'!AE18</f>
        <v>10</v>
      </c>
      <c r="T18" s="100">
        <f>'VAL 3 TRIM'!AG18</f>
        <v>100</v>
      </c>
      <c r="U18" s="101">
        <f t="shared" si="0"/>
        <v>74.333333333333329</v>
      </c>
      <c r="V18" s="102" t="str">
        <f t="shared" si="1"/>
        <v>APROBADO</v>
      </c>
      <c r="W18" s="103"/>
      <c r="X18" s="103"/>
    </row>
    <row r="19" spans="1:24" ht="12" customHeight="1" x14ac:dyDescent="0.35">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10</v>
      </c>
      <c r="J19" s="31">
        <f>'VAL 2 TRIM'!O19</f>
        <v>0</v>
      </c>
      <c r="K19" s="31">
        <f>'VAL 2 TRIM'!AB19</f>
        <v>0</v>
      </c>
      <c r="L19" s="31">
        <f>'VAL 2 TRIM'!AA19</f>
        <v>10</v>
      </c>
      <c r="M19" s="31">
        <f>'VAL 2 TRIM'!AE19</f>
        <v>10</v>
      </c>
      <c r="N19" s="100">
        <f>'VAL 2 TRIM'!AG19</f>
        <v>30</v>
      </c>
      <c r="O19" s="31">
        <f>'VAL 3 TRIM'!C19</f>
        <v>10</v>
      </c>
      <c r="P19" s="31">
        <f>'VAL 3 TRIM'!O19</f>
        <v>35</v>
      </c>
      <c r="Q19" s="31">
        <f>'VAL 3 TRIM'!AB19</f>
        <v>35</v>
      </c>
      <c r="R19" s="31">
        <f>'VAL 3 TRIM'!AA19</f>
        <v>10</v>
      </c>
      <c r="S19" s="48">
        <f>'VAL 3 TRIM'!AE19</f>
        <v>10</v>
      </c>
      <c r="T19" s="100">
        <f>'VAL 3 TRIM'!AG19</f>
        <v>100</v>
      </c>
      <c r="U19" s="101">
        <f t="shared" si="0"/>
        <v>72.666666666666671</v>
      </c>
      <c r="V19" s="102" t="str">
        <f t="shared" si="1"/>
        <v>APROBADO</v>
      </c>
      <c r="W19" s="103"/>
      <c r="X19" s="103"/>
    </row>
    <row r="20" spans="1:24" ht="12" customHeight="1" x14ac:dyDescent="0.35">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10</v>
      </c>
      <c r="J20" s="31">
        <f>'VAL 2 TRIM'!O20</f>
        <v>0</v>
      </c>
      <c r="K20" s="31">
        <f>'VAL 2 TRIM'!AB20</f>
        <v>0</v>
      </c>
      <c r="L20" s="31">
        <f>'VAL 2 TRIM'!AA20</f>
        <v>10</v>
      </c>
      <c r="M20" s="31">
        <f>'VAL 2 TRIM'!AE20</f>
        <v>10</v>
      </c>
      <c r="N20" s="100">
        <f>'VAL 2 TRIM'!AG20</f>
        <v>30</v>
      </c>
      <c r="O20" s="31">
        <f>'VAL 3 TRIM'!C20</f>
        <v>10</v>
      </c>
      <c r="P20" s="31">
        <f>'VAL 3 TRIM'!O20</f>
        <v>35</v>
      </c>
      <c r="Q20" s="31">
        <f>'VAL 3 TRIM'!AB20</f>
        <v>35</v>
      </c>
      <c r="R20" s="31">
        <f>'VAL 3 TRIM'!AA20</f>
        <v>10</v>
      </c>
      <c r="S20" s="48">
        <f>'VAL 3 TRIM'!AE20</f>
        <v>10</v>
      </c>
      <c r="T20" s="100">
        <f>'VAL 3 TRIM'!AG20</f>
        <v>100</v>
      </c>
      <c r="U20" s="101">
        <f t="shared" si="0"/>
        <v>72.666666666666671</v>
      </c>
      <c r="V20" s="102" t="str">
        <f t="shared" si="1"/>
        <v>APROBADO</v>
      </c>
      <c r="W20" s="103"/>
      <c r="X20" s="103"/>
    </row>
    <row r="21" spans="1:24" ht="12" customHeight="1" x14ac:dyDescent="0.35">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10</v>
      </c>
      <c r="J21" s="31">
        <f>'VAL 2 TRIM'!O21</f>
        <v>31</v>
      </c>
      <c r="K21" s="31">
        <f>'VAL 2 TRIM'!AB21</f>
        <v>27</v>
      </c>
      <c r="L21" s="31">
        <f>'VAL 2 TRIM'!AA21</f>
        <v>10</v>
      </c>
      <c r="M21" s="31">
        <f>'VAL 2 TRIM'!AE21</f>
        <v>10</v>
      </c>
      <c r="N21" s="100">
        <f>'VAL 2 TRIM'!AG21</f>
        <v>88</v>
      </c>
      <c r="O21" s="31">
        <f>'VAL 3 TRIM'!C21</f>
        <v>10</v>
      </c>
      <c r="P21" s="31">
        <f>'VAL 3 TRIM'!O21</f>
        <v>35</v>
      </c>
      <c r="Q21" s="31">
        <f>'VAL 3 TRIM'!AB21</f>
        <v>35</v>
      </c>
      <c r="R21" s="31">
        <f>'VAL 3 TRIM'!AA21</f>
        <v>10</v>
      </c>
      <c r="S21" s="48">
        <f>'VAL 3 TRIM'!AE21</f>
        <v>10</v>
      </c>
      <c r="T21" s="100">
        <f>'VAL 3 TRIM'!AG21</f>
        <v>100</v>
      </c>
      <c r="U21" s="101">
        <f t="shared" si="0"/>
        <v>92</v>
      </c>
      <c r="V21" s="102" t="str">
        <f t="shared" si="1"/>
        <v>APROBADO</v>
      </c>
      <c r="W21" s="103"/>
      <c r="X21" s="103"/>
    </row>
    <row r="22" spans="1:24" ht="12" customHeight="1" x14ac:dyDescent="0.35">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10</v>
      </c>
      <c r="J22" s="31">
        <f>'VAL 2 TRIM'!O22</f>
        <v>26</v>
      </c>
      <c r="K22" s="31">
        <f>'VAL 2 TRIM'!AB22</f>
        <v>22</v>
      </c>
      <c r="L22" s="31">
        <f>'VAL 2 TRIM'!AA22</f>
        <v>10</v>
      </c>
      <c r="M22" s="31">
        <f>'VAL 2 TRIM'!AE22</f>
        <v>10</v>
      </c>
      <c r="N22" s="100">
        <f>'VAL 2 TRIM'!AG22</f>
        <v>78</v>
      </c>
      <c r="O22" s="31">
        <f>'VAL 3 TRIM'!C22</f>
        <v>10</v>
      </c>
      <c r="P22" s="31">
        <f>'VAL 3 TRIM'!O22</f>
        <v>35</v>
      </c>
      <c r="Q22" s="31">
        <f>'VAL 3 TRIM'!AB22</f>
        <v>35</v>
      </c>
      <c r="R22" s="31">
        <f>'VAL 3 TRIM'!AA22</f>
        <v>10</v>
      </c>
      <c r="S22" s="48">
        <f>'VAL 3 TRIM'!AE22</f>
        <v>10</v>
      </c>
      <c r="T22" s="100">
        <f>'VAL 3 TRIM'!AG22</f>
        <v>100</v>
      </c>
      <c r="U22" s="101">
        <f t="shared" si="0"/>
        <v>88.666666666666671</v>
      </c>
      <c r="V22" s="102" t="str">
        <f t="shared" si="1"/>
        <v>APROBADO</v>
      </c>
      <c r="W22" s="103"/>
      <c r="X22" s="103"/>
    </row>
    <row r="23" spans="1:24" ht="12" customHeight="1" x14ac:dyDescent="0.35">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72.666666666666671</v>
      </c>
      <c r="V23" s="102" t="str">
        <f t="shared" si="1"/>
        <v>APROBADO</v>
      </c>
      <c r="W23" s="103"/>
      <c r="X23" s="103"/>
    </row>
    <row r="24" spans="1:24" ht="12" customHeight="1" x14ac:dyDescent="0.35">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22</v>
      </c>
      <c r="K24" s="31">
        <f>'VAL 2 TRIM'!AB24</f>
        <v>25</v>
      </c>
      <c r="L24" s="31">
        <f>'VAL 2 TRIM'!AA24</f>
        <v>10</v>
      </c>
      <c r="M24" s="31">
        <f>'VAL 2 TRIM'!AE24</f>
        <v>10</v>
      </c>
      <c r="N24" s="100">
        <f>'VAL 2 TRIM'!AG24</f>
        <v>77</v>
      </c>
      <c r="O24" s="31">
        <f>'VAL 3 TRIM'!C24</f>
        <v>10</v>
      </c>
      <c r="P24" s="31">
        <f>'VAL 3 TRIM'!O24</f>
        <v>35</v>
      </c>
      <c r="Q24" s="31">
        <f>'VAL 3 TRIM'!AB24</f>
        <v>35</v>
      </c>
      <c r="R24" s="31">
        <f>'VAL 3 TRIM'!AA24</f>
        <v>10</v>
      </c>
      <c r="S24" s="48">
        <f>'VAL 3 TRIM'!AE24</f>
        <v>10</v>
      </c>
      <c r="T24" s="100">
        <f>'VAL 3 TRIM'!AG24</f>
        <v>100</v>
      </c>
      <c r="U24" s="101">
        <f t="shared" si="0"/>
        <v>88.333333333333329</v>
      </c>
      <c r="V24" s="102" t="str">
        <f t="shared" si="1"/>
        <v>APROBADO</v>
      </c>
      <c r="W24" s="103"/>
      <c r="X24" s="103"/>
    </row>
    <row r="25" spans="1:24" ht="12" customHeight="1" x14ac:dyDescent="0.35">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22</v>
      </c>
      <c r="K25" s="31">
        <f>'VAL 2 TRIM'!AB25</f>
        <v>24</v>
      </c>
      <c r="L25" s="31">
        <f>'VAL 2 TRIM'!AA25</f>
        <v>10</v>
      </c>
      <c r="M25" s="31">
        <f>'VAL 2 TRIM'!AE25</f>
        <v>10</v>
      </c>
      <c r="N25" s="100">
        <f>'VAL 2 TRIM'!AG25</f>
        <v>76</v>
      </c>
      <c r="O25" s="31">
        <f>'VAL 3 TRIM'!C25</f>
        <v>10</v>
      </c>
      <c r="P25" s="31">
        <f>'VAL 3 TRIM'!O25</f>
        <v>35</v>
      </c>
      <c r="Q25" s="31">
        <f>'VAL 3 TRIM'!AB25</f>
        <v>35</v>
      </c>
      <c r="R25" s="31">
        <f>'VAL 3 TRIM'!AA25</f>
        <v>10</v>
      </c>
      <c r="S25" s="48">
        <f>'VAL 3 TRIM'!AE25</f>
        <v>10</v>
      </c>
      <c r="T25" s="100">
        <f>'VAL 3 TRIM'!AG25</f>
        <v>100</v>
      </c>
      <c r="U25" s="101">
        <f t="shared" si="0"/>
        <v>88</v>
      </c>
      <c r="V25" s="102" t="str">
        <f t="shared" si="1"/>
        <v>APROBADO</v>
      </c>
      <c r="W25" s="103"/>
      <c r="X25" s="103"/>
    </row>
    <row r="26" spans="1:24" ht="12" customHeight="1" x14ac:dyDescent="0.35">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24</v>
      </c>
      <c r="K26" s="31">
        <f>'VAL 2 TRIM'!AB26</f>
        <v>24</v>
      </c>
      <c r="L26" s="31">
        <f>'VAL 2 TRIM'!AA26</f>
        <v>10</v>
      </c>
      <c r="M26" s="31">
        <f>'VAL 2 TRIM'!AE26</f>
        <v>10</v>
      </c>
      <c r="N26" s="100">
        <f>'VAL 2 TRIM'!AG26</f>
        <v>78</v>
      </c>
      <c r="O26" s="31">
        <f>'VAL 3 TRIM'!C26</f>
        <v>10</v>
      </c>
      <c r="P26" s="31">
        <f>'VAL 3 TRIM'!O26</f>
        <v>35</v>
      </c>
      <c r="Q26" s="31">
        <f>'VAL 3 TRIM'!AB26</f>
        <v>35</v>
      </c>
      <c r="R26" s="31">
        <f>'VAL 3 TRIM'!AA26</f>
        <v>10</v>
      </c>
      <c r="S26" s="48">
        <f>'VAL 3 TRIM'!AE26</f>
        <v>10</v>
      </c>
      <c r="T26" s="100">
        <f>'VAL 3 TRIM'!AG26</f>
        <v>100</v>
      </c>
      <c r="U26" s="101">
        <f t="shared" si="0"/>
        <v>88.666666666666671</v>
      </c>
      <c r="V26" s="102" t="str">
        <f t="shared" si="1"/>
        <v>APROBADO</v>
      </c>
      <c r="W26" s="103"/>
      <c r="X26" s="103"/>
    </row>
    <row r="27" spans="1:24" ht="12" customHeight="1" x14ac:dyDescent="0.35">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10</v>
      </c>
      <c r="J27" s="31">
        <f>'VAL 2 TRIM'!O27</f>
        <v>18</v>
      </c>
      <c r="K27" s="31">
        <f>'VAL 2 TRIM'!AB27</f>
        <v>15</v>
      </c>
      <c r="L27" s="31">
        <f>'VAL 2 TRIM'!AA27</f>
        <v>10</v>
      </c>
      <c r="M27" s="31">
        <f>'VAL 2 TRIM'!AE27</f>
        <v>10</v>
      </c>
      <c r="N27" s="100">
        <f>'VAL 2 TRIM'!AG27</f>
        <v>63</v>
      </c>
      <c r="O27" s="31">
        <f>'VAL 3 TRIM'!C27</f>
        <v>10</v>
      </c>
      <c r="P27" s="31">
        <f>'VAL 3 TRIM'!O27</f>
        <v>35</v>
      </c>
      <c r="Q27" s="31">
        <f>'VAL 3 TRIM'!AB27</f>
        <v>35</v>
      </c>
      <c r="R27" s="31">
        <f>'VAL 3 TRIM'!AA27</f>
        <v>10</v>
      </c>
      <c r="S27" s="48">
        <f>'VAL 3 TRIM'!AE27</f>
        <v>10</v>
      </c>
      <c r="T27" s="100">
        <f>'VAL 3 TRIM'!AG27</f>
        <v>100</v>
      </c>
      <c r="U27" s="101">
        <f t="shared" si="0"/>
        <v>82.666666666666671</v>
      </c>
      <c r="V27" s="102" t="str">
        <f t="shared" si="1"/>
        <v>APROBADO</v>
      </c>
      <c r="W27" s="103"/>
      <c r="X27" s="103"/>
    </row>
    <row r="28" spans="1:24" ht="12" customHeight="1" x14ac:dyDescent="0.35">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13</v>
      </c>
      <c r="K28" s="31">
        <f>'VAL 2 TRIM'!AB28</f>
        <v>16</v>
      </c>
      <c r="L28" s="31">
        <f>'VAL 2 TRIM'!AA28</f>
        <v>10</v>
      </c>
      <c r="M28" s="31">
        <f>'VAL 2 TRIM'!AE28</f>
        <v>10</v>
      </c>
      <c r="N28" s="100">
        <f>'VAL 2 TRIM'!AG28</f>
        <v>59</v>
      </c>
      <c r="O28" s="31">
        <f>'VAL 3 TRIM'!C28</f>
        <v>10</v>
      </c>
      <c r="P28" s="31">
        <f>'VAL 3 TRIM'!O28</f>
        <v>35</v>
      </c>
      <c r="Q28" s="31">
        <f>'VAL 3 TRIM'!AB28</f>
        <v>35</v>
      </c>
      <c r="R28" s="31">
        <f>'VAL 3 TRIM'!AA28</f>
        <v>10</v>
      </c>
      <c r="S28" s="48">
        <f>'VAL 3 TRIM'!AE28</f>
        <v>10</v>
      </c>
      <c r="T28" s="100">
        <f>'VAL 3 TRIM'!AG28</f>
        <v>100</v>
      </c>
      <c r="U28" s="101">
        <f t="shared" si="0"/>
        <v>82.333333333333329</v>
      </c>
      <c r="V28" s="102" t="str">
        <f t="shared" si="1"/>
        <v>APROBADO</v>
      </c>
      <c r="W28" s="103"/>
      <c r="X28" s="103"/>
    </row>
    <row r="29" spans="1:24" ht="12" customHeight="1" x14ac:dyDescent="0.35">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10</v>
      </c>
      <c r="J29" s="31">
        <f>'VAL 2 TRIM'!O29</f>
        <v>18</v>
      </c>
      <c r="K29" s="31">
        <f>'VAL 2 TRIM'!AB29</f>
        <v>15</v>
      </c>
      <c r="L29" s="31">
        <f>'VAL 2 TRIM'!AA29</f>
        <v>10</v>
      </c>
      <c r="M29" s="31">
        <f>'VAL 2 TRIM'!AE29</f>
        <v>10</v>
      </c>
      <c r="N29" s="100">
        <f>'VAL 2 TRIM'!AG29</f>
        <v>63</v>
      </c>
      <c r="O29" s="31">
        <f>'VAL 3 TRIM'!C29</f>
        <v>10</v>
      </c>
      <c r="P29" s="31">
        <f>'VAL 3 TRIM'!O29</f>
        <v>35</v>
      </c>
      <c r="Q29" s="31">
        <f>'VAL 3 TRIM'!AB29</f>
        <v>35</v>
      </c>
      <c r="R29" s="31">
        <f>'VAL 3 TRIM'!AA29</f>
        <v>10</v>
      </c>
      <c r="S29" s="48">
        <f>'VAL 3 TRIM'!AE29</f>
        <v>10</v>
      </c>
      <c r="T29" s="100">
        <f>'VAL 3 TRIM'!AG29</f>
        <v>100</v>
      </c>
      <c r="U29" s="101">
        <f t="shared" si="0"/>
        <v>83.666666666666671</v>
      </c>
      <c r="V29" s="102" t="str">
        <f t="shared" si="1"/>
        <v>APROBADO</v>
      </c>
      <c r="W29" s="103"/>
      <c r="X29" s="103"/>
    </row>
    <row r="30" spans="1:24" ht="12" customHeight="1" x14ac:dyDescent="0.35">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10</v>
      </c>
      <c r="J30" s="31">
        <f>'VAL 2 TRIM'!O30</f>
        <v>0</v>
      </c>
      <c r="K30" s="31">
        <f>'VAL 2 TRIM'!AB30</f>
        <v>0</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72.666666666666671</v>
      </c>
      <c r="V30" s="102" t="str">
        <f t="shared" si="1"/>
        <v>APROBADO</v>
      </c>
      <c r="W30" s="103"/>
      <c r="X30" s="103"/>
    </row>
    <row r="31" spans="1:24" ht="12" customHeight="1" x14ac:dyDescent="0.35">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10</v>
      </c>
      <c r="J31" s="31">
        <f>'VAL 2 TRIM'!O31</f>
        <v>12</v>
      </c>
      <c r="K31" s="31">
        <f>'VAL 2 TRIM'!AB31</f>
        <v>21</v>
      </c>
      <c r="L31" s="31">
        <f>'VAL 2 TRIM'!AA31</f>
        <v>10</v>
      </c>
      <c r="M31" s="31">
        <f>'VAL 2 TRIM'!AE31</f>
        <v>10</v>
      </c>
      <c r="N31" s="100">
        <f>'VAL 2 TRIM'!AG31</f>
        <v>63</v>
      </c>
      <c r="O31" s="31">
        <f>'VAL 3 TRIM'!C31</f>
        <v>10</v>
      </c>
      <c r="P31" s="31">
        <f>'VAL 3 TRIM'!O31</f>
        <v>35</v>
      </c>
      <c r="Q31" s="31">
        <f>'VAL 3 TRIM'!AB31</f>
        <v>35</v>
      </c>
      <c r="R31" s="31">
        <f>'VAL 3 TRIM'!AA31</f>
        <v>10</v>
      </c>
      <c r="S31" s="48">
        <f>'VAL 3 TRIM'!AE31</f>
        <v>10</v>
      </c>
      <c r="T31" s="100">
        <f>'VAL 3 TRIM'!AG31</f>
        <v>100</v>
      </c>
      <c r="U31" s="101">
        <f t="shared" si="0"/>
        <v>83.666666666666671</v>
      </c>
      <c r="V31" s="102" t="str">
        <f t="shared" si="1"/>
        <v>APROBADO</v>
      </c>
      <c r="W31" s="103"/>
      <c r="X31" s="103"/>
    </row>
    <row r="32" spans="1:24" ht="12" customHeight="1" x14ac:dyDescent="0.35">
      <c r="A32" s="57">
        <v>24</v>
      </c>
      <c r="B32" s="58" t="e">
        <f>'C. FILIACION'!#REF!</f>
        <v>#REF!</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0</v>
      </c>
      <c r="K32" s="31">
        <f>'VAL 2 TRIM'!AB32</f>
        <v>0</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5">
      <c r="A33" s="57">
        <v>25</v>
      </c>
      <c r="B33" s="58" t="str">
        <f>'C. FILIACION'!B31</f>
        <v>MIRANDA LOPEZ KRISTEL DARLYN</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5">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5">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5">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5">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5">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5">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5">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5">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5">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5">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5">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328125" defaultRowHeight="15" customHeight="1" x14ac:dyDescent="0.35"/>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3046875" customWidth="1"/>
  </cols>
  <sheetData>
    <row r="1" spans="1:13" ht="4.5" customHeight="1" x14ac:dyDescent="0.35"/>
    <row r="2" spans="1:13" ht="12.75" customHeight="1" x14ac:dyDescent="0.35">
      <c r="B2" s="220" t="s">
        <v>107</v>
      </c>
      <c r="C2" s="216"/>
      <c r="D2" s="216"/>
      <c r="E2" s="216"/>
      <c r="F2" s="216"/>
      <c r="G2" s="216"/>
      <c r="H2" s="216"/>
      <c r="I2" s="71"/>
      <c r="J2" s="71"/>
      <c r="K2" s="71"/>
      <c r="L2" s="71"/>
      <c r="M2" s="71"/>
    </row>
    <row r="3" spans="1:13" ht="12.75" customHeight="1" x14ac:dyDescent="0.3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5">
      <c r="B4" s="38" t="s">
        <v>14</v>
      </c>
      <c r="C4" s="39" t="str">
        <f>CARÁTULA!$C$21</f>
        <v>Secundaria</v>
      </c>
      <c r="D4" s="41"/>
      <c r="E4" s="40"/>
      <c r="F4" s="39"/>
      <c r="G4" s="40"/>
      <c r="H4" s="40"/>
      <c r="I4" s="40"/>
      <c r="J4" s="38" t="s">
        <v>58</v>
      </c>
      <c r="K4" s="105"/>
      <c r="L4" s="39">
        <f>CARÁTULA!$C$19</f>
        <v>0</v>
      </c>
      <c r="M4" s="105"/>
    </row>
    <row r="5" spans="1:13" ht="12.75" customHeight="1" x14ac:dyDescent="0.35">
      <c r="B5" s="38" t="s">
        <v>22</v>
      </c>
      <c r="C5" s="39" t="str">
        <f>CARÁTULA!$C$23</f>
        <v>5to de Secundaria</v>
      </c>
      <c r="D5" s="38"/>
      <c r="E5" s="44"/>
      <c r="F5" s="296"/>
      <c r="G5" s="269"/>
      <c r="H5" s="44"/>
      <c r="I5" s="44"/>
      <c r="J5" s="38" t="s">
        <v>23</v>
      </c>
      <c r="K5" s="105"/>
      <c r="L5" s="234">
        <f ca="1">TODAY()</f>
        <v>44421</v>
      </c>
      <c r="M5" s="216"/>
    </row>
    <row r="6" spans="1:13" ht="12.75" customHeight="1" x14ac:dyDescent="0.35">
      <c r="B6" s="38"/>
      <c r="C6" s="297" t="s">
        <v>112</v>
      </c>
      <c r="D6" s="261"/>
      <c r="E6" s="262"/>
      <c r="F6" s="293" t="s">
        <v>108</v>
      </c>
      <c r="G6" s="289" t="s">
        <v>109</v>
      </c>
      <c r="H6" s="65"/>
      <c r="I6" s="65"/>
    </row>
    <row r="7" spans="1:13" ht="12" customHeight="1" x14ac:dyDescent="0.35">
      <c r="B7" s="47"/>
      <c r="C7" s="294" t="s">
        <v>4</v>
      </c>
      <c r="D7" s="294" t="s">
        <v>113</v>
      </c>
      <c r="E7" s="295" t="s">
        <v>16</v>
      </c>
      <c r="F7" s="290"/>
      <c r="G7" s="290"/>
      <c r="H7" s="40"/>
      <c r="I7" s="40"/>
    </row>
    <row r="8" spans="1:13" ht="67.5" customHeight="1" x14ac:dyDescent="0.35">
      <c r="A8" s="48" t="s">
        <v>61</v>
      </c>
      <c r="B8" s="49" t="s">
        <v>62</v>
      </c>
      <c r="C8" s="265"/>
      <c r="D8" s="265"/>
      <c r="E8" s="265"/>
      <c r="F8" s="265"/>
      <c r="G8" s="265"/>
      <c r="H8" s="99"/>
      <c r="I8" s="99" t="s">
        <v>114</v>
      </c>
      <c r="J8" s="99" t="s">
        <v>115</v>
      </c>
      <c r="K8" s="99" t="s">
        <v>116</v>
      </c>
    </row>
    <row r="9" spans="1:13" ht="12" customHeight="1" x14ac:dyDescent="0.35">
      <c r="A9" s="57">
        <v>1</v>
      </c>
      <c r="B9" s="58" t="str">
        <f>'C. FILIACION'!B8</f>
        <v>ARAMAYO CARVALLO LITZI</v>
      </c>
      <c r="C9" s="100">
        <f>'VAL 1 TRIM '!AG9</f>
        <v>88</v>
      </c>
      <c r="D9" s="100">
        <f>'VAL 2 TRIM'!AG9</f>
        <v>85</v>
      </c>
      <c r="E9" s="100">
        <f>'VAL 3 TRIM'!AG9</f>
        <v>100</v>
      </c>
      <c r="F9" s="101">
        <f>'CENTRAL 1'!U9</f>
        <v>91</v>
      </c>
      <c r="G9" s="102" t="str">
        <f t="shared" ref="G9:G44" si="0">IF(F9="","",(IF(AND(F9&gt;=1,F9&lt;=50.499),"REPROBADO",IF(AND(F9&gt;=50.5,F9&lt;=100),"APROBADO"))))</f>
        <v>APROBADO</v>
      </c>
      <c r="H9" s="103"/>
      <c r="I9" s="31">
        <f t="shared" ref="I9:K9" si="1">COUNTIF(C9:C44,"&gt;=51")</f>
        <v>36</v>
      </c>
      <c r="J9" s="106">
        <f t="shared" si="1"/>
        <v>26</v>
      </c>
      <c r="K9" s="106">
        <f t="shared" si="1"/>
        <v>36</v>
      </c>
    </row>
    <row r="10" spans="1:13" ht="12" customHeight="1" x14ac:dyDescent="0.35">
      <c r="A10" s="57">
        <v>2</v>
      </c>
      <c r="B10" s="58" t="str">
        <f>'C. FILIACION'!B9</f>
        <v>BLANCO SALVATIERRA LIZETH BRIGIDA</v>
      </c>
      <c r="C10" s="100">
        <f>'VAL 1 TRIM '!AG10</f>
        <v>83</v>
      </c>
      <c r="D10" s="100">
        <f>'VAL 2 TRIM'!AG10</f>
        <v>77</v>
      </c>
      <c r="E10" s="100">
        <f>'VAL 3 TRIM'!AG10</f>
        <v>100</v>
      </c>
      <c r="F10" s="101">
        <f>'CENTRAL 1'!U10</f>
        <v>86.666666666666671</v>
      </c>
      <c r="G10" s="102" t="str">
        <f t="shared" si="0"/>
        <v>APROBADO</v>
      </c>
      <c r="H10" s="103"/>
      <c r="I10" s="107" t="s">
        <v>117</v>
      </c>
      <c r="J10" s="108"/>
    </row>
    <row r="11" spans="1:13" ht="12" customHeight="1" x14ac:dyDescent="0.35">
      <c r="A11" s="57">
        <v>3</v>
      </c>
      <c r="B11" s="58" t="str">
        <f>'C. FILIACION'!B10</f>
        <v>GARCIA FAUCA NIELS HAMILTON</v>
      </c>
      <c r="C11" s="100">
        <f>'VAL 1 TRIM '!AG11</f>
        <v>85</v>
      </c>
      <c r="D11" s="100">
        <f>'VAL 2 TRIM'!AG11</f>
        <v>83</v>
      </c>
      <c r="E11" s="100">
        <f>'VAL 3 TRIM'!AG11</f>
        <v>100</v>
      </c>
      <c r="F11" s="101">
        <f>'CENTRAL 1'!U11</f>
        <v>89.333333333333329</v>
      </c>
      <c r="G11" s="102" t="str">
        <f t="shared" si="0"/>
        <v>APROBADO</v>
      </c>
      <c r="H11" s="103"/>
      <c r="I11" s="103"/>
    </row>
    <row r="12" spans="1:13" ht="12" customHeight="1" x14ac:dyDescent="0.35">
      <c r="A12" s="57">
        <v>4</v>
      </c>
      <c r="B12" s="58" t="str">
        <f>'C. FILIACION'!B11</f>
        <v>GOITIA VEIZAN MORGAN CRISTHIAN</v>
      </c>
      <c r="C12" s="100">
        <f>'VAL 1 TRIM '!AG12</f>
        <v>88</v>
      </c>
      <c r="D12" s="100">
        <f>'VAL 2 TRIM'!AG12</f>
        <v>30</v>
      </c>
      <c r="E12" s="100">
        <f>'VAL 3 TRIM'!AG12</f>
        <v>100</v>
      </c>
      <c r="F12" s="101">
        <f>'CENTRAL 1'!U12</f>
        <v>72.666666666666671</v>
      </c>
      <c r="G12" s="102" t="str">
        <f t="shared" si="0"/>
        <v>APROBADO</v>
      </c>
      <c r="H12" s="103"/>
      <c r="I12" s="103"/>
    </row>
    <row r="13" spans="1:13" ht="12" customHeight="1" x14ac:dyDescent="0.35">
      <c r="A13" s="57">
        <v>5</v>
      </c>
      <c r="B13" s="58" t="str">
        <f>'C. FILIACION'!B12</f>
        <v>GOMEZ LUCANA ALISON NAYR</v>
      </c>
      <c r="C13" s="100">
        <f>'VAL 1 TRIM '!AG13</f>
        <v>88</v>
      </c>
      <c r="D13" s="100">
        <f>'VAL 2 TRIM'!AG13</f>
        <v>30</v>
      </c>
      <c r="E13" s="100">
        <f>'VAL 3 TRIM'!AG13</f>
        <v>100</v>
      </c>
      <c r="F13" s="101">
        <f>'CENTRAL 1'!U13</f>
        <v>72.666666666666671</v>
      </c>
      <c r="G13" s="102" t="str">
        <f t="shared" si="0"/>
        <v>APROBADO</v>
      </c>
      <c r="H13" s="103"/>
      <c r="I13" s="106">
        <f t="shared" ref="I13:K13" si="2">COUNTIF(C9:C44,"&lt;=51")</f>
        <v>0</v>
      </c>
      <c r="J13" s="106">
        <f t="shared" si="2"/>
        <v>10</v>
      </c>
      <c r="K13" s="106">
        <f t="shared" si="2"/>
        <v>0</v>
      </c>
    </row>
    <row r="14" spans="1:13" ht="12" customHeight="1" x14ac:dyDescent="0.35">
      <c r="A14" s="57">
        <v>6</v>
      </c>
      <c r="B14" s="58" t="str">
        <f>'C. FILIACION'!B13</f>
        <v>GUTIERREZ ALVAREZ ALEX BEYMAR</v>
      </c>
      <c r="C14" s="100">
        <f>'VAL 1 TRIM '!AG14</f>
        <v>85</v>
      </c>
      <c r="D14" s="100">
        <f>'VAL 2 TRIM'!AG14</f>
        <v>36</v>
      </c>
      <c r="E14" s="100">
        <f>'VAL 3 TRIM'!AG14</f>
        <v>100</v>
      </c>
      <c r="F14" s="101">
        <f>'CENTRAL 1'!U14</f>
        <v>73.666666666666671</v>
      </c>
      <c r="G14" s="102" t="str">
        <f t="shared" si="0"/>
        <v>APROBADO</v>
      </c>
      <c r="H14" s="103"/>
      <c r="I14" s="107" t="s">
        <v>118</v>
      </c>
    </row>
    <row r="15" spans="1:13" ht="12" customHeight="1" x14ac:dyDescent="0.35">
      <c r="A15" s="57">
        <v>7</v>
      </c>
      <c r="B15" s="58" t="str">
        <f>'C. FILIACION'!B14</f>
        <v>LOPEZ PACO MIGUEL ANGEL</v>
      </c>
      <c r="C15" s="100">
        <f>'VAL 1 TRIM '!AG15</f>
        <v>85</v>
      </c>
      <c r="D15" s="100">
        <f>'VAL 2 TRIM'!AG15</f>
        <v>72</v>
      </c>
      <c r="E15" s="100">
        <f>'VAL 3 TRIM'!AG15</f>
        <v>100</v>
      </c>
      <c r="F15" s="101">
        <f>'CENTRAL 1'!U15</f>
        <v>85.666666666666671</v>
      </c>
      <c r="G15" s="102" t="str">
        <f t="shared" si="0"/>
        <v>APROBADO</v>
      </c>
      <c r="H15" s="103"/>
      <c r="I15" s="103"/>
    </row>
    <row r="16" spans="1:13" ht="12" customHeight="1" x14ac:dyDescent="0.35">
      <c r="A16" s="57">
        <v>8</v>
      </c>
      <c r="B16" s="58" t="str">
        <f>'C. FILIACION'!B15</f>
        <v>MAMANI AQUINO LUCAS</v>
      </c>
      <c r="C16" s="100">
        <f>'VAL 1 TRIM '!AG16</f>
        <v>87</v>
      </c>
      <c r="D16" s="100">
        <f>'VAL 2 TRIM'!AG16</f>
        <v>34</v>
      </c>
      <c r="E16" s="100">
        <f>'VAL 3 TRIM'!AG16</f>
        <v>100</v>
      </c>
      <c r="F16" s="101">
        <f>'CENTRAL 1'!U16</f>
        <v>73.666666666666671</v>
      </c>
      <c r="G16" s="102" t="str">
        <f t="shared" si="0"/>
        <v>APROBADO</v>
      </c>
      <c r="H16" s="103"/>
      <c r="I16" s="103"/>
    </row>
    <row r="17" spans="1:9" ht="12" customHeight="1" x14ac:dyDescent="0.35">
      <c r="A17" s="57">
        <v>9</v>
      </c>
      <c r="B17" s="58" t="str">
        <f>'C. FILIACION'!B16</f>
        <v>MAMANI VASQUEZ FRANZ DARWIN</v>
      </c>
      <c r="C17" s="100">
        <f>'VAL 1 TRIM '!AG17</f>
        <v>88</v>
      </c>
      <c r="D17" s="100">
        <f>'VAL 2 TRIM'!AG17</f>
        <v>97</v>
      </c>
      <c r="E17" s="100">
        <f>'VAL 3 TRIM'!AG17</f>
        <v>100</v>
      </c>
      <c r="F17" s="101">
        <f>'CENTRAL 1'!U17</f>
        <v>95</v>
      </c>
      <c r="G17" s="102" t="str">
        <f t="shared" si="0"/>
        <v>APROBADO</v>
      </c>
      <c r="H17" s="103"/>
      <c r="I17" s="103"/>
    </row>
    <row r="18" spans="1:9" ht="12" customHeight="1" x14ac:dyDescent="0.35">
      <c r="A18" s="57">
        <v>10</v>
      </c>
      <c r="B18" s="58" t="str">
        <f>'C. FILIACION'!B17</f>
        <v>MARTINEZ MAMANI JORGE ARMANDO</v>
      </c>
      <c r="C18" s="100">
        <f>'VAL 1 TRIM '!AG18</f>
        <v>88</v>
      </c>
      <c r="D18" s="100">
        <f>'VAL 2 TRIM'!AG18</f>
        <v>35</v>
      </c>
      <c r="E18" s="100">
        <f>'VAL 3 TRIM'!AG18</f>
        <v>100</v>
      </c>
      <c r="F18" s="101">
        <f>'CENTRAL 1'!U18</f>
        <v>74.333333333333329</v>
      </c>
      <c r="G18" s="102" t="str">
        <f t="shared" si="0"/>
        <v>APROBADO</v>
      </c>
      <c r="H18" s="103"/>
      <c r="I18" s="103"/>
    </row>
    <row r="19" spans="1:9" ht="12" customHeight="1" x14ac:dyDescent="0.35">
      <c r="A19" s="57">
        <v>11</v>
      </c>
      <c r="B19" s="58" t="str">
        <f>'C. FILIACION'!B18</f>
        <v>MEDINA PEREIRA GABRIEL LEANDRO</v>
      </c>
      <c r="C19" s="100">
        <f>'VAL 1 TRIM '!AG19</f>
        <v>88</v>
      </c>
      <c r="D19" s="100">
        <f>'VAL 2 TRIM'!AG19</f>
        <v>30</v>
      </c>
      <c r="E19" s="100">
        <f>'VAL 3 TRIM'!AG19</f>
        <v>100</v>
      </c>
      <c r="F19" s="101">
        <f>'CENTRAL 1'!U19</f>
        <v>72.666666666666671</v>
      </c>
      <c r="G19" s="102" t="str">
        <f t="shared" si="0"/>
        <v>APROBADO</v>
      </c>
      <c r="H19" s="103"/>
      <c r="I19" s="103"/>
    </row>
    <row r="20" spans="1:9" ht="12" customHeight="1" x14ac:dyDescent="0.35">
      <c r="A20" s="57">
        <v>12</v>
      </c>
      <c r="B20" s="58" t="str">
        <f>'C. FILIACION'!B19</f>
        <v>MEDINA PEREIRA YULIANA</v>
      </c>
      <c r="C20" s="100">
        <f>'VAL 1 TRIM '!AG20</f>
        <v>88</v>
      </c>
      <c r="D20" s="100">
        <f>'VAL 2 TRIM'!AG20</f>
        <v>30</v>
      </c>
      <c r="E20" s="100">
        <f>'VAL 3 TRIM'!AG20</f>
        <v>100</v>
      </c>
      <c r="F20" s="101">
        <f>'CENTRAL 1'!U20</f>
        <v>72.666666666666671</v>
      </c>
      <c r="G20" s="102" t="str">
        <f t="shared" si="0"/>
        <v>APROBADO</v>
      </c>
      <c r="H20" s="103"/>
      <c r="I20" s="103"/>
    </row>
    <row r="21" spans="1:9" ht="12" customHeight="1" x14ac:dyDescent="0.35">
      <c r="A21" s="57">
        <v>13</v>
      </c>
      <c r="B21" s="58" t="str">
        <f>'C. FILIACION'!B20</f>
        <v>MORALES BERNABEL JULETH CHANTAL</v>
      </c>
      <c r="C21" s="100">
        <f>'VAL 1 TRIM '!AG21</f>
        <v>88</v>
      </c>
      <c r="D21" s="100">
        <f>'VAL 2 TRIM'!AG21</f>
        <v>88</v>
      </c>
      <c r="E21" s="100">
        <f>'VAL 3 TRIM'!AG21</f>
        <v>100</v>
      </c>
      <c r="F21" s="101">
        <f>'CENTRAL 1'!U21</f>
        <v>92</v>
      </c>
      <c r="G21" s="102" t="str">
        <f t="shared" si="0"/>
        <v>APROBADO</v>
      </c>
      <c r="H21" s="103"/>
      <c r="I21" s="103"/>
    </row>
    <row r="22" spans="1:9" ht="12" customHeight="1" x14ac:dyDescent="0.35">
      <c r="A22" s="57">
        <v>14</v>
      </c>
      <c r="B22" s="58" t="str">
        <f>'C. FILIACION'!B21</f>
        <v>ORELLANA MOGRO ADAMO LEVING</v>
      </c>
      <c r="C22" s="100">
        <f>'VAL 1 TRIM '!AG22</f>
        <v>88</v>
      </c>
      <c r="D22" s="100">
        <f>'VAL 2 TRIM'!AG22</f>
        <v>78</v>
      </c>
      <c r="E22" s="100">
        <f>'VAL 3 TRIM'!AG22</f>
        <v>100</v>
      </c>
      <c r="F22" s="101">
        <f>'CENTRAL 1'!U22</f>
        <v>88.666666666666671</v>
      </c>
      <c r="G22" s="102" t="str">
        <f t="shared" si="0"/>
        <v>APROBADO</v>
      </c>
      <c r="H22" s="103"/>
      <c r="I22" s="103"/>
    </row>
    <row r="23" spans="1:9" ht="12" customHeight="1" x14ac:dyDescent="0.35">
      <c r="A23" s="57">
        <v>15</v>
      </c>
      <c r="B23" s="58" t="str">
        <f>'C. FILIACION'!B22</f>
        <v>PAHUASI HUAYTA LUZ ADRIANA</v>
      </c>
      <c r="C23" s="100">
        <f>'VAL 1 TRIM '!AG23</f>
        <v>88</v>
      </c>
      <c r="D23" s="100">
        <f>'VAL 2 TRIM'!AG23</f>
        <v>30</v>
      </c>
      <c r="E23" s="100">
        <f>'VAL 3 TRIM'!AG23</f>
        <v>100</v>
      </c>
      <c r="F23" s="101">
        <f>'CENTRAL 1'!U23</f>
        <v>72.666666666666671</v>
      </c>
      <c r="G23" s="102" t="str">
        <f t="shared" si="0"/>
        <v>APROBADO</v>
      </c>
      <c r="H23" s="103"/>
      <c r="I23" s="103"/>
    </row>
    <row r="24" spans="1:9" ht="12" customHeight="1" x14ac:dyDescent="0.35">
      <c r="A24" s="57">
        <v>16</v>
      </c>
      <c r="B24" s="58" t="str">
        <f>'C. FILIACION'!B23</f>
        <v>PEREZ HUARACHI ESPERANZA ALEJANDRA</v>
      </c>
      <c r="C24" s="100">
        <f>'VAL 1 TRIM '!AG24</f>
        <v>88</v>
      </c>
      <c r="D24" s="100">
        <f>'VAL 2 TRIM'!AG24</f>
        <v>77</v>
      </c>
      <c r="E24" s="100">
        <f>'VAL 3 TRIM'!AG24</f>
        <v>100</v>
      </c>
      <c r="F24" s="101">
        <f>'CENTRAL 1'!U24</f>
        <v>88.333333333333329</v>
      </c>
      <c r="G24" s="102" t="str">
        <f t="shared" si="0"/>
        <v>APROBADO</v>
      </c>
      <c r="H24" s="103"/>
      <c r="I24" s="103"/>
    </row>
    <row r="25" spans="1:9" ht="12" customHeight="1" x14ac:dyDescent="0.35">
      <c r="A25" s="57">
        <v>17</v>
      </c>
      <c r="B25" s="58" t="str">
        <f>'C. FILIACION'!B24</f>
        <v>PEREZ ZAMBRANA DAYRIS CONZUELO</v>
      </c>
      <c r="C25" s="100">
        <f>'VAL 1 TRIM '!AG25</f>
        <v>88</v>
      </c>
      <c r="D25" s="100">
        <f>'VAL 2 TRIM'!AG25</f>
        <v>76</v>
      </c>
      <c r="E25" s="100">
        <f>'VAL 3 TRIM'!AG25</f>
        <v>100</v>
      </c>
      <c r="F25" s="101">
        <f>'CENTRAL 1'!U25</f>
        <v>88</v>
      </c>
      <c r="G25" s="102" t="str">
        <f t="shared" si="0"/>
        <v>APROBADO</v>
      </c>
      <c r="H25" s="103"/>
      <c r="I25" s="103"/>
    </row>
    <row r="26" spans="1:9" ht="12" customHeight="1" x14ac:dyDescent="0.35">
      <c r="A26" s="57">
        <v>18</v>
      </c>
      <c r="B26" s="58" t="str">
        <f>'C. FILIACION'!B25</f>
        <v>QUISPAYA ENCINAS GATHERING ZAMANTHA</v>
      </c>
      <c r="C26" s="100">
        <f>'VAL 1 TRIM '!AG26</f>
        <v>88</v>
      </c>
      <c r="D26" s="100">
        <f>'VAL 2 TRIM'!AG26</f>
        <v>78</v>
      </c>
      <c r="E26" s="100">
        <f>'VAL 3 TRIM'!AG26</f>
        <v>100</v>
      </c>
      <c r="F26" s="101">
        <f>'CENTRAL 1'!U26</f>
        <v>88.666666666666671</v>
      </c>
      <c r="G26" s="102" t="str">
        <f t="shared" si="0"/>
        <v>APROBADO</v>
      </c>
      <c r="H26" s="103"/>
      <c r="I26" s="103"/>
    </row>
    <row r="27" spans="1:9" ht="12" customHeight="1" x14ac:dyDescent="0.35">
      <c r="A27" s="57">
        <v>19</v>
      </c>
      <c r="B27" s="58" t="str">
        <f>'C. FILIACION'!B26</f>
        <v>SANDOVAL MORANGO EDGAR JORGE</v>
      </c>
      <c r="C27" s="100">
        <f>'VAL 1 TRIM '!AG27</f>
        <v>85</v>
      </c>
      <c r="D27" s="100">
        <f>'VAL 2 TRIM'!AG27</f>
        <v>63</v>
      </c>
      <c r="E27" s="100">
        <f>'VAL 3 TRIM'!AG27</f>
        <v>100</v>
      </c>
      <c r="F27" s="101">
        <f>'CENTRAL 1'!U27</f>
        <v>82.666666666666671</v>
      </c>
      <c r="G27" s="102" t="str">
        <f t="shared" si="0"/>
        <v>APROBADO</v>
      </c>
      <c r="H27" s="103"/>
      <c r="I27" s="103"/>
    </row>
    <row r="28" spans="1:9" ht="12" customHeight="1" x14ac:dyDescent="0.35">
      <c r="A28" s="57">
        <v>20</v>
      </c>
      <c r="B28" s="58" t="str">
        <f>'C. FILIACION'!B27</f>
        <v>SEVILLANO BALTAZAR ALEXIA LIZZY</v>
      </c>
      <c r="C28" s="100">
        <f>'VAL 1 TRIM '!AG28</f>
        <v>88</v>
      </c>
      <c r="D28" s="100">
        <f>'VAL 2 TRIM'!AG28</f>
        <v>59</v>
      </c>
      <c r="E28" s="100">
        <f>'VAL 3 TRIM'!AG28</f>
        <v>100</v>
      </c>
      <c r="F28" s="101">
        <f>'CENTRAL 1'!U28</f>
        <v>82.333333333333329</v>
      </c>
      <c r="G28" s="102" t="str">
        <f t="shared" si="0"/>
        <v>APROBADO</v>
      </c>
      <c r="H28" s="103"/>
      <c r="I28" s="103"/>
    </row>
    <row r="29" spans="1:9" ht="12" customHeight="1" x14ac:dyDescent="0.35">
      <c r="A29" s="57">
        <v>21</v>
      </c>
      <c r="B29" s="58" t="str">
        <f>'C. FILIACION'!B28</f>
        <v>TORREZ PACO JOSE MANUEL</v>
      </c>
      <c r="C29" s="100">
        <f>'VAL 1 TRIM '!AG29</f>
        <v>88</v>
      </c>
      <c r="D29" s="100">
        <f>'VAL 2 TRIM'!AG29</f>
        <v>63</v>
      </c>
      <c r="E29" s="100">
        <f>'VAL 3 TRIM'!AG29</f>
        <v>100</v>
      </c>
      <c r="F29" s="101">
        <f>'CENTRAL 1'!U29</f>
        <v>83.666666666666671</v>
      </c>
      <c r="G29" s="102" t="str">
        <f t="shared" si="0"/>
        <v>APROBADO</v>
      </c>
      <c r="H29" s="103"/>
      <c r="I29" s="103"/>
    </row>
    <row r="30" spans="1:9" ht="12" customHeight="1" x14ac:dyDescent="0.35">
      <c r="A30" s="57">
        <v>22</v>
      </c>
      <c r="B30" s="58" t="str">
        <f>'C. FILIACION'!B29</f>
        <v>VELASQUEZ GUTIERREZ ALEJANDRA ANAHI</v>
      </c>
      <c r="C30" s="100">
        <f>'VAL 1 TRIM '!AG30</f>
        <v>88</v>
      </c>
      <c r="D30" s="100">
        <f>'VAL 2 TRIM'!AG30</f>
        <v>30</v>
      </c>
      <c r="E30" s="100">
        <f>'VAL 3 TRIM'!AG30</f>
        <v>100</v>
      </c>
      <c r="F30" s="101">
        <f>'CENTRAL 1'!U30</f>
        <v>72.666666666666671</v>
      </c>
      <c r="G30" s="102" t="str">
        <f t="shared" si="0"/>
        <v>APROBADO</v>
      </c>
      <c r="H30" s="103"/>
      <c r="I30" s="103"/>
    </row>
    <row r="31" spans="1:9" ht="12" customHeight="1" x14ac:dyDescent="0.35">
      <c r="A31" s="57">
        <v>23</v>
      </c>
      <c r="B31" s="58" t="str">
        <f>'C. FILIACION'!B30</f>
        <v>VIDEA JHENDAVIEL PAOLA</v>
      </c>
      <c r="C31" s="100">
        <f>'VAL 1 TRIM '!AG31</f>
        <v>88</v>
      </c>
      <c r="D31" s="100">
        <f>'VAL 2 TRIM'!AG31</f>
        <v>63</v>
      </c>
      <c r="E31" s="100">
        <f>'VAL 3 TRIM'!AG31</f>
        <v>100</v>
      </c>
      <c r="F31" s="101">
        <f>'CENTRAL 1'!U31</f>
        <v>83.666666666666671</v>
      </c>
      <c r="G31" s="102" t="str">
        <f t="shared" si="0"/>
        <v>APROBADO</v>
      </c>
      <c r="H31" s="103"/>
      <c r="I31" s="103"/>
    </row>
    <row r="32" spans="1:9" ht="12" customHeight="1" x14ac:dyDescent="0.35">
      <c r="A32" s="57">
        <v>24</v>
      </c>
      <c r="B32" s="58" t="e">
        <f>'C. FILIACION'!#REF!</f>
        <v>#REF!</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5">
      <c r="A33" s="57">
        <v>25</v>
      </c>
      <c r="B33" s="58" t="str">
        <f>'C. FILIACION'!B31</f>
        <v>MIRANDA LOPEZ KRISTEL DARLYN</v>
      </c>
      <c r="C33" s="100">
        <f>'VAL 1 TRIM '!AG33</f>
        <v>100</v>
      </c>
      <c r="D33" s="100">
        <f>'VAL 2 TRIM'!AG33</f>
        <v>100</v>
      </c>
      <c r="E33" s="100">
        <f>'VAL 3 TRIM'!AG33</f>
        <v>100</v>
      </c>
      <c r="F33" s="101">
        <f>'CENTRAL 1'!U33</f>
        <v>100</v>
      </c>
      <c r="G33" s="102" t="str">
        <f t="shared" si="0"/>
        <v>APROBADO</v>
      </c>
      <c r="H33" s="103"/>
      <c r="I33" s="103"/>
    </row>
    <row r="34" spans="1:9" ht="12" customHeight="1" x14ac:dyDescent="0.35">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5">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5">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5">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5">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5">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5">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5">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5">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5">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5">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328125" defaultRowHeight="15" customHeight="1" x14ac:dyDescent="0.35"/>
  <cols>
    <col min="1" max="1" width="3.9296875" customWidth="1"/>
    <col min="2" max="2" width="6.265625" customWidth="1"/>
    <col min="3" max="3" width="12.6640625" customWidth="1"/>
    <col min="4" max="4" width="5.9296875" customWidth="1"/>
    <col min="5" max="5" width="7.46484375" customWidth="1"/>
    <col min="6" max="6" width="2.9296875" customWidth="1"/>
    <col min="7" max="7" width="14.796875" customWidth="1"/>
    <col min="8" max="8" width="5.265625" customWidth="1"/>
    <col min="9" max="10" width="10.929687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1" t="s">
        <v>119</v>
      </c>
      <c r="C2" s="216"/>
      <c r="D2" s="216"/>
      <c r="E2" s="216"/>
      <c r="F2" s="216"/>
      <c r="G2" s="216"/>
      <c r="H2" s="216"/>
      <c r="I2" s="216"/>
      <c r="J2" s="216"/>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44421</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399999999999999" x14ac:dyDescent="0.35">
      <c r="A7" s="109"/>
      <c r="B7" s="114" t="s">
        <v>101</v>
      </c>
      <c r="C7" s="113" t="s">
        <v>121</v>
      </c>
      <c r="D7" s="114" t="s">
        <v>122</v>
      </c>
      <c r="E7" s="115" t="s">
        <v>123</v>
      </c>
      <c r="F7" s="109"/>
      <c r="G7" s="116" t="s">
        <v>124</v>
      </c>
      <c r="H7" s="114">
        <f>'VAL 1 TRIM '!$AO$9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102</v>
      </c>
      <c r="C8" s="113" t="s">
        <v>125</v>
      </c>
      <c r="D8" s="114" t="s">
        <v>126</v>
      </c>
      <c r="E8" s="115" t="s">
        <v>127</v>
      </c>
      <c r="F8" s="109"/>
      <c r="G8" s="116" t="s">
        <v>128</v>
      </c>
      <c r="H8" s="114">
        <f>'VAL 1 TRIM '!$AO$10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103</v>
      </c>
      <c r="C9" s="113" t="s">
        <v>129</v>
      </c>
      <c r="D9" s="114" t="s">
        <v>130</v>
      </c>
      <c r="E9" s="115" t="s">
        <v>127</v>
      </c>
      <c r="F9" s="109"/>
      <c r="G9" s="118" t="s">
        <v>131</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104</v>
      </c>
      <c r="C10" s="113" t="s">
        <v>132</v>
      </c>
      <c r="D10" s="114" t="s">
        <v>133</v>
      </c>
      <c r="E10" s="115" t="s">
        <v>127</v>
      </c>
      <c r="F10" s="109"/>
      <c r="G10" s="118" t="s">
        <v>134</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2" t="s">
        <v>136</v>
      </c>
      <c r="C13" s="216"/>
      <c r="D13" s="216"/>
      <c r="E13" s="216"/>
      <c r="F13" s="216"/>
      <c r="G13" s="216"/>
      <c r="H13" s="216"/>
      <c r="I13" s="216"/>
      <c r="J13" s="216"/>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98" t="s">
        <v>137</v>
      </c>
      <c r="C15" s="223"/>
      <c r="D15" s="223"/>
      <c r="E15" s="223"/>
      <c r="F15" s="223"/>
      <c r="G15" s="223"/>
      <c r="H15" s="223"/>
      <c r="I15" s="223"/>
      <c r="J15" s="224"/>
      <c r="K15" s="109"/>
      <c r="L15" s="109"/>
      <c r="M15" s="109"/>
      <c r="N15" s="109"/>
      <c r="O15" s="109"/>
      <c r="P15" s="109"/>
      <c r="Q15" s="109"/>
      <c r="R15" s="109"/>
      <c r="S15" s="109"/>
      <c r="T15" s="109"/>
      <c r="U15" s="109"/>
      <c r="V15" s="109"/>
      <c r="W15" s="109"/>
      <c r="X15" s="109"/>
      <c r="Y15" s="109"/>
      <c r="Z15" s="109"/>
    </row>
    <row r="16" spans="1:26" ht="16.5" customHeight="1" x14ac:dyDescent="0.35">
      <c r="A16" s="109"/>
      <c r="B16" s="299"/>
      <c r="C16" s="216"/>
      <c r="D16" s="216"/>
      <c r="E16" s="216"/>
      <c r="F16" s="216"/>
      <c r="G16" s="216"/>
      <c r="H16" s="216"/>
      <c r="I16" s="216"/>
      <c r="J16" s="300"/>
      <c r="K16" s="109"/>
      <c r="L16" s="109"/>
      <c r="M16" s="109"/>
      <c r="N16" s="109"/>
      <c r="O16" s="109"/>
      <c r="P16" s="109"/>
      <c r="Q16" s="109"/>
      <c r="R16" s="109"/>
      <c r="S16" s="109"/>
      <c r="T16" s="109"/>
      <c r="U16" s="109"/>
      <c r="V16" s="109"/>
      <c r="W16" s="109"/>
      <c r="X16" s="109"/>
      <c r="Y16" s="109"/>
      <c r="Z16" s="109"/>
    </row>
    <row r="17" spans="1:26" ht="16.5" customHeight="1" x14ac:dyDescent="0.35">
      <c r="A17" s="109"/>
      <c r="B17" s="268"/>
      <c r="C17" s="269"/>
      <c r="D17" s="269"/>
      <c r="E17" s="269"/>
      <c r="F17" s="269"/>
      <c r="G17" s="269"/>
      <c r="H17" s="269"/>
      <c r="I17" s="269"/>
      <c r="J17" s="270"/>
      <c r="K17" s="109"/>
      <c r="L17" s="109"/>
      <c r="M17" s="109"/>
      <c r="N17" s="109"/>
      <c r="O17" s="109"/>
      <c r="P17" s="109"/>
      <c r="Q17" s="109"/>
      <c r="R17" s="109"/>
      <c r="S17" s="109"/>
      <c r="T17" s="109"/>
      <c r="U17" s="109"/>
      <c r="V17" s="109"/>
      <c r="W17" s="109"/>
      <c r="X17" s="109"/>
      <c r="Y17" s="109"/>
      <c r="Z17" s="109"/>
    </row>
    <row r="18" spans="1:26" ht="16.5" customHeight="1" x14ac:dyDescent="0.35">
      <c r="A18" s="109"/>
      <c r="B18" s="298" t="s">
        <v>138</v>
      </c>
      <c r="C18" s="223"/>
      <c r="D18" s="223"/>
      <c r="E18" s="223"/>
      <c r="F18" s="223"/>
      <c r="G18" s="223"/>
      <c r="H18" s="223"/>
      <c r="I18" s="223"/>
      <c r="J18" s="224"/>
      <c r="K18" s="109"/>
      <c r="L18" s="109"/>
      <c r="M18" s="109"/>
      <c r="N18" s="109"/>
      <c r="O18" s="109"/>
      <c r="P18" s="109"/>
      <c r="Q18" s="109"/>
      <c r="R18" s="109"/>
      <c r="S18" s="109"/>
      <c r="T18" s="109"/>
      <c r="U18" s="109"/>
      <c r="V18" s="109"/>
      <c r="W18" s="109"/>
      <c r="X18" s="109"/>
      <c r="Y18" s="109"/>
      <c r="Z18" s="109"/>
    </row>
    <row r="19" spans="1:26" ht="16.5" customHeight="1" x14ac:dyDescent="0.35">
      <c r="A19" s="109"/>
      <c r="B19" s="299"/>
      <c r="C19" s="216"/>
      <c r="D19" s="216"/>
      <c r="E19" s="216"/>
      <c r="F19" s="216"/>
      <c r="G19" s="216"/>
      <c r="H19" s="216"/>
      <c r="I19" s="216"/>
      <c r="J19" s="300"/>
      <c r="K19" s="109"/>
      <c r="L19" s="109"/>
      <c r="M19" s="109"/>
      <c r="N19" s="109"/>
      <c r="O19" s="109"/>
      <c r="P19" s="109"/>
      <c r="Q19" s="109"/>
      <c r="R19" s="109"/>
      <c r="S19" s="109"/>
      <c r="T19" s="109"/>
      <c r="U19" s="109"/>
      <c r="V19" s="109"/>
      <c r="W19" s="109"/>
      <c r="X19" s="109"/>
      <c r="Y19" s="109"/>
      <c r="Z19" s="109"/>
    </row>
    <row r="20" spans="1:26" ht="16.5" customHeight="1" x14ac:dyDescent="0.35">
      <c r="A20" s="109"/>
      <c r="B20" s="268"/>
      <c r="C20" s="269"/>
      <c r="D20" s="269"/>
      <c r="E20" s="269"/>
      <c r="F20" s="269"/>
      <c r="G20" s="269"/>
      <c r="H20" s="269"/>
      <c r="I20" s="269"/>
      <c r="J20" s="270"/>
      <c r="K20" s="109"/>
      <c r="L20" s="109"/>
      <c r="M20" s="109"/>
      <c r="N20" s="109"/>
      <c r="O20" s="109"/>
      <c r="P20" s="109"/>
      <c r="Q20" s="109"/>
      <c r="R20" s="109"/>
      <c r="S20" s="109"/>
      <c r="T20" s="109"/>
      <c r="U20" s="109"/>
      <c r="V20" s="109"/>
      <c r="W20" s="109"/>
      <c r="X20" s="109"/>
      <c r="Y20" s="109"/>
      <c r="Z20" s="109"/>
    </row>
    <row r="21" spans="1:26" ht="16.5" customHeight="1" x14ac:dyDescent="0.35">
      <c r="A21" s="109"/>
      <c r="B21" s="298" t="s">
        <v>139</v>
      </c>
      <c r="C21" s="223"/>
      <c r="D21" s="223"/>
      <c r="E21" s="223"/>
      <c r="F21" s="223"/>
      <c r="G21" s="223"/>
      <c r="H21" s="223"/>
      <c r="I21" s="223"/>
      <c r="J21" s="224"/>
      <c r="K21" s="109"/>
      <c r="L21" s="109"/>
      <c r="M21" s="109"/>
      <c r="N21" s="109"/>
      <c r="O21" s="109"/>
      <c r="P21" s="109"/>
      <c r="Q21" s="109"/>
      <c r="R21" s="109"/>
      <c r="S21" s="109"/>
      <c r="T21" s="109"/>
      <c r="U21" s="109"/>
      <c r="V21" s="109"/>
      <c r="W21" s="109"/>
      <c r="X21" s="109"/>
      <c r="Y21" s="109"/>
      <c r="Z21" s="109"/>
    </row>
    <row r="22" spans="1:26" ht="16.5" customHeight="1" x14ac:dyDescent="0.35">
      <c r="A22" s="109"/>
      <c r="B22" s="299"/>
      <c r="C22" s="216"/>
      <c r="D22" s="216"/>
      <c r="E22" s="216"/>
      <c r="F22" s="216"/>
      <c r="G22" s="216"/>
      <c r="H22" s="216"/>
      <c r="I22" s="216"/>
      <c r="J22" s="300"/>
      <c r="K22" s="109"/>
      <c r="L22" s="109"/>
      <c r="M22" s="109"/>
      <c r="N22" s="109"/>
      <c r="O22" s="109"/>
      <c r="P22" s="109"/>
      <c r="Q22" s="109"/>
      <c r="R22" s="109"/>
      <c r="S22" s="109"/>
      <c r="T22" s="109"/>
      <c r="U22" s="109"/>
      <c r="V22" s="109"/>
      <c r="W22" s="109"/>
      <c r="X22" s="109"/>
      <c r="Y22" s="109"/>
      <c r="Z22" s="109"/>
    </row>
    <row r="23" spans="1:26" ht="16.5" customHeight="1" x14ac:dyDescent="0.35">
      <c r="A23" s="109"/>
      <c r="B23" s="268"/>
      <c r="C23" s="269"/>
      <c r="D23" s="269"/>
      <c r="E23" s="269"/>
      <c r="F23" s="269"/>
      <c r="G23" s="269"/>
      <c r="H23" s="269"/>
      <c r="I23" s="269"/>
      <c r="J23" s="270"/>
      <c r="K23" s="109"/>
      <c r="L23" s="109"/>
      <c r="M23" s="109"/>
      <c r="N23" s="109"/>
      <c r="O23" s="109"/>
      <c r="P23" s="109"/>
      <c r="Q23" s="109"/>
      <c r="R23" s="109"/>
      <c r="S23" s="109"/>
      <c r="T23" s="109"/>
      <c r="U23" s="109"/>
      <c r="V23" s="109"/>
      <c r="W23" s="109"/>
      <c r="X23" s="109"/>
      <c r="Y23" s="109"/>
      <c r="Z23" s="109"/>
    </row>
    <row r="24" spans="1:26" ht="16.5" customHeight="1" x14ac:dyDescent="0.35">
      <c r="A24" s="109"/>
      <c r="B24" s="298" t="s">
        <v>140</v>
      </c>
      <c r="C24" s="223"/>
      <c r="D24" s="223"/>
      <c r="E24" s="223"/>
      <c r="F24" s="223"/>
      <c r="G24" s="223"/>
      <c r="H24" s="223"/>
      <c r="I24" s="223"/>
      <c r="J24" s="224"/>
      <c r="K24" s="109"/>
      <c r="L24" s="109"/>
      <c r="M24" s="109"/>
      <c r="N24" s="109"/>
      <c r="O24" s="109"/>
      <c r="P24" s="109"/>
      <c r="Q24" s="109"/>
      <c r="R24" s="109"/>
      <c r="S24" s="109"/>
      <c r="T24" s="109"/>
      <c r="U24" s="109"/>
      <c r="V24" s="109"/>
      <c r="W24" s="109"/>
      <c r="X24" s="109"/>
      <c r="Y24" s="109"/>
      <c r="Z24" s="109"/>
    </row>
    <row r="25" spans="1:26" ht="16.5" customHeight="1" x14ac:dyDescent="0.35">
      <c r="A25" s="109"/>
      <c r="B25" s="299"/>
      <c r="C25" s="216"/>
      <c r="D25" s="216"/>
      <c r="E25" s="216"/>
      <c r="F25" s="216"/>
      <c r="G25" s="216"/>
      <c r="H25" s="216"/>
      <c r="I25" s="216"/>
      <c r="J25" s="300"/>
      <c r="K25" s="109"/>
      <c r="L25" s="109"/>
      <c r="M25" s="109"/>
      <c r="N25" s="109"/>
      <c r="O25" s="109"/>
      <c r="P25" s="109"/>
      <c r="Q25" s="109"/>
      <c r="R25" s="109"/>
      <c r="S25" s="109"/>
      <c r="T25" s="109"/>
      <c r="U25" s="109"/>
      <c r="V25" s="109"/>
      <c r="W25" s="109"/>
      <c r="X25" s="109"/>
      <c r="Y25" s="109"/>
      <c r="Z25" s="109"/>
    </row>
    <row r="26" spans="1:26" ht="16.5" customHeight="1" x14ac:dyDescent="0.35">
      <c r="A26" s="109"/>
      <c r="B26" s="268"/>
      <c r="C26" s="269"/>
      <c r="D26" s="269"/>
      <c r="E26" s="269"/>
      <c r="F26" s="269"/>
      <c r="G26" s="269"/>
      <c r="H26" s="269"/>
      <c r="I26" s="269"/>
      <c r="J26" s="270"/>
      <c r="K26" s="109"/>
      <c r="L26" s="109"/>
      <c r="M26" s="109"/>
      <c r="N26" s="109"/>
      <c r="O26" s="109"/>
      <c r="P26" s="109"/>
      <c r="Q26" s="109"/>
      <c r="R26" s="109"/>
      <c r="S26" s="109"/>
      <c r="T26" s="109"/>
      <c r="U26" s="109"/>
      <c r="V26" s="109"/>
      <c r="W26" s="109"/>
      <c r="X26" s="109"/>
      <c r="Y26" s="109"/>
      <c r="Z26" s="109"/>
    </row>
    <row r="27" spans="1:26" ht="16.5" customHeight="1" x14ac:dyDescent="0.35">
      <c r="A27" s="109"/>
      <c r="B27" s="298" t="s">
        <v>141</v>
      </c>
      <c r="C27" s="223"/>
      <c r="D27" s="223"/>
      <c r="E27" s="223"/>
      <c r="F27" s="223"/>
      <c r="G27" s="223"/>
      <c r="H27" s="223"/>
      <c r="I27" s="223"/>
      <c r="J27" s="224"/>
      <c r="K27" s="109"/>
      <c r="L27" s="109"/>
      <c r="M27" s="109"/>
      <c r="N27" s="109"/>
      <c r="O27" s="109"/>
      <c r="P27" s="109"/>
      <c r="Q27" s="109"/>
      <c r="R27" s="109"/>
      <c r="S27" s="109"/>
      <c r="T27" s="109"/>
      <c r="U27" s="109"/>
      <c r="V27" s="109"/>
      <c r="W27" s="109"/>
      <c r="X27" s="109"/>
      <c r="Y27" s="109"/>
      <c r="Z27" s="109"/>
    </row>
    <row r="28" spans="1:26" ht="16.5" customHeight="1" x14ac:dyDescent="0.35">
      <c r="A28" s="109"/>
      <c r="B28" s="299"/>
      <c r="C28" s="216"/>
      <c r="D28" s="216"/>
      <c r="E28" s="216"/>
      <c r="F28" s="216"/>
      <c r="G28" s="216"/>
      <c r="H28" s="216"/>
      <c r="I28" s="216"/>
      <c r="J28" s="300"/>
      <c r="K28" s="109"/>
      <c r="L28" s="109"/>
      <c r="M28" s="109"/>
      <c r="N28" s="109"/>
      <c r="O28" s="109"/>
      <c r="P28" s="109"/>
      <c r="Q28" s="109"/>
      <c r="R28" s="109"/>
      <c r="S28" s="109"/>
      <c r="T28" s="109"/>
      <c r="U28" s="109"/>
      <c r="V28" s="109"/>
      <c r="W28" s="109"/>
      <c r="X28" s="109"/>
      <c r="Y28" s="109"/>
      <c r="Z28" s="109"/>
    </row>
    <row r="29" spans="1:26" ht="16.5" customHeight="1" x14ac:dyDescent="0.35">
      <c r="A29" s="109"/>
      <c r="B29" s="268"/>
      <c r="C29" s="269"/>
      <c r="D29" s="269"/>
      <c r="E29" s="269"/>
      <c r="F29" s="269"/>
      <c r="G29" s="269"/>
      <c r="H29" s="269"/>
      <c r="I29" s="269"/>
      <c r="J29" s="270"/>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x14ac:dyDescent="0.35"/>
  <cols>
    <col min="1" max="1" width="3.9296875" customWidth="1"/>
    <col min="2" max="2" width="6.265625" customWidth="1"/>
    <col min="3" max="3" width="12.6640625" customWidth="1"/>
    <col min="4" max="4" width="5.9296875" customWidth="1"/>
    <col min="5" max="5" width="7.46484375" customWidth="1"/>
    <col min="6" max="6" width="2.9296875" customWidth="1"/>
    <col min="7" max="7" width="14.796875" customWidth="1"/>
    <col min="8" max="8" width="5.265625" customWidth="1"/>
    <col min="9" max="10" width="10.929687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1" t="s">
        <v>143</v>
      </c>
      <c r="C2" s="216"/>
      <c r="D2" s="216"/>
      <c r="E2" s="216"/>
      <c r="F2" s="216"/>
      <c r="G2" s="216"/>
      <c r="H2" s="216"/>
      <c r="I2" s="216"/>
      <c r="J2" s="216"/>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44421</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399999999999999" x14ac:dyDescent="0.35">
      <c r="A7" s="109"/>
      <c r="B7" s="114" t="s">
        <v>101</v>
      </c>
      <c r="C7" s="113" t="s">
        <v>121</v>
      </c>
      <c r="D7" s="114" t="s">
        <v>122</v>
      </c>
      <c r="E7" s="115" t="s">
        <v>123</v>
      </c>
      <c r="F7" s="109"/>
      <c r="G7" s="116" t="s">
        <v>124</v>
      </c>
      <c r="H7" s="114">
        <f>'VAL 2 TRIM'!$AO$9</f>
        <v>10</v>
      </c>
      <c r="I7" s="117">
        <f>H7/H11</f>
        <v>0.27777777777777779</v>
      </c>
      <c r="J7" s="109"/>
      <c r="K7" s="109"/>
      <c r="L7" s="109"/>
      <c r="M7" s="109"/>
      <c r="N7" s="109"/>
      <c r="O7" s="109"/>
      <c r="P7" s="109"/>
      <c r="Q7" s="109"/>
      <c r="R7" s="109"/>
      <c r="S7" s="109"/>
      <c r="T7" s="109"/>
      <c r="U7" s="109"/>
      <c r="V7" s="109"/>
      <c r="W7" s="109"/>
      <c r="X7" s="109"/>
      <c r="Y7" s="109"/>
      <c r="Z7" s="109"/>
    </row>
    <row r="8" spans="1:26" ht="20.399999999999999" x14ac:dyDescent="0.35">
      <c r="A8" s="109"/>
      <c r="B8" s="114" t="s">
        <v>102</v>
      </c>
      <c r="C8" s="113" t="s">
        <v>125</v>
      </c>
      <c r="D8" s="114" t="s">
        <v>126</v>
      </c>
      <c r="E8" s="115" t="s">
        <v>127</v>
      </c>
      <c r="F8" s="109"/>
      <c r="G8" s="116" t="s">
        <v>128</v>
      </c>
      <c r="H8" s="114">
        <f>'VAL 2 TRIM'!$AO$10</f>
        <v>4</v>
      </c>
      <c r="I8" s="117">
        <f>H8/H11</f>
        <v>0.1111111111111111</v>
      </c>
      <c r="J8" s="109"/>
      <c r="K8" s="109"/>
      <c r="L8" s="109"/>
      <c r="M8" s="109"/>
      <c r="N8" s="109"/>
      <c r="O8" s="109"/>
      <c r="P8" s="109"/>
      <c r="Q8" s="109"/>
      <c r="R8" s="109"/>
      <c r="S8" s="109"/>
      <c r="T8" s="109"/>
      <c r="U8" s="109"/>
      <c r="V8" s="109"/>
      <c r="W8" s="109"/>
      <c r="X8" s="109"/>
      <c r="Y8" s="109"/>
      <c r="Z8" s="109"/>
    </row>
    <row r="9" spans="1:26" ht="20.399999999999999" x14ac:dyDescent="0.35">
      <c r="A9" s="109"/>
      <c r="B9" s="114" t="s">
        <v>103</v>
      </c>
      <c r="C9" s="113" t="s">
        <v>129</v>
      </c>
      <c r="D9" s="114" t="s">
        <v>130</v>
      </c>
      <c r="E9" s="115" t="s">
        <v>127</v>
      </c>
      <c r="F9" s="109"/>
      <c r="G9" s="118" t="s">
        <v>131</v>
      </c>
      <c r="H9" s="114">
        <f>'VAL 2 TRIM'!$AO$11</f>
        <v>7</v>
      </c>
      <c r="I9" s="117">
        <f>H9/H11</f>
        <v>0.19444444444444445</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104</v>
      </c>
      <c r="C10" s="113" t="s">
        <v>132</v>
      </c>
      <c r="D10" s="114" t="s">
        <v>133</v>
      </c>
      <c r="E10" s="115" t="s">
        <v>127</v>
      </c>
      <c r="F10" s="109"/>
      <c r="G10" s="118" t="s">
        <v>134</v>
      </c>
      <c r="H10" s="114">
        <f>'VAL 2 TRIM'!$AO$12</f>
        <v>15</v>
      </c>
      <c r="I10" s="117">
        <f>H10/H11</f>
        <v>0.41666666666666669</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2" t="s">
        <v>136</v>
      </c>
      <c r="C13" s="216"/>
      <c r="D13" s="216"/>
      <c r="E13" s="216"/>
      <c r="F13" s="216"/>
      <c r="G13" s="216"/>
      <c r="H13" s="216"/>
      <c r="I13" s="216"/>
      <c r="J13" s="216"/>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98" t="s">
        <v>137</v>
      </c>
      <c r="C15" s="223"/>
      <c r="D15" s="223"/>
      <c r="E15" s="223"/>
      <c r="F15" s="223"/>
      <c r="G15" s="223"/>
      <c r="H15" s="223"/>
      <c r="I15" s="223"/>
      <c r="J15" s="224"/>
      <c r="K15" s="109"/>
      <c r="L15" s="109"/>
      <c r="M15" s="109"/>
      <c r="N15" s="109"/>
      <c r="O15" s="109"/>
      <c r="P15" s="109"/>
      <c r="Q15" s="109"/>
      <c r="R15" s="109"/>
      <c r="S15" s="109"/>
      <c r="T15" s="109"/>
      <c r="U15" s="109"/>
      <c r="V15" s="109"/>
      <c r="W15" s="109"/>
      <c r="X15" s="109"/>
      <c r="Y15" s="109"/>
      <c r="Z15" s="109"/>
    </row>
    <row r="16" spans="1:26" ht="16.5" customHeight="1" x14ac:dyDescent="0.35">
      <c r="A16" s="109"/>
      <c r="B16" s="299"/>
      <c r="C16" s="216"/>
      <c r="D16" s="216"/>
      <c r="E16" s="216"/>
      <c r="F16" s="216"/>
      <c r="G16" s="216"/>
      <c r="H16" s="216"/>
      <c r="I16" s="216"/>
      <c r="J16" s="300"/>
      <c r="K16" s="109"/>
      <c r="L16" s="109"/>
      <c r="M16" s="109"/>
      <c r="N16" s="109"/>
      <c r="O16" s="109"/>
      <c r="P16" s="109"/>
      <c r="Q16" s="109"/>
      <c r="R16" s="109"/>
      <c r="S16" s="109"/>
      <c r="T16" s="109"/>
      <c r="U16" s="109"/>
      <c r="V16" s="109"/>
      <c r="W16" s="109"/>
      <c r="X16" s="109"/>
      <c r="Y16" s="109"/>
      <c r="Z16" s="109"/>
    </row>
    <row r="17" spans="1:26" ht="16.5" customHeight="1" x14ac:dyDescent="0.35">
      <c r="A17" s="109"/>
      <c r="B17" s="268"/>
      <c r="C17" s="269"/>
      <c r="D17" s="269"/>
      <c r="E17" s="269"/>
      <c r="F17" s="269"/>
      <c r="G17" s="269"/>
      <c r="H17" s="269"/>
      <c r="I17" s="269"/>
      <c r="J17" s="270"/>
      <c r="K17" s="109"/>
      <c r="L17" s="109"/>
      <c r="M17" s="109"/>
      <c r="N17" s="109"/>
      <c r="O17" s="109"/>
      <c r="P17" s="109"/>
      <c r="Q17" s="109"/>
      <c r="R17" s="109"/>
      <c r="S17" s="109"/>
      <c r="T17" s="109"/>
      <c r="U17" s="109"/>
      <c r="V17" s="109"/>
      <c r="W17" s="109"/>
      <c r="X17" s="109"/>
      <c r="Y17" s="109"/>
      <c r="Z17" s="109"/>
    </row>
    <row r="18" spans="1:26" ht="16.5" customHeight="1" x14ac:dyDescent="0.35">
      <c r="A18" s="109"/>
      <c r="B18" s="298" t="s">
        <v>138</v>
      </c>
      <c r="C18" s="223"/>
      <c r="D18" s="223"/>
      <c r="E18" s="223"/>
      <c r="F18" s="223"/>
      <c r="G18" s="223"/>
      <c r="H18" s="223"/>
      <c r="I18" s="223"/>
      <c r="J18" s="224"/>
      <c r="K18" s="109"/>
      <c r="L18" s="109"/>
      <c r="M18" s="109"/>
      <c r="N18" s="109"/>
      <c r="O18" s="109"/>
      <c r="P18" s="109"/>
      <c r="Q18" s="109"/>
      <c r="R18" s="109"/>
      <c r="S18" s="109"/>
      <c r="T18" s="109"/>
      <c r="U18" s="109"/>
      <c r="V18" s="109"/>
      <c r="W18" s="109"/>
      <c r="X18" s="109"/>
      <c r="Y18" s="109"/>
      <c r="Z18" s="109"/>
    </row>
    <row r="19" spans="1:26" ht="16.5" customHeight="1" x14ac:dyDescent="0.35">
      <c r="A19" s="109"/>
      <c r="B19" s="299"/>
      <c r="C19" s="216"/>
      <c r="D19" s="216"/>
      <c r="E19" s="216"/>
      <c r="F19" s="216"/>
      <c r="G19" s="216"/>
      <c r="H19" s="216"/>
      <c r="I19" s="216"/>
      <c r="J19" s="300"/>
      <c r="K19" s="109"/>
      <c r="L19" s="109"/>
      <c r="M19" s="109"/>
      <c r="N19" s="109"/>
      <c r="O19" s="109"/>
      <c r="P19" s="109"/>
      <c r="Q19" s="109"/>
      <c r="R19" s="109"/>
      <c r="S19" s="109"/>
      <c r="T19" s="109"/>
      <c r="U19" s="109"/>
      <c r="V19" s="109"/>
      <c r="W19" s="109"/>
      <c r="X19" s="109"/>
      <c r="Y19" s="109"/>
      <c r="Z19" s="109"/>
    </row>
    <row r="20" spans="1:26" ht="16.5" customHeight="1" x14ac:dyDescent="0.35">
      <c r="A20" s="109"/>
      <c r="B20" s="268"/>
      <c r="C20" s="269"/>
      <c r="D20" s="269"/>
      <c r="E20" s="269"/>
      <c r="F20" s="269"/>
      <c r="G20" s="269"/>
      <c r="H20" s="269"/>
      <c r="I20" s="269"/>
      <c r="J20" s="270"/>
      <c r="K20" s="109"/>
      <c r="L20" s="109"/>
      <c r="M20" s="109"/>
      <c r="N20" s="109"/>
      <c r="O20" s="109"/>
      <c r="P20" s="109"/>
      <c r="Q20" s="109"/>
      <c r="R20" s="109"/>
      <c r="S20" s="109"/>
      <c r="T20" s="109"/>
      <c r="U20" s="109"/>
      <c r="V20" s="109"/>
      <c r="W20" s="109"/>
      <c r="X20" s="109"/>
      <c r="Y20" s="109"/>
      <c r="Z20" s="109"/>
    </row>
    <row r="21" spans="1:26" ht="16.5" customHeight="1" x14ac:dyDescent="0.35">
      <c r="A21" s="109"/>
      <c r="B21" s="298" t="s">
        <v>139</v>
      </c>
      <c r="C21" s="223"/>
      <c r="D21" s="223"/>
      <c r="E21" s="223"/>
      <c r="F21" s="223"/>
      <c r="G21" s="223"/>
      <c r="H21" s="223"/>
      <c r="I21" s="223"/>
      <c r="J21" s="224"/>
      <c r="K21" s="109"/>
      <c r="L21" s="109"/>
      <c r="M21" s="109"/>
      <c r="N21" s="109"/>
      <c r="O21" s="109"/>
      <c r="P21" s="109"/>
      <c r="Q21" s="109"/>
      <c r="R21" s="109"/>
      <c r="S21" s="109"/>
      <c r="T21" s="109"/>
      <c r="U21" s="109"/>
      <c r="V21" s="109"/>
      <c r="W21" s="109"/>
      <c r="X21" s="109"/>
      <c r="Y21" s="109"/>
      <c r="Z21" s="109"/>
    </row>
    <row r="22" spans="1:26" ht="16.5" customHeight="1" x14ac:dyDescent="0.35">
      <c r="A22" s="109"/>
      <c r="B22" s="299"/>
      <c r="C22" s="216"/>
      <c r="D22" s="216"/>
      <c r="E22" s="216"/>
      <c r="F22" s="216"/>
      <c r="G22" s="216"/>
      <c r="H22" s="216"/>
      <c r="I22" s="216"/>
      <c r="J22" s="300"/>
      <c r="K22" s="109"/>
      <c r="L22" s="109"/>
      <c r="M22" s="109"/>
      <c r="N22" s="109"/>
      <c r="O22" s="109"/>
      <c r="P22" s="109"/>
      <c r="Q22" s="109"/>
      <c r="R22" s="109"/>
      <c r="S22" s="109"/>
      <c r="T22" s="109"/>
      <c r="U22" s="109"/>
      <c r="V22" s="109"/>
      <c r="W22" s="109"/>
      <c r="X22" s="109"/>
      <c r="Y22" s="109"/>
      <c r="Z22" s="109"/>
    </row>
    <row r="23" spans="1:26" ht="16.5" customHeight="1" x14ac:dyDescent="0.35">
      <c r="A23" s="109"/>
      <c r="B23" s="268"/>
      <c r="C23" s="269"/>
      <c r="D23" s="269"/>
      <c r="E23" s="269"/>
      <c r="F23" s="269"/>
      <c r="G23" s="269"/>
      <c r="H23" s="269"/>
      <c r="I23" s="269"/>
      <c r="J23" s="270"/>
      <c r="K23" s="109"/>
      <c r="L23" s="109"/>
      <c r="M23" s="109"/>
      <c r="N23" s="109"/>
      <c r="O23" s="109"/>
      <c r="P23" s="109"/>
      <c r="Q23" s="109"/>
      <c r="R23" s="109"/>
      <c r="S23" s="109"/>
      <c r="T23" s="109"/>
      <c r="U23" s="109"/>
      <c r="V23" s="109"/>
      <c r="W23" s="109"/>
      <c r="X23" s="109"/>
      <c r="Y23" s="109"/>
      <c r="Z23" s="109"/>
    </row>
    <row r="24" spans="1:26" ht="16.5" customHeight="1" x14ac:dyDescent="0.35">
      <c r="A24" s="109"/>
      <c r="B24" s="298" t="s">
        <v>140</v>
      </c>
      <c r="C24" s="223"/>
      <c r="D24" s="223"/>
      <c r="E24" s="223"/>
      <c r="F24" s="223"/>
      <c r="G24" s="223"/>
      <c r="H24" s="223"/>
      <c r="I24" s="223"/>
      <c r="J24" s="224"/>
      <c r="K24" s="109"/>
      <c r="L24" s="109"/>
      <c r="M24" s="109"/>
      <c r="N24" s="109"/>
      <c r="O24" s="109"/>
      <c r="P24" s="109"/>
      <c r="Q24" s="109"/>
      <c r="R24" s="109"/>
      <c r="S24" s="109"/>
      <c r="T24" s="109"/>
      <c r="U24" s="109"/>
      <c r="V24" s="109"/>
      <c r="W24" s="109"/>
      <c r="X24" s="109"/>
      <c r="Y24" s="109"/>
      <c r="Z24" s="109"/>
    </row>
    <row r="25" spans="1:26" ht="16.5" customHeight="1" x14ac:dyDescent="0.35">
      <c r="A25" s="109"/>
      <c r="B25" s="299"/>
      <c r="C25" s="216"/>
      <c r="D25" s="216"/>
      <c r="E25" s="216"/>
      <c r="F25" s="216"/>
      <c r="G25" s="216"/>
      <c r="H25" s="216"/>
      <c r="I25" s="216"/>
      <c r="J25" s="300"/>
      <c r="K25" s="109"/>
      <c r="L25" s="109"/>
      <c r="M25" s="109"/>
      <c r="N25" s="109"/>
      <c r="O25" s="109"/>
      <c r="P25" s="109"/>
      <c r="Q25" s="109"/>
      <c r="R25" s="109"/>
      <c r="S25" s="109"/>
      <c r="T25" s="109"/>
      <c r="U25" s="109"/>
      <c r="V25" s="109"/>
      <c r="W25" s="109"/>
      <c r="X25" s="109"/>
      <c r="Y25" s="109"/>
      <c r="Z25" s="109"/>
    </row>
    <row r="26" spans="1:26" ht="16.5" customHeight="1" x14ac:dyDescent="0.35">
      <c r="A26" s="109"/>
      <c r="B26" s="268"/>
      <c r="C26" s="269"/>
      <c r="D26" s="269"/>
      <c r="E26" s="269"/>
      <c r="F26" s="269"/>
      <c r="G26" s="269"/>
      <c r="H26" s="269"/>
      <c r="I26" s="269"/>
      <c r="J26" s="270"/>
      <c r="K26" s="109"/>
      <c r="L26" s="109"/>
      <c r="M26" s="109"/>
      <c r="N26" s="109"/>
      <c r="O26" s="109"/>
      <c r="P26" s="109"/>
      <c r="Q26" s="109"/>
      <c r="R26" s="109"/>
      <c r="S26" s="109"/>
      <c r="T26" s="109"/>
      <c r="U26" s="109"/>
      <c r="V26" s="109"/>
      <c r="W26" s="109"/>
      <c r="X26" s="109"/>
      <c r="Y26" s="109"/>
      <c r="Z26" s="109"/>
    </row>
    <row r="27" spans="1:26" ht="16.5" customHeight="1" x14ac:dyDescent="0.35">
      <c r="A27" s="109"/>
      <c r="B27" s="298" t="s">
        <v>141</v>
      </c>
      <c r="C27" s="223"/>
      <c r="D27" s="223"/>
      <c r="E27" s="223"/>
      <c r="F27" s="223"/>
      <c r="G27" s="223"/>
      <c r="H27" s="223"/>
      <c r="I27" s="223"/>
      <c r="J27" s="224"/>
      <c r="K27" s="109"/>
      <c r="L27" s="109"/>
      <c r="M27" s="109"/>
      <c r="N27" s="109"/>
      <c r="O27" s="109"/>
      <c r="P27" s="109"/>
      <c r="Q27" s="109"/>
      <c r="R27" s="109"/>
      <c r="S27" s="109"/>
      <c r="T27" s="109"/>
      <c r="U27" s="109"/>
      <c r="V27" s="109"/>
      <c r="W27" s="109"/>
      <c r="X27" s="109"/>
      <c r="Y27" s="109"/>
      <c r="Z27" s="109"/>
    </row>
    <row r="28" spans="1:26" ht="16.5" customHeight="1" x14ac:dyDescent="0.35">
      <c r="A28" s="109"/>
      <c r="B28" s="299"/>
      <c r="C28" s="216"/>
      <c r="D28" s="216"/>
      <c r="E28" s="216"/>
      <c r="F28" s="216"/>
      <c r="G28" s="216"/>
      <c r="H28" s="216"/>
      <c r="I28" s="216"/>
      <c r="J28" s="300"/>
      <c r="K28" s="109"/>
      <c r="L28" s="109"/>
      <c r="M28" s="109"/>
      <c r="N28" s="109"/>
      <c r="O28" s="109"/>
      <c r="P28" s="109"/>
      <c r="Q28" s="109"/>
      <c r="R28" s="109"/>
      <c r="S28" s="109"/>
      <c r="T28" s="109"/>
      <c r="U28" s="109"/>
      <c r="V28" s="109"/>
      <c r="W28" s="109"/>
      <c r="X28" s="109"/>
      <c r="Y28" s="109"/>
      <c r="Z28" s="109"/>
    </row>
    <row r="29" spans="1:26" ht="16.5" customHeight="1" x14ac:dyDescent="0.35">
      <c r="A29" s="109"/>
      <c r="B29" s="268"/>
      <c r="C29" s="269"/>
      <c r="D29" s="269"/>
      <c r="E29" s="269"/>
      <c r="F29" s="269"/>
      <c r="G29" s="269"/>
      <c r="H29" s="269"/>
      <c r="I29" s="269"/>
      <c r="J29" s="270"/>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x14ac:dyDescent="0.35"/>
  <cols>
    <col min="1" max="1" width="3.9296875" customWidth="1"/>
    <col min="2" max="2" width="6.265625" customWidth="1"/>
    <col min="3" max="3" width="12.6640625" customWidth="1"/>
    <col min="4" max="4" width="5.9296875" customWidth="1"/>
    <col min="5" max="5" width="7.46484375" customWidth="1"/>
    <col min="6" max="6" width="2.9296875" customWidth="1"/>
    <col min="7" max="7" width="14.796875" customWidth="1"/>
    <col min="8" max="8" width="5.265625" customWidth="1"/>
    <col min="9" max="10" width="10.929687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01" t="s">
        <v>144</v>
      </c>
      <c r="C2" s="216"/>
      <c r="D2" s="216"/>
      <c r="E2" s="216"/>
      <c r="F2" s="216"/>
      <c r="G2" s="216"/>
      <c r="H2" s="216"/>
      <c r="I2" s="216"/>
      <c r="J2" s="216"/>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44421</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399999999999999" x14ac:dyDescent="0.35">
      <c r="A7" s="109"/>
      <c r="B7" s="114" t="s">
        <v>101</v>
      </c>
      <c r="C7" s="113" t="s">
        <v>121</v>
      </c>
      <c r="D7" s="114" t="s">
        <v>122</v>
      </c>
      <c r="E7" s="115" t="s">
        <v>123</v>
      </c>
      <c r="F7" s="109"/>
      <c r="G7" s="116" t="s">
        <v>124</v>
      </c>
      <c r="H7" s="114">
        <f>'VAL 3 TRIM'!$AO$9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102</v>
      </c>
      <c r="C8" s="113" t="s">
        <v>125</v>
      </c>
      <c r="D8" s="114" t="s">
        <v>126</v>
      </c>
      <c r="E8" s="115" t="s">
        <v>127</v>
      </c>
      <c r="F8" s="109"/>
      <c r="G8" s="116" t="s">
        <v>128</v>
      </c>
      <c r="H8" s="114">
        <f>'VAL 3 TRIM'!$AO$10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103</v>
      </c>
      <c r="C9" s="113" t="s">
        <v>129</v>
      </c>
      <c r="D9" s="114" t="s">
        <v>130</v>
      </c>
      <c r="E9" s="115" t="s">
        <v>127</v>
      </c>
      <c r="F9" s="109"/>
      <c r="G9" s="118" t="s">
        <v>131</v>
      </c>
      <c r="H9" s="114">
        <f>'VAL 3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104</v>
      </c>
      <c r="C10" s="113" t="s">
        <v>132</v>
      </c>
      <c r="D10" s="114" t="s">
        <v>133</v>
      </c>
      <c r="E10" s="115" t="s">
        <v>127</v>
      </c>
      <c r="F10" s="109"/>
      <c r="G10" s="118" t="s">
        <v>134</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02" t="s">
        <v>136</v>
      </c>
      <c r="C13" s="216"/>
      <c r="D13" s="216"/>
      <c r="E13" s="216"/>
      <c r="F13" s="216"/>
      <c r="G13" s="216"/>
      <c r="H13" s="216"/>
      <c r="I13" s="216"/>
      <c r="J13" s="216"/>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98" t="s">
        <v>137</v>
      </c>
      <c r="C15" s="223"/>
      <c r="D15" s="223"/>
      <c r="E15" s="223"/>
      <c r="F15" s="223"/>
      <c r="G15" s="223"/>
      <c r="H15" s="223"/>
      <c r="I15" s="223"/>
      <c r="J15" s="224"/>
      <c r="K15" s="109"/>
      <c r="L15" s="109"/>
      <c r="M15" s="109"/>
      <c r="N15" s="109"/>
      <c r="O15" s="109"/>
      <c r="P15" s="109"/>
      <c r="Q15" s="109"/>
      <c r="R15" s="109"/>
      <c r="S15" s="109"/>
      <c r="T15" s="109"/>
      <c r="U15" s="109"/>
      <c r="V15" s="109"/>
      <c r="W15" s="109"/>
      <c r="X15" s="109"/>
      <c r="Y15" s="109"/>
      <c r="Z15" s="109"/>
    </row>
    <row r="16" spans="1:26" ht="16.5" customHeight="1" x14ac:dyDescent="0.35">
      <c r="A16" s="109"/>
      <c r="B16" s="299"/>
      <c r="C16" s="216"/>
      <c r="D16" s="216"/>
      <c r="E16" s="216"/>
      <c r="F16" s="216"/>
      <c r="G16" s="216"/>
      <c r="H16" s="216"/>
      <c r="I16" s="216"/>
      <c r="J16" s="300"/>
      <c r="K16" s="109"/>
      <c r="L16" s="109"/>
      <c r="M16" s="109"/>
      <c r="N16" s="109"/>
      <c r="O16" s="109"/>
      <c r="P16" s="109"/>
      <c r="Q16" s="109"/>
      <c r="R16" s="109"/>
      <c r="S16" s="109"/>
      <c r="T16" s="109"/>
      <c r="U16" s="109"/>
      <c r="V16" s="109"/>
      <c r="W16" s="109"/>
      <c r="X16" s="109"/>
      <c r="Y16" s="109"/>
      <c r="Z16" s="109"/>
    </row>
    <row r="17" spans="1:26" ht="16.5" customHeight="1" x14ac:dyDescent="0.35">
      <c r="A17" s="109"/>
      <c r="B17" s="268"/>
      <c r="C17" s="269"/>
      <c r="D17" s="269"/>
      <c r="E17" s="269"/>
      <c r="F17" s="269"/>
      <c r="G17" s="269"/>
      <c r="H17" s="269"/>
      <c r="I17" s="269"/>
      <c r="J17" s="270"/>
      <c r="K17" s="109"/>
      <c r="L17" s="109"/>
      <c r="M17" s="109"/>
      <c r="N17" s="109"/>
      <c r="O17" s="109"/>
      <c r="P17" s="109"/>
      <c r="Q17" s="109"/>
      <c r="R17" s="109"/>
      <c r="S17" s="109"/>
      <c r="T17" s="109"/>
      <c r="U17" s="109"/>
      <c r="V17" s="109"/>
      <c r="W17" s="109"/>
      <c r="X17" s="109"/>
      <c r="Y17" s="109"/>
      <c r="Z17" s="109"/>
    </row>
    <row r="18" spans="1:26" ht="16.5" customHeight="1" x14ac:dyDescent="0.35">
      <c r="A18" s="109"/>
      <c r="B18" s="298" t="s">
        <v>138</v>
      </c>
      <c r="C18" s="223"/>
      <c r="D18" s="223"/>
      <c r="E18" s="223"/>
      <c r="F18" s="223"/>
      <c r="G18" s="223"/>
      <c r="H18" s="223"/>
      <c r="I18" s="223"/>
      <c r="J18" s="224"/>
      <c r="K18" s="109"/>
      <c r="L18" s="109"/>
      <c r="M18" s="109"/>
      <c r="N18" s="109"/>
      <c r="O18" s="109"/>
      <c r="P18" s="109"/>
      <c r="Q18" s="109"/>
      <c r="R18" s="109"/>
      <c r="S18" s="109"/>
      <c r="T18" s="109"/>
      <c r="U18" s="109"/>
      <c r="V18" s="109"/>
      <c r="W18" s="109"/>
      <c r="X18" s="109"/>
      <c r="Y18" s="109"/>
      <c r="Z18" s="109"/>
    </row>
    <row r="19" spans="1:26" ht="16.5" customHeight="1" x14ac:dyDescent="0.35">
      <c r="A19" s="109"/>
      <c r="B19" s="299"/>
      <c r="C19" s="216"/>
      <c r="D19" s="216"/>
      <c r="E19" s="216"/>
      <c r="F19" s="216"/>
      <c r="G19" s="216"/>
      <c r="H19" s="216"/>
      <c r="I19" s="216"/>
      <c r="J19" s="300"/>
      <c r="K19" s="109"/>
      <c r="L19" s="109"/>
      <c r="M19" s="109"/>
      <c r="N19" s="109"/>
      <c r="O19" s="109"/>
      <c r="P19" s="109"/>
      <c r="Q19" s="109"/>
      <c r="R19" s="109"/>
      <c r="S19" s="109"/>
      <c r="T19" s="109"/>
      <c r="U19" s="109"/>
      <c r="V19" s="109"/>
      <c r="W19" s="109"/>
      <c r="X19" s="109"/>
      <c r="Y19" s="109"/>
      <c r="Z19" s="109"/>
    </row>
    <row r="20" spans="1:26" ht="16.5" customHeight="1" x14ac:dyDescent="0.35">
      <c r="A20" s="109"/>
      <c r="B20" s="268"/>
      <c r="C20" s="269"/>
      <c r="D20" s="269"/>
      <c r="E20" s="269"/>
      <c r="F20" s="269"/>
      <c r="G20" s="269"/>
      <c r="H20" s="269"/>
      <c r="I20" s="269"/>
      <c r="J20" s="270"/>
      <c r="K20" s="109"/>
      <c r="L20" s="109"/>
      <c r="M20" s="109"/>
      <c r="N20" s="109"/>
      <c r="O20" s="109"/>
      <c r="P20" s="109"/>
      <c r="Q20" s="109"/>
      <c r="R20" s="109"/>
      <c r="S20" s="109"/>
      <c r="T20" s="109"/>
      <c r="U20" s="109"/>
      <c r="V20" s="109"/>
      <c r="W20" s="109"/>
      <c r="X20" s="109"/>
      <c r="Y20" s="109"/>
      <c r="Z20" s="109"/>
    </row>
    <row r="21" spans="1:26" ht="16.5" customHeight="1" x14ac:dyDescent="0.35">
      <c r="A21" s="109"/>
      <c r="B21" s="298" t="s">
        <v>139</v>
      </c>
      <c r="C21" s="223"/>
      <c r="D21" s="223"/>
      <c r="E21" s="223"/>
      <c r="F21" s="223"/>
      <c r="G21" s="223"/>
      <c r="H21" s="223"/>
      <c r="I21" s="223"/>
      <c r="J21" s="224"/>
      <c r="K21" s="109"/>
      <c r="L21" s="109"/>
      <c r="M21" s="109"/>
      <c r="N21" s="109"/>
      <c r="O21" s="109"/>
      <c r="P21" s="109"/>
      <c r="Q21" s="109"/>
      <c r="R21" s="109"/>
      <c r="S21" s="109"/>
      <c r="T21" s="109"/>
      <c r="U21" s="109"/>
      <c r="V21" s="109"/>
      <c r="W21" s="109"/>
      <c r="X21" s="109"/>
      <c r="Y21" s="109"/>
      <c r="Z21" s="109"/>
    </row>
    <row r="22" spans="1:26" ht="16.5" customHeight="1" x14ac:dyDescent="0.35">
      <c r="A22" s="109"/>
      <c r="B22" s="299"/>
      <c r="C22" s="216"/>
      <c r="D22" s="216"/>
      <c r="E22" s="216"/>
      <c r="F22" s="216"/>
      <c r="G22" s="216"/>
      <c r="H22" s="216"/>
      <c r="I22" s="216"/>
      <c r="J22" s="300"/>
      <c r="K22" s="109"/>
      <c r="L22" s="109"/>
      <c r="M22" s="109"/>
      <c r="N22" s="109"/>
      <c r="O22" s="109"/>
      <c r="P22" s="109"/>
      <c r="Q22" s="109"/>
      <c r="R22" s="109"/>
      <c r="S22" s="109"/>
      <c r="T22" s="109"/>
      <c r="U22" s="109"/>
      <c r="V22" s="109"/>
      <c r="W22" s="109"/>
      <c r="X22" s="109"/>
      <c r="Y22" s="109"/>
      <c r="Z22" s="109"/>
    </row>
    <row r="23" spans="1:26" ht="16.5" customHeight="1" x14ac:dyDescent="0.35">
      <c r="A23" s="109"/>
      <c r="B23" s="268"/>
      <c r="C23" s="269"/>
      <c r="D23" s="269"/>
      <c r="E23" s="269"/>
      <c r="F23" s="269"/>
      <c r="G23" s="269"/>
      <c r="H23" s="269"/>
      <c r="I23" s="269"/>
      <c r="J23" s="270"/>
      <c r="K23" s="109"/>
      <c r="L23" s="109"/>
      <c r="M23" s="109"/>
      <c r="N23" s="109"/>
      <c r="O23" s="109"/>
      <c r="P23" s="109"/>
      <c r="Q23" s="109"/>
      <c r="R23" s="109"/>
      <c r="S23" s="109"/>
      <c r="T23" s="109"/>
      <c r="U23" s="109"/>
      <c r="V23" s="109"/>
      <c r="W23" s="109"/>
      <c r="X23" s="109"/>
      <c r="Y23" s="109"/>
      <c r="Z23" s="109"/>
    </row>
    <row r="24" spans="1:26" ht="16.5" customHeight="1" x14ac:dyDescent="0.35">
      <c r="A24" s="109"/>
      <c r="B24" s="298" t="s">
        <v>140</v>
      </c>
      <c r="C24" s="223"/>
      <c r="D24" s="223"/>
      <c r="E24" s="223"/>
      <c r="F24" s="223"/>
      <c r="G24" s="223"/>
      <c r="H24" s="223"/>
      <c r="I24" s="223"/>
      <c r="J24" s="224"/>
      <c r="K24" s="109"/>
      <c r="L24" s="109"/>
      <c r="M24" s="109"/>
      <c r="N24" s="109"/>
      <c r="O24" s="109"/>
      <c r="P24" s="109"/>
      <c r="Q24" s="109"/>
      <c r="R24" s="109"/>
      <c r="S24" s="109"/>
      <c r="T24" s="109"/>
      <c r="U24" s="109"/>
      <c r="V24" s="109"/>
      <c r="W24" s="109"/>
      <c r="X24" s="109"/>
      <c r="Y24" s="109"/>
      <c r="Z24" s="109"/>
    </row>
    <row r="25" spans="1:26" ht="16.5" customHeight="1" x14ac:dyDescent="0.35">
      <c r="A25" s="109"/>
      <c r="B25" s="299"/>
      <c r="C25" s="216"/>
      <c r="D25" s="216"/>
      <c r="E25" s="216"/>
      <c r="F25" s="216"/>
      <c r="G25" s="216"/>
      <c r="H25" s="216"/>
      <c r="I25" s="216"/>
      <c r="J25" s="300"/>
      <c r="K25" s="109"/>
      <c r="L25" s="109"/>
      <c r="M25" s="109"/>
      <c r="N25" s="109"/>
      <c r="O25" s="109"/>
      <c r="P25" s="109"/>
      <c r="Q25" s="109"/>
      <c r="R25" s="109"/>
      <c r="S25" s="109"/>
      <c r="T25" s="109"/>
      <c r="U25" s="109"/>
      <c r="V25" s="109"/>
      <c r="W25" s="109"/>
      <c r="X25" s="109"/>
      <c r="Y25" s="109"/>
      <c r="Z25" s="109"/>
    </row>
    <row r="26" spans="1:26" ht="16.5" customHeight="1" x14ac:dyDescent="0.35">
      <c r="A26" s="109"/>
      <c r="B26" s="268"/>
      <c r="C26" s="269"/>
      <c r="D26" s="269"/>
      <c r="E26" s="269"/>
      <c r="F26" s="269"/>
      <c r="G26" s="269"/>
      <c r="H26" s="269"/>
      <c r="I26" s="269"/>
      <c r="J26" s="270"/>
      <c r="K26" s="109"/>
      <c r="L26" s="109"/>
      <c r="M26" s="109"/>
      <c r="N26" s="109"/>
      <c r="O26" s="109"/>
      <c r="P26" s="109"/>
      <c r="Q26" s="109"/>
      <c r="R26" s="109"/>
      <c r="S26" s="109"/>
      <c r="T26" s="109"/>
      <c r="U26" s="109"/>
      <c r="V26" s="109"/>
      <c r="W26" s="109"/>
      <c r="X26" s="109"/>
      <c r="Y26" s="109"/>
      <c r="Z26" s="109"/>
    </row>
    <row r="27" spans="1:26" ht="16.5" customHeight="1" x14ac:dyDescent="0.35">
      <c r="A27" s="109"/>
      <c r="B27" s="298" t="s">
        <v>141</v>
      </c>
      <c r="C27" s="223"/>
      <c r="D27" s="223"/>
      <c r="E27" s="223"/>
      <c r="F27" s="223"/>
      <c r="G27" s="223"/>
      <c r="H27" s="223"/>
      <c r="I27" s="223"/>
      <c r="J27" s="224"/>
      <c r="K27" s="109"/>
      <c r="L27" s="109"/>
      <c r="M27" s="109"/>
      <c r="N27" s="109"/>
      <c r="O27" s="109"/>
      <c r="P27" s="109"/>
      <c r="Q27" s="109"/>
      <c r="R27" s="109"/>
      <c r="S27" s="109"/>
      <c r="T27" s="109"/>
      <c r="U27" s="109"/>
      <c r="V27" s="109"/>
      <c r="W27" s="109"/>
      <c r="X27" s="109"/>
      <c r="Y27" s="109"/>
      <c r="Z27" s="109"/>
    </row>
    <row r="28" spans="1:26" ht="16.5" customHeight="1" x14ac:dyDescent="0.35">
      <c r="A28" s="109"/>
      <c r="B28" s="299"/>
      <c r="C28" s="216"/>
      <c r="D28" s="216"/>
      <c r="E28" s="216"/>
      <c r="F28" s="216"/>
      <c r="G28" s="216"/>
      <c r="H28" s="216"/>
      <c r="I28" s="216"/>
      <c r="J28" s="300"/>
      <c r="K28" s="109"/>
      <c r="L28" s="109"/>
      <c r="M28" s="109"/>
      <c r="N28" s="109"/>
      <c r="O28" s="109"/>
      <c r="P28" s="109"/>
      <c r="Q28" s="109"/>
      <c r="R28" s="109"/>
      <c r="S28" s="109"/>
      <c r="T28" s="109"/>
      <c r="U28" s="109"/>
      <c r="V28" s="109"/>
      <c r="W28" s="109"/>
      <c r="X28" s="109"/>
      <c r="Y28" s="109"/>
      <c r="Z28" s="109"/>
    </row>
    <row r="29" spans="1:26" ht="16.5" customHeight="1" x14ac:dyDescent="0.35">
      <c r="A29" s="109"/>
      <c r="B29" s="268"/>
      <c r="C29" s="269"/>
      <c r="D29" s="269"/>
      <c r="E29" s="269"/>
      <c r="F29" s="269"/>
      <c r="G29" s="269"/>
      <c r="H29" s="269"/>
      <c r="I29" s="269"/>
      <c r="J29" s="270"/>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328125" defaultRowHeight="15" customHeight="1" x14ac:dyDescent="0.35"/>
  <cols>
    <col min="1" max="1" width="1.6640625" customWidth="1"/>
    <col min="2" max="2" width="4.4648437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20" t="s">
        <v>145</v>
      </c>
      <c r="D2" s="216"/>
      <c r="E2" s="216"/>
      <c r="F2" s="216"/>
      <c r="G2" s="216"/>
      <c r="H2" s="216"/>
      <c r="I2" s="216"/>
      <c r="J2" s="216"/>
      <c r="K2" s="216"/>
      <c r="L2" s="216"/>
      <c r="M2" s="216"/>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35">
      <c r="A5" s="40"/>
      <c r="B5" s="122" t="s">
        <v>22</v>
      </c>
      <c r="C5" s="40"/>
      <c r="D5" s="40"/>
      <c r="E5" s="40" t="str">
        <f>CARÁTULA!$C$23</f>
        <v>5to de Secundaria</v>
      </c>
      <c r="F5" s="40"/>
      <c r="G5" s="40"/>
      <c r="H5" s="40"/>
      <c r="I5" s="40"/>
      <c r="J5" s="43" t="s">
        <v>23</v>
      </c>
      <c r="K5" s="65">
        <f ca="1">TODAY()</f>
        <v>44421</v>
      </c>
      <c r="L5" s="39"/>
      <c r="M5" s="39"/>
      <c r="N5" s="39"/>
      <c r="O5" s="40"/>
      <c r="P5" s="40"/>
      <c r="Q5" s="40"/>
      <c r="R5" s="40"/>
      <c r="S5" s="40"/>
      <c r="T5" s="40"/>
      <c r="U5" s="40"/>
      <c r="V5" s="40"/>
      <c r="W5" s="40"/>
      <c r="X5" s="40"/>
      <c r="Y5" s="40"/>
      <c r="Z5" s="40"/>
    </row>
    <row r="6" spans="1:26" ht="13.5" customHeight="1" x14ac:dyDescent="0.3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58" t="s">
        <v>146</v>
      </c>
      <c r="D10" s="216"/>
      <c r="E10" s="123"/>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4" t="s">
        <v>148</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6" t="s">
        <v>149</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150</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58" t="s">
        <v>151</v>
      </c>
      <c r="D23" s="216"/>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4" t="s">
        <v>148</v>
      </c>
      <c r="D24" s="40"/>
      <c r="E24" s="125">
        <f>'CENTRAL 2'!$J$9</f>
        <v>26</v>
      </c>
      <c r="F24" s="40"/>
      <c r="G24" s="126">
        <f t="shared" ref="G24:G25" si="1">E24/$E$26</f>
        <v>0.72222222222222221</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6" t="s">
        <v>149</v>
      </c>
      <c r="D25" s="40"/>
      <c r="E25" s="128">
        <f>'CENTRAL 2'!$J$13</f>
        <v>10</v>
      </c>
      <c r="F25" s="40"/>
      <c r="G25" s="126">
        <f t="shared" si="1"/>
        <v>0.27777777777777779</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150</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58" t="s">
        <v>153</v>
      </c>
      <c r="D35" s="216"/>
      <c r="E35" s="40"/>
      <c r="F35" s="40"/>
      <c r="G35" s="122" t="s">
        <v>154</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4" t="s">
        <v>148</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6" t="s">
        <v>149</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150</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328125" defaultRowHeight="15" customHeight="1" x14ac:dyDescent="0.35"/>
  <cols>
    <col min="1" max="1" width="1.6640625" customWidth="1"/>
    <col min="2" max="2" width="5.6640625" customWidth="1"/>
    <col min="3" max="3" width="4.33203125" customWidth="1"/>
    <col min="4" max="4" width="6.265625" customWidth="1"/>
    <col min="5" max="5" width="7.46484375" customWidth="1"/>
    <col min="6" max="6" width="13.33203125" customWidth="1"/>
    <col min="7" max="7" width="10.73046875" customWidth="1"/>
    <col min="8" max="8" width="8.1328125" customWidth="1"/>
    <col min="9" max="26" width="5.6640625" customWidth="1"/>
  </cols>
  <sheetData>
    <row r="1" spans="1:26" ht="13.5" customHeight="1" x14ac:dyDescent="0.3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5">
      <c r="A2" s="127"/>
      <c r="B2" s="127"/>
      <c r="C2" s="304" t="s">
        <v>155</v>
      </c>
      <c r="D2" s="216"/>
      <c r="E2" s="216"/>
      <c r="F2" s="216"/>
      <c r="G2" s="216"/>
      <c r="H2" s="216"/>
      <c r="I2" s="216"/>
      <c r="J2" s="127"/>
      <c r="K2" s="127"/>
      <c r="L2" s="127"/>
      <c r="M2" s="127"/>
      <c r="N2" s="127"/>
      <c r="O2" s="127"/>
      <c r="P2" s="127"/>
      <c r="Q2" s="127"/>
      <c r="R2" s="127"/>
      <c r="S2" s="127"/>
      <c r="T2" s="127"/>
      <c r="U2" s="127"/>
      <c r="V2" s="127"/>
      <c r="W2" s="127"/>
      <c r="X2" s="127"/>
      <c r="Y2" s="127"/>
      <c r="Z2" s="127"/>
    </row>
    <row r="3" spans="1:26" ht="13.5" customHeight="1" x14ac:dyDescent="0.3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5">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5">
      <c r="A5" s="127"/>
      <c r="B5" s="131" t="s">
        <v>22</v>
      </c>
      <c r="C5" s="132"/>
      <c r="D5" s="132"/>
      <c r="E5" s="132" t="str">
        <f>CARÁTULA!$C$23</f>
        <v>5to de Secundaria</v>
      </c>
      <c r="F5" s="132"/>
      <c r="G5" s="131" t="s">
        <v>23</v>
      </c>
      <c r="H5" s="133">
        <f ca="1">TODAY()</f>
        <v>44421</v>
      </c>
      <c r="I5" s="132"/>
      <c r="J5" s="132"/>
      <c r="K5" s="127"/>
      <c r="L5" s="127"/>
      <c r="M5" s="127"/>
      <c r="N5" s="127"/>
      <c r="O5" s="127"/>
      <c r="P5" s="127"/>
      <c r="Q5" s="127"/>
      <c r="R5" s="127"/>
      <c r="S5" s="127"/>
      <c r="T5" s="127"/>
      <c r="U5" s="127"/>
      <c r="V5" s="127"/>
      <c r="W5" s="127"/>
      <c r="X5" s="127"/>
      <c r="Y5" s="127"/>
      <c r="Z5" s="127"/>
    </row>
    <row r="6" spans="1:26" ht="13.5" customHeight="1" x14ac:dyDescent="0.3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5">
      <c r="A8" s="127"/>
      <c r="B8" s="127"/>
      <c r="C8" s="303" t="s">
        <v>156</v>
      </c>
      <c r="D8" s="135" t="s">
        <v>157</v>
      </c>
      <c r="E8" s="135" t="s">
        <v>158</v>
      </c>
      <c r="F8" s="136" t="s">
        <v>159</v>
      </c>
      <c r="G8" s="135" t="s">
        <v>160</v>
      </c>
      <c r="H8" s="135" t="s">
        <v>161</v>
      </c>
      <c r="I8" s="127"/>
      <c r="J8" s="127"/>
      <c r="K8" s="127"/>
      <c r="L8" s="127"/>
      <c r="M8" s="127"/>
      <c r="N8" s="127"/>
      <c r="O8" s="127"/>
      <c r="P8" s="127"/>
      <c r="Q8" s="127"/>
      <c r="R8" s="127"/>
      <c r="S8" s="127"/>
      <c r="T8" s="127"/>
      <c r="U8" s="127"/>
      <c r="V8" s="127"/>
      <c r="W8" s="127"/>
      <c r="X8" s="127"/>
      <c r="Y8" s="127"/>
      <c r="Z8" s="127"/>
    </row>
    <row r="9" spans="1:26" ht="13.5" customHeight="1" x14ac:dyDescent="0.35">
      <c r="A9" s="127"/>
      <c r="B9" s="127"/>
      <c r="C9" s="290"/>
      <c r="D9" s="137" t="s">
        <v>162</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5">
      <c r="A10" s="127"/>
      <c r="B10" s="127"/>
      <c r="C10" s="290"/>
      <c r="D10" s="137" t="s">
        <v>163</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5">
      <c r="A11" s="127"/>
      <c r="B11" s="127"/>
      <c r="C11" s="290"/>
      <c r="D11" s="137" t="s">
        <v>164</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5">
      <c r="A12" s="127"/>
      <c r="B12" s="127"/>
      <c r="C12" s="265"/>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5">
      <c r="A15" s="127"/>
      <c r="B15" s="127"/>
      <c r="C15" s="303" t="s">
        <v>165</v>
      </c>
      <c r="D15" s="135" t="s">
        <v>157</v>
      </c>
      <c r="E15" s="135" t="s">
        <v>158</v>
      </c>
      <c r="F15" s="136" t="s">
        <v>159</v>
      </c>
      <c r="G15" s="135" t="s">
        <v>160</v>
      </c>
      <c r="H15" s="135" t="s">
        <v>161</v>
      </c>
      <c r="I15" s="127"/>
      <c r="J15" s="127"/>
      <c r="K15" s="127"/>
      <c r="L15" s="127"/>
      <c r="M15" s="127"/>
      <c r="N15" s="127"/>
      <c r="O15" s="127"/>
      <c r="P15" s="127"/>
      <c r="Q15" s="127"/>
      <c r="R15" s="127"/>
      <c r="S15" s="127"/>
      <c r="T15" s="127"/>
      <c r="U15" s="127"/>
      <c r="V15" s="127"/>
      <c r="W15" s="127"/>
      <c r="X15" s="127"/>
      <c r="Y15" s="127"/>
      <c r="Z15" s="127"/>
    </row>
    <row r="16" spans="1:26" ht="13.5" customHeight="1" x14ac:dyDescent="0.35">
      <c r="A16" s="127"/>
      <c r="B16" s="127"/>
      <c r="C16" s="290"/>
      <c r="D16" s="137" t="s">
        <v>162</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5">
      <c r="A17" s="127"/>
      <c r="B17" s="127"/>
      <c r="C17" s="290"/>
      <c r="D17" s="137" t="s">
        <v>163</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5">
      <c r="A18" s="127"/>
      <c r="B18" s="127"/>
      <c r="C18" s="290"/>
      <c r="D18" s="137" t="s">
        <v>164</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5">
      <c r="A19" s="127"/>
      <c r="B19" s="127"/>
      <c r="C19" s="265"/>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5">
      <c r="A22" s="127"/>
      <c r="B22" s="127"/>
      <c r="C22" s="303" t="s">
        <v>166</v>
      </c>
      <c r="D22" s="135" t="s">
        <v>157</v>
      </c>
      <c r="E22" s="135" t="s">
        <v>158</v>
      </c>
      <c r="F22" s="136" t="s">
        <v>159</v>
      </c>
      <c r="G22" s="135" t="s">
        <v>160</v>
      </c>
      <c r="H22" s="135" t="s">
        <v>161</v>
      </c>
      <c r="I22" s="127"/>
      <c r="J22" s="127"/>
      <c r="K22" s="127"/>
      <c r="L22" s="127"/>
      <c r="M22" s="127"/>
      <c r="N22" s="127"/>
      <c r="O22" s="127"/>
      <c r="P22" s="127"/>
      <c r="Q22" s="127"/>
      <c r="R22" s="127"/>
      <c r="S22" s="127"/>
      <c r="T22" s="127"/>
      <c r="U22" s="127"/>
      <c r="V22" s="127"/>
      <c r="W22" s="127"/>
      <c r="X22" s="127"/>
      <c r="Y22" s="127"/>
      <c r="Z22" s="127"/>
    </row>
    <row r="23" spans="1:26" ht="13.5" customHeight="1" x14ac:dyDescent="0.35">
      <c r="A23" s="127"/>
      <c r="B23" s="127"/>
      <c r="C23" s="290"/>
      <c r="D23" s="137" t="s">
        <v>162</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5">
      <c r="A24" s="127"/>
      <c r="B24" s="127"/>
      <c r="C24" s="290"/>
      <c r="D24" s="137" t="s">
        <v>163</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5">
      <c r="A25" s="127"/>
      <c r="B25" s="127"/>
      <c r="C25" s="290"/>
      <c r="D25" s="137" t="s">
        <v>164</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5">
      <c r="A26" s="127"/>
      <c r="B26" s="127"/>
      <c r="C26" s="265"/>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5">
      <c r="A29" s="127"/>
      <c r="B29" s="127"/>
      <c r="C29" s="303" t="s">
        <v>167</v>
      </c>
      <c r="D29" s="135" t="s">
        <v>157</v>
      </c>
      <c r="E29" s="135" t="s">
        <v>158</v>
      </c>
      <c r="F29" s="136" t="s">
        <v>159</v>
      </c>
      <c r="G29" s="135" t="s">
        <v>160</v>
      </c>
      <c r="H29" s="135" t="s">
        <v>161</v>
      </c>
      <c r="I29" s="127"/>
      <c r="J29" s="127"/>
      <c r="K29" s="127"/>
      <c r="L29" s="127"/>
      <c r="M29" s="127"/>
      <c r="N29" s="127"/>
      <c r="O29" s="127"/>
      <c r="P29" s="127"/>
      <c r="Q29" s="127"/>
      <c r="R29" s="127"/>
      <c r="S29" s="127"/>
      <c r="T29" s="127"/>
      <c r="U29" s="127"/>
      <c r="V29" s="127"/>
      <c r="W29" s="127"/>
      <c r="X29" s="127"/>
      <c r="Y29" s="127"/>
      <c r="Z29" s="127"/>
    </row>
    <row r="30" spans="1:26" ht="13.5" customHeight="1" x14ac:dyDescent="0.35">
      <c r="A30" s="127"/>
      <c r="B30" s="127"/>
      <c r="C30" s="290"/>
      <c r="D30" s="137" t="s">
        <v>162</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5">
      <c r="A31" s="127"/>
      <c r="B31" s="127"/>
      <c r="C31" s="290"/>
      <c r="D31" s="137" t="s">
        <v>163</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5">
      <c r="A32" s="127"/>
      <c r="B32" s="127"/>
      <c r="C32" s="290"/>
      <c r="D32" s="137" t="s">
        <v>164</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5">
      <c r="A33" s="127"/>
      <c r="B33" s="127"/>
      <c r="C33" s="265"/>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5">
      <c r="A36" s="127"/>
      <c r="B36" s="127"/>
      <c r="C36" s="303" t="s">
        <v>168</v>
      </c>
      <c r="D36" s="135" t="s">
        <v>157</v>
      </c>
      <c r="E36" s="135" t="s">
        <v>158</v>
      </c>
      <c r="F36" s="136" t="s">
        <v>159</v>
      </c>
      <c r="G36" s="135" t="s">
        <v>160</v>
      </c>
      <c r="H36" s="135" t="s">
        <v>161</v>
      </c>
      <c r="I36" s="127"/>
      <c r="J36" s="127"/>
      <c r="K36" s="127"/>
      <c r="L36" s="127"/>
      <c r="M36" s="127"/>
      <c r="N36" s="127"/>
      <c r="O36" s="127"/>
      <c r="P36" s="127"/>
      <c r="Q36" s="127"/>
      <c r="R36" s="127"/>
      <c r="S36" s="127"/>
      <c r="T36" s="127"/>
      <c r="U36" s="127"/>
      <c r="V36" s="127"/>
      <c r="W36" s="127"/>
      <c r="X36" s="127"/>
      <c r="Y36" s="127"/>
      <c r="Z36" s="127"/>
    </row>
    <row r="37" spans="1:26" ht="13.5" customHeight="1" x14ac:dyDescent="0.35">
      <c r="A37" s="127"/>
      <c r="B37" s="127"/>
      <c r="C37" s="290"/>
      <c r="D37" s="137" t="s">
        <v>162</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5">
      <c r="A38" s="127"/>
      <c r="B38" s="127"/>
      <c r="C38" s="290"/>
      <c r="D38" s="137" t="s">
        <v>163</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5">
      <c r="A39" s="127"/>
      <c r="B39" s="127"/>
      <c r="C39" s="290"/>
      <c r="D39" s="137" t="s">
        <v>164</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5">
      <c r="A40" s="127"/>
      <c r="B40" s="127"/>
      <c r="C40" s="265"/>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5">
      <c r="A43" s="127"/>
      <c r="B43" s="127"/>
      <c r="C43" s="303" t="s">
        <v>169</v>
      </c>
      <c r="D43" s="135" t="s">
        <v>157</v>
      </c>
      <c r="E43" s="135" t="s">
        <v>158</v>
      </c>
      <c r="F43" s="136" t="s">
        <v>159</v>
      </c>
      <c r="G43" s="135" t="s">
        <v>160</v>
      </c>
      <c r="H43" s="135" t="s">
        <v>161</v>
      </c>
      <c r="I43" s="127"/>
      <c r="J43" s="127"/>
      <c r="K43" s="127"/>
      <c r="L43" s="127"/>
      <c r="M43" s="127"/>
      <c r="N43" s="127"/>
      <c r="O43" s="127"/>
      <c r="P43" s="127"/>
      <c r="Q43" s="127"/>
      <c r="R43" s="127"/>
      <c r="S43" s="127"/>
      <c r="T43" s="127"/>
      <c r="U43" s="127"/>
      <c r="V43" s="127"/>
      <c r="W43" s="127"/>
      <c r="X43" s="127"/>
      <c r="Y43" s="127"/>
      <c r="Z43" s="127"/>
    </row>
    <row r="44" spans="1:26" ht="13.5" customHeight="1" x14ac:dyDescent="0.35">
      <c r="A44" s="127"/>
      <c r="B44" s="127"/>
      <c r="C44" s="290"/>
      <c r="D44" s="137" t="s">
        <v>162</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5">
      <c r="A45" s="127"/>
      <c r="B45" s="127"/>
      <c r="C45" s="290"/>
      <c r="D45" s="137" t="s">
        <v>163</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5">
      <c r="A46" s="127"/>
      <c r="B46" s="127"/>
      <c r="C46" s="290"/>
      <c r="D46" s="137" t="s">
        <v>164</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5">
      <c r="A47" s="127"/>
      <c r="B47" s="127"/>
      <c r="C47" s="265"/>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328125" defaultRowHeight="15" customHeight="1" x14ac:dyDescent="0.35"/>
  <cols>
    <col min="1" max="4" width="1.6640625" customWidth="1"/>
    <col min="5" max="6" width="4.6640625" customWidth="1"/>
    <col min="7" max="7" width="26.6640625" customWidth="1"/>
    <col min="8" max="8" width="7.46484375" customWidth="1"/>
    <col min="9" max="10" width="10.9296875" customWidth="1"/>
    <col min="11" max="26" width="10.46484375" customWidth="1"/>
  </cols>
  <sheetData>
    <row r="1" spans="1:26" ht="7.5" customHeight="1" x14ac:dyDescent="0.3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5">
      <c r="A3" s="142"/>
      <c r="B3" s="19"/>
      <c r="C3" s="19"/>
      <c r="D3" s="19"/>
      <c r="E3" s="309" t="s">
        <v>170</v>
      </c>
      <c r="F3" s="216"/>
      <c r="G3" s="216"/>
      <c r="H3" s="216"/>
      <c r="I3" s="216"/>
      <c r="J3" s="142"/>
      <c r="K3" s="142"/>
      <c r="L3" s="142"/>
      <c r="M3" s="142"/>
      <c r="N3" s="142"/>
      <c r="O3" s="142"/>
      <c r="P3" s="142"/>
      <c r="Q3" s="142"/>
      <c r="R3" s="142"/>
      <c r="S3" s="142"/>
      <c r="T3" s="142"/>
      <c r="U3" s="142"/>
      <c r="V3" s="142"/>
      <c r="W3" s="142"/>
      <c r="X3" s="142"/>
      <c r="Y3" s="142"/>
      <c r="Z3" s="142"/>
    </row>
    <row r="4" spans="1:26" ht="6.75" customHeight="1" x14ac:dyDescent="0.3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5">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35">
      <c r="A8" s="142"/>
      <c r="B8" s="143" t="s">
        <v>22</v>
      </c>
      <c r="C8" s="19"/>
      <c r="D8" s="19"/>
      <c r="E8" s="19"/>
      <c r="F8" s="19"/>
      <c r="G8" s="40" t="str">
        <f>CARÁTULA!$C$23</f>
        <v>5to de Secundaria</v>
      </c>
      <c r="H8" s="143" t="s">
        <v>23</v>
      </c>
      <c r="I8" s="133">
        <f ca="1">TODAY()</f>
        <v>44421</v>
      </c>
      <c r="J8" s="142"/>
      <c r="K8" s="142"/>
      <c r="L8" s="142"/>
      <c r="M8" s="142"/>
      <c r="N8" s="142"/>
      <c r="O8" s="142"/>
      <c r="P8" s="142"/>
      <c r="Q8" s="142"/>
      <c r="R8" s="142"/>
      <c r="S8" s="142"/>
      <c r="T8" s="142"/>
      <c r="U8" s="142"/>
      <c r="V8" s="142"/>
      <c r="W8" s="142"/>
      <c r="X8" s="142"/>
      <c r="Y8" s="142"/>
      <c r="Z8" s="142"/>
    </row>
    <row r="9" spans="1:26" ht="6.75" customHeight="1" x14ac:dyDescent="0.3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5">
      <c r="A16" s="142"/>
      <c r="B16" s="142"/>
      <c r="C16" s="142"/>
      <c r="D16" s="142"/>
      <c r="E16" s="310" t="s">
        <v>171</v>
      </c>
      <c r="F16" s="311"/>
      <c r="G16" s="145" t="s">
        <v>24</v>
      </c>
      <c r="H16" s="146" t="s">
        <v>172</v>
      </c>
      <c r="I16" s="147"/>
      <c r="J16" s="142"/>
      <c r="K16" s="142"/>
      <c r="L16" s="142"/>
      <c r="M16" s="142"/>
      <c r="N16" s="142"/>
      <c r="O16" s="142"/>
      <c r="P16" s="142"/>
      <c r="Q16" s="142"/>
      <c r="R16" s="142"/>
      <c r="S16" s="142"/>
      <c r="T16" s="142"/>
      <c r="U16" s="142"/>
      <c r="V16" s="142"/>
      <c r="W16" s="142"/>
      <c r="X16" s="142"/>
      <c r="Y16" s="142"/>
      <c r="Z16" s="142"/>
    </row>
    <row r="17" spans="1:26" ht="12.75" customHeight="1" x14ac:dyDescent="0.35">
      <c r="A17" s="142"/>
      <c r="B17" s="142"/>
      <c r="C17" s="142"/>
      <c r="D17" s="142"/>
      <c r="E17" s="305"/>
      <c r="F17" s="262"/>
      <c r="G17" s="148" t="str">
        <f>'C. FILIACION'!B8</f>
        <v>ARAMAYO CARVALLO LITZI</v>
      </c>
      <c r="H17" s="149">
        <f>'CENTRAL 2'!F9</f>
        <v>91</v>
      </c>
      <c r="I17" s="142"/>
      <c r="J17" s="142"/>
      <c r="K17" s="142"/>
      <c r="L17" s="142"/>
      <c r="M17" s="142"/>
      <c r="N17" s="142"/>
      <c r="O17" s="142"/>
      <c r="P17" s="142"/>
      <c r="Q17" s="142"/>
      <c r="R17" s="142"/>
      <c r="S17" s="142"/>
      <c r="T17" s="142"/>
      <c r="U17" s="142"/>
      <c r="V17" s="142"/>
      <c r="W17" s="142"/>
      <c r="X17" s="142"/>
      <c r="Y17" s="142"/>
      <c r="Z17" s="142"/>
    </row>
    <row r="18" spans="1:26" ht="12.75" customHeight="1" x14ac:dyDescent="0.35">
      <c r="A18" s="142"/>
      <c r="B18" s="142"/>
      <c r="C18" s="142"/>
      <c r="D18" s="142"/>
      <c r="E18" s="305"/>
      <c r="F18" s="262"/>
      <c r="G18" s="148" t="str">
        <f>'C. FILIACION'!B9</f>
        <v>BLANCO SALVATIERRA LIZETH BRIGIDA</v>
      </c>
      <c r="H18" s="149">
        <f>'CENTRAL 2'!F10</f>
        <v>86.666666666666671</v>
      </c>
      <c r="I18" s="142"/>
      <c r="J18" s="142"/>
      <c r="K18" s="142"/>
      <c r="L18" s="142"/>
      <c r="M18" s="142"/>
      <c r="N18" s="142"/>
      <c r="O18" s="142"/>
      <c r="P18" s="142"/>
      <c r="Q18" s="142"/>
      <c r="R18" s="142"/>
      <c r="S18" s="142"/>
      <c r="T18" s="142"/>
      <c r="U18" s="142"/>
      <c r="V18" s="142"/>
      <c r="W18" s="142"/>
      <c r="X18" s="142"/>
      <c r="Y18" s="142"/>
      <c r="Z18" s="142"/>
    </row>
    <row r="19" spans="1:26" ht="12.75" customHeight="1" x14ac:dyDescent="0.35">
      <c r="A19" s="142"/>
      <c r="B19" s="142"/>
      <c r="C19" s="142"/>
      <c r="D19" s="142"/>
      <c r="E19" s="305"/>
      <c r="F19" s="262"/>
      <c r="G19" s="148" t="str">
        <f>'C. FILIACION'!B10</f>
        <v>GARCIA FAUCA NIELS HAMILTON</v>
      </c>
      <c r="H19" s="149">
        <f>'CENTRAL 2'!F11</f>
        <v>89.333333333333329</v>
      </c>
      <c r="I19" s="142"/>
      <c r="J19" s="142"/>
      <c r="K19" s="142"/>
      <c r="L19" s="142"/>
      <c r="M19" s="142"/>
      <c r="N19" s="142"/>
      <c r="O19" s="142"/>
      <c r="P19" s="142"/>
      <c r="Q19" s="142"/>
      <c r="R19" s="142"/>
      <c r="S19" s="142"/>
      <c r="T19" s="142"/>
      <c r="U19" s="142"/>
      <c r="V19" s="142"/>
      <c r="W19" s="142"/>
      <c r="X19" s="142"/>
      <c r="Y19" s="142"/>
      <c r="Z19" s="142"/>
    </row>
    <row r="20" spans="1:26" ht="12.75" customHeight="1" x14ac:dyDescent="0.35">
      <c r="A20" s="142"/>
      <c r="B20" s="142"/>
      <c r="C20" s="142"/>
      <c r="D20" s="142"/>
      <c r="E20" s="305"/>
      <c r="F20" s="262"/>
      <c r="G20" s="148" t="str">
        <f>'C. FILIACION'!B11</f>
        <v>GOITIA VEIZAN MORGAN CRISTHIAN</v>
      </c>
      <c r="H20" s="149">
        <f>'CENTRAL 2'!F12</f>
        <v>72.666666666666671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5">
      <c r="A21" s="142"/>
      <c r="B21" s="142"/>
      <c r="C21" s="142"/>
      <c r="D21" s="142"/>
      <c r="E21" s="305"/>
      <c r="F21" s="262"/>
      <c r="G21" s="148" t="str">
        <f>'C. FILIACION'!B12</f>
        <v>GOMEZ LUCANA ALISON NAYR</v>
      </c>
      <c r="H21" s="149">
        <f>'CENTRAL 2'!F13</f>
        <v>72.666666666666671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35">
      <c r="A22" s="142"/>
      <c r="B22" s="142"/>
      <c r="C22" s="142"/>
      <c r="D22" s="142"/>
      <c r="E22" s="305"/>
      <c r="F22" s="262"/>
      <c r="G22" s="148" t="str">
        <f>'C. FILIACION'!B13</f>
        <v>GUTIERREZ ALVAREZ ALEX BEYMAR</v>
      </c>
      <c r="H22" s="149">
        <f>'CENTRAL 2'!F14</f>
        <v>73.666666666666671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5">
      <c r="A23" s="142"/>
      <c r="B23" s="142"/>
      <c r="C23" s="142"/>
      <c r="D23" s="142"/>
      <c r="E23" s="305"/>
      <c r="F23" s="262"/>
      <c r="G23" s="148" t="str">
        <f>'C. FILIACION'!B14</f>
        <v>LOPEZ PACO MIGUEL ANGEL</v>
      </c>
      <c r="H23" s="149">
        <f>'CENTRAL 2'!F15</f>
        <v>85.666666666666671</v>
      </c>
      <c r="I23" s="142"/>
      <c r="J23" s="142"/>
      <c r="K23" s="142"/>
      <c r="L23" s="142"/>
      <c r="M23" s="142"/>
      <c r="N23" s="142"/>
      <c r="O23" s="142"/>
      <c r="P23" s="142"/>
      <c r="Q23" s="142"/>
      <c r="R23" s="142"/>
      <c r="S23" s="142"/>
      <c r="T23" s="142"/>
      <c r="U23" s="142"/>
      <c r="V23" s="142"/>
      <c r="W23" s="142"/>
      <c r="X23" s="142"/>
      <c r="Y23" s="142"/>
      <c r="Z23" s="142"/>
    </row>
    <row r="24" spans="1:26" ht="12.75" customHeight="1" x14ac:dyDescent="0.35">
      <c r="A24" s="142"/>
      <c r="B24" s="142"/>
      <c r="C24" s="142"/>
      <c r="D24" s="142"/>
      <c r="E24" s="305"/>
      <c r="F24" s="262"/>
      <c r="G24" s="148" t="str">
        <f>'C. FILIACION'!B15</f>
        <v>MAMANI AQUINO LUCAS</v>
      </c>
      <c r="H24" s="149">
        <f>'CENTRAL 2'!F16</f>
        <v>73.666666666666671</v>
      </c>
      <c r="I24" s="142"/>
      <c r="J24" s="142"/>
      <c r="K24" s="142"/>
      <c r="L24" s="142"/>
      <c r="M24" s="142"/>
      <c r="N24" s="142"/>
      <c r="O24" s="142"/>
      <c r="P24" s="142"/>
      <c r="Q24" s="142"/>
      <c r="R24" s="142"/>
      <c r="S24" s="142"/>
      <c r="T24" s="142"/>
      <c r="U24" s="142"/>
      <c r="V24" s="142"/>
      <c r="W24" s="142"/>
      <c r="X24" s="142"/>
      <c r="Y24" s="142"/>
      <c r="Z24" s="142"/>
    </row>
    <row r="25" spans="1:26" ht="12.75" customHeight="1" x14ac:dyDescent="0.35">
      <c r="A25" s="142"/>
      <c r="B25" s="142"/>
      <c r="C25" s="142"/>
      <c r="D25" s="142"/>
      <c r="E25" s="305"/>
      <c r="F25" s="262"/>
      <c r="G25" s="148" t="str">
        <f>'C. FILIACION'!B16</f>
        <v>MAMANI VASQUEZ FRANZ DARWIN</v>
      </c>
      <c r="H25" s="149">
        <f>'CENTRAL 2'!F17</f>
        <v>95</v>
      </c>
      <c r="I25" s="142"/>
      <c r="J25" s="142"/>
      <c r="K25" s="142"/>
      <c r="L25" s="142"/>
      <c r="M25" s="142"/>
      <c r="N25" s="142"/>
      <c r="O25" s="142"/>
      <c r="P25" s="142"/>
      <c r="Q25" s="142"/>
      <c r="R25" s="142"/>
      <c r="S25" s="142"/>
      <c r="T25" s="142"/>
      <c r="U25" s="142"/>
      <c r="V25" s="142"/>
      <c r="W25" s="142"/>
      <c r="X25" s="142"/>
      <c r="Y25" s="142"/>
      <c r="Z25" s="142"/>
    </row>
    <row r="26" spans="1:26" ht="12.75" customHeight="1" x14ac:dyDescent="0.35">
      <c r="A26" s="142"/>
      <c r="B26" s="142"/>
      <c r="C26" s="142"/>
      <c r="D26" s="142"/>
      <c r="E26" s="305"/>
      <c r="F26" s="262"/>
      <c r="G26" s="148" t="str">
        <f>'C. FILIACION'!B17</f>
        <v>MARTINEZ MAMANI JORGE ARMANDO</v>
      </c>
      <c r="H26" s="149">
        <f>'CENTRAL 2'!F18</f>
        <v>74.333333333333329</v>
      </c>
      <c r="I26" s="142"/>
      <c r="J26" s="142"/>
      <c r="K26" s="142"/>
      <c r="L26" s="142"/>
      <c r="M26" s="142"/>
      <c r="N26" s="142"/>
      <c r="O26" s="142"/>
      <c r="P26" s="142"/>
      <c r="Q26" s="142"/>
      <c r="R26" s="142"/>
      <c r="S26" s="142"/>
      <c r="T26" s="142"/>
      <c r="U26" s="142"/>
      <c r="V26" s="142"/>
      <c r="W26" s="142"/>
      <c r="X26" s="142"/>
      <c r="Y26" s="142"/>
      <c r="Z26" s="142"/>
    </row>
    <row r="27" spans="1:26" ht="12.75" customHeight="1" x14ac:dyDescent="0.35">
      <c r="A27" s="142"/>
      <c r="B27" s="142"/>
      <c r="C27" s="142"/>
      <c r="D27" s="142"/>
      <c r="E27" s="305"/>
      <c r="F27" s="262"/>
      <c r="G27" s="148" t="str">
        <f>'C. FILIACION'!B18</f>
        <v>MEDINA PEREIRA GABRIEL LEANDRO</v>
      </c>
      <c r="H27" s="149">
        <f>'CENTRAL 2'!F19</f>
        <v>72.666666666666671</v>
      </c>
      <c r="I27" s="142"/>
      <c r="J27" s="142"/>
      <c r="K27" s="142"/>
      <c r="L27" s="142"/>
      <c r="M27" s="142"/>
      <c r="N27" s="142"/>
      <c r="O27" s="142"/>
      <c r="P27" s="142"/>
      <c r="Q27" s="142"/>
      <c r="R27" s="142"/>
      <c r="S27" s="142"/>
      <c r="T27" s="142"/>
      <c r="U27" s="142"/>
      <c r="V27" s="142"/>
      <c r="W27" s="142"/>
      <c r="X27" s="142"/>
      <c r="Y27" s="142"/>
      <c r="Z27" s="142"/>
    </row>
    <row r="28" spans="1:26" ht="12.75" customHeight="1" x14ac:dyDescent="0.35">
      <c r="A28" s="142"/>
      <c r="B28" s="142"/>
      <c r="C28" s="142"/>
      <c r="D28" s="142"/>
      <c r="E28" s="305"/>
      <c r="F28" s="262"/>
      <c r="G28" s="148" t="str">
        <f>'C. FILIACION'!B19</f>
        <v>MEDINA PEREIRA YULIANA</v>
      </c>
      <c r="H28" s="149">
        <f>'CENTRAL 2'!F20</f>
        <v>72.666666666666671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5">
      <c r="A29" s="142"/>
      <c r="B29" s="142"/>
      <c r="C29" s="142"/>
      <c r="D29" s="142"/>
      <c r="E29" s="305"/>
      <c r="F29" s="262"/>
      <c r="G29" s="148" t="str">
        <f>'C. FILIACION'!B20</f>
        <v>MORALES BERNABEL JULETH CHANTAL</v>
      </c>
      <c r="H29" s="149">
        <f>'CENTRAL 2'!F21</f>
        <v>92</v>
      </c>
      <c r="I29" s="142"/>
      <c r="J29" s="142"/>
      <c r="K29" s="142"/>
      <c r="L29" s="142"/>
      <c r="M29" s="142"/>
      <c r="N29" s="142"/>
      <c r="O29" s="142"/>
      <c r="P29" s="142"/>
      <c r="Q29" s="142"/>
      <c r="R29" s="142"/>
      <c r="S29" s="142"/>
      <c r="T29" s="142"/>
      <c r="U29" s="142"/>
      <c r="V29" s="142"/>
      <c r="W29" s="142"/>
      <c r="X29" s="142"/>
      <c r="Y29" s="142"/>
      <c r="Z29" s="142"/>
    </row>
    <row r="30" spans="1:26" ht="12.75" customHeight="1" x14ac:dyDescent="0.35">
      <c r="A30" s="142"/>
      <c r="B30" s="142"/>
      <c r="C30" s="142"/>
      <c r="D30" s="142"/>
      <c r="E30" s="305"/>
      <c r="F30" s="262"/>
      <c r="G30" s="148" t="str">
        <f>'C. FILIACION'!B21</f>
        <v>ORELLANA MOGRO ADAMO LEVING</v>
      </c>
      <c r="H30" s="149">
        <f>'CENTRAL 2'!F22</f>
        <v>88.666666666666671</v>
      </c>
      <c r="I30" s="142"/>
      <c r="J30" s="142"/>
      <c r="K30" s="142"/>
      <c r="L30" s="142"/>
      <c r="M30" s="142"/>
      <c r="N30" s="142"/>
      <c r="O30" s="142"/>
      <c r="P30" s="142"/>
      <c r="Q30" s="142"/>
      <c r="R30" s="142"/>
      <c r="S30" s="142"/>
      <c r="T30" s="142"/>
      <c r="U30" s="142"/>
      <c r="V30" s="142"/>
      <c r="W30" s="142"/>
      <c r="X30" s="142"/>
      <c r="Y30" s="142"/>
      <c r="Z30" s="142"/>
    </row>
    <row r="31" spans="1:26" ht="12.75" customHeight="1" x14ac:dyDescent="0.35">
      <c r="A31" s="142"/>
      <c r="B31" s="142"/>
      <c r="C31" s="142"/>
      <c r="D31" s="142"/>
      <c r="E31" s="305"/>
      <c r="F31" s="262"/>
      <c r="G31" s="148" t="str">
        <f>'C. FILIACION'!B22</f>
        <v>PAHUASI HUAYTA LUZ ADRIANA</v>
      </c>
      <c r="H31" s="149">
        <f>'CENTRAL 2'!F23</f>
        <v>72.666666666666671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5">
      <c r="A32" s="142"/>
      <c r="B32" s="142"/>
      <c r="C32" s="142"/>
      <c r="D32" s="142"/>
      <c r="E32" s="305"/>
      <c r="F32" s="262"/>
      <c r="G32" s="148" t="str">
        <f>'C. FILIACION'!B23</f>
        <v>PEREZ HUARACHI ESPERANZA ALEJANDRA</v>
      </c>
      <c r="H32" s="149">
        <f>'CENTRAL 2'!F24</f>
        <v>88.333333333333329</v>
      </c>
      <c r="I32" s="142"/>
      <c r="J32" s="142"/>
      <c r="K32" s="142"/>
      <c r="L32" s="142"/>
      <c r="M32" s="142"/>
      <c r="N32" s="142"/>
      <c r="O32" s="142"/>
      <c r="P32" s="142"/>
      <c r="Q32" s="142"/>
      <c r="R32" s="142"/>
      <c r="S32" s="142"/>
      <c r="T32" s="142"/>
      <c r="U32" s="142"/>
      <c r="V32" s="142"/>
      <c r="W32" s="142"/>
      <c r="X32" s="142"/>
      <c r="Y32" s="142"/>
      <c r="Z32" s="142"/>
    </row>
    <row r="33" spans="1:26" ht="12.75" customHeight="1" x14ac:dyDescent="0.35">
      <c r="A33" s="142"/>
      <c r="B33" s="142"/>
      <c r="C33" s="142"/>
      <c r="D33" s="142"/>
      <c r="E33" s="305"/>
      <c r="F33" s="262"/>
      <c r="G33" s="148" t="str">
        <f>'C. FILIACION'!B24</f>
        <v>PEREZ ZAMBRANA DAYRIS CONZUELO</v>
      </c>
      <c r="H33" s="149">
        <f>'CENTRAL 2'!F25</f>
        <v>88</v>
      </c>
      <c r="I33" s="142"/>
      <c r="J33" s="142"/>
      <c r="K33" s="142"/>
      <c r="L33" s="142"/>
      <c r="M33" s="142"/>
      <c r="N33" s="142"/>
      <c r="O33" s="142"/>
      <c r="P33" s="142"/>
      <c r="Q33" s="142"/>
      <c r="R33" s="142"/>
      <c r="S33" s="142"/>
      <c r="T33" s="142"/>
      <c r="U33" s="142"/>
      <c r="V33" s="142"/>
      <c r="W33" s="142"/>
      <c r="X33" s="142"/>
      <c r="Y33" s="142"/>
      <c r="Z33" s="142"/>
    </row>
    <row r="34" spans="1:26" ht="12.75" customHeight="1" x14ac:dyDescent="0.35">
      <c r="A34" s="142"/>
      <c r="B34" s="142"/>
      <c r="C34" s="142"/>
      <c r="D34" s="142"/>
      <c r="E34" s="305"/>
      <c r="F34" s="262"/>
      <c r="G34" s="148" t="str">
        <f>'C. FILIACION'!B25</f>
        <v>QUISPAYA ENCINAS GATHERING ZAMANTHA</v>
      </c>
      <c r="H34" s="149">
        <f>'CENTRAL 2'!F26</f>
        <v>88.666666666666671</v>
      </c>
      <c r="I34" s="142"/>
      <c r="J34" s="142"/>
      <c r="K34" s="142"/>
      <c r="L34" s="142"/>
      <c r="M34" s="142"/>
      <c r="N34" s="142"/>
      <c r="O34" s="142"/>
      <c r="P34" s="142"/>
      <c r="Q34" s="142"/>
      <c r="R34" s="142"/>
      <c r="S34" s="142"/>
      <c r="T34" s="142"/>
      <c r="U34" s="142"/>
      <c r="V34" s="142"/>
      <c r="W34" s="142"/>
      <c r="X34" s="142"/>
      <c r="Y34" s="142"/>
      <c r="Z34" s="142"/>
    </row>
    <row r="35" spans="1:26" ht="12.75" customHeight="1" x14ac:dyDescent="0.35">
      <c r="A35" s="142"/>
      <c r="B35" s="142"/>
      <c r="C35" s="142"/>
      <c r="D35" s="142"/>
      <c r="E35" s="308"/>
      <c r="F35" s="262"/>
      <c r="G35" s="148" t="str">
        <f>'C. FILIACION'!B26</f>
        <v>SANDOVAL MORANGO EDGAR JORGE</v>
      </c>
      <c r="H35" s="149">
        <f>'CENTRAL 2'!F27</f>
        <v>82.666666666666671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5">
      <c r="A36" s="142"/>
      <c r="B36" s="142"/>
      <c r="C36" s="142"/>
      <c r="D36" s="142"/>
      <c r="E36" s="305"/>
      <c r="F36" s="262"/>
      <c r="G36" s="148" t="str">
        <f>'C. FILIACION'!B27</f>
        <v>SEVILLANO BALTAZAR ALEXIA LIZZY</v>
      </c>
      <c r="H36" s="149">
        <f>'CENTRAL 2'!F28</f>
        <v>82.333333333333329</v>
      </c>
      <c r="I36" s="142"/>
      <c r="J36" s="142"/>
      <c r="K36" s="142"/>
      <c r="L36" s="142"/>
      <c r="M36" s="142"/>
      <c r="N36" s="142"/>
      <c r="O36" s="142"/>
      <c r="P36" s="142"/>
      <c r="Q36" s="142"/>
      <c r="R36" s="142"/>
      <c r="S36" s="142"/>
      <c r="T36" s="142"/>
      <c r="U36" s="142"/>
      <c r="V36" s="142"/>
      <c r="W36" s="142"/>
      <c r="X36" s="142"/>
      <c r="Y36" s="142"/>
      <c r="Z36" s="142"/>
    </row>
    <row r="37" spans="1:26" ht="12.75" customHeight="1" x14ac:dyDescent="0.35">
      <c r="A37" s="142"/>
      <c r="B37" s="142"/>
      <c r="C37" s="142"/>
      <c r="D37" s="142"/>
      <c r="E37" s="305"/>
      <c r="F37" s="262"/>
      <c r="G37" s="148" t="str">
        <f>'C. FILIACION'!B28</f>
        <v>TORREZ PACO JOSE MANUEL</v>
      </c>
      <c r="H37" s="149">
        <f>'CENTRAL 2'!F29</f>
        <v>83.666666666666671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5">
      <c r="A38" s="142"/>
      <c r="B38" s="142"/>
      <c r="C38" s="142"/>
      <c r="D38" s="142"/>
      <c r="E38" s="305"/>
      <c r="F38" s="262"/>
      <c r="G38" s="148" t="str">
        <f>'C. FILIACION'!B29</f>
        <v>VELASQUEZ GUTIERREZ ALEJANDRA ANAHI</v>
      </c>
      <c r="H38" s="149">
        <f>'CENTRAL 2'!F30</f>
        <v>72.666666666666671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5">
      <c r="A39" s="142"/>
      <c r="B39" s="142"/>
      <c r="C39" s="142"/>
      <c r="D39" s="142"/>
      <c r="E39" s="305"/>
      <c r="F39" s="262"/>
      <c r="G39" s="148" t="str">
        <f>'C. FILIACION'!B30</f>
        <v>VIDEA JHENDAVIEL PAOLA</v>
      </c>
      <c r="H39" s="149">
        <f>'CENTRAL 2'!F31</f>
        <v>83.666666666666671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5">
      <c r="A40" s="142"/>
      <c r="B40" s="142"/>
      <c r="C40" s="142"/>
      <c r="D40" s="142"/>
      <c r="E40" s="305"/>
      <c r="F40" s="262"/>
      <c r="G40" s="148" t="e">
        <f>'C. FILIACION'!#REF!</f>
        <v>#REF!</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5">
      <c r="A41" s="142"/>
      <c r="B41" s="142"/>
      <c r="C41" s="142"/>
      <c r="D41" s="142"/>
      <c r="E41" s="305"/>
      <c r="F41" s="262"/>
      <c r="G41" s="148" t="str">
        <f>'C. FILIACION'!B31</f>
        <v>MIRANDA LOPEZ KRISTEL DARLYN</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5">
      <c r="A42" s="142"/>
      <c r="B42" s="142"/>
      <c r="C42" s="142"/>
      <c r="D42" s="142"/>
      <c r="E42" s="305"/>
      <c r="F42" s="262"/>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5">
      <c r="A43" s="142"/>
      <c r="B43" s="142"/>
      <c r="C43" s="142"/>
      <c r="D43" s="142"/>
      <c r="E43" s="305"/>
      <c r="F43" s="262"/>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5">
      <c r="A44" s="142"/>
      <c r="B44" s="142"/>
      <c r="C44" s="142"/>
      <c r="D44" s="142"/>
      <c r="E44" s="305"/>
      <c r="F44" s="262"/>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5">
      <c r="A45" s="142"/>
      <c r="B45" s="142"/>
      <c r="C45" s="142"/>
      <c r="D45" s="142"/>
      <c r="E45" s="305"/>
      <c r="F45" s="262"/>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5">
      <c r="A46" s="142"/>
      <c r="B46" s="142"/>
      <c r="C46" s="142"/>
      <c r="D46" s="142"/>
      <c r="E46" s="305"/>
      <c r="F46" s="262"/>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5">
      <c r="A47" s="142"/>
      <c r="B47" s="142"/>
      <c r="C47" s="142"/>
      <c r="D47" s="142"/>
      <c r="E47" s="305"/>
      <c r="F47" s="262"/>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5">
      <c r="A48" s="142"/>
      <c r="B48" s="142"/>
      <c r="C48" s="142"/>
      <c r="D48" s="142"/>
      <c r="E48" s="305"/>
      <c r="F48" s="262"/>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5">
      <c r="A49" s="142"/>
      <c r="B49" s="142"/>
      <c r="C49" s="142"/>
      <c r="D49" s="142"/>
      <c r="E49" s="305"/>
      <c r="F49" s="262"/>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5">
      <c r="A50" s="142"/>
      <c r="B50" s="142"/>
      <c r="C50" s="142"/>
      <c r="D50" s="142"/>
      <c r="E50" s="305"/>
      <c r="F50" s="262"/>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5">
      <c r="A51" s="142"/>
      <c r="B51" s="142"/>
      <c r="C51" s="142"/>
      <c r="D51" s="142"/>
      <c r="E51" s="305"/>
      <c r="F51" s="262"/>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5">
      <c r="A52" s="142"/>
      <c r="B52" s="142"/>
      <c r="C52" s="142"/>
      <c r="D52" s="142"/>
      <c r="E52" s="305"/>
      <c r="F52" s="262"/>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5">
      <c r="A53" s="142"/>
      <c r="B53" s="142"/>
      <c r="C53" s="142"/>
      <c r="D53" s="142"/>
      <c r="E53" s="305"/>
      <c r="F53" s="262"/>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5">
      <c r="A54" s="142"/>
      <c r="B54" s="142"/>
      <c r="C54" s="142"/>
      <c r="D54" s="142"/>
      <c r="E54" s="305"/>
      <c r="F54" s="262"/>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5">
      <c r="A55" s="142"/>
      <c r="B55" s="142"/>
      <c r="C55" s="142"/>
      <c r="D55" s="142"/>
      <c r="E55" s="305"/>
      <c r="F55" s="262"/>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5">
      <c r="A56" s="142"/>
      <c r="B56" s="142"/>
      <c r="C56" s="142"/>
      <c r="D56" s="142"/>
      <c r="E56" s="305"/>
      <c r="F56" s="262"/>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5">
      <c r="A57" s="142"/>
      <c r="B57" s="142"/>
      <c r="C57" s="142"/>
      <c r="D57" s="142"/>
      <c r="E57" s="305"/>
      <c r="F57" s="262"/>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5">
      <c r="A58" s="142"/>
      <c r="B58" s="142"/>
      <c r="C58" s="142"/>
      <c r="D58" s="142"/>
      <c r="E58" s="305"/>
      <c r="F58" s="262"/>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5">
      <c r="A59" s="142"/>
      <c r="B59" s="142"/>
      <c r="C59" s="142"/>
      <c r="D59" s="142"/>
      <c r="E59" s="305"/>
      <c r="F59" s="262"/>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5">
      <c r="A60" s="142"/>
      <c r="B60" s="142"/>
      <c r="C60" s="142"/>
      <c r="D60" s="142"/>
      <c r="E60" s="306"/>
      <c r="F60" s="307"/>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 Rendimiento Reducido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2021-08-13T20:29:02Z</cp:lastPrinted>
  <dcterms:created xsi:type="dcterms:W3CDTF">2020-01-23T13:58:13Z</dcterms:created>
  <dcterms:modified xsi:type="dcterms:W3CDTF">2021-08-13T20:30:15Z</dcterms:modified>
</cp:coreProperties>
</file>