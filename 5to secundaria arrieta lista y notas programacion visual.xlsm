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52253E94-DEE7-4716-A892-83C2EB50F4AE}" xr6:coauthVersionLast="47" xr6:coauthVersionMax="47" xr10:uidLastSave="{00000000-0000-0000-0000-000000000000}"/>
  <bookViews>
    <workbookView xWindow="-103" yWindow="-103" windowWidth="16663" windowHeight="9892" firstSheet="2" activeTab="6"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B11" i="4" l="1"/>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3" i="7"/>
  <c r="AE32" i="7"/>
  <c r="M32" i="9" s="1"/>
  <c r="AB32" i="7"/>
  <c r="K32" i="9" s="1"/>
  <c r="O32" i="7"/>
  <c r="B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E11" i="4"/>
  <c r="BD11" i="4"/>
  <c r="BC11" i="4"/>
  <c r="BB11" i="4"/>
  <c r="BA11" i="4"/>
  <c r="BE10" i="4"/>
  <c r="BD10" i="4"/>
  <c r="BC10" i="4"/>
  <c r="BB10" i="4"/>
  <c r="BA10" i="4"/>
  <c r="B10" i="4"/>
  <c r="BE9" i="4"/>
  <c r="BD9" i="4"/>
  <c r="BC9" i="4"/>
  <c r="BB9" i="4"/>
  <c r="BA9" i="4"/>
  <c r="B9" i="4"/>
  <c r="BE8" i="4"/>
  <c r="BD8" i="4"/>
  <c r="BC8" i="4"/>
  <c r="BB8"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43" i="7" l="1"/>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F43" i="7" l="1"/>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U40" i="9"/>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D40" i="10"/>
  <c r="AH40" i="7"/>
  <c r="AF40" i="7"/>
  <c r="C42" i="10"/>
  <c r="H42" i="9"/>
  <c r="U42" i="9" s="1"/>
  <c r="AH42" i="6"/>
  <c r="AF42" i="6"/>
  <c r="E21" i="10"/>
  <c r="T21" i="9"/>
  <c r="AH21" i="8"/>
  <c r="AF21" i="8"/>
  <c r="N24" i="9"/>
  <c r="U24" i="9" s="1"/>
  <c r="D24" i="10"/>
  <c r="AH24" i="7"/>
  <c r="AF24" i="7"/>
  <c r="D14" i="10"/>
  <c r="N14" i="9"/>
  <c r="U14" i="9" s="1"/>
  <c r="AH14" i="7"/>
  <c r="AF14" i="7"/>
  <c r="U27" i="9" l="1"/>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V27" i="9" l="1"/>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I8" i="12" l="1"/>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I11" i="12" l="1"/>
  <c r="G38" i="14"/>
</calcChain>
</file>

<file path=xl/sharedStrings.xml><?xml version="1.0" encoding="utf-8"?>
<sst xmlns="http://schemas.openxmlformats.org/spreadsheetml/2006/main" count="902" uniqueCount="187">
  <si>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</si>
  <si>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</si>
  <si>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</si>
  <si>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</si>
  <si>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</si>
  <si>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</si>
  <si>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</si>
  <si>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</si>
  <si>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</si>
  <si>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</si>
  <si>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</si>
  <si>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</si>
  <si>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</si>
  <si>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</si>
  <si>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</si>
  <si>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</si>
  <si>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</si>
  <si>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</si>
  <si>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</si>
  <si>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</si>
  <si>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</si>
  <si>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</si>
  <si>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</si>
  <si>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</si>
  <si>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</si>
  <si>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</si>
  <si>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</si>
  <si>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</si>
  <si>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</si>
  <si>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</si>
  <si>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</si>
  <si>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</si>
  <si>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</si>
  <si>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</si>
  <si>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</si>
  <si>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</si>
  <si>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</si>
  <si>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</si>
  <si>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</si>
  <si>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</si>
  <si>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</si>
  <si>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</si>
  <si>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</si>
  <si>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</si>
  <si>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</si>
  <si>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</si>
  <si>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</si>
  <si>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</si>
  <si>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</si>
  <si>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</si>
  <si>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</si>
  <si>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</si>
  <si>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</si>
  <si>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</si>
  <si>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</si>
  <si>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</si>
  <si>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</si>
  <si>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</si>
  <si>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</si>
  <si>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</si>
  <si>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</si>
  <si>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</si>
  <si>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</si>
  <si>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</si>
  <si>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</si>
  <si>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</si>
  <si>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</si>
  <si>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</si>
  <si>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</si>
  <si>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</si>
  <si>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</si>
  <si>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</si>
  <si>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</si>
  <si>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</si>
  <si>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</si>
  <si>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</si>
  <si>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</si>
  <si>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</si>
  <si>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</si>
  <si>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</si>
  <si>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</si>
  <si>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</si>
  <si>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</si>
  <si>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</si>
  <si>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</si>
  <si>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</si>
  <si>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</si>
  <si>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</si>
  <si>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</si>
  <si>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</si>
  <si>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</si>
  <si>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</si>
  <si>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</si>
  <si>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</si>
  <si>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</si>
  <si>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</si>
  <si>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</si>
  <si>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</si>
  <si>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</si>
  <si>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</si>
  <si>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</si>
  <si>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</si>
  <si>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</si>
  <si>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</si>
  <si>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</si>
  <si>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</si>
  <si>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</si>
  <si>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</si>
  <si>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</si>
  <si>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</si>
  <si>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</si>
  <si>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</si>
  <si>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</si>
  <si>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</si>
  <si>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</si>
  <si>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</si>
  <si>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</si>
  <si>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</si>
  <si>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</si>
  <si>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</si>
  <si>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</si>
  <si>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</si>
  <si>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</si>
  <si>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</si>
  <si>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</si>
  <si>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</si>
  <si>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</si>
  <si>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</si>
  <si>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</si>
  <si>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</si>
  <si>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</si>
  <si>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</si>
  <si>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</si>
  <si>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</si>
  <si>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</si>
  <si>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</si>
  <si>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</si>
  <si>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</si>
  <si>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</si>
  <si>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</si>
  <si>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</si>
  <si>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</si>
  <si>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</si>
  <si>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</si>
  <si>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</si>
  <si>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</si>
  <si>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</si>
  <si>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</si>
  <si>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</si>
  <si>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</si>
  <si>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</si>
  <si>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</si>
  <si>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</si>
  <si>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</si>
  <si>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</si>
  <si>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</si>
  <si>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</si>
  <si>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</si>
  <si>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</si>
  <si>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</si>
  <si>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</si>
  <si>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</si>
  <si>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</si>
  <si>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</si>
  <si>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</si>
  <si>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</si>
  <si>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</si>
  <si>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</si>
  <si>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</si>
  <si>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</si>
  <si>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</si>
  <si>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</si>
  <si>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</si>
  <si>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Miranada Lopez Kristel Darlyn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</si>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</sst>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9"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9"/>
      <color theme="1"/>
      <name val="Calibri"/>
      <family val="2"/>
    </font>
  </fonts>
  <fills count="1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41">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6406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64" t="s">
        <v>0</v>
      </c>
      <c r="D8" s="165"/>
      <c r="E8" s="16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7" t="s">
        <v>1</v>
      </c>
      <c r="I9" s="168"/>
      <c r="J9" s="169"/>
      <c r="K9" s="7"/>
      <c r="L9" s="1"/>
      <c r="M9" s="1"/>
      <c r="N9" s="1"/>
      <c r="O9" s="1"/>
      <c r="P9" s="1"/>
      <c r="Q9" s="1"/>
      <c r="R9" s="1"/>
      <c r="S9" s="1"/>
      <c r="T9" s="1"/>
      <c r="U9" s="1"/>
      <c r="V9" s="1"/>
      <c r="W9" s="1"/>
      <c r="X9" s="1"/>
      <c r="Y9" s="1"/>
      <c r="Z9" s="1"/>
    </row>
    <row r="10" spans="1:26" ht="20.25" x14ac:dyDescent="0.3">
      <c r="A10" s="1"/>
      <c r="B10" s="1"/>
      <c r="C10" s="1"/>
      <c r="D10" s="1"/>
      <c r="E10" s="1"/>
      <c r="F10" s="1"/>
      <c r="G10" s="6"/>
      <c r="H10" s="170"/>
      <c r="I10" s="171"/>
      <c r="J10" s="172"/>
      <c r="K10" s="7"/>
      <c r="L10" s="1"/>
      <c r="M10" s="1"/>
      <c r="N10" s="1"/>
      <c r="O10" s="1"/>
      <c r="P10" s="1"/>
      <c r="Q10" s="1"/>
      <c r="R10" s="1"/>
      <c r="S10" s="1"/>
      <c r="T10" s="1"/>
      <c r="U10" s="1"/>
      <c r="V10" s="1"/>
      <c r="W10" s="1"/>
      <c r="X10" s="1"/>
      <c r="Y10" s="1"/>
      <c r="Z10" s="1"/>
    </row>
    <row r="11" spans="1:26" ht="15" customHeight="1" x14ac:dyDescent="0.3">
      <c r="A11" s="1"/>
      <c r="B11" s="8" t="s">
        <v>2</v>
      </c>
      <c r="C11" s="161" t="s">
        <v>3</v>
      </c>
      <c r="D11" s="162"/>
      <c r="E11" s="16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73" t="s">
        <v>4</v>
      </c>
      <c r="I12" s="174"/>
      <c r="J12" s="174"/>
      <c r="K12" s="7"/>
      <c r="L12" s="1"/>
      <c r="M12" s="1"/>
      <c r="N12" s="1"/>
      <c r="O12" s="1"/>
      <c r="P12" s="1"/>
      <c r="Q12" s="1"/>
      <c r="R12" s="1"/>
      <c r="S12" s="1"/>
      <c r="T12" s="1"/>
      <c r="U12" s="1"/>
      <c r="V12" s="1"/>
      <c r="W12" s="1"/>
      <c r="X12" s="1"/>
      <c r="Y12" s="1"/>
      <c r="Z12" s="1"/>
    </row>
    <row r="13" spans="1:26" ht="20.25" x14ac:dyDescent="0.3">
      <c r="A13" s="1"/>
      <c r="B13" s="8" t="s">
        <v>5</v>
      </c>
      <c r="C13" s="161"/>
      <c r="D13" s="162"/>
      <c r="E13" s="16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61" t="s">
        <v>9</v>
      </c>
      <c r="D15" s="162"/>
      <c r="E15" s="16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75" t="s">
        <v>10</v>
      </c>
      <c r="I16" s="174"/>
      <c r="J16" s="174"/>
      <c r="K16" s="7"/>
      <c r="L16" s="1"/>
      <c r="M16" s="1"/>
      <c r="N16" s="1"/>
      <c r="O16" s="1"/>
      <c r="P16" s="1"/>
      <c r="Q16" s="1"/>
      <c r="R16" s="1"/>
      <c r="S16" s="1"/>
      <c r="T16" s="1"/>
      <c r="U16" s="1"/>
      <c r="V16" s="1"/>
      <c r="W16" s="1"/>
      <c r="X16" s="1"/>
      <c r="Y16" s="1"/>
      <c r="Z16" s="1"/>
    </row>
    <row r="17" spans="1:26" ht="20.25" x14ac:dyDescent="0.3">
      <c r="A17" s="1"/>
      <c r="B17" s="8" t="s">
        <v>11</v>
      </c>
      <c r="C17" s="161" t="s">
        <v>12</v>
      </c>
      <c r="D17" s="162"/>
      <c r="E17" s="16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61"/>
      <c r="D19" s="162"/>
      <c r="E19" s="16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61" t="s">
        <v>15</v>
      </c>
      <c r="D21" s="162"/>
      <c r="E21" s="163"/>
      <c r="F21" s="9"/>
      <c r="G21" s="6"/>
      <c r="H21" s="175" t="s">
        <v>16</v>
      </c>
      <c r="I21" s="174"/>
      <c r="J21" s="17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61" t="s">
        <v>18</v>
      </c>
      <c r="D23" s="162"/>
      <c r="E23" s="16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61"/>
      <c r="D25" s="162"/>
      <c r="E25" s="16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61">
        <v>2021</v>
      </c>
      <c r="D27" s="162"/>
      <c r="E27" s="16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1640625" defaultRowHeight="15" customHeight="1" x14ac:dyDescent="0.3"/>
  <cols>
    <col min="1" max="1" width="2" customWidth="1"/>
    <col min="2" max="2" width="23.832031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78" t="s">
        <v>21</v>
      </c>
      <c r="C2" s="174"/>
      <c r="D2" s="174"/>
      <c r="E2" s="174"/>
      <c r="F2" s="174"/>
      <c r="G2" s="174"/>
      <c r="H2" s="174"/>
      <c r="I2" s="17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6" t="str">
        <f>CARÁTULA!$C$15</f>
        <v>Instituto Tecnico Humanistico Jauzel Arrieta</v>
      </c>
      <c r="D4" s="174"/>
      <c r="E4" s="174"/>
      <c r="F4" s="22" t="s">
        <v>19</v>
      </c>
      <c r="G4" s="176">
        <f>CARÁTULA!$C$25</f>
        <v>0</v>
      </c>
      <c r="H4" s="174"/>
      <c r="I4" s="174"/>
      <c r="J4" s="19"/>
      <c r="K4" s="19"/>
      <c r="L4" s="19"/>
      <c r="M4" s="19"/>
      <c r="N4" s="19"/>
      <c r="O4" s="19"/>
      <c r="P4" s="19"/>
      <c r="Q4" s="19"/>
      <c r="R4" s="19"/>
      <c r="S4" s="19"/>
      <c r="T4" s="19"/>
      <c r="U4" s="19"/>
      <c r="V4" s="19"/>
      <c r="W4" s="19"/>
      <c r="X4" s="19"/>
      <c r="Y4" s="19"/>
      <c r="Z4" s="19"/>
    </row>
    <row r="5" spans="1:26" ht="12" customHeight="1" x14ac:dyDescent="0.3">
      <c r="A5" s="20"/>
      <c r="B5" s="21" t="s">
        <v>14</v>
      </c>
      <c r="C5" s="176" t="str">
        <f>CARÁTULA!$C$21</f>
        <v>Secundaria</v>
      </c>
      <c r="D5" s="174"/>
      <c r="E5" s="174"/>
      <c r="F5" s="22" t="s">
        <v>13</v>
      </c>
      <c r="G5" s="176">
        <f>CARÁTULA!$C$19</f>
        <v>0</v>
      </c>
      <c r="H5" s="174"/>
      <c r="I5" s="174"/>
      <c r="J5" s="19"/>
      <c r="K5" s="19"/>
      <c r="L5" s="19"/>
      <c r="M5" s="19"/>
      <c r="N5" s="19"/>
      <c r="O5" s="19"/>
      <c r="P5" s="19"/>
      <c r="Q5" s="19"/>
      <c r="R5" s="19"/>
      <c r="S5" s="19"/>
      <c r="T5" s="19"/>
      <c r="U5" s="19"/>
      <c r="V5" s="19"/>
      <c r="W5" s="19"/>
      <c r="X5" s="19"/>
      <c r="Y5" s="19"/>
      <c r="Z5" s="19"/>
    </row>
    <row r="6" spans="1:26" ht="12" customHeight="1" x14ac:dyDescent="0.3">
      <c r="A6" s="20"/>
      <c r="B6" s="21" t="s">
        <v>22</v>
      </c>
      <c r="C6" s="176" t="str">
        <f>CARÁTULA!$C$23</f>
        <v>5to de Secundaria</v>
      </c>
      <c r="D6" s="174"/>
      <c r="E6" s="174"/>
      <c r="F6" s="22" t="s">
        <v>23</v>
      </c>
      <c r="G6" s="177">
        <f ca="1">TODAY()</f>
        <v>44419</v>
      </c>
      <c r="H6" s="174"/>
      <c r="I6" s="17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v>40159</v>
      </c>
      <c r="D8" s="30">
        <f t="shared" ref="D8:D43" ca="1" si="0">TODAY()</f>
        <v>44419</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v>39569</v>
      </c>
      <c r="D9" s="30">
        <f t="shared" ca="1" si="0"/>
        <v>44419</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v>40665</v>
      </c>
      <c r="D10" s="30">
        <f t="shared" ca="1" si="0"/>
        <v>44419</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v>37014</v>
      </c>
      <c r="D11" s="30">
        <f t="shared" ca="1" si="0"/>
        <v>44419</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v>37015</v>
      </c>
      <c r="D12" s="30">
        <f t="shared" ca="1" si="0"/>
        <v>44419</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v>37016</v>
      </c>
      <c r="D13" s="30">
        <f t="shared" ca="1" si="0"/>
        <v>44419</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v>37017</v>
      </c>
      <c r="D14" s="30">
        <f t="shared" ca="1" si="0"/>
        <v>44419</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v>37018</v>
      </c>
      <c r="D15" s="30">
        <f t="shared" ca="1" si="0"/>
        <v>44419</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v>37019</v>
      </c>
      <c r="D16" s="30">
        <f t="shared" ca="1" si="0"/>
        <v>44419</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v>37020</v>
      </c>
      <c r="D17" s="30">
        <f t="shared" ca="1" si="0"/>
        <v>44419</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v>37021</v>
      </c>
      <c r="D18" s="30">
        <f t="shared" ca="1" si="0"/>
        <v>44419</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v>37022</v>
      </c>
      <c r="D19" s="30">
        <f t="shared" ca="1" si="0"/>
        <v>44419</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v>37023</v>
      </c>
      <c r="D20" s="30">
        <f t="shared" ca="1" si="0"/>
        <v>44419</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v>37024</v>
      </c>
      <c r="D21" s="30">
        <f t="shared" ca="1" si="0"/>
        <v>44419</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v>37025</v>
      </c>
      <c r="D22" s="30">
        <f t="shared" ca="1" si="0"/>
        <v>44419</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v>37026</v>
      </c>
      <c r="D23" s="30">
        <f t="shared" ca="1" si="0"/>
        <v>44419</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v>37027</v>
      </c>
      <c r="D24" s="30">
        <f t="shared" ca="1" si="0"/>
        <v>44419</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v>37028</v>
      </c>
      <c r="D25" s="30">
        <f t="shared" ca="1" si="0"/>
        <v>44419</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v>37029</v>
      </c>
      <c r="D26" s="30">
        <f t="shared" ca="1" si="0"/>
        <v>44419</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28" t="s">
        <v>51</v>
      </c>
      <c r="C27" s="35">
        <v>37030</v>
      </c>
      <c r="D27" s="30">
        <f t="shared" ca="1" si="0"/>
        <v>44419</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28" t="s">
        <v>52</v>
      </c>
      <c r="C28" s="35">
        <v>37031</v>
      </c>
      <c r="D28" s="30">
        <f t="shared" ca="1" si="0"/>
        <v>44419</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28" t="s">
        <v>53</v>
      </c>
      <c r="C29" s="35">
        <v>37032</v>
      </c>
      <c r="D29" s="30">
        <f t="shared" ca="1" si="0"/>
        <v>44419</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28" t="s">
        <v>54</v>
      </c>
      <c r="C30" s="35">
        <v>37033</v>
      </c>
      <c r="D30" s="30">
        <f t="shared" ca="1" si="0"/>
        <v>44419</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v>37034</v>
      </c>
      <c r="D31" s="30">
        <f t="shared" ca="1" si="0"/>
        <v>44419</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v>37035</v>
      </c>
      <c r="D32" s="30">
        <f t="shared" ca="1" si="0"/>
        <v>44419</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v>37036</v>
      </c>
      <c r="D33" s="30">
        <f t="shared" ca="1" si="0"/>
        <v>44419</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v>37037</v>
      </c>
      <c r="D34" s="30">
        <f t="shared" ca="1" si="0"/>
        <v>44419</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v>37038</v>
      </c>
      <c r="D35" s="30">
        <f t="shared" ca="1" si="0"/>
        <v>44419</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v>37039</v>
      </c>
      <c r="D36" s="30">
        <f t="shared" ca="1" si="0"/>
        <v>44419</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v>37040</v>
      </c>
      <c r="D37" s="30">
        <f t="shared" ca="1" si="0"/>
        <v>44419</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v>37041</v>
      </c>
      <c r="D38" s="30">
        <f t="shared" ca="1" si="0"/>
        <v>44419</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v>37042</v>
      </c>
      <c r="D39" s="30">
        <f t="shared" ca="1" si="0"/>
        <v>44419</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v>37043</v>
      </c>
      <c r="D40" s="30">
        <f t="shared" ca="1" si="0"/>
        <v>44419</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v>37044</v>
      </c>
      <c r="D41" s="30">
        <f t="shared" ca="1" si="0"/>
        <v>44419</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v>37045</v>
      </c>
      <c r="D42" s="30">
        <f t="shared" ca="1" si="0"/>
        <v>44419</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v>37046</v>
      </c>
      <c r="D43" s="30">
        <f t="shared" ca="1" si="0"/>
        <v>44419</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178" t="s">
        <v>55</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79">
        <f>CARÁTULA!$H$14</f>
        <v>44228</v>
      </c>
      <c r="AU3" s="174"/>
      <c r="AV3" s="174"/>
      <c r="AW3" s="174"/>
      <c r="AX3" s="174"/>
      <c r="AY3" s="174"/>
      <c r="AZ3" s="174"/>
      <c r="BA3" s="180" t="s">
        <v>57</v>
      </c>
      <c r="BB3" s="181"/>
      <c r="BC3" s="181"/>
      <c r="BD3" s="181"/>
      <c r="BE3" s="18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79">
        <f>CARÁTULA!$J$14</f>
        <v>44323</v>
      </c>
      <c r="AU4" s="174"/>
      <c r="AV4" s="174"/>
      <c r="AW4" s="174"/>
      <c r="AX4" s="174"/>
      <c r="AY4" s="174"/>
      <c r="AZ4" s="174"/>
      <c r="BA4" s="183">
        <f ca="1">AT4-AT5</f>
        <v>-96</v>
      </c>
      <c r="BB4" s="184"/>
      <c r="BC4" s="184"/>
      <c r="BD4" s="184"/>
      <c r="BE4" s="185"/>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189">
        <f ca="1">TODAY()</f>
        <v>44419</v>
      </c>
      <c r="Y5" s="174"/>
      <c r="Z5" s="174"/>
      <c r="AA5" s="174"/>
      <c r="AB5" s="174"/>
      <c r="AC5" s="174"/>
      <c r="AD5" s="40"/>
      <c r="AE5" s="40"/>
      <c r="AF5" s="40"/>
      <c r="AG5" s="40"/>
      <c r="AH5" s="40"/>
      <c r="AI5" s="40"/>
      <c r="AJ5" s="40"/>
      <c r="AK5" s="45" t="s">
        <v>60</v>
      </c>
      <c r="AL5" s="46"/>
      <c r="AM5" s="46"/>
      <c r="AN5" s="46"/>
      <c r="AO5" s="46"/>
      <c r="AP5" s="46"/>
      <c r="AQ5" s="46"/>
      <c r="AR5" s="40"/>
      <c r="AS5" s="40"/>
      <c r="AT5" s="190">
        <f ca="1">TODAY()</f>
        <v>44419</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
      <c r="A31" s="57">
        <v>24</v>
      </c>
      <c r="B31" s="58">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7" workbookViewId="0">
      <selection activeCell="W25" sqref="W25"/>
    </sheetView>
  </sheetViews>
  <sheetFormatPr baseColWidth="10" defaultColWidth="9.1640625" defaultRowHeight="15" customHeight="1" x14ac:dyDescent="0.3"/>
  <cols>
    <col min="1" max="1" width="1.6640625" customWidth="1"/>
    <col min="2" max="2" width="20.6640625" customWidth="1"/>
    <col min="3" max="11" width="1.25" customWidth="1"/>
    <col min="12" max="12" width="2.25" customWidth="1"/>
    <col min="13" max="52" width="1.25" customWidth="1"/>
    <col min="53" max="57" width="1.5" customWidth="1"/>
    <col min="58" max="61" width="1.6640625" customWidth="1"/>
  </cols>
  <sheetData>
    <row r="1" spans="1:61" ht="4.5" customHeight="1" x14ac:dyDescent="0.3"/>
    <row r="2" spans="1:61" ht="12.75" customHeight="1" x14ac:dyDescent="0.3">
      <c r="B2" s="178" t="s">
        <v>70</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79">
        <f>CARÁTULA!$H$19</f>
        <v>44326</v>
      </c>
      <c r="AU3" s="174"/>
      <c r="AV3" s="174"/>
      <c r="AW3" s="174"/>
      <c r="AX3" s="174"/>
      <c r="AY3" s="174"/>
      <c r="AZ3" s="174"/>
      <c r="BA3" s="180" t="s">
        <v>57</v>
      </c>
      <c r="BB3" s="181"/>
      <c r="BC3" s="181"/>
      <c r="BD3" s="181"/>
      <c r="BE3" s="18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79">
        <f>CARÁTULA!$J$19</f>
        <v>44439</v>
      </c>
      <c r="AU4" s="174"/>
      <c r="AV4" s="174"/>
      <c r="AW4" s="174"/>
      <c r="AX4" s="174"/>
      <c r="AY4" s="174"/>
      <c r="AZ4" s="174"/>
      <c r="BA4" s="191">
        <f ca="1">AT4-AT5</f>
        <v>20</v>
      </c>
      <c r="BB4" s="184"/>
      <c r="BC4" s="184"/>
      <c r="BD4" s="184"/>
      <c r="BE4" s="185"/>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192">
        <f ca="1">TODAY()</f>
        <v>44419</v>
      </c>
      <c r="Y5" s="174"/>
      <c r="Z5" s="174"/>
      <c r="AA5" s="174"/>
      <c r="AB5" s="174"/>
      <c r="AC5" s="174"/>
      <c r="AD5" s="40"/>
      <c r="AE5" s="40"/>
      <c r="AF5" s="40"/>
      <c r="AG5" s="40"/>
      <c r="AH5" s="40"/>
      <c r="AI5" s="40"/>
      <c r="AJ5" s="40"/>
      <c r="AK5" s="45" t="s">
        <v>60</v>
      </c>
      <c r="AL5" s="46"/>
      <c r="AM5" s="46"/>
      <c r="AN5" s="46"/>
      <c r="AO5" s="46"/>
      <c r="AP5" s="46"/>
      <c r="AQ5" s="46"/>
      <c r="AR5" s="40"/>
      <c r="AS5" s="40"/>
      <c r="AT5" s="190">
        <f ca="1">TODAY()</f>
        <v>44419</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3">
      <c r="A7" s="48" t="s">
        <v>61</v>
      </c>
      <c r="B7" s="49" t="s">
        <v>62</v>
      </c>
      <c r="C7" s="67"/>
      <c r="D7" s="67"/>
      <c r="E7" s="52"/>
      <c r="F7" s="52"/>
      <c r="G7" s="52"/>
      <c r="H7" s="52"/>
      <c r="I7" s="52"/>
      <c r="J7" s="52"/>
      <c r="K7" s="67">
        <v>44382</v>
      </c>
      <c r="L7" s="52"/>
      <c r="M7" s="67">
        <v>44384</v>
      </c>
      <c r="N7" s="52"/>
      <c r="O7" s="67">
        <v>44389</v>
      </c>
      <c r="P7" s="67">
        <v>44391</v>
      </c>
      <c r="Q7" s="67">
        <v>44396</v>
      </c>
      <c r="R7" s="67">
        <v>44403</v>
      </c>
      <c r="S7" s="67">
        <v>44405</v>
      </c>
      <c r="T7" s="67">
        <v>44410</v>
      </c>
      <c r="U7" s="67">
        <v>44412</v>
      </c>
      <c r="V7" s="67">
        <v>44417</v>
      </c>
      <c r="W7" s="67">
        <v>44419</v>
      </c>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71</v>
      </c>
      <c r="BB7" s="55" t="s">
        <v>72</v>
      </c>
      <c r="BC7" s="55" t="s">
        <v>73</v>
      </c>
      <c r="BD7" s="55" t="s">
        <v>74</v>
      </c>
      <c r="BE7" s="56" t="s">
        <v>67</v>
      </c>
    </row>
    <row r="8" spans="1:61" ht="12" customHeight="1" x14ac:dyDescent="0.3">
      <c r="A8" s="57">
        <v>1</v>
      </c>
      <c r="B8" s="58" t="str">
        <f>'C. FILIACION'!B8</f>
        <v>ARAMAYO CARVALLO LITZI</v>
      </c>
      <c r="C8" s="48"/>
      <c r="D8" s="48"/>
      <c r="E8" s="48"/>
      <c r="F8" s="48"/>
      <c r="G8" s="48"/>
      <c r="H8" s="48"/>
      <c r="I8" s="48"/>
      <c r="J8" s="48"/>
      <c r="K8" s="48" t="s">
        <v>68</v>
      </c>
      <c r="L8" s="48">
        <v>3.2</v>
      </c>
      <c r="M8" s="48" t="s">
        <v>68</v>
      </c>
      <c r="N8" s="48"/>
      <c r="O8" s="48" t="s">
        <v>68</v>
      </c>
      <c r="P8" s="48" t="s">
        <v>68</v>
      </c>
      <c r="Q8" s="156" t="s">
        <v>68</v>
      </c>
      <c r="R8" s="48" t="s">
        <v>68</v>
      </c>
      <c r="S8" s="48" t="s">
        <v>68</v>
      </c>
      <c r="T8" s="48" t="s">
        <v>68</v>
      </c>
      <c r="U8" s="48" t="s">
        <v>68</v>
      </c>
      <c r="V8" s="48" t="s">
        <v>68</v>
      </c>
      <c r="W8" s="48" t="s">
        <v>68</v>
      </c>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11</v>
      </c>
      <c r="BB8" s="48" t="str">
        <f t="shared" ref="BB8:BB43" si="1">IF(COUNTIF(C8:AZ8,"F")=0,"",COUNTIF(C8:AZ8,"F"))</f>
        <v/>
      </c>
      <c r="BC8" s="48" t="str">
        <f t="shared" ref="BC8:BC43" si="2">IF(COUNTIF(C8:AZ8,"R")=0,"",COUNTIF(C8:AZ8,"R"))</f>
        <v/>
      </c>
      <c r="BD8" s="48">
        <f t="shared" ref="BD8:BD43" si="3">IF(COUNTIF(C8:AZ8,"L")=0,"",COUNTIF(C8:AZ8,"L"))</f>
        <v>1</v>
      </c>
      <c r="BE8" s="62">
        <f t="shared" ref="BE8:BE43" si="4">IF(COUNTIF(C8:AZ8,"L")=0,"",COUNTIF(C8:AZ8,"L"))</f>
        <v>1</v>
      </c>
    </row>
    <row r="9" spans="1:61" ht="12" customHeight="1" x14ac:dyDescent="0.3">
      <c r="A9" s="57">
        <v>2</v>
      </c>
      <c r="B9" s="58" t="str">
        <f>'C. FILIACION'!B9</f>
        <v>BLANCO SALVATIERRA LIZETH BRIGIDA</v>
      </c>
      <c r="C9" s="48"/>
      <c r="D9" s="48"/>
      <c r="E9" s="48"/>
      <c r="F9" s="48"/>
      <c r="G9" s="48"/>
      <c r="H9" s="48"/>
      <c r="I9" s="48"/>
      <c r="J9" s="48"/>
      <c r="K9" s="48" t="s">
        <v>68</v>
      </c>
      <c r="L9" s="48">
        <v>3.4</v>
      </c>
      <c r="M9" s="48" t="s">
        <v>68</v>
      </c>
      <c r="N9" s="48">
        <v>2</v>
      </c>
      <c r="O9" s="48" t="s">
        <v>68</v>
      </c>
      <c r="P9" s="48" t="s">
        <v>68</v>
      </c>
      <c r="Q9" s="156" t="s">
        <v>68</v>
      </c>
      <c r="R9" s="48" t="s">
        <v>68</v>
      </c>
      <c r="S9" s="48" t="s">
        <v>68</v>
      </c>
      <c r="T9" s="48" t="s">
        <v>68</v>
      </c>
      <c r="U9" s="48" t="s">
        <v>68</v>
      </c>
      <c r="V9" s="48" t="s">
        <v>68</v>
      </c>
      <c r="W9" s="48" t="s">
        <v>68</v>
      </c>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11</v>
      </c>
      <c r="BB9" s="48" t="str">
        <f t="shared" si="1"/>
        <v/>
      </c>
      <c r="BC9" s="48" t="str">
        <f t="shared" si="2"/>
        <v/>
      </c>
      <c r="BD9" s="48" t="str">
        <f t="shared" si="3"/>
        <v/>
      </c>
      <c r="BE9" s="62" t="str">
        <f t="shared" si="4"/>
        <v/>
      </c>
    </row>
    <row r="10" spans="1:61" ht="12" customHeight="1" x14ac:dyDescent="0.3">
      <c r="A10" s="57">
        <v>3</v>
      </c>
      <c r="B10" s="58" t="str">
        <f>'C. FILIACION'!B10</f>
        <v>GARCIA FAUCA NIELS HAMILTON</v>
      </c>
      <c r="C10" s="48"/>
      <c r="D10" s="48"/>
      <c r="E10" s="48"/>
      <c r="F10" s="48"/>
      <c r="G10" s="48"/>
      <c r="H10" s="48"/>
      <c r="I10" s="48"/>
      <c r="J10" s="48"/>
      <c r="K10" s="48" t="s">
        <v>68</v>
      </c>
      <c r="L10" s="48">
        <v>1.3</v>
      </c>
      <c r="M10" s="156" t="s">
        <v>68</v>
      </c>
      <c r="N10" s="48">
        <v>2</v>
      </c>
      <c r="O10" s="48" t="s">
        <v>174</v>
      </c>
      <c r="P10" s="48" t="s">
        <v>68</v>
      </c>
      <c r="Q10" s="156" t="s">
        <v>68</v>
      </c>
      <c r="R10" s="48" t="s">
        <v>68</v>
      </c>
      <c r="S10" s="48" t="s">
        <v>68</v>
      </c>
      <c r="T10" s="48" t="s">
        <v>68</v>
      </c>
      <c r="U10" s="48" t="s">
        <v>68</v>
      </c>
      <c r="V10" s="48" t="s">
        <v>68</v>
      </c>
      <c r="W10" s="48" t="s">
        <v>69</v>
      </c>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9</v>
      </c>
      <c r="BB10" s="48">
        <f t="shared" si="1"/>
        <v>1</v>
      </c>
      <c r="BC10" s="48">
        <f t="shared" si="2"/>
        <v>1</v>
      </c>
      <c r="BD10" s="48" t="str">
        <f t="shared" si="3"/>
        <v/>
      </c>
      <c r="BE10" s="62" t="str">
        <f t="shared" si="4"/>
        <v/>
      </c>
    </row>
    <row r="11" spans="1:61" ht="12" customHeight="1" x14ac:dyDescent="0.3">
      <c r="A11" s="57">
        <v>4</v>
      </c>
      <c r="B11" s="58" t="str">
        <f>'C. FILIACION'!B11</f>
        <v>GOITIA VEIZAN MORGAN CRISTHIAN</v>
      </c>
      <c r="C11" s="48"/>
      <c r="D11" s="48"/>
      <c r="E11" s="48"/>
      <c r="F11" s="48"/>
      <c r="G11" s="48"/>
      <c r="H11" s="48"/>
      <c r="I11" s="48"/>
      <c r="J11" s="48"/>
      <c r="K11" s="48" t="s">
        <v>68</v>
      </c>
      <c r="L11" s="48">
        <v>3.4</v>
      </c>
      <c r="M11" s="48" t="s">
        <v>68</v>
      </c>
      <c r="N11" s="48">
        <v>1</v>
      </c>
      <c r="O11" s="48" t="s">
        <v>174</v>
      </c>
      <c r="P11" s="48" t="s">
        <v>68</v>
      </c>
      <c r="Q11" s="156" t="s">
        <v>68</v>
      </c>
      <c r="R11" s="48" t="s">
        <v>69</v>
      </c>
      <c r="S11" s="48" t="s">
        <v>174</v>
      </c>
      <c r="T11" s="48" t="s">
        <v>68</v>
      </c>
      <c r="U11" s="48" t="s">
        <v>68</v>
      </c>
      <c r="V11" s="48" t="s">
        <v>68</v>
      </c>
      <c r="W11" s="48" t="s">
        <v>68</v>
      </c>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8</v>
      </c>
      <c r="BB11" s="48">
        <f t="shared" si="1"/>
        <v>1</v>
      </c>
      <c r="BC11" s="48">
        <f t="shared" si="2"/>
        <v>2</v>
      </c>
      <c r="BD11" s="48" t="str">
        <f t="shared" si="3"/>
        <v/>
      </c>
      <c r="BE11" s="62" t="str">
        <f t="shared" si="4"/>
        <v/>
      </c>
    </row>
    <row r="12" spans="1:61" ht="12" customHeight="1" x14ac:dyDescent="0.3">
      <c r="A12" s="57">
        <v>5</v>
      </c>
      <c r="B12" s="58" t="str">
        <f>'C. FILIACION'!B12</f>
        <v>GOMEZ LUCANA ALISON NAYR</v>
      </c>
      <c r="C12" s="48"/>
      <c r="D12" s="48"/>
      <c r="E12" s="48"/>
      <c r="F12" s="48"/>
      <c r="G12" s="48"/>
      <c r="H12" s="48"/>
      <c r="I12" s="48"/>
      <c r="J12" s="48"/>
      <c r="K12" s="48" t="s">
        <v>68</v>
      </c>
      <c r="L12" s="48">
        <v>1.3</v>
      </c>
      <c r="M12" s="48" t="s">
        <v>68</v>
      </c>
      <c r="N12" s="48"/>
      <c r="O12" s="48" t="s">
        <v>69</v>
      </c>
      <c r="P12" s="48" t="s">
        <v>68</v>
      </c>
      <c r="Q12" s="48" t="s">
        <v>69</v>
      </c>
      <c r="R12" s="48" t="s">
        <v>69</v>
      </c>
      <c r="S12" s="48" t="s">
        <v>68</v>
      </c>
      <c r="T12" s="48" t="s">
        <v>174</v>
      </c>
      <c r="U12" s="48" t="s">
        <v>68</v>
      </c>
      <c r="V12" s="48" t="s">
        <v>68</v>
      </c>
      <c r="W12" s="48" t="s">
        <v>69</v>
      </c>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6</v>
      </c>
      <c r="BB12" s="48">
        <f t="shared" si="1"/>
        <v>4</v>
      </c>
      <c r="BC12" s="48">
        <f t="shared" si="2"/>
        <v>1</v>
      </c>
      <c r="BD12" s="48" t="str">
        <f t="shared" si="3"/>
        <v/>
      </c>
      <c r="BE12" s="62" t="str">
        <f t="shared" si="4"/>
        <v/>
      </c>
    </row>
    <row r="13" spans="1:61" ht="12" customHeight="1" x14ac:dyDescent="0.3">
      <c r="A13" s="57">
        <v>6</v>
      </c>
      <c r="B13" s="58" t="str">
        <f>'C. FILIACION'!B13</f>
        <v>GUTIERREZ ALVAREZ ALEX BEYMAR</v>
      </c>
      <c r="C13" s="48"/>
      <c r="D13" s="48"/>
      <c r="E13" s="48"/>
      <c r="F13" s="48"/>
      <c r="G13" s="48"/>
      <c r="H13" s="48"/>
      <c r="I13" s="48"/>
      <c r="J13" s="48"/>
      <c r="K13" s="48" t="s">
        <v>68</v>
      </c>
      <c r="L13" s="48"/>
      <c r="M13" s="48" t="s">
        <v>68</v>
      </c>
      <c r="N13" s="48"/>
      <c r="O13" s="48" t="s">
        <v>68</v>
      </c>
      <c r="P13" s="48" t="s">
        <v>68</v>
      </c>
      <c r="Q13" s="156" t="s">
        <v>68</v>
      </c>
      <c r="R13" s="48" t="s">
        <v>68</v>
      </c>
      <c r="S13" s="48" t="s">
        <v>68</v>
      </c>
      <c r="T13" s="48" t="s">
        <v>68</v>
      </c>
      <c r="U13" s="48" t="s">
        <v>68</v>
      </c>
      <c r="V13" s="48" t="s">
        <v>68</v>
      </c>
      <c r="W13" s="48" t="s">
        <v>68</v>
      </c>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11</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48"/>
      <c r="D14" s="48"/>
      <c r="E14" s="48"/>
      <c r="F14" s="48"/>
      <c r="G14" s="48"/>
      <c r="H14" s="48"/>
      <c r="I14" s="48"/>
      <c r="J14" s="48"/>
      <c r="K14" s="48" t="s">
        <v>68</v>
      </c>
      <c r="L14" s="48">
        <v>3.4</v>
      </c>
      <c r="M14" s="48" t="s">
        <v>68</v>
      </c>
      <c r="N14" s="48">
        <v>2</v>
      </c>
      <c r="O14" s="48" t="s">
        <v>68</v>
      </c>
      <c r="P14" s="48" t="s">
        <v>68</v>
      </c>
      <c r="Q14" s="156" t="s">
        <v>68</v>
      </c>
      <c r="R14" s="48" t="s">
        <v>68</v>
      </c>
      <c r="S14" s="48" t="s">
        <v>68</v>
      </c>
      <c r="T14" s="48" t="s">
        <v>68</v>
      </c>
      <c r="U14" s="48" t="s">
        <v>68</v>
      </c>
      <c r="V14" s="48" t="s">
        <v>68</v>
      </c>
      <c r="W14" s="48" t="s">
        <v>68</v>
      </c>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11</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48"/>
      <c r="D15" s="48"/>
      <c r="E15" s="48"/>
      <c r="F15" s="48"/>
      <c r="G15" s="48"/>
      <c r="H15" s="48"/>
      <c r="I15" s="48"/>
      <c r="J15" s="48"/>
      <c r="K15" s="48" t="s">
        <v>68</v>
      </c>
      <c r="L15" s="48">
        <v>3.4</v>
      </c>
      <c r="M15" s="48" t="s">
        <v>68</v>
      </c>
      <c r="N15" s="48"/>
      <c r="O15" s="48" t="s">
        <v>68</v>
      </c>
      <c r="P15" s="48" t="s">
        <v>68</v>
      </c>
      <c r="Q15" s="48" t="s">
        <v>69</v>
      </c>
      <c r="R15" s="48" t="s">
        <v>68</v>
      </c>
      <c r="S15" s="48" t="s">
        <v>68</v>
      </c>
      <c r="T15" s="48" t="s">
        <v>68</v>
      </c>
      <c r="U15" s="48" t="s">
        <v>174</v>
      </c>
      <c r="V15" s="48" t="s">
        <v>68</v>
      </c>
      <c r="W15" s="48" t="s">
        <v>68</v>
      </c>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9</v>
      </c>
      <c r="BB15" s="48">
        <f t="shared" si="1"/>
        <v>1</v>
      </c>
      <c r="BC15" s="48">
        <f t="shared" si="2"/>
        <v>1</v>
      </c>
      <c r="BD15" s="48" t="str">
        <f t="shared" si="3"/>
        <v/>
      </c>
      <c r="BE15" s="62" t="str">
        <f t="shared" si="4"/>
        <v/>
      </c>
    </row>
    <row r="16" spans="1:61" ht="12" customHeight="1" x14ac:dyDescent="0.3">
      <c r="A16" s="57">
        <v>9</v>
      </c>
      <c r="B16" s="58" t="str">
        <f>'C. FILIACION'!B16</f>
        <v>MAMANI VASQUEZ FRANZ DARWIN</v>
      </c>
      <c r="C16" s="48"/>
      <c r="D16" s="48"/>
      <c r="E16" s="48"/>
      <c r="F16" s="48"/>
      <c r="G16" s="48"/>
      <c r="H16" s="48"/>
      <c r="I16" s="48"/>
      <c r="J16" s="48"/>
      <c r="K16" s="48" t="s">
        <v>68</v>
      </c>
      <c r="L16" s="48">
        <v>3.4</v>
      </c>
      <c r="M16" s="48" t="s">
        <v>68</v>
      </c>
      <c r="N16" s="48">
        <v>2</v>
      </c>
      <c r="O16" s="48" t="s">
        <v>68</v>
      </c>
      <c r="P16" s="48" t="s">
        <v>68</v>
      </c>
      <c r="Q16" s="156" t="s">
        <v>68</v>
      </c>
      <c r="R16" s="48" t="s">
        <v>68</v>
      </c>
      <c r="S16" s="48" t="s">
        <v>68</v>
      </c>
      <c r="T16" s="48" t="s">
        <v>68</v>
      </c>
      <c r="U16" s="48" t="s">
        <v>68</v>
      </c>
      <c r="V16" s="48" t="s">
        <v>68</v>
      </c>
      <c r="W16" s="48" t="s">
        <v>68</v>
      </c>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11</v>
      </c>
      <c r="BB16" s="48" t="str">
        <f t="shared" si="1"/>
        <v/>
      </c>
      <c r="BC16" s="48" t="str">
        <f t="shared" si="2"/>
        <v/>
      </c>
      <c r="BD16" s="48" t="str">
        <f t="shared" si="3"/>
        <v/>
      </c>
      <c r="BE16" s="62" t="str">
        <f t="shared" si="4"/>
        <v/>
      </c>
    </row>
    <row r="17" spans="1:57" ht="12" customHeight="1" x14ac:dyDescent="0.3">
      <c r="A17" s="57">
        <v>10</v>
      </c>
      <c r="B17" s="58" t="str">
        <f>'C. FILIACION'!B17</f>
        <v>MARTINEZ MAMANI JORGE ARMANDO</v>
      </c>
      <c r="C17" s="48"/>
      <c r="D17" s="48"/>
      <c r="E17" s="48"/>
      <c r="F17" s="48"/>
      <c r="G17" s="48"/>
      <c r="H17" s="48"/>
      <c r="I17" s="48"/>
      <c r="J17" s="48"/>
      <c r="K17" s="48" t="s">
        <v>68</v>
      </c>
      <c r="L17" s="48">
        <v>3.4</v>
      </c>
      <c r="M17" s="48" t="s">
        <v>68</v>
      </c>
      <c r="N17" s="48">
        <v>2</v>
      </c>
      <c r="O17" s="48" t="s">
        <v>68</v>
      </c>
      <c r="P17" s="48" t="s">
        <v>69</v>
      </c>
      <c r="Q17" s="156" t="s">
        <v>68</v>
      </c>
      <c r="R17" s="48" t="s">
        <v>68</v>
      </c>
      <c r="S17" s="48" t="s">
        <v>68</v>
      </c>
      <c r="T17" s="48" t="s">
        <v>68</v>
      </c>
      <c r="U17" s="48" t="s">
        <v>174</v>
      </c>
      <c r="V17" s="48" t="s">
        <v>68</v>
      </c>
      <c r="W17" s="48" t="s">
        <v>68</v>
      </c>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9</v>
      </c>
      <c r="BB17" s="48">
        <f t="shared" si="1"/>
        <v>1</v>
      </c>
      <c r="BC17" s="48">
        <f t="shared" si="2"/>
        <v>1</v>
      </c>
      <c r="BD17" s="48" t="str">
        <f t="shared" si="3"/>
        <v/>
      </c>
      <c r="BE17" s="62" t="str">
        <f t="shared" si="4"/>
        <v/>
      </c>
    </row>
    <row r="18" spans="1:57" ht="12" customHeight="1" x14ac:dyDescent="0.3">
      <c r="A18" s="57">
        <v>11</v>
      </c>
      <c r="B18" s="58" t="str">
        <f>'C. FILIACION'!B18</f>
        <v>MEDINA PEREIRA GABRIEL LEANDRO</v>
      </c>
      <c r="C18" s="48"/>
      <c r="D18" s="48"/>
      <c r="E18" s="48"/>
      <c r="F18" s="48"/>
      <c r="G18" s="48"/>
      <c r="H18" s="48"/>
      <c r="I18" s="48"/>
      <c r="J18" s="48"/>
      <c r="K18" s="48" t="s">
        <v>69</v>
      </c>
      <c r="L18" s="48"/>
      <c r="M18" s="48" t="s">
        <v>68</v>
      </c>
      <c r="N18" s="48">
        <v>2</v>
      </c>
      <c r="O18" s="48" t="s">
        <v>68</v>
      </c>
      <c r="P18" s="48" t="s">
        <v>68</v>
      </c>
      <c r="Q18" s="156" t="s">
        <v>68</v>
      </c>
      <c r="R18" s="48" t="s">
        <v>68</v>
      </c>
      <c r="S18" s="48" t="s">
        <v>69</v>
      </c>
      <c r="T18" s="48" t="s">
        <v>69</v>
      </c>
      <c r="U18" s="48" t="s">
        <v>69</v>
      </c>
      <c r="V18" s="48" t="s">
        <v>68</v>
      </c>
      <c r="W18" s="48" t="s">
        <v>68</v>
      </c>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7</v>
      </c>
      <c r="BB18" s="48">
        <f t="shared" si="1"/>
        <v>4</v>
      </c>
      <c r="BC18" s="48" t="str">
        <f t="shared" si="2"/>
        <v/>
      </c>
      <c r="BD18" s="48" t="str">
        <f t="shared" si="3"/>
        <v/>
      </c>
      <c r="BE18" s="62" t="str">
        <f t="shared" si="4"/>
        <v/>
      </c>
    </row>
    <row r="19" spans="1:57" ht="12" customHeight="1" x14ac:dyDescent="0.3">
      <c r="A19" s="57">
        <v>12</v>
      </c>
      <c r="B19" s="58" t="str">
        <f>'C. FILIACION'!B19</f>
        <v>MEDINA PEREIRA YULIANA</v>
      </c>
      <c r="C19" s="48"/>
      <c r="D19" s="48"/>
      <c r="E19" s="48"/>
      <c r="F19" s="48"/>
      <c r="G19" s="48"/>
      <c r="H19" s="48"/>
      <c r="I19" s="48"/>
      <c r="J19" s="48"/>
      <c r="K19" s="48" t="s">
        <v>68</v>
      </c>
      <c r="L19" s="48"/>
      <c r="M19" s="48" t="s">
        <v>68</v>
      </c>
      <c r="N19" s="48">
        <v>2</v>
      </c>
      <c r="O19" s="48" t="s">
        <v>68</v>
      </c>
      <c r="P19" s="48" t="s">
        <v>68</v>
      </c>
      <c r="Q19" s="156" t="s">
        <v>68</v>
      </c>
      <c r="R19" s="48" t="s">
        <v>68</v>
      </c>
      <c r="S19" s="48" t="s">
        <v>69</v>
      </c>
      <c r="T19" s="48" t="s">
        <v>69</v>
      </c>
      <c r="U19" s="48" t="s">
        <v>69</v>
      </c>
      <c r="V19" s="48" t="s">
        <v>68</v>
      </c>
      <c r="W19" s="48" t="s">
        <v>68</v>
      </c>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8</v>
      </c>
      <c r="BB19" s="48">
        <f t="shared" si="1"/>
        <v>3</v>
      </c>
      <c r="BC19" s="48" t="str">
        <f t="shared" si="2"/>
        <v/>
      </c>
      <c r="BD19" s="48" t="str">
        <f t="shared" si="3"/>
        <v/>
      </c>
      <c r="BE19" s="62" t="str">
        <f t="shared" si="4"/>
        <v/>
      </c>
    </row>
    <row r="20" spans="1:57" ht="12" customHeight="1" x14ac:dyDescent="0.3">
      <c r="A20" s="57">
        <v>13</v>
      </c>
      <c r="B20" s="58" t="str">
        <f>'C. FILIACION'!B20</f>
        <v>MORALES BERNABEL JULETH CHANTAL</v>
      </c>
      <c r="C20" s="48"/>
      <c r="D20" s="48"/>
      <c r="E20" s="48"/>
      <c r="F20" s="48"/>
      <c r="G20" s="48"/>
      <c r="H20" s="48"/>
      <c r="I20" s="48"/>
      <c r="J20" s="48"/>
      <c r="K20" s="48" t="s">
        <v>68</v>
      </c>
      <c r="L20" s="48">
        <v>3.4</v>
      </c>
      <c r="M20" s="48" t="s">
        <v>68</v>
      </c>
      <c r="N20" s="48">
        <v>2</v>
      </c>
      <c r="O20" s="48"/>
      <c r="P20" s="48" t="s">
        <v>68</v>
      </c>
      <c r="Q20" s="156" t="s">
        <v>68</v>
      </c>
      <c r="R20" s="48" t="s">
        <v>68</v>
      </c>
      <c r="S20" s="48" t="s">
        <v>68</v>
      </c>
      <c r="T20" s="48" t="s">
        <v>68</v>
      </c>
      <c r="U20" s="48" t="s">
        <v>68</v>
      </c>
      <c r="V20" s="48" t="s">
        <v>68</v>
      </c>
      <c r="W20" s="48" t="s">
        <v>68</v>
      </c>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10</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48"/>
      <c r="D21" s="48"/>
      <c r="E21" s="48"/>
      <c r="F21" s="48"/>
      <c r="G21" s="48"/>
      <c r="H21" s="48"/>
      <c r="I21" s="48"/>
      <c r="J21" s="48"/>
      <c r="K21" s="48"/>
      <c r="L21" s="48"/>
      <c r="M21" s="48" t="s">
        <v>68</v>
      </c>
      <c r="N21" s="48"/>
      <c r="O21" s="48" t="s">
        <v>174</v>
      </c>
      <c r="P21" s="48" t="s">
        <v>68</v>
      </c>
      <c r="Q21" s="156" t="s">
        <v>175</v>
      </c>
      <c r="R21" s="48" t="s">
        <v>68</v>
      </c>
      <c r="S21" s="48" t="s">
        <v>68</v>
      </c>
      <c r="T21" s="48" t="s">
        <v>68</v>
      </c>
      <c r="U21" s="48" t="s">
        <v>68</v>
      </c>
      <c r="V21" s="48" t="s">
        <v>68</v>
      </c>
      <c r="W21" s="48" t="s">
        <v>68</v>
      </c>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8</v>
      </c>
      <c r="BB21" s="48" t="str">
        <f t="shared" si="1"/>
        <v/>
      </c>
      <c r="BC21" s="48">
        <f t="shared" si="2"/>
        <v>1</v>
      </c>
      <c r="BD21" s="48">
        <f t="shared" si="3"/>
        <v>1</v>
      </c>
      <c r="BE21" s="62">
        <f t="shared" si="4"/>
        <v>1</v>
      </c>
    </row>
    <row r="22" spans="1:57" ht="12" customHeight="1" x14ac:dyDescent="0.3">
      <c r="A22" s="57">
        <v>15</v>
      </c>
      <c r="B22" s="154" t="str">
        <f>'C. FILIACION'!B22</f>
        <v>PAHUASI HUAYTA LUZ ADRIANA</v>
      </c>
      <c r="C22" s="155"/>
      <c r="D22" s="155"/>
      <c r="E22" s="155"/>
      <c r="F22" s="155"/>
      <c r="G22" s="155"/>
      <c r="H22" s="155"/>
      <c r="I22" s="155"/>
      <c r="J22" s="155"/>
      <c r="K22" s="155"/>
      <c r="L22" s="155"/>
      <c r="M22" s="155"/>
      <c r="N22" s="155"/>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48"/>
      <c r="D23" s="48"/>
      <c r="E23" s="48"/>
      <c r="F23" s="48"/>
      <c r="G23" s="48"/>
      <c r="H23" s="48"/>
      <c r="I23" s="48"/>
      <c r="J23" s="48"/>
      <c r="K23" s="48" t="s">
        <v>68</v>
      </c>
      <c r="L23" s="48"/>
      <c r="M23" s="48" t="s">
        <v>68</v>
      </c>
      <c r="N23" s="48"/>
      <c r="O23" s="48" t="s">
        <v>68</v>
      </c>
      <c r="P23" s="48" t="s">
        <v>68</v>
      </c>
      <c r="Q23" s="156" t="s">
        <v>68</v>
      </c>
      <c r="R23" s="48" t="s">
        <v>68</v>
      </c>
      <c r="S23" s="48" t="s">
        <v>68</v>
      </c>
      <c r="T23" s="48" t="s">
        <v>68</v>
      </c>
      <c r="U23" s="48" t="s">
        <v>68</v>
      </c>
      <c r="V23" s="48" t="s">
        <v>68</v>
      </c>
      <c r="W23" s="48" t="s">
        <v>68</v>
      </c>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11</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48"/>
      <c r="D24" s="48"/>
      <c r="E24" s="48"/>
      <c r="F24" s="48"/>
      <c r="G24" s="48"/>
      <c r="H24" s="48"/>
      <c r="I24" s="48"/>
      <c r="J24" s="48"/>
      <c r="K24" s="48" t="s">
        <v>68</v>
      </c>
      <c r="L24" s="48"/>
      <c r="M24" s="48" t="s">
        <v>68</v>
      </c>
      <c r="N24" s="48"/>
      <c r="O24" s="48" t="s">
        <v>68</v>
      </c>
      <c r="P24" s="48" t="s">
        <v>68</v>
      </c>
      <c r="Q24" s="156" t="s">
        <v>68</v>
      </c>
      <c r="R24" s="48" t="s">
        <v>68</v>
      </c>
      <c r="S24" s="48" t="s">
        <v>68</v>
      </c>
      <c r="T24" s="48" t="s">
        <v>68</v>
      </c>
      <c r="U24" s="48" t="s">
        <v>68</v>
      </c>
      <c r="V24" s="48" t="s">
        <v>68</v>
      </c>
      <c r="W24" s="48" t="s">
        <v>68</v>
      </c>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11</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48"/>
      <c r="D25" s="48"/>
      <c r="E25" s="48"/>
      <c r="F25" s="48"/>
      <c r="G25" s="48"/>
      <c r="H25" s="48"/>
      <c r="I25" s="48"/>
      <c r="J25" s="48"/>
      <c r="K25" s="48" t="s">
        <v>68</v>
      </c>
      <c r="L25" s="48"/>
      <c r="M25" s="48" t="s">
        <v>68</v>
      </c>
      <c r="N25" s="48"/>
      <c r="O25" s="48" t="s">
        <v>68</v>
      </c>
      <c r="P25" s="48" t="s">
        <v>68</v>
      </c>
      <c r="Q25" s="156" t="s">
        <v>68</v>
      </c>
      <c r="R25" s="48" t="s">
        <v>68</v>
      </c>
      <c r="S25" s="48" t="s">
        <v>68</v>
      </c>
      <c r="T25" s="48" t="s">
        <v>68</v>
      </c>
      <c r="U25" s="48" t="s">
        <v>68</v>
      </c>
      <c r="V25" s="48" t="s">
        <v>68</v>
      </c>
      <c r="W25" s="48" t="s">
        <v>174</v>
      </c>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10</v>
      </c>
      <c r="BB25" s="48" t="str">
        <f t="shared" si="1"/>
        <v/>
      </c>
      <c r="BC25" s="48">
        <f t="shared" si="2"/>
        <v>1</v>
      </c>
      <c r="BD25" s="48" t="str">
        <f t="shared" si="3"/>
        <v/>
      </c>
      <c r="BE25" s="62" t="str">
        <f t="shared" si="4"/>
        <v/>
      </c>
    </row>
    <row r="26" spans="1:57" ht="12" customHeight="1" x14ac:dyDescent="0.3">
      <c r="A26" s="57">
        <v>19</v>
      </c>
      <c r="B26" s="58" t="str">
        <f>'C. FILIACION'!B26</f>
        <v>SANDOVAL MORANGO EDGAR JORGE</v>
      </c>
      <c r="C26" s="48"/>
      <c r="D26" s="48"/>
      <c r="E26" s="48"/>
      <c r="F26" s="48"/>
      <c r="G26" s="48"/>
      <c r="H26" s="48"/>
      <c r="I26" s="48"/>
      <c r="J26" s="48"/>
      <c r="K26" s="48" t="s">
        <v>68</v>
      </c>
      <c r="L26" s="48"/>
      <c r="M26" s="48" t="s">
        <v>68</v>
      </c>
      <c r="N26" s="48"/>
      <c r="O26" s="48"/>
      <c r="P26" s="48" t="s">
        <v>68</v>
      </c>
      <c r="Q26" s="156" t="s">
        <v>68</v>
      </c>
      <c r="R26" s="48" t="s">
        <v>68</v>
      </c>
      <c r="S26" s="48" t="s">
        <v>68</v>
      </c>
      <c r="T26" s="48" t="s">
        <v>68</v>
      </c>
      <c r="U26" s="48" t="s">
        <v>68</v>
      </c>
      <c r="V26" s="48" t="s">
        <v>68</v>
      </c>
      <c r="W26" s="48" t="s">
        <v>68</v>
      </c>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10</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48"/>
      <c r="D27" s="48"/>
      <c r="E27" s="48"/>
      <c r="F27" s="48"/>
      <c r="G27" s="48"/>
      <c r="H27" s="48"/>
      <c r="I27" s="48"/>
      <c r="J27" s="48"/>
      <c r="K27" s="48" t="s">
        <v>68</v>
      </c>
      <c r="L27" s="48"/>
      <c r="M27" s="48" t="s">
        <v>68</v>
      </c>
      <c r="N27" s="48"/>
      <c r="O27" s="48" t="s">
        <v>68</v>
      </c>
      <c r="P27" s="48" t="s">
        <v>68</v>
      </c>
      <c r="Q27" s="156" t="s">
        <v>68</v>
      </c>
      <c r="R27" s="48" t="s">
        <v>68</v>
      </c>
      <c r="S27" s="48" t="s">
        <v>68</v>
      </c>
      <c r="T27" s="48" t="s">
        <v>68</v>
      </c>
      <c r="U27" s="48" t="s">
        <v>68</v>
      </c>
      <c r="V27" s="48" t="s">
        <v>68</v>
      </c>
      <c r="W27" s="48" t="s">
        <v>68</v>
      </c>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11</v>
      </c>
      <c r="BB27" s="48" t="str">
        <f t="shared" si="1"/>
        <v/>
      </c>
      <c r="BC27" s="48" t="str">
        <f t="shared" si="2"/>
        <v/>
      </c>
      <c r="BD27" s="48" t="str">
        <f t="shared" si="3"/>
        <v/>
      </c>
      <c r="BE27" s="62" t="str">
        <f t="shared" si="4"/>
        <v/>
      </c>
    </row>
    <row r="28" spans="1:57" ht="12" customHeight="1" x14ac:dyDescent="0.3">
      <c r="A28" s="57">
        <v>21</v>
      </c>
      <c r="B28" s="58" t="str">
        <f>'C. FILIACION'!B28</f>
        <v>TORREZ PACO JOSE MANUEL</v>
      </c>
      <c r="C28" s="48"/>
      <c r="D28" s="48"/>
      <c r="E28" s="48"/>
      <c r="F28" s="48"/>
      <c r="G28" s="48"/>
      <c r="H28" s="48"/>
      <c r="I28" s="48"/>
      <c r="J28" s="48"/>
      <c r="K28" s="48" t="s">
        <v>68</v>
      </c>
      <c r="L28" s="48"/>
      <c r="M28" s="48" t="s">
        <v>68</v>
      </c>
      <c r="N28" s="48"/>
      <c r="O28" s="48" t="s">
        <v>68</v>
      </c>
      <c r="P28" s="48" t="s">
        <v>68</v>
      </c>
      <c r="Q28" s="156" t="s">
        <v>68</v>
      </c>
      <c r="R28" s="48" t="s">
        <v>68</v>
      </c>
      <c r="S28" s="48" t="s">
        <v>68</v>
      </c>
      <c r="T28" s="48" t="s">
        <v>69</v>
      </c>
      <c r="U28" s="48" t="s">
        <v>174</v>
      </c>
      <c r="V28" s="48" t="s">
        <v>68</v>
      </c>
      <c r="W28" s="48" t="s">
        <v>68</v>
      </c>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9</v>
      </c>
      <c r="BB28" s="48">
        <f t="shared" si="1"/>
        <v>1</v>
      </c>
      <c r="BC28" s="48">
        <f t="shared" si="2"/>
        <v>1</v>
      </c>
      <c r="BD28" s="48" t="str">
        <f t="shared" si="3"/>
        <v/>
      </c>
      <c r="BE28" s="62" t="str">
        <f t="shared" si="4"/>
        <v/>
      </c>
    </row>
    <row r="29" spans="1:57" ht="12" customHeight="1" x14ac:dyDescent="0.3">
      <c r="A29" s="57">
        <v>22</v>
      </c>
      <c r="B29" s="154" t="str">
        <f>'C. FILIACION'!B29</f>
        <v>VELASQUEZ GUTIERREZ ALEJANDRA ANAHI</v>
      </c>
      <c r="C29" s="155"/>
      <c r="D29" s="155"/>
      <c r="E29" s="155"/>
      <c r="F29" s="155"/>
      <c r="G29" s="155"/>
      <c r="H29" s="155"/>
      <c r="I29" s="155"/>
      <c r="J29" s="155"/>
      <c r="K29" s="155" t="s">
        <v>68</v>
      </c>
      <c r="L29" s="155"/>
      <c r="M29" s="155"/>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1</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48"/>
      <c r="D30" s="48"/>
      <c r="E30" s="48"/>
      <c r="F30" s="48"/>
      <c r="G30" s="48"/>
      <c r="H30" s="48"/>
      <c r="I30" s="48"/>
      <c r="J30" s="48"/>
      <c r="K30" s="48" t="s">
        <v>68</v>
      </c>
      <c r="L30" s="48"/>
      <c r="M30" s="48" t="s">
        <v>68</v>
      </c>
      <c r="N30" s="48"/>
      <c r="O30" s="48" t="s">
        <v>68</v>
      </c>
      <c r="P30" s="48" t="s">
        <v>68</v>
      </c>
      <c r="Q30" s="156" t="s">
        <v>68</v>
      </c>
      <c r="R30" s="48" t="s">
        <v>68</v>
      </c>
      <c r="S30" s="48" t="s">
        <v>174</v>
      </c>
      <c r="T30" s="48" t="s">
        <v>68</v>
      </c>
      <c r="U30" s="48" t="s">
        <v>68</v>
      </c>
      <c r="V30" s="48" t="s">
        <v>68</v>
      </c>
      <c r="W30" s="48" t="s">
        <v>68</v>
      </c>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10</v>
      </c>
      <c r="BB30" s="48" t="str">
        <f t="shared" si="1"/>
        <v/>
      </c>
      <c r="BC30" s="48">
        <f t="shared" si="2"/>
        <v>1</v>
      </c>
      <c r="BD30" s="48" t="str">
        <f t="shared" si="3"/>
        <v/>
      </c>
      <c r="BE30" s="62" t="str">
        <f t="shared" si="4"/>
        <v/>
      </c>
    </row>
    <row r="31" spans="1:57" ht="12" customHeight="1" x14ac:dyDescent="0.3">
      <c r="A31" s="57">
        <v>24</v>
      </c>
      <c r="B31" s="58" t="s">
        <v>173</v>
      </c>
      <c r="C31" s="48"/>
      <c r="D31" s="48"/>
      <c r="E31" s="48"/>
      <c r="F31" s="48"/>
      <c r="G31" s="48"/>
      <c r="H31" s="48"/>
      <c r="I31" s="48"/>
      <c r="J31" s="48"/>
      <c r="K31" s="48" t="s">
        <v>68</v>
      </c>
      <c r="L31" s="48"/>
      <c r="M31" s="48"/>
      <c r="N31" s="48"/>
      <c r="O31" s="48" t="s">
        <v>68</v>
      </c>
      <c r="P31" s="48" t="s">
        <v>68</v>
      </c>
      <c r="Q31" s="156" t="s">
        <v>68</v>
      </c>
      <c r="R31" s="48" t="s">
        <v>69</v>
      </c>
      <c r="S31" s="48" t="s">
        <v>174</v>
      </c>
      <c r="T31" s="48" t="s">
        <v>174</v>
      </c>
      <c r="U31" s="48" t="s">
        <v>68</v>
      </c>
      <c r="V31" s="48" t="s">
        <v>69</v>
      </c>
      <c r="W31" s="48" t="s">
        <v>69</v>
      </c>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f t="shared" si="0"/>
        <v>5</v>
      </c>
      <c r="BB31" s="48">
        <f t="shared" si="1"/>
        <v>3</v>
      </c>
      <c r="BC31" s="48">
        <f t="shared" si="2"/>
        <v>2</v>
      </c>
      <c r="BD31" s="48" t="str">
        <f t="shared" si="3"/>
        <v/>
      </c>
      <c r="BE31" s="62" t="str">
        <f t="shared" si="4"/>
        <v/>
      </c>
    </row>
    <row r="32" spans="1:57" ht="12" customHeight="1" x14ac:dyDescent="0.3">
      <c r="A32" s="57">
        <v>25</v>
      </c>
      <c r="B32" s="58">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178" t="s">
        <v>79</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79">
        <f>CARÁTULA!$H$24</f>
        <v>44440</v>
      </c>
      <c r="AU3" s="174"/>
      <c r="AV3" s="174"/>
      <c r="AW3" s="174"/>
      <c r="AX3" s="174"/>
      <c r="AY3" s="174"/>
      <c r="AZ3" s="174"/>
      <c r="BA3" s="193"/>
      <c r="BB3" s="174"/>
      <c r="BC3" s="174"/>
      <c r="BD3" s="174"/>
      <c r="BE3" s="17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79">
        <f>CARÁTULA!$J$24</f>
        <v>44531</v>
      </c>
      <c r="AU4" s="174"/>
      <c r="AV4" s="174"/>
      <c r="AW4" s="174"/>
      <c r="AX4" s="174"/>
      <c r="AY4" s="174"/>
      <c r="AZ4" s="174"/>
      <c r="BA4" s="194">
        <f ca="1">AT4-AT5</f>
        <v>112</v>
      </c>
      <c r="BB4" s="184"/>
      <c r="BC4" s="184"/>
      <c r="BD4" s="184"/>
      <c r="BE4" s="185"/>
    </row>
    <row r="5" spans="1:61" ht="12.75" customHeight="1" x14ac:dyDescent="0.3">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192">
        <f ca="1">TODAY()</f>
        <v>44419</v>
      </c>
      <c r="Y5" s="174"/>
      <c r="Z5" s="174"/>
      <c r="AA5" s="174"/>
      <c r="AB5" s="174"/>
      <c r="AC5" s="174"/>
      <c r="AD5" s="40"/>
      <c r="AE5" s="40"/>
      <c r="AF5" s="40"/>
      <c r="AG5" s="40"/>
      <c r="AH5" s="40"/>
      <c r="AI5" s="40"/>
      <c r="AJ5" s="40"/>
      <c r="AK5" s="45" t="s">
        <v>60</v>
      </c>
      <c r="AL5" s="46"/>
      <c r="AM5" s="46"/>
      <c r="AN5" s="46"/>
      <c r="AO5" s="46"/>
      <c r="AP5" s="46"/>
      <c r="AQ5" s="46"/>
      <c r="AR5" s="40"/>
      <c r="AS5" s="40"/>
      <c r="AT5" s="190">
        <f ca="1">TODAY()</f>
        <v>44419</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3">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3">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3">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3">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3">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3">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3">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3">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3">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3">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3">
      <c r="A31" s="57">
        <v>24</v>
      </c>
      <c r="B31" s="58">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00" t="s">
        <v>84</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198" t="s">
        <v>56</v>
      </c>
      <c r="AD3" s="196"/>
      <c r="AE3" s="196"/>
      <c r="AF3" s="196"/>
      <c r="AG3" s="196"/>
      <c r="AH3" s="197"/>
      <c r="AI3" s="192">
        <f>CARÁTULA!$H$14</f>
        <v>44228</v>
      </c>
      <c r="AJ3" s="174"/>
      <c r="AK3" s="174"/>
      <c r="AL3" s="174"/>
      <c r="AM3" s="174"/>
      <c r="AN3" s="201" t="s">
        <v>57</v>
      </c>
      <c r="AO3" s="165"/>
      <c r="AP3" s="165"/>
      <c r="AQ3" s="165"/>
      <c r="AR3" s="166"/>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198" t="s">
        <v>59</v>
      </c>
      <c r="AD4" s="196"/>
      <c r="AE4" s="196"/>
      <c r="AF4" s="196"/>
      <c r="AG4" s="196"/>
      <c r="AH4" s="197"/>
      <c r="AI4" s="192">
        <f>CARÁTULA!$J$14</f>
        <v>44323</v>
      </c>
      <c r="AJ4" s="174"/>
      <c r="AK4" s="174"/>
      <c r="AL4" s="174"/>
      <c r="AM4" s="174"/>
      <c r="AN4" s="194">
        <f ca="1">AI4-AI5</f>
        <v>-96</v>
      </c>
      <c r="AO4" s="184"/>
      <c r="AP4" s="184"/>
      <c r="AQ4" s="184"/>
      <c r="AR4" s="185"/>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06">
        <f ca="1">TODAY()</f>
        <v>44419</v>
      </c>
      <c r="T5" s="165"/>
      <c r="U5" s="165"/>
      <c r="V5" s="165"/>
      <c r="W5" s="165"/>
      <c r="X5" s="165"/>
      <c r="Y5" s="165"/>
      <c r="Z5" s="165"/>
      <c r="AA5" s="166"/>
      <c r="AB5" s="74"/>
      <c r="AC5" s="199" t="s">
        <v>60</v>
      </c>
      <c r="AD5" s="196"/>
      <c r="AE5" s="196"/>
      <c r="AF5" s="196"/>
      <c r="AG5" s="196"/>
      <c r="AH5" s="197"/>
      <c r="AI5" s="202">
        <f ca="1">TODAY()</f>
        <v>44419</v>
      </c>
      <c r="AJ5" s="174"/>
      <c r="AK5" s="174"/>
      <c r="AL5" s="174"/>
      <c r="AM5" s="174"/>
      <c r="AN5" s="186"/>
      <c r="AO5" s="187"/>
      <c r="AP5" s="187"/>
      <c r="AQ5" s="187"/>
      <c r="AR5" s="188"/>
    </row>
    <row r="6" spans="1:48" ht="12.75" customHeight="1" x14ac:dyDescent="0.35">
      <c r="A6" s="69"/>
      <c r="B6" s="72"/>
      <c r="C6" s="180" t="s">
        <v>85</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86</v>
      </c>
      <c r="AC6" s="196"/>
      <c r="AD6" s="196"/>
      <c r="AE6" s="197"/>
      <c r="AF6" s="78"/>
      <c r="AG6" s="79"/>
      <c r="AH6" s="79"/>
      <c r="AI6" s="80"/>
      <c r="AJ6" s="81"/>
      <c r="AK6" s="81"/>
      <c r="AL6" s="81"/>
      <c r="AM6" s="81"/>
      <c r="AN6" s="82"/>
      <c r="AO6" s="82"/>
      <c r="AP6" s="82"/>
      <c r="AQ6" s="82"/>
      <c r="AR6" s="82"/>
    </row>
    <row r="7" spans="1:48" ht="12" customHeight="1" x14ac:dyDescent="0.35">
      <c r="A7" s="69"/>
      <c r="B7" s="83"/>
      <c r="C7" s="208" t="s">
        <v>87</v>
      </c>
      <c r="D7" s="209" t="s">
        <v>88</v>
      </c>
      <c r="E7" s="196"/>
      <c r="F7" s="196"/>
      <c r="G7" s="196"/>
      <c r="H7" s="196"/>
      <c r="I7" s="196"/>
      <c r="J7" s="196"/>
      <c r="K7" s="196"/>
      <c r="L7" s="196"/>
      <c r="M7" s="196"/>
      <c r="N7" s="196"/>
      <c r="O7" s="205" t="s">
        <v>89</v>
      </c>
      <c r="P7" s="209" t="s">
        <v>90</v>
      </c>
      <c r="Q7" s="196"/>
      <c r="R7" s="196"/>
      <c r="S7" s="196"/>
      <c r="T7" s="196"/>
      <c r="U7" s="196"/>
      <c r="V7" s="196"/>
      <c r="W7" s="196"/>
      <c r="X7" s="196"/>
      <c r="Y7" s="196"/>
      <c r="Z7" s="196"/>
      <c r="AA7" s="203" t="s">
        <v>91</v>
      </c>
      <c r="AB7" s="205" t="s">
        <v>89</v>
      </c>
      <c r="AC7" s="203" t="s">
        <v>92</v>
      </c>
      <c r="AD7" s="203" t="s">
        <v>93</v>
      </c>
      <c r="AE7" s="205" t="s">
        <v>89</v>
      </c>
      <c r="AF7" s="210" t="s">
        <v>94</v>
      </c>
      <c r="AG7" s="211" t="s">
        <v>95</v>
      </c>
      <c r="AH7" s="212" t="s">
        <v>96</v>
      </c>
      <c r="AI7" s="181"/>
      <c r="AJ7" s="181"/>
      <c r="AK7" s="181"/>
      <c r="AL7" s="181"/>
      <c r="AM7" s="182"/>
      <c r="AN7" s="84"/>
      <c r="AO7" s="74"/>
      <c r="AP7" s="74"/>
      <c r="AQ7" s="74"/>
      <c r="AR7" s="69"/>
    </row>
    <row r="8" spans="1:48" ht="158.25" x14ac:dyDescent="0.3">
      <c r="A8" s="48" t="s">
        <v>61</v>
      </c>
      <c r="B8" s="49" t="s">
        <v>62</v>
      </c>
      <c r="C8" s="204"/>
      <c r="D8" s="85" t="s">
        <v>97</v>
      </c>
      <c r="E8" s="85" t="s">
        <v>98</v>
      </c>
      <c r="F8" s="52"/>
      <c r="G8" s="52"/>
      <c r="H8" s="52"/>
      <c r="I8" s="52"/>
      <c r="J8" s="52"/>
      <c r="K8" s="52"/>
      <c r="L8" s="52"/>
      <c r="M8" s="52"/>
      <c r="N8" s="53"/>
      <c r="O8" s="204"/>
      <c r="P8" s="85" t="s">
        <v>99</v>
      </c>
      <c r="Q8" s="85" t="s">
        <v>100</v>
      </c>
      <c r="R8" s="52"/>
      <c r="S8" s="52"/>
      <c r="T8" s="52"/>
      <c r="U8" s="52"/>
      <c r="V8" s="52"/>
      <c r="W8" s="52"/>
      <c r="X8" s="52"/>
      <c r="Y8" s="52"/>
      <c r="Z8" s="52"/>
      <c r="AA8" s="204"/>
      <c r="AB8" s="204"/>
      <c r="AC8" s="204"/>
      <c r="AD8" s="204"/>
      <c r="AE8" s="204"/>
      <c r="AF8" s="204"/>
      <c r="AG8" s="204"/>
      <c r="AH8" s="213"/>
      <c r="AI8" s="214"/>
      <c r="AJ8" s="214"/>
      <c r="AK8" s="214"/>
      <c r="AL8" s="214"/>
      <c r="AM8" s="215"/>
      <c r="AN8" s="86"/>
      <c r="AO8" s="86"/>
      <c r="AP8" s="86"/>
      <c r="AQ8" s="86"/>
      <c r="AR8" s="87"/>
    </row>
    <row r="9" spans="1:48" ht="12" customHeight="1" x14ac:dyDescent="0.3">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195" t="str">
        <f t="shared" ref="AH9:AH44" si="5">IF(AG9="","",(IF(AND(AG9&gt;=1,AG9&lt;=50.499),"REPROBADO",IF(AND(AG9&gt;=50.5,AG9&lt;=100),"APROBADO"))))</f>
        <v>APROBADO</v>
      </c>
      <c r="AI9" s="196"/>
      <c r="AJ9" s="196"/>
      <c r="AK9" s="196"/>
      <c r="AL9" s="196"/>
      <c r="AM9" s="197"/>
      <c r="AN9" s="93" t="s">
        <v>101</v>
      </c>
      <c r="AO9" s="216">
        <f>COUNTIF(AF9:AF44,"ED")</f>
        <v>0</v>
      </c>
      <c r="AP9" s="197"/>
      <c r="AQ9" s="94"/>
      <c r="AR9" s="94"/>
    </row>
    <row r="10" spans="1:48" ht="12" customHeight="1" x14ac:dyDescent="0.3">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195" t="str">
        <f t="shared" si="5"/>
        <v>APROBADO</v>
      </c>
      <c r="AI10" s="196"/>
      <c r="AJ10" s="196"/>
      <c r="AK10" s="196"/>
      <c r="AL10" s="196"/>
      <c r="AM10" s="197"/>
      <c r="AN10" s="48" t="s">
        <v>102</v>
      </c>
      <c r="AO10" s="216">
        <f>COUNTIF(AF9:AF44,"DA")</f>
        <v>0</v>
      </c>
      <c r="AP10" s="197"/>
      <c r="AQ10" s="94"/>
      <c r="AR10" s="94"/>
    </row>
    <row r="11" spans="1:48" ht="12" customHeight="1" x14ac:dyDescent="0.3">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195" t="str">
        <f t="shared" si="5"/>
        <v>APROBADO</v>
      </c>
      <c r="AI11" s="196"/>
      <c r="AJ11" s="196"/>
      <c r="AK11" s="196"/>
      <c r="AL11" s="196"/>
      <c r="AM11" s="197"/>
      <c r="AN11" s="48" t="s">
        <v>103</v>
      </c>
      <c r="AO11" s="216">
        <f>COUNTIF(AF9:AF44,"DO")</f>
        <v>1</v>
      </c>
      <c r="AP11" s="197"/>
      <c r="AQ11" s="94"/>
      <c r="AR11" s="94"/>
    </row>
    <row r="12" spans="1:48" ht="12" customHeight="1" x14ac:dyDescent="0.3">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195" t="str">
        <f t="shared" si="5"/>
        <v>APROBADO</v>
      </c>
      <c r="AI12" s="196"/>
      <c r="AJ12" s="196"/>
      <c r="AK12" s="196"/>
      <c r="AL12" s="196"/>
      <c r="AM12" s="197"/>
      <c r="AN12" s="48" t="s">
        <v>104</v>
      </c>
      <c r="AO12" s="216">
        <f>COUNTIF(AF9:AF44,"DP")</f>
        <v>35</v>
      </c>
      <c r="AP12" s="197"/>
      <c r="AQ12" s="94"/>
      <c r="AR12" s="94"/>
    </row>
    <row r="13" spans="1:48" ht="12" customHeight="1" x14ac:dyDescent="0.3">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195" t="str">
        <f t="shared" si="5"/>
        <v>APROBADO</v>
      </c>
      <c r="AI13" s="196"/>
      <c r="AJ13" s="196"/>
      <c r="AK13" s="196"/>
      <c r="AL13" s="196"/>
      <c r="AM13" s="197"/>
      <c r="AN13" s="94"/>
      <c r="AO13" s="94"/>
      <c r="AP13" s="94"/>
      <c r="AQ13" s="94"/>
      <c r="AR13" s="94"/>
    </row>
    <row r="14" spans="1:48" ht="12" customHeight="1" x14ac:dyDescent="0.3">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195" t="str">
        <f t="shared" si="5"/>
        <v>APROBADO</v>
      </c>
      <c r="AI14" s="196"/>
      <c r="AJ14" s="196"/>
      <c r="AK14" s="196"/>
      <c r="AL14" s="196"/>
      <c r="AM14" s="197"/>
      <c r="AN14" s="94"/>
      <c r="AO14" s="94"/>
      <c r="AP14" s="94"/>
      <c r="AQ14" s="94"/>
      <c r="AR14" s="94"/>
    </row>
    <row r="15" spans="1:48" ht="12" customHeight="1" x14ac:dyDescent="0.3">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195" t="str">
        <f t="shared" si="5"/>
        <v>APROBADO</v>
      </c>
      <c r="AI15" s="196"/>
      <c r="AJ15" s="196"/>
      <c r="AK15" s="196"/>
      <c r="AL15" s="196"/>
      <c r="AM15" s="197"/>
      <c r="AN15" s="94"/>
      <c r="AO15" s="94"/>
      <c r="AP15" s="94"/>
      <c r="AQ15" s="94"/>
      <c r="AR15" s="94"/>
    </row>
    <row r="16" spans="1:48" ht="12" customHeight="1" x14ac:dyDescent="0.3">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195" t="str">
        <f t="shared" si="5"/>
        <v>APROBADO</v>
      </c>
      <c r="AI16" s="196"/>
      <c r="AJ16" s="196"/>
      <c r="AK16" s="196"/>
      <c r="AL16" s="196"/>
      <c r="AM16" s="197"/>
      <c r="AN16" s="94"/>
      <c r="AO16" s="94"/>
      <c r="AP16" s="94"/>
      <c r="AQ16" s="94"/>
      <c r="AR16" s="94"/>
    </row>
    <row r="17" spans="1:44" ht="12" customHeight="1" x14ac:dyDescent="0.3">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195" t="str">
        <f t="shared" si="5"/>
        <v>APROBADO</v>
      </c>
      <c r="AI17" s="196"/>
      <c r="AJ17" s="196"/>
      <c r="AK17" s="196"/>
      <c r="AL17" s="196"/>
      <c r="AM17" s="197"/>
      <c r="AN17" s="94"/>
      <c r="AO17" s="94"/>
      <c r="AP17" s="94"/>
      <c r="AQ17" s="94"/>
      <c r="AR17" s="94"/>
    </row>
    <row r="18" spans="1:44" ht="12" customHeight="1" x14ac:dyDescent="0.3">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195" t="str">
        <f t="shared" si="5"/>
        <v>APROBADO</v>
      </c>
      <c r="AI18" s="196"/>
      <c r="AJ18" s="196"/>
      <c r="AK18" s="196"/>
      <c r="AL18" s="196"/>
      <c r="AM18" s="197"/>
      <c r="AN18" s="94"/>
      <c r="AO18" s="94"/>
      <c r="AP18" s="94"/>
      <c r="AQ18" s="94"/>
      <c r="AR18" s="94"/>
    </row>
    <row r="19" spans="1:44" ht="12" customHeight="1" x14ac:dyDescent="0.3">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195" t="str">
        <f t="shared" si="5"/>
        <v>APROBADO</v>
      </c>
      <c r="AI19" s="196"/>
      <c r="AJ19" s="196"/>
      <c r="AK19" s="196"/>
      <c r="AL19" s="196"/>
      <c r="AM19" s="197"/>
      <c r="AN19" s="94"/>
      <c r="AO19" s="94"/>
      <c r="AP19" s="94"/>
      <c r="AQ19" s="94"/>
      <c r="AR19" s="94"/>
    </row>
    <row r="20" spans="1:44" ht="12" customHeight="1" x14ac:dyDescent="0.3">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195" t="str">
        <f t="shared" si="5"/>
        <v>APROBADO</v>
      </c>
      <c r="AI20" s="196"/>
      <c r="AJ20" s="196"/>
      <c r="AK20" s="196"/>
      <c r="AL20" s="196"/>
      <c r="AM20" s="197"/>
      <c r="AN20" s="94"/>
      <c r="AO20" s="94"/>
      <c r="AP20" s="94"/>
      <c r="AQ20" s="94"/>
      <c r="AR20" s="94"/>
    </row>
    <row r="21" spans="1:44" ht="12" customHeight="1" x14ac:dyDescent="0.3">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195" t="str">
        <f t="shared" si="5"/>
        <v>APROBADO</v>
      </c>
      <c r="AI21" s="196"/>
      <c r="AJ21" s="196"/>
      <c r="AK21" s="196"/>
      <c r="AL21" s="196"/>
      <c r="AM21" s="197"/>
      <c r="AN21" s="94"/>
      <c r="AO21" s="94"/>
      <c r="AP21" s="94"/>
      <c r="AQ21" s="94"/>
      <c r="AR21" s="94"/>
    </row>
    <row r="22" spans="1:44" ht="12" customHeight="1" x14ac:dyDescent="0.3">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195" t="str">
        <f t="shared" si="5"/>
        <v>APROBADO</v>
      </c>
      <c r="AI22" s="196"/>
      <c r="AJ22" s="196"/>
      <c r="AK22" s="196"/>
      <c r="AL22" s="196"/>
      <c r="AM22" s="197"/>
      <c r="AN22" s="94"/>
      <c r="AO22" s="94"/>
      <c r="AP22" s="94"/>
      <c r="AQ22" s="94"/>
      <c r="AR22" s="94"/>
    </row>
    <row r="23" spans="1:44" ht="12" customHeight="1" x14ac:dyDescent="0.3">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195" t="str">
        <f t="shared" si="5"/>
        <v>APROBADO</v>
      </c>
      <c r="AI23" s="196"/>
      <c r="AJ23" s="196"/>
      <c r="AK23" s="196"/>
      <c r="AL23" s="196"/>
      <c r="AM23" s="197"/>
      <c r="AN23" s="94"/>
      <c r="AO23" s="94"/>
      <c r="AP23" s="94"/>
      <c r="AQ23" s="94"/>
      <c r="AR23" s="94"/>
    </row>
    <row r="24" spans="1:44" ht="12" customHeight="1" x14ac:dyDescent="0.3">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195" t="str">
        <f t="shared" si="5"/>
        <v>APROBADO</v>
      </c>
      <c r="AI24" s="196"/>
      <c r="AJ24" s="196"/>
      <c r="AK24" s="196"/>
      <c r="AL24" s="196"/>
      <c r="AM24" s="197"/>
      <c r="AN24" s="94"/>
      <c r="AO24" s="94"/>
      <c r="AP24" s="94"/>
      <c r="AQ24" s="94"/>
      <c r="AR24" s="94"/>
    </row>
    <row r="25" spans="1:44" ht="12" customHeight="1" x14ac:dyDescent="0.3">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195" t="str">
        <f t="shared" si="5"/>
        <v>APROBADO</v>
      </c>
      <c r="AI25" s="196"/>
      <c r="AJ25" s="196"/>
      <c r="AK25" s="196"/>
      <c r="AL25" s="196"/>
      <c r="AM25" s="197"/>
      <c r="AN25" s="94"/>
      <c r="AO25" s="94"/>
      <c r="AP25" s="94"/>
      <c r="AQ25" s="94"/>
      <c r="AR25" s="94"/>
    </row>
    <row r="26" spans="1:44" ht="12" customHeight="1" x14ac:dyDescent="0.3">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195" t="str">
        <f t="shared" si="5"/>
        <v>APROBADO</v>
      </c>
      <c r="AI26" s="196"/>
      <c r="AJ26" s="196"/>
      <c r="AK26" s="196"/>
      <c r="AL26" s="196"/>
      <c r="AM26" s="197"/>
      <c r="AN26" s="94"/>
      <c r="AO26" s="94"/>
      <c r="AP26" s="94"/>
      <c r="AQ26" s="94"/>
      <c r="AR26" s="94"/>
    </row>
    <row r="27" spans="1:44" ht="12" customHeight="1" x14ac:dyDescent="0.3">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195" t="str">
        <f t="shared" si="5"/>
        <v>APROBADO</v>
      </c>
      <c r="AI27" s="196"/>
      <c r="AJ27" s="196"/>
      <c r="AK27" s="196"/>
      <c r="AL27" s="196"/>
      <c r="AM27" s="197"/>
      <c r="AN27" s="94"/>
      <c r="AO27" s="94"/>
      <c r="AP27" s="94"/>
      <c r="AQ27" s="94"/>
      <c r="AR27" s="94"/>
    </row>
    <row r="28" spans="1:44" ht="12" customHeight="1" x14ac:dyDescent="0.3">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195" t="str">
        <f t="shared" si="5"/>
        <v>APROBADO</v>
      </c>
      <c r="AI28" s="196"/>
      <c r="AJ28" s="196"/>
      <c r="AK28" s="196"/>
      <c r="AL28" s="196"/>
      <c r="AM28" s="197"/>
      <c r="AN28" s="94"/>
      <c r="AO28" s="94"/>
      <c r="AP28" s="94"/>
      <c r="AQ28" s="94"/>
      <c r="AR28" s="94"/>
    </row>
    <row r="29" spans="1:44" ht="12" customHeight="1" x14ac:dyDescent="0.3">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195" t="str">
        <f t="shared" si="5"/>
        <v>APROBADO</v>
      </c>
      <c r="AI29" s="196"/>
      <c r="AJ29" s="196"/>
      <c r="AK29" s="196"/>
      <c r="AL29" s="196"/>
      <c r="AM29" s="197"/>
      <c r="AN29" s="94"/>
      <c r="AO29" s="94"/>
      <c r="AP29" s="94"/>
      <c r="AQ29" s="94"/>
      <c r="AR29" s="94"/>
    </row>
    <row r="30" spans="1:44" ht="12" customHeight="1" x14ac:dyDescent="0.3">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195" t="str">
        <f t="shared" si="5"/>
        <v>APROBADO</v>
      </c>
      <c r="AI30" s="196"/>
      <c r="AJ30" s="196"/>
      <c r="AK30" s="196"/>
      <c r="AL30" s="196"/>
      <c r="AM30" s="197"/>
      <c r="AN30" s="94"/>
      <c r="AO30" s="94"/>
      <c r="AP30" s="94"/>
      <c r="AQ30" s="94"/>
      <c r="AR30" s="94"/>
    </row>
    <row r="31" spans="1:44" ht="12" customHeight="1" x14ac:dyDescent="0.3">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195" t="str">
        <f t="shared" si="5"/>
        <v>APROBADO</v>
      </c>
      <c r="AI31" s="196"/>
      <c r="AJ31" s="196"/>
      <c r="AK31" s="196"/>
      <c r="AL31" s="196"/>
      <c r="AM31" s="197"/>
      <c r="AN31" s="94"/>
      <c r="AO31" s="94"/>
      <c r="AP31" s="94"/>
      <c r="AQ31" s="94"/>
      <c r="AR31" s="94"/>
    </row>
    <row r="32" spans="1:44" ht="12" customHeight="1" x14ac:dyDescent="0.3">
      <c r="A32" s="57">
        <v>24</v>
      </c>
      <c r="B32" s="88">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5" t="str">
        <f t="shared" si="5"/>
        <v>APROBADO</v>
      </c>
      <c r="AI32" s="196"/>
      <c r="AJ32" s="196"/>
      <c r="AK32" s="196"/>
      <c r="AL32" s="196"/>
      <c r="AM32" s="197"/>
      <c r="AN32" s="94"/>
      <c r="AO32" s="94"/>
      <c r="AP32" s="94"/>
      <c r="AQ32" s="94"/>
      <c r="AR32" s="94"/>
    </row>
    <row r="33" spans="1:44" ht="12" customHeight="1" x14ac:dyDescent="0.3">
      <c r="A33" s="57">
        <v>25</v>
      </c>
      <c r="B33" s="88">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5" t="str">
        <f t="shared" si="5"/>
        <v>APROBADO</v>
      </c>
      <c r="AI33" s="196"/>
      <c r="AJ33" s="196"/>
      <c r="AK33" s="196"/>
      <c r="AL33" s="196"/>
      <c r="AM33" s="197"/>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5" t="str">
        <f t="shared" si="5"/>
        <v>APROBADO</v>
      </c>
      <c r="AI34" s="196"/>
      <c r="AJ34" s="196"/>
      <c r="AK34" s="196"/>
      <c r="AL34" s="196"/>
      <c r="AM34" s="197"/>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5" t="str">
        <f t="shared" si="5"/>
        <v>APROBADO</v>
      </c>
      <c r="AI35" s="196"/>
      <c r="AJ35" s="196"/>
      <c r="AK35" s="196"/>
      <c r="AL35" s="196"/>
      <c r="AM35" s="197"/>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5" t="str">
        <f t="shared" si="5"/>
        <v>APROBADO</v>
      </c>
      <c r="AI36" s="196"/>
      <c r="AJ36" s="196"/>
      <c r="AK36" s="196"/>
      <c r="AL36" s="196"/>
      <c r="AM36" s="197"/>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5" t="str">
        <f t="shared" si="5"/>
        <v>APROBADO</v>
      </c>
      <c r="AI37" s="196"/>
      <c r="AJ37" s="196"/>
      <c r="AK37" s="196"/>
      <c r="AL37" s="196"/>
      <c r="AM37" s="197"/>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5" t="str">
        <f t="shared" si="5"/>
        <v>APROBADO</v>
      </c>
      <c r="AI38" s="196"/>
      <c r="AJ38" s="196"/>
      <c r="AK38" s="196"/>
      <c r="AL38" s="196"/>
      <c r="AM38" s="197"/>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5" t="str">
        <f t="shared" si="5"/>
        <v>APROBADO</v>
      </c>
      <c r="AI39" s="196"/>
      <c r="AJ39" s="196"/>
      <c r="AK39" s="196"/>
      <c r="AL39" s="196"/>
      <c r="AM39" s="197"/>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5" t="str">
        <f t="shared" si="5"/>
        <v>APROBADO</v>
      </c>
      <c r="AI40" s="196"/>
      <c r="AJ40" s="196"/>
      <c r="AK40" s="196"/>
      <c r="AL40" s="196"/>
      <c r="AM40" s="197"/>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5" t="str">
        <f t="shared" si="5"/>
        <v>APROBADO</v>
      </c>
      <c r="AI41" s="196"/>
      <c r="AJ41" s="196"/>
      <c r="AK41" s="196"/>
      <c r="AL41" s="196"/>
      <c r="AM41" s="197"/>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5" t="str">
        <f t="shared" si="5"/>
        <v>APROBADO</v>
      </c>
      <c r="AI42" s="196"/>
      <c r="AJ42" s="196"/>
      <c r="AK42" s="196"/>
      <c r="AL42" s="196"/>
      <c r="AM42" s="197"/>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5" t="str">
        <f t="shared" si="5"/>
        <v>APROBADO</v>
      </c>
      <c r="AI43" s="196"/>
      <c r="AJ43" s="196"/>
      <c r="AK43" s="196"/>
      <c r="AL43" s="196"/>
      <c r="AM43" s="197"/>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5" t="str">
        <f t="shared" si="5"/>
        <v>APROBADO</v>
      </c>
      <c r="AI44" s="196"/>
      <c r="AJ44" s="196"/>
      <c r="AK44" s="196"/>
      <c r="AL44" s="196"/>
      <c r="AM44" s="197"/>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7" zoomScale="89" zoomScaleNormal="89" workbookViewId="0">
      <selection activeCell="H14" sqref="H14"/>
    </sheetView>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00" t="s">
        <v>105</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198" t="s">
        <v>56</v>
      </c>
      <c r="AD3" s="196"/>
      <c r="AE3" s="196"/>
      <c r="AF3" s="196"/>
      <c r="AG3" s="196"/>
      <c r="AH3" s="197"/>
      <c r="AI3" s="192">
        <f>CARÁTULA!$H$19</f>
        <v>44326</v>
      </c>
      <c r="AJ3" s="174"/>
      <c r="AK3" s="174"/>
      <c r="AL3" s="174"/>
      <c r="AM3" s="174"/>
      <c r="AN3" s="201" t="s">
        <v>57</v>
      </c>
      <c r="AO3" s="165"/>
      <c r="AP3" s="165"/>
      <c r="AQ3" s="165"/>
      <c r="AR3" s="166"/>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198" t="s">
        <v>59</v>
      </c>
      <c r="AD4" s="196"/>
      <c r="AE4" s="196"/>
      <c r="AF4" s="196"/>
      <c r="AG4" s="196"/>
      <c r="AH4" s="197"/>
      <c r="AI4" s="192">
        <f>CARÁTULA!$J$19</f>
        <v>44439</v>
      </c>
      <c r="AJ4" s="174"/>
      <c r="AK4" s="174"/>
      <c r="AL4" s="174"/>
      <c r="AM4" s="174"/>
      <c r="AN4" s="194">
        <f ca="1">AI4-AI5</f>
        <v>20</v>
      </c>
      <c r="AO4" s="184"/>
      <c r="AP4" s="184"/>
      <c r="AQ4" s="184"/>
      <c r="AR4" s="185"/>
    </row>
    <row r="5" spans="1:48" ht="12.75" customHeight="1" x14ac:dyDescent="0.35">
      <c r="A5" s="69"/>
      <c r="B5" s="72" t="s">
        <v>22</v>
      </c>
      <c r="C5" s="73" t="str">
        <f>CARÁTULA!$C$23</f>
        <v>5to de Secundaria</v>
      </c>
      <c r="D5" s="74"/>
      <c r="E5" s="74"/>
      <c r="F5" s="74"/>
      <c r="G5" s="72"/>
      <c r="H5" s="72"/>
      <c r="I5" s="72"/>
      <c r="J5" s="72"/>
      <c r="K5" s="72"/>
      <c r="L5" s="72"/>
      <c r="M5" s="72"/>
      <c r="N5" s="72"/>
      <c r="O5" s="72" t="s">
        <v>23</v>
      </c>
      <c r="P5" s="77"/>
      <c r="Q5" s="77"/>
      <c r="R5" s="77"/>
      <c r="S5" s="206">
        <f ca="1">TODAY()</f>
        <v>44419</v>
      </c>
      <c r="T5" s="165"/>
      <c r="U5" s="165"/>
      <c r="V5" s="165"/>
      <c r="W5" s="165"/>
      <c r="X5" s="165"/>
      <c r="Y5" s="165"/>
      <c r="Z5" s="165"/>
      <c r="AA5" s="166"/>
      <c r="AB5" s="74"/>
      <c r="AC5" s="199" t="s">
        <v>60</v>
      </c>
      <c r="AD5" s="196"/>
      <c r="AE5" s="196"/>
      <c r="AF5" s="196"/>
      <c r="AG5" s="196"/>
      <c r="AH5" s="197"/>
      <c r="AI5" s="202">
        <f ca="1">TODAY()</f>
        <v>44419</v>
      </c>
      <c r="AJ5" s="174"/>
      <c r="AK5" s="174"/>
      <c r="AL5" s="174"/>
      <c r="AM5" s="174"/>
      <c r="AN5" s="186"/>
      <c r="AO5" s="187"/>
      <c r="AP5" s="187"/>
      <c r="AQ5" s="187"/>
      <c r="AR5" s="188"/>
    </row>
    <row r="6" spans="1:48" ht="12.75" customHeight="1" x14ac:dyDescent="0.35">
      <c r="A6" s="69"/>
      <c r="B6" s="72"/>
      <c r="C6" s="180" t="s">
        <v>85</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86</v>
      </c>
      <c r="AC6" s="196"/>
      <c r="AD6" s="196"/>
      <c r="AE6" s="197"/>
      <c r="AF6" s="78"/>
      <c r="AG6" s="79"/>
      <c r="AH6" s="79"/>
      <c r="AI6" s="80"/>
      <c r="AJ6" s="81"/>
      <c r="AK6" s="81"/>
      <c r="AL6" s="81"/>
      <c r="AM6" s="81"/>
      <c r="AN6" s="82"/>
      <c r="AO6" s="82"/>
      <c r="AP6" s="82"/>
      <c r="AQ6" s="82"/>
      <c r="AR6" s="82"/>
    </row>
    <row r="7" spans="1:48" ht="12" customHeight="1" x14ac:dyDescent="0.35">
      <c r="A7" s="69"/>
      <c r="B7" s="83"/>
      <c r="C7" s="208" t="s">
        <v>87</v>
      </c>
      <c r="D7" s="209" t="s">
        <v>88</v>
      </c>
      <c r="E7" s="181"/>
      <c r="F7" s="196"/>
      <c r="G7" s="196"/>
      <c r="H7" s="196"/>
      <c r="I7" s="196"/>
      <c r="J7" s="196"/>
      <c r="K7" s="196"/>
      <c r="L7" s="196"/>
      <c r="M7" s="196"/>
      <c r="N7" s="196"/>
      <c r="O7" s="205" t="s">
        <v>89</v>
      </c>
      <c r="P7" s="209" t="s">
        <v>90</v>
      </c>
      <c r="Q7" s="196"/>
      <c r="R7" s="196"/>
      <c r="S7" s="196"/>
      <c r="T7" s="196"/>
      <c r="U7" s="196"/>
      <c r="V7" s="196"/>
      <c r="W7" s="196"/>
      <c r="X7" s="196"/>
      <c r="Y7" s="196"/>
      <c r="Z7" s="196"/>
      <c r="AA7" s="203" t="s">
        <v>91</v>
      </c>
      <c r="AB7" s="205" t="s">
        <v>89</v>
      </c>
      <c r="AC7" s="203" t="s">
        <v>92</v>
      </c>
      <c r="AD7" s="203" t="s">
        <v>93</v>
      </c>
      <c r="AE7" s="205" t="s">
        <v>89</v>
      </c>
      <c r="AF7" s="210" t="s">
        <v>94</v>
      </c>
      <c r="AG7" s="211" t="s">
        <v>95</v>
      </c>
      <c r="AH7" s="212" t="s">
        <v>96</v>
      </c>
      <c r="AI7" s="181"/>
      <c r="AJ7" s="181"/>
      <c r="AK7" s="181"/>
      <c r="AL7" s="181"/>
      <c r="AM7" s="182"/>
      <c r="AN7" s="84"/>
      <c r="AO7" s="74"/>
      <c r="AP7" s="74"/>
      <c r="AQ7" s="74"/>
      <c r="AR7" s="69"/>
    </row>
    <row r="8" spans="1:48" ht="67.5" customHeight="1" x14ac:dyDescent="0.3">
      <c r="A8" s="48" t="s">
        <v>61</v>
      </c>
      <c r="B8" s="49" t="s">
        <v>62</v>
      </c>
      <c r="C8" s="204"/>
      <c r="D8" s="53" t="s">
        <v>177</v>
      </c>
      <c r="E8" s="53" t="s">
        <v>179</v>
      </c>
      <c r="F8" s="95" t="s">
        <v>183</v>
      </c>
      <c r="G8" s="67" t="s">
        <v>185</v>
      </c>
      <c r="H8" s="52" t="s">
        <v>186</v>
      </c>
      <c r="I8" s="52"/>
      <c r="J8" s="52"/>
      <c r="K8" s="52"/>
      <c r="L8" s="52"/>
      <c r="M8" s="52"/>
      <c r="N8" s="53"/>
      <c r="O8" s="204"/>
      <c r="P8" s="95" t="s">
        <v>176</v>
      </c>
      <c r="Q8" s="52" t="s">
        <v>178</v>
      </c>
      <c r="R8" s="52" t="s">
        <v>180</v>
      </c>
      <c r="S8" s="67" t="s">
        <v>181</v>
      </c>
      <c r="T8" s="52" t="s">
        <v>182</v>
      </c>
      <c r="U8" s="52" t="s">
        <v>184</v>
      </c>
      <c r="V8" s="52"/>
      <c r="W8" s="52"/>
      <c r="X8" s="52"/>
      <c r="Y8" s="52"/>
      <c r="Z8" s="52"/>
      <c r="AA8" s="204"/>
      <c r="AB8" s="204"/>
      <c r="AC8" s="204"/>
      <c r="AD8" s="204"/>
      <c r="AE8" s="204"/>
      <c r="AF8" s="204"/>
      <c r="AG8" s="204"/>
      <c r="AH8" s="213"/>
      <c r="AI8" s="214"/>
      <c r="AJ8" s="214"/>
      <c r="AK8" s="214"/>
      <c r="AL8" s="214"/>
      <c r="AM8" s="215"/>
      <c r="AN8" s="86"/>
      <c r="AO8" s="86"/>
      <c r="AP8" s="86"/>
      <c r="AQ8" s="86"/>
      <c r="AR8" s="87"/>
    </row>
    <row r="9" spans="1:48" ht="12" customHeight="1" x14ac:dyDescent="0.3">
      <c r="A9" s="57">
        <v>1</v>
      </c>
      <c r="B9" s="88" t="str">
        <f>'C. FILIACION'!B8</f>
        <v>ARAMAYO CARVALLO LITZI</v>
      </c>
      <c r="C9" s="31">
        <v>10</v>
      </c>
      <c r="D9" s="157">
        <v>35</v>
      </c>
      <c r="E9" s="158">
        <v>23</v>
      </c>
      <c r="F9" s="158">
        <v>18</v>
      </c>
      <c r="G9" s="31">
        <v>30</v>
      </c>
      <c r="H9" s="31">
        <v>18</v>
      </c>
      <c r="I9" s="31"/>
      <c r="J9" s="31"/>
      <c r="K9" s="31"/>
      <c r="L9" s="31"/>
      <c r="M9" s="31"/>
      <c r="N9" s="31"/>
      <c r="O9" s="91">
        <f t="shared" ref="O9:O44" si="0">IFERROR(ROUND(AVERAGE(D9:N9),0),"")</f>
        <v>25</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85</v>
      </c>
      <c r="AH9" s="195" t="str">
        <f t="shared" ref="AH9:AH44" si="5">IF(AG9="","",(IF(AND(AG9&gt;=1,AG9&lt;=50.499),"REPROBADO",IF(AND(AG9&gt;=50.5,AG9&lt;=100),"APROBADO"))))</f>
        <v>APROBADO</v>
      </c>
      <c r="AI9" s="196"/>
      <c r="AJ9" s="196"/>
      <c r="AK9" s="196"/>
      <c r="AL9" s="196"/>
      <c r="AM9" s="197"/>
      <c r="AN9" s="93" t="s">
        <v>101</v>
      </c>
      <c r="AO9" s="216">
        <f>COUNTIF(AF9:AF44,"ED")</f>
        <v>10</v>
      </c>
      <c r="AP9" s="197"/>
      <c r="AQ9" s="94"/>
      <c r="AR9" s="94"/>
    </row>
    <row r="10" spans="1:48" ht="12" customHeight="1" x14ac:dyDescent="0.3">
      <c r="A10" s="57">
        <v>2</v>
      </c>
      <c r="B10" s="88" t="str">
        <f>'C. FILIACION'!B9</f>
        <v>BLANCO SALVATIERRA LIZETH BRIGIDA</v>
      </c>
      <c r="C10" s="31">
        <v>10</v>
      </c>
      <c r="D10" s="157">
        <v>20</v>
      </c>
      <c r="E10" s="158">
        <v>28</v>
      </c>
      <c r="F10" s="158">
        <v>20</v>
      </c>
      <c r="G10" s="31">
        <v>25</v>
      </c>
      <c r="H10" s="31"/>
      <c r="I10" s="31"/>
      <c r="J10" s="31"/>
      <c r="K10" s="31"/>
      <c r="L10" s="31"/>
      <c r="M10" s="31"/>
      <c r="N10" s="31"/>
      <c r="O10" s="91">
        <f t="shared" si="0"/>
        <v>23</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77</v>
      </c>
      <c r="AH10" s="195" t="str">
        <f t="shared" si="5"/>
        <v>APROBADO</v>
      </c>
      <c r="AI10" s="196"/>
      <c r="AJ10" s="196"/>
      <c r="AK10" s="196"/>
      <c r="AL10" s="196"/>
      <c r="AM10" s="197"/>
      <c r="AN10" s="48" t="s">
        <v>102</v>
      </c>
      <c r="AO10" s="216">
        <f>COUNTIF(AF9:AF44,"DA")</f>
        <v>4</v>
      </c>
      <c r="AP10" s="197"/>
      <c r="AQ10" s="94"/>
      <c r="AR10" s="94"/>
    </row>
    <row r="11" spans="1:48" ht="12" customHeight="1" x14ac:dyDescent="0.3">
      <c r="A11" s="57">
        <v>3</v>
      </c>
      <c r="B11" s="88" t="str">
        <f>'C. FILIACION'!B10</f>
        <v>GARCIA FAUCA NIELS HAMILTON</v>
      </c>
      <c r="C11" s="31">
        <v>10</v>
      </c>
      <c r="D11" s="157">
        <v>20</v>
      </c>
      <c r="E11" s="158">
        <v>21</v>
      </c>
      <c r="F11" s="158">
        <v>35</v>
      </c>
      <c r="G11" s="31">
        <v>35</v>
      </c>
      <c r="H11" s="31"/>
      <c r="I11" s="31"/>
      <c r="J11" s="31"/>
      <c r="K11" s="31"/>
      <c r="L11" s="31"/>
      <c r="M11" s="31"/>
      <c r="N11" s="31"/>
      <c r="O11" s="91">
        <f t="shared" si="0"/>
        <v>28</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83</v>
      </c>
      <c r="AH11" s="195" t="str">
        <f t="shared" si="5"/>
        <v>APROBADO</v>
      </c>
      <c r="AI11" s="196"/>
      <c r="AJ11" s="196"/>
      <c r="AK11" s="196"/>
      <c r="AL11" s="196"/>
      <c r="AM11" s="197"/>
      <c r="AN11" s="48" t="s">
        <v>103</v>
      </c>
      <c r="AO11" s="216">
        <f>COUNTIF(AF9:AF44,"DO")</f>
        <v>6</v>
      </c>
      <c r="AP11" s="197"/>
      <c r="AQ11" s="94"/>
      <c r="AR11" s="94"/>
    </row>
    <row r="12" spans="1:48" ht="12" customHeight="1" x14ac:dyDescent="0.3">
      <c r="A12" s="57">
        <v>4</v>
      </c>
      <c r="B12" s="88" t="str">
        <f>'C. FILIACION'!B11</f>
        <v>GOITIA VEIZAN MORGAN CRISTHIAN</v>
      </c>
      <c r="C12" s="31">
        <v>10</v>
      </c>
      <c r="D12" s="157">
        <v>0</v>
      </c>
      <c r="E12" s="158">
        <v>0</v>
      </c>
      <c r="F12" s="158">
        <v>0</v>
      </c>
      <c r="G12" s="31">
        <v>0</v>
      </c>
      <c r="H12" s="31"/>
      <c r="I12" s="31"/>
      <c r="J12" s="31"/>
      <c r="K12" s="31"/>
      <c r="L12" s="31"/>
      <c r="M12" s="31"/>
      <c r="N12" s="31"/>
      <c r="O12" s="91">
        <f t="shared" si="0"/>
        <v>0</v>
      </c>
      <c r="P12" s="89">
        <v>0</v>
      </c>
      <c r="Q12" s="31">
        <v>0</v>
      </c>
      <c r="R12" s="89">
        <v>0</v>
      </c>
      <c r="S12" s="31">
        <v>0</v>
      </c>
      <c r="T12" s="31">
        <v>0</v>
      </c>
      <c r="U12" s="31">
        <v>0</v>
      </c>
      <c r="V12" s="31"/>
      <c r="W12" s="31"/>
      <c r="X12" s="31"/>
      <c r="Y12" s="31"/>
      <c r="Z12" s="31"/>
      <c r="AA12" s="31">
        <v>10</v>
      </c>
      <c r="AB12" s="91">
        <f t="shared" si="1"/>
        <v>0</v>
      </c>
      <c r="AC12" s="31">
        <v>5</v>
      </c>
      <c r="AD12" s="31">
        <v>5</v>
      </c>
      <c r="AE12" s="91">
        <f t="shared" si="2"/>
        <v>10</v>
      </c>
      <c r="AF12" s="92" t="str">
        <f t="shared" si="3"/>
        <v>ED</v>
      </c>
      <c r="AG12" s="91">
        <f t="shared" si="4"/>
        <v>30</v>
      </c>
      <c r="AH12" s="195" t="str">
        <f t="shared" si="5"/>
        <v>REPROBADO</v>
      </c>
      <c r="AI12" s="196"/>
      <c r="AJ12" s="196"/>
      <c r="AK12" s="196"/>
      <c r="AL12" s="196"/>
      <c r="AM12" s="197"/>
      <c r="AN12" s="48" t="s">
        <v>104</v>
      </c>
      <c r="AO12" s="216">
        <f>COUNTIF(AF9:AF44,"DP")</f>
        <v>16</v>
      </c>
      <c r="AP12" s="197"/>
      <c r="AQ12" s="94"/>
      <c r="AR12" s="94"/>
    </row>
    <row r="13" spans="1:48" ht="12" customHeight="1" x14ac:dyDescent="0.3">
      <c r="A13" s="57">
        <v>5</v>
      </c>
      <c r="B13" s="88" t="str">
        <f>'C. FILIACION'!B12</f>
        <v>GOMEZ LUCANA ALISON NAYR</v>
      </c>
      <c r="C13" s="31">
        <v>10</v>
      </c>
      <c r="D13" s="157">
        <v>0</v>
      </c>
      <c r="E13" s="158">
        <v>0</v>
      </c>
      <c r="F13" s="158">
        <v>0</v>
      </c>
      <c r="G13" s="31">
        <v>0</v>
      </c>
      <c r="H13" s="31"/>
      <c r="I13" s="31"/>
      <c r="J13" s="31"/>
      <c r="K13" s="31"/>
      <c r="L13" s="31"/>
      <c r="M13" s="31"/>
      <c r="N13" s="31"/>
      <c r="O13" s="91">
        <f t="shared" si="0"/>
        <v>0</v>
      </c>
      <c r="P13" s="89">
        <v>0</v>
      </c>
      <c r="Q13" s="31">
        <v>0</v>
      </c>
      <c r="R13" s="89">
        <v>0</v>
      </c>
      <c r="S13" s="31">
        <v>0</v>
      </c>
      <c r="T13" s="31">
        <v>0</v>
      </c>
      <c r="U13" s="31">
        <v>0</v>
      </c>
      <c r="V13" s="31"/>
      <c r="W13" s="31"/>
      <c r="X13" s="31"/>
      <c r="Y13" s="31"/>
      <c r="Z13" s="31"/>
      <c r="AA13" s="31">
        <v>10</v>
      </c>
      <c r="AB13" s="91">
        <f t="shared" si="1"/>
        <v>0</v>
      </c>
      <c r="AC13" s="31">
        <v>5</v>
      </c>
      <c r="AD13" s="31">
        <v>5</v>
      </c>
      <c r="AE13" s="91">
        <f t="shared" si="2"/>
        <v>10</v>
      </c>
      <c r="AF13" s="92" t="str">
        <f t="shared" si="3"/>
        <v>ED</v>
      </c>
      <c r="AG13" s="91">
        <f t="shared" si="4"/>
        <v>30</v>
      </c>
      <c r="AH13" s="195" t="str">
        <f t="shared" si="5"/>
        <v>REPROBADO</v>
      </c>
      <c r="AI13" s="196"/>
      <c r="AJ13" s="196"/>
      <c r="AK13" s="196"/>
      <c r="AL13" s="196"/>
      <c r="AM13" s="197"/>
      <c r="AN13" s="94"/>
      <c r="AO13" s="94"/>
      <c r="AP13" s="94"/>
      <c r="AQ13" s="94"/>
      <c r="AR13" s="94"/>
    </row>
    <row r="14" spans="1:48" ht="12" customHeight="1" x14ac:dyDescent="0.3">
      <c r="A14" s="57">
        <v>6</v>
      </c>
      <c r="B14" s="88" t="str">
        <f>'C. FILIACION'!B13</f>
        <v>GUTIERREZ ALVAREZ ALEX BEYMAR</v>
      </c>
      <c r="C14" s="31">
        <v>10</v>
      </c>
      <c r="D14" s="157">
        <v>0</v>
      </c>
      <c r="E14" s="158">
        <v>0</v>
      </c>
      <c r="F14" s="158">
        <v>0</v>
      </c>
      <c r="G14" s="31">
        <v>10</v>
      </c>
      <c r="H14" s="31"/>
      <c r="I14" s="31"/>
      <c r="J14" s="31"/>
      <c r="K14" s="31"/>
      <c r="L14" s="31"/>
      <c r="M14" s="31"/>
      <c r="N14" s="31"/>
      <c r="O14" s="91">
        <f t="shared" si="0"/>
        <v>3</v>
      </c>
      <c r="P14" s="89">
        <v>0</v>
      </c>
      <c r="Q14" s="31">
        <v>0</v>
      </c>
      <c r="R14" s="89">
        <v>0</v>
      </c>
      <c r="S14" s="31">
        <v>0</v>
      </c>
      <c r="T14" s="31">
        <v>20</v>
      </c>
      <c r="U14" s="31">
        <v>0</v>
      </c>
      <c r="V14" s="31"/>
      <c r="W14" s="31"/>
      <c r="X14" s="31"/>
      <c r="Y14" s="31"/>
      <c r="Z14" s="31"/>
      <c r="AA14" s="31">
        <v>10</v>
      </c>
      <c r="AB14" s="91">
        <f t="shared" si="1"/>
        <v>3</v>
      </c>
      <c r="AC14" s="31">
        <v>5</v>
      </c>
      <c r="AD14" s="31">
        <v>5</v>
      </c>
      <c r="AE14" s="91">
        <f t="shared" si="2"/>
        <v>10</v>
      </c>
      <c r="AF14" s="92" t="str">
        <f t="shared" si="3"/>
        <v>ED</v>
      </c>
      <c r="AG14" s="91">
        <f t="shared" si="4"/>
        <v>36</v>
      </c>
      <c r="AH14" s="195" t="str">
        <f t="shared" si="5"/>
        <v>REPROBADO</v>
      </c>
      <c r="AI14" s="196"/>
      <c r="AJ14" s="196"/>
      <c r="AK14" s="196"/>
      <c r="AL14" s="196"/>
      <c r="AM14" s="197"/>
      <c r="AN14" s="94"/>
      <c r="AO14" s="94"/>
      <c r="AP14" s="94"/>
      <c r="AQ14" s="94"/>
      <c r="AR14" s="94"/>
    </row>
    <row r="15" spans="1:48" ht="12" customHeight="1" x14ac:dyDescent="0.3">
      <c r="A15" s="57">
        <v>7</v>
      </c>
      <c r="B15" s="88" t="str">
        <f>'C. FILIACION'!B14</f>
        <v>LOPEZ PACO MIGUEL ANGEL</v>
      </c>
      <c r="C15" s="31">
        <v>10</v>
      </c>
      <c r="D15" s="157">
        <v>0</v>
      </c>
      <c r="E15" s="158">
        <v>28</v>
      </c>
      <c r="F15" s="158">
        <v>20</v>
      </c>
      <c r="G15" s="31">
        <v>18</v>
      </c>
      <c r="H15" s="31">
        <v>34</v>
      </c>
      <c r="I15" s="31"/>
      <c r="J15" s="31"/>
      <c r="K15" s="31"/>
      <c r="L15" s="31"/>
      <c r="M15" s="31"/>
      <c r="N15" s="31"/>
      <c r="O15" s="91">
        <f t="shared" si="0"/>
        <v>20</v>
      </c>
      <c r="P15" s="89">
        <v>0</v>
      </c>
      <c r="Q15" s="31">
        <v>0</v>
      </c>
      <c r="R15" s="31">
        <v>35</v>
      </c>
      <c r="S15" s="160">
        <v>0</v>
      </c>
      <c r="T15" s="31">
        <v>20</v>
      </c>
      <c r="U15" s="31">
        <v>0</v>
      </c>
      <c r="V15" s="31"/>
      <c r="W15" s="31"/>
      <c r="X15" s="31"/>
      <c r="Y15" s="31"/>
      <c r="Z15" s="31"/>
      <c r="AA15" s="31">
        <v>10</v>
      </c>
      <c r="AB15" s="91">
        <f t="shared" si="1"/>
        <v>9</v>
      </c>
      <c r="AC15" s="31">
        <v>5</v>
      </c>
      <c r="AD15" s="31">
        <v>5</v>
      </c>
      <c r="AE15" s="91">
        <f t="shared" si="2"/>
        <v>10</v>
      </c>
      <c r="AF15" s="92" t="str">
        <f t="shared" si="3"/>
        <v>DA</v>
      </c>
      <c r="AG15" s="91">
        <f t="shared" si="4"/>
        <v>59</v>
      </c>
      <c r="AH15" s="195" t="str">
        <f t="shared" si="5"/>
        <v>APROBADO</v>
      </c>
      <c r="AI15" s="196"/>
      <c r="AJ15" s="196"/>
      <c r="AK15" s="196"/>
      <c r="AL15" s="196"/>
      <c r="AM15" s="197"/>
      <c r="AN15" s="94"/>
      <c r="AO15" s="94"/>
      <c r="AP15" s="94"/>
      <c r="AQ15" s="94"/>
      <c r="AR15" s="94"/>
    </row>
    <row r="16" spans="1:48" ht="12" customHeight="1" x14ac:dyDescent="0.3">
      <c r="A16" s="57">
        <v>8</v>
      </c>
      <c r="B16" s="88" t="str">
        <f>'C. FILIACION'!B15</f>
        <v>MAMANI AQUINO LUCAS</v>
      </c>
      <c r="C16" s="31">
        <v>10</v>
      </c>
      <c r="D16" s="157">
        <v>0</v>
      </c>
      <c r="E16" s="158">
        <v>0</v>
      </c>
      <c r="F16" s="158">
        <v>0</v>
      </c>
      <c r="G16" s="31">
        <v>0</v>
      </c>
      <c r="H16" s="31">
        <v>18</v>
      </c>
      <c r="I16" s="31"/>
      <c r="J16" s="31"/>
      <c r="K16" s="31"/>
      <c r="L16" s="31"/>
      <c r="M16" s="31"/>
      <c r="N16" s="31"/>
      <c r="O16" s="91">
        <f t="shared" si="0"/>
        <v>4</v>
      </c>
      <c r="P16" s="89">
        <v>0</v>
      </c>
      <c r="Q16" s="31">
        <v>0</v>
      </c>
      <c r="R16" s="31">
        <v>0</v>
      </c>
      <c r="S16" s="31">
        <v>0</v>
      </c>
      <c r="T16" s="31">
        <v>0</v>
      </c>
      <c r="U16" s="31">
        <v>0</v>
      </c>
      <c r="V16" s="31"/>
      <c r="W16" s="31"/>
      <c r="X16" s="31"/>
      <c r="Y16" s="31"/>
      <c r="Z16" s="31"/>
      <c r="AA16" s="31">
        <v>10</v>
      </c>
      <c r="AB16" s="91">
        <f t="shared" si="1"/>
        <v>0</v>
      </c>
      <c r="AC16" s="31">
        <v>5</v>
      </c>
      <c r="AD16" s="31">
        <v>5</v>
      </c>
      <c r="AE16" s="91">
        <f t="shared" si="2"/>
        <v>10</v>
      </c>
      <c r="AF16" s="92" t="str">
        <f t="shared" si="3"/>
        <v>ED</v>
      </c>
      <c r="AG16" s="91">
        <f t="shared" si="4"/>
        <v>34</v>
      </c>
      <c r="AH16" s="195" t="str">
        <f t="shared" si="5"/>
        <v>REPROBADO</v>
      </c>
      <c r="AI16" s="196"/>
      <c r="AJ16" s="196"/>
      <c r="AK16" s="196"/>
      <c r="AL16" s="196"/>
      <c r="AM16" s="197"/>
      <c r="AN16" s="94"/>
      <c r="AO16" s="94"/>
      <c r="AP16" s="94"/>
      <c r="AQ16" s="94"/>
      <c r="AR16" s="94"/>
    </row>
    <row r="17" spans="1:44" ht="12" customHeight="1" x14ac:dyDescent="0.3">
      <c r="A17" s="57">
        <v>9</v>
      </c>
      <c r="B17" s="88" t="str">
        <f>'C. FILIACION'!B16</f>
        <v>MAMANI VASQUEZ FRANZ DARWIN</v>
      </c>
      <c r="C17" s="31">
        <v>10</v>
      </c>
      <c r="D17" s="157">
        <v>35</v>
      </c>
      <c r="E17" s="158">
        <v>28</v>
      </c>
      <c r="F17" s="158">
        <v>30</v>
      </c>
      <c r="G17" s="31">
        <v>35</v>
      </c>
      <c r="H17" s="31">
        <v>35</v>
      </c>
      <c r="I17" s="31"/>
      <c r="J17" s="31"/>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97</v>
      </c>
      <c r="AH17" s="195" t="str">
        <f t="shared" si="5"/>
        <v>APROBADO</v>
      </c>
      <c r="AI17" s="196"/>
      <c r="AJ17" s="196"/>
      <c r="AK17" s="196"/>
      <c r="AL17" s="196"/>
      <c r="AM17" s="197"/>
      <c r="AN17" s="94"/>
      <c r="AO17" s="94"/>
      <c r="AP17" s="94"/>
      <c r="AQ17" s="94"/>
      <c r="AR17" s="94"/>
    </row>
    <row r="18" spans="1:44" ht="12" customHeight="1" x14ac:dyDescent="0.3">
      <c r="A18" s="57">
        <v>10</v>
      </c>
      <c r="B18" s="88" t="str">
        <f>'C. FILIACION'!B17</f>
        <v>MARTINEZ MAMANI JORGE ARMANDO</v>
      </c>
      <c r="C18" s="31">
        <v>10</v>
      </c>
      <c r="D18" s="157">
        <v>0</v>
      </c>
      <c r="E18" s="158">
        <v>0</v>
      </c>
      <c r="F18" s="158">
        <v>0</v>
      </c>
      <c r="G18" s="31">
        <v>20</v>
      </c>
      <c r="H18" s="31"/>
      <c r="I18" s="31"/>
      <c r="J18" s="31"/>
      <c r="K18" s="31"/>
      <c r="L18" s="31"/>
      <c r="M18" s="31"/>
      <c r="N18" s="31"/>
      <c r="O18" s="91">
        <f t="shared" si="0"/>
        <v>5</v>
      </c>
      <c r="P18" s="31">
        <v>0</v>
      </c>
      <c r="Q18" s="31">
        <v>0</v>
      </c>
      <c r="R18" s="89">
        <v>0</v>
      </c>
      <c r="S18" s="31">
        <v>0</v>
      </c>
      <c r="T18" s="31">
        <v>0</v>
      </c>
      <c r="U18" s="31">
        <v>0</v>
      </c>
      <c r="V18" s="31"/>
      <c r="W18" s="31"/>
      <c r="X18" s="31"/>
      <c r="Y18" s="31"/>
      <c r="Z18" s="31"/>
      <c r="AA18" s="31">
        <v>10</v>
      </c>
      <c r="AB18" s="91">
        <f t="shared" si="1"/>
        <v>0</v>
      </c>
      <c r="AC18" s="31">
        <v>5</v>
      </c>
      <c r="AD18" s="31">
        <v>5</v>
      </c>
      <c r="AE18" s="91">
        <f t="shared" si="2"/>
        <v>10</v>
      </c>
      <c r="AF18" s="92" t="str">
        <f t="shared" si="3"/>
        <v>ED</v>
      </c>
      <c r="AG18" s="91">
        <f t="shared" si="4"/>
        <v>35</v>
      </c>
      <c r="AH18" s="195" t="str">
        <f t="shared" si="5"/>
        <v>REPROBADO</v>
      </c>
      <c r="AI18" s="196"/>
      <c r="AJ18" s="196"/>
      <c r="AK18" s="196"/>
      <c r="AL18" s="196"/>
      <c r="AM18" s="197"/>
      <c r="AN18" s="94"/>
      <c r="AO18" s="94"/>
      <c r="AP18" s="94"/>
      <c r="AQ18" s="94"/>
      <c r="AR18" s="94"/>
    </row>
    <row r="19" spans="1:44" ht="12" customHeight="1" x14ac:dyDescent="0.3">
      <c r="A19" s="57">
        <v>11</v>
      </c>
      <c r="B19" s="88" t="str">
        <f>'C. FILIACION'!B18</f>
        <v>MEDINA PEREIRA GABRIEL LEANDRO</v>
      </c>
      <c r="C19" s="31">
        <v>10</v>
      </c>
      <c r="D19" s="157">
        <v>0</v>
      </c>
      <c r="E19" s="158">
        <v>0</v>
      </c>
      <c r="F19" s="158">
        <v>0</v>
      </c>
      <c r="G19" s="31">
        <v>0</v>
      </c>
      <c r="H19" s="31"/>
      <c r="I19" s="31"/>
      <c r="J19" s="31"/>
      <c r="K19" s="31"/>
      <c r="L19" s="31"/>
      <c r="M19" s="31"/>
      <c r="N19" s="31"/>
      <c r="O19" s="91">
        <f t="shared" si="0"/>
        <v>0</v>
      </c>
      <c r="P19" s="89">
        <v>0</v>
      </c>
      <c r="Q19" s="31">
        <v>0</v>
      </c>
      <c r="R19" s="89">
        <v>0</v>
      </c>
      <c r="S19" s="31">
        <v>0</v>
      </c>
      <c r="T19" s="31">
        <v>0</v>
      </c>
      <c r="U19" s="31">
        <v>0</v>
      </c>
      <c r="V19" s="31"/>
      <c r="W19" s="31"/>
      <c r="X19" s="31"/>
      <c r="Y19" s="31"/>
      <c r="Z19" s="31"/>
      <c r="AA19" s="31">
        <v>10</v>
      </c>
      <c r="AB19" s="91">
        <f t="shared" si="1"/>
        <v>0</v>
      </c>
      <c r="AC19" s="31">
        <v>5</v>
      </c>
      <c r="AD19" s="31">
        <v>5</v>
      </c>
      <c r="AE19" s="91">
        <f t="shared" si="2"/>
        <v>10</v>
      </c>
      <c r="AF19" s="92" t="str">
        <f t="shared" si="3"/>
        <v>ED</v>
      </c>
      <c r="AG19" s="91">
        <f t="shared" si="4"/>
        <v>30</v>
      </c>
      <c r="AH19" s="195" t="str">
        <f t="shared" si="5"/>
        <v>REPROBADO</v>
      </c>
      <c r="AI19" s="196"/>
      <c r="AJ19" s="196"/>
      <c r="AK19" s="196"/>
      <c r="AL19" s="196"/>
      <c r="AM19" s="197"/>
      <c r="AN19" s="94"/>
      <c r="AO19" s="94"/>
      <c r="AP19" s="94"/>
      <c r="AQ19" s="94"/>
      <c r="AR19" s="94"/>
    </row>
    <row r="20" spans="1:44" ht="12" customHeight="1" x14ac:dyDescent="0.3">
      <c r="A20" s="57">
        <v>12</v>
      </c>
      <c r="B20" s="88" t="str">
        <f>'C. FILIACION'!B19</f>
        <v>MEDINA PEREIRA YULIANA</v>
      </c>
      <c r="C20" s="31">
        <v>10</v>
      </c>
      <c r="D20" s="157">
        <v>0</v>
      </c>
      <c r="E20" s="158">
        <v>0</v>
      </c>
      <c r="F20" s="158">
        <v>0</v>
      </c>
      <c r="G20" s="31">
        <v>0</v>
      </c>
      <c r="H20" s="31"/>
      <c r="I20" s="31"/>
      <c r="J20" s="31"/>
      <c r="K20" s="31"/>
      <c r="L20" s="31"/>
      <c r="M20" s="31"/>
      <c r="N20" s="31"/>
      <c r="O20" s="91">
        <f t="shared" si="0"/>
        <v>0</v>
      </c>
      <c r="P20" s="89">
        <v>0</v>
      </c>
      <c r="Q20" s="31">
        <v>0</v>
      </c>
      <c r="R20" s="89">
        <v>0</v>
      </c>
      <c r="S20" s="31">
        <v>0</v>
      </c>
      <c r="T20" s="31">
        <v>0</v>
      </c>
      <c r="U20" s="31">
        <v>0</v>
      </c>
      <c r="V20" s="31"/>
      <c r="W20" s="31"/>
      <c r="X20" s="31"/>
      <c r="Y20" s="31"/>
      <c r="Z20" s="31"/>
      <c r="AA20" s="31">
        <v>10</v>
      </c>
      <c r="AB20" s="91">
        <f t="shared" si="1"/>
        <v>0</v>
      </c>
      <c r="AC20" s="31">
        <v>5</v>
      </c>
      <c r="AD20" s="31">
        <v>5</v>
      </c>
      <c r="AE20" s="91">
        <f t="shared" si="2"/>
        <v>10</v>
      </c>
      <c r="AF20" s="92" t="str">
        <f t="shared" si="3"/>
        <v>ED</v>
      </c>
      <c r="AG20" s="91">
        <f t="shared" si="4"/>
        <v>30</v>
      </c>
      <c r="AH20" s="195" t="str">
        <f t="shared" si="5"/>
        <v>REPROBADO</v>
      </c>
      <c r="AI20" s="196"/>
      <c r="AJ20" s="196"/>
      <c r="AK20" s="196"/>
      <c r="AL20" s="196"/>
      <c r="AM20" s="197"/>
      <c r="AN20" s="94"/>
      <c r="AO20" s="94"/>
      <c r="AP20" s="94"/>
      <c r="AQ20" s="94"/>
      <c r="AR20" s="94"/>
    </row>
    <row r="21" spans="1:44" ht="12" customHeight="1" x14ac:dyDescent="0.3">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195" t="str">
        <f t="shared" si="5"/>
        <v>APROBADO</v>
      </c>
      <c r="AI21" s="196"/>
      <c r="AJ21" s="196"/>
      <c r="AK21" s="196"/>
      <c r="AL21" s="196"/>
      <c r="AM21" s="197"/>
      <c r="AN21" s="94"/>
      <c r="AO21" s="94"/>
      <c r="AP21" s="94"/>
      <c r="AQ21" s="94"/>
      <c r="AR21" s="94"/>
    </row>
    <row r="22" spans="1:44" ht="12" customHeight="1" x14ac:dyDescent="0.3">
      <c r="A22" s="57">
        <v>14</v>
      </c>
      <c r="B22" s="88" t="str">
        <f>'C. FILIACION'!B21</f>
        <v>ORELLANA MOGRO ADAMO LEVING</v>
      </c>
      <c r="C22" s="31">
        <v>10</v>
      </c>
      <c r="D22" s="157">
        <v>35</v>
      </c>
      <c r="E22" s="158">
        <v>21</v>
      </c>
      <c r="F22" s="158">
        <v>20</v>
      </c>
      <c r="G22" s="31">
        <v>30</v>
      </c>
      <c r="H22" s="31">
        <v>24</v>
      </c>
      <c r="I22" s="31"/>
      <c r="J22" s="31"/>
      <c r="K22" s="31"/>
      <c r="L22" s="31"/>
      <c r="M22" s="31"/>
      <c r="N22" s="31"/>
      <c r="O22" s="91">
        <f t="shared" si="0"/>
        <v>26</v>
      </c>
      <c r="P22" s="31">
        <v>30</v>
      </c>
      <c r="Q22" s="31">
        <v>0</v>
      </c>
      <c r="R22" s="31">
        <v>20</v>
      </c>
      <c r="S22" s="31">
        <v>20</v>
      </c>
      <c r="T22" s="31">
        <v>18</v>
      </c>
      <c r="U22" s="31">
        <v>30</v>
      </c>
      <c r="V22" s="31"/>
      <c r="W22" s="31"/>
      <c r="X22" s="31"/>
      <c r="Y22" s="31"/>
      <c r="Z22" s="31"/>
      <c r="AA22" s="31">
        <v>10</v>
      </c>
      <c r="AB22" s="91">
        <f t="shared" si="1"/>
        <v>20</v>
      </c>
      <c r="AC22" s="31">
        <v>5</v>
      </c>
      <c r="AD22" s="31">
        <v>5</v>
      </c>
      <c r="AE22" s="91">
        <f t="shared" si="2"/>
        <v>10</v>
      </c>
      <c r="AF22" s="92" t="str">
        <f t="shared" si="3"/>
        <v>DO</v>
      </c>
      <c r="AG22" s="91">
        <f t="shared" si="4"/>
        <v>76</v>
      </c>
      <c r="AH22" s="195" t="str">
        <f t="shared" si="5"/>
        <v>APROBADO</v>
      </c>
      <c r="AI22" s="196"/>
      <c r="AJ22" s="196"/>
      <c r="AK22" s="196"/>
      <c r="AL22" s="196"/>
      <c r="AM22" s="197"/>
      <c r="AN22" s="94"/>
      <c r="AO22" s="94"/>
      <c r="AP22" s="94"/>
      <c r="AQ22" s="94"/>
      <c r="AR22" s="94"/>
    </row>
    <row r="23" spans="1:44" ht="12" customHeight="1" x14ac:dyDescent="0.3">
      <c r="A23" s="57">
        <v>15</v>
      </c>
      <c r="B23" s="88" t="str">
        <f>'C. FILIACION'!B22</f>
        <v>PAHUASI HUAYTA LUZ ADRIANA</v>
      </c>
      <c r="C23" s="31">
        <v>10</v>
      </c>
      <c r="D23" s="157">
        <v>0</v>
      </c>
      <c r="E23" s="158">
        <v>0</v>
      </c>
      <c r="F23" s="158">
        <v>0</v>
      </c>
      <c r="G23" s="31">
        <v>0</v>
      </c>
      <c r="H23" s="31"/>
      <c r="I23" s="31"/>
      <c r="J23" s="31"/>
      <c r="K23" s="31"/>
      <c r="L23" s="31"/>
      <c r="M23" s="31"/>
      <c r="N23" s="31"/>
      <c r="O23" s="91">
        <f t="shared" si="0"/>
        <v>0</v>
      </c>
      <c r="P23" s="31">
        <v>0</v>
      </c>
      <c r="Q23" s="31">
        <v>0</v>
      </c>
      <c r="R23" s="31">
        <v>0</v>
      </c>
      <c r="S23" s="31">
        <v>0</v>
      </c>
      <c r="T23" s="31">
        <v>0</v>
      </c>
      <c r="U23" s="31">
        <v>0</v>
      </c>
      <c r="V23" s="31"/>
      <c r="W23" s="31"/>
      <c r="X23" s="31"/>
      <c r="Y23" s="31"/>
      <c r="Z23" s="31"/>
      <c r="AA23" s="31">
        <v>10</v>
      </c>
      <c r="AB23" s="91">
        <f t="shared" si="1"/>
        <v>0</v>
      </c>
      <c r="AC23" s="31">
        <v>5</v>
      </c>
      <c r="AD23" s="31">
        <v>5</v>
      </c>
      <c r="AE23" s="91">
        <f t="shared" si="2"/>
        <v>10</v>
      </c>
      <c r="AF23" s="92" t="str">
        <f t="shared" si="3"/>
        <v>ED</v>
      </c>
      <c r="AG23" s="91">
        <f t="shared" si="4"/>
        <v>30</v>
      </c>
      <c r="AH23" s="195" t="str">
        <f t="shared" si="5"/>
        <v>REPROBADO</v>
      </c>
      <c r="AI23" s="196"/>
      <c r="AJ23" s="196"/>
      <c r="AK23" s="196"/>
      <c r="AL23" s="196"/>
      <c r="AM23" s="197"/>
      <c r="AN23" s="94"/>
      <c r="AO23" s="94"/>
      <c r="AP23" s="94"/>
      <c r="AQ23" s="94"/>
      <c r="AR23" s="94"/>
    </row>
    <row r="24" spans="1:44" ht="12" customHeight="1" x14ac:dyDescent="0.3">
      <c r="A24" s="57">
        <v>16</v>
      </c>
      <c r="B24" s="88" t="str">
        <f>'C. FILIACION'!B23</f>
        <v>PEREZ HUARACHI ESPERANZA ALEJANDRA</v>
      </c>
      <c r="C24" s="31">
        <v>10</v>
      </c>
      <c r="D24" s="157">
        <v>33</v>
      </c>
      <c r="E24" s="158">
        <v>24</v>
      </c>
      <c r="F24" s="158">
        <v>18</v>
      </c>
      <c r="G24" s="31">
        <v>18</v>
      </c>
      <c r="H24" s="31">
        <v>18</v>
      </c>
      <c r="I24" s="31"/>
      <c r="J24" s="31"/>
      <c r="K24" s="31"/>
      <c r="L24" s="31"/>
      <c r="M24" s="31"/>
      <c r="N24" s="31"/>
      <c r="O24" s="91">
        <f t="shared" si="0"/>
        <v>22</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77</v>
      </c>
      <c r="AH24" s="195" t="str">
        <f t="shared" si="5"/>
        <v>APROBADO</v>
      </c>
      <c r="AI24" s="196"/>
      <c r="AJ24" s="196"/>
      <c r="AK24" s="196"/>
      <c r="AL24" s="196"/>
      <c r="AM24" s="197"/>
      <c r="AN24" s="94"/>
      <c r="AO24" s="94"/>
      <c r="AP24" s="94"/>
      <c r="AQ24" s="94"/>
      <c r="AR24" s="94"/>
    </row>
    <row r="25" spans="1:44" ht="12" customHeight="1" x14ac:dyDescent="0.3">
      <c r="A25" s="57">
        <v>17</v>
      </c>
      <c r="B25" s="88" t="str">
        <f>'C. FILIACION'!B24</f>
        <v>PEREZ ZAMBRANA DAYRIS CONZUELO</v>
      </c>
      <c r="C25" s="31">
        <v>10</v>
      </c>
      <c r="D25" s="157">
        <v>35</v>
      </c>
      <c r="E25" s="158">
        <v>22</v>
      </c>
      <c r="F25" s="158">
        <v>0</v>
      </c>
      <c r="G25" s="31">
        <v>22</v>
      </c>
      <c r="H25" s="31">
        <v>18</v>
      </c>
      <c r="I25" s="31"/>
      <c r="J25" s="31"/>
      <c r="K25" s="31"/>
      <c r="L25" s="31"/>
      <c r="M25" s="31"/>
      <c r="N25" s="31"/>
      <c r="O25" s="91">
        <f t="shared" si="0"/>
        <v>19</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73</v>
      </c>
      <c r="AH25" s="195" t="str">
        <f t="shared" si="5"/>
        <v>APROBADO</v>
      </c>
      <c r="AI25" s="196"/>
      <c r="AJ25" s="196"/>
      <c r="AK25" s="196"/>
      <c r="AL25" s="196"/>
      <c r="AM25" s="197"/>
      <c r="AN25" s="94"/>
      <c r="AO25" s="94"/>
      <c r="AP25" s="94"/>
      <c r="AQ25" s="94"/>
      <c r="AR25" s="94"/>
    </row>
    <row r="26" spans="1:44" ht="12" customHeight="1" x14ac:dyDescent="0.3">
      <c r="A26" s="57">
        <v>18</v>
      </c>
      <c r="B26" s="88" t="str">
        <f>'C. FILIACION'!B25</f>
        <v>QUISPAYA ENCINAS GATHERING ZAMANTHA</v>
      </c>
      <c r="C26" s="31">
        <v>10</v>
      </c>
      <c r="D26" s="157">
        <v>23</v>
      </c>
      <c r="E26" s="158">
        <v>28</v>
      </c>
      <c r="F26" s="158">
        <v>20</v>
      </c>
      <c r="G26" s="31">
        <v>18</v>
      </c>
      <c r="H26" s="31">
        <v>30</v>
      </c>
      <c r="I26" s="31"/>
      <c r="J26" s="31"/>
      <c r="K26" s="31"/>
      <c r="L26" s="31"/>
      <c r="M26" s="31"/>
      <c r="N26" s="31"/>
      <c r="O26" s="91">
        <f t="shared" si="0"/>
        <v>24</v>
      </c>
      <c r="P26" s="31">
        <v>30</v>
      </c>
      <c r="Q26" s="31">
        <v>0</v>
      </c>
      <c r="R26" s="31">
        <v>18</v>
      </c>
      <c r="S26" s="31">
        <v>20</v>
      </c>
      <c r="T26" s="31">
        <v>18</v>
      </c>
      <c r="U26" s="31">
        <v>35</v>
      </c>
      <c r="V26" s="31"/>
      <c r="W26" s="31"/>
      <c r="X26" s="31"/>
      <c r="Y26" s="31"/>
      <c r="Z26" s="31"/>
      <c r="AA26" s="31">
        <v>10</v>
      </c>
      <c r="AB26" s="91">
        <f t="shared" si="1"/>
        <v>20</v>
      </c>
      <c r="AC26" s="31">
        <v>5</v>
      </c>
      <c r="AD26" s="31">
        <v>5</v>
      </c>
      <c r="AE26" s="91">
        <f t="shared" si="2"/>
        <v>10</v>
      </c>
      <c r="AF26" s="92" t="str">
        <f t="shared" si="3"/>
        <v>DO</v>
      </c>
      <c r="AG26" s="91">
        <f t="shared" si="4"/>
        <v>74</v>
      </c>
      <c r="AH26" s="195" t="str">
        <f t="shared" si="5"/>
        <v>APROBADO</v>
      </c>
      <c r="AI26" s="196"/>
      <c r="AJ26" s="196"/>
      <c r="AK26" s="196"/>
      <c r="AL26" s="196"/>
      <c r="AM26" s="197"/>
      <c r="AN26" s="94"/>
      <c r="AO26" s="94"/>
      <c r="AP26" s="94"/>
      <c r="AQ26" s="94"/>
      <c r="AR26" s="94"/>
    </row>
    <row r="27" spans="1:44" ht="12" customHeight="1" x14ac:dyDescent="0.3">
      <c r="A27" s="57">
        <v>19</v>
      </c>
      <c r="B27" s="88" t="str">
        <f>'C. FILIACION'!B26</f>
        <v>SANDOVAL MORANGO EDGAR JORGE</v>
      </c>
      <c r="C27" s="31">
        <v>10</v>
      </c>
      <c r="D27" s="157">
        <v>0</v>
      </c>
      <c r="E27" s="158">
        <v>21</v>
      </c>
      <c r="F27" s="158">
        <v>15</v>
      </c>
      <c r="G27" s="31">
        <v>18</v>
      </c>
      <c r="H27" s="31">
        <v>18</v>
      </c>
      <c r="I27" s="31"/>
      <c r="J27" s="31"/>
      <c r="K27" s="31"/>
      <c r="L27" s="31"/>
      <c r="M27" s="31"/>
      <c r="N27" s="31"/>
      <c r="O27" s="91">
        <f t="shared" si="0"/>
        <v>14</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59</v>
      </c>
      <c r="AH27" s="195" t="str">
        <f t="shared" si="5"/>
        <v>APROBADO</v>
      </c>
      <c r="AI27" s="196"/>
      <c r="AJ27" s="196"/>
      <c r="AK27" s="196"/>
      <c r="AL27" s="196"/>
      <c r="AM27" s="197"/>
      <c r="AN27" s="94"/>
      <c r="AO27" s="94"/>
      <c r="AP27" s="94"/>
      <c r="AQ27" s="94"/>
      <c r="AR27" s="94"/>
    </row>
    <row r="28" spans="1:44" ht="12" customHeight="1" x14ac:dyDescent="0.3">
      <c r="A28" s="57">
        <v>20</v>
      </c>
      <c r="B28" s="88" t="str">
        <f>'C. FILIACION'!B27</f>
        <v>SEVILLANO BALTAZAR ALEXIA LIZZY</v>
      </c>
      <c r="C28" s="31">
        <v>10</v>
      </c>
      <c r="D28" s="157">
        <v>0</v>
      </c>
      <c r="E28" s="158">
        <v>22</v>
      </c>
      <c r="F28" s="158">
        <v>18</v>
      </c>
      <c r="G28" s="31">
        <v>10</v>
      </c>
      <c r="H28" s="31">
        <v>17</v>
      </c>
      <c r="I28" s="31"/>
      <c r="J28" s="31"/>
      <c r="K28" s="31"/>
      <c r="L28" s="31"/>
      <c r="M28" s="31"/>
      <c r="N28" s="31"/>
      <c r="O28" s="91">
        <f t="shared" si="0"/>
        <v>13</v>
      </c>
      <c r="P28" s="31">
        <v>0</v>
      </c>
      <c r="Q28" s="31">
        <v>0</v>
      </c>
      <c r="R28" s="31">
        <v>0</v>
      </c>
      <c r="S28" s="160">
        <v>0</v>
      </c>
      <c r="T28" s="160">
        <v>0</v>
      </c>
      <c r="U28" s="31">
        <v>0</v>
      </c>
      <c r="V28" s="31"/>
      <c r="W28" s="31"/>
      <c r="X28" s="31"/>
      <c r="Y28" s="31"/>
      <c r="Z28" s="31"/>
      <c r="AA28" s="31">
        <v>10</v>
      </c>
      <c r="AB28" s="91">
        <f t="shared" si="1"/>
        <v>0</v>
      </c>
      <c r="AC28" s="31">
        <v>5</v>
      </c>
      <c r="AD28" s="31">
        <v>5</v>
      </c>
      <c r="AE28" s="91">
        <f t="shared" si="2"/>
        <v>10</v>
      </c>
      <c r="AF28" s="92" t="str">
        <f t="shared" si="3"/>
        <v>ED</v>
      </c>
      <c r="AG28" s="91">
        <f t="shared" si="4"/>
        <v>43</v>
      </c>
      <c r="AH28" s="195" t="str">
        <f t="shared" si="5"/>
        <v>REPROBADO</v>
      </c>
      <c r="AI28" s="196"/>
      <c r="AJ28" s="196"/>
      <c r="AK28" s="196"/>
      <c r="AL28" s="196"/>
      <c r="AM28" s="197"/>
      <c r="AN28" s="94"/>
      <c r="AO28" s="94"/>
      <c r="AP28" s="94"/>
      <c r="AQ28" s="94"/>
      <c r="AR28" s="94"/>
    </row>
    <row r="29" spans="1:44" ht="12" customHeight="1" x14ac:dyDescent="0.3">
      <c r="A29" s="57">
        <v>21</v>
      </c>
      <c r="B29" s="88" t="str">
        <f>'C. FILIACION'!B28</f>
        <v>TORREZ PACO JOSE MANUEL</v>
      </c>
      <c r="C29" s="31">
        <v>10</v>
      </c>
      <c r="D29" s="157">
        <v>18</v>
      </c>
      <c r="E29" s="158">
        <v>22</v>
      </c>
      <c r="F29" s="158">
        <v>10</v>
      </c>
      <c r="G29" s="31">
        <v>20</v>
      </c>
      <c r="H29" s="31"/>
      <c r="I29" s="31"/>
      <c r="J29" s="31"/>
      <c r="K29" s="31"/>
      <c r="L29" s="31"/>
      <c r="M29" s="31"/>
      <c r="N29" s="31"/>
      <c r="O29" s="91">
        <f t="shared" si="0"/>
        <v>18</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63</v>
      </c>
      <c r="AH29" s="195" t="str">
        <f t="shared" si="5"/>
        <v>APROBADO</v>
      </c>
      <c r="AI29" s="196"/>
      <c r="AJ29" s="196"/>
      <c r="AK29" s="196"/>
      <c r="AL29" s="196"/>
      <c r="AM29" s="197"/>
      <c r="AN29" s="94"/>
      <c r="AO29" s="94"/>
      <c r="AP29" s="94"/>
      <c r="AQ29" s="94"/>
      <c r="AR29" s="94"/>
    </row>
    <row r="30" spans="1:44" ht="12" customHeight="1" x14ac:dyDescent="0.3">
      <c r="A30" s="57">
        <v>22</v>
      </c>
      <c r="B30" s="88" t="str">
        <f>'C. FILIACION'!B29</f>
        <v>VELASQUEZ GUTIERREZ ALEJANDRA ANAHI</v>
      </c>
      <c r="C30" s="31">
        <v>10</v>
      </c>
      <c r="D30" s="157">
        <v>0</v>
      </c>
      <c r="E30" s="158">
        <v>0</v>
      </c>
      <c r="F30" s="158">
        <v>0</v>
      </c>
      <c r="G30" s="31">
        <v>0</v>
      </c>
      <c r="H30" s="31"/>
      <c r="I30" s="31"/>
      <c r="J30" s="31"/>
      <c r="K30" s="31"/>
      <c r="L30" s="31"/>
      <c r="M30" s="31"/>
      <c r="N30" s="31"/>
      <c r="O30" s="91">
        <f t="shared" si="0"/>
        <v>0</v>
      </c>
      <c r="P30" s="31">
        <v>0</v>
      </c>
      <c r="Q30" s="31">
        <v>0</v>
      </c>
      <c r="R30" s="31">
        <v>0</v>
      </c>
      <c r="S30" s="31">
        <v>0</v>
      </c>
      <c r="T30" s="31">
        <v>0</v>
      </c>
      <c r="U30" s="31">
        <v>0</v>
      </c>
      <c r="V30" s="31"/>
      <c r="W30" s="31"/>
      <c r="X30" s="31"/>
      <c r="Y30" s="31"/>
      <c r="Z30" s="31"/>
      <c r="AA30" s="31">
        <v>10</v>
      </c>
      <c r="AB30" s="91">
        <f t="shared" si="1"/>
        <v>0</v>
      </c>
      <c r="AC30" s="31">
        <v>5</v>
      </c>
      <c r="AD30" s="31">
        <v>5</v>
      </c>
      <c r="AE30" s="91">
        <f t="shared" si="2"/>
        <v>10</v>
      </c>
      <c r="AF30" s="92" t="str">
        <f t="shared" si="3"/>
        <v>ED</v>
      </c>
      <c r="AG30" s="91">
        <f t="shared" si="4"/>
        <v>30</v>
      </c>
      <c r="AH30" s="195" t="str">
        <f t="shared" si="5"/>
        <v>REPROBADO</v>
      </c>
      <c r="AI30" s="196"/>
      <c r="AJ30" s="196"/>
      <c r="AK30" s="196"/>
      <c r="AL30" s="196"/>
      <c r="AM30" s="197"/>
      <c r="AN30" s="94"/>
      <c r="AO30" s="94"/>
      <c r="AP30" s="94"/>
      <c r="AQ30" s="94"/>
      <c r="AR30" s="94"/>
    </row>
    <row r="31" spans="1:44" ht="12" customHeight="1" x14ac:dyDescent="0.3">
      <c r="A31" s="57">
        <v>23</v>
      </c>
      <c r="B31" s="88" t="str">
        <f>'C. FILIACION'!B30</f>
        <v>VIDEA JHENDAVIEL PAOLA</v>
      </c>
      <c r="C31" s="31">
        <v>10</v>
      </c>
      <c r="D31" s="157">
        <v>0</v>
      </c>
      <c r="E31" s="158">
        <v>21</v>
      </c>
      <c r="F31" s="158">
        <v>0</v>
      </c>
      <c r="G31" s="31">
        <v>18</v>
      </c>
      <c r="H31" s="31">
        <v>20</v>
      </c>
      <c r="I31" s="31"/>
      <c r="J31" s="31"/>
      <c r="K31" s="31"/>
      <c r="L31" s="31"/>
      <c r="M31" s="31"/>
      <c r="N31" s="31"/>
      <c r="O31" s="91">
        <f t="shared" si="0"/>
        <v>12</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63</v>
      </c>
      <c r="AH31" s="195" t="str">
        <f t="shared" si="5"/>
        <v>APROBADO</v>
      </c>
      <c r="AI31" s="196"/>
      <c r="AJ31" s="196"/>
      <c r="AK31" s="196"/>
      <c r="AL31" s="196"/>
      <c r="AM31" s="197"/>
      <c r="AN31" s="94"/>
      <c r="AO31" s="94"/>
      <c r="AP31" s="94"/>
      <c r="AQ31" s="94"/>
      <c r="AR31" s="94"/>
    </row>
    <row r="32" spans="1:44" ht="12" customHeight="1" x14ac:dyDescent="0.3">
      <c r="A32" s="57">
        <v>24</v>
      </c>
      <c r="B32" s="88">
        <f>'C. FILIACION'!B31</f>
        <v>0</v>
      </c>
      <c r="C32" s="31">
        <v>10</v>
      </c>
      <c r="D32" s="31">
        <v>35</v>
      </c>
      <c r="E32" s="159">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5" t="str">
        <f t="shared" si="5"/>
        <v>APROBADO</v>
      </c>
      <c r="AI32" s="196"/>
      <c r="AJ32" s="196"/>
      <c r="AK32" s="196"/>
      <c r="AL32" s="196"/>
      <c r="AM32" s="197"/>
      <c r="AN32" s="94"/>
      <c r="AO32" s="94"/>
      <c r="AP32" s="94"/>
      <c r="AQ32" s="94"/>
      <c r="AR32" s="94"/>
    </row>
    <row r="33" spans="1:44" ht="12" customHeight="1" x14ac:dyDescent="0.3">
      <c r="A33" s="57">
        <v>25</v>
      </c>
      <c r="B33" s="88">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5" t="str">
        <f t="shared" si="5"/>
        <v>APROBADO</v>
      </c>
      <c r="AI33" s="196"/>
      <c r="AJ33" s="196"/>
      <c r="AK33" s="196"/>
      <c r="AL33" s="196"/>
      <c r="AM33" s="197"/>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5" t="str">
        <f t="shared" si="5"/>
        <v>APROBADO</v>
      </c>
      <c r="AI34" s="196"/>
      <c r="AJ34" s="196"/>
      <c r="AK34" s="196"/>
      <c r="AL34" s="196"/>
      <c r="AM34" s="197"/>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5" t="str">
        <f t="shared" si="5"/>
        <v>APROBADO</v>
      </c>
      <c r="AI35" s="196"/>
      <c r="AJ35" s="196"/>
      <c r="AK35" s="196"/>
      <c r="AL35" s="196"/>
      <c r="AM35" s="197"/>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5" t="str">
        <f t="shared" si="5"/>
        <v>APROBADO</v>
      </c>
      <c r="AI36" s="196"/>
      <c r="AJ36" s="196"/>
      <c r="AK36" s="196"/>
      <c r="AL36" s="196"/>
      <c r="AM36" s="197"/>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5" t="str">
        <f t="shared" si="5"/>
        <v>APROBADO</v>
      </c>
      <c r="AI37" s="196"/>
      <c r="AJ37" s="196"/>
      <c r="AK37" s="196"/>
      <c r="AL37" s="196"/>
      <c r="AM37" s="197"/>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5" t="str">
        <f t="shared" si="5"/>
        <v>APROBADO</v>
      </c>
      <c r="AI38" s="196"/>
      <c r="AJ38" s="196"/>
      <c r="AK38" s="196"/>
      <c r="AL38" s="196"/>
      <c r="AM38" s="197"/>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5" t="str">
        <f t="shared" si="5"/>
        <v>APROBADO</v>
      </c>
      <c r="AI39" s="196"/>
      <c r="AJ39" s="196"/>
      <c r="AK39" s="196"/>
      <c r="AL39" s="196"/>
      <c r="AM39" s="197"/>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5" t="str">
        <f t="shared" si="5"/>
        <v>APROBADO</v>
      </c>
      <c r="AI40" s="196"/>
      <c r="AJ40" s="196"/>
      <c r="AK40" s="196"/>
      <c r="AL40" s="196"/>
      <c r="AM40" s="197"/>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5" t="str">
        <f t="shared" si="5"/>
        <v>APROBADO</v>
      </c>
      <c r="AI41" s="196"/>
      <c r="AJ41" s="196"/>
      <c r="AK41" s="196"/>
      <c r="AL41" s="196"/>
      <c r="AM41" s="197"/>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5" t="str">
        <f t="shared" si="5"/>
        <v>APROBADO</v>
      </c>
      <c r="AI42" s="196"/>
      <c r="AJ42" s="196"/>
      <c r="AK42" s="196"/>
      <c r="AL42" s="196"/>
      <c r="AM42" s="197"/>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5" t="str">
        <f t="shared" si="5"/>
        <v>APROBADO</v>
      </c>
      <c r="AI43" s="196"/>
      <c r="AJ43" s="196"/>
      <c r="AK43" s="196"/>
      <c r="AL43" s="196"/>
      <c r="AM43" s="197"/>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5" t="str">
        <f t="shared" si="5"/>
        <v>APROBADO</v>
      </c>
      <c r="AI44" s="196"/>
      <c r="AJ44" s="196"/>
      <c r="AK44" s="196"/>
      <c r="AL44" s="196"/>
      <c r="AM44" s="197"/>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00" t="s">
        <v>106</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198" t="s">
        <v>56</v>
      </c>
      <c r="AD3" s="196"/>
      <c r="AE3" s="196"/>
      <c r="AF3" s="196"/>
      <c r="AG3" s="196"/>
      <c r="AH3" s="197"/>
      <c r="AI3" s="192">
        <f>CARÁTULA!$H$24</f>
        <v>44440</v>
      </c>
      <c r="AJ3" s="174"/>
      <c r="AK3" s="174"/>
      <c r="AL3" s="174"/>
      <c r="AM3" s="174"/>
      <c r="AN3" s="201" t="s">
        <v>57</v>
      </c>
      <c r="AO3" s="165"/>
      <c r="AP3" s="165"/>
      <c r="AQ3" s="165"/>
      <c r="AR3" s="166"/>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198" t="s">
        <v>59</v>
      </c>
      <c r="AD4" s="196"/>
      <c r="AE4" s="196"/>
      <c r="AF4" s="196"/>
      <c r="AG4" s="196"/>
      <c r="AH4" s="197"/>
      <c r="AI4" s="192">
        <f>CARÁTULA!$J$24</f>
        <v>44531</v>
      </c>
      <c r="AJ4" s="174"/>
      <c r="AK4" s="174"/>
      <c r="AL4" s="174"/>
      <c r="AM4" s="174"/>
      <c r="AN4" s="194">
        <f ca="1">AI4-AI5</f>
        <v>112</v>
      </c>
      <c r="AO4" s="184"/>
      <c r="AP4" s="184"/>
      <c r="AQ4" s="184"/>
      <c r="AR4" s="185"/>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06">
        <f ca="1">TODAY()</f>
        <v>44419</v>
      </c>
      <c r="T5" s="165"/>
      <c r="U5" s="165"/>
      <c r="V5" s="165"/>
      <c r="W5" s="165"/>
      <c r="X5" s="165"/>
      <c r="Y5" s="165"/>
      <c r="Z5" s="165"/>
      <c r="AA5" s="166"/>
      <c r="AB5" s="74"/>
      <c r="AC5" s="199" t="s">
        <v>60</v>
      </c>
      <c r="AD5" s="196"/>
      <c r="AE5" s="196"/>
      <c r="AF5" s="196"/>
      <c r="AG5" s="196"/>
      <c r="AH5" s="197"/>
      <c r="AI5" s="202">
        <f ca="1">TODAY()</f>
        <v>44419</v>
      </c>
      <c r="AJ5" s="174"/>
      <c r="AK5" s="174"/>
      <c r="AL5" s="174"/>
      <c r="AM5" s="174"/>
      <c r="AN5" s="186"/>
      <c r="AO5" s="187"/>
      <c r="AP5" s="187"/>
      <c r="AQ5" s="187"/>
      <c r="AR5" s="188"/>
    </row>
    <row r="6" spans="1:48" ht="12.75" customHeight="1" x14ac:dyDescent="0.35">
      <c r="A6" s="69"/>
      <c r="B6" s="72"/>
      <c r="C6" s="180" t="s">
        <v>85</v>
      </c>
      <c r="D6" s="181"/>
      <c r="E6" s="181"/>
      <c r="F6" s="181"/>
      <c r="G6" s="181"/>
      <c r="H6" s="181"/>
      <c r="I6" s="181"/>
      <c r="J6" s="181"/>
      <c r="K6" s="181"/>
      <c r="L6" s="181"/>
      <c r="M6" s="181"/>
      <c r="N6" s="181"/>
      <c r="O6" s="181"/>
      <c r="P6" s="181"/>
      <c r="Q6" s="181"/>
      <c r="R6" s="181"/>
      <c r="S6" s="181"/>
      <c r="T6" s="181"/>
      <c r="U6" s="181"/>
      <c r="V6" s="181"/>
      <c r="W6" s="181"/>
      <c r="X6" s="181"/>
      <c r="Y6" s="181"/>
      <c r="Z6" s="181"/>
      <c r="AA6" s="182"/>
      <c r="AB6" s="207" t="s">
        <v>86</v>
      </c>
      <c r="AC6" s="196"/>
      <c r="AD6" s="196"/>
      <c r="AE6" s="197"/>
      <c r="AF6" s="78"/>
      <c r="AG6" s="79"/>
      <c r="AH6" s="79"/>
      <c r="AI6" s="80"/>
      <c r="AJ6" s="81"/>
      <c r="AK6" s="81"/>
      <c r="AL6" s="81"/>
      <c r="AM6" s="81"/>
      <c r="AN6" s="82"/>
      <c r="AO6" s="82"/>
      <c r="AP6" s="82"/>
      <c r="AQ6" s="82"/>
      <c r="AR6" s="82"/>
    </row>
    <row r="7" spans="1:48" ht="12" customHeight="1" x14ac:dyDescent="0.35">
      <c r="A7" s="69"/>
      <c r="B7" s="83"/>
      <c r="C7" s="208" t="s">
        <v>87</v>
      </c>
      <c r="D7" s="209" t="s">
        <v>88</v>
      </c>
      <c r="E7" s="196"/>
      <c r="F7" s="196"/>
      <c r="G7" s="196"/>
      <c r="H7" s="196"/>
      <c r="I7" s="196"/>
      <c r="J7" s="196"/>
      <c r="K7" s="196"/>
      <c r="L7" s="196"/>
      <c r="M7" s="196"/>
      <c r="N7" s="196"/>
      <c r="O7" s="205" t="s">
        <v>89</v>
      </c>
      <c r="P7" s="209" t="s">
        <v>90</v>
      </c>
      <c r="Q7" s="196"/>
      <c r="R7" s="196"/>
      <c r="S7" s="196"/>
      <c r="T7" s="196"/>
      <c r="U7" s="196"/>
      <c r="V7" s="196"/>
      <c r="W7" s="196"/>
      <c r="X7" s="196"/>
      <c r="Y7" s="196"/>
      <c r="Z7" s="196"/>
      <c r="AA7" s="203" t="s">
        <v>91</v>
      </c>
      <c r="AB7" s="205" t="s">
        <v>89</v>
      </c>
      <c r="AC7" s="203" t="s">
        <v>92</v>
      </c>
      <c r="AD7" s="203" t="s">
        <v>93</v>
      </c>
      <c r="AE7" s="205" t="s">
        <v>89</v>
      </c>
      <c r="AF7" s="210" t="s">
        <v>94</v>
      </c>
      <c r="AG7" s="211" t="s">
        <v>95</v>
      </c>
      <c r="AH7" s="212" t="s">
        <v>96</v>
      </c>
      <c r="AI7" s="181"/>
      <c r="AJ7" s="181"/>
      <c r="AK7" s="181"/>
      <c r="AL7" s="181"/>
      <c r="AM7" s="182"/>
      <c r="AN7" s="84"/>
      <c r="AO7" s="74"/>
      <c r="AP7" s="74"/>
      <c r="AQ7" s="74"/>
      <c r="AR7" s="69"/>
    </row>
    <row r="8" spans="1:48" ht="67.5" customHeight="1" x14ac:dyDescent="0.3">
      <c r="A8" s="48" t="s">
        <v>61</v>
      </c>
      <c r="B8" s="49" t="s">
        <v>62</v>
      </c>
      <c r="C8" s="204"/>
      <c r="D8" s="52"/>
      <c r="E8" s="52"/>
      <c r="F8" s="52"/>
      <c r="G8" s="52"/>
      <c r="H8" s="52"/>
      <c r="I8" s="52"/>
      <c r="J8" s="52"/>
      <c r="K8" s="52"/>
      <c r="L8" s="52"/>
      <c r="M8" s="52"/>
      <c r="N8" s="53"/>
      <c r="O8" s="204"/>
      <c r="P8" s="95"/>
      <c r="Q8" s="52"/>
      <c r="R8" s="52"/>
      <c r="S8" s="52"/>
      <c r="T8" s="52"/>
      <c r="U8" s="52"/>
      <c r="V8" s="52"/>
      <c r="W8" s="52"/>
      <c r="X8" s="52"/>
      <c r="Y8" s="52"/>
      <c r="Z8" s="52"/>
      <c r="AA8" s="204"/>
      <c r="AB8" s="204"/>
      <c r="AC8" s="204"/>
      <c r="AD8" s="204"/>
      <c r="AE8" s="204"/>
      <c r="AF8" s="204"/>
      <c r="AG8" s="204"/>
      <c r="AH8" s="213"/>
      <c r="AI8" s="214"/>
      <c r="AJ8" s="214"/>
      <c r="AK8" s="214"/>
      <c r="AL8" s="214"/>
      <c r="AM8" s="215"/>
      <c r="AN8" s="86"/>
      <c r="AO8" s="86"/>
      <c r="AP8" s="86"/>
      <c r="AQ8" s="86"/>
      <c r="AR8" s="87"/>
    </row>
    <row r="9" spans="1:48" ht="12" customHeight="1" x14ac:dyDescent="0.3">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195" t="str">
        <f t="shared" ref="AH9:AH44" si="5">IF(AG9="","",(IF(AND(AG9&gt;=1,AG9&lt;=50.499),"REPROBADO",IF(AND(AG9&gt;=50.5,AG9&lt;=100),"APROBADO"))))</f>
        <v>APROBADO</v>
      </c>
      <c r="AI9" s="196"/>
      <c r="AJ9" s="196"/>
      <c r="AK9" s="196"/>
      <c r="AL9" s="196"/>
      <c r="AM9" s="197"/>
      <c r="AN9" s="93" t="s">
        <v>101</v>
      </c>
      <c r="AO9" s="216">
        <f>COUNTIF(AF9:AF44,"ED")</f>
        <v>0</v>
      </c>
      <c r="AP9" s="197"/>
      <c r="AQ9" s="94"/>
      <c r="AR9" s="94"/>
    </row>
    <row r="10" spans="1:48" ht="12" customHeight="1" x14ac:dyDescent="0.3">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195" t="str">
        <f t="shared" si="5"/>
        <v>APROBADO</v>
      </c>
      <c r="AI10" s="196"/>
      <c r="AJ10" s="196"/>
      <c r="AK10" s="196"/>
      <c r="AL10" s="196"/>
      <c r="AM10" s="197"/>
      <c r="AN10" s="48" t="s">
        <v>102</v>
      </c>
      <c r="AO10" s="216">
        <f>COUNTIF(AF9:AF44,"DA")</f>
        <v>0</v>
      </c>
      <c r="AP10" s="197"/>
      <c r="AQ10" s="94"/>
      <c r="AR10" s="94"/>
    </row>
    <row r="11" spans="1:48" ht="12" customHeight="1" x14ac:dyDescent="0.3">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195" t="str">
        <f t="shared" si="5"/>
        <v>APROBADO</v>
      </c>
      <c r="AI11" s="196"/>
      <c r="AJ11" s="196"/>
      <c r="AK11" s="196"/>
      <c r="AL11" s="196"/>
      <c r="AM11" s="197"/>
      <c r="AN11" s="48" t="s">
        <v>103</v>
      </c>
      <c r="AO11" s="216">
        <f>COUNTIF(AF9:AF44,"DO")</f>
        <v>0</v>
      </c>
      <c r="AP11" s="197"/>
      <c r="AQ11" s="94"/>
      <c r="AR11" s="94"/>
    </row>
    <row r="12" spans="1:48" ht="12" customHeight="1" x14ac:dyDescent="0.3">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195" t="str">
        <f t="shared" si="5"/>
        <v>APROBADO</v>
      </c>
      <c r="AI12" s="196"/>
      <c r="AJ12" s="196"/>
      <c r="AK12" s="196"/>
      <c r="AL12" s="196"/>
      <c r="AM12" s="197"/>
      <c r="AN12" s="48" t="s">
        <v>104</v>
      </c>
      <c r="AO12" s="216">
        <f>COUNTIF(AF9:AF44,"DP")</f>
        <v>36</v>
      </c>
      <c r="AP12" s="197"/>
      <c r="AQ12" s="94"/>
      <c r="AR12" s="94"/>
    </row>
    <row r="13" spans="1:48" ht="12" customHeight="1" x14ac:dyDescent="0.3">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195" t="str">
        <f t="shared" si="5"/>
        <v>APROBADO</v>
      </c>
      <c r="AI13" s="196"/>
      <c r="AJ13" s="196"/>
      <c r="AK13" s="196"/>
      <c r="AL13" s="196"/>
      <c r="AM13" s="197"/>
      <c r="AN13" s="94"/>
      <c r="AO13" s="94"/>
      <c r="AP13" s="94"/>
      <c r="AQ13" s="94"/>
      <c r="AR13" s="94"/>
    </row>
    <row r="14" spans="1:48" ht="12" customHeight="1" x14ac:dyDescent="0.3">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195" t="str">
        <f t="shared" si="5"/>
        <v>APROBADO</v>
      </c>
      <c r="AI14" s="196"/>
      <c r="AJ14" s="196"/>
      <c r="AK14" s="196"/>
      <c r="AL14" s="196"/>
      <c r="AM14" s="197"/>
      <c r="AN14" s="94"/>
      <c r="AO14" s="94"/>
      <c r="AP14" s="94"/>
      <c r="AQ14" s="94"/>
      <c r="AR14" s="94"/>
    </row>
    <row r="15" spans="1:48" ht="12" customHeight="1" x14ac:dyDescent="0.3">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195" t="str">
        <f t="shared" si="5"/>
        <v>APROBADO</v>
      </c>
      <c r="AI15" s="196"/>
      <c r="AJ15" s="196"/>
      <c r="AK15" s="196"/>
      <c r="AL15" s="196"/>
      <c r="AM15" s="197"/>
      <c r="AN15" s="94"/>
      <c r="AO15" s="94"/>
      <c r="AP15" s="94"/>
      <c r="AQ15" s="94"/>
      <c r="AR15" s="94"/>
    </row>
    <row r="16" spans="1:48" ht="12" customHeight="1" x14ac:dyDescent="0.3">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195" t="str">
        <f t="shared" si="5"/>
        <v>APROBADO</v>
      </c>
      <c r="AI16" s="196"/>
      <c r="AJ16" s="196"/>
      <c r="AK16" s="196"/>
      <c r="AL16" s="196"/>
      <c r="AM16" s="197"/>
      <c r="AN16" s="94"/>
      <c r="AO16" s="94"/>
      <c r="AP16" s="94"/>
      <c r="AQ16" s="94"/>
      <c r="AR16" s="94"/>
    </row>
    <row r="17" spans="1:44" ht="12" customHeight="1" x14ac:dyDescent="0.3">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195" t="str">
        <f t="shared" si="5"/>
        <v>APROBADO</v>
      </c>
      <c r="AI17" s="196"/>
      <c r="AJ17" s="196"/>
      <c r="AK17" s="196"/>
      <c r="AL17" s="196"/>
      <c r="AM17" s="197"/>
      <c r="AN17" s="94"/>
      <c r="AO17" s="94"/>
      <c r="AP17" s="94"/>
      <c r="AQ17" s="94"/>
      <c r="AR17" s="94"/>
    </row>
    <row r="18" spans="1:44" ht="12" customHeight="1" x14ac:dyDescent="0.3">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195" t="str">
        <f t="shared" si="5"/>
        <v>APROBADO</v>
      </c>
      <c r="AI18" s="196"/>
      <c r="AJ18" s="196"/>
      <c r="AK18" s="196"/>
      <c r="AL18" s="196"/>
      <c r="AM18" s="197"/>
      <c r="AN18" s="94"/>
      <c r="AO18" s="94"/>
      <c r="AP18" s="94"/>
      <c r="AQ18" s="94"/>
      <c r="AR18" s="94"/>
    </row>
    <row r="19" spans="1:44" ht="12" customHeight="1" x14ac:dyDescent="0.3">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195" t="str">
        <f t="shared" si="5"/>
        <v>APROBADO</v>
      </c>
      <c r="AI19" s="196"/>
      <c r="AJ19" s="196"/>
      <c r="AK19" s="196"/>
      <c r="AL19" s="196"/>
      <c r="AM19" s="197"/>
      <c r="AN19" s="94"/>
      <c r="AO19" s="94"/>
      <c r="AP19" s="94"/>
      <c r="AQ19" s="94"/>
      <c r="AR19" s="94"/>
    </row>
    <row r="20" spans="1:44" ht="12" customHeight="1" x14ac:dyDescent="0.3">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195" t="str">
        <f t="shared" si="5"/>
        <v>APROBADO</v>
      </c>
      <c r="AI20" s="196"/>
      <c r="AJ20" s="196"/>
      <c r="AK20" s="196"/>
      <c r="AL20" s="196"/>
      <c r="AM20" s="197"/>
      <c r="AN20" s="94"/>
      <c r="AO20" s="94"/>
      <c r="AP20" s="94"/>
      <c r="AQ20" s="94"/>
      <c r="AR20" s="94"/>
    </row>
    <row r="21" spans="1:44" ht="12" customHeight="1" x14ac:dyDescent="0.3">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195" t="str">
        <f t="shared" si="5"/>
        <v>APROBADO</v>
      </c>
      <c r="AI21" s="196"/>
      <c r="AJ21" s="196"/>
      <c r="AK21" s="196"/>
      <c r="AL21" s="196"/>
      <c r="AM21" s="197"/>
      <c r="AN21" s="94"/>
      <c r="AO21" s="94"/>
      <c r="AP21" s="94"/>
      <c r="AQ21" s="94"/>
      <c r="AR21" s="94"/>
    </row>
    <row r="22" spans="1:44" ht="12" customHeight="1" x14ac:dyDescent="0.3">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195" t="str">
        <f t="shared" si="5"/>
        <v>APROBADO</v>
      </c>
      <c r="AI22" s="196"/>
      <c r="AJ22" s="196"/>
      <c r="AK22" s="196"/>
      <c r="AL22" s="196"/>
      <c r="AM22" s="197"/>
      <c r="AN22" s="94"/>
      <c r="AO22" s="94"/>
      <c r="AP22" s="94"/>
      <c r="AQ22" s="94"/>
      <c r="AR22" s="94"/>
    </row>
    <row r="23" spans="1:44" ht="12" customHeight="1" x14ac:dyDescent="0.3">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195" t="str">
        <f t="shared" si="5"/>
        <v>APROBADO</v>
      </c>
      <c r="AI23" s="196"/>
      <c r="AJ23" s="196"/>
      <c r="AK23" s="196"/>
      <c r="AL23" s="196"/>
      <c r="AM23" s="197"/>
      <c r="AN23" s="94"/>
      <c r="AO23" s="94"/>
      <c r="AP23" s="94"/>
      <c r="AQ23" s="94"/>
      <c r="AR23" s="94"/>
    </row>
    <row r="24" spans="1:44" ht="12" customHeight="1" x14ac:dyDescent="0.3">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195" t="str">
        <f t="shared" si="5"/>
        <v>APROBADO</v>
      </c>
      <c r="AI24" s="196"/>
      <c r="AJ24" s="196"/>
      <c r="AK24" s="196"/>
      <c r="AL24" s="196"/>
      <c r="AM24" s="197"/>
      <c r="AN24" s="94"/>
      <c r="AO24" s="94"/>
      <c r="AP24" s="94"/>
      <c r="AQ24" s="94"/>
      <c r="AR24" s="94"/>
    </row>
    <row r="25" spans="1:44" ht="12" customHeight="1" x14ac:dyDescent="0.3">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195" t="str">
        <f t="shared" si="5"/>
        <v>APROBADO</v>
      </c>
      <c r="AI25" s="196"/>
      <c r="AJ25" s="196"/>
      <c r="AK25" s="196"/>
      <c r="AL25" s="196"/>
      <c r="AM25" s="197"/>
      <c r="AN25" s="94"/>
      <c r="AO25" s="94"/>
      <c r="AP25" s="94"/>
      <c r="AQ25" s="94"/>
      <c r="AR25" s="94"/>
    </row>
    <row r="26" spans="1:44" ht="12" customHeight="1" x14ac:dyDescent="0.3">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195" t="str">
        <f t="shared" si="5"/>
        <v>APROBADO</v>
      </c>
      <c r="AI26" s="196"/>
      <c r="AJ26" s="196"/>
      <c r="AK26" s="196"/>
      <c r="AL26" s="196"/>
      <c r="AM26" s="197"/>
      <c r="AN26" s="94"/>
      <c r="AO26" s="94"/>
      <c r="AP26" s="94"/>
      <c r="AQ26" s="94"/>
      <c r="AR26" s="94"/>
    </row>
    <row r="27" spans="1:44" ht="12" customHeight="1" x14ac:dyDescent="0.3">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95" t="str">
        <f t="shared" si="5"/>
        <v>APROBADO</v>
      </c>
      <c r="AI27" s="196"/>
      <c r="AJ27" s="196"/>
      <c r="AK27" s="196"/>
      <c r="AL27" s="196"/>
      <c r="AM27" s="197"/>
      <c r="AN27" s="94"/>
      <c r="AO27" s="94"/>
      <c r="AP27" s="94"/>
      <c r="AQ27" s="94"/>
      <c r="AR27" s="94"/>
    </row>
    <row r="28" spans="1:44" ht="12" customHeight="1" x14ac:dyDescent="0.3">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95" t="str">
        <f t="shared" si="5"/>
        <v>APROBADO</v>
      </c>
      <c r="AI28" s="196"/>
      <c r="AJ28" s="196"/>
      <c r="AK28" s="196"/>
      <c r="AL28" s="196"/>
      <c r="AM28" s="197"/>
      <c r="AN28" s="94"/>
      <c r="AO28" s="94"/>
      <c r="AP28" s="94"/>
      <c r="AQ28" s="94"/>
      <c r="AR28" s="94"/>
    </row>
    <row r="29" spans="1:44" ht="12" customHeight="1" x14ac:dyDescent="0.3">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95" t="str">
        <f t="shared" si="5"/>
        <v>APROBADO</v>
      </c>
      <c r="AI29" s="196"/>
      <c r="AJ29" s="196"/>
      <c r="AK29" s="196"/>
      <c r="AL29" s="196"/>
      <c r="AM29" s="197"/>
      <c r="AN29" s="94"/>
      <c r="AO29" s="94"/>
      <c r="AP29" s="94"/>
      <c r="AQ29" s="94"/>
      <c r="AR29" s="94"/>
    </row>
    <row r="30" spans="1:44" ht="12" customHeight="1" x14ac:dyDescent="0.3">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95" t="str">
        <f t="shared" si="5"/>
        <v>APROBADO</v>
      </c>
      <c r="AI30" s="196"/>
      <c r="AJ30" s="196"/>
      <c r="AK30" s="196"/>
      <c r="AL30" s="196"/>
      <c r="AM30" s="197"/>
      <c r="AN30" s="94"/>
      <c r="AO30" s="94"/>
      <c r="AP30" s="94"/>
      <c r="AQ30" s="94"/>
      <c r="AR30" s="94"/>
    </row>
    <row r="31" spans="1:44" ht="12" customHeight="1" x14ac:dyDescent="0.3">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95" t="str">
        <f t="shared" si="5"/>
        <v>APROBADO</v>
      </c>
      <c r="AI31" s="196"/>
      <c r="AJ31" s="196"/>
      <c r="AK31" s="196"/>
      <c r="AL31" s="196"/>
      <c r="AM31" s="197"/>
      <c r="AN31" s="94"/>
      <c r="AO31" s="94"/>
      <c r="AP31" s="94"/>
      <c r="AQ31" s="94"/>
      <c r="AR31" s="94"/>
    </row>
    <row r="32" spans="1:44" ht="12" customHeight="1" x14ac:dyDescent="0.3">
      <c r="A32" s="57">
        <v>24</v>
      </c>
      <c r="B32" s="88">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5" t="str">
        <f t="shared" si="5"/>
        <v>APROBADO</v>
      </c>
      <c r="AI32" s="196"/>
      <c r="AJ32" s="196"/>
      <c r="AK32" s="196"/>
      <c r="AL32" s="196"/>
      <c r="AM32" s="197"/>
      <c r="AN32" s="94"/>
      <c r="AO32" s="94"/>
      <c r="AP32" s="94"/>
      <c r="AQ32" s="94"/>
      <c r="AR32" s="94"/>
    </row>
    <row r="33" spans="1:44" ht="12" customHeight="1" x14ac:dyDescent="0.3">
      <c r="A33" s="57">
        <v>25</v>
      </c>
      <c r="B33" s="88">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5" t="str">
        <f t="shared" si="5"/>
        <v>APROBADO</v>
      </c>
      <c r="AI33" s="196"/>
      <c r="AJ33" s="196"/>
      <c r="AK33" s="196"/>
      <c r="AL33" s="196"/>
      <c r="AM33" s="197"/>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5" t="str">
        <f t="shared" si="5"/>
        <v>APROBADO</v>
      </c>
      <c r="AI34" s="196"/>
      <c r="AJ34" s="196"/>
      <c r="AK34" s="196"/>
      <c r="AL34" s="196"/>
      <c r="AM34" s="197"/>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5" t="str">
        <f t="shared" si="5"/>
        <v>APROBADO</v>
      </c>
      <c r="AI35" s="196"/>
      <c r="AJ35" s="196"/>
      <c r="AK35" s="196"/>
      <c r="AL35" s="196"/>
      <c r="AM35" s="197"/>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5" t="str">
        <f t="shared" si="5"/>
        <v>APROBADO</v>
      </c>
      <c r="AI36" s="196"/>
      <c r="AJ36" s="196"/>
      <c r="AK36" s="196"/>
      <c r="AL36" s="196"/>
      <c r="AM36" s="197"/>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5" t="str">
        <f t="shared" si="5"/>
        <v>APROBADO</v>
      </c>
      <c r="AI37" s="196"/>
      <c r="AJ37" s="196"/>
      <c r="AK37" s="196"/>
      <c r="AL37" s="196"/>
      <c r="AM37" s="197"/>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5" t="str">
        <f t="shared" si="5"/>
        <v>APROBADO</v>
      </c>
      <c r="AI38" s="196"/>
      <c r="AJ38" s="196"/>
      <c r="AK38" s="196"/>
      <c r="AL38" s="196"/>
      <c r="AM38" s="197"/>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5" t="str">
        <f t="shared" si="5"/>
        <v>APROBADO</v>
      </c>
      <c r="AI39" s="196"/>
      <c r="AJ39" s="196"/>
      <c r="AK39" s="196"/>
      <c r="AL39" s="196"/>
      <c r="AM39" s="197"/>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5" t="str">
        <f t="shared" si="5"/>
        <v>APROBADO</v>
      </c>
      <c r="AI40" s="196"/>
      <c r="AJ40" s="196"/>
      <c r="AK40" s="196"/>
      <c r="AL40" s="196"/>
      <c r="AM40" s="197"/>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5" t="str">
        <f t="shared" si="5"/>
        <v>APROBADO</v>
      </c>
      <c r="AI41" s="196"/>
      <c r="AJ41" s="196"/>
      <c r="AK41" s="196"/>
      <c r="AL41" s="196"/>
      <c r="AM41" s="197"/>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5" t="str">
        <f t="shared" si="5"/>
        <v>APROBADO</v>
      </c>
      <c r="AI42" s="196"/>
      <c r="AJ42" s="196"/>
      <c r="AK42" s="196"/>
      <c r="AL42" s="196"/>
      <c r="AM42" s="197"/>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5" t="str">
        <f t="shared" si="5"/>
        <v>APROBADO</v>
      </c>
      <c r="AI43" s="196"/>
      <c r="AJ43" s="196"/>
      <c r="AK43" s="196"/>
      <c r="AL43" s="196"/>
      <c r="AM43" s="197"/>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5" t="str">
        <f t="shared" si="5"/>
        <v>APROBADO</v>
      </c>
      <c r="AI44" s="196"/>
      <c r="AJ44" s="196"/>
      <c r="AK44" s="196"/>
      <c r="AL44" s="196"/>
      <c r="AM44" s="197"/>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178" t="s">
        <v>107</v>
      </c>
      <c r="C2" s="174"/>
      <c r="D2" s="174"/>
      <c r="E2" s="174"/>
      <c r="F2" s="174"/>
      <c r="G2" s="174"/>
      <c r="H2" s="174"/>
      <c r="I2" s="174"/>
      <c r="J2" s="174"/>
      <c r="K2" s="174"/>
      <c r="L2" s="174"/>
      <c r="M2" s="174"/>
      <c r="N2" s="174"/>
      <c r="O2" s="174"/>
      <c r="P2" s="174"/>
      <c r="Q2" s="174"/>
      <c r="R2" s="174"/>
      <c r="S2" s="174"/>
      <c r="T2" s="174"/>
      <c r="U2" s="174"/>
      <c r="V2" s="174"/>
      <c r="W2" s="174"/>
      <c r="X2" s="174"/>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
      <c r="B5" s="38" t="s">
        <v>22</v>
      </c>
      <c r="C5" s="96" t="str">
        <f>CARÁTULA!$C$23</f>
        <v>5to de Secundaria</v>
      </c>
      <c r="D5" s="40"/>
      <c r="E5" s="40"/>
      <c r="F5" s="40"/>
      <c r="G5" s="40"/>
      <c r="H5" s="40"/>
      <c r="I5" s="40"/>
      <c r="J5" s="40"/>
      <c r="K5" s="40"/>
      <c r="L5" s="40"/>
      <c r="M5" s="40"/>
      <c r="N5" s="38"/>
      <c r="O5" s="38"/>
      <c r="P5" s="38"/>
      <c r="Q5" s="38"/>
      <c r="R5" s="43" t="s">
        <v>23</v>
      </c>
      <c r="S5" s="44"/>
      <c r="T5" s="44"/>
      <c r="U5" s="192">
        <f ca="1">TODAY()</f>
        <v>44419</v>
      </c>
      <c r="V5" s="174"/>
      <c r="W5" s="174"/>
      <c r="X5" s="174"/>
    </row>
    <row r="6" spans="1:28" ht="12.75" customHeight="1" x14ac:dyDescent="0.3">
      <c r="B6" s="38"/>
      <c r="C6" s="217" t="s">
        <v>4</v>
      </c>
      <c r="D6" s="196"/>
      <c r="E6" s="196"/>
      <c r="F6" s="196"/>
      <c r="G6" s="196"/>
      <c r="H6" s="197"/>
      <c r="I6" s="217" t="s">
        <v>10</v>
      </c>
      <c r="J6" s="196"/>
      <c r="K6" s="196"/>
      <c r="L6" s="196"/>
      <c r="M6" s="196"/>
      <c r="N6" s="197"/>
      <c r="O6" s="217" t="s">
        <v>16</v>
      </c>
      <c r="P6" s="196"/>
      <c r="Q6" s="196"/>
      <c r="R6" s="196"/>
      <c r="S6" s="196"/>
      <c r="T6" s="197"/>
      <c r="U6" s="222" t="s">
        <v>108</v>
      </c>
      <c r="V6" s="218" t="s">
        <v>109</v>
      </c>
      <c r="W6" s="65"/>
      <c r="X6" s="65"/>
    </row>
    <row r="7" spans="1:28" ht="12" customHeight="1" x14ac:dyDescent="0.3">
      <c r="B7" s="47"/>
      <c r="C7" s="220"/>
      <c r="D7" s="196"/>
      <c r="E7" s="196"/>
      <c r="F7" s="196"/>
      <c r="G7" s="197"/>
      <c r="H7" s="221" t="s">
        <v>110</v>
      </c>
      <c r="I7" s="220"/>
      <c r="J7" s="196"/>
      <c r="K7" s="196"/>
      <c r="L7" s="196"/>
      <c r="M7" s="197"/>
      <c r="N7" s="221" t="s">
        <v>110</v>
      </c>
      <c r="O7" s="220"/>
      <c r="P7" s="196"/>
      <c r="Q7" s="196"/>
      <c r="R7" s="196"/>
      <c r="S7" s="197"/>
      <c r="T7" s="208" t="s">
        <v>110</v>
      </c>
      <c r="U7" s="219"/>
      <c r="V7" s="219"/>
      <c r="W7" s="40"/>
      <c r="X7" s="40"/>
    </row>
    <row r="8" spans="1:28" ht="67.5" customHeight="1" x14ac:dyDescent="0.3">
      <c r="A8" s="48" t="s">
        <v>61</v>
      </c>
      <c r="B8" s="49" t="s">
        <v>62</v>
      </c>
      <c r="C8" s="97" t="s">
        <v>87</v>
      </c>
      <c r="D8" s="98" t="s">
        <v>88</v>
      </c>
      <c r="E8" s="98" t="s">
        <v>90</v>
      </c>
      <c r="F8" s="98" t="s">
        <v>91</v>
      </c>
      <c r="G8" s="98" t="s">
        <v>111</v>
      </c>
      <c r="H8" s="204"/>
      <c r="I8" s="97" t="s">
        <v>87</v>
      </c>
      <c r="J8" s="98" t="s">
        <v>88</v>
      </c>
      <c r="K8" s="98" t="s">
        <v>90</v>
      </c>
      <c r="L8" s="98" t="s">
        <v>91</v>
      </c>
      <c r="M8" s="98" t="s">
        <v>111</v>
      </c>
      <c r="N8" s="204"/>
      <c r="O8" s="97" t="s">
        <v>87</v>
      </c>
      <c r="P8" s="98" t="s">
        <v>88</v>
      </c>
      <c r="Q8" s="98" t="s">
        <v>90</v>
      </c>
      <c r="R8" s="98" t="s">
        <v>91</v>
      </c>
      <c r="S8" s="98" t="s">
        <v>111</v>
      </c>
      <c r="T8" s="204"/>
      <c r="U8" s="204"/>
      <c r="V8" s="204"/>
      <c r="W8" s="99"/>
      <c r="X8" s="99"/>
    </row>
    <row r="9" spans="1:28" ht="12" customHeight="1" x14ac:dyDescent="0.3">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25</v>
      </c>
      <c r="K9" s="31">
        <f>'VAL 2 TRIM'!AB9</f>
        <v>30</v>
      </c>
      <c r="L9" s="31">
        <f>'VAL 2 TRIM'!AA9</f>
        <v>10</v>
      </c>
      <c r="M9" s="31">
        <f>'VAL 2 TRIM'!AE9</f>
        <v>10</v>
      </c>
      <c r="N9" s="100">
        <f>'VAL 2 TRIM'!AG9</f>
        <v>85</v>
      </c>
      <c r="O9" s="31">
        <f>'VAL 3 TRIM'!C9</f>
        <v>10</v>
      </c>
      <c r="P9" s="31">
        <f>'VAL 3 TRIM'!O9</f>
        <v>35</v>
      </c>
      <c r="Q9" s="31">
        <f>'VAL 3 TRIM'!AB9</f>
        <v>35</v>
      </c>
      <c r="R9" s="31">
        <f>'VAL 3 TRIM'!AA9</f>
        <v>10</v>
      </c>
      <c r="S9" s="31">
        <f>'VAL 3 TRIM'!AE9</f>
        <v>10</v>
      </c>
      <c r="T9" s="100">
        <f>'VAL 3 TRIM'!AG9</f>
        <v>100</v>
      </c>
      <c r="U9" s="101">
        <f t="shared" ref="U9:U44" si="0">AVERAGE(H9,N9,T9)</f>
        <v>91</v>
      </c>
      <c r="V9" s="102" t="str">
        <f t="shared" ref="V9:V44" si="1">IF(U9="","",(IF(AND(U9&gt;=1,U9&lt;=50.499),"REPROBADO",IF(AND(U9&gt;=50.5,U9&lt;=100),"APROBADO"))))</f>
        <v>APROBADO</v>
      </c>
      <c r="W9" s="103"/>
      <c r="X9" s="103"/>
    </row>
    <row r="10" spans="1:28" ht="12" customHeight="1" x14ac:dyDescent="0.3">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23</v>
      </c>
      <c r="K10" s="31">
        <f>'VAL 2 TRIM'!AB10</f>
        <v>24</v>
      </c>
      <c r="L10" s="31">
        <f>'VAL 2 TRIM'!AA10</f>
        <v>10</v>
      </c>
      <c r="M10" s="31">
        <f>'VAL 2 TRIM'!AE10</f>
        <v>10</v>
      </c>
      <c r="N10" s="100">
        <f>'VAL 2 TRIM'!AG10</f>
        <v>77</v>
      </c>
      <c r="O10" s="31">
        <f>'VAL 3 TRIM'!C10</f>
        <v>10</v>
      </c>
      <c r="P10" s="31">
        <f>'VAL 3 TRIM'!O10</f>
        <v>35</v>
      </c>
      <c r="Q10" s="31">
        <f>'VAL 3 TRIM'!AB10</f>
        <v>35</v>
      </c>
      <c r="R10" s="31">
        <f>'VAL 3 TRIM'!AA10</f>
        <v>10</v>
      </c>
      <c r="S10" s="48">
        <f>'VAL 3 TRIM'!AE10</f>
        <v>10</v>
      </c>
      <c r="T10" s="100">
        <f>'VAL 3 TRIM'!AG10</f>
        <v>100</v>
      </c>
      <c r="U10" s="101">
        <f t="shared" si="0"/>
        <v>86.666666666666671</v>
      </c>
      <c r="V10" s="102" t="str">
        <f t="shared" si="1"/>
        <v>APROBADO</v>
      </c>
      <c r="W10" s="103"/>
      <c r="X10" s="103"/>
    </row>
    <row r="11" spans="1:28" ht="12" customHeight="1" x14ac:dyDescent="0.3">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28</v>
      </c>
      <c r="K11" s="31">
        <f>'VAL 2 TRIM'!AB11</f>
        <v>25</v>
      </c>
      <c r="L11" s="31">
        <f>'VAL 2 TRIM'!AA11</f>
        <v>10</v>
      </c>
      <c r="M11" s="31">
        <f>'VAL 2 TRIM'!AE11</f>
        <v>10</v>
      </c>
      <c r="N11" s="100">
        <f>'VAL 2 TRIM'!AG11</f>
        <v>83</v>
      </c>
      <c r="O11" s="31">
        <f>'VAL 3 TRIM'!C11</f>
        <v>10</v>
      </c>
      <c r="P11" s="31">
        <f>'VAL 3 TRIM'!O11</f>
        <v>35</v>
      </c>
      <c r="Q11" s="31">
        <f>'VAL 3 TRIM'!AB11</f>
        <v>35</v>
      </c>
      <c r="R11" s="31">
        <f>'VAL 3 TRIM'!AA11</f>
        <v>10</v>
      </c>
      <c r="S11" s="48">
        <f>'VAL 3 TRIM'!AE11</f>
        <v>10</v>
      </c>
      <c r="T11" s="100">
        <f>'VAL 3 TRIM'!AG11</f>
        <v>100</v>
      </c>
      <c r="U11" s="101">
        <f t="shared" si="0"/>
        <v>89.333333333333329</v>
      </c>
      <c r="V11" s="102" t="str">
        <f t="shared" si="1"/>
        <v>APROBADO</v>
      </c>
      <c r="W11" s="103"/>
      <c r="X11" s="103"/>
    </row>
    <row r="12" spans="1:28" ht="12" customHeight="1" x14ac:dyDescent="0.3">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3">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0</v>
      </c>
      <c r="K13" s="31">
        <f>'VAL 2 TRIM'!AB13</f>
        <v>0</v>
      </c>
      <c r="L13" s="31">
        <f>'VAL 2 TRIM'!AA13</f>
        <v>10</v>
      </c>
      <c r="M13" s="31">
        <f>'VAL 2 TRIM'!AE13</f>
        <v>10</v>
      </c>
      <c r="N13" s="100">
        <f>'VAL 2 TRIM'!AG13</f>
        <v>30</v>
      </c>
      <c r="O13" s="31">
        <f>'VAL 3 TRIM'!C13</f>
        <v>10</v>
      </c>
      <c r="P13" s="31">
        <f>'VAL 3 TRIM'!O13</f>
        <v>35</v>
      </c>
      <c r="Q13" s="31">
        <f>'VAL 3 TRIM'!AB13</f>
        <v>35</v>
      </c>
      <c r="R13" s="31">
        <f>'VAL 3 TRIM'!AA13</f>
        <v>10</v>
      </c>
      <c r="S13" s="48">
        <f>'VAL 3 TRIM'!AE13</f>
        <v>10</v>
      </c>
      <c r="T13" s="100">
        <f>'VAL 3 TRIM'!AG13</f>
        <v>100</v>
      </c>
      <c r="U13" s="101">
        <f t="shared" si="0"/>
        <v>72.666666666666671</v>
      </c>
      <c r="V13" s="102" t="str">
        <f t="shared" si="1"/>
        <v>APROBADO</v>
      </c>
      <c r="W13" s="103"/>
      <c r="X13" s="103"/>
    </row>
    <row r="14" spans="1:28" ht="12" customHeight="1" x14ac:dyDescent="0.3">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3">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20</v>
      </c>
      <c r="K15" s="31">
        <f>'VAL 2 TRIM'!AB15</f>
        <v>9</v>
      </c>
      <c r="L15" s="31">
        <f>'VAL 2 TRIM'!AA15</f>
        <v>10</v>
      </c>
      <c r="M15" s="31">
        <f>'VAL 2 TRIM'!AE15</f>
        <v>10</v>
      </c>
      <c r="N15" s="100">
        <f>'VAL 2 TRIM'!AG15</f>
        <v>59</v>
      </c>
      <c r="O15" s="31">
        <f>'VAL 3 TRIM'!C15</f>
        <v>10</v>
      </c>
      <c r="P15" s="31">
        <f>'VAL 3 TRIM'!O15</f>
        <v>35</v>
      </c>
      <c r="Q15" s="31">
        <f>'VAL 3 TRIM'!AB15</f>
        <v>35</v>
      </c>
      <c r="R15" s="31">
        <f>'VAL 3 TRIM'!AA15</f>
        <v>10</v>
      </c>
      <c r="S15" s="48">
        <f>'VAL 3 TRIM'!AE15</f>
        <v>10</v>
      </c>
      <c r="T15" s="100">
        <f>'VAL 3 TRIM'!AG15</f>
        <v>100</v>
      </c>
      <c r="U15" s="101">
        <f t="shared" si="0"/>
        <v>81.333333333333329</v>
      </c>
      <c r="V15" s="102" t="str">
        <f t="shared" si="1"/>
        <v>APROBADO</v>
      </c>
      <c r="W15" s="103"/>
      <c r="X15" s="103"/>
    </row>
    <row r="16" spans="1:28" ht="12" customHeight="1" x14ac:dyDescent="0.3">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4</v>
      </c>
      <c r="K16" s="31">
        <f>'VAL 2 TRIM'!AB16</f>
        <v>0</v>
      </c>
      <c r="L16" s="31">
        <f>'VAL 2 TRIM'!AA16</f>
        <v>10</v>
      </c>
      <c r="M16" s="31">
        <f>'VAL 2 TRIM'!AE16</f>
        <v>10</v>
      </c>
      <c r="N16" s="100">
        <f>'VAL 2 TRIM'!AG16</f>
        <v>34</v>
      </c>
      <c r="O16" s="31">
        <f>'VAL 3 TRIM'!C16</f>
        <v>10</v>
      </c>
      <c r="P16" s="31">
        <f>'VAL 3 TRIM'!O16</f>
        <v>35</v>
      </c>
      <c r="Q16" s="31">
        <f>'VAL 3 TRIM'!AB16</f>
        <v>35</v>
      </c>
      <c r="R16" s="31">
        <f>'VAL 3 TRIM'!AA16</f>
        <v>10</v>
      </c>
      <c r="S16" s="48">
        <f>'VAL 3 TRIM'!AE16</f>
        <v>10</v>
      </c>
      <c r="T16" s="100">
        <f>'VAL 3 TRIM'!AG16</f>
        <v>100</v>
      </c>
      <c r="U16" s="101">
        <f t="shared" si="0"/>
        <v>73.666666666666671</v>
      </c>
      <c r="V16" s="102" t="str">
        <f t="shared" si="1"/>
        <v>APROBADO</v>
      </c>
      <c r="W16" s="103"/>
      <c r="X16" s="103"/>
    </row>
    <row r="17" spans="1:24" ht="12" customHeight="1" x14ac:dyDescent="0.3">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33</v>
      </c>
      <c r="K17" s="31">
        <f>'VAL 2 TRIM'!AB17</f>
        <v>34</v>
      </c>
      <c r="L17" s="31">
        <f>'VAL 2 TRIM'!AA17</f>
        <v>10</v>
      </c>
      <c r="M17" s="31">
        <f>'VAL 2 TRIM'!AE17</f>
        <v>10</v>
      </c>
      <c r="N17" s="100">
        <f>'VAL 2 TRIM'!AG17</f>
        <v>97</v>
      </c>
      <c r="O17" s="31">
        <f>'VAL 3 TRIM'!C17</f>
        <v>10</v>
      </c>
      <c r="P17" s="31">
        <f>'VAL 3 TRIM'!O17</f>
        <v>35</v>
      </c>
      <c r="Q17" s="31">
        <f>'VAL 3 TRIM'!AB17</f>
        <v>35</v>
      </c>
      <c r="R17" s="31">
        <f>'VAL 3 TRIM'!AA17</f>
        <v>10</v>
      </c>
      <c r="S17" s="48">
        <f>'VAL 3 TRIM'!AE17</f>
        <v>10</v>
      </c>
      <c r="T17" s="100">
        <f>'VAL 3 TRIM'!AG17</f>
        <v>100</v>
      </c>
      <c r="U17" s="101">
        <f t="shared" si="0"/>
        <v>95</v>
      </c>
      <c r="V17" s="102" t="str">
        <f t="shared" si="1"/>
        <v>APROBADO</v>
      </c>
      <c r="W17" s="103"/>
      <c r="X17" s="103"/>
    </row>
    <row r="18" spans="1:24" ht="12" customHeight="1" x14ac:dyDescent="0.3">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5</v>
      </c>
      <c r="K18" s="31">
        <f>'VAL 2 TRIM'!AB18</f>
        <v>0</v>
      </c>
      <c r="L18" s="31">
        <f>'VAL 2 TRIM'!AA18</f>
        <v>10</v>
      </c>
      <c r="M18" s="31">
        <f>'VAL 2 TRIM'!AE18</f>
        <v>10</v>
      </c>
      <c r="N18" s="100">
        <f>'VAL 2 TRIM'!AG18</f>
        <v>35</v>
      </c>
      <c r="O18" s="31">
        <f>'VAL 3 TRIM'!C18</f>
        <v>10</v>
      </c>
      <c r="P18" s="31">
        <f>'VAL 3 TRIM'!O18</f>
        <v>35</v>
      </c>
      <c r="Q18" s="31">
        <f>'VAL 3 TRIM'!AB18</f>
        <v>35</v>
      </c>
      <c r="R18" s="31">
        <f>'VAL 3 TRIM'!AA18</f>
        <v>10</v>
      </c>
      <c r="S18" s="48">
        <f>'VAL 3 TRIM'!AE18</f>
        <v>10</v>
      </c>
      <c r="T18" s="100">
        <f>'VAL 3 TRIM'!AG18</f>
        <v>100</v>
      </c>
      <c r="U18" s="101">
        <f t="shared" si="0"/>
        <v>74.333333333333329</v>
      </c>
      <c r="V18" s="102" t="str">
        <f t="shared" si="1"/>
        <v>APROBADO</v>
      </c>
      <c r="W18" s="103"/>
      <c r="X18" s="103"/>
    </row>
    <row r="19" spans="1:24" ht="12" customHeight="1" x14ac:dyDescent="0.3">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3">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3">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3">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26</v>
      </c>
      <c r="K22" s="31">
        <f>'VAL 2 TRIM'!AB22</f>
        <v>20</v>
      </c>
      <c r="L22" s="31">
        <f>'VAL 2 TRIM'!AA22</f>
        <v>10</v>
      </c>
      <c r="M22" s="31">
        <f>'VAL 2 TRIM'!AE22</f>
        <v>10</v>
      </c>
      <c r="N22" s="100">
        <f>'VAL 2 TRIM'!AG22</f>
        <v>76</v>
      </c>
      <c r="O22" s="31">
        <f>'VAL 3 TRIM'!C22</f>
        <v>10</v>
      </c>
      <c r="P22" s="31">
        <f>'VAL 3 TRIM'!O22</f>
        <v>35</v>
      </c>
      <c r="Q22" s="31">
        <f>'VAL 3 TRIM'!AB22</f>
        <v>35</v>
      </c>
      <c r="R22" s="31">
        <f>'VAL 3 TRIM'!AA22</f>
        <v>10</v>
      </c>
      <c r="S22" s="48">
        <f>'VAL 3 TRIM'!AE22</f>
        <v>10</v>
      </c>
      <c r="T22" s="100">
        <f>'VAL 3 TRIM'!AG22</f>
        <v>100</v>
      </c>
      <c r="U22" s="101">
        <f t="shared" si="0"/>
        <v>88</v>
      </c>
      <c r="V22" s="102" t="str">
        <f t="shared" si="1"/>
        <v>APROBADO</v>
      </c>
      <c r="W22" s="103"/>
      <c r="X22" s="103"/>
    </row>
    <row r="23" spans="1:24" ht="12" customHeight="1" x14ac:dyDescent="0.3">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3">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22</v>
      </c>
      <c r="K24" s="31">
        <f>'VAL 2 TRIM'!AB24</f>
        <v>25</v>
      </c>
      <c r="L24" s="31">
        <f>'VAL 2 TRIM'!AA24</f>
        <v>10</v>
      </c>
      <c r="M24" s="31">
        <f>'VAL 2 TRIM'!AE24</f>
        <v>10</v>
      </c>
      <c r="N24" s="100">
        <f>'VAL 2 TRIM'!AG24</f>
        <v>77</v>
      </c>
      <c r="O24" s="31">
        <f>'VAL 3 TRIM'!C24</f>
        <v>10</v>
      </c>
      <c r="P24" s="31">
        <f>'VAL 3 TRIM'!O24</f>
        <v>35</v>
      </c>
      <c r="Q24" s="31">
        <f>'VAL 3 TRIM'!AB24</f>
        <v>35</v>
      </c>
      <c r="R24" s="31">
        <f>'VAL 3 TRIM'!AA24</f>
        <v>10</v>
      </c>
      <c r="S24" s="48">
        <f>'VAL 3 TRIM'!AE24</f>
        <v>10</v>
      </c>
      <c r="T24" s="100">
        <f>'VAL 3 TRIM'!AG24</f>
        <v>100</v>
      </c>
      <c r="U24" s="101">
        <f t="shared" si="0"/>
        <v>88.333333333333329</v>
      </c>
      <c r="V24" s="102" t="str">
        <f t="shared" si="1"/>
        <v>APROBADO</v>
      </c>
      <c r="W24" s="103"/>
      <c r="X24" s="103"/>
    </row>
    <row r="25" spans="1:24" ht="12" customHeight="1" x14ac:dyDescent="0.3">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19</v>
      </c>
      <c r="K25" s="31">
        <f>'VAL 2 TRIM'!AB25</f>
        <v>24</v>
      </c>
      <c r="L25" s="31">
        <f>'VAL 2 TRIM'!AA25</f>
        <v>10</v>
      </c>
      <c r="M25" s="31">
        <f>'VAL 2 TRIM'!AE25</f>
        <v>10</v>
      </c>
      <c r="N25" s="100">
        <f>'VAL 2 TRIM'!AG25</f>
        <v>73</v>
      </c>
      <c r="O25" s="31">
        <f>'VAL 3 TRIM'!C25</f>
        <v>10</v>
      </c>
      <c r="P25" s="31">
        <f>'VAL 3 TRIM'!O25</f>
        <v>35</v>
      </c>
      <c r="Q25" s="31">
        <f>'VAL 3 TRIM'!AB25</f>
        <v>35</v>
      </c>
      <c r="R25" s="31">
        <f>'VAL 3 TRIM'!AA25</f>
        <v>10</v>
      </c>
      <c r="S25" s="48">
        <f>'VAL 3 TRIM'!AE25</f>
        <v>10</v>
      </c>
      <c r="T25" s="100">
        <f>'VAL 3 TRIM'!AG25</f>
        <v>100</v>
      </c>
      <c r="U25" s="101">
        <f t="shared" si="0"/>
        <v>87</v>
      </c>
      <c r="V25" s="102" t="str">
        <f t="shared" si="1"/>
        <v>APROBADO</v>
      </c>
      <c r="W25" s="103"/>
      <c r="X25" s="103"/>
    </row>
    <row r="26" spans="1:24" ht="12" customHeight="1" x14ac:dyDescent="0.3">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24</v>
      </c>
      <c r="K26" s="31">
        <f>'VAL 2 TRIM'!AB26</f>
        <v>20</v>
      </c>
      <c r="L26" s="31">
        <f>'VAL 2 TRIM'!AA26</f>
        <v>10</v>
      </c>
      <c r="M26" s="31">
        <f>'VAL 2 TRIM'!AE26</f>
        <v>10</v>
      </c>
      <c r="N26" s="100">
        <f>'VAL 2 TRIM'!AG26</f>
        <v>74</v>
      </c>
      <c r="O26" s="31">
        <f>'VAL 3 TRIM'!C26</f>
        <v>10</v>
      </c>
      <c r="P26" s="31">
        <f>'VAL 3 TRIM'!O26</f>
        <v>35</v>
      </c>
      <c r="Q26" s="31">
        <f>'VAL 3 TRIM'!AB26</f>
        <v>35</v>
      </c>
      <c r="R26" s="31">
        <f>'VAL 3 TRIM'!AA26</f>
        <v>10</v>
      </c>
      <c r="S26" s="48">
        <f>'VAL 3 TRIM'!AE26</f>
        <v>10</v>
      </c>
      <c r="T26" s="100">
        <f>'VAL 3 TRIM'!AG26</f>
        <v>100</v>
      </c>
      <c r="U26" s="101">
        <f t="shared" si="0"/>
        <v>87.333333333333329</v>
      </c>
      <c r="V26" s="102" t="str">
        <f t="shared" si="1"/>
        <v>APROBADO</v>
      </c>
      <c r="W26" s="103"/>
      <c r="X26" s="103"/>
    </row>
    <row r="27" spans="1:24" ht="12" customHeight="1" x14ac:dyDescent="0.3">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14</v>
      </c>
      <c r="K27" s="31">
        <f>'VAL 2 TRIM'!AB27</f>
        <v>15</v>
      </c>
      <c r="L27" s="31">
        <f>'VAL 2 TRIM'!AA27</f>
        <v>10</v>
      </c>
      <c r="M27" s="31">
        <f>'VAL 2 TRIM'!AE27</f>
        <v>10</v>
      </c>
      <c r="N27" s="100">
        <f>'VAL 2 TRIM'!AG27</f>
        <v>59</v>
      </c>
      <c r="O27" s="31">
        <f>'VAL 3 TRIM'!C27</f>
        <v>10</v>
      </c>
      <c r="P27" s="31">
        <f>'VAL 3 TRIM'!O27</f>
        <v>35</v>
      </c>
      <c r="Q27" s="31">
        <f>'VAL 3 TRIM'!AB27</f>
        <v>35</v>
      </c>
      <c r="R27" s="31">
        <f>'VAL 3 TRIM'!AA27</f>
        <v>10</v>
      </c>
      <c r="S27" s="48">
        <f>'VAL 3 TRIM'!AE27</f>
        <v>10</v>
      </c>
      <c r="T27" s="100">
        <f>'VAL 3 TRIM'!AG27</f>
        <v>100</v>
      </c>
      <c r="U27" s="101">
        <f t="shared" si="0"/>
        <v>81.333333333333329</v>
      </c>
      <c r="V27" s="102" t="str">
        <f t="shared" si="1"/>
        <v>APROBADO</v>
      </c>
      <c r="W27" s="103"/>
      <c r="X27" s="103"/>
    </row>
    <row r="28" spans="1:24" ht="12" customHeight="1" x14ac:dyDescent="0.3">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13</v>
      </c>
      <c r="K28" s="31">
        <f>'VAL 2 TRIM'!AB28</f>
        <v>0</v>
      </c>
      <c r="L28" s="31">
        <f>'VAL 2 TRIM'!AA28</f>
        <v>10</v>
      </c>
      <c r="M28" s="31">
        <f>'VAL 2 TRIM'!AE28</f>
        <v>10</v>
      </c>
      <c r="N28" s="100">
        <f>'VAL 2 TRIM'!AG28</f>
        <v>43</v>
      </c>
      <c r="O28" s="31">
        <f>'VAL 3 TRIM'!C28</f>
        <v>10</v>
      </c>
      <c r="P28" s="31">
        <f>'VAL 3 TRIM'!O28</f>
        <v>35</v>
      </c>
      <c r="Q28" s="31">
        <f>'VAL 3 TRIM'!AB28</f>
        <v>35</v>
      </c>
      <c r="R28" s="31">
        <f>'VAL 3 TRIM'!AA28</f>
        <v>10</v>
      </c>
      <c r="S28" s="48">
        <f>'VAL 3 TRIM'!AE28</f>
        <v>10</v>
      </c>
      <c r="T28" s="100">
        <f>'VAL 3 TRIM'!AG28</f>
        <v>100</v>
      </c>
      <c r="U28" s="101">
        <f t="shared" si="0"/>
        <v>77</v>
      </c>
      <c r="V28" s="102" t="str">
        <f t="shared" si="1"/>
        <v>APROBADO</v>
      </c>
      <c r="W28" s="103"/>
      <c r="X28" s="103"/>
    </row>
    <row r="29" spans="1:24" ht="12" customHeight="1" x14ac:dyDescent="0.3">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18</v>
      </c>
      <c r="K29" s="31">
        <f>'VAL 2 TRIM'!AB29</f>
        <v>15</v>
      </c>
      <c r="L29" s="31">
        <f>'VAL 2 TRIM'!AA29</f>
        <v>10</v>
      </c>
      <c r="M29" s="31">
        <f>'VAL 2 TRIM'!AE29</f>
        <v>10</v>
      </c>
      <c r="N29" s="100">
        <f>'VAL 2 TRIM'!AG29</f>
        <v>63</v>
      </c>
      <c r="O29" s="31">
        <f>'VAL 3 TRIM'!C29</f>
        <v>10</v>
      </c>
      <c r="P29" s="31">
        <f>'VAL 3 TRIM'!O29</f>
        <v>35</v>
      </c>
      <c r="Q29" s="31">
        <f>'VAL 3 TRIM'!AB29</f>
        <v>35</v>
      </c>
      <c r="R29" s="31">
        <f>'VAL 3 TRIM'!AA29</f>
        <v>10</v>
      </c>
      <c r="S29" s="48">
        <f>'VAL 3 TRIM'!AE29</f>
        <v>10</v>
      </c>
      <c r="T29" s="100">
        <f>'VAL 3 TRIM'!AG29</f>
        <v>100</v>
      </c>
      <c r="U29" s="101">
        <f t="shared" si="0"/>
        <v>83.666666666666671</v>
      </c>
      <c r="V29" s="102" t="str">
        <f t="shared" si="1"/>
        <v>APROBADO</v>
      </c>
      <c r="W29" s="103"/>
      <c r="X29" s="103"/>
    </row>
    <row r="30" spans="1:24" ht="12" customHeight="1" x14ac:dyDescent="0.3">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3">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12</v>
      </c>
      <c r="K31" s="31">
        <f>'VAL 2 TRIM'!AB31</f>
        <v>21</v>
      </c>
      <c r="L31" s="31">
        <f>'VAL 2 TRIM'!AA31</f>
        <v>10</v>
      </c>
      <c r="M31" s="31">
        <f>'VAL 2 TRIM'!AE31</f>
        <v>10</v>
      </c>
      <c r="N31" s="100">
        <f>'VAL 2 TRIM'!AG31</f>
        <v>63</v>
      </c>
      <c r="O31" s="31">
        <f>'VAL 3 TRIM'!C31</f>
        <v>10</v>
      </c>
      <c r="P31" s="31">
        <f>'VAL 3 TRIM'!O31</f>
        <v>35</v>
      </c>
      <c r="Q31" s="31">
        <f>'VAL 3 TRIM'!AB31</f>
        <v>35</v>
      </c>
      <c r="R31" s="31">
        <f>'VAL 3 TRIM'!AA31</f>
        <v>10</v>
      </c>
      <c r="S31" s="48">
        <f>'VAL 3 TRIM'!AE31</f>
        <v>10</v>
      </c>
      <c r="T31" s="100">
        <f>'VAL 3 TRIM'!AG31</f>
        <v>100</v>
      </c>
      <c r="U31" s="101">
        <f t="shared" si="0"/>
        <v>83.666666666666671</v>
      </c>
      <c r="V31" s="102" t="str">
        <f t="shared" si="1"/>
        <v>APROBADO</v>
      </c>
      <c r="W31" s="103"/>
      <c r="X31" s="103"/>
    </row>
    <row r="32" spans="1:24" ht="12" customHeight="1" x14ac:dyDescent="0.3">
      <c r="A32" s="57">
        <v>24</v>
      </c>
      <c r="B32" s="58">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35</v>
      </c>
      <c r="K32" s="31">
        <f>'VAL 2 TRIM'!AB32</f>
        <v>35</v>
      </c>
      <c r="L32" s="31">
        <f>'VAL 2 TRIM'!AA32</f>
        <v>10</v>
      </c>
      <c r="M32" s="31">
        <f>'VAL 2 TRIM'!AE32</f>
        <v>10</v>
      </c>
      <c r="N32" s="100">
        <f>'VAL 2 TRIM'!AG32</f>
        <v>100</v>
      </c>
      <c r="O32" s="31">
        <f>'VAL 3 TRIM'!C32</f>
        <v>10</v>
      </c>
      <c r="P32" s="31">
        <f>'VAL 3 TRIM'!O32</f>
        <v>35</v>
      </c>
      <c r="Q32" s="31">
        <f>'VAL 3 TRIM'!AB32</f>
        <v>35</v>
      </c>
      <c r="R32" s="31">
        <f>'VAL 3 TRIM'!AA32</f>
        <v>10</v>
      </c>
      <c r="S32" s="48">
        <f>'VAL 3 TRIM'!AE32</f>
        <v>10</v>
      </c>
      <c r="T32" s="100">
        <f>'VAL 3 TRIM'!AG32</f>
        <v>100</v>
      </c>
      <c r="U32" s="101">
        <f t="shared" si="0"/>
        <v>100</v>
      </c>
      <c r="V32" s="102" t="str">
        <f t="shared" si="1"/>
        <v>APROBADO</v>
      </c>
      <c r="W32" s="103"/>
      <c r="X32" s="103"/>
    </row>
    <row r="33" spans="1:24" ht="12" customHeight="1" x14ac:dyDescent="0.3">
      <c r="A33" s="57">
        <v>25</v>
      </c>
      <c r="B33" s="58">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75" customWidth="1"/>
  </cols>
  <sheetData>
    <row r="1" spans="1:13" ht="4.5" customHeight="1" x14ac:dyDescent="0.3"/>
    <row r="2" spans="1:13" ht="12.75" customHeight="1" x14ac:dyDescent="0.3">
      <c r="B2" s="178" t="s">
        <v>107</v>
      </c>
      <c r="C2" s="174"/>
      <c r="D2" s="174"/>
      <c r="E2" s="174"/>
      <c r="F2" s="174"/>
      <c r="G2" s="174"/>
      <c r="H2" s="174"/>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58</v>
      </c>
      <c r="K4" s="105"/>
      <c r="L4" s="39">
        <f>CARÁTULA!$C$19</f>
        <v>0</v>
      </c>
      <c r="M4" s="105"/>
    </row>
    <row r="5" spans="1:13" ht="12.75" customHeight="1" x14ac:dyDescent="0.3">
      <c r="B5" s="38" t="s">
        <v>22</v>
      </c>
      <c r="C5" s="39" t="str">
        <f>CARÁTULA!$C$23</f>
        <v>5to de Secundaria</v>
      </c>
      <c r="D5" s="38"/>
      <c r="E5" s="44"/>
      <c r="F5" s="225"/>
      <c r="G5" s="214"/>
      <c r="H5" s="44"/>
      <c r="I5" s="44"/>
      <c r="J5" s="38" t="s">
        <v>23</v>
      </c>
      <c r="K5" s="105"/>
      <c r="L5" s="192">
        <f ca="1">TODAY()</f>
        <v>44419</v>
      </c>
      <c r="M5" s="174"/>
    </row>
    <row r="6" spans="1:13" ht="12.75" customHeight="1" x14ac:dyDescent="0.3">
      <c r="B6" s="38"/>
      <c r="C6" s="226" t="s">
        <v>112</v>
      </c>
      <c r="D6" s="196"/>
      <c r="E6" s="197"/>
      <c r="F6" s="222" t="s">
        <v>108</v>
      </c>
      <c r="G6" s="218" t="s">
        <v>109</v>
      </c>
      <c r="H6" s="65"/>
      <c r="I6" s="65"/>
    </row>
    <row r="7" spans="1:13" ht="12" customHeight="1" x14ac:dyDescent="0.3">
      <c r="B7" s="47"/>
      <c r="C7" s="223" t="s">
        <v>4</v>
      </c>
      <c r="D7" s="223" t="s">
        <v>113</v>
      </c>
      <c r="E7" s="224" t="s">
        <v>16</v>
      </c>
      <c r="F7" s="219"/>
      <c r="G7" s="219"/>
      <c r="H7" s="40"/>
      <c r="I7" s="40"/>
    </row>
    <row r="8" spans="1:13" ht="67.5" customHeight="1" x14ac:dyDescent="0.3">
      <c r="A8" s="48" t="s">
        <v>61</v>
      </c>
      <c r="B8" s="49" t="s">
        <v>62</v>
      </c>
      <c r="C8" s="204"/>
      <c r="D8" s="204"/>
      <c r="E8" s="204"/>
      <c r="F8" s="204"/>
      <c r="G8" s="204"/>
      <c r="H8" s="99"/>
      <c r="I8" s="99" t="s">
        <v>114</v>
      </c>
      <c r="J8" s="99" t="s">
        <v>115</v>
      </c>
      <c r="K8" s="99" t="s">
        <v>116</v>
      </c>
    </row>
    <row r="9" spans="1:13" ht="12" customHeight="1" x14ac:dyDescent="0.3">
      <c r="A9" s="57">
        <v>1</v>
      </c>
      <c r="B9" s="58" t="str">
        <f>'C. FILIACION'!B8</f>
        <v>ARAMAYO CARVALLO LITZI</v>
      </c>
      <c r="C9" s="100">
        <f>'VAL 1 TRIM '!AG9</f>
        <v>88</v>
      </c>
      <c r="D9" s="100">
        <f>'VAL 2 TRIM'!AG9</f>
        <v>85</v>
      </c>
      <c r="E9" s="100">
        <f>'VAL 3 TRIM'!AG9</f>
        <v>100</v>
      </c>
      <c r="F9" s="101">
        <f>'CENTRAL 1'!U9</f>
        <v>91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3">
      <c r="A10" s="57">
        <v>2</v>
      </c>
      <c r="B10" s="58" t="str">
        <f>'C. FILIACION'!B9</f>
        <v>BLANCO SALVATIERRA LIZETH BRIGIDA</v>
      </c>
      <c r="C10" s="100">
        <f>'VAL 1 TRIM '!AG10</f>
        <v>83</v>
      </c>
      <c r="D10" s="100">
        <f>'VAL 2 TRIM'!AG10</f>
        <v>77</v>
      </c>
      <c r="E10" s="100">
        <f>'VAL 3 TRIM'!AG10</f>
        <v>100</v>
      </c>
      <c r="F10" s="101">
        <f>'CENTRAL 1'!U10</f>
        <v>86.666666666666671</v>
      </c>
      <c r="G10" s="102" t="str">
        <f t="shared" si="0"/>
        <v>APROBADO</v>
      </c>
      <c r="H10" s="103"/>
      <c r="I10" s="107" t="s">
        <v>117</v>
      </c>
      <c r="J10" s="108"/>
    </row>
    <row r="11" spans="1:13" ht="12" customHeight="1" x14ac:dyDescent="0.3">
      <c r="A11" s="57">
        <v>3</v>
      </c>
      <c r="B11" s="58" t="str">
        <f>'C. FILIACION'!B10</f>
        <v>GARCIA FAUCA NIELS HAMILTON</v>
      </c>
      <c r="C11" s="100">
        <f>'VAL 1 TRIM '!AG11</f>
        <v>85</v>
      </c>
      <c r="D11" s="100">
        <f>'VAL 2 TRIM'!AG11</f>
        <v>83</v>
      </c>
      <c r="E11" s="100">
        <f>'VAL 3 TRIM'!AG11</f>
        <v>100</v>
      </c>
      <c r="F11" s="101">
        <f>'CENTRAL 1'!U11</f>
        <v>89.333333333333329</v>
      </c>
      <c r="G11" s="102" t="str">
        <f t="shared" si="0"/>
        <v>APROBADO</v>
      </c>
      <c r="H11" s="103"/>
      <c r="I11" s="103"/>
    </row>
    <row r="12" spans="1:13" ht="12" customHeight="1" x14ac:dyDescent="0.3">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3">
      <c r="A13" s="57">
        <v>5</v>
      </c>
      <c r="B13" s="58" t="str">
        <f>'C. FILIACION'!B12</f>
        <v>GOMEZ LUCANA ALISON NAYR</v>
      </c>
      <c r="C13" s="100">
        <f>'VAL 1 TRIM '!AG13</f>
        <v>88</v>
      </c>
      <c r="D13" s="100">
        <f>'VAL 2 TRIM'!AG13</f>
        <v>30</v>
      </c>
      <c r="E13" s="100">
        <f>'VAL 3 TRIM'!AG13</f>
        <v>100</v>
      </c>
      <c r="F13" s="101">
        <f>'CENTRAL 1'!U13</f>
        <v>72.666666666666671</v>
      </c>
      <c r="G13" s="102" t="str">
        <f t="shared" si="0"/>
        <v>APROBADO</v>
      </c>
      <c r="H13" s="103"/>
      <c r="I13" s="106">
        <f t="shared" ref="I13:K13" si="2">COUNTIF(C9:C44,"&lt;=51")</f>
        <v>0</v>
      </c>
      <c r="J13" s="106">
        <f t="shared" si="2"/>
        <v>10</v>
      </c>
      <c r="K13" s="106">
        <f t="shared" si="2"/>
        <v>0</v>
      </c>
    </row>
    <row r="14" spans="1:13" ht="12" customHeight="1" x14ac:dyDescent="0.3">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3">
      <c r="A15" s="57">
        <v>7</v>
      </c>
      <c r="B15" s="58" t="str">
        <f>'C. FILIACION'!B14</f>
        <v>LOPEZ PACO MIGUEL ANGEL</v>
      </c>
      <c r="C15" s="100">
        <f>'VAL 1 TRIM '!AG15</f>
        <v>85</v>
      </c>
      <c r="D15" s="100">
        <f>'VAL 2 TRIM'!AG15</f>
        <v>59</v>
      </c>
      <c r="E15" s="100">
        <f>'VAL 3 TRIM'!AG15</f>
        <v>100</v>
      </c>
      <c r="F15" s="101">
        <f>'CENTRAL 1'!U15</f>
        <v>81.333333333333329</v>
      </c>
      <c r="G15" s="102" t="str">
        <f t="shared" si="0"/>
        <v>APROBADO</v>
      </c>
      <c r="H15" s="103"/>
      <c r="I15" s="103"/>
    </row>
    <row r="16" spans="1:13" ht="12" customHeight="1" x14ac:dyDescent="0.3">
      <c r="A16" s="57">
        <v>8</v>
      </c>
      <c r="B16" s="58" t="str">
        <f>'C. FILIACION'!B15</f>
        <v>MAMANI AQUINO LUCAS</v>
      </c>
      <c r="C16" s="100">
        <f>'VAL 1 TRIM '!AG16</f>
        <v>87</v>
      </c>
      <c r="D16" s="100">
        <f>'VAL 2 TRIM'!AG16</f>
        <v>34</v>
      </c>
      <c r="E16" s="100">
        <f>'VAL 3 TRIM'!AG16</f>
        <v>100</v>
      </c>
      <c r="F16" s="101">
        <f>'CENTRAL 1'!U16</f>
        <v>73.666666666666671</v>
      </c>
      <c r="G16" s="102" t="str">
        <f t="shared" si="0"/>
        <v>APROBADO</v>
      </c>
      <c r="H16" s="103"/>
      <c r="I16" s="103"/>
    </row>
    <row r="17" spans="1:9" ht="12" customHeight="1" x14ac:dyDescent="0.3">
      <c r="A17" s="57">
        <v>9</v>
      </c>
      <c r="B17" s="58" t="str">
        <f>'C. FILIACION'!B16</f>
        <v>MAMANI VASQUEZ FRANZ DARWIN</v>
      </c>
      <c r="C17" s="100">
        <f>'VAL 1 TRIM '!AG17</f>
        <v>88</v>
      </c>
      <c r="D17" s="100">
        <f>'VAL 2 TRIM'!AG17</f>
        <v>97</v>
      </c>
      <c r="E17" s="100">
        <f>'VAL 3 TRIM'!AG17</f>
        <v>100</v>
      </c>
      <c r="F17" s="101">
        <f>'CENTRAL 1'!U17</f>
        <v>95</v>
      </c>
      <c r="G17" s="102" t="str">
        <f t="shared" si="0"/>
        <v>APROBADO</v>
      </c>
      <c r="H17" s="103"/>
      <c r="I17" s="103"/>
    </row>
    <row r="18" spans="1:9" ht="12" customHeight="1" x14ac:dyDescent="0.3">
      <c r="A18" s="57">
        <v>10</v>
      </c>
      <c r="B18" s="58" t="str">
        <f>'C. FILIACION'!B17</f>
        <v>MARTINEZ MAMANI JORGE ARMANDO</v>
      </c>
      <c r="C18" s="100">
        <f>'VAL 1 TRIM '!AG18</f>
        <v>88</v>
      </c>
      <c r="D18" s="100">
        <f>'VAL 2 TRIM'!AG18</f>
        <v>35</v>
      </c>
      <c r="E18" s="100">
        <f>'VAL 3 TRIM'!AG18</f>
        <v>100</v>
      </c>
      <c r="F18" s="101">
        <f>'CENTRAL 1'!U18</f>
        <v>74.333333333333329</v>
      </c>
      <c r="G18" s="102" t="str">
        <f t="shared" si="0"/>
        <v>APROBADO</v>
      </c>
      <c r="H18" s="103"/>
      <c r="I18" s="103"/>
    </row>
    <row r="19" spans="1:9" ht="12" customHeight="1" x14ac:dyDescent="0.3">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3">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3">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3">
      <c r="A22" s="57">
        <v>14</v>
      </c>
      <c r="B22" s="58" t="str">
        <f>'C. FILIACION'!B21</f>
        <v>ORELLANA MOGRO ADAMO LEVING</v>
      </c>
      <c r="C22" s="100">
        <f>'VAL 1 TRIM '!AG22</f>
        <v>88</v>
      </c>
      <c r="D22" s="100">
        <f>'VAL 2 TRIM'!AG22</f>
        <v>76</v>
      </c>
      <c r="E22" s="100">
        <f>'VAL 3 TRIM'!AG22</f>
        <v>100</v>
      </c>
      <c r="F22" s="101">
        <f>'CENTRAL 1'!U22</f>
        <v>88</v>
      </c>
      <c r="G22" s="102" t="str">
        <f t="shared" si="0"/>
        <v>APROBADO</v>
      </c>
      <c r="H22" s="103"/>
      <c r="I22" s="103"/>
    </row>
    <row r="23" spans="1:9" ht="12" customHeight="1" x14ac:dyDescent="0.3">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3">
      <c r="A24" s="57">
        <v>16</v>
      </c>
      <c r="B24" s="58" t="str">
        <f>'C. FILIACION'!B23</f>
        <v>PEREZ HUARACHI ESPERANZA ALEJANDRA</v>
      </c>
      <c r="C24" s="100">
        <f>'VAL 1 TRIM '!AG24</f>
        <v>88</v>
      </c>
      <c r="D24" s="100">
        <f>'VAL 2 TRIM'!AG24</f>
        <v>77</v>
      </c>
      <c r="E24" s="100">
        <f>'VAL 3 TRIM'!AG24</f>
        <v>100</v>
      </c>
      <c r="F24" s="101">
        <f>'CENTRAL 1'!U24</f>
        <v>88.333333333333329</v>
      </c>
      <c r="G24" s="102" t="str">
        <f t="shared" si="0"/>
        <v>APROBADO</v>
      </c>
      <c r="H24" s="103"/>
      <c r="I24" s="103"/>
    </row>
    <row r="25" spans="1:9" ht="12" customHeight="1" x14ac:dyDescent="0.3">
      <c r="A25" s="57">
        <v>17</v>
      </c>
      <c r="B25" s="58" t="str">
        <f>'C. FILIACION'!B24</f>
        <v>PEREZ ZAMBRANA DAYRIS CONZUELO</v>
      </c>
      <c r="C25" s="100">
        <f>'VAL 1 TRIM '!AG25</f>
        <v>88</v>
      </c>
      <c r="D25" s="100">
        <f>'VAL 2 TRIM'!AG25</f>
        <v>73</v>
      </c>
      <c r="E25" s="100">
        <f>'VAL 3 TRIM'!AG25</f>
        <v>100</v>
      </c>
      <c r="F25" s="101">
        <f>'CENTRAL 1'!U25</f>
        <v>87</v>
      </c>
      <c r="G25" s="102" t="str">
        <f t="shared" si="0"/>
        <v>APROBADO</v>
      </c>
      <c r="H25" s="103"/>
      <c r="I25" s="103"/>
    </row>
    <row r="26" spans="1:9" ht="12" customHeight="1" x14ac:dyDescent="0.3">
      <c r="A26" s="57">
        <v>18</v>
      </c>
      <c r="B26" s="58" t="str">
        <f>'C. FILIACION'!B25</f>
        <v>QUISPAYA ENCINAS GATHERING ZAMANTHA</v>
      </c>
      <c r="C26" s="100">
        <f>'VAL 1 TRIM '!AG26</f>
        <v>88</v>
      </c>
      <c r="D26" s="100">
        <f>'VAL 2 TRIM'!AG26</f>
        <v>74</v>
      </c>
      <c r="E26" s="100">
        <f>'VAL 3 TRIM'!AG26</f>
        <v>100</v>
      </c>
      <c r="F26" s="101">
        <f>'CENTRAL 1'!U26</f>
        <v>87.333333333333329</v>
      </c>
      <c r="G26" s="102" t="str">
        <f t="shared" si="0"/>
        <v>APROBADO</v>
      </c>
      <c r="H26" s="103"/>
      <c r="I26" s="103"/>
    </row>
    <row r="27" spans="1:9" ht="12" customHeight="1" x14ac:dyDescent="0.3">
      <c r="A27" s="57">
        <v>19</v>
      </c>
      <c r="B27" s="58" t="str">
        <f>'C. FILIACION'!B26</f>
        <v>SANDOVAL MORANGO EDGAR JORGE</v>
      </c>
      <c r="C27" s="100">
        <f>'VAL 1 TRIM '!AG27</f>
        <v>85</v>
      </c>
      <c r="D27" s="100">
        <f>'VAL 2 TRIM'!AG27</f>
        <v>59</v>
      </c>
      <c r="E27" s="100">
        <f>'VAL 3 TRIM'!AG27</f>
        <v>100</v>
      </c>
      <c r="F27" s="101">
        <f>'CENTRAL 1'!U27</f>
        <v>81.333333333333329</v>
      </c>
      <c r="G27" s="102" t="str">
        <f t="shared" si="0"/>
        <v>APROBADO</v>
      </c>
      <c r="H27" s="103"/>
      <c r="I27" s="103"/>
    </row>
    <row r="28" spans="1:9" ht="12" customHeight="1" x14ac:dyDescent="0.3">
      <c r="A28" s="57">
        <v>20</v>
      </c>
      <c r="B28" s="58" t="str">
        <f>'C. FILIACION'!B27</f>
        <v>SEVILLANO BALTAZAR ALEXIA LIZZY</v>
      </c>
      <c r="C28" s="100">
        <f>'VAL 1 TRIM '!AG28</f>
        <v>88</v>
      </c>
      <c r="D28" s="100">
        <f>'VAL 2 TRIM'!AG28</f>
        <v>43</v>
      </c>
      <c r="E28" s="100">
        <f>'VAL 3 TRIM'!AG28</f>
        <v>100</v>
      </c>
      <c r="F28" s="101">
        <f>'CENTRAL 1'!U28</f>
        <v>77</v>
      </c>
      <c r="G28" s="102" t="str">
        <f t="shared" si="0"/>
        <v>APROBADO</v>
      </c>
      <c r="H28" s="103"/>
      <c r="I28" s="103"/>
    </row>
    <row r="29" spans="1:9" ht="12" customHeight="1" x14ac:dyDescent="0.3">
      <c r="A29" s="57">
        <v>21</v>
      </c>
      <c r="B29" s="58" t="str">
        <f>'C. FILIACION'!B28</f>
        <v>TORREZ PACO JOSE MANUEL</v>
      </c>
      <c r="C29" s="100">
        <f>'VAL 1 TRIM '!AG29</f>
        <v>88</v>
      </c>
      <c r="D29" s="100">
        <f>'VAL 2 TRIM'!AG29</f>
        <v>63</v>
      </c>
      <c r="E29" s="100">
        <f>'VAL 3 TRIM'!AG29</f>
        <v>100</v>
      </c>
      <c r="F29" s="101">
        <f>'CENTRAL 1'!U29</f>
        <v>83.666666666666671</v>
      </c>
      <c r="G29" s="102" t="str">
        <f t="shared" si="0"/>
        <v>APROBADO</v>
      </c>
      <c r="H29" s="103"/>
      <c r="I29" s="103"/>
    </row>
    <row r="30" spans="1:9" ht="12" customHeight="1" x14ac:dyDescent="0.3">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3">
      <c r="A31" s="57">
        <v>23</v>
      </c>
      <c r="B31" s="58" t="str">
        <f>'C. FILIACION'!B30</f>
        <v>VIDEA JHENDAVIEL PAOLA</v>
      </c>
      <c r="C31" s="100">
        <f>'VAL 1 TRIM '!AG31</f>
        <v>88</v>
      </c>
      <c r="D31" s="100">
        <f>'VAL 2 TRIM'!AG31</f>
        <v>63</v>
      </c>
      <c r="E31" s="100">
        <f>'VAL 3 TRIM'!AG31</f>
        <v>100</v>
      </c>
      <c r="F31" s="101">
        <f>'CENTRAL 1'!U31</f>
        <v>83.666666666666671</v>
      </c>
      <c r="G31" s="102" t="str">
        <f t="shared" si="0"/>
        <v>APROBADO</v>
      </c>
      <c r="H31" s="103"/>
      <c r="I31" s="103"/>
    </row>
    <row r="32" spans="1:9" ht="12" customHeight="1" x14ac:dyDescent="0.3">
      <c r="A32" s="57">
        <v>24</v>
      </c>
      <c r="B32" s="58">
        <f>'C. FILIACION'!B31</f>
        <v>0</v>
      </c>
      <c r="C32" s="100">
        <f>'VAL 1 TRIM '!AG32</f>
        <v>100</v>
      </c>
      <c r="D32" s="100">
        <f>'VAL 2 TRIM'!AG32</f>
        <v>100</v>
      </c>
      <c r="E32" s="100">
        <f>'VAL 3 TRIM'!AG32</f>
        <v>100</v>
      </c>
      <c r="F32" s="101">
        <f>'CENTRAL 1'!U32</f>
        <v>100</v>
      </c>
      <c r="G32" s="102" t="str">
        <f t="shared" si="0"/>
        <v>APROBADO</v>
      </c>
      <c r="H32" s="103"/>
      <c r="I32" s="103"/>
    </row>
    <row r="33" spans="1:9" ht="12" customHeight="1" x14ac:dyDescent="0.3">
      <c r="A33" s="57">
        <v>25</v>
      </c>
      <c r="B33" s="58">
        <f>'C. FILIACION'!B32</f>
        <v>0</v>
      </c>
      <c r="C33" s="100">
        <f>'VAL 1 TRIM '!AG33</f>
        <v>100</v>
      </c>
      <c r="D33" s="100">
        <f>'VAL 2 TRIM'!AG33</f>
        <v>100</v>
      </c>
      <c r="E33" s="100">
        <f>'VAL 3 TRIM'!AG33</f>
        <v>100</v>
      </c>
      <c r="F33" s="101">
        <f>'CENTRAL 1'!U33</f>
        <v>100</v>
      </c>
      <c r="G33" s="102" t="str">
        <f t="shared" si="0"/>
        <v>APROBADO</v>
      </c>
      <c r="H33" s="103"/>
      <c r="I33" s="103"/>
    </row>
    <row r="34" spans="1:9" ht="12" customHeight="1" x14ac:dyDescent="0.3">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30" t="s">
        <v>119</v>
      </c>
      <c r="C2" s="174"/>
      <c r="D2" s="174"/>
      <c r="E2" s="174"/>
      <c r="F2" s="174"/>
      <c r="G2" s="174"/>
      <c r="H2" s="174"/>
      <c r="I2" s="174"/>
      <c r="J2" s="174"/>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44419</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31" t="s">
        <v>136</v>
      </c>
      <c r="C13" s="174"/>
      <c r="D13" s="174"/>
      <c r="E13" s="174"/>
      <c r="F13" s="174"/>
      <c r="G13" s="174"/>
      <c r="H13" s="174"/>
      <c r="I13" s="174"/>
      <c r="J13" s="174"/>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7" t="s">
        <v>137</v>
      </c>
      <c r="C15" s="181"/>
      <c r="D15" s="181"/>
      <c r="E15" s="181"/>
      <c r="F15" s="181"/>
      <c r="G15" s="181"/>
      <c r="H15" s="181"/>
      <c r="I15" s="181"/>
      <c r="J15" s="182"/>
      <c r="K15" s="109"/>
      <c r="L15" s="109"/>
      <c r="M15" s="109"/>
      <c r="N15" s="109"/>
      <c r="O15" s="109"/>
      <c r="P15" s="109"/>
      <c r="Q15" s="109"/>
      <c r="R15" s="109"/>
      <c r="S15" s="109"/>
      <c r="T15" s="109"/>
      <c r="U15" s="109"/>
      <c r="V15" s="109"/>
      <c r="W15" s="109"/>
      <c r="X15" s="109"/>
      <c r="Y15" s="109"/>
      <c r="Z15" s="109"/>
    </row>
    <row r="16" spans="1:26" ht="16.5" customHeight="1" x14ac:dyDescent="0.3">
      <c r="A16" s="109"/>
      <c r="B16" s="228"/>
      <c r="C16" s="174"/>
      <c r="D16" s="174"/>
      <c r="E16" s="174"/>
      <c r="F16" s="174"/>
      <c r="G16" s="174"/>
      <c r="H16" s="174"/>
      <c r="I16" s="174"/>
      <c r="J16" s="229"/>
      <c r="K16" s="109"/>
      <c r="L16" s="109"/>
      <c r="M16" s="109"/>
      <c r="N16" s="109"/>
      <c r="O16" s="109"/>
      <c r="P16" s="109"/>
      <c r="Q16" s="109"/>
      <c r="R16" s="109"/>
      <c r="S16" s="109"/>
      <c r="T16" s="109"/>
      <c r="U16" s="109"/>
      <c r="V16" s="109"/>
      <c r="W16" s="109"/>
      <c r="X16" s="109"/>
      <c r="Y16" s="109"/>
      <c r="Z16" s="109"/>
    </row>
    <row r="17" spans="1:26" ht="16.5" customHeight="1" x14ac:dyDescent="0.3">
      <c r="A17" s="109"/>
      <c r="B17" s="213"/>
      <c r="C17" s="214"/>
      <c r="D17" s="214"/>
      <c r="E17" s="214"/>
      <c r="F17" s="214"/>
      <c r="G17" s="214"/>
      <c r="H17" s="214"/>
      <c r="I17" s="214"/>
      <c r="J17" s="215"/>
      <c r="K17" s="109"/>
      <c r="L17" s="109"/>
      <c r="M17" s="109"/>
      <c r="N17" s="109"/>
      <c r="O17" s="109"/>
      <c r="P17" s="109"/>
      <c r="Q17" s="109"/>
      <c r="R17" s="109"/>
      <c r="S17" s="109"/>
      <c r="T17" s="109"/>
      <c r="U17" s="109"/>
      <c r="V17" s="109"/>
      <c r="W17" s="109"/>
      <c r="X17" s="109"/>
      <c r="Y17" s="109"/>
      <c r="Z17" s="109"/>
    </row>
    <row r="18" spans="1:26" ht="16.5" customHeight="1" x14ac:dyDescent="0.3">
      <c r="A18" s="109"/>
      <c r="B18" s="227" t="s">
        <v>138</v>
      </c>
      <c r="C18" s="181"/>
      <c r="D18" s="181"/>
      <c r="E18" s="181"/>
      <c r="F18" s="181"/>
      <c r="G18" s="181"/>
      <c r="H18" s="181"/>
      <c r="I18" s="181"/>
      <c r="J18" s="182"/>
      <c r="K18" s="109"/>
      <c r="L18" s="109"/>
      <c r="M18" s="109"/>
      <c r="N18" s="109"/>
      <c r="O18" s="109"/>
      <c r="P18" s="109"/>
      <c r="Q18" s="109"/>
      <c r="R18" s="109"/>
      <c r="S18" s="109"/>
      <c r="T18" s="109"/>
      <c r="U18" s="109"/>
      <c r="V18" s="109"/>
      <c r="W18" s="109"/>
      <c r="X18" s="109"/>
      <c r="Y18" s="109"/>
      <c r="Z18" s="109"/>
    </row>
    <row r="19" spans="1:26" ht="16.5" customHeight="1" x14ac:dyDescent="0.3">
      <c r="A19" s="109"/>
      <c r="B19" s="228"/>
      <c r="C19" s="174"/>
      <c r="D19" s="174"/>
      <c r="E19" s="174"/>
      <c r="F19" s="174"/>
      <c r="G19" s="174"/>
      <c r="H19" s="174"/>
      <c r="I19" s="174"/>
      <c r="J19" s="229"/>
      <c r="K19" s="109"/>
      <c r="L19" s="109"/>
      <c r="M19" s="109"/>
      <c r="N19" s="109"/>
      <c r="O19" s="109"/>
      <c r="P19" s="109"/>
      <c r="Q19" s="109"/>
      <c r="R19" s="109"/>
      <c r="S19" s="109"/>
      <c r="T19" s="109"/>
      <c r="U19" s="109"/>
      <c r="V19" s="109"/>
      <c r="W19" s="109"/>
      <c r="X19" s="109"/>
      <c r="Y19" s="109"/>
      <c r="Z19" s="109"/>
    </row>
    <row r="20" spans="1:26" ht="16.5" customHeight="1" x14ac:dyDescent="0.3">
      <c r="A20" s="109"/>
      <c r="B20" s="213"/>
      <c r="C20" s="214"/>
      <c r="D20" s="214"/>
      <c r="E20" s="214"/>
      <c r="F20" s="214"/>
      <c r="G20" s="214"/>
      <c r="H20" s="214"/>
      <c r="I20" s="214"/>
      <c r="J20" s="215"/>
      <c r="K20" s="109"/>
      <c r="L20" s="109"/>
      <c r="M20" s="109"/>
      <c r="N20" s="109"/>
      <c r="O20" s="109"/>
      <c r="P20" s="109"/>
      <c r="Q20" s="109"/>
      <c r="R20" s="109"/>
      <c r="S20" s="109"/>
      <c r="T20" s="109"/>
      <c r="U20" s="109"/>
      <c r="V20" s="109"/>
      <c r="W20" s="109"/>
      <c r="X20" s="109"/>
      <c r="Y20" s="109"/>
      <c r="Z20" s="109"/>
    </row>
    <row r="21" spans="1:26" ht="16.5" customHeight="1" x14ac:dyDescent="0.3">
      <c r="A21" s="109"/>
      <c r="B21" s="227" t="s">
        <v>139</v>
      </c>
      <c r="C21" s="181"/>
      <c r="D21" s="181"/>
      <c r="E21" s="181"/>
      <c r="F21" s="181"/>
      <c r="G21" s="181"/>
      <c r="H21" s="181"/>
      <c r="I21" s="181"/>
      <c r="J21" s="182"/>
      <c r="K21" s="109"/>
      <c r="L21" s="109"/>
      <c r="M21" s="109"/>
      <c r="N21" s="109"/>
      <c r="O21" s="109"/>
      <c r="P21" s="109"/>
      <c r="Q21" s="109"/>
      <c r="R21" s="109"/>
      <c r="S21" s="109"/>
      <c r="T21" s="109"/>
      <c r="U21" s="109"/>
      <c r="V21" s="109"/>
      <c r="W21" s="109"/>
      <c r="X21" s="109"/>
      <c r="Y21" s="109"/>
      <c r="Z21" s="109"/>
    </row>
    <row r="22" spans="1:26" ht="16.5" customHeight="1" x14ac:dyDescent="0.3">
      <c r="A22" s="109"/>
      <c r="B22" s="228"/>
      <c r="C22" s="174"/>
      <c r="D22" s="174"/>
      <c r="E22" s="174"/>
      <c r="F22" s="174"/>
      <c r="G22" s="174"/>
      <c r="H22" s="174"/>
      <c r="I22" s="174"/>
      <c r="J22" s="229"/>
      <c r="K22" s="109"/>
      <c r="L22" s="109"/>
      <c r="M22" s="109"/>
      <c r="N22" s="109"/>
      <c r="O22" s="109"/>
      <c r="P22" s="109"/>
      <c r="Q22" s="109"/>
      <c r="R22" s="109"/>
      <c r="S22" s="109"/>
      <c r="T22" s="109"/>
      <c r="U22" s="109"/>
      <c r="V22" s="109"/>
      <c r="W22" s="109"/>
      <c r="X22" s="109"/>
      <c r="Y22" s="109"/>
      <c r="Z22" s="109"/>
    </row>
    <row r="23" spans="1:26" ht="16.5" customHeight="1" x14ac:dyDescent="0.3">
      <c r="A23" s="109"/>
      <c r="B23" s="213"/>
      <c r="C23" s="214"/>
      <c r="D23" s="214"/>
      <c r="E23" s="214"/>
      <c r="F23" s="214"/>
      <c r="G23" s="214"/>
      <c r="H23" s="214"/>
      <c r="I23" s="214"/>
      <c r="J23" s="215"/>
      <c r="K23" s="109"/>
      <c r="L23" s="109"/>
      <c r="M23" s="109"/>
      <c r="N23" s="109"/>
      <c r="O23" s="109"/>
      <c r="P23" s="109"/>
      <c r="Q23" s="109"/>
      <c r="R23" s="109"/>
      <c r="S23" s="109"/>
      <c r="T23" s="109"/>
      <c r="U23" s="109"/>
      <c r="V23" s="109"/>
      <c r="W23" s="109"/>
      <c r="X23" s="109"/>
      <c r="Y23" s="109"/>
      <c r="Z23" s="109"/>
    </row>
    <row r="24" spans="1:26" ht="16.5" customHeight="1" x14ac:dyDescent="0.3">
      <c r="A24" s="109"/>
      <c r="B24" s="227" t="s">
        <v>140</v>
      </c>
      <c r="C24" s="181"/>
      <c r="D24" s="181"/>
      <c r="E24" s="181"/>
      <c r="F24" s="181"/>
      <c r="G24" s="181"/>
      <c r="H24" s="181"/>
      <c r="I24" s="181"/>
      <c r="J24" s="182"/>
      <c r="K24" s="109"/>
      <c r="L24" s="109"/>
      <c r="M24" s="109"/>
      <c r="N24" s="109"/>
      <c r="O24" s="109"/>
      <c r="P24" s="109"/>
      <c r="Q24" s="109"/>
      <c r="R24" s="109"/>
      <c r="S24" s="109"/>
      <c r="T24" s="109"/>
      <c r="U24" s="109"/>
      <c r="V24" s="109"/>
      <c r="W24" s="109"/>
      <c r="X24" s="109"/>
      <c r="Y24" s="109"/>
      <c r="Z24" s="109"/>
    </row>
    <row r="25" spans="1:26" ht="16.5" customHeight="1" x14ac:dyDescent="0.3">
      <c r="A25" s="109"/>
      <c r="B25" s="228"/>
      <c r="C25" s="174"/>
      <c r="D25" s="174"/>
      <c r="E25" s="174"/>
      <c r="F25" s="174"/>
      <c r="G25" s="174"/>
      <c r="H25" s="174"/>
      <c r="I25" s="174"/>
      <c r="J25" s="229"/>
      <c r="K25" s="109"/>
      <c r="L25" s="109"/>
      <c r="M25" s="109"/>
      <c r="N25" s="109"/>
      <c r="O25" s="109"/>
      <c r="P25" s="109"/>
      <c r="Q25" s="109"/>
      <c r="R25" s="109"/>
      <c r="S25" s="109"/>
      <c r="T25" s="109"/>
      <c r="U25" s="109"/>
      <c r="V25" s="109"/>
      <c r="W25" s="109"/>
      <c r="X25" s="109"/>
      <c r="Y25" s="109"/>
      <c r="Z25" s="109"/>
    </row>
    <row r="26" spans="1:26" ht="16.5" customHeight="1" x14ac:dyDescent="0.3">
      <c r="A26" s="109"/>
      <c r="B26" s="213"/>
      <c r="C26" s="214"/>
      <c r="D26" s="214"/>
      <c r="E26" s="214"/>
      <c r="F26" s="214"/>
      <c r="G26" s="214"/>
      <c r="H26" s="214"/>
      <c r="I26" s="214"/>
      <c r="J26" s="215"/>
      <c r="K26" s="109"/>
      <c r="L26" s="109"/>
      <c r="M26" s="109"/>
      <c r="N26" s="109"/>
      <c r="O26" s="109"/>
      <c r="P26" s="109"/>
      <c r="Q26" s="109"/>
      <c r="R26" s="109"/>
      <c r="S26" s="109"/>
      <c r="T26" s="109"/>
      <c r="U26" s="109"/>
      <c r="V26" s="109"/>
      <c r="W26" s="109"/>
      <c r="X26" s="109"/>
      <c r="Y26" s="109"/>
      <c r="Z26" s="109"/>
    </row>
    <row r="27" spans="1:26" ht="16.5" customHeight="1" x14ac:dyDescent="0.3">
      <c r="A27" s="109"/>
      <c r="B27" s="227" t="s">
        <v>141</v>
      </c>
      <c r="C27" s="181"/>
      <c r="D27" s="181"/>
      <c r="E27" s="181"/>
      <c r="F27" s="181"/>
      <c r="G27" s="181"/>
      <c r="H27" s="181"/>
      <c r="I27" s="181"/>
      <c r="J27" s="182"/>
      <c r="K27" s="109"/>
      <c r="L27" s="109"/>
      <c r="M27" s="109"/>
      <c r="N27" s="109"/>
      <c r="O27" s="109"/>
      <c r="P27" s="109"/>
      <c r="Q27" s="109"/>
      <c r="R27" s="109"/>
      <c r="S27" s="109"/>
      <c r="T27" s="109"/>
      <c r="U27" s="109"/>
      <c r="V27" s="109"/>
      <c r="W27" s="109"/>
      <c r="X27" s="109"/>
      <c r="Y27" s="109"/>
      <c r="Z27" s="109"/>
    </row>
    <row r="28" spans="1:26" ht="16.5" customHeight="1" x14ac:dyDescent="0.3">
      <c r="A28" s="109"/>
      <c r="B28" s="228"/>
      <c r="C28" s="174"/>
      <c r="D28" s="174"/>
      <c r="E28" s="174"/>
      <c r="F28" s="174"/>
      <c r="G28" s="174"/>
      <c r="H28" s="174"/>
      <c r="I28" s="174"/>
      <c r="J28" s="229"/>
      <c r="K28" s="109"/>
      <c r="L28" s="109"/>
      <c r="M28" s="109"/>
      <c r="N28" s="109"/>
      <c r="O28" s="109"/>
      <c r="P28" s="109"/>
      <c r="Q28" s="109"/>
      <c r="R28" s="109"/>
      <c r="S28" s="109"/>
      <c r="T28" s="109"/>
      <c r="U28" s="109"/>
      <c r="V28" s="109"/>
      <c r="W28" s="109"/>
      <c r="X28" s="109"/>
      <c r="Y28" s="109"/>
      <c r="Z28" s="109"/>
    </row>
    <row r="29" spans="1:26" ht="16.5" customHeight="1" x14ac:dyDescent="0.3">
      <c r="A29" s="109"/>
      <c r="B29" s="213"/>
      <c r="C29" s="214"/>
      <c r="D29" s="214"/>
      <c r="E29" s="214"/>
      <c r="F29" s="214"/>
      <c r="G29" s="214"/>
      <c r="H29" s="214"/>
      <c r="I29" s="214"/>
      <c r="J29" s="215"/>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30" t="s">
        <v>143</v>
      </c>
      <c r="C2" s="174"/>
      <c r="D2" s="174"/>
      <c r="E2" s="174"/>
      <c r="F2" s="174"/>
      <c r="G2" s="174"/>
      <c r="H2" s="174"/>
      <c r="I2" s="174"/>
      <c r="J2" s="174"/>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44419</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2 TRIM'!$AO$11</f>
        <v>6</v>
      </c>
      <c r="I9" s="117">
        <f>H9/H11</f>
        <v>0.16666666666666666</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2 TRIM'!$AO$12</f>
        <v>16</v>
      </c>
      <c r="I10" s="117">
        <f>H10/H11</f>
        <v>0.44444444444444442</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31" t="s">
        <v>136</v>
      </c>
      <c r="C13" s="174"/>
      <c r="D13" s="174"/>
      <c r="E13" s="174"/>
      <c r="F13" s="174"/>
      <c r="G13" s="174"/>
      <c r="H13" s="174"/>
      <c r="I13" s="174"/>
      <c r="J13" s="174"/>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7" t="s">
        <v>137</v>
      </c>
      <c r="C15" s="181"/>
      <c r="D15" s="181"/>
      <c r="E15" s="181"/>
      <c r="F15" s="181"/>
      <c r="G15" s="181"/>
      <c r="H15" s="181"/>
      <c r="I15" s="181"/>
      <c r="J15" s="182"/>
      <c r="K15" s="109"/>
      <c r="L15" s="109"/>
      <c r="M15" s="109"/>
      <c r="N15" s="109"/>
      <c r="O15" s="109"/>
      <c r="P15" s="109"/>
      <c r="Q15" s="109"/>
      <c r="R15" s="109"/>
      <c r="S15" s="109"/>
      <c r="T15" s="109"/>
      <c r="U15" s="109"/>
      <c r="V15" s="109"/>
      <c r="W15" s="109"/>
      <c r="X15" s="109"/>
      <c r="Y15" s="109"/>
      <c r="Z15" s="109"/>
    </row>
    <row r="16" spans="1:26" ht="16.5" customHeight="1" x14ac:dyDescent="0.3">
      <c r="A16" s="109"/>
      <c r="B16" s="228"/>
      <c r="C16" s="174"/>
      <c r="D16" s="174"/>
      <c r="E16" s="174"/>
      <c r="F16" s="174"/>
      <c r="G16" s="174"/>
      <c r="H16" s="174"/>
      <c r="I16" s="174"/>
      <c r="J16" s="229"/>
      <c r="K16" s="109"/>
      <c r="L16" s="109"/>
      <c r="M16" s="109"/>
      <c r="N16" s="109"/>
      <c r="O16" s="109"/>
      <c r="P16" s="109"/>
      <c r="Q16" s="109"/>
      <c r="R16" s="109"/>
      <c r="S16" s="109"/>
      <c r="T16" s="109"/>
      <c r="U16" s="109"/>
      <c r="V16" s="109"/>
      <c r="W16" s="109"/>
      <c r="X16" s="109"/>
      <c r="Y16" s="109"/>
      <c r="Z16" s="109"/>
    </row>
    <row r="17" spans="1:26" ht="16.5" customHeight="1" x14ac:dyDescent="0.3">
      <c r="A17" s="109"/>
      <c r="B17" s="213"/>
      <c r="C17" s="214"/>
      <c r="D17" s="214"/>
      <c r="E17" s="214"/>
      <c r="F17" s="214"/>
      <c r="G17" s="214"/>
      <c r="H17" s="214"/>
      <c r="I17" s="214"/>
      <c r="J17" s="215"/>
      <c r="K17" s="109"/>
      <c r="L17" s="109"/>
      <c r="M17" s="109"/>
      <c r="N17" s="109"/>
      <c r="O17" s="109"/>
      <c r="P17" s="109"/>
      <c r="Q17" s="109"/>
      <c r="R17" s="109"/>
      <c r="S17" s="109"/>
      <c r="T17" s="109"/>
      <c r="U17" s="109"/>
      <c r="V17" s="109"/>
      <c r="W17" s="109"/>
      <c r="X17" s="109"/>
      <c r="Y17" s="109"/>
      <c r="Z17" s="109"/>
    </row>
    <row r="18" spans="1:26" ht="16.5" customHeight="1" x14ac:dyDescent="0.3">
      <c r="A18" s="109"/>
      <c r="B18" s="227" t="s">
        <v>138</v>
      </c>
      <c r="C18" s="181"/>
      <c r="D18" s="181"/>
      <c r="E18" s="181"/>
      <c r="F18" s="181"/>
      <c r="G18" s="181"/>
      <c r="H18" s="181"/>
      <c r="I18" s="181"/>
      <c r="J18" s="182"/>
      <c r="K18" s="109"/>
      <c r="L18" s="109"/>
      <c r="M18" s="109"/>
      <c r="N18" s="109"/>
      <c r="O18" s="109"/>
      <c r="P18" s="109"/>
      <c r="Q18" s="109"/>
      <c r="R18" s="109"/>
      <c r="S18" s="109"/>
      <c r="T18" s="109"/>
      <c r="U18" s="109"/>
      <c r="V18" s="109"/>
      <c r="W18" s="109"/>
      <c r="X18" s="109"/>
      <c r="Y18" s="109"/>
      <c r="Z18" s="109"/>
    </row>
    <row r="19" spans="1:26" ht="16.5" customHeight="1" x14ac:dyDescent="0.3">
      <c r="A19" s="109"/>
      <c r="B19" s="228"/>
      <c r="C19" s="174"/>
      <c r="D19" s="174"/>
      <c r="E19" s="174"/>
      <c r="F19" s="174"/>
      <c r="G19" s="174"/>
      <c r="H19" s="174"/>
      <c r="I19" s="174"/>
      <c r="J19" s="229"/>
      <c r="K19" s="109"/>
      <c r="L19" s="109"/>
      <c r="M19" s="109"/>
      <c r="N19" s="109"/>
      <c r="O19" s="109"/>
      <c r="P19" s="109"/>
      <c r="Q19" s="109"/>
      <c r="R19" s="109"/>
      <c r="S19" s="109"/>
      <c r="T19" s="109"/>
      <c r="U19" s="109"/>
      <c r="V19" s="109"/>
      <c r="W19" s="109"/>
      <c r="X19" s="109"/>
      <c r="Y19" s="109"/>
      <c r="Z19" s="109"/>
    </row>
    <row r="20" spans="1:26" ht="16.5" customHeight="1" x14ac:dyDescent="0.3">
      <c r="A20" s="109"/>
      <c r="B20" s="213"/>
      <c r="C20" s="214"/>
      <c r="D20" s="214"/>
      <c r="E20" s="214"/>
      <c r="F20" s="214"/>
      <c r="G20" s="214"/>
      <c r="H20" s="214"/>
      <c r="I20" s="214"/>
      <c r="J20" s="215"/>
      <c r="K20" s="109"/>
      <c r="L20" s="109"/>
      <c r="M20" s="109"/>
      <c r="N20" s="109"/>
      <c r="O20" s="109"/>
      <c r="P20" s="109"/>
      <c r="Q20" s="109"/>
      <c r="R20" s="109"/>
      <c r="S20" s="109"/>
      <c r="T20" s="109"/>
      <c r="U20" s="109"/>
      <c r="V20" s="109"/>
      <c r="W20" s="109"/>
      <c r="X20" s="109"/>
      <c r="Y20" s="109"/>
      <c r="Z20" s="109"/>
    </row>
    <row r="21" spans="1:26" ht="16.5" customHeight="1" x14ac:dyDescent="0.3">
      <c r="A21" s="109"/>
      <c r="B21" s="227" t="s">
        <v>139</v>
      </c>
      <c r="C21" s="181"/>
      <c r="D21" s="181"/>
      <c r="E21" s="181"/>
      <c r="F21" s="181"/>
      <c r="G21" s="181"/>
      <c r="H21" s="181"/>
      <c r="I21" s="181"/>
      <c r="J21" s="182"/>
      <c r="K21" s="109"/>
      <c r="L21" s="109"/>
      <c r="M21" s="109"/>
      <c r="N21" s="109"/>
      <c r="O21" s="109"/>
      <c r="P21" s="109"/>
      <c r="Q21" s="109"/>
      <c r="R21" s="109"/>
      <c r="S21" s="109"/>
      <c r="T21" s="109"/>
      <c r="U21" s="109"/>
      <c r="V21" s="109"/>
      <c r="W21" s="109"/>
      <c r="X21" s="109"/>
      <c r="Y21" s="109"/>
      <c r="Z21" s="109"/>
    </row>
    <row r="22" spans="1:26" ht="16.5" customHeight="1" x14ac:dyDescent="0.3">
      <c r="A22" s="109"/>
      <c r="B22" s="228"/>
      <c r="C22" s="174"/>
      <c r="D22" s="174"/>
      <c r="E22" s="174"/>
      <c r="F22" s="174"/>
      <c r="G22" s="174"/>
      <c r="H22" s="174"/>
      <c r="I22" s="174"/>
      <c r="J22" s="229"/>
      <c r="K22" s="109"/>
      <c r="L22" s="109"/>
      <c r="M22" s="109"/>
      <c r="N22" s="109"/>
      <c r="O22" s="109"/>
      <c r="P22" s="109"/>
      <c r="Q22" s="109"/>
      <c r="R22" s="109"/>
      <c r="S22" s="109"/>
      <c r="T22" s="109"/>
      <c r="U22" s="109"/>
      <c r="V22" s="109"/>
      <c r="W22" s="109"/>
      <c r="X22" s="109"/>
      <c r="Y22" s="109"/>
      <c r="Z22" s="109"/>
    </row>
    <row r="23" spans="1:26" ht="16.5" customHeight="1" x14ac:dyDescent="0.3">
      <c r="A23" s="109"/>
      <c r="B23" s="213"/>
      <c r="C23" s="214"/>
      <c r="D23" s="214"/>
      <c r="E23" s="214"/>
      <c r="F23" s="214"/>
      <c r="G23" s="214"/>
      <c r="H23" s="214"/>
      <c r="I23" s="214"/>
      <c r="J23" s="215"/>
      <c r="K23" s="109"/>
      <c r="L23" s="109"/>
      <c r="M23" s="109"/>
      <c r="N23" s="109"/>
      <c r="O23" s="109"/>
      <c r="P23" s="109"/>
      <c r="Q23" s="109"/>
      <c r="R23" s="109"/>
      <c r="S23" s="109"/>
      <c r="T23" s="109"/>
      <c r="U23" s="109"/>
      <c r="V23" s="109"/>
      <c r="W23" s="109"/>
      <c r="X23" s="109"/>
      <c r="Y23" s="109"/>
      <c r="Z23" s="109"/>
    </row>
    <row r="24" spans="1:26" ht="16.5" customHeight="1" x14ac:dyDescent="0.3">
      <c r="A24" s="109"/>
      <c r="B24" s="227" t="s">
        <v>140</v>
      </c>
      <c r="C24" s="181"/>
      <c r="D24" s="181"/>
      <c r="E24" s="181"/>
      <c r="F24" s="181"/>
      <c r="G24" s="181"/>
      <c r="H24" s="181"/>
      <c r="I24" s="181"/>
      <c r="J24" s="182"/>
      <c r="K24" s="109"/>
      <c r="L24" s="109"/>
      <c r="M24" s="109"/>
      <c r="N24" s="109"/>
      <c r="O24" s="109"/>
      <c r="P24" s="109"/>
      <c r="Q24" s="109"/>
      <c r="R24" s="109"/>
      <c r="S24" s="109"/>
      <c r="T24" s="109"/>
      <c r="U24" s="109"/>
      <c r="V24" s="109"/>
      <c r="W24" s="109"/>
      <c r="X24" s="109"/>
      <c r="Y24" s="109"/>
      <c r="Z24" s="109"/>
    </row>
    <row r="25" spans="1:26" ht="16.5" customHeight="1" x14ac:dyDescent="0.3">
      <c r="A25" s="109"/>
      <c r="B25" s="228"/>
      <c r="C25" s="174"/>
      <c r="D25" s="174"/>
      <c r="E25" s="174"/>
      <c r="F25" s="174"/>
      <c r="G25" s="174"/>
      <c r="H25" s="174"/>
      <c r="I25" s="174"/>
      <c r="J25" s="229"/>
      <c r="K25" s="109"/>
      <c r="L25" s="109"/>
      <c r="M25" s="109"/>
      <c r="N25" s="109"/>
      <c r="O25" s="109"/>
      <c r="P25" s="109"/>
      <c r="Q25" s="109"/>
      <c r="R25" s="109"/>
      <c r="S25" s="109"/>
      <c r="T25" s="109"/>
      <c r="U25" s="109"/>
      <c r="V25" s="109"/>
      <c r="W25" s="109"/>
      <c r="X25" s="109"/>
      <c r="Y25" s="109"/>
      <c r="Z25" s="109"/>
    </row>
    <row r="26" spans="1:26" ht="16.5" customHeight="1" x14ac:dyDescent="0.3">
      <c r="A26" s="109"/>
      <c r="B26" s="213"/>
      <c r="C26" s="214"/>
      <c r="D26" s="214"/>
      <c r="E26" s="214"/>
      <c r="F26" s="214"/>
      <c r="G26" s="214"/>
      <c r="H26" s="214"/>
      <c r="I26" s="214"/>
      <c r="J26" s="215"/>
      <c r="K26" s="109"/>
      <c r="L26" s="109"/>
      <c r="M26" s="109"/>
      <c r="N26" s="109"/>
      <c r="O26" s="109"/>
      <c r="P26" s="109"/>
      <c r="Q26" s="109"/>
      <c r="R26" s="109"/>
      <c r="S26" s="109"/>
      <c r="T26" s="109"/>
      <c r="U26" s="109"/>
      <c r="V26" s="109"/>
      <c r="W26" s="109"/>
      <c r="X26" s="109"/>
      <c r="Y26" s="109"/>
      <c r="Z26" s="109"/>
    </row>
    <row r="27" spans="1:26" ht="16.5" customHeight="1" x14ac:dyDescent="0.3">
      <c r="A27" s="109"/>
      <c r="B27" s="227" t="s">
        <v>141</v>
      </c>
      <c r="C27" s="181"/>
      <c r="D27" s="181"/>
      <c r="E27" s="181"/>
      <c r="F27" s="181"/>
      <c r="G27" s="181"/>
      <c r="H27" s="181"/>
      <c r="I27" s="181"/>
      <c r="J27" s="182"/>
      <c r="K27" s="109"/>
      <c r="L27" s="109"/>
      <c r="M27" s="109"/>
      <c r="N27" s="109"/>
      <c r="O27" s="109"/>
      <c r="P27" s="109"/>
      <c r="Q27" s="109"/>
      <c r="R27" s="109"/>
      <c r="S27" s="109"/>
      <c r="T27" s="109"/>
      <c r="U27" s="109"/>
      <c r="V27" s="109"/>
      <c r="W27" s="109"/>
      <c r="X27" s="109"/>
      <c r="Y27" s="109"/>
      <c r="Z27" s="109"/>
    </row>
    <row r="28" spans="1:26" ht="16.5" customHeight="1" x14ac:dyDescent="0.3">
      <c r="A28" s="109"/>
      <c r="B28" s="228"/>
      <c r="C28" s="174"/>
      <c r="D28" s="174"/>
      <c r="E28" s="174"/>
      <c r="F28" s="174"/>
      <c r="G28" s="174"/>
      <c r="H28" s="174"/>
      <c r="I28" s="174"/>
      <c r="J28" s="229"/>
      <c r="K28" s="109"/>
      <c r="L28" s="109"/>
      <c r="M28" s="109"/>
      <c r="N28" s="109"/>
      <c r="O28" s="109"/>
      <c r="P28" s="109"/>
      <c r="Q28" s="109"/>
      <c r="R28" s="109"/>
      <c r="S28" s="109"/>
      <c r="T28" s="109"/>
      <c r="U28" s="109"/>
      <c r="V28" s="109"/>
      <c r="W28" s="109"/>
      <c r="X28" s="109"/>
      <c r="Y28" s="109"/>
      <c r="Z28" s="109"/>
    </row>
    <row r="29" spans="1:26" ht="16.5" customHeight="1" x14ac:dyDescent="0.3">
      <c r="A29" s="109"/>
      <c r="B29" s="213"/>
      <c r="C29" s="214"/>
      <c r="D29" s="214"/>
      <c r="E29" s="214"/>
      <c r="F29" s="214"/>
      <c r="G29" s="214"/>
      <c r="H29" s="214"/>
      <c r="I29" s="214"/>
      <c r="J29" s="215"/>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30" t="s">
        <v>144</v>
      </c>
      <c r="C2" s="174"/>
      <c r="D2" s="174"/>
      <c r="E2" s="174"/>
      <c r="F2" s="174"/>
      <c r="G2" s="174"/>
      <c r="H2" s="174"/>
      <c r="I2" s="174"/>
      <c r="J2" s="174"/>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44419</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31" t="s">
        <v>136</v>
      </c>
      <c r="C13" s="174"/>
      <c r="D13" s="174"/>
      <c r="E13" s="174"/>
      <c r="F13" s="174"/>
      <c r="G13" s="174"/>
      <c r="H13" s="174"/>
      <c r="I13" s="174"/>
      <c r="J13" s="174"/>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7" t="s">
        <v>137</v>
      </c>
      <c r="C15" s="181"/>
      <c r="D15" s="181"/>
      <c r="E15" s="181"/>
      <c r="F15" s="181"/>
      <c r="G15" s="181"/>
      <c r="H15" s="181"/>
      <c r="I15" s="181"/>
      <c r="J15" s="182"/>
      <c r="K15" s="109"/>
      <c r="L15" s="109"/>
      <c r="M15" s="109"/>
      <c r="N15" s="109"/>
      <c r="O15" s="109"/>
      <c r="P15" s="109"/>
      <c r="Q15" s="109"/>
      <c r="R15" s="109"/>
      <c r="S15" s="109"/>
      <c r="T15" s="109"/>
      <c r="U15" s="109"/>
      <c r="V15" s="109"/>
      <c r="W15" s="109"/>
      <c r="X15" s="109"/>
      <c r="Y15" s="109"/>
      <c r="Z15" s="109"/>
    </row>
    <row r="16" spans="1:26" ht="16.5" customHeight="1" x14ac:dyDescent="0.3">
      <c r="A16" s="109"/>
      <c r="B16" s="228"/>
      <c r="C16" s="174"/>
      <c r="D16" s="174"/>
      <c r="E16" s="174"/>
      <c r="F16" s="174"/>
      <c r="G16" s="174"/>
      <c r="H16" s="174"/>
      <c r="I16" s="174"/>
      <c r="J16" s="229"/>
      <c r="K16" s="109"/>
      <c r="L16" s="109"/>
      <c r="M16" s="109"/>
      <c r="N16" s="109"/>
      <c r="O16" s="109"/>
      <c r="P16" s="109"/>
      <c r="Q16" s="109"/>
      <c r="R16" s="109"/>
      <c r="S16" s="109"/>
      <c r="T16" s="109"/>
      <c r="U16" s="109"/>
      <c r="V16" s="109"/>
      <c r="W16" s="109"/>
      <c r="X16" s="109"/>
      <c r="Y16" s="109"/>
      <c r="Z16" s="109"/>
    </row>
    <row r="17" spans="1:26" ht="16.5" customHeight="1" x14ac:dyDescent="0.3">
      <c r="A17" s="109"/>
      <c r="B17" s="213"/>
      <c r="C17" s="214"/>
      <c r="D17" s="214"/>
      <c r="E17" s="214"/>
      <c r="F17" s="214"/>
      <c r="G17" s="214"/>
      <c r="H17" s="214"/>
      <c r="I17" s="214"/>
      <c r="J17" s="215"/>
      <c r="K17" s="109"/>
      <c r="L17" s="109"/>
      <c r="M17" s="109"/>
      <c r="N17" s="109"/>
      <c r="O17" s="109"/>
      <c r="P17" s="109"/>
      <c r="Q17" s="109"/>
      <c r="R17" s="109"/>
      <c r="S17" s="109"/>
      <c r="T17" s="109"/>
      <c r="U17" s="109"/>
      <c r="V17" s="109"/>
      <c r="W17" s="109"/>
      <c r="X17" s="109"/>
      <c r="Y17" s="109"/>
      <c r="Z17" s="109"/>
    </row>
    <row r="18" spans="1:26" ht="16.5" customHeight="1" x14ac:dyDescent="0.3">
      <c r="A18" s="109"/>
      <c r="B18" s="227" t="s">
        <v>138</v>
      </c>
      <c r="C18" s="181"/>
      <c r="D18" s="181"/>
      <c r="E18" s="181"/>
      <c r="F18" s="181"/>
      <c r="G18" s="181"/>
      <c r="H18" s="181"/>
      <c r="I18" s="181"/>
      <c r="J18" s="182"/>
      <c r="K18" s="109"/>
      <c r="L18" s="109"/>
      <c r="M18" s="109"/>
      <c r="N18" s="109"/>
      <c r="O18" s="109"/>
      <c r="P18" s="109"/>
      <c r="Q18" s="109"/>
      <c r="R18" s="109"/>
      <c r="S18" s="109"/>
      <c r="T18" s="109"/>
      <c r="U18" s="109"/>
      <c r="V18" s="109"/>
      <c r="W18" s="109"/>
      <c r="X18" s="109"/>
      <c r="Y18" s="109"/>
      <c r="Z18" s="109"/>
    </row>
    <row r="19" spans="1:26" ht="16.5" customHeight="1" x14ac:dyDescent="0.3">
      <c r="A19" s="109"/>
      <c r="B19" s="228"/>
      <c r="C19" s="174"/>
      <c r="D19" s="174"/>
      <c r="E19" s="174"/>
      <c r="F19" s="174"/>
      <c r="G19" s="174"/>
      <c r="H19" s="174"/>
      <c r="I19" s="174"/>
      <c r="J19" s="229"/>
      <c r="K19" s="109"/>
      <c r="L19" s="109"/>
      <c r="M19" s="109"/>
      <c r="N19" s="109"/>
      <c r="O19" s="109"/>
      <c r="P19" s="109"/>
      <c r="Q19" s="109"/>
      <c r="R19" s="109"/>
      <c r="S19" s="109"/>
      <c r="T19" s="109"/>
      <c r="U19" s="109"/>
      <c r="V19" s="109"/>
      <c r="W19" s="109"/>
      <c r="X19" s="109"/>
      <c r="Y19" s="109"/>
      <c r="Z19" s="109"/>
    </row>
    <row r="20" spans="1:26" ht="16.5" customHeight="1" x14ac:dyDescent="0.3">
      <c r="A20" s="109"/>
      <c r="B20" s="213"/>
      <c r="C20" s="214"/>
      <c r="D20" s="214"/>
      <c r="E20" s="214"/>
      <c r="F20" s="214"/>
      <c r="G20" s="214"/>
      <c r="H20" s="214"/>
      <c r="I20" s="214"/>
      <c r="J20" s="215"/>
      <c r="K20" s="109"/>
      <c r="L20" s="109"/>
      <c r="M20" s="109"/>
      <c r="N20" s="109"/>
      <c r="O20" s="109"/>
      <c r="P20" s="109"/>
      <c r="Q20" s="109"/>
      <c r="R20" s="109"/>
      <c r="S20" s="109"/>
      <c r="T20" s="109"/>
      <c r="U20" s="109"/>
      <c r="V20" s="109"/>
      <c r="W20" s="109"/>
      <c r="X20" s="109"/>
      <c r="Y20" s="109"/>
      <c r="Z20" s="109"/>
    </row>
    <row r="21" spans="1:26" ht="16.5" customHeight="1" x14ac:dyDescent="0.3">
      <c r="A21" s="109"/>
      <c r="B21" s="227" t="s">
        <v>139</v>
      </c>
      <c r="C21" s="181"/>
      <c r="D21" s="181"/>
      <c r="E21" s="181"/>
      <c r="F21" s="181"/>
      <c r="G21" s="181"/>
      <c r="H21" s="181"/>
      <c r="I21" s="181"/>
      <c r="J21" s="182"/>
      <c r="K21" s="109"/>
      <c r="L21" s="109"/>
      <c r="M21" s="109"/>
      <c r="N21" s="109"/>
      <c r="O21" s="109"/>
      <c r="P21" s="109"/>
      <c r="Q21" s="109"/>
      <c r="R21" s="109"/>
      <c r="S21" s="109"/>
      <c r="T21" s="109"/>
      <c r="U21" s="109"/>
      <c r="V21" s="109"/>
      <c r="W21" s="109"/>
      <c r="X21" s="109"/>
      <c r="Y21" s="109"/>
      <c r="Z21" s="109"/>
    </row>
    <row r="22" spans="1:26" ht="16.5" customHeight="1" x14ac:dyDescent="0.3">
      <c r="A22" s="109"/>
      <c r="B22" s="228"/>
      <c r="C22" s="174"/>
      <c r="D22" s="174"/>
      <c r="E22" s="174"/>
      <c r="F22" s="174"/>
      <c r="G22" s="174"/>
      <c r="H22" s="174"/>
      <c r="I22" s="174"/>
      <c r="J22" s="229"/>
      <c r="K22" s="109"/>
      <c r="L22" s="109"/>
      <c r="M22" s="109"/>
      <c r="N22" s="109"/>
      <c r="O22" s="109"/>
      <c r="P22" s="109"/>
      <c r="Q22" s="109"/>
      <c r="R22" s="109"/>
      <c r="S22" s="109"/>
      <c r="T22" s="109"/>
      <c r="U22" s="109"/>
      <c r="V22" s="109"/>
      <c r="W22" s="109"/>
      <c r="X22" s="109"/>
      <c r="Y22" s="109"/>
      <c r="Z22" s="109"/>
    </row>
    <row r="23" spans="1:26" ht="16.5" customHeight="1" x14ac:dyDescent="0.3">
      <c r="A23" s="109"/>
      <c r="B23" s="213"/>
      <c r="C23" s="214"/>
      <c r="D23" s="214"/>
      <c r="E23" s="214"/>
      <c r="F23" s="214"/>
      <c r="G23" s="214"/>
      <c r="H23" s="214"/>
      <c r="I23" s="214"/>
      <c r="J23" s="215"/>
      <c r="K23" s="109"/>
      <c r="L23" s="109"/>
      <c r="M23" s="109"/>
      <c r="N23" s="109"/>
      <c r="O23" s="109"/>
      <c r="P23" s="109"/>
      <c r="Q23" s="109"/>
      <c r="R23" s="109"/>
      <c r="S23" s="109"/>
      <c r="T23" s="109"/>
      <c r="U23" s="109"/>
      <c r="V23" s="109"/>
      <c r="W23" s="109"/>
      <c r="X23" s="109"/>
      <c r="Y23" s="109"/>
      <c r="Z23" s="109"/>
    </row>
    <row r="24" spans="1:26" ht="16.5" customHeight="1" x14ac:dyDescent="0.3">
      <c r="A24" s="109"/>
      <c r="B24" s="227" t="s">
        <v>140</v>
      </c>
      <c r="C24" s="181"/>
      <c r="D24" s="181"/>
      <c r="E24" s="181"/>
      <c r="F24" s="181"/>
      <c r="G24" s="181"/>
      <c r="H24" s="181"/>
      <c r="I24" s="181"/>
      <c r="J24" s="182"/>
      <c r="K24" s="109"/>
      <c r="L24" s="109"/>
      <c r="M24" s="109"/>
      <c r="N24" s="109"/>
      <c r="O24" s="109"/>
      <c r="P24" s="109"/>
      <c r="Q24" s="109"/>
      <c r="R24" s="109"/>
      <c r="S24" s="109"/>
      <c r="T24" s="109"/>
      <c r="U24" s="109"/>
      <c r="V24" s="109"/>
      <c r="W24" s="109"/>
      <c r="X24" s="109"/>
      <c r="Y24" s="109"/>
      <c r="Z24" s="109"/>
    </row>
    <row r="25" spans="1:26" ht="16.5" customHeight="1" x14ac:dyDescent="0.3">
      <c r="A25" s="109"/>
      <c r="B25" s="228"/>
      <c r="C25" s="174"/>
      <c r="D25" s="174"/>
      <c r="E25" s="174"/>
      <c r="F25" s="174"/>
      <c r="G25" s="174"/>
      <c r="H25" s="174"/>
      <c r="I25" s="174"/>
      <c r="J25" s="229"/>
      <c r="K25" s="109"/>
      <c r="L25" s="109"/>
      <c r="M25" s="109"/>
      <c r="N25" s="109"/>
      <c r="O25" s="109"/>
      <c r="P25" s="109"/>
      <c r="Q25" s="109"/>
      <c r="R25" s="109"/>
      <c r="S25" s="109"/>
      <c r="T25" s="109"/>
      <c r="U25" s="109"/>
      <c r="V25" s="109"/>
      <c r="W25" s="109"/>
      <c r="X25" s="109"/>
      <c r="Y25" s="109"/>
      <c r="Z25" s="109"/>
    </row>
    <row r="26" spans="1:26" ht="16.5" customHeight="1" x14ac:dyDescent="0.3">
      <c r="A26" s="109"/>
      <c r="B26" s="213"/>
      <c r="C26" s="214"/>
      <c r="D26" s="214"/>
      <c r="E26" s="214"/>
      <c r="F26" s="214"/>
      <c r="G26" s="214"/>
      <c r="H26" s="214"/>
      <c r="I26" s="214"/>
      <c r="J26" s="215"/>
      <c r="K26" s="109"/>
      <c r="L26" s="109"/>
      <c r="M26" s="109"/>
      <c r="N26" s="109"/>
      <c r="O26" s="109"/>
      <c r="P26" s="109"/>
      <c r="Q26" s="109"/>
      <c r="R26" s="109"/>
      <c r="S26" s="109"/>
      <c r="T26" s="109"/>
      <c r="U26" s="109"/>
      <c r="V26" s="109"/>
      <c r="W26" s="109"/>
      <c r="X26" s="109"/>
      <c r="Y26" s="109"/>
      <c r="Z26" s="109"/>
    </row>
    <row r="27" spans="1:26" ht="16.5" customHeight="1" x14ac:dyDescent="0.3">
      <c r="A27" s="109"/>
      <c r="B27" s="227" t="s">
        <v>141</v>
      </c>
      <c r="C27" s="181"/>
      <c r="D27" s="181"/>
      <c r="E27" s="181"/>
      <c r="F27" s="181"/>
      <c r="G27" s="181"/>
      <c r="H27" s="181"/>
      <c r="I27" s="181"/>
      <c r="J27" s="182"/>
      <c r="K27" s="109"/>
      <c r="L27" s="109"/>
      <c r="M27" s="109"/>
      <c r="N27" s="109"/>
      <c r="O27" s="109"/>
      <c r="P27" s="109"/>
      <c r="Q27" s="109"/>
      <c r="R27" s="109"/>
      <c r="S27" s="109"/>
      <c r="T27" s="109"/>
      <c r="U27" s="109"/>
      <c r="V27" s="109"/>
      <c r="W27" s="109"/>
      <c r="X27" s="109"/>
      <c r="Y27" s="109"/>
      <c r="Z27" s="109"/>
    </row>
    <row r="28" spans="1:26" ht="16.5" customHeight="1" x14ac:dyDescent="0.3">
      <c r="A28" s="109"/>
      <c r="B28" s="228"/>
      <c r="C28" s="174"/>
      <c r="D28" s="174"/>
      <c r="E28" s="174"/>
      <c r="F28" s="174"/>
      <c r="G28" s="174"/>
      <c r="H28" s="174"/>
      <c r="I28" s="174"/>
      <c r="J28" s="229"/>
      <c r="K28" s="109"/>
      <c r="L28" s="109"/>
      <c r="M28" s="109"/>
      <c r="N28" s="109"/>
      <c r="O28" s="109"/>
      <c r="P28" s="109"/>
      <c r="Q28" s="109"/>
      <c r="R28" s="109"/>
      <c r="S28" s="109"/>
      <c r="T28" s="109"/>
      <c r="U28" s="109"/>
      <c r="V28" s="109"/>
      <c r="W28" s="109"/>
      <c r="X28" s="109"/>
      <c r="Y28" s="109"/>
      <c r="Z28" s="109"/>
    </row>
    <row r="29" spans="1:26" ht="16.5" customHeight="1" x14ac:dyDescent="0.3">
      <c r="A29" s="109"/>
      <c r="B29" s="213"/>
      <c r="C29" s="214"/>
      <c r="D29" s="214"/>
      <c r="E29" s="214"/>
      <c r="F29" s="214"/>
      <c r="G29" s="214"/>
      <c r="H29" s="214"/>
      <c r="I29" s="214"/>
      <c r="J29" s="215"/>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78" t="s">
        <v>145</v>
      </c>
      <c r="D2" s="174"/>
      <c r="E2" s="174"/>
      <c r="F2" s="174"/>
      <c r="G2" s="174"/>
      <c r="H2" s="174"/>
      <c r="I2" s="174"/>
      <c r="J2" s="174"/>
      <c r="K2" s="174"/>
      <c r="L2" s="174"/>
      <c r="M2" s="17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5to de Secundaria</v>
      </c>
      <c r="F5" s="40"/>
      <c r="G5" s="40"/>
      <c r="H5" s="40"/>
      <c r="I5" s="40"/>
      <c r="J5" s="43" t="s">
        <v>23</v>
      </c>
      <c r="K5" s="65">
        <f ca="1">TODAY()</f>
        <v>44419</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93" t="s">
        <v>146</v>
      </c>
      <c r="D10" s="174"/>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93" t="s">
        <v>151</v>
      </c>
      <c r="D23" s="174"/>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93" t="s">
        <v>153</v>
      </c>
      <c r="D35" s="174"/>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25" customWidth="1"/>
    <col min="5" max="5" width="7.5" customWidth="1"/>
    <col min="6" max="6" width="13.33203125" customWidth="1"/>
    <col min="7" max="7" width="10.75" customWidth="1"/>
    <col min="8" max="8" width="8.16406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233" t="s">
        <v>155</v>
      </c>
      <c r="D2" s="174"/>
      <c r="E2" s="174"/>
      <c r="F2" s="174"/>
      <c r="G2" s="174"/>
      <c r="H2" s="174"/>
      <c r="I2" s="174"/>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5to de Secundaria</v>
      </c>
      <c r="F5" s="132"/>
      <c r="G5" s="131" t="s">
        <v>23</v>
      </c>
      <c r="H5" s="133">
        <f ca="1">TODAY()</f>
        <v>44419</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232"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219"/>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219"/>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219"/>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04"/>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232"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219"/>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219"/>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219"/>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04"/>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232"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219"/>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219"/>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219"/>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04"/>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232"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219"/>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219"/>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219"/>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04"/>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232"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219"/>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219"/>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219"/>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04"/>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232"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219"/>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219"/>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219"/>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04"/>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9140625" customWidth="1"/>
    <col min="11" max="26" width="10.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234" t="s">
        <v>170</v>
      </c>
      <c r="F3" s="174"/>
      <c r="G3" s="174"/>
      <c r="H3" s="174"/>
      <c r="I3" s="174"/>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5to de Secundaria</v>
      </c>
      <c r="H8" s="143" t="s">
        <v>23</v>
      </c>
      <c r="I8" s="133">
        <f ca="1">TODAY()</f>
        <v>44419</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235" t="s">
        <v>171</v>
      </c>
      <c r="F16" s="236"/>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237"/>
      <c r="F17" s="197"/>
      <c r="G17" s="148" t="str">
        <f>'C. FILIACION'!B8</f>
        <v>ARAMAYO CARVALLO LITZI</v>
      </c>
      <c r="H17" s="149">
        <f>'CENTRAL 2'!F9</f>
        <v>91</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237"/>
      <c r="F18" s="197"/>
      <c r="G18" s="148" t="str">
        <f>'C. FILIACION'!B9</f>
        <v>BLANCO SALVATIERRA LIZETH BRIGIDA</v>
      </c>
      <c r="H18" s="149">
        <f>'CENTRAL 2'!F10</f>
        <v>86.666666666666671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237"/>
      <c r="F19" s="197"/>
      <c r="G19" s="148" t="str">
        <f>'C. FILIACION'!B10</f>
        <v>GARCIA FAUCA NIELS HAMILTON</v>
      </c>
      <c r="H19" s="149">
        <f>'CENTRAL 2'!F11</f>
        <v>89.333333333333329</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237"/>
      <c r="F20" s="197"/>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237"/>
      <c r="F21" s="197"/>
      <c r="G21" s="148" t="str">
        <f>'C. FILIACION'!B12</f>
        <v>GOMEZ LUCANA ALISON NAYR</v>
      </c>
      <c r="H21" s="149">
        <f>'CENTRAL 2'!F13</f>
        <v>72.666666666666671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237"/>
      <c r="F22" s="197"/>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237"/>
      <c r="F23" s="197"/>
      <c r="G23" s="148" t="str">
        <f>'C. FILIACION'!B14</f>
        <v>LOPEZ PACO MIGUEL ANGEL</v>
      </c>
      <c r="H23" s="149">
        <f>'CENTRAL 2'!F15</f>
        <v>81.333333333333329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237"/>
      <c r="F24" s="197"/>
      <c r="G24" s="148" t="str">
        <f>'C. FILIACION'!B15</f>
        <v>MAMANI AQUINO LUCAS</v>
      </c>
      <c r="H24" s="149">
        <f>'CENTRAL 2'!F16</f>
        <v>73.666666666666671</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237"/>
      <c r="F25" s="197"/>
      <c r="G25" s="148" t="str">
        <f>'C. FILIACION'!B16</f>
        <v>MAMANI VASQUEZ FRANZ DARWIN</v>
      </c>
      <c r="H25" s="149">
        <f>'CENTRAL 2'!F17</f>
        <v>95</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237"/>
      <c r="F26" s="197"/>
      <c r="G26" s="148" t="str">
        <f>'C. FILIACION'!B17</f>
        <v>MARTINEZ MAMANI JORGE ARMANDO</v>
      </c>
      <c r="H26" s="149">
        <f>'CENTRAL 2'!F18</f>
        <v>74.333333333333329</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237"/>
      <c r="F27" s="197"/>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237"/>
      <c r="F28" s="197"/>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237"/>
      <c r="F29" s="197"/>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237"/>
      <c r="F30" s="197"/>
      <c r="G30" s="148" t="str">
        <f>'C. FILIACION'!B21</f>
        <v>ORELLANA MOGRO ADAMO LEVING</v>
      </c>
      <c r="H30" s="149">
        <f>'CENTRAL 2'!F22</f>
        <v>88</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237"/>
      <c r="F31" s="197"/>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237"/>
      <c r="F32" s="197"/>
      <c r="G32" s="148" t="str">
        <f>'C. FILIACION'!B23</f>
        <v>PEREZ HUARACHI ESPERANZA ALEJANDRA</v>
      </c>
      <c r="H32" s="149">
        <f>'CENTRAL 2'!F24</f>
        <v>88.333333333333329</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237"/>
      <c r="F33" s="197"/>
      <c r="G33" s="148" t="str">
        <f>'C. FILIACION'!B24</f>
        <v>PEREZ ZAMBRANA DAYRIS CONZUELO</v>
      </c>
      <c r="H33" s="149">
        <f>'CENTRAL 2'!F25</f>
        <v>87</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237"/>
      <c r="F34" s="197"/>
      <c r="G34" s="148" t="str">
        <f>'C. FILIACION'!B25</f>
        <v>QUISPAYA ENCINAS GATHERING ZAMANTHA</v>
      </c>
      <c r="H34" s="149">
        <f>'CENTRAL 2'!F26</f>
        <v>87.333333333333329</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238"/>
      <c r="F35" s="197"/>
      <c r="G35" s="148" t="str">
        <f>'C. FILIACION'!B26</f>
        <v>SANDOVAL MORANGO EDGAR JORGE</v>
      </c>
      <c r="H35" s="149">
        <f>'CENTRAL 2'!F27</f>
        <v>81.333333333333329</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237"/>
      <c r="F36" s="197"/>
      <c r="G36" s="148" t="str">
        <f>'C. FILIACION'!B27</f>
        <v>SEVILLANO BALTAZAR ALEXIA LIZZY</v>
      </c>
      <c r="H36" s="149">
        <f>'CENTRAL 2'!F28</f>
        <v>77</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237"/>
      <c r="F37" s="197"/>
      <c r="G37" s="148" t="str">
        <f>'C. FILIACION'!B28</f>
        <v>TORREZ PACO JOSE MANUEL</v>
      </c>
      <c r="H37" s="149">
        <f>'CENTRAL 2'!F29</f>
        <v>83.666666666666671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237"/>
      <c r="F38" s="197"/>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237"/>
      <c r="F39" s="197"/>
      <c r="G39" s="148" t="str">
        <f>'C. FILIACION'!B30</f>
        <v>VIDEA JHENDAVIEL PAOLA</v>
      </c>
      <c r="H39" s="149">
        <f>'CENTRAL 2'!F31</f>
        <v>83.666666666666671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237"/>
      <c r="F40" s="197"/>
      <c r="G40" s="148">
        <f>'C. FILIACION'!B31</f>
        <v>0</v>
      </c>
      <c r="H40" s="149">
        <f>'CENTRAL 2'!F32</f>
        <v>100</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237"/>
      <c r="F41" s="197"/>
      <c r="G41" s="148">
        <f>'C. FILIACION'!B32</f>
        <v>0</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237"/>
      <c r="F42" s="197"/>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237"/>
      <c r="F43" s="197"/>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237"/>
      <c r="F44" s="197"/>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237"/>
      <c r="F45" s="197"/>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237"/>
      <c r="F46" s="197"/>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237"/>
      <c r="F47" s="197"/>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237"/>
      <c r="F48" s="197"/>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237"/>
      <c r="F49" s="197"/>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237"/>
      <c r="F50" s="197"/>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237"/>
      <c r="F51" s="197"/>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237"/>
      <c r="F52" s="197"/>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237"/>
      <c r="F53" s="197"/>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237"/>
      <c r="F54" s="197"/>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237"/>
      <c r="F55" s="197"/>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237"/>
      <c r="F56" s="197"/>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237"/>
      <c r="F57" s="197"/>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237"/>
      <c r="F58" s="197"/>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237"/>
      <c r="F59" s="197"/>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239"/>
      <c r="F60" s="240"/>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2021-08-11T19:25:19Z</dcterms:modified>
</cp:coreProperties>
</file>