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mc:AlternateContent xmlns:mc="http://schemas.openxmlformats.org/markup-compatibility/2006">
    <mc:Choice Requires="x15">
      <x15ac:absPath xmlns:x15ac="http://schemas.microsoft.com/office/spreadsheetml/2010/11/ac" url="D:\Calificaciones\"/>
    </mc:Choice>
  </mc:AlternateContent>
  <xr:revisionPtr revIDLastSave="0" documentId="13_ncr:1_{FBCE1F19-06ED-4691-B265-786E9F33DA02}" xr6:coauthVersionLast="47" xr6:coauthVersionMax="47" xr10:uidLastSave="{00000000-0000-0000-0000-000000000000}"/>
  <bookViews>
    <workbookView xWindow="-23148" yWindow="-108" windowWidth="23256" windowHeight="12576" tabRatio="765" firstSheet="1" activeTab="5"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calcMode="manual"/>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31" i="5" l="1"/>
  <c r="AD27" i="17"/>
  <c r="A26" i="17"/>
  <c r="A25" i="17"/>
  <c r="Q10" i="17"/>
  <c r="R10" i="17"/>
  <c r="P10" i="17"/>
  <c r="O10" i="17"/>
  <c r="H10" i="17"/>
  <c r="I10" i="17"/>
  <c r="J10" i="17"/>
  <c r="K10" i="17"/>
  <c r="L10" i="17"/>
  <c r="M10" i="17"/>
  <c r="N10" i="17"/>
  <c r="G10" i="17"/>
  <c r="R4" i="17"/>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A9" i="4"/>
  <c r="BA10" i="4"/>
  <c r="BA11" i="4"/>
  <c r="BA12" i="4"/>
  <c r="BA13" i="4"/>
  <c r="BA14" i="4"/>
  <c r="BA15" i="4"/>
  <c r="BA16" i="4"/>
  <c r="BA17" i="4"/>
  <c r="BA18" i="4"/>
  <c r="BA19" i="4"/>
  <c r="BA20" i="4"/>
  <c r="BA21" i="4"/>
  <c r="BA22" i="4"/>
  <c r="BA23" i="4"/>
  <c r="BA24" i="4"/>
  <c r="BA25" i="4"/>
  <c r="BA26" i="4"/>
  <c r="BA27" i="4"/>
  <c r="BA28" i="4"/>
  <c r="BA29" i="4"/>
  <c r="BA30" i="4"/>
  <c r="W10" i="17"/>
  <c r="V10" i="17"/>
  <c r="U10" i="17"/>
  <c r="T10" i="17"/>
  <c r="S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H32" i="15" s="1"/>
  <c r="F33" i="15"/>
  <c r="E33" i="15"/>
  <c r="H31" i="15"/>
  <c r="G26" i="15"/>
  <c r="H23" i="15" s="1"/>
  <c r="F26" i="15"/>
  <c r="E26" i="15"/>
  <c r="G19" i="15"/>
  <c r="H16" i="15" s="1"/>
  <c r="H19" i="15" s="1"/>
  <c r="F19" i="15"/>
  <c r="E19" i="15"/>
  <c r="H18" i="15"/>
  <c r="H17" i="15"/>
  <c r="G12" i="15"/>
  <c r="H11" i="15" s="1"/>
  <c r="F12" i="15"/>
  <c r="E12"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S40" i="9" s="1"/>
  <c r="AB40" i="8"/>
  <c r="Q40" i="9" s="1"/>
  <c r="O40" i="8"/>
  <c r="B40" i="8"/>
  <c r="AG39" i="8"/>
  <c r="AH39" i="8" s="1"/>
  <c r="AE39" i="8"/>
  <c r="S39" i="9" s="1"/>
  <c r="AB39" i="8"/>
  <c r="Q39" i="9" s="1"/>
  <c r="O39" i="8"/>
  <c r="P39" i="9" s="1"/>
  <c r="B39" i="8"/>
  <c r="AE38" i="8"/>
  <c r="S38" i="9" s="1"/>
  <c r="AB38" i="8"/>
  <c r="Q38" i="9" s="1"/>
  <c r="O38" i="8"/>
  <c r="P38" i="9" s="1"/>
  <c r="B38" i="8"/>
  <c r="AE37" i="8"/>
  <c r="S37" i="9" s="1"/>
  <c r="AB37" i="8"/>
  <c r="Q37" i="9" s="1"/>
  <c r="O37" i="8"/>
  <c r="B37" i="8"/>
  <c r="AE36" i="8"/>
  <c r="S36" i="9" s="1"/>
  <c r="AB36" i="8"/>
  <c r="O36" i="8"/>
  <c r="P36" i="9" s="1"/>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B32" i="8"/>
  <c r="AE31" i="8"/>
  <c r="S31" i="9" s="1"/>
  <c r="AB31" i="8"/>
  <c r="Q31" i="9" s="1"/>
  <c r="O31" i="8"/>
  <c r="P31" i="9" s="1"/>
  <c r="B31" i="8"/>
  <c r="AG30" i="8"/>
  <c r="AE30" i="8"/>
  <c r="S30" i="9" s="1"/>
  <c r="AB30" i="8"/>
  <c r="Q30" i="9" s="1"/>
  <c r="O30" i="8"/>
  <c r="P30" i="9" s="1"/>
  <c r="B30" i="8"/>
  <c r="AE29" i="8"/>
  <c r="S29" i="9" s="1"/>
  <c r="AB29" i="8"/>
  <c r="Q29" i="9" s="1"/>
  <c r="O29" i="8"/>
  <c r="B29" i="8"/>
  <c r="AE28" i="8"/>
  <c r="S28" i="9" s="1"/>
  <c r="AB28" i="8"/>
  <c r="O28" i="8"/>
  <c r="P28" i="9" s="1"/>
  <c r="B28"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B24" i="8"/>
  <c r="AE23" i="8"/>
  <c r="S23" i="9" s="1"/>
  <c r="AB23" i="8"/>
  <c r="Q23" i="9" s="1"/>
  <c r="O23" i="8"/>
  <c r="P23" i="9" s="1"/>
  <c r="B23" i="8"/>
  <c r="AE22" i="8"/>
  <c r="S22" i="9" s="1"/>
  <c r="AB22" i="8"/>
  <c r="Q22" i="9" s="1"/>
  <c r="O22" i="8"/>
  <c r="P22" i="9" s="1"/>
  <c r="B22" i="8"/>
  <c r="AE21" i="8"/>
  <c r="S21" i="9" s="1"/>
  <c r="AB21" i="8"/>
  <c r="Q21" i="9" s="1"/>
  <c r="O21" i="8"/>
  <c r="B21" i="8"/>
  <c r="AE20" i="8"/>
  <c r="S20" i="9" s="1"/>
  <c r="AB20" i="8"/>
  <c r="Q20" i="9" s="1"/>
  <c r="O20" i="8"/>
  <c r="P20" i="9" s="1"/>
  <c r="B20" i="8"/>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Q15" i="9" s="1"/>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I21" i="17" s="1"/>
  <c r="AC21" i="17" s="1"/>
  <c r="AI5" i="7"/>
  <c r="AN4" i="7" s="1"/>
  <c r="S5" i="7"/>
  <c r="C5" i="7"/>
  <c r="AI4" i="7"/>
  <c r="S4" i="7"/>
  <c r="C4" i="7"/>
  <c r="AI3" i="7"/>
  <c r="S3" i="7"/>
  <c r="C3" i="7"/>
  <c r="AE44" i="6"/>
  <c r="AB44" i="6"/>
  <c r="E44" i="9" s="1"/>
  <c r="O44" i="6"/>
  <c r="D44" i="9" s="1"/>
  <c r="B44"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G26" i="6" s="1"/>
  <c r="AF26" i="6" s="1"/>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G21" i="6"/>
  <c r="AF21" i="6" s="1"/>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E13" i="6"/>
  <c r="AB13" i="6"/>
  <c r="E13" i="9" s="1"/>
  <c r="O13" i="6"/>
  <c r="D13" i="9" s="1"/>
  <c r="B13" i="6"/>
  <c r="AE12" i="6"/>
  <c r="AG12" i="6" s="1"/>
  <c r="AB12" i="6"/>
  <c r="E12" i="9" s="1"/>
  <c r="O12" i="6"/>
  <c r="D12" i="9" s="1"/>
  <c r="B12" i="6"/>
  <c r="AG11" i="6"/>
  <c r="AF11" i="6" s="1"/>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26" i="4"/>
  <c r="B25" i="4"/>
  <c r="B24" i="4"/>
  <c r="B23" i="4"/>
  <c r="B22" i="4"/>
  <c r="B21" i="4"/>
  <c r="B20" i="4"/>
  <c r="B19" i="4"/>
  <c r="B18" i="4"/>
  <c r="B17" i="4"/>
  <c r="B16" i="4"/>
  <c r="B15" i="4"/>
  <c r="B14" i="4"/>
  <c r="B13" i="4"/>
  <c r="B12" i="4"/>
  <c r="B11" i="4"/>
  <c r="B10" i="4"/>
  <c r="B9" i="4"/>
  <c r="B8" i="4"/>
  <c r="I11" i="17" s="1"/>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F12" i="6" l="1"/>
  <c r="AH12" i="6"/>
  <c r="BJ17" i="4"/>
  <c r="BJ12" i="4"/>
  <c r="BJ25" i="4"/>
  <c r="BJ9" i="4"/>
  <c r="BJ27" i="4"/>
  <c r="BJ11" i="4"/>
  <c r="BJ26" i="4"/>
  <c r="AH11" i="6"/>
  <c r="AH21" i="6"/>
  <c r="AG35" i="6"/>
  <c r="AG19" i="8"/>
  <c r="AF19" i="8" s="1"/>
  <c r="H30" i="15"/>
  <c r="H33" i="15" s="1"/>
  <c r="J11" i="17"/>
  <c r="I22" i="17"/>
  <c r="AC22" i="17" s="1"/>
  <c r="AC27" i="17" s="1"/>
  <c r="K11" i="17"/>
  <c r="I23" i="17"/>
  <c r="AC23" i="17" s="1"/>
  <c r="Q11" i="17"/>
  <c r="AG10" i="6"/>
  <c r="AG18" i="6"/>
  <c r="AH18" i="6" s="1"/>
  <c r="AG28" i="6"/>
  <c r="AF28" i="6" s="1"/>
  <c r="AG25" i="8"/>
  <c r="AH25" i="8" s="1"/>
  <c r="AG20" i="6"/>
  <c r="AH20" i="6" s="1"/>
  <c r="AG34" i="6"/>
  <c r="AH34" i="6" s="1"/>
  <c r="AG27" i="8"/>
  <c r="H10" i="15"/>
  <c r="L11" i="17"/>
  <c r="I24" i="17"/>
  <c r="AC24" i="17" s="1"/>
  <c r="R11" i="17"/>
  <c r="AG42" i="7"/>
  <c r="N42" i="9" s="1"/>
  <c r="AG9" i="6"/>
  <c r="C9" i="10" s="1"/>
  <c r="AG13" i="6"/>
  <c r="AG27" i="6"/>
  <c r="AG44" i="6"/>
  <c r="M11" i="17"/>
  <c r="N11" i="17"/>
  <c r="O11" i="17"/>
  <c r="H24" i="15"/>
  <c r="AG19" i="6"/>
  <c r="C19" i="10" s="1"/>
  <c r="AG43" i="6"/>
  <c r="AG32" i="8"/>
  <c r="G11" i="17"/>
  <c r="I15" i="17"/>
  <c r="AC15" i="17" s="1"/>
  <c r="I25" i="17"/>
  <c r="AC25" i="17" s="1"/>
  <c r="AG36" i="6"/>
  <c r="C36" i="10" s="1"/>
  <c r="H11" i="17"/>
  <c r="I16" i="17"/>
  <c r="AC16" i="17" s="1"/>
  <c r="P11" i="17"/>
  <c r="I26" i="17"/>
  <c r="AC26" i="17" s="1"/>
  <c r="T11" i="17"/>
  <c r="BE11" i="4"/>
  <c r="U11" i="17"/>
  <c r="BE13" i="4"/>
  <c r="BJ13" i="4" s="1"/>
  <c r="BE10" i="4"/>
  <c r="BJ10" i="4" s="1"/>
  <c r="BE24" i="4"/>
  <c r="BJ24" i="4" s="1"/>
  <c r="V11" i="17"/>
  <c r="BE14" i="4"/>
  <c r="BJ14" i="4" s="1"/>
  <c r="BE26" i="4"/>
  <c r="BE23" i="4"/>
  <c r="BJ23" i="4" s="1"/>
  <c r="BE22" i="4"/>
  <c r="BJ22" i="4" s="1"/>
  <c r="BE18" i="4"/>
  <c r="BJ18" i="4" s="1"/>
  <c r="BE15" i="4"/>
  <c r="BJ15" i="4" s="1"/>
  <c r="BE12" i="4"/>
  <c r="BE9" i="4"/>
  <c r="BE29" i="4"/>
  <c r="BJ29" i="4" s="1"/>
  <c r="BE21" i="4"/>
  <c r="BJ21" i="4" s="1"/>
  <c r="BE19" i="4"/>
  <c r="BJ19" i="4" s="1"/>
  <c r="BE28" i="4"/>
  <c r="BJ28" i="4" s="1"/>
  <c r="BE20" i="4"/>
  <c r="BJ20" i="4" s="1"/>
  <c r="BE25" i="4"/>
  <c r="BE17" i="4"/>
  <c r="BE27" i="4"/>
  <c r="BE16" i="4"/>
  <c r="BJ16" i="4" s="1"/>
  <c r="BE30" i="4"/>
  <c r="BJ30" i="4" s="1"/>
  <c r="BE8" i="4"/>
  <c r="BJ8" i="4" s="1"/>
  <c r="S11" i="17"/>
  <c r="I27"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G26" i="9"/>
  <c r="F26" i="9"/>
  <c r="G34" i="9"/>
  <c r="F34" i="9"/>
  <c r="G18" i="9"/>
  <c r="F18" i="9"/>
  <c r="H20" i="9"/>
  <c r="C28" i="10"/>
  <c r="H28" i="9"/>
  <c r="F42" i="9"/>
  <c r="G42" i="9"/>
  <c r="C44" i="10"/>
  <c r="H44" i="9"/>
  <c r="D33" i="10"/>
  <c r="AH33" i="7"/>
  <c r="AG40" i="7"/>
  <c r="J40" i="9"/>
  <c r="P18" i="9"/>
  <c r="AG18" i="8"/>
  <c r="E27" i="10"/>
  <c r="AH27" i="8"/>
  <c r="AF27" i="8"/>
  <c r="T27" i="9"/>
  <c r="T30" i="9"/>
  <c r="AH30" i="8"/>
  <c r="E30" i="10"/>
  <c r="E32" i="10"/>
  <c r="T32" i="9"/>
  <c r="F17" i="9"/>
  <c r="G17" i="9"/>
  <c r="AF18" i="6"/>
  <c r="G25" i="9"/>
  <c r="F25" i="9"/>
  <c r="C27" i="10"/>
  <c r="H27" i="9"/>
  <c r="AH28" i="6"/>
  <c r="G33" i="9"/>
  <c r="F33" i="9"/>
  <c r="AF34" i="6"/>
  <c r="G41" i="9"/>
  <c r="F41" i="9"/>
  <c r="AF42" i="6"/>
  <c r="C43" i="10"/>
  <c r="H43" i="9"/>
  <c r="AH44" i="6"/>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T25" i="9"/>
  <c r="AF25" i="8"/>
  <c r="AG31" i="8"/>
  <c r="AG42" i="8"/>
  <c r="P42" i="9"/>
  <c r="AG14" i="6"/>
  <c r="G20" i="9"/>
  <c r="F20" i="9"/>
  <c r="AG22" i="6"/>
  <c r="G28" i="9"/>
  <c r="F28" i="9"/>
  <c r="AG30" i="6"/>
  <c r="G36" i="9"/>
  <c r="F36" i="9"/>
  <c r="AG38" i="6"/>
  <c r="G44" i="9"/>
  <c r="F44" i="9"/>
  <c r="AG16" i="7"/>
  <c r="AG24" i="7"/>
  <c r="J32" i="9"/>
  <c r="AG32" i="7"/>
  <c r="AG34" i="7"/>
  <c r="AG39" i="7"/>
  <c r="AG44" i="7"/>
  <c r="AG17" i="8"/>
  <c r="H9" i="9"/>
  <c r="C11" i="10"/>
  <c r="H11" i="9"/>
  <c r="C12" i="10"/>
  <c r="H12" i="9"/>
  <c r="C13" i="10"/>
  <c r="H13" i="9"/>
  <c r="G19" i="9"/>
  <c r="F19" i="9"/>
  <c r="AF20" i="6"/>
  <c r="H21" i="9"/>
  <c r="C21" i="10"/>
  <c r="G27" i="9"/>
  <c r="F27" i="9"/>
  <c r="AG29" i="6"/>
  <c r="G35" i="9"/>
  <c r="F35" i="9"/>
  <c r="AG37" i="6"/>
  <c r="G43" i="9"/>
  <c r="F43" i="9"/>
  <c r="AF44" i="6"/>
  <c r="AG15" i="7"/>
  <c r="AG23" i="7"/>
  <c r="AF33" i="7"/>
  <c r="AG43" i="7"/>
  <c r="AG9" i="8"/>
  <c r="AG10" i="8"/>
  <c r="AG11" i="8"/>
  <c r="AG12" i="8"/>
  <c r="AG20" i="8"/>
  <c r="AG26" i="8"/>
  <c r="P26" i="9"/>
  <c r="AG29" i="8"/>
  <c r="P29" i="9"/>
  <c r="AF30" i="8"/>
  <c r="Q36" i="9"/>
  <c r="AG36" i="8"/>
  <c r="P24" i="9"/>
  <c r="AG44" i="8"/>
  <c r="P32" i="9"/>
  <c r="P40" i="9"/>
  <c r="H26" i="15"/>
  <c r="AG41" i="8"/>
  <c r="H12" i="15"/>
  <c r="H25" i="15"/>
  <c r="H37" i="15"/>
  <c r="H38" i="15"/>
  <c r="AF42" i="7" l="1"/>
  <c r="AF36" i="6"/>
  <c r="E25" i="10"/>
  <c r="C20" i="10"/>
  <c r="AF10" i="6"/>
  <c r="AH10" i="6"/>
  <c r="AH35" i="6"/>
  <c r="AF35" i="6"/>
  <c r="AH42" i="7"/>
  <c r="C10" i="10"/>
  <c r="C35" i="10"/>
  <c r="D42" i="10"/>
  <c r="H36" i="9"/>
  <c r="H19" i="9"/>
  <c r="AH27" i="6"/>
  <c r="AF27" i="6"/>
  <c r="AH36" i="6"/>
  <c r="AF19" i="6"/>
  <c r="H10" i="9"/>
  <c r="H35" i="9"/>
  <c r="AH19" i="6"/>
  <c r="I17" i="17"/>
  <c r="AH43" i="6"/>
  <c r="AF43" i="6"/>
  <c r="AF13" i="6"/>
  <c r="AH13" i="6"/>
  <c r="AF9" i="6"/>
  <c r="AH9" i="6"/>
  <c r="W11" i="17"/>
  <c r="AC28" i="17"/>
  <c r="AF29" i="7"/>
  <c r="D29" i="10"/>
  <c r="N29" i="9"/>
  <c r="N11" i="9"/>
  <c r="N10" i="9"/>
  <c r="N9" i="9"/>
  <c r="AF9" i="7"/>
  <c r="AH9" i="7"/>
  <c r="D11" i="10"/>
  <c r="AF11" i="7"/>
  <c r="AH21" i="7"/>
  <c r="D21" i="10"/>
  <c r="N21" i="9"/>
  <c r="N22" i="9"/>
  <c r="AF22" i="7"/>
  <c r="AH22" i="7"/>
  <c r="D13" i="10"/>
  <c r="AH14" i="7"/>
  <c r="N14" i="9"/>
  <c r="D14" i="10"/>
  <c r="AH10" i="7"/>
  <c r="AF10" i="7"/>
  <c r="AH12" i="7"/>
  <c r="AF12" i="7"/>
  <c r="N12" i="9"/>
  <c r="AH13" i="7"/>
  <c r="AF13" i="7"/>
  <c r="D43" i="10"/>
  <c r="N43" i="9"/>
  <c r="AF43" i="7"/>
  <c r="AH43" i="7"/>
  <c r="D16" i="10"/>
  <c r="N16" i="9"/>
  <c r="AH16" i="7"/>
  <c r="AF16" i="7"/>
  <c r="D38" i="10"/>
  <c r="N38" i="9"/>
  <c r="AH38" i="7"/>
  <c r="AF38" i="7"/>
  <c r="D28" i="10"/>
  <c r="N28" i="9"/>
  <c r="AH28" i="7"/>
  <c r="AF28" i="7"/>
  <c r="T29" i="9"/>
  <c r="E29" i="10"/>
  <c r="AH29" i="8"/>
  <c r="AF29" i="8"/>
  <c r="T21" i="9"/>
  <c r="E21" i="10"/>
  <c r="AH21" i="8"/>
  <c r="AF21" i="8"/>
  <c r="D36" i="10"/>
  <c r="N36" i="9"/>
  <c r="AH36" i="7"/>
  <c r="AF36" i="7"/>
  <c r="H41" i="9"/>
  <c r="C41" i="10"/>
  <c r="AF41" i="6"/>
  <c r="AH41" i="6"/>
  <c r="E23" i="10"/>
  <c r="AF23" i="8"/>
  <c r="T23" i="9"/>
  <c r="AH23" i="8"/>
  <c r="E17" i="10"/>
  <c r="AH17" i="8"/>
  <c r="T17" i="9"/>
  <c r="AF17" i="8"/>
  <c r="C22" i="10"/>
  <c r="H22" i="9"/>
  <c r="AH22" i="6"/>
  <c r="AF22" i="6"/>
  <c r="D35" i="10"/>
  <c r="N35" i="9"/>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E11" i="10"/>
  <c r="AF11" i="8"/>
  <c r="AH11" i="8"/>
  <c r="D15" i="10"/>
  <c r="N15" i="9"/>
  <c r="AF15" i="7"/>
  <c r="AH15" i="7"/>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U10" i="9" s="1"/>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18" i="9" l="1"/>
  <c r="F18" i="10" s="1"/>
  <c r="U35" i="9"/>
  <c r="U28" i="9"/>
  <c r="U12" i="9"/>
  <c r="V12" i="9" s="1"/>
  <c r="U9" i="9"/>
  <c r="U36" i="9"/>
  <c r="U11" i="9"/>
  <c r="F11" i="10" s="1"/>
  <c r="A28" i="17"/>
  <c r="U29" i="9"/>
  <c r="V29" i="9" s="1"/>
  <c r="AO9" i="7"/>
  <c r="H7" i="12" s="1"/>
  <c r="U21" i="9"/>
  <c r="F21" i="10" s="1"/>
  <c r="J13" i="10"/>
  <c r="E25" i="14" s="1"/>
  <c r="J9" i="10"/>
  <c r="E24" i="14" s="1"/>
  <c r="AO12" i="7"/>
  <c r="H10" i="12" s="1"/>
  <c r="U23" i="9"/>
  <c r="F23" i="10" s="1"/>
  <c r="U20" i="9"/>
  <c r="V20" i="9" s="1"/>
  <c r="V19" i="9"/>
  <c r="F19" i="10"/>
  <c r="V18" i="9"/>
  <c r="V35" i="9"/>
  <c r="F35" i="10"/>
  <c r="F42" i="10"/>
  <c r="V42" i="9"/>
  <c r="F28" i="10"/>
  <c r="V28" i="9"/>
  <c r="V43" i="9"/>
  <c r="F43" i="10"/>
  <c r="F26" i="10"/>
  <c r="V26" i="9"/>
  <c r="G12" i="14"/>
  <c r="F36" i="10"/>
  <c r="V36" i="9"/>
  <c r="E13" i="14"/>
  <c r="G11" i="14" s="1"/>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F12" i="10"/>
  <c r="U41" i="9"/>
  <c r="V11" i="9" l="1"/>
  <c r="F29" i="10"/>
  <c r="G29" i="10" s="1"/>
  <c r="F20" i="10"/>
  <c r="H28" i="16" s="1"/>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7" i="16"/>
  <c r="G19" i="10"/>
  <c r="F41" i="10"/>
  <c r="V41" i="9"/>
  <c r="E38" i="14"/>
  <c r="H11" i="13"/>
  <c r="I10" i="13" s="1"/>
  <c r="H42" i="16"/>
  <c r="G34" i="10"/>
  <c r="H18" i="16"/>
  <c r="G10" i="10"/>
  <c r="H52" i="16"/>
  <c r="G44" i="10"/>
  <c r="H19" i="16"/>
  <c r="G11" i="10"/>
  <c r="H11" i="12"/>
  <c r="I8" i="12" s="1"/>
  <c r="G20" i="10" l="1"/>
  <c r="H37" i="16"/>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<sst xmlns="http://schemas.openxmlformats.org/spreadsheetml/2006/main" count="1046" uniqueCount="259">
  <si>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</si>
  <si>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</si>
  <si>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</si>
  <si>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</si>
  <si>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</si>
  <si>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</si>
  <si>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</si>
  <si>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</si>
  <si>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</si>
  <si>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</si>
  <si>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</si>
  <si>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</si>
  <si>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</si>
  <si>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</si>
  <si>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</si>
  <si>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</si>
  <si>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</si>
  <si>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</si>
  <si>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</si>
  <si>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</si>
  <si>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</si>
  <si>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</si>
  <si>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</si>
  <si>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</si>
  <si>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</si>
  <si>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</si>
  <si>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</si>
  <si>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</si>
  <si>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</si>
  <si>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</si>
  <si>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</si>
  <si>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</si>
  <si>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</si>
  <si>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</si>
  <si>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</si>
  <si>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</si>
  <si>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</si>
  <si>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</si>
  <si>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</si>
  <si>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</si>
  <si>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</si>
  <si>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</si>
  <si>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</si>
  <si>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</si>
  <si>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</si>
  <si>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</si>
  <si>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</si>
  <si>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</si>
  <si>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</si>
  <si>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</si>
  <si>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</si>
  <si>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</si>
  <si>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</si>
  <si>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</si>
  <si>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</si>
  <si>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</si>
  <si>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</si>
  <si>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</si>
  <si>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</si>
  <si>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</si>
  <si>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</si>
  <si>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</si>
  <si>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</si>
  <si>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</si>
  <si>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</si>
  <si>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</si>
  <si>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</si>
  <si>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</si>
  <si>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</si>
  <si>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</si>
  <si>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</si>
  <si>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</si>
  <si>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</si>
  <si>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</si>
  <si>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</si>
  <si>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</si>
  <si>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</si>
  <si>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</si>
  <si>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</si>
  <si>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</si>
  <si>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</si>
  <si>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</si>
  <si>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</si>
  <si>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</si>
  <si>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</si>
  <si>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</si>
  <si>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</si>
  <si>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</si>
  <si>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</si>
  <si>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</si>
  <si>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</si>
  <si>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</si>
  <si>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</si>
  <si>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</si>
  <si>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</si>
  <si>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</si>
  <si>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</si>
  <si>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</si>
  <si>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</si>
  <si>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</si>
  <si>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</si>
  <si>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</si>
  <si>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</si>
  <si>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</si>
  <si>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</si>
  <si>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</si>
  <si>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</si>
  <si>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</si>
  <si>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</si>
  <si>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</si>
  <si>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</si>
  <si>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</si>
  <si>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</si>
  <si>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</si>
  <si>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</si>
  <si>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</si>
  <si>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</si>
  <si>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</si>
  <si>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</si>
  <si>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</si>
  <si>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</si>
  <si>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</si>
  <si>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</si>
  <si>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</si>
  <si>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</si>
  <si>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</si>
  <si>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</si>
  <si>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</si>
  <si>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</si>
  <si>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</si>
  <si>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</si>
  <si>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</si>
  <si>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</si>
  <si>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</si>
  <si>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</si>
  <si>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</si>
  <si>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</si>
  <si>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</si>
  <si>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</si>
  <si>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</si>
  <si>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</si>
  <si>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</si>
  <si>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</si>
  <si>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</si>
  <si>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</si>
  <si>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</si>
  <si>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</si>
  <si>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</si>
  <si>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</si>
  <si>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</si>
  <si>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</si>
  <si>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</si>
  <si>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</si>
  <si>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</si>
  <si>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</si>
  <si>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</si>
  <si>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</si>
  <si>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</si>
  <si>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</si>
  <si>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</si>
  <si>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</si>
  <si>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</si>
  <si>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</si>
  <si>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</si>
  <si>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</si>
  <si>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</si>
  <si>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</si>
  <si>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</si>
  <si>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</si>
  <si>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</si>
  <si>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</si>
  <si>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</si>
  <si>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</si>
  <si>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</si>
  <si>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</si>
  <si>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</si>
  <si>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</si>
  <si>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</si>
  <si>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</si>
  <si>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</si>
  <si>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</si>
  <si>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</si>
  <si>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</si>
  <si>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</si>
  <si>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</si>
  <si>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</si>
  <si>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</si>
  <si>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</si>
  <si>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</si>
  <si>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</si>
  <si>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</si>
  <si>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</si>
  <si>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</si>
  <si>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</si>
  <si>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</si>
  <si>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</si>
  <si>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</si>
  <si>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</si>
  <si>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</si>
  <si>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</si>
  <si>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</si>
  <si>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</si>
  <si>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</si>
  <si>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</si>
  <si>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</si>
  <si>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</si>
  <si>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</si>
  <si>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</si>
  <si>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</si>
  <si>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</si>
  <si>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</si>
  <si>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</si>
  <si>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</si>
  <si>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</si>
  <si>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</si>
  <si>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</si>
  <si>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</si>
  <si>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</si>
  <si>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</si>
  <si>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</si>
  <si>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</si>
  <si>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</si>
  <si>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</si>
  <si>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</si>
  <si>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</si>
  <si>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</si>
  <si>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</si>
  <si>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</si>
  <si>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</si>
  <si>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</si>
  <si>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</si>
  <si>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</si>
  <si>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</si>
  <si>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</si>
  <si>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</si>
  <si>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</si>
  <si>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</si>
  <si>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</si>
  <si>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</si>
  <si>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</si>
  <si>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</si>
  <si>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</si>
  <si>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</si>
  <si>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</si>
  <si>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</si>
  <si>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</si>
  <si>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</si>
  <si>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</si>
  <si>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18/8/2021</t>
  </si>
  <si>
    <t>25/8/2021</t>
  </si>
  <si>
    <t>1/9/2021</t>
  </si>
  <si>
    <t>25/08/2021 (Practica While)</t>
  </si>
  <si>
    <t>1/9/2021 (Practica &gt;Do while)</t>
  </si>
  <si>
    <t>https://classroom.google.com/c/MzQ5MDQ4MTA1NDk4/a/Mzg0ODU0NTg3NDcw/details</t>
  </si>
  <si>
    <t>https://classroom.google.com/c/MzQ5MDQ4MTA1NDk4/a/Mzc4OTM3MDgwNDUw/details</t>
  </si>
  <si>
    <t>8/9/2021</t>
  </si>
  <si>
    <t>Abel Manuel Flores Gutierrez</t>
  </si>
  <si>
    <t>15/09/2021 (2do Examen Parcial)</t>
  </si>
  <si>
    <t xml:space="preserve">Flores Gutierrez Abel Manuel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</si>
</sst>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b/>
      <sz val="11"/>
      <color rgb="FF000000"/>
      <name val="Arial"/>
      <family val="2"/>
    </font>
    <font>
      <sz val="9"/>
      <color rgb="FF000000"/>
      <name val="Calibri"/>
      <family val="2"/>
    </font>
    <font>
      <sz val="9"/>
      <color rgb="FF000000"/>
      <name val="Calibri"/>
      <family val="2"/>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
      <u/>
      <sz val="10"/>
      <color theme="10"/>
      <name val="Arial"/>
      <family val="2"/>
    </font>
  </fonts>
  <fills count="16">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4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59" fillId="0" borderId="57" xfId="0" applyFont="1" applyBorder="1" applyAlignment="1">
      <alignmen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0" fillId="0" borderId="0" xfId="0" applyFont="1" applyAlignment="1"/>
    <xf numFmtId="0" fontId="9" fillId="12" borderId="41" xfId="0" applyFont="1" applyFill="1" applyBorder="1" applyAlignment="1">
      <alignment horizontal="left" vertical="center"/>
    </xf>
    <xf numFmtId="0" fontId="9" fillId="12"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57" xfId="0" applyFont="1" applyFill="1" applyBorder="1" applyAlignment="1">
      <alignment horizontal="center" vertical="center"/>
    </xf>
    <xf numFmtId="0" fontId="9" fillId="12" borderId="41" xfId="0" applyFont="1" applyFill="1" applyBorder="1" applyAlignment="1">
      <alignment horizontal="center" vertical="center"/>
    </xf>
    <xf numFmtId="0" fontId="10" fillId="12" borderId="19" xfId="0" applyFont="1" applyFill="1" applyBorder="1" applyAlignment="1">
      <alignment horizontal="left" vertical="center"/>
    </xf>
    <xf numFmtId="0" fontId="10" fillId="12" borderId="19" xfId="0" applyFont="1" applyFill="1" applyBorder="1" applyAlignment="1">
      <alignment horizontal="center" vertical="center"/>
    </xf>
    <xf numFmtId="0" fontId="25" fillId="13" borderId="19" xfId="0" applyFont="1" applyFill="1" applyBorder="1" applyAlignment="1">
      <alignment horizontal="center" vertical="center"/>
    </xf>
    <xf numFmtId="0" fontId="26" fillId="14" borderId="19" xfId="0" applyFont="1" applyFill="1" applyBorder="1" applyAlignment="1">
      <alignment horizontal="center" vertical="center"/>
    </xf>
    <xf numFmtId="0" fontId="9" fillId="12" borderId="19" xfId="0" applyFont="1" applyFill="1" applyBorder="1" applyAlignment="1">
      <alignment vertical="center"/>
    </xf>
    <xf numFmtId="0" fontId="9" fillId="15" borderId="1" xfId="0" applyFont="1" applyFill="1" applyBorder="1" applyAlignment="1">
      <alignment horizontal="center" vertical="center"/>
    </xf>
    <xf numFmtId="0" fontId="20" fillId="12" borderId="19" xfId="0" applyFont="1" applyFill="1" applyBorder="1" applyAlignment="1">
      <alignment horizontal="center" vertical="center"/>
    </xf>
    <xf numFmtId="0" fontId="10" fillId="12" borderId="39" xfId="0" applyFont="1" applyFill="1" applyBorder="1" applyAlignment="1">
      <alignment horizontal="center" vertical="center"/>
    </xf>
    <xf numFmtId="0" fontId="59" fillId="12" borderId="57" xfId="0" applyFont="1" applyFill="1" applyBorder="1" applyAlignment="1">
      <alignment vertical="center"/>
    </xf>
    <xf numFmtId="1" fontId="0" fillId="0" borderId="0" xfId="0" applyNumberFormat="1" applyFont="1" applyAlignment="1"/>
    <xf numFmtId="0" fontId="10" fillId="10" borderId="19" xfId="0" applyFont="1" applyFill="1" applyBorder="1" applyAlignment="1">
      <alignment horizontal="center" vertical="center"/>
    </xf>
    <xf numFmtId="0" fontId="9" fillId="12" borderId="3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26" xfId="0" applyFont="1" applyFill="1" applyBorder="1" applyAlignment="1">
      <alignment horizontal="center" vertical="center"/>
    </xf>
    <xf numFmtId="0" fontId="9" fillId="12" borderId="28" xfId="0" applyFont="1" applyFill="1" applyBorder="1" applyAlignment="1">
      <alignment horizontal="center" vertical="center"/>
    </xf>
    <xf numFmtId="0" fontId="9" fillId="11" borderId="19" xfId="0" applyFont="1" applyFill="1" applyBorder="1" applyAlignment="1">
      <alignment horizontal="left" vertical="center"/>
    </xf>
    <xf numFmtId="1" fontId="25" fillId="5" borderId="19" xfId="0" applyNumberFormat="1" applyFont="1" applyFill="1" applyBorder="1" applyAlignment="1">
      <alignment horizontal="center" vertical="center"/>
    </xf>
    <xf numFmtId="1" fontId="25" fillId="13" borderId="19" xfId="0" applyNumberFormat="1" applyFont="1" applyFill="1" applyBorder="1" applyAlignment="1">
      <alignment horizontal="center" vertical="center"/>
    </xf>
    <xf numFmtId="0" fontId="0" fillId="12"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48" fillId="0" borderId="57" xfId="0" applyFont="1" applyBorder="1" applyAlignment="1">
      <alignment horizontal="center"/>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55" fillId="0" borderId="57" xfId="2" applyFont="1" applyFill="1" applyBorder="1" applyAlignment="1">
      <alignment horizontal="left"/>
    </xf>
    <xf numFmtId="0" fontId="47" fillId="0" borderId="57" xfId="0" applyFont="1" applyBorder="1" applyAlignment="1">
      <alignment horizontal="left"/>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57" xfId="0" applyNumberFormat="1" applyFont="1" applyBorder="1" applyAlignment="1">
      <alignment horizontal="center"/>
    </xf>
    <xf numFmtId="0" fontId="41" fillId="0" borderId="57" xfId="0" applyFont="1" applyBorder="1" applyAlignment="1">
      <alignment horizontal="center" vertic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0" fillId="0" borderId="15" xfId="0" applyBorder="1" applyAlignment="1">
      <alignment horizontal="center"/>
    </xf>
    <xf numFmtId="0" fontId="40" fillId="0" borderId="57" xfId="0" applyFont="1" applyBorder="1" applyAlignment="1">
      <alignment horizontal="left"/>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5" fillId="0" borderId="57" xfId="0" applyFont="1" applyBorder="1" applyAlignment="1">
      <alignment horizontal="left"/>
    </xf>
    <xf numFmtId="0" fontId="41" fillId="0" borderId="15" xfId="0" applyFont="1" applyBorder="1" applyAlignment="1">
      <alignment horizont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59" fillId="0" borderId="60" xfId="0" applyFont="1" applyBorder="1" applyAlignment="1">
      <alignment horizontal="center"/>
    </xf>
    <xf numFmtId="0" fontId="59" fillId="0" borderId="61" xfId="0" applyFont="1" applyBorder="1" applyAlignment="1">
      <alignment horizontal="center"/>
    </xf>
    <xf numFmtId="14" fontId="59" fillId="0" borderId="60" xfId="0" applyNumberFormat="1" applyFont="1" applyBorder="1" applyAlignment="1">
      <alignment horizontal="center"/>
    </xf>
    <xf numFmtId="0" fontId="61" fillId="0" borderId="58" xfId="2" applyFont="1" applyFill="1" applyBorder="1" applyAlignment="1">
      <alignment horizontal="left"/>
    </xf>
    <xf numFmtId="0" fontId="61" fillId="0" borderId="60" xfId="2" applyFont="1" applyFill="1" applyBorder="1" applyAlignment="1">
      <alignment horizontal="left"/>
    </xf>
    <xf numFmtId="0" fontId="61" fillId="0" borderId="61" xfId="2" applyFont="1" applyFill="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2" borderId="39" xfId="0" applyFont="1" applyFill="1" applyBorder="1" applyAlignment="1">
      <alignment horizontal="center" vertical="center"/>
    </xf>
    <xf numFmtId="0" fontId="3" fillId="12" borderId="40" xfId="0" applyFont="1" applyFill="1" applyBorder="1"/>
    <xf numFmtId="0" fontId="3" fillId="12" borderId="41" xfId="0" applyFont="1" applyFill="1" applyBorder="1"/>
    <xf numFmtId="0" fontId="9" fillId="12"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30</xdr:row>
      <xdr:rowOff>28575</xdr:rowOff>
    </xdr:from>
    <xdr:to>
      <xdr:col>18</xdr:col>
      <xdr:colOff>105410</xdr:colOff>
      <xdr:row>32</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18/8/2021" dataDxfId="45"/>
    <tableColumn id="12" xr3:uid="{2F75058B-D7B3-4833-9A9F-48D4FE1E4950}" name="25/8/2021" dataDxfId="44"/>
    <tableColumn id="13" xr3:uid="{764B606D-6E4C-4604-BA0E-BC974C76745B}" name="1/9/2021" dataDxfId="43"/>
    <tableColumn id="14" xr3:uid="{CDEDA36D-4708-4993-BD8F-1C43157FC827}" name="8/9/2021"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5MDQ4MTA1NDk4/a/Mzc4OTM3MDgwNDUw/details" TargetMode="External"/><Relationship Id="rId3" Type="http://schemas.openxmlformats.org/officeDocument/2006/relationships/hyperlink" Target="https://classroom.google.com/c/MzQ5MDQ4MTA1NDk4/a/MzY5ODYxMzc5ODQ3/details" TargetMode="External"/><Relationship Id="rId7" Type="http://schemas.openxmlformats.org/officeDocument/2006/relationships/hyperlink" Target="https://classroom.google.com/c/MzQ5MDQ4MTA1NDk4/a/Mzg0ODU0NTg3NDcw/details" TargetMode="External"/><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10" Type="http://schemas.openxmlformats.org/officeDocument/2006/relationships/drawing" Target="../drawings/drawing2.xml"/><Relationship Id="rId4" Type="http://schemas.openxmlformats.org/officeDocument/2006/relationships/hyperlink" Target="https://classroom.google.com/c/MzQ5MDQ4MTA1NDk4/a/MzcwODQ5MzYzNjU4/details" TargetMode="External"/><Relationship Id="rId9"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9921875" defaultRowHeight="15" customHeight="1" x14ac:dyDescent="0.35"/>
  <cols>
    <col min="1" max="1" width="3.6640625" customWidth="1"/>
    <col min="2" max="2" width="18.6640625" customWidth="1"/>
    <col min="3" max="6" width="8.796875" customWidth="1"/>
    <col min="7" max="7" width="1.86328125" customWidth="1"/>
    <col min="8" max="8" width="8.796875" customWidth="1"/>
    <col min="9" max="9" width="3.6640625" customWidth="1"/>
    <col min="10" max="10" width="8.796875" customWidth="1"/>
    <col min="11" max="11" width="1.86328125" customWidth="1"/>
    <col min="12" max="26" width="8.79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21" t="s">
        <v>0</v>
      </c>
      <c r="D8" s="222"/>
      <c r="E8" s="223"/>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24" t="s">
        <v>1</v>
      </c>
      <c r="I9" s="225"/>
      <c r="J9" s="226"/>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27"/>
      <c r="I10" s="228"/>
      <c r="J10" s="229"/>
      <c r="K10" s="7"/>
      <c r="L10" s="1"/>
      <c r="M10" s="1"/>
      <c r="N10" s="1"/>
      <c r="O10" s="1"/>
      <c r="P10" s="1"/>
      <c r="Q10" s="1"/>
      <c r="R10" s="1"/>
      <c r="S10" s="1"/>
      <c r="T10" s="1"/>
      <c r="U10" s="1"/>
      <c r="V10" s="1"/>
      <c r="W10" s="1"/>
      <c r="X10" s="1"/>
      <c r="Y10" s="1"/>
      <c r="Z10" s="1"/>
    </row>
    <row r="11" spans="1:26" ht="15" customHeight="1" x14ac:dyDescent="0.35">
      <c r="A11" s="1"/>
      <c r="B11" s="8" t="s">
        <v>2</v>
      </c>
      <c r="C11" s="218" t="s">
        <v>3</v>
      </c>
      <c r="D11" s="219"/>
      <c r="E11" s="220"/>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30" t="s">
        <v>4</v>
      </c>
      <c r="I12" s="231"/>
      <c r="J12" s="231"/>
      <c r="K12" s="7"/>
      <c r="L12" s="1"/>
      <c r="M12" s="1"/>
      <c r="N12" s="1"/>
      <c r="O12" s="1"/>
      <c r="P12" s="1"/>
      <c r="Q12" s="1"/>
      <c r="R12" s="1"/>
      <c r="S12" s="1"/>
      <c r="T12" s="1"/>
      <c r="U12" s="1"/>
      <c r="V12" s="1"/>
      <c r="W12" s="1"/>
      <c r="X12" s="1"/>
      <c r="Y12" s="1"/>
      <c r="Z12" s="1"/>
    </row>
    <row r="13" spans="1:26" ht="20.399999999999999" x14ac:dyDescent="0.35">
      <c r="A13" s="1"/>
      <c r="B13" s="8" t="s">
        <v>5</v>
      </c>
      <c r="C13" s="218"/>
      <c r="D13" s="219"/>
      <c r="E13" s="220"/>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18" t="s">
        <v>9</v>
      </c>
      <c r="D15" s="219"/>
      <c r="E15" s="220"/>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32" t="s">
        <v>10</v>
      </c>
      <c r="I16" s="231"/>
      <c r="J16" s="231"/>
      <c r="K16" s="7"/>
      <c r="L16" s="1"/>
      <c r="M16" s="1"/>
      <c r="N16" s="1"/>
      <c r="O16" s="1"/>
      <c r="P16" s="1"/>
      <c r="Q16" s="1"/>
      <c r="R16" s="1"/>
      <c r="S16" s="1"/>
      <c r="T16" s="1"/>
      <c r="U16" s="1"/>
      <c r="V16" s="1"/>
      <c r="W16" s="1"/>
      <c r="X16" s="1"/>
      <c r="Y16" s="1"/>
      <c r="Z16" s="1"/>
    </row>
    <row r="17" spans="1:26" ht="20.399999999999999" x14ac:dyDescent="0.35">
      <c r="A17" s="1"/>
      <c r="B17" s="8" t="s">
        <v>11</v>
      </c>
      <c r="C17" s="218" t="s">
        <v>12</v>
      </c>
      <c r="D17" s="219"/>
      <c r="E17" s="220"/>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18"/>
      <c r="D19" s="219"/>
      <c r="E19" s="220"/>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18" t="s">
        <v>15</v>
      </c>
      <c r="D21" s="219"/>
      <c r="E21" s="220"/>
      <c r="F21" s="9"/>
      <c r="G21" s="6"/>
      <c r="H21" s="232" t="s">
        <v>16</v>
      </c>
      <c r="I21" s="231"/>
      <c r="J21" s="231"/>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18" t="s">
        <v>18</v>
      </c>
      <c r="D23" s="219"/>
      <c r="E23" s="220"/>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18"/>
      <c r="D25" s="219"/>
      <c r="E25" s="220"/>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18">
        <v>2021</v>
      </c>
      <c r="D27" s="219"/>
      <c r="E27" s="220"/>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7" workbookViewId="0">
      <selection activeCell="B31" sqref="B31"/>
    </sheetView>
  </sheetViews>
  <sheetFormatPr baseColWidth="10" defaultColWidth="9.19921875" defaultRowHeight="15" customHeight="1" x14ac:dyDescent="0.35"/>
  <cols>
    <col min="1" max="1" width="2" customWidth="1"/>
    <col min="2" max="2" width="23.796875" customWidth="1"/>
    <col min="3" max="3" width="8.1328125" customWidth="1"/>
    <col min="4" max="4" width="3.86328125" hidden="1" customWidth="1"/>
    <col min="5" max="5" width="8.86328125" customWidth="1"/>
    <col min="6" max="6" width="10.86328125" customWidth="1"/>
    <col min="7" max="8" width="8.796875" customWidth="1"/>
    <col min="9" max="9" width="9.796875" customWidth="1"/>
    <col min="10" max="26" width="8.79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35" t="s">
        <v>21</v>
      </c>
      <c r="C2" s="231"/>
      <c r="D2" s="231"/>
      <c r="E2" s="231"/>
      <c r="F2" s="231"/>
      <c r="G2" s="231"/>
      <c r="H2" s="231"/>
      <c r="I2" s="231"/>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33" t="str">
        <f>CARÁTULA!$C$15</f>
        <v>Instituto Tecnico Humanistico Jauzel Arrieta</v>
      </c>
      <c r="D4" s="231"/>
      <c r="E4" s="231"/>
      <c r="F4" s="22" t="s">
        <v>19</v>
      </c>
      <c r="G4" s="233">
        <f>CARÁTULA!$C$25</f>
        <v>0</v>
      </c>
      <c r="H4" s="231"/>
      <c r="I4" s="231"/>
      <c r="J4" s="19"/>
      <c r="K4" s="19"/>
      <c r="L4" s="19"/>
      <c r="M4" s="19"/>
      <c r="N4" s="19"/>
      <c r="O4" s="19"/>
      <c r="P4" s="19"/>
      <c r="Q4" s="19"/>
      <c r="R4" s="19"/>
      <c r="S4" s="19"/>
      <c r="T4" s="19"/>
      <c r="U4" s="19"/>
      <c r="V4" s="19"/>
      <c r="W4" s="19"/>
      <c r="X4" s="19"/>
      <c r="Y4" s="19"/>
      <c r="Z4" s="19"/>
    </row>
    <row r="5" spans="1:26" ht="12" customHeight="1" x14ac:dyDescent="0.35">
      <c r="A5" s="20"/>
      <c r="B5" s="21" t="s">
        <v>14</v>
      </c>
      <c r="C5" s="233" t="str">
        <f>CARÁTULA!$C$21</f>
        <v>Secundaria</v>
      </c>
      <c r="D5" s="231"/>
      <c r="E5" s="231"/>
      <c r="F5" s="22" t="s">
        <v>13</v>
      </c>
      <c r="G5" s="233">
        <f>CARÁTULA!$C$19</f>
        <v>0</v>
      </c>
      <c r="H5" s="231"/>
      <c r="I5" s="231"/>
      <c r="J5" s="19"/>
      <c r="K5" s="19"/>
      <c r="L5" s="19"/>
      <c r="M5" s="19"/>
      <c r="N5" s="19"/>
      <c r="O5" s="19"/>
      <c r="P5" s="19"/>
      <c r="Q5" s="19"/>
      <c r="R5" s="19"/>
      <c r="S5" s="19"/>
      <c r="T5" s="19"/>
      <c r="U5" s="19"/>
      <c r="V5" s="19"/>
      <c r="W5" s="19"/>
      <c r="X5" s="19"/>
      <c r="Y5" s="19"/>
      <c r="Z5" s="19"/>
    </row>
    <row r="6" spans="1:26" ht="12" customHeight="1" x14ac:dyDescent="0.35">
      <c r="A6" s="20"/>
      <c r="B6" s="21" t="s">
        <v>22</v>
      </c>
      <c r="C6" s="233" t="str">
        <f>CARÁTULA!$C$23</f>
        <v>3ro de Secundaria</v>
      </c>
      <c r="D6" s="231"/>
      <c r="E6" s="231"/>
      <c r="F6" s="22" t="s">
        <v>23</v>
      </c>
      <c r="G6" s="234">
        <f ca="1">TODAY()</f>
        <v>44496</v>
      </c>
      <c r="H6" s="231"/>
      <c r="I6" s="231"/>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44496</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44496</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44496</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44496</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44496</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44496</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44496</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44496</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44496</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44496</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44496</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44496</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44496</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44496</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44496</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44496</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44496</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c r="D25" s="30">
        <f t="shared" ca="1" si="0"/>
        <v>44496</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50</v>
      </c>
      <c r="C26" s="35"/>
      <c r="D26" s="30">
        <f t="shared" ca="1" si="0"/>
        <v>44496</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59" t="s">
        <v>167</v>
      </c>
      <c r="C27" s="35"/>
      <c r="D27" s="30">
        <f t="shared" ca="1" si="0"/>
        <v>44496</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214" t="s">
        <v>173</v>
      </c>
      <c r="C28" s="35"/>
      <c r="D28" s="30">
        <f t="shared" ca="1" si="0"/>
        <v>44496</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59" t="s">
        <v>169</v>
      </c>
      <c r="C29" s="35"/>
      <c r="D29" s="30">
        <f t="shared" ca="1" si="0"/>
        <v>44496</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214" t="s">
        <v>170</v>
      </c>
      <c r="C30" s="35"/>
      <c r="D30" s="30">
        <f t="shared" ca="1" si="0"/>
        <v>44496</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169" t="s">
        <v>258</v>
      </c>
      <c r="C31" s="35"/>
      <c r="D31" s="30">
        <f t="shared" ca="1" si="0"/>
        <v>44496</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44496</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44496</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44496</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44496</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44496</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44496</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44496</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44496</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44496</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44496</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44496</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44496</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9921875" defaultRowHeight="15" customHeight="1" x14ac:dyDescent="0.35"/>
  <cols>
    <col min="1" max="1" width="1.6640625" customWidth="1"/>
    <col min="2" max="2" width="20.6640625" customWidth="1"/>
    <col min="3" max="52" width="1.19921875" customWidth="1"/>
    <col min="53" max="57" width="1.46484375" customWidth="1"/>
    <col min="58" max="61" width="1.6640625" customWidth="1"/>
  </cols>
  <sheetData>
    <row r="1" spans="1:61" ht="4.5" customHeight="1" x14ac:dyDescent="0.35"/>
    <row r="2" spans="1:61" ht="12.75" customHeight="1" x14ac:dyDescent="0.35">
      <c r="B2" s="235" t="s">
        <v>51</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c r="BB2" s="231"/>
      <c r="BC2" s="231"/>
      <c r="BD2" s="231"/>
      <c r="BE2" s="231"/>
      <c r="BF2" s="231"/>
      <c r="BG2" s="231"/>
      <c r="BH2" s="231"/>
      <c r="BI2" s="231"/>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36">
        <f>CARÁTULA!$H$14</f>
        <v>44228</v>
      </c>
      <c r="AU3" s="231"/>
      <c r="AV3" s="231"/>
      <c r="AW3" s="231"/>
      <c r="AX3" s="231"/>
      <c r="AY3" s="231"/>
      <c r="AZ3" s="231"/>
      <c r="BA3" s="237" t="s">
        <v>53</v>
      </c>
      <c r="BB3" s="238"/>
      <c r="BC3" s="238"/>
      <c r="BD3" s="238"/>
      <c r="BE3" s="239"/>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36">
        <f>CARÁTULA!$J$14</f>
        <v>44323</v>
      </c>
      <c r="AU4" s="231"/>
      <c r="AV4" s="231"/>
      <c r="AW4" s="231"/>
      <c r="AX4" s="231"/>
      <c r="AY4" s="231"/>
      <c r="AZ4" s="231"/>
      <c r="BA4" s="240">
        <f ca="1">AT4-AT5</f>
        <v>-173</v>
      </c>
      <c r="BB4" s="241"/>
      <c r="BC4" s="241"/>
      <c r="BD4" s="241"/>
      <c r="BE4" s="242"/>
    </row>
    <row r="5" spans="1:61" ht="12.75" customHeight="1" x14ac:dyDescent="0.3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46">
        <f ca="1">TODAY()</f>
        <v>44496</v>
      </c>
      <c r="Y5" s="231"/>
      <c r="Z5" s="231"/>
      <c r="AA5" s="231"/>
      <c r="AB5" s="231"/>
      <c r="AC5" s="231"/>
      <c r="AD5" s="40"/>
      <c r="AE5" s="40"/>
      <c r="AF5" s="40"/>
      <c r="AG5" s="40"/>
      <c r="AH5" s="40"/>
      <c r="AI5" s="40"/>
      <c r="AJ5" s="40"/>
      <c r="AK5" s="45" t="s">
        <v>56</v>
      </c>
      <c r="AL5" s="46"/>
      <c r="AM5" s="46"/>
      <c r="AN5" s="46"/>
      <c r="AO5" s="46"/>
      <c r="AP5" s="46"/>
      <c r="AQ5" s="46"/>
      <c r="AR5" s="40"/>
      <c r="AS5" s="40"/>
      <c r="AT5" s="247">
        <f ca="1">TODAY()</f>
        <v>44496</v>
      </c>
      <c r="AU5" s="231"/>
      <c r="AV5" s="231"/>
      <c r="AW5" s="231"/>
      <c r="AX5" s="231"/>
      <c r="AY5" s="231"/>
      <c r="AZ5" s="231"/>
      <c r="BA5" s="243"/>
      <c r="BB5" s="244"/>
      <c r="BC5" s="244"/>
      <c r="BD5" s="244"/>
      <c r="BE5" s="245"/>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5">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5">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5">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5">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5">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5">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5">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5">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5">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5">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5">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5">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5">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5">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5">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5">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5">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5">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5">
      <c r="A27" s="58">
        <v>20</v>
      </c>
      <c r="B27" s="59" t="str">
        <f>'C. FILIACION'!B27</f>
        <v>Tattum Rocha Elias</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t="str">
        <f>'C. FILIACION'!B28</f>
        <v>soria la fuente leonardo abel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t="str">
        <f>'C. FILIACION'!B29</f>
        <v>Terrazas fuentes Salomon</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t="str">
        <f>'C. FILIACION'!B30</f>
        <v>Terrazas fuentes David</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t="str">
        <f>'C. FILIACION'!B31</f>
        <v xml:space="preserve">Flores Gutierrez Abel Manuel </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A14" workbookViewId="0">
      <selection activeCell="B31" sqref="B31"/>
    </sheetView>
  </sheetViews>
  <sheetFormatPr baseColWidth="10" defaultColWidth="9.19921875" defaultRowHeight="15" customHeight="1" x14ac:dyDescent="0.35"/>
  <cols>
    <col min="1" max="1" width="1.6640625" customWidth="1"/>
    <col min="2" max="2" width="20.6640625" customWidth="1"/>
    <col min="3" max="57" width="1.86328125" customWidth="1"/>
    <col min="58" max="61" width="1.6640625" customWidth="1"/>
  </cols>
  <sheetData>
    <row r="1" spans="1:62" ht="4.5" customHeight="1" x14ac:dyDescent="0.35"/>
    <row r="2" spans="1:62" ht="12.75" customHeight="1" x14ac:dyDescent="0.35">
      <c r="B2" s="235" t="s">
        <v>66</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c r="BB2" s="231"/>
      <c r="BC2" s="231"/>
      <c r="BD2" s="231"/>
      <c r="BE2" s="231"/>
      <c r="BF2" s="231"/>
      <c r="BG2" s="231"/>
      <c r="BH2" s="231"/>
      <c r="BI2" s="231"/>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36">
        <f>CARÁTULA!$H$19</f>
        <v>44326</v>
      </c>
      <c r="AU3" s="231"/>
      <c r="AV3" s="231"/>
      <c r="AW3" s="231"/>
      <c r="AX3" s="231"/>
      <c r="AY3" s="231"/>
      <c r="AZ3" s="231"/>
      <c r="BA3" s="237" t="s">
        <v>53</v>
      </c>
      <c r="BB3" s="238"/>
      <c r="BC3" s="238"/>
      <c r="BD3" s="238"/>
      <c r="BE3" s="239"/>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36">
        <f>CARÁTULA!$J$19</f>
        <v>44439</v>
      </c>
      <c r="AU4" s="231"/>
      <c r="AV4" s="231"/>
      <c r="AW4" s="231"/>
      <c r="AX4" s="231"/>
      <c r="AY4" s="231"/>
      <c r="AZ4" s="231"/>
      <c r="BA4" s="248">
        <f ca="1">AT4-AT5</f>
        <v>-57</v>
      </c>
      <c r="BB4" s="241"/>
      <c r="BC4" s="241"/>
      <c r="BD4" s="241"/>
      <c r="BE4" s="242"/>
    </row>
    <row r="5" spans="1:62" ht="12.75" customHeight="1" x14ac:dyDescent="0.3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49">
        <f ca="1">TODAY()</f>
        <v>44496</v>
      </c>
      <c r="Y5" s="231"/>
      <c r="Z5" s="231"/>
      <c r="AA5" s="231"/>
      <c r="AB5" s="231"/>
      <c r="AC5" s="231"/>
      <c r="AD5" s="40"/>
      <c r="AE5" s="40"/>
      <c r="AF5" s="40"/>
      <c r="AG5" s="40"/>
      <c r="AH5" s="40"/>
      <c r="AI5" s="40"/>
      <c r="AJ5" s="40"/>
      <c r="AK5" s="45" t="s">
        <v>56</v>
      </c>
      <c r="AL5" s="46"/>
      <c r="AM5" s="46"/>
      <c r="AN5" s="46"/>
      <c r="AO5" s="46"/>
      <c r="AP5" s="46"/>
      <c r="AQ5" s="46"/>
      <c r="AR5" s="40"/>
      <c r="AS5" s="40"/>
      <c r="AT5" s="247">
        <f ca="1">TODAY()</f>
        <v>44496</v>
      </c>
      <c r="AU5" s="231"/>
      <c r="AV5" s="231"/>
      <c r="AW5" s="231"/>
      <c r="AX5" s="231"/>
      <c r="AY5" s="231"/>
      <c r="AZ5" s="231"/>
      <c r="BA5" s="243"/>
      <c r="BB5" s="244"/>
      <c r="BC5" s="244"/>
      <c r="BD5" s="244"/>
      <c r="BE5" s="245"/>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5">
      <c r="A7" s="48" t="s">
        <v>57</v>
      </c>
      <c r="B7" s="166" t="s">
        <v>58</v>
      </c>
      <c r="C7" s="164" t="s">
        <v>188</v>
      </c>
      <c r="D7" s="165" t="s">
        <v>189</v>
      </c>
      <c r="E7" s="164" t="s">
        <v>190</v>
      </c>
      <c r="F7" s="176" t="s">
        <v>191</v>
      </c>
      <c r="G7" s="50" t="s">
        <v>192</v>
      </c>
      <c r="H7" s="50" t="s">
        <v>193</v>
      </c>
      <c r="I7" s="50" t="s">
        <v>194</v>
      </c>
      <c r="J7" s="50" t="s">
        <v>195</v>
      </c>
      <c r="K7" s="50" t="s">
        <v>247</v>
      </c>
      <c r="L7" s="50" t="s">
        <v>248</v>
      </c>
      <c r="M7" s="50" t="s">
        <v>249</v>
      </c>
      <c r="N7" s="50" t="s">
        <v>250</v>
      </c>
      <c r="O7" s="50" t="s">
        <v>255</v>
      </c>
      <c r="P7" s="53" t="s">
        <v>196</v>
      </c>
      <c r="Q7" s="53" t="s">
        <v>197</v>
      </c>
      <c r="R7" s="53" t="s">
        <v>198</v>
      </c>
      <c r="S7" s="53" t="s">
        <v>199</v>
      </c>
      <c r="T7" s="53" t="s">
        <v>200</v>
      </c>
      <c r="U7" s="53" t="s">
        <v>201</v>
      </c>
      <c r="V7" s="53" t="s">
        <v>202</v>
      </c>
      <c r="W7" s="53" t="s">
        <v>203</v>
      </c>
      <c r="X7" s="53" t="s">
        <v>204</v>
      </c>
      <c r="Y7" s="53" t="s">
        <v>205</v>
      </c>
      <c r="Z7" s="53" t="s">
        <v>206</v>
      </c>
      <c r="AA7" s="53" t="s">
        <v>207</v>
      </c>
      <c r="AB7" s="53" t="s">
        <v>208</v>
      </c>
      <c r="AC7" s="53" t="s">
        <v>209</v>
      </c>
      <c r="AD7" s="53" t="s">
        <v>210</v>
      </c>
      <c r="AE7" s="53" t="s">
        <v>211</v>
      </c>
      <c r="AF7" s="53" t="s">
        <v>212</v>
      </c>
      <c r="AG7" s="53" t="s">
        <v>213</v>
      </c>
      <c r="AH7" s="53" t="s">
        <v>214</v>
      </c>
      <c r="AI7" s="53" t="s">
        <v>215</v>
      </c>
      <c r="AJ7" s="53" t="s">
        <v>216</v>
      </c>
      <c r="AK7" s="53" t="s">
        <v>217</v>
      </c>
      <c r="AL7" s="53" t="s">
        <v>218</v>
      </c>
      <c r="AM7" s="53" t="s">
        <v>219</v>
      </c>
      <c r="AN7" s="53" t="s">
        <v>220</v>
      </c>
      <c r="AO7" s="53" t="s">
        <v>221</v>
      </c>
      <c r="AP7" s="53" t="s">
        <v>222</v>
      </c>
      <c r="AQ7" s="53" t="s">
        <v>223</v>
      </c>
      <c r="AR7" s="53" t="s">
        <v>224</v>
      </c>
      <c r="AS7" s="53" t="s">
        <v>225</v>
      </c>
      <c r="AT7" s="53" t="s">
        <v>226</v>
      </c>
      <c r="AU7" s="53" t="s">
        <v>227</v>
      </c>
      <c r="AV7" s="53" t="s">
        <v>228</v>
      </c>
      <c r="AW7" s="53" t="s">
        <v>229</v>
      </c>
      <c r="AX7" s="53" t="s">
        <v>230</v>
      </c>
      <c r="AY7" s="53" t="s">
        <v>231</v>
      </c>
      <c r="AZ7" s="54" t="s">
        <v>232</v>
      </c>
      <c r="BA7" s="55" t="s">
        <v>67</v>
      </c>
      <c r="BB7" s="56" t="s">
        <v>68</v>
      </c>
      <c r="BC7" s="56" t="s">
        <v>69</v>
      </c>
      <c r="BD7" s="56" t="s">
        <v>70</v>
      </c>
      <c r="BE7" s="168" t="s">
        <v>63</v>
      </c>
    </row>
    <row r="8" spans="1:62" ht="12" customHeight="1" x14ac:dyDescent="0.35">
      <c r="A8" s="58">
        <v>1</v>
      </c>
      <c r="B8" s="194" t="str">
        <f>'C. FILIACION'!B8</f>
        <v>ALCONZ COLQUE ANDREY JEAN PAUL</v>
      </c>
      <c r="C8" s="195" t="s">
        <v>65</v>
      </c>
      <c r="D8" s="195" t="s">
        <v>65</v>
      </c>
      <c r="E8" s="196" t="s">
        <v>65</v>
      </c>
      <c r="F8" s="197" t="s">
        <v>65</v>
      </c>
      <c r="G8" s="198" t="s">
        <v>65</v>
      </c>
      <c r="H8" s="195" t="s">
        <v>65</v>
      </c>
      <c r="I8" s="195" t="s">
        <v>65</v>
      </c>
      <c r="J8" s="195" t="s">
        <v>65</v>
      </c>
      <c r="K8" s="195" t="s">
        <v>65</v>
      </c>
      <c r="L8" s="195" t="s">
        <v>65</v>
      </c>
      <c r="M8" s="195" t="s">
        <v>65</v>
      </c>
      <c r="N8" s="195" t="s">
        <v>65</v>
      </c>
      <c r="O8" s="195"/>
      <c r="P8" s="195"/>
      <c r="Q8" s="195"/>
      <c r="R8" s="195"/>
      <c r="S8" s="195"/>
      <c r="T8" s="195"/>
      <c r="U8" s="195"/>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195"/>
      <c r="AT8" s="195"/>
      <c r="AU8" s="195"/>
      <c r="AV8" s="195"/>
      <c r="AW8" s="195"/>
      <c r="AX8" s="195"/>
      <c r="AY8" s="195"/>
      <c r="AZ8" s="196"/>
      <c r="BA8" s="62" t="str">
        <f t="shared" ref="BA8:BA30" si="0">IF(COUNTIF(C8:AZ8,"A")=0,"0",COUNTIF(C8:AZ8,"A"))</f>
        <v>0</v>
      </c>
      <c r="BB8" s="48">
        <f t="shared" ref="BB8:BB30" si="1">IF(COUNTIF(C8:AZ8,"F")=0,"0",COUNTIF(C8:AZ8,"F"))</f>
        <v>12</v>
      </c>
      <c r="BC8" s="48" t="str">
        <f t="shared" ref="BC8:BC30" si="2">IF(COUNTIF(C8:AZ8,"R")=0,"0",COUNTIF(C8:AZ8,"R"))</f>
        <v>0</v>
      </c>
      <c r="BD8" s="48" t="str">
        <f t="shared" ref="BD8:BD30" si="3">IF(COUNTIF(C8:AZ8,"L")=0,"0",COUNTIF(C8:AZ8,"L"))</f>
        <v>0</v>
      </c>
      <c r="BE8" s="153">
        <f t="shared" ref="BE8:BE30" si="4">SUM(BA8:BD8)</f>
        <v>12</v>
      </c>
      <c r="BJ8" s="208">
        <f>(Tabla1[[#This Row],[Asist. (A)]]+Tabla1[[#This Row],[Retrasos (R)]]+Tabla1[[#This Row],[Licencias (L)]])*10/Tabla1[[#This Row],[DÍAS TRABAJADOS]]</f>
        <v>0</v>
      </c>
    </row>
    <row r="9" spans="1:62" ht="12" customHeight="1" x14ac:dyDescent="0.35">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t="s">
        <v>65</v>
      </c>
      <c r="M9" s="48" t="s">
        <v>65</v>
      </c>
      <c r="N9" s="48" t="s">
        <v>64</v>
      </c>
      <c r="O9" s="48" t="s">
        <v>64</v>
      </c>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10</v>
      </c>
      <c r="BB9" s="48">
        <f t="shared" si="1"/>
        <v>3</v>
      </c>
      <c r="BC9" s="48" t="str">
        <f t="shared" si="2"/>
        <v>0</v>
      </c>
      <c r="BD9" s="48" t="str">
        <f t="shared" si="3"/>
        <v>0</v>
      </c>
      <c r="BE9" s="153">
        <f t="shared" si="4"/>
        <v>13</v>
      </c>
      <c r="BJ9" s="208">
        <f>(Tabla1[[#This Row],[Asist. (A)]]+Tabla1[[#This Row],[Retrasos (R)]]+Tabla1[[#This Row],[Licencias (L)]])*10/Tabla1[[#This Row],[DÍAS TRABAJADOS]]</f>
        <v>7.6923076923076925</v>
      </c>
    </row>
    <row r="10" spans="1:62" ht="12" customHeight="1" x14ac:dyDescent="0.35">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t="s">
        <v>65</v>
      </c>
      <c r="M10" s="48" t="s">
        <v>65</v>
      </c>
      <c r="N10" s="48" t="s">
        <v>64</v>
      </c>
      <c r="O10" s="48" t="s">
        <v>64</v>
      </c>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7</v>
      </c>
      <c r="BB10" s="48">
        <f t="shared" si="1"/>
        <v>6</v>
      </c>
      <c r="BC10" s="48" t="str">
        <f t="shared" si="2"/>
        <v>0</v>
      </c>
      <c r="BD10" s="48" t="str">
        <f t="shared" si="3"/>
        <v>0</v>
      </c>
      <c r="BE10" s="153">
        <f t="shared" si="4"/>
        <v>13</v>
      </c>
      <c r="BJ10" s="208">
        <f>(Tabla1[[#This Row],[Asist. (A)]]+Tabla1[[#This Row],[Retrasos (R)]]+Tabla1[[#This Row],[Licencias (L)]])*10/Tabla1[[#This Row],[DÍAS TRABAJADOS]]</f>
        <v>5.384615384615385</v>
      </c>
    </row>
    <row r="11" spans="1:62" ht="12" customHeight="1" x14ac:dyDescent="0.35">
      <c r="A11" s="58">
        <v>4</v>
      </c>
      <c r="B11" s="167" t="str">
        <f>'C. FILIACION'!B11</f>
        <v>CHOQUE SANGA DIEGO OSCAR</v>
      </c>
      <c r="C11" s="48" t="s">
        <v>65</v>
      </c>
      <c r="D11" s="48" t="s">
        <v>65</v>
      </c>
      <c r="E11" s="153" t="s">
        <v>64</v>
      </c>
      <c r="F11" s="177" t="s">
        <v>64</v>
      </c>
      <c r="G11" s="174" t="s">
        <v>65</v>
      </c>
      <c r="H11" s="48" t="s">
        <v>64</v>
      </c>
      <c r="I11" s="48" t="s">
        <v>171</v>
      </c>
      <c r="J11" s="48" t="s">
        <v>171</v>
      </c>
      <c r="K11" s="48" t="s">
        <v>65</v>
      </c>
      <c r="L11" s="48" t="s">
        <v>65</v>
      </c>
      <c r="M11" s="48" t="s">
        <v>64</v>
      </c>
      <c r="N11" s="48" t="s">
        <v>64</v>
      </c>
      <c r="O11" s="48" t="s">
        <v>64</v>
      </c>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5</v>
      </c>
      <c r="BC11" s="48">
        <f t="shared" si="2"/>
        <v>2</v>
      </c>
      <c r="BD11" s="48" t="str">
        <f t="shared" si="3"/>
        <v>0</v>
      </c>
      <c r="BE11" s="153">
        <f t="shared" si="4"/>
        <v>13</v>
      </c>
      <c r="BJ11" s="208">
        <f>(Tabla1[[#This Row],[Asist. (A)]]+Tabla1[[#This Row],[Retrasos (R)]]+Tabla1[[#This Row],[Licencias (L)]])*10/Tabla1[[#This Row],[DÍAS TRABAJADOS]]</f>
        <v>6.1538461538461542</v>
      </c>
    </row>
    <row r="12" spans="1:62" ht="12" customHeight="1" x14ac:dyDescent="0.35">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t="s">
        <v>64</v>
      </c>
      <c r="M12" s="48" t="s">
        <v>64</v>
      </c>
      <c r="N12" s="48" t="s">
        <v>64</v>
      </c>
      <c r="O12" s="48" t="s">
        <v>64</v>
      </c>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13</v>
      </c>
      <c r="BB12" s="48" t="str">
        <f t="shared" si="1"/>
        <v>0</v>
      </c>
      <c r="BC12" s="48" t="str">
        <f t="shared" si="2"/>
        <v>0</v>
      </c>
      <c r="BD12" s="48" t="str">
        <f t="shared" si="3"/>
        <v>0</v>
      </c>
      <c r="BE12" s="153">
        <f t="shared" si="4"/>
        <v>13</v>
      </c>
      <c r="BJ12" s="208">
        <f>(Tabla1[[#This Row],[Asist. (A)]]+Tabla1[[#This Row],[Retrasos (R)]]+Tabla1[[#This Row],[Licencias (L)]])*10/Tabla1[[#This Row],[DÍAS TRABAJADOS]]</f>
        <v>10</v>
      </c>
    </row>
    <row r="13" spans="1:62" ht="12" customHeight="1" x14ac:dyDescent="0.35">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t="s">
        <v>64</v>
      </c>
      <c r="M13" s="48" t="s">
        <v>64</v>
      </c>
      <c r="N13" s="48" t="s">
        <v>64</v>
      </c>
      <c r="O13" s="48" t="s">
        <v>64</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8</v>
      </c>
      <c r="BB13" s="48">
        <f t="shared" si="1"/>
        <v>5</v>
      </c>
      <c r="BC13" s="48" t="str">
        <f t="shared" si="2"/>
        <v>0</v>
      </c>
      <c r="BD13" s="48" t="str">
        <f t="shared" si="3"/>
        <v>0</v>
      </c>
      <c r="BE13" s="153">
        <f t="shared" si="4"/>
        <v>13</v>
      </c>
      <c r="BJ13" s="208">
        <f>(Tabla1[[#This Row],[Asist. (A)]]+Tabla1[[#This Row],[Retrasos (R)]]+Tabla1[[#This Row],[Licencias (L)]])*10/Tabla1[[#This Row],[DÍAS TRABAJADOS]]</f>
        <v>6.1538461538461542</v>
      </c>
    </row>
    <row r="14" spans="1:62" ht="12" customHeight="1" x14ac:dyDescent="0.35">
      <c r="A14" s="58">
        <v>7</v>
      </c>
      <c r="B14" s="167" t="str">
        <f>'C. FILIACION'!B14</f>
        <v>DELGADILLO QUISBERT MICHAEL DAVID</v>
      </c>
      <c r="C14" s="48" t="s">
        <v>64</v>
      </c>
      <c r="D14" s="48" t="s">
        <v>64</v>
      </c>
      <c r="E14" s="153" t="s">
        <v>64</v>
      </c>
      <c r="F14" s="177" t="s">
        <v>64</v>
      </c>
      <c r="G14" s="174" t="s">
        <v>64</v>
      </c>
      <c r="H14" s="48" t="s">
        <v>64</v>
      </c>
      <c r="I14" s="48" t="s">
        <v>171</v>
      </c>
      <c r="J14" s="48" t="s">
        <v>64</v>
      </c>
      <c r="K14" s="48" t="s">
        <v>64</v>
      </c>
      <c r="L14" s="48" t="s">
        <v>64</v>
      </c>
      <c r="M14" s="48" t="s">
        <v>64</v>
      </c>
      <c r="N14" s="48" t="s">
        <v>64</v>
      </c>
      <c r="O14" s="48" t="s">
        <v>64</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12</v>
      </c>
      <c r="BB14" s="48" t="str">
        <f t="shared" si="1"/>
        <v>0</v>
      </c>
      <c r="BC14" s="48">
        <f t="shared" si="2"/>
        <v>1</v>
      </c>
      <c r="BD14" s="48" t="str">
        <f t="shared" si="3"/>
        <v>0</v>
      </c>
      <c r="BE14" s="153">
        <f t="shared" si="4"/>
        <v>13</v>
      </c>
      <c r="BJ14" s="208">
        <f>(Tabla1[[#This Row],[Asist. (A)]]+Tabla1[[#This Row],[Retrasos (R)]]+Tabla1[[#This Row],[Licencias (L)]])*10/Tabla1[[#This Row],[DÍAS TRABAJADOS]]</f>
        <v>10</v>
      </c>
    </row>
    <row r="15" spans="1:62" ht="12" customHeight="1" x14ac:dyDescent="0.35">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t="s">
        <v>64</v>
      </c>
      <c r="M15" s="48" t="s">
        <v>64</v>
      </c>
      <c r="N15" s="48" t="s">
        <v>64</v>
      </c>
      <c r="O15" s="48" t="s">
        <v>64</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3">
        <f t="shared" si="4"/>
        <v>13</v>
      </c>
      <c r="BJ15" s="208">
        <f>(Tabla1[[#This Row],[Asist. (A)]]+Tabla1[[#This Row],[Retrasos (R)]]+Tabla1[[#This Row],[Licencias (L)]])*10/Tabla1[[#This Row],[DÍAS TRABAJADOS]]</f>
        <v>9.2307692307692299</v>
      </c>
    </row>
    <row r="16" spans="1:62" ht="12" customHeight="1" x14ac:dyDescent="0.35">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64</v>
      </c>
      <c r="M16" s="48" t="s">
        <v>65</v>
      </c>
      <c r="N16" s="48" t="s">
        <v>64</v>
      </c>
      <c r="O16" s="48" t="s">
        <v>64</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12</v>
      </c>
      <c r="BB16" s="48">
        <f t="shared" si="1"/>
        <v>1</v>
      </c>
      <c r="BC16" s="48" t="str">
        <f t="shared" si="2"/>
        <v>0</v>
      </c>
      <c r="BD16" s="48" t="str">
        <f t="shared" si="3"/>
        <v>0</v>
      </c>
      <c r="BE16" s="153">
        <f t="shared" si="4"/>
        <v>13</v>
      </c>
      <c r="BJ16" s="208">
        <f>(Tabla1[[#This Row],[Asist. (A)]]+Tabla1[[#This Row],[Retrasos (R)]]+Tabla1[[#This Row],[Licencias (L)]])*10/Tabla1[[#This Row],[DÍAS TRABAJADOS]]</f>
        <v>9.2307692307692299</v>
      </c>
    </row>
    <row r="17" spans="1:62" ht="12" customHeight="1" x14ac:dyDescent="0.35">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t="s">
        <v>64</v>
      </c>
      <c r="M17" s="48" t="s">
        <v>64</v>
      </c>
      <c r="N17" s="48" t="s">
        <v>64</v>
      </c>
      <c r="O17" s="48" t="s">
        <v>64</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13</v>
      </c>
      <c r="BB17" s="48" t="str">
        <f t="shared" si="1"/>
        <v>0</v>
      </c>
      <c r="BC17" s="48" t="str">
        <f t="shared" si="2"/>
        <v>0</v>
      </c>
      <c r="BD17" s="48" t="str">
        <f t="shared" si="3"/>
        <v>0</v>
      </c>
      <c r="BE17" s="153">
        <f t="shared" si="4"/>
        <v>13</v>
      </c>
      <c r="BJ17" s="208">
        <f>(Tabla1[[#This Row],[Asist. (A)]]+Tabla1[[#This Row],[Retrasos (R)]]+Tabla1[[#This Row],[Licencias (L)]])*10/Tabla1[[#This Row],[DÍAS TRABAJADOS]]</f>
        <v>10</v>
      </c>
    </row>
    <row r="18" spans="1:62" ht="12" customHeight="1" x14ac:dyDescent="0.35">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t="s">
        <v>64</v>
      </c>
      <c r="M18" s="48" t="s">
        <v>64</v>
      </c>
      <c r="N18" s="48" t="s">
        <v>64</v>
      </c>
      <c r="O18" s="48" t="s">
        <v>64</v>
      </c>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11</v>
      </c>
      <c r="BB18" s="48">
        <f t="shared" si="1"/>
        <v>2</v>
      </c>
      <c r="BC18" s="48" t="str">
        <f t="shared" si="2"/>
        <v>0</v>
      </c>
      <c r="BD18" s="48" t="str">
        <f t="shared" si="3"/>
        <v>0</v>
      </c>
      <c r="BE18" s="153">
        <f t="shared" si="4"/>
        <v>13</v>
      </c>
      <c r="BJ18" s="208">
        <f>(Tabla1[[#This Row],[Asist. (A)]]+Tabla1[[#This Row],[Retrasos (R)]]+Tabla1[[#This Row],[Licencias (L)]])*10/Tabla1[[#This Row],[DÍAS TRABAJADOS]]</f>
        <v>8.4615384615384617</v>
      </c>
    </row>
    <row r="19" spans="1:62" ht="12" customHeight="1" x14ac:dyDescent="0.35">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t="s">
        <v>64</v>
      </c>
      <c r="M19" s="48" t="s">
        <v>64</v>
      </c>
      <c r="N19" s="48" t="s">
        <v>64</v>
      </c>
      <c r="O19" s="48" t="s">
        <v>64</v>
      </c>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13</v>
      </c>
      <c r="BB19" s="48" t="str">
        <f t="shared" si="1"/>
        <v>0</v>
      </c>
      <c r="BC19" s="48" t="str">
        <f t="shared" si="2"/>
        <v>0</v>
      </c>
      <c r="BD19" s="48" t="str">
        <f t="shared" si="3"/>
        <v>0</v>
      </c>
      <c r="BE19" s="153">
        <f t="shared" si="4"/>
        <v>13</v>
      </c>
      <c r="BJ19" s="208">
        <f>(Tabla1[[#This Row],[Asist. (A)]]+Tabla1[[#This Row],[Retrasos (R)]]+Tabla1[[#This Row],[Licencias (L)]])*10/Tabla1[[#This Row],[DÍAS TRABAJADOS]]</f>
        <v>10</v>
      </c>
    </row>
    <row r="20" spans="1:62" ht="12" customHeight="1" x14ac:dyDescent="0.35">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t="s">
        <v>64</v>
      </c>
      <c r="M20" s="48" t="s">
        <v>64</v>
      </c>
      <c r="N20" s="48" t="s">
        <v>64</v>
      </c>
      <c r="O20" s="48" t="s">
        <v>64</v>
      </c>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f t="shared" si="1"/>
        <v>1</v>
      </c>
      <c r="BC20" s="48" t="str">
        <f t="shared" si="2"/>
        <v>0</v>
      </c>
      <c r="BD20" s="48" t="str">
        <f t="shared" si="3"/>
        <v>0</v>
      </c>
      <c r="BE20" s="153">
        <f t="shared" si="4"/>
        <v>13</v>
      </c>
      <c r="BJ20" s="208">
        <f>(Tabla1[[#This Row],[Asist. (A)]]+Tabla1[[#This Row],[Retrasos (R)]]+Tabla1[[#This Row],[Licencias (L)]])*10/Tabla1[[#This Row],[DÍAS TRABAJADOS]]</f>
        <v>9.2307692307692299</v>
      </c>
    </row>
    <row r="21" spans="1:62" ht="12" customHeight="1" x14ac:dyDescent="0.35">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t="s">
        <v>65</v>
      </c>
      <c r="M21" s="48" t="s">
        <v>64</v>
      </c>
      <c r="N21" s="48" t="s">
        <v>64</v>
      </c>
      <c r="O21" s="48" t="s">
        <v>64</v>
      </c>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12</v>
      </c>
      <c r="BB21" s="48">
        <f t="shared" si="1"/>
        <v>1</v>
      </c>
      <c r="BC21" s="48" t="str">
        <f t="shared" si="2"/>
        <v>0</v>
      </c>
      <c r="BD21" s="48" t="str">
        <f t="shared" si="3"/>
        <v>0</v>
      </c>
      <c r="BE21" s="153">
        <f t="shared" si="4"/>
        <v>13</v>
      </c>
      <c r="BJ21" s="208">
        <f>(Tabla1[[#This Row],[Asist. (A)]]+Tabla1[[#This Row],[Retrasos (R)]]+Tabla1[[#This Row],[Licencias (L)]])*10/Tabla1[[#This Row],[DÍAS TRABAJADOS]]</f>
        <v>9.2307692307692299</v>
      </c>
    </row>
    <row r="22" spans="1:62" ht="12" customHeight="1" x14ac:dyDescent="0.35">
      <c r="A22" s="58">
        <v>15</v>
      </c>
      <c r="B22" s="167" t="str">
        <f>'C. FILIACION'!B22</f>
        <v>RODRIGUEZ LOBATON YADHIRA CIELO</v>
      </c>
      <c r="C22" s="48" t="s">
        <v>64</v>
      </c>
      <c r="D22" s="48" t="s">
        <v>64</v>
      </c>
      <c r="E22" s="153" t="s">
        <v>64</v>
      </c>
      <c r="F22" s="177" t="s">
        <v>64</v>
      </c>
      <c r="G22" s="174" t="s">
        <v>64</v>
      </c>
      <c r="H22" s="48" t="s">
        <v>171</v>
      </c>
      <c r="I22" s="48" t="s">
        <v>64</v>
      </c>
      <c r="J22" s="48" t="s">
        <v>64</v>
      </c>
      <c r="K22" s="48" t="s">
        <v>64</v>
      </c>
      <c r="L22" s="48" t="s">
        <v>171</v>
      </c>
      <c r="M22" s="48" t="s">
        <v>64</v>
      </c>
      <c r="N22" s="48" t="s">
        <v>64</v>
      </c>
      <c r="O22" s="48" t="s">
        <v>64</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11</v>
      </c>
      <c r="BB22" s="48" t="str">
        <f t="shared" si="1"/>
        <v>0</v>
      </c>
      <c r="BC22" s="48">
        <f t="shared" si="2"/>
        <v>2</v>
      </c>
      <c r="BD22" s="48" t="str">
        <f t="shared" si="3"/>
        <v>0</v>
      </c>
      <c r="BE22" s="153">
        <f t="shared" si="4"/>
        <v>13</v>
      </c>
      <c r="BJ22" s="208">
        <f>(Tabla1[[#This Row],[Asist. (A)]]+Tabla1[[#This Row],[Retrasos (R)]]+Tabla1[[#This Row],[Licencias (L)]])*10/Tabla1[[#This Row],[DÍAS TRABAJADOS]]</f>
        <v>10</v>
      </c>
    </row>
    <row r="23" spans="1:62" ht="12" customHeight="1" x14ac:dyDescent="0.35">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t="s">
        <v>64</v>
      </c>
      <c r="M23" s="48" t="s">
        <v>64</v>
      </c>
      <c r="N23" s="48" t="s">
        <v>64</v>
      </c>
      <c r="O23" s="48" t="s">
        <v>64</v>
      </c>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13</v>
      </c>
      <c r="BB23" s="48" t="str">
        <f t="shared" si="1"/>
        <v>0</v>
      </c>
      <c r="BC23" s="48" t="str">
        <f t="shared" si="2"/>
        <v>0</v>
      </c>
      <c r="BD23" s="48" t="str">
        <f t="shared" si="3"/>
        <v>0</v>
      </c>
      <c r="BE23" s="153">
        <f t="shared" si="4"/>
        <v>13</v>
      </c>
      <c r="BJ23" s="208">
        <f>(Tabla1[[#This Row],[Asist. (A)]]+Tabla1[[#This Row],[Retrasos (R)]]+Tabla1[[#This Row],[Licencias (L)]])*10/Tabla1[[#This Row],[DÍAS TRABAJADOS]]</f>
        <v>10</v>
      </c>
    </row>
    <row r="24" spans="1:62" ht="12" customHeight="1" x14ac:dyDescent="0.35">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t="s">
        <v>171</v>
      </c>
      <c r="M24" s="48" t="s">
        <v>171</v>
      </c>
      <c r="N24" s="48" t="s">
        <v>64</v>
      </c>
      <c r="O24" s="48" t="s">
        <v>64</v>
      </c>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8</v>
      </c>
      <c r="BB24" s="48">
        <f t="shared" si="1"/>
        <v>3</v>
      </c>
      <c r="BC24" s="48">
        <f t="shared" si="2"/>
        <v>2</v>
      </c>
      <c r="BD24" s="48" t="str">
        <f t="shared" si="3"/>
        <v>0</v>
      </c>
      <c r="BE24" s="153">
        <f t="shared" si="4"/>
        <v>13</v>
      </c>
      <c r="BJ24" s="208">
        <f>(Tabla1[[#This Row],[Asist. (A)]]+Tabla1[[#This Row],[Retrasos (R)]]+Tabla1[[#This Row],[Licencias (L)]])*10/Tabla1[[#This Row],[DÍAS TRABAJADOS]]</f>
        <v>7.6923076923076925</v>
      </c>
    </row>
    <row r="25" spans="1:62" ht="12" customHeight="1" x14ac:dyDescent="0.35">
      <c r="A25" s="58">
        <v>18</v>
      </c>
      <c r="B25" s="194" t="str">
        <f>'C. FILIACION'!B25</f>
        <v>SUAREZ QUISPE JHUNIOR</v>
      </c>
      <c r="C25" s="195" t="s">
        <v>65</v>
      </c>
      <c r="D25" s="195" t="s">
        <v>65</v>
      </c>
      <c r="E25" s="196" t="s">
        <v>65</v>
      </c>
      <c r="F25" s="197" t="s">
        <v>65</v>
      </c>
      <c r="G25" s="198" t="s">
        <v>65</v>
      </c>
      <c r="H25" s="195" t="s">
        <v>65</v>
      </c>
      <c r="I25" s="195" t="s">
        <v>65</v>
      </c>
      <c r="J25" s="195" t="s">
        <v>65</v>
      </c>
      <c r="K25" s="195" t="s">
        <v>65</v>
      </c>
      <c r="L25" s="195" t="s">
        <v>65</v>
      </c>
      <c r="M25" s="195" t="s">
        <v>65</v>
      </c>
      <c r="N25" s="195" t="s">
        <v>65</v>
      </c>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195"/>
      <c r="AT25" s="195"/>
      <c r="AU25" s="195"/>
      <c r="AV25" s="195"/>
      <c r="AW25" s="195"/>
      <c r="AX25" s="195"/>
      <c r="AY25" s="195"/>
      <c r="AZ25" s="196"/>
      <c r="BA25" s="62" t="str">
        <f t="shared" si="0"/>
        <v>0</v>
      </c>
      <c r="BB25" s="48">
        <f t="shared" si="1"/>
        <v>12</v>
      </c>
      <c r="BC25" s="48" t="str">
        <f t="shared" si="2"/>
        <v>0</v>
      </c>
      <c r="BD25" s="48" t="str">
        <f t="shared" si="3"/>
        <v>0</v>
      </c>
      <c r="BE25" s="153">
        <f t="shared" si="4"/>
        <v>12</v>
      </c>
      <c r="BJ25" s="208">
        <f>(Tabla1[[#This Row],[Asist. (A)]]+Tabla1[[#This Row],[Retrasos (R)]]+Tabla1[[#This Row],[Licencias (L)]])*10/Tabla1[[#This Row],[DÍAS TRABAJADOS]]</f>
        <v>0</v>
      </c>
    </row>
    <row r="26" spans="1:62" ht="12" customHeight="1" x14ac:dyDescent="0.35">
      <c r="A26" s="58">
        <v>19</v>
      </c>
      <c r="B26" s="167" t="str">
        <f>'C. FILIACION'!B26</f>
        <v>VILAR CORTEZ MIKAELA DOLORES</v>
      </c>
      <c r="C26" s="48" t="s">
        <v>64</v>
      </c>
      <c r="D26" s="48" t="s">
        <v>65</v>
      </c>
      <c r="E26" s="153" t="s">
        <v>64</v>
      </c>
      <c r="F26" s="177" t="s">
        <v>64</v>
      </c>
      <c r="G26" s="174" t="s">
        <v>65</v>
      </c>
      <c r="H26" s="48" t="s">
        <v>64</v>
      </c>
      <c r="I26" s="48" t="s">
        <v>64</v>
      </c>
      <c r="J26" s="48" t="s">
        <v>172</v>
      </c>
      <c r="K26" s="48" t="s">
        <v>65</v>
      </c>
      <c r="L26" s="48" t="s">
        <v>65</v>
      </c>
      <c r="M26" s="48" t="s">
        <v>64</v>
      </c>
      <c r="N26" s="48" t="s">
        <v>64</v>
      </c>
      <c r="O26" s="48" t="s">
        <v>171</v>
      </c>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7</v>
      </c>
      <c r="BB26" s="48">
        <f t="shared" si="1"/>
        <v>4</v>
      </c>
      <c r="BC26" s="48">
        <f t="shared" si="2"/>
        <v>1</v>
      </c>
      <c r="BD26" s="48">
        <f t="shared" si="3"/>
        <v>1</v>
      </c>
      <c r="BE26" s="153">
        <f t="shared" si="4"/>
        <v>13</v>
      </c>
      <c r="BJ26" s="208">
        <f>(Tabla1[[#This Row],[Asist. (A)]]+Tabla1[[#This Row],[Retrasos (R)]]+Tabla1[[#This Row],[Licencias (L)]])*10/Tabla1[[#This Row],[DÍAS TRABAJADOS]]</f>
        <v>6.9230769230769234</v>
      </c>
    </row>
    <row r="27" spans="1:62" ht="12" customHeight="1" x14ac:dyDescent="0.35">
      <c r="A27" s="58">
        <v>20</v>
      </c>
      <c r="B27" s="167" t="s">
        <v>167</v>
      </c>
      <c r="C27" s="48"/>
      <c r="D27" s="48"/>
      <c r="E27" s="153"/>
      <c r="F27" s="178" t="s">
        <v>65</v>
      </c>
      <c r="G27" s="174" t="s">
        <v>64</v>
      </c>
      <c r="H27" s="48" t="s">
        <v>65</v>
      </c>
      <c r="I27" s="48" t="s">
        <v>64</v>
      </c>
      <c r="J27" s="48" t="s">
        <v>64</v>
      </c>
      <c r="K27" s="48" t="s">
        <v>64</v>
      </c>
      <c r="L27" s="48" t="s">
        <v>64</v>
      </c>
      <c r="M27" s="48" t="s">
        <v>64</v>
      </c>
      <c r="N27" s="48" t="s">
        <v>64</v>
      </c>
      <c r="O27" s="48" t="s">
        <v>64</v>
      </c>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8</v>
      </c>
      <c r="BB27" s="48">
        <f t="shared" si="1"/>
        <v>2</v>
      </c>
      <c r="BC27" s="48" t="str">
        <f t="shared" si="2"/>
        <v>0</v>
      </c>
      <c r="BD27" s="48" t="str">
        <f t="shared" si="3"/>
        <v>0</v>
      </c>
      <c r="BE27" s="153">
        <f t="shared" si="4"/>
        <v>10</v>
      </c>
      <c r="BJ27" s="208">
        <f>(Tabla1[[#This Row],[Asist. (A)]]+Tabla1[[#This Row],[Retrasos (R)]]+Tabla1[[#This Row],[Licencias (L)]])*10/Tabla1[[#This Row],[DÍAS TRABAJADOS]]</f>
        <v>8</v>
      </c>
    </row>
    <row r="28" spans="1:62" ht="12" customHeight="1" x14ac:dyDescent="0.35">
      <c r="A28" s="58">
        <v>21</v>
      </c>
      <c r="B28" s="167" t="s">
        <v>173</v>
      </c>
      <c r="C28" s="48" t="s">
        <v>64</v>
      </c>
      <c r="D28" s="48" t="s">
        <v>64</v>
      </c>
      <c r="E28" s="153" t="s">
        <v>64</v>
      </c>
      <c r="F28" s="177" t="s">
        <v>64</v>
      </c>
      <c r="G28" s="174" t="s">
        <v>64</v>
      </c>
      <c r="H28" s="48" t="s">
        <v>64</v>
      </c>
      <c r="I28" s="48" t="s">
        <v>64</v>
      </c>
      <c r="J28" s="48" t="s">
        <v>171</v>
      </c>
      <c r="K28" s="48" t="s">
        <v>65</v>
      </c>
      <c r="L28" s="48" t="s">
        <v>171</v>
      </c>
      <c r="M28" s="48" t="s">
        <v>171</v>
      </c>
      <c r="N28" s="48" t="s">
        <v>64</v>
      </c>
      <c r="O28" s="48" t="s">
        <v>64</v>
      </c>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9</v>
      </c>
      <c r="BB28" s="48">
        <f t="shared" si="1"/>
        <v>1</v>
      </c>
      <c r="BC28" s="48">
        <f t="shared" si="2"/>
        <v>3</v>
      </c>
      <c r="BD28" s="48" t="str">
        <f t="shared" si="3"/>
        <v>0</v>
      </c>
      <c r="BE28" s="153">
        <f t="shared" si="4"/>
        <v>13</v>
      </c>
      <c r="BJ28" s="208">
        <f>(Tabla1[[#This Row],[Asist. (A)]]+Tabla1[[#This Row],[Retrasos (R)]]+Tabla1[[#This Row],[Licencias (L)]])*10/Tabla1[[#This Row],[DÍAS TRABAJADOS]]</f>
        <v>9.2307692307692299</v>
      </c>
    </row>
    <row r="29" spans="1:62" ht="12" customHeight="1" x14ac:dyDescent="0.35">
      <c r="A29" s="58">
        <v>22</v>
      </c>
      <c r="B29" s="167" t="s">
        <v>169</v>
      </c>
      <c r="C29" s="48" t="s">
        <v>64</v>
      </c>
      <c r="D29" s="48" t="s">
        <v>64</v>
      </c>
      <c r="E29" s="153" t="s">
        <v>65</v>
      </c>
      <c r="F29" s="177" t="s">
        <v>64</v>
      </c>
      <c r="G29" s="174" t="s">
        <v>64</v>
      </c>
      <c r="H29" s="48" t="s">
        <v>64</v>
      </c>
      <c r="I29" s="48" t="s">
        <v>64</v>
      </c>
      <c r="J29" s="48" t="s">
        <v>64</v>
      </c>
      <c r="K29" s="48" t="s">
        <v>64</v>
      </c>
      <c r="L29" s="48" t="s">
        <v>64</v>
      </c>
      <c r="M29" s="48" t="s">
        <v>64</v>
      </c>
      <c r="N29" s="48" t="s">
        <v>64</v>
      </c>
      <c r="O29" s="48" t="s">
        <v>64</v>
      </c>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12</v>
      </c>
      <c r="BB29" s="48">
        <f t="shared" si="1"/>
        <v>1</v>
      </c>
      <c r="BC29" s="48" t="str">
        <f t="shared" si="2"/>
        <v>0</v>
      </c>
      <c r="BD29" s="48" t="str">
        <f t="shared" si="3"/>
        <v>0</v>
      </c>
      <c r="BE29" s="153">
        <f t="shared" si="4"/>
        <v>13</v>
      </c>
      <c r="BJ29" s="208">
        <f>(Tabla1[[#This Row],[Asist. (A)]]+Tabla1[[#This Row],[Retrasos (R)]]+Tabla1[[#This Row],[Licencias (L)]])*10/Tabla1[[#This Row],[DÍAS TRABAJADOS]]</f>
        <v>9.2307692307692299</v>
      </c>
    </row>
    <row r="30" spans="1:62" ht="12" customHeight="1" x14ac:dyDescent="0.35">
      <c r="A30" s="58">
        <v>23</v>
      </c>
      <c r="B30" s="167" t="s">
        <v>170</v>
      </c>
      <c r="C30" s="48" t="s">
        <v>64</v>
      </c>
      <c r="D30" s="48" t="s">
        <v>64</v>
      </c>
      <c r="E30" s="153" t="s">
        <v>65</v>
      </c>
      <c r="F30" s="177" t="s">
        <v>64</v>
      </c>
      <c r="G30" s="174" t="s">
        <v>64</v>
      </c>
      <c r="H30" s="48" t="s">
        <v>64</v>
      </c>
      <c r="I30" s="48" t="s">
        <v>64</v>
      </c>
      <c r="J30" s="48" t="s">
        <v>64</v>
      </c>
      <c r="K30" s="48" t="s">
        <v>64</v>
      </c>
      <c r="L30" s="48" t="s">
        <v>64</v>
      </c>
      <c r="M30" s="48" t="s">
        <v>64</v>
      </c>
      <c r="N30" s="48" t="s">
        <v>64</v>
      </c>
      <c r="O30" s="48" t="s">
        <v>64</v>
      </c>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12</v>
      </c>
      <c r="BB30" s="48">
        <f t="shared" si="1"/>
        <v>1</v>
      </c>
      <c r="BC30" s="48" t="str">
        <f t="shared" si="2"/>
        <v>0</v>
      </c>
      <c r="BD30" s="48" t="str">
        <f t="shared" si="3"/>
        <v>0</v>
      </c>
      <c r="BE30" s="153">
        <f t="shared" si="4"/>
        <v>13</v>
      </c>
      <c r="BJ30" s="208">
        <f>(Tabla1[[#This Row],[Asist. (A)]]+Tabla1[[#This Row],[Retrasos (R)]]+Tabla1[[#This Row],[Licencias (L)]])*10/Tabla1[[#This Row],[DÍAS TRABAJADOS]]</f>
        <v>9.2307692307692299</v>
      </c>
    </row>
    <row r="31" spans="1:62" ht="12" customHeight="1" x14ac:dyDescent="0.35">
      <c r="A31" s="58">
        <v>24</v>
      </c>
      <c r="B31" s="169" t="s">
        <v>256</v>
      </c>
      <c r="C31" s="170"/>
      <c r="D31" s="170"/>
      <c r="E31" s="171"/>
      <c r="F31" s="179"/>
      <c r="G31" s="175"/>
      <c r="H31" s="170"/>
      <c r="I31" s="170"/>
      <c r="J31" s="170"/>
      <c r="K31" s="170"/>
      <c r="L31" s="170"/>
      <c r="M31" s="170"/>
      <c r="N31" s="170"/>
      <c r="O31" s="170" t="s">
        <v>64</v>
      </c>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f t="shared" ref="BA31:BA43" si="5">IF(COUNTIF(C31:AZ31,"A")=0,"",COUNTIF(C31:AZ31,"A"))</f>
        <v>1</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62" ht="12" customHeight="1" x14ac:dyDescent="0.35">
      <c r="A32" s="58">
        <v>25</v>
      </c>
      <c r="B32" s="59">
        <f>'C. FILIACION'!B32</f>
        <v>0</v>
      </c>
      <c r="C32" s="48"/>
      <c r="D32" s="48"/>
      <c r="E32" s="48"/>
      <c r="F32" s="170"/>
      <c r="G32" s="48"/>
      <c r="H32" s="48"/>
      <c r="I32" s="48"/>
      <c r="J32" s="48"/>
      <c r="K32" s="48"/>
      <c r="L32" s="48"/>
      <c r="M32" s="48"/>
      <c r="N32" s="48"/>
      <c r="O32" s="48"/>
      <c r="P32" s="48"/>
      <c r="Q32" s="48"/>
      <c r="R32" s="48"/>
      <c r="S32" s="48"/>
      <c r="T32" s="48"/>
      <c r="U32" s="48"/>
      <c r="V32" s="48"/>
      <c r="W32" s="154"/>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5"/>
        <v/>
      </c>
      <c r="BB32" s="48" t="str">
        <f t="shared" si="6"/>
        <v/>
      </c>
      <c r="BC32" s="48" t="str">
        <f t="shared" si="7"/>
        <v/>
      </c>
      <c r="BD32" s="48" t="str">
        <f t="shared" si="8"/>
        <v/>
      </c>
      <c r="BE32" s="63" t="str">
        <f t="shared" si="9"/>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pageSetUpPr fitToPage="1"/>
  </sheetPr>
  <dimension ref="A1:AF36"/>
  <sheetViews>
    <sheetView zoomScale="81" zoomScaleNormal="81" workbookViewId="0">
      <selection activeCell="F5" sqref="F5:Z5"/>
    </sheetView>
  </sheetViews>
  <sheetFormatPr baseColWidth="10" defaultRowHeight="20.399999999999999" x14ac:dyDescent="0.35"/>
  <cols>
    <col min="1" max="25" width="2.46484375" customWidth="1"/>
    <col min="26" max="26" width="4.1328125" customWidth="1"/>
    <col min="27" max="27" width="10.86328125" customWidth="1"/>
    <col min="28" max="28" width="9" customWidth="1"/>
    <col min="29" max="31" width="2.46484375" customWidth="1"/>
  </cols>
  <sheetData>
    <row r="1" spans="1:32" ht="20.25" customHeight="1" x14ac:dyDescent="0.35">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6.05" customHeight="1" x14ac:dyDescent="0.35">
      <c r="A2" s="267" t="s">
        <v>174</v>
      </c>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156"/>
      <c r="AD2" s="156"/>
      <c r="AE2" s="156"/>
    </row>
    <row r="3" spans="1:32" ht="16.05" customHeight="1" x14ac:dyDescent="0.3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6.05" customHeight="1" x14ac:dyDescent="0.35">
      <c r="A4" s="268" t="s">
        <v>175</v>
      </c>
      <c r="B4" s="268"/>
      <c r="C4" s="268"/>
      <c r="D4" s="268"/>
      <c r="E4" s="268"/>
      <c r="F4" s="269" t="str">
        <f>[1]CARÁTULA!C25</f>
        <v>Tecnica Tecnologica (Programacion)</v>
      </c>
      <c r="G4" s="269"/>
      <c r="H4" s="269"/>
      <c r="I4" s="269"/>
      <c r="J4" s="269"/>
      <c r="K4" s="269"/>
      <c r="L4" s="269"/>
      <c r="M4" s="269"/>
      <c r="N4" s="269"/>
      <c r="O4" s="270" t="s">
        <v>176</v>
      </c>
      <c r="P4" s="270"/>
      <c r="Q4" s="270"/>
      <c r="R4" s="271" t="str">
        <f>CARÁTULA!C23</f>
        <v>3ro de Secundaria</v>
      </c>
      <c r="S4" s="272"/>
      <c r="T4" s="272"/>
      <c r="U4" s="272"/>
      <c r="V4" s="272"/>
      <c r="W4" s="272"/>
      <c r="X4" s="272"/>
      <c r="Y4" s="272"/>
      <c r="Z4" s="273"/>
      <c r="AA4" s="160" t="s">
        <v>177</v>
      </c>
      <c r="AB4" s="192" t="s">
        <v>235</v>
      </c>
      <c r="AC4" s="156"/>
      <c r="AD4" s="156"/>
      <c r="AE4" s="156"/>
    </row>
    <row r="5" spans="1:32" ht="16.05" customHeight="1" x14ac:dyDescent="0.35">
      <c r="A5" s="268" t="s">
        <v>178</v>
      </c>
      <c r="B5" s="268"/>
      <c r="C5" s="268"/>
      <c r="D5" s="268"/>
      <c r="E5" s="268"/>
      <c r="F5" s="274" t="s">
        <v>49</v>
      </c>
      <c r="G5" s="274"/>
      <c r="H5" s="274"/>
      <c r="I5" s="274"/>
      <c r="J5" s="274"/>
      <c r="K5" s="274"/>
      <c r="L5" s="274"/>
      <c r="M5" s="274"/>
      <c r="N5" s="274"/>
      <c r="O5" s="274"/>
      <c r="P5" s="274"/>
      <c r="Q5" s="274"/>
      <c r="R5" s="274"/>
      <c r="S5" s="274"/>
      <c r="T5" s="274"/>
      <c r="U5" s="274"/>
      <c r="V5" s="274"/>
      <c r="W5" s="274"/>
      <c r="X5" s="274"/>
      <c r="Y5" s="274"/>
      <c r="Z5" s="274"/>
      <c r="AA5" s="160" t="s">
        <v>179</v>
      </c>
      <c r="AB5" s="192" t="s">
        <v>246</v>
      </c>
      <c r="AC5" s="156"/>
      <c r="AD5" s="156"/>
      <c r="AE5" s="156"/>
    </row>
    <row r="6" spans="1:32" ht="16.05" customHeight="1" x14ac:dyDescent="0.35">
      <c r="A6" s="268" t="s">
        <v>180</v>
      </c>
      <c r="B6" s="268"/>
      <c r="C6" s="268"/>
      <c r="D6" s="268"/>
      <c r="E6" s="268"/>
      <c r="F6" s="274" t="s">
        <v>181</v>
      </c>
      <c r="G6" s="274"/>
      <c r="H6" s="274"/>
      <c r="I6" s="274"/>
      <c r="J6" s="274"/>
      <c r="K6" s="274"/>
      <c r="L6" s="274"/>
      <c r="M6" s="274"/>
      <c r="N6" s="274"/>
      <c r="O6" s="274"/>
      <c r="P6" s="274"/>
      <c r="Q6" s="274"/>
      <c r="R6" s="274"/>
      <c r="S6" s="274"/>
      <c r="T6" s="274"/>
      <c r="U6" s="274"/>
      <c r="V6" s="274"/>
      <c r="W6" s="274"/>
      <c r="X6" s="274"/>
      <c r="Y6" s="274"/>
      <c r="Z6" s="274"/>
      <c r="AA6" s="274"/>
      <c r="AB6" s="274"/>
      <c r="AC6" s="156"/>
      <c r="AD6" s="156"/>
      <c r="AE6" s="156"/>
    </row>
    <row r="7" spans="1:32" ht="6.75" customHeight="1" x14ac:dyDescent="0.35">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5">
      <c r="A8" s="275" t="s">
        <v>182</v>
      </c>
      <c r="B8" s="275"/>
      <c r="C8" s="275"/>
      <c r="D8" s="275"/>
      <c r="E8" s="275"/>
      <c r="F8" s="275"/>
      <c r="G8" s="275"/>
      <c r="H8" s="275"/>
      <c r="I8" s="275"/>
      <c r="J8" s="275"/>
      <c r="K8" s="275"/>
      <c r="L8" s="275"/>
      <c r="M8" s="275"/>
      <c r="N8" s="275"/>
      <c r="O8" s="275"/>
      <c r="P8" s="275"/>
      <c r="Q8" s="275"/>
      <c r="R8" s="275"/>
      <c r="S8" s="275"/>
      <c r="T8" s="275"/>
      <c r="U8" s="275"/>
      <c r="V8" s="275"/>
      <c r="W8" s="275"/>
      <c r="X8" s="275"/>
      <c r="Y8" s="275"/>
      <c r="Z8" s="275"/>
      <c r="AA8" s="275"/>
      <c r="AB8" s="275"/>
      <c r="AC8" s="156"/>
      <c r="AD8" s="156"/>
      <c r="AE8" s="156"/>
    </row>
    <row r="9" spans="1:32" ht="3" customHeight="1" x14ac:dyDescent="0.35">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5">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Tabla1[[#Headers],[18/8/2021]]</f>
        <v>18/8/2021</v>
      </c>
      <c r="Q10" s="157" t="str">
        <f>Tabla1[[#Headers],[25/8/2021]]</f>
        <v>25/8/2021</v>
      </c>
      <c r="R10" s="157" t="str">
        <f>Tabla1[[#Headers],[1/9/2021]]</f>
        <v>1/9/2021</v>
      </c>
      <c r="S10" s="157" t="str">
        <f>'[1]ASIS 2 TRIM'!BA7</f>
        <v>Asist. (A)</v>
      </c>
      <c r="T10" s="157" t="str">
        <f>'[1]ASIS 2 TRIM'!BB7</f>
        <v>Faltas (F)</v>
      </c>
      <c r="U10" s="157" t="str">
        <f>'[1]ASIS 2 TRIM'!BC7</f>
        <v>Retrasos (R)</v>
      </c>
      <c r="V10" s="157" t="str">
        <f>'[1]ASIS 2 TRIM'!BD7</f>
        <v>Licencias (L)</v>
      </c>
      <c r="W10" s="159" t="str">
        <f>'[1]ASIS 2 TRIM'!BE7</f>
        <v>DÍAS TRABAJADOS</v>
      </c>
      <c r="X10" s="156"/>
      <c r="Y10" s="156"/>
      <c r="Z10" s="156"/>
      <c r="AA10" s="156"/>
      <c r="AB10" s="156"/>
      <c r="AC10" s="156"/>
      <c r="AD10" s="156"/>
      <c r="AE10" s="156"/>
    </row>
    <row r="11" spans="1:32" ht="16.05" customHeight="1" x14ac:dyDescent="0.35">
      <c r="A11" s="156"/>
      <c r="B11" s="156"/>
      <c r="C11" s="156"/>
      <c r="D11" s="156"/>
      <c r="E11" s="156"/>
      <c r="F11" s="156"/>
      <c r="G11" s="158" t="str">
        <f>VLOOKUP($F$5,Tabla1[],2,FALSE)</f>
        <v>f</v>
      </c>
      <c r="H11" s="158" t="str">
        <f>VLOOKUP($F$5,Tabla1[],3,FALSE)</f>
        <v>f</v>
      </c>
      <c r="I11" s="158" t="str">
        <f>VLOOKUP($F$5,Tabla1[],4,FALSE)</f>
        <v>f</v>
      </c>
      <c r="J11" s="158" t="str">
        <f>VLOOKUP($F$5,Tabla1[],5,FALSE)</f>
        <v>f</v>
      </c>
      <c r="K11" s="158" t="str">
        <f>VLOOKUP($F$5,Tabla1[],6,FALSE)</f>
        <v>f</v>
      </c>
      <c r="L11" s="158" t="str">
        <f>VLOOKUP($F$5,Tabla1[],7,FALSE)</f>
        <v>f</v>
      </c>
      <c r="M11" s="158" t="str">
        <f>VLOOKUP($F$5,Tabla1[],8,FALSE)</f>
        <v>f</v>
      </c>
      <c r="N11" s="158" t="str">
        <f>VLOOKUP($F$5,Tabla1[],9,FALSE)</f>
        <v>f</v>
      </c>
      <c r="O11" s="158" t="str">
        <f>VLOOKUP($F$5,Tabla1[],10,FALSE)</f>
        <v>f</v>
      </c>
      <c r="P11" s="158" t="str">
        <f>VLOOKUP($F$5,Tabla1[],11,FALSE)</f>
        <v>f</v>
      </c>
      <c r="Q11" s="158" t="str">
        <f>VLOOKUP($F$5,Tabla1[],12,FALSE)</f>
        <v>f</v>
      </c>
      <c r="R11" s="158" t="str">
        <f>VLOOKUP($F$5,Tabla1[],13,FALSE)</f>
        <v>f</v>
      </c>
      <c r="S11" s="158" t="str">
        <f>VLOOKUP($F$5,Tabla1[],52,FALSE)</f>
        <v>0</v>
      </c>
      <c r="T11" s="158">
        <f>VLOOKUP($F$5,Tabla1[],53,FALSE)</f>
        <v>12</v>
      </c>
      <c r="U11" s="158" t="str">
        <f>VLOOKUP($F$5,Tabla1[],54,FALSE)</f>
        <v>0</v>
      </c>
      <c r="V11" s="158" t="str">
        <f>VLOOKUP($F$5,Tabla1[],55,FALSE)</f>
        <v>0</v>
      </c>
      <c r="W11" s="158">
        <f>VLOOKUP($F$5,Tabla1[],56,FALSE)</f>
        <v>12</v>
      </c>
      <c r="X11" s="156"/>
      <c r="Y11" s="156"/>
      <c r="Z11" s="156"/>
      <c r="AA11" s="156"/>
      <c r="AB11" s="156"/>
      <c r="AC11" s="156"/>
      <c r="AD11" s="156"/>
      <c r="AE11" s="156"/>
      <c r="AF11" s="182"/>
    </row>
    <row r="12" spans="1:32" ht="9.75" customHeight="1" x14ac:dyDescent="0.35">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6.05" customHeight="1" x14ac:dyDescent="0.35">
      <c r="A13" s="264" t="s">
        <v>183</v>
      </c>
      <c r="B13" s="264"/>
      <c r="C13" s="264"/>
      <c r="D13" s="264"/>
      <c r="E13" s="264"/>
      <c r="F13" s="264"/>
      <c r="G13" s="264"/>
      <c r="H13" s="264"/>
      <c r="I13" s="264"/>
      <c r="J13" s="264"/>
      <c r="K13" s="264"/>
      <c r="L13" s="264"/>
      <c r="M13" s="264"/>
      <c r="N13" s="264"/>
      <c r="O13" s="264"/>
      <c r="P13" s="264"/>
      <c r="Q13" s="264"/>
      <c r="R13" s="264"/>
      <c r="S13" s="264"/>
      <c r="T13" s="264"/>
      <c r="U13" s="264"/>
      <c r="V13" s="264"/>
      <c r="W13" s="264"/>
      <c r="X13" s="264"/>
      <c r="Y13" s="264"/>
      <c r="Z13" s="264"/>
      <c r="AA13" s="264"/>
      <c r="AB13" s="264"/>
      <c r="AC13" s="156"/>
      <c r="AD13" s="156"/>
      <c r="AE13" s="156"/>
      <c r="AF13" s="185"/>
    </row>
    <row r="14" spans="1:32" ht="16.05" customHeight="1" x14ac:dyDescent="0.35">
      <c r="A14" s="264" t="s">
        <v>184</v>
      </c>
      <c r="B14" s="264"/>
      <c r="C14" s="264"/>
      <c r="D14" s="264"/>
      <c r="E14" s="264"/>
      <c r="F14" s="264"/>
      <c r="G14" s="264"/>
      <c r="H14" s="264"/>
      <c r="I14" s="264" t="s">
        <v>185</v>
      </c>
      <c r="J14" s="264"/>
      <c r="K14" s="264" t="s">
        <v>186</v>
      </c>
      <c r="L14" s="264"/>
      <c r="M14" s="264"/>
      <c r="N14" s="264"/>
      <c r="O14" s="264"/>
      <c r="P14" s="264"/>
      <c r="Q14" s="264"/>
      <c r="R14" s="264"/>
      <c r="S14" s="264"/>
      <c r="T14" s="264"/>
      <c r="U14" s="264"/>
      <c r="V14" s="264"/>
      <c r="W14" s="264"/>
      <c r="X14" s="264"/>
      <c r="Y14" s="264"/>
      <c r="Z14" s="264"/>
      <c r="AA14" s="264"/>
      <c r="AB14" s="264"/>
      <c r="AC14" s="156"/>
      <c r="AD14" s="161"/>
      <c r="AE14" s="156"/>
    </row>
    <row r="15" spans="1:32" ht="16.05" customHeight="1" x14ac:dyDescent="0.35">
      <c r="A15" s="276" t="s">
        <v>243</v>
      </c>
      <c r="B15" s="276"/>
      <c r="C15" s="276"/>
      <c r="D15" s="276"/>
      <c r="E15" s="276"/>
      <c r="F15" s="276"/>
      <c r="G15" s="276"/>
      <c r="H15" s="277"/>
      <c r="I15" s="255">
        <f>VLOOKUP($F$5,'VAL 2 TRIM'!$B$9:$Z$31,3,FALSE)</f>
        <v>0</v>
      </c>
      <c r="J15" s="255"/>
      <c r="K15" s="278" t="s">
        <v>244</v>
      </c>
      <c r="L15" s="279"/>
      <c r="M15" s="279"/>
      <c r="N15" s="279"/>
      <c r="O15" s="279"/>
      <c r="P15" s="279"/>
      <c r="Q15" s="279"/>
      <c r="R15" s="279"/>
      <c r="S15" s="279"/>
      <c r="T15" s="279"/>
      <c r="U15" s="279"/>
      <c r="V15" s="279"/>
      <c r="W15" s="279"/>
      <c r="X15" s="279"/>
      <c r="Y15" s="279"/>
      <c r="Z15" s="279"/>
      <c r="AA15" s="279"/>
      <c r="AB15" s="279"/>
      <c r="AC15" s="156">
        <f>IF(I15=0,1,0)</f>
        <v>1</v>
      </c>
      <c r="AD15" s="162">
        <v>1</v>
      </c>
      <c r="AE15" s="156"/>
      <c r="AF15" s="183"/>
    </row>
    <row r="16" spans="1:32" ht="16.05" customHeight="1" x14ac:dyDescent="0.35">
      <c r="A16" s="252" t="s">
        <v>240</v>
      </c>
      <c r="B16" s="253"/>
      <c r="C16" s="253"/>
      <c r="D16" s="253"/>
      <c r="E16" s="253"/>
      <c r="F16" s="253"/>
      <c r="G16" s="253"/>
      <c r="H16" s="254"/>
      <c r="I16" s="255">
        <f>VLOOKUP($F$5,'VAL 2 TRIM'!$B$9:$Z$31,4,FALSE)</f>
        <v>0</v>
      </c>
      <c r="J16" s="255"/>
      <c r="K16" s="259" t="s">
        <v>241</v>
      </c>
      <c r="L16" s="260"/>
      <c r="M16" s="260"/>
      <c r="N16" s="260"/>
      <c r="O16" s="260"/>
      <c r="P16" s="260"/>
      <c r="Q16" s="260"/>
      <c r="R16" s="260"/>
      <c r="S16" s="260"/>
      <c r="T16" s="260"/>
      <c r="U16" s="260"/>
      <c r="V16" s="260"/>
      <c r="W16" s="260"/>
      <c r="X16" s="260"/>
      <c r="Y16" s="260"/>
      <c r="Z16" s="260"/>
      <c r="AA16" s="260"/>
      <c r="AB16" s="260"/>
      <c r="AC16" s="156">
        <f>IF(I16=0,1,0)</f>
        <v>1</v>
      </c>
      <c r="AD16" s="162">
        <v>1</v>
      </c>
      <c r="AE16" s="156"/>
      <c r="AF16" s="185"/>
    </row>
    <row r="17" spans="1:31" ht="16.05" customHeight="1" x14ac:dyDescent="0.35">
      <c r="A17" s="261" t="s">
        <v>82</v>
      </c>
      <c r="B17" s="262"/>
      <c r="C17" s="262"/>
      <c r="D17" s="262"/>
      <c r="E17" s="262"/>
      <c r="F17" s="262"/>
      <c r="G17" s="262"/>
      <c r="H17" s="262"/>
      <c r="I17" s="263">
        <f>SUM(I15:J16)/2</f>
        <v>0</v>
      </c>
      <c r="J17" s="263"/>
      <c r="K17" s="255"/>
      <c r="L17" s="255"/>
      <c r="M17" s="255"/>
      <c r="N17" s="255"/>
      <c r="O17" s="255"/>
      <c r="P17" s="255"/>
      <c r="Q17" s="255"/>
      <c r="R17" s="255"/>
      <c r="S17" s="255"/>
      <c r="T17" s="255"/>
      <c r="U17" s="255"/>
      <c r="V17" s="255"/>
      <c r="W17" s="255"/>
      <c r="X17" s="255"/>
      <c r="Y17" s="255"/>
      <c r="Z17" s="255"/>
      <c r="AA17" s="255"/>
      <c r="AB17" s="255"/>
      <c r="AC17" s="156">
        <f>SUM(AC15:AC16)</f>
        <v>2</v>
      </c>
      <c r="AD17" s="156"/>
      <c r="AE17" s="156"/>
    </row>
    <row r="18" spans="1:31" ht="10.5" customHeight="1" x14ac:dyDescent="0.35">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6.05" customHeight="1" x14ac:dyDescent="0.35">
      <c r="A19" s="264" t="s">
        <v>187</v>
      </c>
      <c r="B19" s="264"/>
      <c r="C19" s="264"/>
      <c r="D19" s="264"/>
      <c r="E19" s="264"/>
      <c r="F19" s="264"/>
      <c r="G19" s="264"/>
      <c r="H19" s="264"/>
      <c r="I19" s="264"/>
      <c r="J19" s="264"/>
      <c r="K19" s="264"/>
      <c r="L19" s="264"/>
      <c r="M19" s="264"/>
      <c r="N19" s="264"/>
      <c r="O19" s="264"/>
      <c r="P19" s="264"/>
      <c r="Q19" s="264"/>
      <c r="R19" s="264"/>
      <c r="S19" s="264"/>
      <c r="T19" s="264"/>
      <c r="U19" s="264"/>
      <c r="V19" s="264"/>
      <c r="W19" s="264"/>
      <c r="X19" s="264"/>
      <c r="Y19" s="264"/>
      <c r="Z19" s="264"/>
      <c r="AA19" s="264"/>
      <c r="AB19" s="264"/>
      <c r="AC19" s="156"/>
      <c r="AD19" s="156"/>
      <c r="AE19" s="156"/>
    </row>
    <row r="20" spans="1:31" ht="16.05" customHeight="1" x14ac:dyDescent="0.35">
      <c r="A20" s="264" t="s">
        <v>184</v>
      </c>
      <c r="B20" s="264"/>
      <c r="C20" s="264"/>
      <c r="D20" s="264"/>
      <c r="E20" s="264"/>
      <c r="F20" s="264"/>
      <c r="G20" s="264"/>
      <c r="H20" s="264"/>
      <c r="I20" s="264" t="s">
        <v>185</v>
      </c>
      <c r="J20" s="264"/>
      <c r="K20" s="264" t="s">
        <v>186</v>
      </c>
      <c r="L20" s="264"/>
      <c r="M20" s="264"/>
      <c r="N20" s="264"/>
      <c r="O20" s="264"/>
      <c r="P20" s="264"/>
      <c r="Q20" s="264"/>
      <c r="R20" s="264"/>
      <c r="S20" s="264"/>
      <c r="T20" s="264"/>
      <c r="U20" s="264"/>
      <c r="V20" s="264"/>
      <c r="W20" s="264"/>
      <c r="X20" s="264"/>
      <c r="Y20" s="264"/>
      <c r="Z20" s="264"/>
      <c r="AA20" s="264"/>
      <c r="AB20" s="264"/>
      <c r="AC20" s="156"/>
      <c r="AD20" s="156"/>
      <c r="AE20" s="156"/>
    </row>
    <row r="21" spans="1:31" ht="16.05" customHeight="1" x14ac:dyDescent="0.35">
      <c r="A21" s="265" t="s">
        <v>234</v>
      </c>
      <c r="B21" s="265"/>
      <c r="C21" s="265"/>
      <c r="D21" s="265"/>
      <c r="E21" s="265"/>
      <c r="F21" s="265"/>
      <c r="G21" s="265"/>
      <c r="H21" s="266"/>
      <c r="I21" s="255">
        <f>VLOOKUP($F$5,'VAL 2 TRIM'!$B$9:$Z$31,15,FALSE)</f>
        <v>0</v>
      </c>
      <c r="J21" s="255"/>
      <c r="K21" s="259" t="s">
        <v>233</v>
      </c>
      <c r="L21" s="260"/>
      <c r="M21" s="260"/>
      <c r="N21" s="260"/>
      <c r="O21" s="260"/>
      <c r="P21" s="260"/>
      <c r="Q21" s="260"/>
      <c r="R21" s="260"/>
      <c r="S21" s="260"/>
      <c r="T21" s="260"/>
      <c r="U21" s="260"/>
      <c r="V21" s="260"/>
      <c r="W21" s="260"/>
      <c r="X21" s="260"/>
      <c r="Y21" s="260"/>
      <c r="Z21" s="260"/>
      <c r="AA21" s="260"/>
      <c r="AB21" s="260"/>
      <c r="AC21" s="156">
        <f>IF(I21=0,1,0)</f>
        <v>1</v>
      </c>
      <c r="AD21" s="156">
        <v>1</v>
      </c>
      <c r="AE21" s="156"/>
    </row>
    <row r="22" spans="1:31" ht="16.05" customHeight="1" x14ac:dyDescent="0.35">
      <c r="A22" s="284" t="s">
        <v>236</v>
      </c>
      <c r="B22" s="285"/>
      <c r="C22" s="285"/>
      <c r="D22" s="285"/>
      <c r="E22" s="285"/>
      <c r="F22" s="285"/>
      <c r="G22" s="285"/>
      <c r="H22" s="286"/>
      <c r="I22" s="255">
        <f>VLOOKUP($F$5,'VAL 2 TRIM'!$B$9:$Z$31,16,FALSE)</f>
        <v>0</v>
      </c>
      <c r="J22" s="255"/>
      <c r="K22" s="259" t="s">
        <v>237</v>
      </c>
      <c r="L22" s="260"/>
      <c r="M22" s="260"/>
      <c r="N22" s="260"/>
      <c r="O22" s="260"/>
      <c r="P22" s="260"/>
      <c r="Q22" s="260"/>
      <c r="R22" s="260"/>
      <c r="S22" s="260"/>
      <c r="T22" s="260"/>
      <c r="U22" s="260"/>
      <c r="V22" s="260"/>
      <c r="W22" s="260"/>
      <c r="X22" s="260"/>
      <c r="Y22" s="260"/>
      <c r="Z22" s="260"/>
      <c r="AA22" s="260"/>
      <c r="AB22" s="260"/>
      <c r="AC22" s="156">
        <f>IF(I22=0,1,0)</f>
        <v>1</v>
      </c>
      <c r="AD22" s="156">
        <v>1</v>
      </c>
      <c r="AE22" s="156"/>
    </row>
    <row r="23" spans="1:31" ht="16.05" customHeight="1" x14ac:dyDescent="0.35">
      <c r="A23" s="252" t="s">
        <v>238</v>
      </c>
      <c r="B23" s="253"/>
      <c r="C23" s="253"/>
      <c r="D23" s="253"/>
      <c r="E23" s="253"/>
      <c r="F23" s="253"/>
      <c r="G23" s="253"/>
      <c r="H23" s="254"/>
      <c r="I23" s="255">
        <f>VLOOKUP($F$5,'VAL 2 TRIM'!$B$9:$Z$31,17,FALSE)</f>
        <v>0</v>
      </c>
      <c r="J23" s="255"/>
      <c r="K23" s="259" t="s">
        <v>239</v>
      </c>
      <c r="L23" s="260"/>
      <c r="M23" s="260"/>
      <c r="N23" s="260"/>
      <c r="O23" s="260"/>
      <c r="P23" s="260"/>
      <c r="Q23" s="260"/>
      <c r="R23" s="260"/>
      <c r="S23" s="260"/>
      <c r="T23" s="260"/>
      <c r="U23" s="260"/>
      <c r="V23" s="260"/>
      <c r="W23" s="260"/>
      <c r="X23" s="260"/>
      <c r="Y23" s="260"/>
      <c r="Z23" s="260"/>
      <c r="AA23" s="260"/>
      <c r="AB23" s="260"/>
      <c r="AC23" s="156">
        <f>IF(I23=0,1,0)</f>
        <v>1</v>
      </c>
      <c r="AD23" s="156">
        <v>1</v>
      </c>
      <c r="AE23" s="156"/>
    </row>
    <row r="24" spans="1:31" s="155" customFormat="1" ht="16.05" customHeight="1" x14ac:dyDescent="0.35">
      <c r="A24" s="282" t="s">
        <v>242</v>
      </c>
      <c r="B24" s="282"/>
      <c r="C24" s="282"/>
      <c r="D24" s="282"/>
      <c r="E24" s="282"/>
      <c r="F24" s="282"/>
      <c r="G24" s="282"/>
      <c r="H24" s="283"/>
      <c r="I24" s="255">
        <f>VLOOKUP($F$5,'VAL 2 TRIM'!$B$9:$Z$31,18,FALSE)</f>
        <v>0</v>
      </c>
      <c r="J24" s="255"/>
      <c r="K24" s="256" t="s">
        <v>245</v>
      </c>
      <c r="L24" s="257"/>
      <c r="M24" s="257"/>
      <c r="N24" s="257"/>
      <c r="O24" s="257"/>
      <c r="P24" s="257"/>
      <c r="Q24" s="257"/>
      <c r="R24" s="257"/>
      <c r="S24" s="257"/>
      <c r="T24" s="257"/>
      <c r="U24" s="257"/>
      <c r="V24" s="257"/>
      <c r="W24" s="257"/>
      <c r="X24" s="257"/>
      <c r="Y24" s="257"/>
      <c r="Z24" s="257"/>
      <c r="AA24" s="257"/>
      <c r="AB24" s="258"/>
      <c r="AC24" s="156">
        <f>IF(I24=0,1,0)</f>
        <v>1</v>
      </c>
      <c r="AD24" s="156">
        <v>1</v>
      </c>
      <c r="AE24" s="156"/>
    </row>
    <row r="25" spans="1:31" s="193" customFormat="1" ht="16.05" customHeight="1" x14ac:dyDescent="0.35">
      <c r="A25" s="287" t="str">
        <f>'VAL 2 TRIM'!T8</f>
        <v>25/08/2021 (Practica While)</v>
      </c>
      <c r="B25" s="287"/>
      <c r="C25" s="287"/>
      <c r="D25" s="287"/>
      <c r="E25" s="287"/>
      <c r="F25" s="287"/>
      <c r="G25" s="287"/>
      <c r="H25" s="288"/>
      <c r="I25" s="255">
        <f>VLOOKUP($F$5,'VAL 2 TRIM'!$B$9:$Z$31,19,FALSE)</f>
        <v>0</v>
      </c>
      <c r="J25" s="255"/>
      <c r="K25" s="256" t="s">
        <v>254</v>
      </c>
      <c r="L25" s="257"/>
      <c r="M25" s="257"/>
      <c r="N25" s="257"/>
      <c r="O25" s="257"/>
      <c r="P25" s="257"/>
      <c r="Q25" s="257"/>
      <c r="R25" s="257"/>
      <c r="S25" s="257"/>
      <c r="T25" s="257"/>
      <c r="U25" s="257"/>
      <c r="V25" s="257"/>
      <c r="W25" s="257"/>
      <c r="X25" s="257"/>
      <c r="Y25" s="257"/>
      <c r="Z25" s="257"/>
      <c r="AA25" s="257"/>
      <c r="AB25" s="258"/>
      <c r="AC25" s="156">
        <f t="shared" ref="AC25:AC26" si="0">IF(I25=0,1,0)</f>
        <v>1</v>
      </c>
      <c r="AD25" s="156">
        <v>1</v>
      </c>
      <c r="AE25" s="156"/>
    </row>
    <row r="26" spans="1:31" s="193" customFormat="1" ht="16.05" customHeight="1" x14ac:dyDescent="0.35">
      <c r="A26" s="289" t="str">
        <f>'VAL 2 TRIM'!U8</f>
        <v>1/9/2021 (Practica &gt;Do while)</v>
      </c>
      <c r="B26" s="287"/>
      <c r="C26" s="287"/>
      <c r="D26" s="287"/>
      <c r="E26" s="287"/>
      <c r="F26" s="287"/>
      <c r="G26" s="287"/>
      <c r="H26" s="288"/>
      <c r="I26" s="255">
        <f>VLOOKUP($F$5,'VAL 2 TRIM'!$B$9:$Z$31,20,FALSE)</f>
        <v>0</v>
      </c>
      <c r="J26" s="255"/>
      <c r="K26" s="290" t="s">
        <v>253</v>
      </c>
      <c r="L26" s="291"/>
      <c r="M26" s="291"/>
      <c r="N26" s="291"/>
      <c r="O26" s="291"/>
      <c r="P26" s="291"/>
      <c r="Q26" s="291"/>
      <c r="R26" s="291"/>
      <c r="S26" s="291"/>
      <c r="T26" s="291"/>
      <c r="U26" s="291"/>
      <c r="V26" s="291"/>
      <c r="W26" s="291"/>
      <c r="X26" s="291"/>
      <c r="Y26" s="291"/>
      <c r="Z26" s="291"/>
      <c r="AA26" s="291"/>
      <c r="AB26" s="292"/>
      <c r="AC26" s="156">
        <f t="shared" si="0"/>
        <v>1</v>
      </c>
      <c r="AD26" s="156">
        <v>1</v>
      </c>
      <c r="AE26" s="156"/>
    </row>
    <row r="27" spans="1:31" ht="16.05" customHeight="1" x14ac:dyDescent="0.35">
      <c r="A27" s="261" t="s">
        <v>82</v>
      </c>
      <c r="B27" s="262"/>
      <c r="C27" s="262"/>
      <c r="D27" s="262"/>
      <c r="E27" s="262"/>
      <c r="F27" s="262"/>
      <c r="G27" s="262"/>
      <c r="H27" s="262"/>
      <c r="I27" s="280">
        <f>SUM(I21:J24)/4</f>
        <v>0</v>
      </c>
      <c r="J27" s="280"/>
      <c r="K27" s="281"/>
      <c r="L27" s="281"/>
      <c r="M27" s="281"/>
      <c r="N27" s="281"/>
      <c r="O27" s="281"/>
      <c r="P27" s="281"/>
      <c r="Q27" s="281"/>
      <c r="R27" s="281"/>
      <c r="S27" s="281"/>
      <c r="T27" s="281"/>
      <c r="U27" s="281"/>
      <c r="V27" s="281"/>
      <c r="W27" s="281"/>
      <c r="X27" s="281"/>
      <c r="Y27" s="281"/>
      <c r="Z27" s="281"/>
      <c r="AA27" s="281"/>
      <c r="AB27" s="281"/>
      <c r="AC27" s="156">
        <f>SUM(AC21:AC26)</f>
        <v>6</v>
      </c>
      <c r="AD27" s="163">
        <f>SUM(AD15:AD26)</f>
        <v>8</v>
      </c>
      <c r="AE27" s="156"/>
    </row>
    <row r="28" spans="1:31" ht="16.05" customHeight="1" x14ac:dyDescent="0.35">
      <c r="A28" s="250" t="str">
        <f>IF(AC28&gt;OR11&gt;0,CONCATENATE("Observaciones:El estudiante  ",F5,"  durante el segundo trimestre tuvo ",S11," Asistencias, ",T11," Faltas, ",U11," Retrasos, ",V11," Licencias,  Total de Dias Trabajados ",W11,", en relacion a las practicas",IF(AC28&gt;0,CONCATENATE(" No presentó ",AC28," Practicas"),"Presentó todo")," de las ",AD27,"  tareas",IF(AC28&gt;0," (El estudiante puede presentar practicas por una ponderacion de 20 puntos)","")),CONCATENATE("Observaciones:El estudiante  ",F5,"  durante el segundo trimestre tuvo ",S11," Asistencias, ",T11," Faltas, ",U11," Retrasos, ",V11," Licencias,  Total de Dias Trabajados ",W11,", en relacion a las practicas",IF(AC28&gt;0,CONCATENATE(" No presentó ",AC28," Practicas"),"Presentó todo")," de las ",AD27,"  tareas "))</f>
        <v>Observaciones:El estudiante  SUAREZ QUISPE JHUNIOR  durante el segundo trimestre tuvo 0 Asistencias, 12 Faltas, 0 Retrasos, 0 Licencias,  Total de Dias Trabajados 12, en relacion a las practicas No presentó 8 Practicas de las 8  tareas (El estudiante puede presentar practicas por una ponderacion de 20 puntos)</v>
      </c>
      <c r="B28" s="250"/>
      <c r="C28" s="250"/>
      <c r="D28" s="250"/>
      <c r="E28" s="250"/>
      <c r="F28" s="250"/>
      <c r="G28" s="250"/>
      <c r="H28" s="250"/>
      <c r="I28" s="250"/>
      <c r="J28" s="250"/>
      <c r="K28" s="250"/>
      <c r="L28" s="250"/>
      <c r="M28" s="250"/>
      <c r="N28" s="250"/>
      <c r="O28" s="250"/>
      <c r="P28" s="250"/>
      <c r="Q28" s="250"/>
      <c r="R28" s="250"/>
      <c r="S28" s="250"/>
      <c r="T28" s="250"/>
      <c r="U28" s="250"/>
      <c r="V28" s="250"/>
      <c r="W28" s="250"/>
      <c r="X28" s="250"/>
      <c r="Y28" s="250"/>
      <c r="Z28" s="250"/>
      <c r="AA28" s="250"/>
      <c r="AB28" s="250"/>
      <c r="AC28" s="156">
        <f>AC17+AC27</f>
        <v>8</v>
      </c>
      <c r="AD28" s="156"/>
      <c r="AE28" s="156"/>
    </row>
    <row r="29" spans="1:31" ht="16.05" customHeight="1" x14ac:dyDescent="0.35">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156"/>
      <c r="AD29" s="156"/>
      <c r="AE29" s="156"/>
    </row>
    <row r="30" spans="1:31" ht="16.05" customHeight="1" x14ac:dyDescent="0.35">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6.05" customHeight="1" x14ac:dyDescent="0.35">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6.05" customHeight="1" x14ac:dyDescent="0.35">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6.05" customHeight="1" x14ac:dyDescent="0.35">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6.05" customHeight="1" x14ac:dyDescent="0.35">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ht="16.05" customHeight="1" x14ac:dyDescent="0.35">
      <c r="A35" s="156"/>
      <c r="B35" s="156"/>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row r="36" spans="1:31" ht="16.05" customHeight="1" x14ac:dyDescent="0.35">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row>
  </sheetData>
  <mergeCells count="49">
    <mergeCell ref="A27:H27"/>
    <mergeCell ref="I27:J27"/>
    <mergeCell ref="K27:AB27"/>
    <mergeCell ref="A24:H24"/>
    <mergeCell ref="A22:H22"/>
    <mergeCell ref="I22:J22"/>
    <mergeCell ref="K22:AB22"/>
    <mergeCell ref="A23:H23"/>
    <mergeCell ref="I23:J23"/>
    <mergeCell ref="K23:AB23"/>
    <mergeCell ref="A25:H25"/>
    <mergeCell ref="A26:H26"/>
    <mergeCell ref="I25:J25"/>
    <mergeCell ref="I26:J26"/>
    <mergeCell ref="K25:AB25"/>
    <mergeCell ref="K26:AB26"/>
    <mergeCell ref="A13:AB13"/>
    <mergeCell ref="A14:H14"/>
    <mergeCell ref="I14:J14"/>
    <mergeCell ref="K14:AB14"/>
    <mergeCell ref="I16:J16"/>
    <mergeCell ref="A15:H15"/>
    <mergeCell ref="K15:AB15"/>
    <mergeCell ref="A5:E5"/>
    <mergeCell ref="F5:Z5"/>
    <mergeCell ref="A6:E6"/>
    <mergeCell ref="A8:AB8"/>
    <mergeCell ref="F6:AB6"/>
    <mergeCell ref="A2:AB2"/>
    <mergeCell ref="A4:E4"/>
    <mergeCell ref="F4:N4"/>
    <mergeCell ref="O4:Q4"/>
    <mergeCell ref="R4:Z4"/>
    <mergeCell ref="A28:AB29"/>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 ref="K26" r:id="rId7" xr:uid="{9A19D650-3E1E-4E2F-9F59-2F6F22A64582}"/>
    <hyperlink ref="K25" r:id="rId8" xr:uid="{DBA7F594-1DA5-49BD-975E-66820CA9A947}"/>
  </hyperlinks>
  <pageMargins left="0.23622047244094491" right="0.23622047244094491" top="0.74803149606299213" bottom="0.74803149606299213" header="0" footer="0"/>
  <pageSetup paperSize="9" scale="85"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topLeftCell="A4" workbookViewId="0">
      <selection activeCell="H28" sqref="H28"/>
    </sheetView>
  </sheetViews>
  <sheetFormatPr baseColWidth="10" defaultColWidth="9.19921875" defaultRowHeight="15" customHeight="1" x14ac:dyDescent="0.35"/>
  <cols>
    <col min="1" max="1" width="1.6640625" customWidth="1"/>
    <col min="2" max="2" width="20.6640625" customWidth="1"/>
    <col min="3" max="52" width="1.19921875" customWidth="1"/>
    <col min="53" max="57" width="1.46484375" customWidth="1"/>
    <col min="58" max="61" width="1.6640625" customWidth="1"/>
  </cols>
  <sheetData>
    <row r="1" spans="1:61" ht="4.5" customHeight="1" x14ac:dyDescent="0.35"/>
    <row r="2" spans="1:61" ht="12.75" customHeight="1" x14ac:dyDescent="0.35">
      <c r="B2" s="235" t="s">
        <v>72</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K2" s="231"/>
      <c r="AL2" s="231"/>
      <c r="AM2" s="231"/>
      <c r="AN2" s="231"/>
      <c r="AO2" s="231"/>
      <c r="AP2" s="231"/>
      <c r="AQ2" s="231"/>
      <c r="AR2" s="231"/>
      <c r="AS2" s="231"/>
      <c r="AT2" s="231"/>
      <c r="AU2" s="231"/>
      <c r="AV2" s="231"/>
      <c r="AW2" s="231"/>
      <c r="AX2" s="231"/>
      <c r="AY2" s="231"/>
      <c r="AZ2" s="231"/>
      <c r="BA2" s="231"/>
      <c r="BB2" s="231"/>
      <c r="BC2" s="231"/>
      <c r="BD2" s="231"/>
      <c r="BE2" s="231"/>
      <c r="BF2" s="231"/>
      <c r="BG2" s="231"/>
      <c r="BH2" s="231"/>
      <c r="BI2" s="231"/>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36">
        <f>CARÁTULA!$H$24</f>
        <v>44440</v>
      </c>
      <c r="AU3" s="231"/>
      <c r="AV3" s="231"/>
      <c r="AW3" s="231"/>
      <c r="AX3" s="231"/>
      <c r="AY3" s="231"/>
      <c r="AZ3" s="231"/>
      <c r="BA3" s="293"/>
      <c r="BB3" s="231"/>
      <c r="BC3" s="231"/>
      <c r="BD3" s="231"/>
      <c r="BE3" s="23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36">
        <f>CARÁTULA!$J$24</f>
        <v>44531</v>
      </c>
      <c r="AU4" s="231"/>
      <c r="AV4" s="231"/>
      <c r="AW4" s="231"/>
      <c r="AX4" s="231"/>
      <c r="AY4" s="231"/>
      <c r="AZ4" s="231"/>
      <c r="BA4" s="294">
        <f ca="1">AT4-AT5</f>
        <v>35</v>
      </c>
      <c r="BB4" s="241"/>
      <c r="BC4" s="241"/>
      <c r="BD4" s="241"/>
      <c r="BE4" s="242"/>
    </row>
    <row r="5" spans="1:61" ht="12.75" customHeight="1" x14ac:dyDescent="0.35">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49">
        <f ca="1">TODAY()</f>
        <v>44496</v>
      </c>
      <c r="Y5" s="231"/>
      <c r="Z5" s="231"/>
      <c r="AA5" s="231"/>
      <c r="AB5" s="231"/>
      <c r="AC5" s="231"/>
      <c r="AD5" s="40"/>
      <c r="AE5" s="40"/>
      <c r="AF5" s="40"/>
      <c r="AG5" s="40"/>
      <c r="AH5" s="40"/>
      <c r="AI5" s="40"/>
      <c r="AJ5" s="40"/>
      <c r="AK5" s="45" t="s">
        <v>56</v>
      </c>
      <c r="AL5" s="46"/>
      <c r="AM5" s="46"/>
      <c r="AN5" s="46"/>
      <c r="AO5" s="46"/>
      <c r="AP5" s="46"/>
      <c r="AQ5" s="46"/>
      <c r="AR5" s="40"/>
      <c r="AS5" s="40"/>
      <c r="AT5" s="247">
        <f ca="1">TODAY()</f>
        <v>44496</v>
      </c>
      <c r="AU5" s="231"/>
      <c r="AV5" s="231"/>
      <c r="AW5" s="231"/>
      <c r="AX5" s="231"/>
      <c r="AY5" s="231"/>
      <c r="AZ5" s="231"/>
      <c r="BA5" s="243"/>
      <c r="BB5" s="244"/>
      <c r="BC5" s="244"/>
      <c r="BD5" s="244"/>
      <c r="BE5" s="245"/>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5">
      <c r="A7" s="48" t="s">
        <v>57</v>
      </c>
      <c r="B7" s="49" t="s">
        <v>58</v>
      </c>
      <c r="C7" s="50">
        <v>44461</v>
      </c>
      <c r="D7" s="50">
        <v>44468</v>
      </c>
      <c r="E7" s="50">
        <v>44475</v>
      </c>
      <c r="F7" s="50">
        <v>44482</v>
      </c>
      <c r="G7" s="50">
        <v>44489</v>
      </c>
      <c r="H7" s="50">
        <v>44496</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73</v>
      </c>
      <c r="BB7" s="56" t="s">
        <v>74</v>
      </c>
      <c r="BC7" s="56" t="s">
        <v>75</v>
      </c>
      <c r="BD7" s="56" t="s">
        <v>76</v>
      </c>
      <c r="BE7" s="57" t="s">
        <v>63</v>
      </c>
    </row>
    <row r="8" spans="1:61" ht="12" customHeight="1" x14ac:dyDescent="0.35">
      <c r="A8" s="58">
        <v>1</v>
      </c>
      <c r="B8" s="211" t="str">
        <f>'C. FILIACION'!B8</f>
        <v>ALCONZ COLQUE ANDREY JEAN PAUL</v>
      </c>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195"/>
      <c r="AT8" s="195"/>
      <c r="AU8" s="195"/>
      <c r="AV8" s="195"/>
      <c r="AW8" s="195"/>
      <c r="AX8" s="195"/>
      <c r="AY8" s="195"/>
      <c r="AZ8" s="210" t="s">
        <v>71</v>
      </c>
      <c r="BA8" s="212" t="str">
        <f t="shared" ref="BA8:BA43" si="0">IF(COUNTIF(C8:AZ8,"A")=0,"",COUNTIF(C8:AZ8,"A"))</f>
        <v/>
      </c>
      <c r="BB8" s="195" t="str">
        <f t="shared" ref="BB8:BB43" si="1">IF(COUNTIF(C8:AZ8,"F")=0,"",COUNTIF(C8:AZ8,"F"))</f>
        <v/>
      </c>
      <c r="BC8" s="195" t="str">
        <f t="shared" ref="BC8:BC43" si="2">IF(COUNTIF(C8:AZ8,"R")=0,"",COUNTIF(C8:AZ8,"R"))</f>
        <v/>
      </c>
      <c r="BD8" s="195">
        <f t="shared" ref="BD8:BD43" si="3">IF(COUNTIF(C8:AZ8,"L")=0,"",COUNTIF(C8:AZ8,"L"))</f>
        <v>1</v>
      </c>
      <c r="BE8" s="213">
        <f t="shared" ref="BE8:BE43" si="4">IF(COUNTIF(C8:AZ8,"L")=0,"",COUNTIF(C8:AZ8,"L"))</f>
        <v>1</v>
      </c>
    </row>
    <row r="9" spans="1:61" ht="12" customHeight="1" x14ac:dyDescent="0.35">
      <c r="A9" s="58">
        <v>2</v>
      </c>
      <c r="B9" s="59" t="str">
        <f>'C. FILIACION'!B9</f>
        <v>BEJARANO CHAVARRÍA ADRIANA ABRIL</v>
      </c>
      <c r="C9" s="48" t="s">
        <v>64</v>
      </c>
      <c r="D9" s="48" t="s">
        <v>65</v>
      </c>
      <c r="E9" s="48" t="s">
        <v>65</v>
      </c>
      <c r="F9" s="48" t="s">
        <v>64</v>
      </c>
      <c r="G9" s="48" t="s">
        <v>65</v>
      </c>
      <c r="H9" s="48" t="s">
        <v>171</v>
      </c>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3</v>
      </c>
      <c r="BC9" s="48">
        <f t="shared" si="2"/>
        <v>1</v>
      </c>
      <c r="BD9" s="48" t="str">
        <f t="shared" si="3"/>
        <v/>
      </c>
      <c r="BE9" s="63" t="str">
        <f t="shared" si="4"/>
        <v/>
      </c>
    </row>
    <row r="10" spans="1:61" ht="12" customHeight="1" x14ac:dyDescent="0.35">
      <c r="A10" s="58">
        <v>3</v>
      </c>
      <c r="B10" s="59" t="str">
        <f>'C. FILIACION'!B10</f>
        <v>CHOQUE LOPEZ DIEGO ARMANDO</v>
      </c>
      <c r="C10" s="48" t="s">
        <v>64</v>
      </c>
      <c r="D10" s="48" t="s">
        <v>64</v>
      </c>
      <c r="E10" s="48" t="s">
        <v>64</v>
      </c>
      <c r="F10" s="48" t="s">
        <v>65</v>
      </c>
      <c r="G10" s="48" t="s">
        <v>65</v>
      </c>
      <c r="H10" s="48" t="s">
        <v>65</v>
      </c>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f t="shared" si="1"/>
        <v>3</v>
      </c>
      <c r="BC10" s="48" t="str">
        <f t="shared" si="2"/>
        <v/>
      </c>
      <c r="BD10" s="48" t="str">
        <f t="shared" si="3"/>
        <v/>
      </c>
      <c r="BE10" s="63" t="str">
        <f t="shared" si="4"/>
        <v/>
      </c>
    </row>
    <row r="11" spans="1:61" ht="12" customHeight="1" x14ac:dyDescent="0.35">
      <c r="A11" s="58">
        <v>4</v>
      </c>
      <c r="B11" s="59" t="str">
        <f>'C. FILIACION'!B11</f>
        <v>CHOQUE SANGA DIEGO OSCAR</v>
      </c>
      <c r="C11" s="48" t="s">
        <v>64</v>
      </c>
      <c r="D11" s="48" t="s">
        <v>64</v>
      </c>
      <c r="E11" s="48" t="s">
        <v>65</v>
      </c>
      <c r="F11" s="48" t="s">
        <v>65</v>
      </c>
      <c r="G11" s="48" t="s">
        <v>171</v>
      </c>
      <c r="H11" s="48" t="s">
        <v>64</v>
      </c>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2</v>
      </c>
      <c r="BC11" s="48">
        <f t="shared" si="2"/>
        <v>1</v>
      </c>
      <c r="BD11" s="48" t="str">
        <f t="shared" si="3"/>
        <v/>
      </c>
      <c r="BE11" s="63" t="str">
        <f t="shared" si="4"/>
        <v/>
      </c>
    </row>
    <row r="12" spans="1:61" ht="12" customHeight="1" x14ac:dyDescent="0.35">
      <c r="A12" s="58">
        <v>5</v>
      </c>
      <c r="B12" s="59" t="str">
        <f>'C. FILIACION'!B12</f>
        <v>CORRALES BADANI ISAAC DIEGO</v>
      </c>
      <c r="C12" s="48" t="s">
        <v>64</v>
      </c>
      <c r="D12" s="48" t="s">
        <v>171</v>
      </c>
      <c r="E12" s="48" t="s">
        <v>64</v>
      </c>
      <c r="F12" s="48" t="s">
        <v>171</v>
      </c>
      <c r="G12" s="48" t="s">
        <v>64</v>
      </c>
      <c r="H12" s="48" t="s">
        <v>64</v>
      </c>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t="str">
        <f t="shared" si="1"/>
        <v/>
      </c>
      <c r="BC12" s="48">
        <f t="shared" si="2"/>
        <v>2</v>
      </c>
      <c r="BD12" s="48" t="str">
        <f t="shared" si="3"/>
        <v/>
      </c>
      <c r="BE12" s="63" t="str">
        <f t="shared" si="4"/>
        <v/>
      </c>
    </row>
    <row r="13" spans="1:61" ht="12" customHeight="1" x14ac:dyDescent="0.35">
      <c r="A13" s="58">
        <v>6</v>
      </c>
      <c r="B13" s="59" t="str">
        <f>'C. FILIACION'!B13</f>
        <v>DE LA CRUZ RADO BLADIMIR MARCOS</v>
      </c>
      <c r="C13" s="48" t="s">
        <v>64</v>
      </c>
      <c r="D13" s="48" t="s">
        <v>64</v>
      </c>
      <c r="E13" s="48" t="s">
        <v>64</v>
      </c>
      <c r="F13" s="48" t="s">
        <v>65</v>
      </c>
      <c r="G13" s="48" t="s">
        <v>65</v>
      </c>
      <c r="H13" s="48" t="s">
        <v>64</v>
      </c>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4</v>
      </c>
      <c r="BB13" s="48">
        <f t="shared" si="1"/>
        <v>2</v>
      </c>
      <c r="BC13" s="48" t="str">
        <f t="shared" si="2"/>
        <v/>
      </c>
      <c r="BD13" s="48" t="str">
        <f t="shared" si="3"/>
        <v/>
      </c>
      <c r="BE13" s="63" t="str">
        <f t="shared" si="4"/>
        <v/>
      </c>
    </row>
    <row r="14" spans="1:61" ht="12" customHeight="1" x14ac:dyDescent="0.35">
      <c r="A14" s="58">
        <v>7</v>
      </c>
      <c r="B14" s="59" t="str">
        <f>'C. FILIACION'!B14</f>
        <v>DELGADILLO QUISBERT MICHAEL DAVID</v>
      </c>
      <c r="C14" s="48" t="s">
        <v>64</v>
      </c>
      <c r="D14" s="48" t="s">
        <v>64</v>
      </c>
      <c r="E14" s="48" t="s">
        <v>64</v>
      </c>
      <c r="F14" s="48" t="s">
        <v>65</v>
      </c>
      <c r="G14" s="48" t="s">
        <v>65</v>
      </c>
      <c r="H14" s="48" t="s">
        <v>65</v>
      </c>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f t="shared" si="1"/>
        <v>3</v>
      </c>
      <c r="BC14" s="48" t="str">
        <f t="shared" si="2"/>
        <v/>
      </c>
      <c r="BD14" s="48" t="str">
        <f t="shared" si="3"/>
        <v/>
      </c>
      <c r="BE14" s="63" t="str">
        <f t="shared" si="4"/>
        <v/>
      </c>
    </row>
    <row r="15" spans="1:61" ht="12" customHeight="1" x14ac:dyDescent="0.35">
      <c r="A15" s="58">
        <v>8</v>
      </c>
      <c r="B15" s="59" t="str">
        <f>'C. FILIACION'!B15</f>
        <v>DIAZ SAAVEDRA LEONARDO ADRIAN</v>
      </c>
      <c r="C15" s="48" t="s">
        <v>64</v>
      </c>
      <c r="D15" s="48" t="s">
        <v>64</v>
      </c>
      <c r="E15" s="48" t="s">
        <v>64</v>
      </c>
      <c r="F15" s="48" t="s">
        <v>64</v>
      </c>
      <c r="G15" s="48" t="s">
        <v>64</v>
      </c>
      <c r="H15" s="48" t="s">
        <v>64</v>
      </c>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6</v>
      </c>
      <c r="BB15" s="48" t="str">
        <f t="shared" si="1"/>
        <v/>
      </c>
      <c r="BC15" s="48" t="str">
        <f t="shared" si="2"/>
        <v/>
      </c>
      <c r="BD15" s="48" t="str">
        <f t="shared" si="3"/>
        <v/>
      </c>
      <c r="BE15" s="63" t="str">
        <f t="shared" si="4"/>
        <v/>
      </c>
    </row>
    <row r="16" spans="1:61" ht="12" customHeight="1" x14ac:dyDescent="0.35">
      <c r="A16" s="58">
        <v>9</v>
      </c>
      <c r="B16" s="59" t="str">
        <f>'C. FILIACION'!B16</f>
        <v>HUAMAN TERAN JASON DANIEL</v>
      </c>
      <c r="C16" s="48" t="s">
        <v>64</v>
      </c>
      <c r="D16" s="48" t="s">
        <v>171</v>
      </c>
      <c r="E16" s="48" t="s">
        <v>64</v>
      </c>
      <c r="F16" s="48" t="s">
        <v>64</v>
      </c>
      <c r="G16" s="48" t="s">
        <v>171</v>
      </c>
      <c r="H16" s="48" t="s">
        <v>171</v>
      </c>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f t="shared" si="2"/>
        <v>3</v>
      </c>
      <c r="BD16" s="48" t="str">
        <f t="shared" si="3"/>
        <v/>
      </c>
      <c r="BE16" s="63" t="str">
        <f t="shared" si="4"/>
        <v/>
      </c>
    </row>
    <row r="17" spans="1:59" ht="12" customHeight="1" x14ac:dyDescent="0.35">
      <c r="A17" s="58">
        <v>10</v>
      </c>
      <c r="B17" s="59" t="str">
        <f>'C. FILIACION'!B17</f>
        <v>HUARAYO MORALES NICOLAS FABRICIO</v>
      </c>
      <c r="C17" s="48" t="s">
        <v>64</v>
      </c>
      <c r="D17" s="48" t="s">
        <v>64</v>
      </c>
      <c r="E17" s="48" t="s">
        <v>64</v>
      </c>
      <c r="F17" s="48" t="s">
        <v>64</v>
      </c>
      <c r="G17" s="48" t="s">
        <v>64</v>
      </c>
      <c r="H17" s="48" t="s">
        <v>64</v>
      </c>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6</v>
      </c>
      <c r="BB17" s="48" t="str">
        <f t="shared" si="1"/>
        <v/>
      </c>
      <c r="BC17" s="48" t="str">
        <f t="shared" si="2"/>
        <v/>
      </c>
      <c r="BD17" s="48" t="str">
        <f t="shared" si="3"/>
        <v/>
      </c>
      <c r="BE17" s="63" t="str">
        <f t="shared" si="4"/>
        <v/>
      </c>
    </row>
    <row r="18" spans="1:59" ht="12" customHeight="1" x14ac:dyDescent="0.35">
      <c r="A18" s="58">
        <v>11</v>
      </c>
      <c r="B18" s="59" t="str">
        <f>'C. FILIACION'!B18</f>
        <v>MENDOZA VACA MIKHAEL NAIM</v>
      </c>
      <c r="C18" s="48" t="s">
        <v>64</v>
      </c>
      <c r="D18" s="48" t="s">
        <v>64</v>
      </c>
      <c r="E18" s="48" t="s">
        <v>64</v>
      </c>
      <c r="F18" s="48" t="s">
        <v>64</v>
      </c>
      <c r="G18" s="48" t="s">
        <v>64</v>
      </c>
      <c r="H18" s="48" t="s">
        <v>65</v>
      </c>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5</v>
      </c>
      <c r="BB18" s="48">
        <f t="shared" si="1"/>
        <v>1</v>
      </c>
      <c r="BC18" s="48" t="str">
        <f t="shared" si="2"/>
        <v/>
      </c>
      <c r="BD18" s="48" t="str">
        <f t="shared" si="3"/>
        <v/>
      </c>
      <c r="BE18" s="63" t="str">
        <f t="shared" si="4"/>
        <v/>
      </c>
    </row>
    <row r="19" spans="1:59" ht="12" customHeight="1" x14ac:dyDescent="0.35">
      <c r="A19" s="58">
        <v>12</v>
      </c>
      <c r="B19" s="59" t="str">
        <f>'C. FILIACION'!B19</f>
        <v>NAVIA ASCUI BELEN ANDREA</v>
      </c>
      <c r="C19" s="48" t="s">
        <v>64</v>
      </c>
      <c r="D19" s="48" t="s">
        <v>171</v>
      </c>
      <c r="E19" s="48" t="s">
        <v>64</v>
      </c>
      <c r="F19" s="48" t="s">
        <v>64</v>
      </c>
      <c r="G19" s="48" t="s">
        <v>64</v>
      </c>
      <c r="H19" s="48" t="s">
        <v>64</v>
      </c>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5</v>
      </c>
      <c r="BB19" s="48" t="str">
        <f t="shared" si="1"/>
        <v/>
      </c>
      <c r="BC19" s="48">
        <f t="shared" si="2"/>
        <v>1</v>
      </c>
      <c r="BD19" s="48" t="str">
        <f t="shared" si="3"/>
        <v/>
      </c>
      <c r="BE19" s="63" t="str">
        <f t="shared" si="4"/>
        <v/>
      </c>
    </row>
    <row r="20" spans="1:59" ht="12" customHeight="1" x14ac:dyDescent="0.35">
      <c r="A20" s="58">
        <v>13</v>
      </c>
      <c r="B20" s="59" t="str">
        <f>'C. FILIACION'!B20</f>
        <v>QUISPE DIAZ KATHERIN LAURA</v>
      </c>
      <c r="C20" s="48" t="s">
        <v>64</v>
      </c>
      <c r="D20" s="48" t="s">
        <v>64</v>
      </c>
      <c r="E20" s="48" t="s">
        <v>64</v>
      </c>
      <c r="F20" s="48" t="s">
        <v>64</v>
      </c>
      <c r="G20" s="48" t="s">
        <v>64</v>
      </c>
      <c r="H20" s="48" t="s">
        <v>64</v>
      </c>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6</v>
      </c>
      <c r="BB20" s="48" t="str">
        <f t="shared" si="1"/>
        <v/>
      </c>
      <c r="BC20" s="48" t="str">
        <f t="shared" si="2"/>
        <v/>
      </c>
      <c r="BD20" s="48" t="str">
        <f t="shared" si="3"/>
        <v/>
      </c>
      <c r="BE20" s="63" t="str">
        <f t="shared" si="4"/>
        <v/>
      </c>
    </row>
    <row r="21" spans="1:59" ht="12" customHeight="1" x14ac:dyDescent="0.35">
      <c r="A21" s="58">
        <v>14</v>
      </c>
      <c r="B21" s="59" t="str">
        <f>'C. FILIACION'!B21</f>
        <v>RAMOS MAMANI KRISTHEL GERALDINE</v>
      </c>
      <c r="C21" s="48" t="s">
        <v>64</v>
      </c>
      <c r="D21" s="48" t="s">
        <v>64</v>
      </c>
      <c r="E21" s="48" t="s">
        <v>64</v>
      </c>
      <c r="F21" s="48" t="s">
        <v>64</v>
      </c>
      <c r="G21" s="48" t="s">
        <v>64</v>
      </c>
      <c r="H21" s="48" t="s">
        <v>64</v>
      </c>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6</v>
      </c>
      <c r="BB21" s="48" t="str">
        <f t="shared" si="1"/>
        <v/>
      </c>
      <c r="BC21" s="48" t="str">
        <f t="shared" si="2"/>
        <v/>
      </c>
      <c r="BD21" s="48" t="str">
        <f t="shared" si="3"/>
        <v/>
      </c>
      <c r="BE21" s="63" t="str">
        <f t="shared" si="4"/>
        <v/>
      </c>
    </row>
    <row r="22" spans="1:59" ht="12" customHeight="1" x14ac:dyDescent="0.35">
      <c r="A22" s="58">
        <v>15</v>
      </c>
      <c r="B22" s="59" t="str">
        <f>'C. FILIACION'!B22</f>
        <v>RODRIGUEZ LOBATON YADHIRA CIELO</v>
      </c>
      <c r="C22" s="48" t="s">
        <v>64</v>
      </c>
      <c r="D22" s="48" t="s">
        <v>64</v>
      </c>
      <c r="E22" s="48" t="s">
        <v>64</v>
      </c>
      <c r="F22" s="48" t="s">
        <v>64</v>
      </c>
      <c r="G22" s="48" t="s">
        <v>64</v>
      </c>
      <c r="H22" s="48" t="s">
        <v>64</v>
      </c>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6</v>
      </c>
      <c r="BB22" s="48" t="str">
        <f t="shared" si="1"/>
        <v/>
      </c>
      <c r="BC22" s="48" t="str">
        <f t="shared" si="2"/>
        <v/>
      </c>
      <c r="BD22" s="48" t="str">
        <f t="shared" si="3"/>
        <v/>
      </c>
      <c r="BE22" s="63" t="str">
        <f t="shared" si="4"/>
        <v/>
      </c>
    </row>
    <row r="23" spans="1:59" ht="12" customHeight="1" x14ac:dyDescent="0.35">
      <c r="A23" s="58">
        <v>16</v>
      </c>
      <c r="B23" s="59" t="str">
        <f>'C. FILIACION'!B23</f>
        <v>ROJAS CANAVIRI VICTOR ANDRE</v>
      </c>
      <c r="C23" s="48" t="s">
        <v>64</v>
      </c>
      <c r="D23" s="48" t="s">
        <v>171</v>
      </c>
      <c r="E23" s="48" t="s">
        <v>64</v>
      </c>
      <c r="F23" s="48" t="s">
        <v>64</v>
      </c>
      <c r="G23" s="48" t="s">
        <v>64</v>
      </c>
      <c r="H23" s="48" t="s">
        <v>64</v>
      </c>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5</v>
      </c>
      <c r="BB23" s="48" t="str">
        <f t="shared" si="1"/>
        <v/>
      </c>
      <c r="BC23" s="48">
        <f t="shared" si="2"/>
        <v>1</v>
      </c>
      <c r="BD23" s="48" t="str">
        <f t="shared" si="3"/>
        <v/>
      </c>
      <c r="BE23" s="63" t="str">
        <f t="shared" si="4"/>
        <v/>
      </c>
    </row>
    <row r="24" spans="1:59" ht="12" customHeight="1" x14ac:dyDescent="0.35">
      <c r="A24" s="58">
        <v>17</v>
      </c>
      <c r="B24" s="59" t="str">
        <f>'C. FILIACION'!B24</f>
        <v>ROJAS LENIS GABRIEL</v>
      </c>
      <c r="C24" s="48" t="s">
        <v>64</v>
      </c>
      <c r="D24" s="48" t="s">
        <v>64</v>
      </c>
      <c r="E24" s="48" t="s">
        <v>171</v>
      </c>
      <c r="F24" s="48" t="s">
        <v>64</v>
      </c>
      <c r="G24" s="48" t="s">
        <v>171</v>
      </c>
      <c r="H24" s="48" t="s">
        <v>171</v>
      </c>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f t="shared" si="2"/>
        <v>3</v>
      </c>
      <c r="BD24" s="48" t="str">
        <f t="shared" si="3"/>
        <v/>
      </c>
      <c r="BE24" s="63" t="str">
        <f t="shared" si="4"/>
        <v/>
      </c>
    </row>
    <row r="25" spans="1:59" ht="12" customHeight="1" x14ac:dyDescent="0.35">
      <c r="A25" s="58">
        <v>18</v>
      </c>
      <c r="B25" s="211" t="str">
        <f>'C. FILIACION'!B25</f>
        <v>SUAREZ QUISPE JHUNIOR</v>
      </c>
      <c r="C25" s="195" t="s">
        <v>65</v>
      </c>
      <c r="D25" s="195" t="s">
        <v>65</v>
      </c>
      <c r="E25" s="195" t="s">
        <v>65</v>
      </c>
      <c r="F25" s="195" t="s">
        <v>65</v>
      </c>
      <c r="G25" s="195" t="s">
        <v>65</v>
      </c>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195"/>
      <c r="AT25" s="195"/>
      <c r="AU25" s="195"/>
      <c r="AV25" s="195"/>
      <c r="AW25" s="195"/>
      <c r="AX25" s="195"/>
      <c r="AY25" s="195"/>
      <c r="AZ25" s="210"/>
      <c r="BA25" s="212" t="str">
        <f t="shared" si="0"/>
        <v/>
      </c>
      <c r="BB25" s="195">
        <f t="shared" si="1"/>
        <v>5</v>
      </c>
      <c r="BC25" s="195" t="str">
        <f t="shared" si="2"/>
        <v/>
      </c>
      <c r="BD25" s="195" t="str">
        <f t="shared" si="3"/>
        <v/>
      </c>
      <c r="BE25" s="213" t="str">
        <f t="shared" si="4"/>
        <v/>
      </c>
      <c r="BF25" s="217"/>
      <c r="BG25" s="217"/>
    </row>
    <row r="26" spans="1:59" ht="12" customHeight="1" x14ac:dyDescent="0.35">
      <c r="A26" s="58">
        <v>19</v>
      </c>
      <c r="B26" s="59" t="str">
        <f>'C. FILIACION'!B26</f>
        <v>VILAR CORTEZ MIKAELA DOLORES</v>
      </c>
      <c r="C26" s="48" t="s">
        <v>65</v>
      </c>
      <c r="D26" s="48" t="s">
        <v>65</v>
      </c>
      <c r="E26" s="48" t="s">
        <v>65</v>
      </c>
      <c r="F26" s="48" t="s">
        <v>64</v>
      </c>
      <c r="G26" s="48" t="s">
        <v>64</v>
      </c>
      <c r="H26" s="48" t="s">
        <v>64</v>
      </c>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3</v>
      </c>
      <c r="BB26" s="48">
        <f t="shared" si="1"/>
        <v>3</v>
      </c>
      <c r="BC26" s="48" t="str">
        <f t="shared" si="2"/>
        <v/>
      </c>
      <c r="BD26" s="48" t="str">
        <f t="shared" si="3"/>
        <v/>
      </c>
      <c r="BE26" s="63" t="str">
        <f t="shared" si="4"/>
        <v/>
      </c>
    </row>
    <row r="27" spans="1:59" ht="12" customHeight="1" x14ac:dyDescent="0.35">
      <c r="A27" s="58">
        <v>20</v>
      </c>
      <c r="B27" s="59" t="str">
        <f>'C. FILIACION'!B27</f>
        <v>Tattum Rocha Elias</v>
      </c>
      <c r="C27" s="48" t="s">
        <v>64</v>
      </c>
      <c r="D27" s="48" t="s">
        <v>64</v>
      </c>
      <c r="E27" s="48" t="s">
        <v>64</v>
      </c>
      <c r="F27" s="48" t="s">
        <v>64</v>
      </c>
      <c r="G27" s="48" t="s">
        <v>64</v>
      </c>
      <c r="H27" s="48" t="s">
        <v>64</v>
      </c>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6</v>
      </c>
      <c r="BB27" s="48" t="str">
        <f t="shared" si="1"/>
        <v/>
      </c>
      <c r="BC27" s="48" t="str">
        <f t="shared" si="2"/>
        <v/>
      </c>
      <c r="BD27" s="48" t="str">
        <f t="shared" si="3"/>
        <v/>
      </c>
      <c r="BE27" s="63" t="str">
        <f t="shared" si="4"/>
        <v/>
      </c>
    </row>
    <row r="28" spans="1:59" ht="12" customHeight="1" x14ac:dyDescent="0.35">
      <c r="A28" s="58">
        <v>21</v>
      </c>
      <c r="B28" s="59" t="str">
        <f>'C. FILIACION'!B28</f>
        <v>soria la fuente leonardo abel</v>
      </c>
      <c r="C28" s="48" t="s">
        <v>64</v>
      </c>
      <c r="D28" s="48" t="s">
        <v>65</v>
      </c>
      <c r="E28" s="48" t="s">
        <v>171</v>
      </c>
      <c r="F28" s="48" t="s">
        <v>65</v>
      </c>
      <c r="G28" s="48" t="s">
        <v>171</v>
      </c>
      <c r="H28" s="48" t="s">
        <v>65</v>
      </c>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1</v>
      </c>
      <c r="BB28" s="48">
        <f t="shared" si="1"/>
        <v>3</v>
      </c>
      <c r="BC28" s="48">
        <f t="shared" si="2"/>
        <v>2</v>
      </c>
      <c r="BD28" s="48" t="str">
        <f t="shared" si="3"/>
        <v/>
      </c>
      <c r="BE28" s="63" t="str">
        <f t="shared" si="4"/>
        <v/>
      </c>
    </row>
    <row r="29" spans="1:59" ht="12" customHeight="1" x14ac:dyDescent="0.35">
      <c r="A29" s="58">
        <v>22</v>
      </c>
      <c r="B29" s="59" t="str">
        <f>'C. FILIACION'!B29</f>
        <v>Terrazas fuentes Salomon</v>
      </c>
      <c r="C29" s="48" t="s">
        <v>64</v>
      </c>
      <c r="D29" s="48" t="s">
        <v>64</v>
      </c>
      <c r="E29" s="48" t="s">
        <v>172</v>
      </c>
      <c r="F29" s="48" t="s">
        <v>64</v>
      </c>
      <c r="G29" s="48" t="s">
        <v>64</v>
      </c>
      <c r="H29" s="48" t="s">
        <v>64</v>
      </c>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5</v>
      </c>
      <c r="BB29" s="48" t="str">
        <f t="shared" si="1"/>
        <v/>
      </c>
      <c r="BC29" s="48" t="str">
        <f t="shared" si="2"/>
        <v/>
      </c>
      <c r="BD29" s="48">
        <f t="shared" si="3"/>
        <v>1</v>
      </c>
      <c r="BE29" s="63">
        <f t="shared" si="4"/>
        <v>1</v>
      </c>
    </row>
    <row r="30" spans="1:59" ht="12" customHeight="1" x14ac:dyDescent="0.35">
      <c r="A30" s="58">
        <v>23</v>
      </c>
      <c r="B30" s="59" t="str">
        <f>'C. FILIACION'!B30</f>
        <v>Terrazas fuentes David</v>
      </c>
      <c r="C30" s="48" t="s">
        <v>64</v>
      </c>
      <c r="D30" s="48" t="s">
        <v>64</v>
      </c>
      <c r="E30" s="48" t="s">
        <v>172</v>
      </c>
      <c r="F30" s="48" t="s">
        <v>64</v>
      </c>
      <c r="G30" s="48" t="s">
        <v>64</v>
      </c>
      <c r="H30" s="48" t="s">
        <v>64</v>
      </c>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5</v>
      </c>
      <c r="BB30" s="48" t="str">
        <f t="shared" si="1"/>
        <v/>
      </c>
      <c r="BC30" s="48" t="str">
        <f t="shared" si="2"/>
        <v/>
      </c>
      <c r="BD30" s="48">
        <f t="shared" si="3"/>
        <v>1</v>
      </c>
      <c r="BE30" s="63">
        <f t="shared" si="4"/>
        <v>1</v>
      </c>
    </row>
    <row r="31" spans="1:59" ht="12" customHeight="1" x14ac:dyDescent="0.35">
      <c r="A31" s="58">
        <v>24</v>
      </c>
      <c r="B31" s="59" t="str">
        <f>'C. FILIACION'!B31</f>
        <v xml:space="preserve">Flores Gutierrez Abel Manuel </v>
      </c>
      <c r="C31" s="48" t="s">
        <v>65</v>
      </c>
      <c r="D31" s="48" t="s">
        <v>65</v>
      </c>
      <c r="E31" s="48" t="s">
        <v>171</v>
      </c>
      <c r="F31" s="48" t="s">
        <v>65</v>
      </c>
      <c r="G31" s="48" t="s">
        <v>64</v>
      </c>
      <c r="H31" s="48" t="s">
        <v>64</v>
      </c>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f t="shared" si="0"/>
        <v>2</v>
      </c>
      <c r="BB31" s="48">
        <f t="shared" si="1"/>
        <v>3</v>
      </c>
      <c r="BC31" s="48">
        <f t="shared" si="2"/>
        <v>1</v>
      </c>
      <c r="BD31" s="48" t="str">
        <f t="shared" si="3"/>
        <v/>
      </c>
      <c r="BE31" s="63" t="str">
        <f t="shared" si="4"/>
        <v/>
      </c>
    </row>
    <row r="32" spans="1:59"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992187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14" t="s">
        <v>77</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3"/>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12" t="s">
        <v>52</v>
      </c>
      <c r="AD3" s="296"/>
      <c r="AE3" s="296"/>
      <c r="AF3" s="296"/>
      <c r="AG3" s="296"/>
      <c r="AH3" s="297"/>
      <c r="AI3" s="249">
        <f>CARÁTULA!$H$14</f>
        <v>44228</v>
      </c>
      <c r="AJ3" s="231"/>
      <c r="AK3" s="231"/>
      <c r="AL3" s="231"/>
      <c r="AM3" s="231"/>
      <c r="AN3" s="315" t="s">
        <v>53</v>
      </c>
      <c r="AO3" s="222"/>
      <c r="AP3" s="222"/>
      <c r="AQ3" s="222"/>
      <c r="AR3" s="223"/>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312" t="s">
        <v>55</v>
      </c>
      <c r="AD4" s="296"/>
      <c r="AE4" s="296"/>
      <c r="AF4" s="296"/>
      <c r="AG4" s="296"/>
      <c r="AH4" s="297"/>
      <c r="AI4" s="249">
        <f>CARÁTULA!$J$14</f>
        <v>44323</v>
      </c>
      <c r="AJ4" s="231"/>
      <c r="AK4" s="231"/>
      <c r="AL4" s="231"/>
      <c r="AM4" s="231"/>
      <c r="AN4" s="294">
        <f ca="1">AI4-AI5</f>
        <v>-173</v>
      </c>
      <c r="AO4" s="241"/>
      <c r="AP4" s="241"/>
      <c r="AQ4" s="241"/>
      <c r="AR4" s="242"/>
    </row>
    <row r="5" spans="1:48" ht="12.75" customHeight="1" x14ac:dyDescent="0.4">
      <c r="A5" s="69"/>
      <c r="B5" s="72" t="s">
        <v>22</v>
      </c>
      <c r="C5" s="73" t="str">
        <f>CARÁTULA!$C$23</f>
        <v>3ro de Secundaria</v>
      </c>
      <c r="D5" s="74"/>
      <c r="E5" s="74"/>
      <c r="F5" s="74"/>
      <c r="G5" s="72"/>
      <c r="H5" s="72"/>
      <c r="I5" s="72"/>
      <c r="J5" s="72"/>
      <c r="K5" s="72"/>
      <c r="L5" s="72"/>
      <c r="M5" s="72"/>
      <c r="N5" s="72"/>
      <c r="O5" s="75" t="s">
        <v>23</v>
      </c>
      <c r="P5" s="77"/>
      <c r="Q5" s="77"/>
      <c r="R5" s="77"/>
      <c r="S5" s="308">
        <f ca="1">TODAY()</f>
        <v>44496</v>
      </c>
      <c r="T5" s="222"/>
      <c r="U5" s="222"/>
      <c r="V5" s="222"/>
      <c r="W5" s="222"/>
      <c r="X5" s="222"/>
      <c r="Y5" s="222"/>
      <c r="Z5" s="222"/>
      <c r="AA5" s="223"/>
      <c r="AB5" s="74"/>
      <c r="AC5" s="313" t="s">
        <v>56</v>
      </c>
      <c r="AD5" s="296"/>
      <c r="AE5" s="296"/>
      <c r="AF5" s="296"/>
      <c r="AG5" s="296"/>
      <c r="AH5" s="297"/>
      <c r="AI5" s="316">
        <f ca="1">TODAY()</f>
        <v>44496</v>
      </c>
      <c r="AJ5" s="231"/>
      <c r="AK5" s="231"/>
      <c r="AL5" s="231"/>
      <c r="AM5" s="231"/>
      <c r="AN5" s="243"/>
      <c r="AO5" s="244"/>
      <c r="AP5" s="244"/>
      <c r="AQ5" s="244"/>
      <c r="AR5" s="245"/>
    </row>
    <row r="6" spans="1:48" ht="12.75" customHeight="1" x14ac:dyDescent="0.4">
      <c r="A6" s="69"/>
      <c r="B6" s="72"/>
      <c r="C6" s="237" t="s">
        <v>78</v>
      </c>
      <c r="D6" s="238"/>
      <c r="E6" s="238"/>
      <c r="F6" s="238"/>
      <c r="G6" s="238"/>
      <c r="H6" s="238"/>
      <c r="I6" s="238"/>
      <c r="J6" s="238"/>
      <c r="K6" s="238"/>
      <c r="L6" s="238"/>
      <c r="M6" s="238"/>
      <c r="N6" s="238"/>
      <c r="O6" s="238"/>
      <c r="P6" s="238"/>
      <c r="Q6" s="238"/>
      <c r="R6" s="238"/>
      <c r="S6" s="238"/>
      <c r="T6" s="238"/>
      <c r="U6" s="238"/>
      <c r="V6" s="238"/>
      <c r="W6" s="238"/>
      <c r="X6" s="238"/>
      <c r="Y6" s="238"/>
      <c r="Z6" s="238"/>
      <c r="AA6" s="239"/>
      <c r="AB6" s="309" t="s">
        <v>79</v>
      </c>
      <c r="AC6" s="296"/>
      <c r="AD6" s="296"/>
      <c r="AE6" s="297"/>
      <c r="AF6" s="78"/>
      <c r="AG6" s="79"/>
      <c r="AH6" s="79"/>
      <c r="AI6" s="80"/>
      <c r="AJ6" s="81"/>
      <c r="AK6" s="81"/>
      <c r="AL6" s="81"/>
      <c r="AM6" s="81"/>
      <c r="AN6" s="82"/>
      <c r="AO6" s="82"/>
      <c r="AP6" s="82"/>
      <c r="AQ6" s="82"/>
      <c r="AR6" s="82"/>
    </row>
    <row r="7" spans="1:48" ht="12" customHeight="1" x14ac:dyDescent="0.4">
      <c r="A7" s="69"/>
      <c r="B7" s="83"/>
      <c r="C7" s="310" t="s">
        <v>80</v>
      </c>
      <c r="D7" s="311" t="s">
        <v>81</v>
      </c>
      <c r="E7" s="296"/>
      <c r="F7" s="296"/>
      <c r="G7" s="296"/>
      <c r="H7" s="296"/>
      <c r="I7" s="296"/>
      <c r="J7" s="296"/>
      <c r="K7" s="296"/>
      <c r="L7" s="296"/>
      <c r="M7" s="296"/>
      <c r="N7" s="296"/>
      <c r="O7" s="307" t="s">
        <v>82</v>
      </c>
      <c r="P7" s="311" t="s">
        <v>83</v>
      </c>
      <c r="Q7" s="296"/>
      <c r="R7" s="296"/>
      <c r="S7" s="296"/>
      <c r="T7" s="296"/>
      <c r="U7" s="296"/>
      <c r="V7" s="296"/>
      <c r="W7" s="296"/>
      <c r="X7" s="296"/>
      <c r="Y7" s="296"/>
      <c r="Z7" s="296"/>
      <c r="AA7" s="306" t="s">
        <v>84</v>
      </c>
      <c r="AB7" s="307" t="s">
        <v>82</v>
      </c>
      <c r="AC7" s="306" t="s">
        <v>85</v>
      </c>
      <c r="AD7" s="306" t="s">
        <v>86</v>
      </c>
      <c r="AE7" s="307" t="s">
        <v>82</v>
      </c>
      <c r="AF7" s="299" t="s">
        <v>87</v>
      </c>
      <c r="AG7" s="301" t="s">
        <v>88</v>
      </c>
      <c r="AH7" s="302" t="s">
        <v>89</v>
      </c>
      <c r="AI7" s="238"/>
      <c r="AJ7" s="238"/>
      <c r="AK7" s="238"/>
      <c r="AL7" s="238"/>
      <c r="AM7" s="239"/>
      <c r="AN7" s="84"/>
      <c r="AO7" s="74"/>
      <c r="AP7" s="74"/>
      <c r="AQ7" s="74"/>
      <c r="AR7" s="69"/>
    </row>
    <row r="8" spans="1:48" ht="135.6" x14ac:dyDescent="0.35">
      <c r="A8" s="48" t="s">
        <v>57</v>
      </c>
      <c r="B8" s="49" t="s">
        <v>58</v>
      </c>
      <c r="C8" s="300"/>
      <c r="D8" s="85" t="s">
        <v>90</v>
      </c>
      <c r="E8" s="85" t="s">
        <v>91</v>
      </c>
      <c r="F8" s="85" t="s">
        <v>92</v>
      </c>
      <c r="G8" s="53"/>
      <c r="H8" s="53"/>
      <c r="I8" s="53"/>
      <c r="J8" s="53"/>
      <c r="K8" s="53"/>
      <c r="L8" s="53"/>
      <c r="M8" s="53"/>
      <c r="N8" s="54"/>
      <c r="O8" s="300"/>
      <c r="P8" s="85" t="s">
        <v>93</v>
      </c>
      <c r="Q8" s="85" t="s">
        <v>94</v>
      </c>
      <c r="R8" s="52"/>
      <c r="S8" s="53"/>
      <c r="T8" s="53"/>
      <c r="U8" s="53"/>
      <c r="V8" s="53"/>
      <c r="W8" s="53"/>
      <c r="X8" s="53"/>
      <c r="Y8" s="53"/>
      <c r="Z8" s="53"/>
      <c r="AA8" s="300"/>
      <c r="AB8" s="300"/>
      <c r="AC8" s="300"/>
      <c r="AD8" s="300"/>
      <c r="AE8" s="300"/>
      <c r="AF8" s="300"/>
      <c r="AG8" s="300"/>
      <c r="AH8" s="303"/>
      <c r="AI8" s="304"/>
      <c r="AJ8" s="304"/>
      <c r="AK8" s="304"/>
      <c r="AL8" s="304"/>
      <c r="AM8" s="305"/>
      <c r="AN8" s="86"/>
      <c r="AO8" s="86"/>
      <c r="AP8" s="86"/>
      <c r="AQ8" s="86"/>
      <c r="AR8" s="87"/>
    </row>
    <row r="9" spans="1:48" ht="12" customHeight="1" x14ac:dyDescent="0.35">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95" t="str">
        <f t="shared" ref="AH9:AH44" si="5">IF(AG9="","",(IF(AND(AG9&gt;=1,AG9&lt;=50.499),"REPROBADO",IF(AND(AG9&gt;=50.5,AG9&lt;=100),"APROBADO"))))</f>
        <v>REPROBADO</v>
      </c>
      <c r="AI9" s="296"/>
      <c r="AJ9" s="296"/>
      <c r="AK9" s="296"/>
      <c r="AL9" s="296"/>
      <c r="AM9" s="297"/>
      <c r="AN9" s="92" t="s">
        <v>95</v>
      </c>
      <c r="AO9" s="298">
        <f>COUNTIF(AF9:AF44,"ED")</f>
        <v>8</v>
      </c>
      <c r="AP9" s="297"/>
      <c r="AQ9" s="93"/>
      <c r="AR9" s="93"/>
    </row>
    <row r="10" spans="1:48" ht="12" customHeight="1" x14ac:dyDescent="0.35">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95" t="str">
        <f t="shared" si="5"/>
        <v>REPROBADO</v>
      </c>
      <c r="AI10" s="296"/>
      <c r="AJ10" s="296"/>
      <c r="AK10" s="296"/>
      <c r="AL10" s="296"/>
      <c r="AM10" s="297"/>
      <c r="AN10" s="48" t="s">
        <v>96</v>
      </c>
      <c r="AO10" s="298">
        <f>COUNTIF(AF9:AF44,"DA")</f>
        <v>2</v>
      </c>
      <c r="AP10" s="297"/>
      <c r="AQ10" s="93"/>
      <c r="AR10" s="93"/>
    </row>
    <row r="11" spans="1:48" ht="12" customHeight="1" x14ac:dyDescent="0.35">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95" t="str">
        <f t="shared" si="5"/>
        <v>APROBADO</v>
      </c>
      <c r="AI11" s="296"/>
      <c r="AJ11" s="296"/>
      <c r="AK11" s="296"/>
      <c r="AL11" s="296"/>
      <c r="AM11" s="297"/>
      <c r="AN11" s="48" t="s">
        <v>97</v>
      </c>
      <c r="AO11" s="298">
        <f>COUNTIF(AF9:AF44,"DO")</f>
        <v>2</v>
      </c>
      <c r="AP11" s="297"/>
      <c r="AQ11" s="93"/>
      <c r="AR11" s="93"/>
    </row>
    <row r="12" spans="1:48" ht="12" customHeight="1" x14ac:dyDescent="0.35">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95" t="str">
        <f t="shared" si="5"/>
        <v>REPROBADO</v>
      </c>
      <c r="AI12" s="296"/>
      <c r="AJ12" s="296"/>
      <c r="AK12" s="296"/>
      <c r="AL12" s="296"/>
      <c r="AM12" s="297"/>
      <c r="AN12" s="48" t="s">
        <v>98</v>
      </c>
      <c r="AO12" s="298">
        <f>COUNTIF(AF9:AF44,"DP")</f>
        <v>24</v>
      </c>
      <c r="AP12" s="297"/>
      <c r="AQ12" s="93"/>
      <c r="AR12" s="93"/>
    </row>
    <row r="13" spans="1:48" ht="12" customHeight="1" x14ac:dyDescent="0.35">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95" t="str">
        <f t="shared" si="5"/>
        <v>APROBADO</v>
      </c>
      <c r="AI13" s="296"/>
      <c r="AJ13" s="296"/>
      <c r="AK13" s="296"/>
      <c r="AL13" s="296"/>
      <c r="AM13" s="297"/>
      <c r="AN13" s="93"/>
      <c r="AO13" s="93"/>
      <c r="AP13" s="93"/>
      <c r="AQ13" s="93"/>
      <c r="AR13" s="93"/>
    </row>
    <row r="14" spans="1:48" ht="12" customHeight="1" x14ac:dyDescent="0.35">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95" t="str">
        <f t="shared" si="5"/>
        <v>APROBADO</v>
      </c>
      <c r="AI14" s="296"/>
      <c r="AJ14" s="296"/>
      <c r="AK14" s="296"/>
      <c r="AL14" s="296"/>
      <c r="AM14" s="297"/>
      <c r="AN14" s="93"/>
      <c r="AO14" s="93"/>
      <c r="AP14" s="93"/>
      <c r="AQ14" s="93"/>
      <c r="AR14" s="93"/>
    </row>
    <row r="15" spans="1:48" ht="12" customHeight="1" x14ac:dyDescent="0.35">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95" t="str">
        <f t="shared" si="5"/>
        <v>APROBADO</v>
      </c>
      <c r="AI15" s="296"/>
      <c r="AJ15" s="296"/>
      <c r="AK15" s="296"/>
      <c r="AL15" s="296"/>
      <c r="AM15" s="297"/>
      <c r="AN15" s="93"/>
      <c r="AO15" s="93"/>
      <c r="AP15" s="93"/>
      <c r="AQ15" s="93"/>
      <c r="AR15" s="93"/>
    </row>
    <row r="16" spans="1:48" ht="12" customHeight="1" x14ac:dyDescent="0.35">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95" t="str">
        <f t="shared" si="5"/>
        <v>APROBADO</v>
      </c>
      <c r="AI16" s="296"/>
      <c r="AJ16" s="296"/>
      <c r="AK16" s="296"/>
      <c r="AL16" s="296"/>
      <c r="AM16" s="297"/>
      <c r="AN16" s="93"/>
      <c r="AO16" s="93"/>
      <c r="AP16" s="93"/>
      <c r="AQ16" s="93"/>
      <c r="AR16" s="93"/>
    </row>
    <row r="17" spans="1:44" ht="12" customHeight="1" x14ac:dyDescent="0.35">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95" t="str">
        <f t="shared" si="5"/>
        <v>REPROBADO</v>
      </c>
      <c r="AI17" s="296"/>
      <c r="AJ17" s="296"/>
      <c r="AK17" s="296"/>
      <c r="AL17" s="296"/>
      <c r="AM17" s="297"/>
      <c r="AN17" s="93"/>
      <c r="AO17" s="93"/>
      <c r="AP17" s="93"/>
      <c r="AQ17" s="93"/>
      <c r="AR17" s="93"/>
    </row>
    <row r="18" spans="1:44" ht="12" customHeight="1" x14ac:dyDescent="0.35">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95" t="str">
        <f t="shared" si="5"/>
        <v>REPROBADO</v>
      </c>
      <c r="AI18" s="296"/>
      <c r="AJ18" s="296"/>
      <c r="AK18" s="296"/>
      <c r="AL18" s="296"/>
      <c r="AM18" s="297"/>
      <c r="AN18" s="93"/>
      <c r="AO18" s="93"/>
      <c r="AP18" s="93"/>
      <c r="AQ18" s="93"/>
      <c r="AR18" s="93"/>
    </row>
    <row r="19" spans="1:44" ht="12" customHeight="1" x14ac:dyDescent="0.35">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95" t="str">
        <f t="shared" si="5"/>
        <v>REPROBADO</v>
      </c>
      <c r="AI19" s="296"/>
      <c r="AJ19" s="296"/>
      <c r="AK19" s="296"/>
      <c r="AL19" s="296"/>
      <c r="AM19" s="297"/>
      <c r="AN19" s="93"/>
      <c r="AO19" s="93"/>
      <c r="AP19" s="93"/>
      <c r="AQ19" s="93"/>
      <c r="AR19" s="93"/>
    </row>
    <row r="20" spans="1:44" ht="12" customHeight="1" x14ac:dyDescent="0.35">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95" t="str">
        <f t="shared" si="5"/>
        <v>APROBADO</v>
      </c>
      <c r="AI20" s="296"/>
      <c r="AJ20" s="296"/>
      <c r="AK20" s="296"/>
      <c r="AL20" s="296"/>
      <c r="AM20" s="297"/>
      <c r="AN20" s="93"/>
      <c r="AO20" s="93"/>
      <c r="AP20" s="93"/>
      <c r="AQ20" s="93"/>
      <c r="AR20" s="93"/>
    </row>
    <row r="21" spans="1:44" ht="12" customHeight="1" x14ac:dyDescent="0.35">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95" t="str">
        <f t="shared" si="5"/>
        <v>APROBADO</v>
      </c>
      <c r="AI21" s="296"/>
      <c r="AJ21" s="296"/>
      <c r="AK21" s="296"/>
      <c r="AL21" s="296"/>
      <c r="AM21" s="297"/>
      <c r="AN21" s="93"/>
      <c r="AO21" s="93"/>
      <c r="AP21" s="93"/>
      <c r="AQ21" s="93"/>
      <c r="AR21" s="93"/>
    </row>
    <row r="22" spans="1:44" ht="12" customHeight="1" x14ac:dyDescent="0.35">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95" t="str">
        <f t="shared" si="5"/>
        <v>APROBADO</v>
      </c>
      <c r="AI22" s="296"/>
      <c r="AJ22" s="296"/>
      <c r="AK22" s="296"/>
      <c r="AL22" s="296"/>
      <c r="AM22" s="297"/>
      <c r="AN22" s="93"/>
      <c r="AO22" s="93"/>
      <c r="AP22" s="93"/>
      <c r="AQ22" s="93"/>
      <c r="AR22" s="93"/>
    </row>
    <row r="23" spans="1:44" ht="12" customHeight="1" x14ac:dyDescent="0.35">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95" t="str">
        <f t="shared" si="5"/>
        <v>APROBADO</v>
      </c>
      <c r="AI23" s="296"/>
      <c r="AJ23" s="296"/>
      <c r="AK23" s="296"/>
      <c r="AL23" s="296"/>
      <c r="AM23" s="297"/>
      <c r="AN23" s="93"/>
      <c r="AO23" s="93"/>
      <c r="AP23" s="93"/>
      <c r="AQ23" s="93"/>
      <c r="AR23" s="93"/>
    </row>
    <row r="24" spans="1:44" ht="12" customHeight="1" x14ac:dyDescent="0.35">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95" t="str">
        <f t="shared" si="5"/>
        <v>REPROBADO</v>
      </c>
      <c r="AI24" s="296"/>
      <c r="AJ24" s="296"/>
      <c r="AK24" s="296"/>
      <c r="AL24" s="296"/>
      <c r="AM24" s="297"/>
      <c r="AN24" s="93"/>
      <c r="AO24" s="93"/>
      <c r="AP24" s="93"/>
      <c r="AQ24" s="93"/>
      <c r="AR24" s="93"/>
    </row>
    <row r="25" spans="1:44" ht="12" customHeight="1" x14ac:dyDescent="0.35">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95" t="str">
        <f t="shared" si="5"/>
        <v>APROBADO</v>
      </c>
      <c r="AI25" s="296"/>
      <c r="AJ25" s="296"/>
      <c r="AK25" s="296"/>
      <c r="AL25" s="296"/>
      <c r="AM25" s="297"/>
      <c r="AN25" s="93"/>
      <c r="AO25" s="93"/>
      <c r="AP25" s="93"/>
      <c r="AQ25" s="93"/>
      <c r="AR25" s="93"/>
    </row>
    <row r="26" spans="1:44" ht="12" customHeight="1" x14ac:dyDescent="0.35">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95" t="str">
        <f t="shared" si="5"/>
        <v>REPROBADO</v>
      </c>
      <c r="AI26" s="296"/>
      <c r="AJ26" s="296"/>
      <c r="AK26" s="296"/>
      <c r="AL26" s="296"/>
      <c r="AM26" s="297"/>
      <c r="AN26" s="93"/>
      <c r="AO26" s="93"/>
      <c r="AP26" s="93"/>
      <c r="AQ26" s="93"/>
      <c r="AR26" s="93"/>
    </row>
    <row r="27" spans="1:44" ht="12" customHeight="1" x14ac:dyDescent="0.35">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95" t="str">
        <f t="shared" si="5"/>
        <v>APROBADO</v>
      </c>
      <c r="AI27" s="296"/>
      <c r="AJ27" s="296"/>
      <c r="AK27" s="296"/>
      <c r="AL27" s="296"/>
      <c r="AM27" s="297"/>
      <c r="AN27" s="93"/>
      <c r="AO27" s="93"/>
      <c r="AP27" s="93"/>
      <c r="AQ27" s="93"/>
      <c r="AR27" s="93"/>
    </row>
    <row r="28" spans="1:44" ht="12" customHeight="1" x14ac:dyDescent="0.35">
      <c r="A28" s="58">
        <v>20</v>
      </c>
      <c r="B28" s="88" t="str">
        <f>'C. FILIACION'!B27</f>
        <v>Tattum Rocha Elias</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95" t="str">
        <f t="shared" si="5"/>
        <v>APROBADO</v>
      </c>
      <c r="AI28" s="296"/>
      <c r="AJ28" s="296"/>
      <c r="AK28" s="296"/>
      <c r="AL28" s="296"/>
      <c r="AM28" s="297"/>
      <c r="AN28" s="93"/>
      <c r="AO28" s="93"/>
      <c r="AP28" s="93"/>
      <c r="AQ28" s="93"/>
      <c r="AR28" s="93"/>
    </row>
    <row r="29" spans="1:44" ht="12" customHeight="1" x14ac:dyDescent="0.35">
      <c r="A29" s="58">
        <v>21</v>
      </c>
      <c r="B29" s="88" t="str">
        <f>'C. FILIACION'!B28</f>
        <v>soria la fuente leonardo abel</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95" t="str">
        <f t="shared" si="5"/>
        <v>APROBADO</v>
      </c>
      <c r="AI29" s="296"/>
      <c r="AJ29" s="296"/>
      <c r="AK29" s="296"/>
      <c r="AL29" s="296"/>
      <c r="AM29" s="297"/>
      <c r="AN29" s="93"/>
      <c r="AO29" s="93"/>
      <c r="AP29" s="93"/>
      <c r="AQ29" s="93"/>
      <c r="AR29" s="93"/>
    </row>
    <row r="30" spans="1:44" ht="12" customHeight="1" x14ac:dyDescent="0.35">
      <c r="A30" s="58">
        <v>22</v>
      </c>
      <c r="B30" s="88" t="str">
        <f>'C. FILIACION'!B29</f>
        <v>Terrazas fuentes Salomon</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95" t="str">
        <f t="shared" si="5"/>
        <v>APROBADO</v>
      </c>
      <c r="AI30" s="296"/>
      <c r="AJ30" s="296"/>
      <c r="AK30" s="296"/>
      <c r="AL30" s="296"/>
      <c r="AM30" s="297"/>
      <c r="AN30" s="93"/>
      <c r="AO30" s="93"/>
      <c r="AP30" s="93"/>
      <c r="AQ30" s="93"/>
      <c r="AR30" s="93"/>
    </row>
    <row r="31" spans="1:44" ht="12" customHeight="1" x14ac:dyDescent="0.35">
      <c r="A31" s="58">
        <v>23</v>
      </c>
      <c r="B31" s="88" t="str">
        <f>'C. FILIACION'!B30</f>
        <v>Terrazas fuentes David</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95" t="str">
        <f t="shared" si="5"/>
        <v>APROBADO</v>
      </c>
      <c r="AI31" s="296"/>
      <c r="AJ31" s="296"/>
      <c r="AK31" s="296"/>
      <c r="AL31" s="296"/>
      <c r="AM31" s="297"/>
      <c r="AN31" s="93"/>
      <c r="AO31" s="93"/>
      <c r="AP31" s="93"/>
      <c r="AQ31" s="93"/>
      <c r="AR31" s="93"/>
    </row>
    <row r="32" spans="1:44" ht="12" customHeight="1" x14ac:dyDescent="0.35">
      <c r="A32" s="58">
        <v>24</v>
      </c>
      <c r="B32" s="88" t="str">
        <f>'C. FILIACION'!B31</f>
        <v xml:space="preserve">Flores Gutierrez Abel Manuel </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95" t="str">
        <f t="shared" si="5"/>
        <v>APROBADO</v>
      </c>
      <c r="AI32" s="296"/>
      <c r="AJ32" s="296"/>
      <c r="AK32" s="296"/>
      <c r="AL32" s="296"/>
      <c r="AM32" s="297"/>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5" t="str">
        <f t="shared" si="5"/>
        <v>APROBADO</v>
      </c>
      <c r="AI33" s="296"/>
      <c r="AJ33" s="296"/>
      <c r="AK33" s="296"/>
      <c r="AL33" s="296"/>
      <c r="AM33" s="297"/>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5" t="str">
        <f t="shared" si="5"/>
        <v>APROBADO</v>
      </c>
      <c r="AI34" s="296"/>
      <c r="AJ34" s="296"/>
      <c r="AK34" s="296"/>
      <c r="AL34" s="296"/>
      <c r="AM34" s="297"/>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5" t="str">
        <f t="shared" si="5"/>
        <v>APROBADO</v>
      </c>
      <c r="AI35" s="296"/>
      <c r="AJ35" s="296"/>
      <c r="AK35" s="296"/>
      <c r="AL35" s="296"/>
      <c r="AM35" s="297"/>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5" t="str">
        <f t="shared" si="5"/>
        <v>APROBADO</v>
      </c>
      <c r="AI36" s="296"/>
      <c r="AJ36" s="296"/>
      <c r="AK36" s="296"/>
      <c r="AL36" s="296"/>
      <c r="AM36" s="297"/>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5" t="str">
        <f t="shared" si="5"/>
        <v>APROBADO</v>
      </c>
      <c r="AI37" s="296"/>
      <c r="AJ37" s="296"/>
      <c r="AK37" s="296"/>
      <c r="AL37" s="296"/>
      <c r="AM37" s="297"/>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5" t="str">
        <f t="shared" si="5"/>
        <v>APROBADO</v>
      </c>
      <c r="AI38" s="296"/>
      <c r="AJ38" s="296"/>
      <c r="AK38" s="296"/>
      <c r="AL38" s="296"/>
      <c r="AM38" s="297"/>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5" t="str">
        <f t="shared" si="5"/>
        <v>APROBADO</v>
      </c>
      <c r="AI39" s="296"/>
      <c r="AJ39" s="296"/>
      <c r="AK39" s="296"/>
      <c r="AL39" s="296"/>
      <c r="AM39" s="297"/>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5" t="str">
        <f t="shared" si="5"/>
        <v>APROBADO</v>
      </c>
      <c r="AI40" s="296"/>
      <c r="AJ40" s="296"/>
      <c r="AK40" s="296"/>
      <c r="AL40" s="296"/>
      <c r="AM40" s="297"/>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5" t="str">
        <f t="shared" si="5"/>
        <v>APROBADO</v>
      </c>
      <c r="AI41" s="296"/>
      <c r="AJ41" s="296"/>
      <c r="AK41" s="296"/>
      <c r="AL41" s="296"/>
      <c r="AM41" s="297"/>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5" t="str">
        <f t="shared" si="5"/>
        <v>APROBADO</v>
      </c>
      <c r="AI42" s="296"/>
      <c r="AJ42" s="296"/>
      <c r="AK42" s="296"/>
      <c r="AL42" s="296"/>
      <c r="AM42" s="297"/>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5" t="str">
        <f t="shared" si="5"/>
        <v>APROBADO</v>
      </c>
      <c r="AI43" s="296"/>
      <c r="AJ43" s="296"/>
      <c r="AK43" s="296"/>
      <c r="AL43" s="296"/>
      <c r="AM43" s="297"/>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5" t="str">
        <f t="shared" si="5"/>
        <v>APROBADO</v>
      </c>
      <c r="AI44" s="296"/>
      <c r="AJ44" s="296"/>
      <c r="AK44" s="296"/>
      <c r="AL44" s="296"/>
      <c r="AM44" s="297"/>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B32" sqref="B32"/>
    </sheetView>
  </sheetViews>
  <sheetFormatPr baseColWidth="10" defaultColWidth="9.1992187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992187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14" t="s">
        <v>99</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3"/>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12" t="s">
        <v>52</v>
      </c>
      <c r="AD3" s="296"/>
      <c r="AE3" s="296"/>
      <c r="AF3" s="296"/>
      <c r="AG3" s="296"/>
      <c r="AH3" s="297"/>
      <c r="AI3" s="249">
        <f>CARÁTULA!$H$19</f>
        <v>44326</v>
      </c>
      <c r="AJ3" s="231"/>
      <c r="AK3" s="231"/>
      <c r="AL3" s="231"/>
      <c r="AM3" s="231"/>
      <c r="AN3" s="315" t="s">
        <v>53</v>
      </c>
      <c r="AO3" s="222"/>
      <c r="AP3" s="222"/>
      <c r="AQ3" s="222"/>
      <c r="AR3" s="223"/>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312" t="s">
        <v>55</v>
      </c>
      <c r="AD4" s="296"/>
      <c r="AE4" s="296"/>
      <c r="AF4" s="296"/>
      <c r="AG4" s="296"/>
      <c r="AH4" s="297"/>
      <c r="AI4" s="249">
        <f>CARÁTULA!$J$19</f>
        <v>44439</v>
      </c>
      <c r="AJ4" s="231"/>
      <c r="AK4" s="231"/>
      <c r="AL4" s="231"/>
      <c r="AM4" s="231"/>
      <c r="AN4" s="294">
        <f ca="1">AI4-AI5</f>
        <v>-57</v>
      </c>
      <c r="AO4" s="241"/>
      <c r="AP4" s="241"/>
      <c r="AQ4" s="241"/>
      <c r="AR4" s="242"/>
    </row>
    <row r="5" spans="1:48" ht="12.75" customHeight="1" x14ac:dyDescent="0.4">
      <c r="A5" s="69"/>
      <c r="B5" s="72" t="s">
        <v>22</v>
      </c>
      <c r="C5" s="73" t="str">
        <f>CARÁTULA!$C$23</f>
        <v>3ro de Secundaria</v>
      </c>
      <c r="D5" s="74"/>
      <c r="E5" s="74"/>
      <c r="F5" s="74"/>
      <c r="G5" s="72"/>
      <c r="H5" s="72"/>
      <c r="I5" s="72"/>
      <c r="J5" s="72"/>
      <c r="K5" s="72"/>
      <c r="L5" s="72"/>
      <c r="M5" s="72"/>
      <c r="N5" s="72"/>
      <c r="O5" s="72" t="s">
        <v>23</v>
      </c>
      <c r="P5" s="77"/>
      <c r="Q5" s="77"/>
      <c r="R5" s="77"/>
      <c r="S5" s="308">
        <f ca="1">TODAY()</f>
        <v>44496</v>
      </c>
      <c r="T5" s="222"/>
      <c r="U5" s="222"/>
      <c r="V5" s="222"/>
      <c r="W5" s="222"/>
      <c r="X5" s="222"/>
      <c r="Y5" s="222"/>
      <c r="Z5" s="222"/>
      <c r="AA5" s="223"/>
      <c r="AB5" s="74"/>
      <c r="AC5" s="313" t="s">
        <v>56</v>
      </c>
      <c r="AD5" s="296"/>
      <c r="AE5" s="296"/>
      <c r="AF5" s="296"/>
      <c r="AG5" s="296"/>
      <c r="AH5" s="297"/>
      <c r="AI5" s="316">
        <f ca="1">TODAY()</f>
        <v>44496</v>
      </c>
      <c r="AJ5" s="231"/>
      <c r="AK5" s="231"/>
      <c r="AL5" s="231"/>
      <c r="AM5" s="231"/>
      <c r="AN5" s="243"/>
      <c r="AO5" s="244"/>
      <c r="AP5" s="244"/>
      <c r="AQ5" s="244"/>
      <c r="AR5" s="245"/>
    </row>
    <row r="6" spans="1:48" ht="12.75" customHeight="1" x14ac:dyDescent="0.4">
      <c r="A6" s="69"/>
      <c r="B6" s="72"/>
      <c r="C6" s="237" t="s">
        <v>78</v>
      </c>
      <c r="D6" s="238"/>
      <c r="E6" s="238"/>
      <c r="F6" s="238"/>
      <c r="G6" s="238"/>
      <c r="H6" s="238"/>
      <c r="I6" s="238"/>
      <c r="J6" s="238"/>
      <c r="K6" s="238"/>
      <c r="L6" s="238"/>
      <c r="M6" s="238"/>
      <c r="N6" s="238"/>
      <c r="O6" s="238"/>
      <c r="P6" s="238"/>
      <c r="Q6" s="238"/>
      <c r="R6" s="238"/>
      <c r="S6" s="238"/>
      <c r="T6" s="238"/>
      <c r="U6" s="238"/>
      <c r="V6" s="238"/>
      <c r="W6" s="238"/>
      <c r="X6" s="238"/>
      <c r="Y6" s="238"/>
      <c r="Z6" s="238"/>
      <c r="AA6" s="239"/>
      <c r="AB6" s="309" t="s">
        <v>79</v>
      </c>
      <c r="AC6" s="296"/>
      <c r="AD6" s="296"/>
      <c r="AE6" s="297"/>
      <c r="AF6" s="78"/>
      <c r="AG6" s="79"/>
      <c r="AH6" s="79"/>
      <c r="AI6" s="80"/>
      <c r="AJ6" s="81"/>
      <c r="AK6" s="81"/>
      <c r="AL6" s="81"/>
      <c r="AM6" s="81"/>
      <c r="AN6" s="82"/>
      <c r="AO6" s="82"/>
      <c r="AP6" s="82"/>
      <c r="AQ6" s="82"/>
      <c r="AR6" s="82"/>
    </row>
    <row r="7" spans="1:48" ht="12" customHeight="1" x14ac:dyDescent="0.4">
      <c r="A7" s="69"/>
      <c r="B7" s="83"/>
      <c r="C7" s="310" t="s">
        <v>80</v>
      </c>
      <c r="D7" s="311" t="s">
        <v>81</v>
      </c>
      <c r="E7" s="296"/>
      <c r="F7" s="296"/>
      <c r="G7" s="296"/>
      <c r="H7" s="296"/>
      <c r="I7" s="296"/>
      <c r="J7" s="296"/>
      <c r="K7" s="296"/>
      <c r="L7" s="296"/>
      <c r="M7" s="296"/>
      <c r="N7" s="296"/>
      <c r="O7" s="307" t="s">
        <v>82</v>
      </c>
      <c r="P7" s="311" t="s">
        <v>83</v>
      </c>
      <c r="Q7" s="296"/>
      <c r="R7" s="296"/>
      <c r="S7" s="296"/>
      <c r="T7" s="296"/>
      <c r="U7" s="296"/>
      <c r="V7" s="296"/>
      <c r="W7" s="296"/>
      <c r="X7" s="296"/>
      <c r="Y7" s="296"/>
      <c r="Z7" s="296"/>
      <c r="AA7" s="306" t="s">
        <v>84</v>
      </c>
      <c r="AB7" s="307" t="s">
        <v>82</v>
      </c>
      <c r="AC7" s="306" t="s">
        <v>85</v>
      </c>
      <c r="AD7" s="306" t="s">
        <v>86</v>
      </c>
      <c r="AE7" s="307" t="s">
        <v>82</v>
      </c>
      <c r="AF7" s="299" t="s">
        <v>87</v>
      </c>
      <c r="AG7" s="301" t="s">
        <v>88</v>
      </c>
      <c r="AH7" s="302" t="s">
        <v>89</v>
      </c>
      <c r="AI7" s="238"/>
      <c r="AJ7" s="238"/>
      <c r="AK7" s="238"/>
      <c r="AL7" s="238"/>
      <c r="AM7" s="239"/>
      <c r="AN7" s="84"/>
      <c r="AO7" s="74"/>
      <c r="AP7" s="74"/>
      <c r="AQ7" s="74"/>
      <c r="AR7" s="69"/>
    </row>
    <row r="8" spans="1:48" ht="67.5" customHeight="1" x14ac:dyDescent="0.35">
      <c r="A8" s="48" t="s">
        <v>57</v>
      </c>
      <c r="B8" s="49" t="s">
        <v>58</v>
      </c>
      <c r="C8" s="300"/>
      <c r="D8" s="181" t="s">
        <v>243</v>
      </c>
      <c r="E8" s="184" t="s">
        <v>240</v>
      </c>
      <c r="F8" s="53" t="s">
        <v>257</v>
      </c>
      <c r="G8" s="53"/>
      <c r="H8" s="53"/>
      <c r="I8" s="53"/>
      <c r="J8" s="53"/>
      <c r="K8" s="53"/>
      <c r="L8" s="53"/>
      <c r="M8" s="53"/>
      <c r="N8" s="54"/>
      <c r="O8" s="300"/>
      <c r="P8" s="180" t="s">
        <v>234</v>
      </c>
      <c r="Q8" s="181" t="s">
        <v>236</v>
      </c>
      <c r="R8" s="184" t="s">
        <v>238</v>
      </c>
      <c r="S8" s="186" t="s">
        <v>242</v>
      </c>
      <c r="T8" s="53" t="s">
        <v>251</v>
      </c>
      <c r="U8" s="50" t="s">
        <v>252</v>
      </c>
      <c r="V8" s="53"/>
      <c r="W8" s="53"/>
      <c r="X8" s="53"/>
      <c r="Y8" s="53"/>
      <c r="Z8" s="53"/>
      <c r="AA8" s="300"/>
      <c r="AB8" s="300"/>
      <c r="AC8" s="300"/>
      <c r="AD8" s="300"/>
      <c r="AE8" s="300"/>
      <c r="AF8" s="300"/>
      <c r="AG8" s="300"/>
      <c r="AH8" s="303"/>
      <c r="AI8" s="304"/>
      <c r="AJ8" s="304"/>
      <c r="AK8" s="304"/>
      <c r="AL8" s="304"/>
      <c r="AM8" s="305"/>
      <c r="AN8" s="86"/>
      <c r="AO8" s="86"/>
      <c r="AP8" s="86"/>
      <c r="AQ8" s="86"/>
      <c r="AR8" s="87"/>
    </row>
    <row r="9" spans="1:48" ht="12" customHeight="1" x14ac:dyDescent="0.35">
      <c r="A9" s="58">
        <v>1</v>
      </c>
      <c r="B9" s="199" t="str">
        <f>'C. FILIACION'!B8</f>
        <v>ALCONZ COLQUE ANDREY JEAN PAUL</v>
      </c>
      <c r="C9" s="200">
        <v>0</v>
      </c>
      <c r="D9" s="200">
        <v>0</v>
      </c>
      <c r="E9" s="200">
        <v>0</v>
      </c>
      <c r="F9" s="200"/>
      <c r="G9" s="200"/>
      <c r="H9" s="200"/>
      <c r="I9" s="200"/>
      <c r="J9" s="200"/>
      <c r="K9" s="200"/>
      <c r="L9" s="200"/>
      <c r="M9" s="200"/>
      <c r="N9" s="200"/>
      <c r="O9" s="201">
        <f t="shared" ref="O9:O44" si="0">IFERROR(ROUND(AVERAGE(D9:N9),0),"")</f>
        <v>0</v>
      </c>
      <c r="P9" s="200">
        <v>0</v>
      </c>
      <c r="Q9" s="200">
        <v>0</v>
      </c>
      <c r="R9" s="200">
        <v>0</v>
      </c>
      <c r="S9" s="200">
        <v>0</v>
      </c>
      <c r="T9" s="200">
        <v>0</v>
      </c>
      <c r="U9" s="200">
        <v>0</v>
      </c>
      <c r="V9" s="200"/>
      <c r="W9" s="200"/>
      <c r="X9" s="200"/>
      <c r="Y9" s="200"/>
      <c r="Z9" s="200"/>
      <c r="AA9" s="200">
        <v>10</v>
      </c>
      <c r="AB9" s="201">
        <f t="shared" ref="AB9:AB44" si="1">IFERROR(ROUND(AVERAGE(P9:Z9),0),"")</f>
        <v>0</v>
      </c>
      <c r="AC9" s="200">
        <v>0</v>
      </c>
      <c r="AD9" s="200">
        <v>0</v>
      </c>
      <c r="AE9" s="201">
        <f t="shared" ref="AE9:AE44" si="2">IFERROR((SUM(AC9,AD9)),"")</f>
        <v>0</v>
      </c>
      <c r="AF9" s="202" t="str">
        <f t="shared" ref="AF9:AF44" si="3">IF(AG9&lt;51,"ED",IF(AG9&lt;67,"DA",IF(AG9&lt;85,"DO","DP")))</f>
        <v>ED</v>
      </c>
      <c r="AG9" s="201">
        <f t="shared" ref="AG9:AG44" si="4">IFERROR((SUM(C9,O9,AA9,AB9,AE9)),"")</f>
        <v>10</v>
      </c>
      <c r="AH9" s="317" t="str">
        <f t="shared" ref="AH9:AH44" si="5">IF(AG9="","",(IF(AND(AG9&gt;=1,AG9&lt;=50.499),"REPROBADO",IF(AND(AG9&gt;=50.5,AG9&lt;=100),"APROBADO"))))</f>
        <v>REPROBADO</v>
      </c>
      <c r="AI9" s="318"/>
      <c r="AJ9" s="318"/>
      <c r="AK9" s="318"/>
      <c r="AL9" s="318"/>
      <c r="AM9" s="319"/>
      <c r="AN9" s="203" t="s">
        <v>95</v>
      </c>
      <c r="AO9" s="320">
        <f>COUNTIF(AF9:AF44,"ED")</f>
        <v>6</v>
      </c>
      <c r="AP9" s="319"/>
      <c r="AQ9" s="204"/>
      <c r="AR9" s="93"/>
    </row>
    <row r="10" spans="1:48" ht="12" customHeight="1" x14ac:dyDescent="0.35">
      <c r="A10" s="58">
        <v>2</v>
      </c>
      <c r="B10" s="88" t="str">
        <f>'C. FILIACION'!B9</f>
        <v>BEJARANO CHAVARRÍA ADRIANA ABRIL</v>
      </c>
      <c r="C10" s="31">
        <v>7.6923076923076925</v>
      </c>
      <c r="D10" s="31">
        <v>15</v>
      </c>
      <c r="E10" s="31">
        <v>15</v>
      </c>
      <c r="F10" s="31">
        <v>12</v>
      </c>
      <c r="G10" s="31"/>
      <c r="H10" s="31"/>
      <c r="I10" s="31"/>
      <c r="J10" s="31"/>
      <c r="K10" s="31"/>
      <c r="L10" s="31"/>
      <c r="M10" s="31"/>
      <c r="N10" s="31"/>
      <c r="O10" s="90">
        <f t="shared" si="0"/>
        <v>14</v>
      </c>
      <c r="P10" s="89">
        <v>17</v>
      </c>
      <c r="Q10" s="89">
        <v>16</v>
      </c>
      <c r="R10" s="89">
        <v>17</v>
      </c>
      <c r="S10" s="89">
        <v>15</v>
      </c>
      <c r="T10" s="89">
        <v>15</v>
      </c>
      <c r="U10" s="89">
        <v>15</v>
      </c>
      <c r="V10" s="31"/>
      <c r="W10" s="31"/>
      <c r="X10" s="31"/>
      <c r="Y10" s="31"/>
      <c r="Z10" s="31"/>
      <c r="AA10" s="31">
        <v>8</v>
      </c>
      <c r="AB10" s="90">
        <f t="shared" si="1"/>
        <v>16</v>
      </c>
      <c r="AC10" s="209">
        <v>3</v>
      </c>
      <c r="AD10" s="209">
        <v>3</v>
      </c>
      <c r="AE10" s="90">
        <f t="shared" si="2"/>
        <v>6</v>
      </c>
      <c r="AF10" s="91" t="str">
        <f t="shared" si="3"/>
        <v>DA</v>
      </c>
      <c r="AG10" s="215">
        <f t="shared" si="4"/>
        <v>51.692307692307693</v>
      </c>
      <c r="AH10" s="295" t="str">
        <f t="shared" si="5"/>
        <v>APROBADO</v>
      </c>
      <c r="AI10" s="296"/>
      <c r="AJ10" s="296"/>
      <c r="AK10" s="296"/>
      <c r="AL10" s="296"/>
      <c r="AM10" s="297"/>
      <c r="AN10" s="48" t="s">
        <v>96</v>
      </c>
      <c r="AO10" s="298">
        <f>COUNTIF(AF9:AF44,"DA")</f>
        <v>8</v>
      </c>
      <c r="AP10" s="297"/>
      <c r="AQ10" s="93"/>
      <c r="AR10" s="93"/>
    </row>
    <row r="11" spans="1:48" ht="12" customHeight="1" x14ac:dyDescent="0.35">
      <c r="A11" s="58">
        <v>3</v>
      </c>
      <c r="B11" s="88" t="str">
        <f>'C. FILIACION'!B10</f>
        <v>CHOQUE LOPEZ DIEGO ARMANDO</v>
      </c>
      <c r="C11" s="31">
        <v>5.384615384615385</v>
      </c>
      <c r="D11" s="31">
        <v>25</v>
      </c>
      <c r="E11" s="31">
        <v>15</v>
      </c>
      <c r="F11" s="31">
        <v>14</v>
      </c>
      <c r="G11" s="31"/>
      <c r="H11" s="31"/>
      <c r="I11" s="31"/>
      <c r="J11" s="31"/>
      <c r="K11" s="31"/>
      <c r="L11" s="31"/>
      <c r="M11" s="31"/>
      <c r="N11" s="31"/>
      <c r="O11" s="90">
        <f t="shared" si="0"/>
        <v>18</v>
      </c>
      <c r="P11" s="89">
        <v>16</v>
      </c>
      <c r="Q11" s="89">
        <v>15</v>
      </c>
      <c r="R11" s="89">
        <v>17</v>
      </c>
      <c r="S11" s="89">
        <v>0</v>
      </c>
      <c r="T11" s="89">
        <v>0</v>
      </c>
      <c r="U11" s="89">
        <v>0</v>
      </c>
      <c r="V11" s="31"/>
      <c r="W11" s="31"/>
      <c r="X11" s="31"/>
      <c r="Y11" s="31"/>
      <c r="Z11" s="31"/>
      <c r="AA11" s="31">
        <v>6</v>
      </c>
      <c r="AB11" s="90">
        <f t="shared" si="1"/>
        <v>8</v>
      </c>
      <c r="AC11" s="209">
        <v>3</v>
      </c>
      <c r="AD11" s="209">
        <v>3</v>
      </c>
      <c r="AE11" s="90">
        <f t="shared" si="2"/>
        <v>6</v>
      </c>
      <c r="AF11" s="91" t="str">
        <f t="shared" si="3"/>
        <v>ED</v>
      </c>
      <c r="AG11" s="215">
        <f t="shared" si="4"/>
        <v>43.384615384615387</v>
      </c>
      <c r="AH11" s="295" t="str">
        <f t="shared" si="5"/>
        <v>REPROBADO</v>
      </c>
      <c r="AI11" s="296"/>
      <c r="AJ11" s="296"/>
      <c r="AK11" s="296"/>
      <c r="AL11" s="296"/>
      <c r="AM11" s="297"/>
      <c r="AN11" s="48" t="s">
        <v>97</v>
      </c>
      <c r="AO11" s="298">
        <f>COUNTIF(AF9:AF44,"DO")</f>
        <v>8</v>
      </c>
      <c r="AP11" s="297"/>
      <c r="AQ11" s="93"/>
      <c r="AR11" s="93"/>
    </row>
    <row r="12" spans="1:48" ht="12" customHeight="1" x14ac:dyDescent="0.35">
      <c r="A12" s="58">
        <v>4</v>
      </c>
      <c r="B12" s="88" t="str">
        <f>'C. FILIACION'!B11</f>
        <v>CHOQUE SANGA DIEGO OSCAR</v>
      </c>
      <c r="C12" s="31">
        <v>7</v>
      </c>
      <c r="D12" s="31">
        <v>18</v>
      </c>
      <c r="E12" s="31">
        <v>18</v>
      </c>
      <c r="F12" s="31">
        <v>8</v>
      </c>
      <c r="G12" s="31"/>
      <c r="H12" s="31"/>
      <c r="I12" s="31"/>
      <c r="J12" s="31"/>
      <c r="K12" s="31"/>
      <c r="L12" s="31"/>
      <c r="M12" s="31"/>
      <c r="N12" s="31"/>
      <c r="O12" s="90">
        <f t="shared" si="0"/>
        <v>15</v>
      </c>
      <c r="P12" s="89">
        <v>16</v>
      </c>
      <c r="Q12" s="89">
        <v>17</v>
      </c>
      <c r="R12" s="89">
        <v>0</v>
      </c>
      <c r="S12" s="89">
        <v>0</v>
      </c>
      <c r="T12" s="89">
        <v>0</v>
      </c>
      <c r="U12" s="89">
        <v>0</v>
      </c>
      <c r="V12" s="31"/>
      <c r="W12" s="31"/>
      <c r="X12" s="31"/>
      <c r="Y12" s="31"/>
      <c r="Z12" s="31"/>
      <c r="AA12" s="31">
        <v>7</v>
      </c>
      <c r="AB12" s="90">
        <f t="shared" si="1"/>
        <v>6</v>
      </c>
      <c r="AC12" s="209">
        <v>3</v>
      </c>
      <c r="AD12" s="209">
        <v>3</v>
      </c>
      <c r="AE12" s="90">
        <f t="shared" si="2"/>
        <v>6</v>
      </c>
      <c r="AF12" s="91" t="str">
        <f t="shared" si="3"/>
        <v>ED</v>
      </c>
      <c r="AG12" s="215">
        <f t="shared" si="4"/>
        <v>41</v>
      </c>
      <c r="AH12" s="295" t="str">
        <f t="shared" si="5"/>
        <v>REPROBADO</v>
      </c>
      <c r="AI12" s="296"/>
      <c r="AJ12" s="296"/>
      <c r="AK12" s="296"/>
      <c r="AL12" s="296"/>
      <c r="AM12" s="297"/>
      <c r="AN12" s="48" t="s">
        <v>98</v>
      </c>
      <c r="AO12" s="298">
        <f>COUNTIF(AF9:AF44,"DP")</f>
        <v>14</v>
      </c>
      <c r="AP12" s="297"/>
      <c r="AQ12" s="93"/>
      <c r="AR12" s="93"/>
    </row>
    <row r="13" spans="1:48" ht="12" customHeight="1" x14ac:dyDescent="0.35">
      <c r="A13" s="58">
        <v>5</v>
      </c>
      <c r="B13" s="88" t="str">
        <f>'C. FILIACION'!B12</f>
        <v>CORRALES BADANI ISAAC DIEGO</v>
      </c>
      <c r="C13" s="31">
        <v>10</v>
      </c>
      <c r="D13" s="31">
        <v>25</v>
      </c>
      <c r="E13" s="31">
        <v>35</v>
      </c>
      <c r="F13" s="31">
        <v>26</v>
      </c>
      <c r="G13" s="31"/>
      <c r="H13" s="31"/>
      <c r="I13" s="31"/>
      <c r="J13" s="31"/>
      <c r="K13" s="31"/>
      <c r="L13" s="31"/>
      <c r="M13" s="31"/>
      <c r="N13" s="31"/>
      <c r="O13" s="90">
        <f t="shared" si="0"/>
        <v>29</v>
      </c>
      <c r="P13" s="89">
        <v>16</v>
      </c>
      <c r="Q13" s="31">
        <v>20</v>
      </c>
      <c r="R13" s="89">
        <v>16</v>
      </c>
      <c r="S13" s="189">
        <v>35</v>
      </c>
      <c r="T13" s="189">
        <v>35</v>
      </c>
      <c r="U13" s="189">
        <v>35</v>
      </c>
      <c r="V13" s="31"/>
      <c r="W13" s="31"/>
      <c r="X13" s="31"/>
      <c r="Y13" s="31"/>
      <c r="Z13" s="31"/>
      <c r="AA13" s="31">
        <v>10</v>
      </c>
      <c r="AB13" s="90">
        <f t="shared" si="1"/>
        <v>26</v>
      </c>
      <c r="AC13" s="31">
        <v>4</v>
      </c>
      <c r="AD13" s="31">
        <v>3</v>
      </c>
      <c r="AE13" s="90">
        <f t="shared" si="2"/>
        <v>7</v>
      </c>
      <c r="AF13" s="91" t="str">
        <f t="shared" si="3"/>
        <v>DO</v>
      </c>
      <c r="AG13" s="215">
        <f t="shared" si="4"/>
        <v>82</v>
      </c>
      <c r="AH13" s="295" t="str">
        <f t="shared" si="5"/>
        <v>APROBADO</v>
      </c>
      <c r="AI13" s="296"/>
      <c r="AJ13" s="296"/>
      <c r="AK13" s="296"/>
      <c r="AL13" s="296"/>
      <c r="AM13" s="297"/>
      <c r="AN13" s="93"/>
      <c r="AO13" s="93"/>
      <c r="AP13" s="93"/>
      <c r="AQ13" s="93"/>
      <c r="AR13" s="93"/>
    </row>
    <row r="14" spans="1:48" ht="12" customHeight="1" x14ac:dyDescent="0.35">
      <c r="A14" s="58">
        <v>6</v>
      </c>
      <c r="B14" s="88" t="str">
        <f>'C. FILIACION'!B13</f>
        <v>DE LA CRUZ RADO BLADIMIR MARCOS</v>
      </c>
      <c r="C14" s="31">
        <v>6.1538461538461542</v>
      </c>
      <c r="D14" s="31">
        <v>20</v>
      </c>
      <c r="E14" s="31">
        <v>15</v>
      </c>
      <c r="F14" s="31">
        <v>26</v>
      </c>
      <c r="G14" s="31"/>
      <c r="H14" s="31"/>
      <c r="I14" s="31"/>
      <c r="J14" s="31"/>
      <c r="K14" s="31"/>
      <c r="L14" s="31"/>
      <c r="M14" s="31"/>
      <c r="N14" s="31"/>
      <c r="O14" s="90">
        <f t="shared" si="0"/>
        <v>20</v>
      </c>
      <c r="P14" s="89">
        <v>15</v>
      </c>
      <c r="Q14" s="89">
        <v>15</v>
      </c>
      <c r="R14" s="89">
        <v>13</v>
      </c>
      <c r="S14" s="89">
        <v>13</v>
      </c>
      <c r="T14" s="89">
        <v>13</v>
      </c>
      <c r="U14" s="89">
        <v>13</v>
      </c>
      <c r="V14" s="31"/>
      <c r="W14" s="31"/>
      <c r="X14" s="31"/>
      <c r="Y14" s="31"/>
      <c r="Z14" s="31"/>
      <c r="AA14" s="31">
        <v>7</v>
      </c>
      <c r="AB14" s="90">
        <f t="shared" si="1"/>
        <v>14</v>
      </c>
      <c r="AC14" s="209">
        <v>3</v>
      </c>
      <c r="AD14" s="209">
        <v>3</v>
      </c>
      <c r="AE14" s="90">
        <f t="shared" si="2"/>
        <v>6</v>
      </c>
      <c r="AF14" s="91" t="str">
        <f t="shared" si="3"/>
        <v>DA</v>
      </c>
      <c r="AG14" s="215">
        <f t="shared" si="4"/>
        <v>53.153846153846153</v>
      </c>
      <c r="AH14" s="295" t="str">
        <f t="shared" si="5"/>
        <v>APROBADO</v>
      </c>
      <c r="AI14" s="296"/>
      <c r="AJ14" s="296"/>
      <c r="AK14" s="296"/>
      <c r="AL14" s="296"/>
      <c r="AM14" s="297"/>
      <c r="AN14" s="93"/>
      <c r="AO14" s="93"/>
      <c r="AP14" s="93"/>
      <c r="AQ14" s="93"/>
      <c r="AR14" s="93"/>
    </row>
    <row r="15" spans="1:48" ht="12" customHeight="1" x14ac:dyDescent="0.35">
      <c r="A15" s="58">
        <v>7</v>
      </c>
      <c r="B15" s="88" t="str">
        <f>'C. FILIACION'!B14</f>
        <v>DELGADILLO QUISBERT MICHAEL DAVID</v>
      </c>
      <c r="C15" s="31">
        <v>10</v>
      </c>
      <c r="D15" s="31">
        <v>20</v>
      </c>
      <c r="E15" s="31">
        <v>35</v>
      </c>
      <c r="F15" s="31">
        <v>17</v>
      </c>
      <c r="G15" s="31"/>
      <c r="H15" s="31"/>
      <c r="I15" s="31"/>
      <c r="J15" s="31"/>
      <c r="K15" s="31"/>
      <c r="L15" s="31"/>
      <c r="M15" s="31"/>
      <c r="N15" s="31"/>
      <c r="O15" s="90">
        <f t="shared" si="0"/>
        <v>24</v>
      </c>
      <c r="P15" s="31">
        <v>32</v>
      </c>
      <c r="Q15" s="31">
        <v>35</v>
      </c>
      <c r="R15" s="187">
        <v>32</v>
      </c>
      <c r="S15" s="189">
        <v>35</v>
      </c>
      <c r="T15" s="189">
        <v>35</v>
      </c>
      <c r="U15" s="189">
        <v>35</v>
      </c>
      <c r="V15" s="31"/>
      <c r="W15" s="31"/>
      <c r="X15" s="31"/>
      <c r="Y15" s="31"/>
      <c r="Z15" s="31"/>
      <c r="AA15" s="31">
        <v>10</v>
      </c>
      <c r="AB15" s="90">
        <f t="shared" si="1"/>
        <v>34</v>
      </c>
      <c r="AC15" s="31">
        <v>3</v>
      </c>
      <c r="AD15" s="31">
        <v>4</v>
      </c>
      <c r="AE15" s="90">
        <f t="shared" si="2"/>
        <v>7</v>
      </c>
      <c r="AF15" s="91" t="str">
        <f t="shared" si="3"/>
        <v>DP</v>
      </c>
      <c r="AG15" s="215">
        <f t="shared" si="4"/>
        <v>85</v>
      </c>
      <c r="AH15" s="295" t="str">
        <f t="shared" si="5"/>
        <v>APROBADO</v>
      </c>
      <c r="AI15" s="296"/>
      <c r="AJ15" s="296"/>
      <c r="AK15" s="296"/>
      <c r="AL15" s="296"/>
      <c r="AM15" s="297"/>
      <c r="AN15" s="93"/>
      <c r="AO15" s="93"/>
      <c r="AP15" s="93"/>
      <c r="AQ15" s="93"/>
      <c r="AR15" s="93"/>
    </row>
    <row r="16" spans="1:48" ht="12" customHeight="1" x14ac:dyDescent="0.35">
      <c r="A16" s="58">
        <v>8</v>
      </c>
      <c r="B16" s="88" t="str">
        <f>'C. FILIACION'!B15</f>
        <v>DIAZ SAAVEDRA LEONARDO ADRIAN</v>
      </c>
      <c r="C16" s="31">
        <v>9.2307692307692299</v>
      </c>
      <c r="D16" s="31">
        <v>30</v>
      </c>
      <c r="E16" s="31">
        <v>35</v>
      </c>
      <c r="F16" s="31">
        <v>26</v>
      </c>
      <c r="G16" s="31"/>
      <c r="H16" s="31"/>
      <c r="I16" s="31"/>
      <c r="J16" s="31"/>
      <c r="K16" s="31"/>
      <c r="L16" s="31"/>
      <c r="M16" s="31"/>
      <c r="N16" s="31"/>
      <c r="O16" s="90">
        <f t="shared" si="0"/>
        <v>30</v>
      </c>
      <c r="P16" s="31">
        <v>15</v>
      </c>
      <c r="Q16" s="31">
        <v>16</v>
      </c>
      <c r="R16" s="187">
        <v>33</v>
      </c>
      <c r="S16" s="189">
        <v>35</v>
      </c>
      <c r="T16" s="189">
        <v>35</v>
      </c>
      <c r="U16" s="189">
        <v>35</v>
      </c>
      <c r="V16" s="31"/>
      <c r="W16" s="31"/>
      <c r="X16" s="31"/>
      <c r="Y16" s="31"/>
      <c r="Z16" s="31"/>
      <c r="AA16" s="31">
        <v>10</v>
      </c>
      <c r="AB16" s="90">
        <f t="shared" si="1"/>
        <v>28</v>
      </c>
      <c r="AC16" s="31">
        <v>4</v>
      </c>
      <c r="AD16" s="31">
        <v>4</v>
      </c>
      <c r="AE16" s="90">
        <f t="shared" si="2"/>
        <v>8</v>
      </c>
      <c r="AF16" s="91" t="str">
        <f t="shared" si="3"/>
        <v>DP</v>
      </c>
      <c r="AG16" s="215">
        <f t="shared" si="4"/>
        <v>85.230769230769226</v>
      </c>
      <c r="AH16" s="295" t="str">
        <f t="shared" si="5"/>
        <v>APROBADO</v>
      </c>
      <c r="AI16" s="296"/>
      <c r="AJ16" s="296"/>
      <c r="AK16" s="296"/>
      <c r="AL16" s="296"/>
      <c r="AM16" s="297"/>
      <c r="AN16" s="93"/>
      <c r="AO16" s="93"/>
      <c r="AP16" s="93"/>
      <c r="AQ16" s="93"/>
      <c r="AR16" s="93"/>
    </row>
    <row r="17" spans="1:44" ht="12" customHeight="1" x14ac:dyDescent="0.35">
      <c r="A17" s="58">
        <v>9</v>
      </c>
      <c r="B17" s="88" t="str">
        <f>'C. FILIACION'!B16</f>
        <v>HUAMAN TERAN JASON DANIEL</v>
      </c>
      <c r="C17" s="31">
        <v>9.2307692307692299</v>
      </c>
      <c r="D17" s="31">
        <v>20</v>
      </c>
      <c r="E17" s="31">
        <v>35</v>
      </c>
      <c r="F17" s="31">
        <v>18</v>
      </c>
      <c r="G17" s="31"/>
      <c r="H17" s="31"/>
      <c r="I17" s="31"/>
      <c r="J17" s="31"/>
      <c r="K17" s="31"/>
      <c r="L17" s="31"/>
      <c r="M17" s="31"/>
      <c r="N17" s="31"/>
      <c r="O17" s="90">
        <f t="shared" si="0"/>
        <v>24</v>
      </c>
      <c r="P17" s="31">
        <v>20</v>
      </c>
      <c r="Q17" s="31">
        <v>15</v>
      </c>
      <c r="R17" s="187">
        <v>35</v>
      </c>
      <c r="S17" s="189">
        <v>31</v>
      </c>
      <c r="T17" s="189">
        <v>31</v>
      </c>
      <c r="U17" s="189">
        <v>31</v>
      </c>
      <c r="V17" s="31"/>
      <c r="W17" s="31"/>
      <c r="X17" s="31"/>
      <c r="Y17" s="31"/>
      <c r="Z17" s="31"/>
      <c r="AA17" s="31">
        <v>10</v>
      </c>
      <c r="AB17" s="90">
        <f t="shared" si="1"/>
        <v>27</v>
      </c>
      <c r="AC17" s="209">
        <v>3</v>
      </c>
      <c r="AD17" s="209">
        <v>3</v>
      </c>
      <c r="AE17" s="90">
        <f t="shared" si="2"/>
        <v>6</v>
      </c>
      <c r="AF17" s="91" t="str">
        <f t="shared" si="3"/>
        <v>DO</v>
      </c>
      <c r="AG17" s="215">
        <f t="shared" si="4"/>
        <v>76.230769230769226</v>
      </c>
      <c r="AH17" s="295" t="str">
        <f t="shared" si="5"/>
        <v>APROBADO</v>
      </c>
      <c r="AI17" s="296"/>
      <c r="AJ17" s="296"/>
      <c r="AK17" s="296"/>
      <c r="AL17" s="296"/>
      <c r="AM17" s="297"/>
      <c r="AN17" s="93"/>
      <c r="AO17" s="93"/>
      <c r="AP17" s="93"/>
      <c r="AQ17" s="93"/>
      <c r="AR17" s="93"/>
    </row>
    <row r="18" spans="1:44" ht="12" customHeight="1" x14ac:dyDescent="0.35">
      <c r="A18" s="58">
        <v>10</v>
      </c>
      <c r="B18" s="88" t="str">
        <f>'C. FILIACION'!B17</f>
        <v>HUARAYO MORALES NICOLAS FABRICIO</v>
      </c>
      <c r="C18" s="31">
        <v>10</v>
      </c>
      <c r="D18" s="31">
        <v>25</v>
      </c>
      <c r="E18" s="31">
        <v>15</v>
      </c>
      <c r="F18" s="31">
        <v>26</v>
      </c>
      <c r="G18" s="31"/>
      <c r="H18" s="31"/>
      <c r="I18" s="31"/>
      <c r="J18" s="31"/>
      <c r="K18" s="31"/>
      <c r="L18" s="31"/>
      <c r="M18" s="31"/>
      <c r="N18" s="31"/>
      <c r="O18" s="90">
        <f t="shared" si="0"/>
        <v>22</v>
      </c>
      <c r="P18" s="31">
        <v>15</v>
      </c>
      <c r="Q18" s="31">
        <v>18</v>
      </c>
      <c r="R18" s="187">
        <v>15</v>
      </c>
      <c r="S18" s="189">
        <v>16</v>
      </c>
      <c r="T18" s="189">
        <v>16</v>
      </c>
      <c r="U18" s="189">
        <v>16</v>
      </c>
      <c r="V18" s="31"/>
      <c r="W18" s="31"/>
      <c r="X18" s="31"/>
      <c r="Y18" s="31"/>
      <c r="Z18" s="31"/>
      <c r="AA18" s="31">
        <v>10</v>
      </c>
      <c r="AB18" s="90">
        <f t="shared" si="1"/>
        <v>16</v>
      </c>
      <c r="AC18" s="209">
        <v>3</v>
      </c>
      <c r="AD18" s="209">
        <v>3</v>
      </c>
      <c r="AE18" s="90">
        <f t="shared" si="2"/>
        <v>6</v>
      </c>
      <c r="AF18" s="91" t="str">
        <f t="shared" si="3"/>
        <v>DA</v>
      </c>
      <c r="AG18" s="215">
        <f t="shared" si="4"/>
        <v>64</v>
      </c>
      <c r="AH18" s="295" t="str">
        <f t="shared" si="5"/>
        <v>APROBADO</v>
      </c>
      <c r="AI18" s="296"/>
      <c r="AJ18" s="296"/>
      <c r="AK18" s="296"/>
      <c r="AL18" s="296"/>
      <c r="AM18" s="297"/>
      <c r="AN18" s="93"/>
      <c r="AO18" s="93"/>
      <c r="AP18" s="93"/>
      <c r="AQ18" s="93"/>
      <c r="AR18" s="93"/>
    </row>
    <row r="19" spans="1:44" ht="12" customHeight="1" x14ac:dyDescent="0.35">
      <c r="A19" s="58">
        <v>11</v>
      </c>
      <c r="B19" s="88" t="str">
        <f>'C. FILIACION'!B18</f>
        <v>MENDOZA VACA MIKHAEL NAIM</v>
      </c>
      <c r="C19" s="31">
        <v>8.4615384615384617</v>
      </c>
      <c r="D19" s="31">
        <v>18</v>
      </c>
      <c r="E19" s="31">
        <v>15</v>
      </c>
      <c r="F19" s="31">
        <v>14</v>
      </c>
      <c r="G19" s="31"/>
      <c r="H19" s="31"/>
      <c r="I19" s="31"/>
      <c r="J19" s="31"/>
      <c r="K19" s="31"/>
      <c r="L19" s="31"/>
      <c r="M19" s="31"/>
      <c r="N19" s="31"/>
      <c r="O19" s="90">
        <f t="shared" si="0"/>
        <v>16</v>
      </c>
      <c r="P19" s="31">
        <v>19</v>
      </c>
      <c r="Q19" s="31">
        <v>17</v>
      </c>
      <c r="R19" s="187">
        <v>23</v>
      </c>
      <c r="S19" s="189">
        <v>33</v>
      </c>
      <c r="T19" s="189">
        <v>33</v>
      </c>
      <c r="U19" s="189">
        <v>33</v>
      </c>
      <c r="V19" s="31"/>
      <c r="W19" s="31"/>
      <c r="X19" s="31"/>
      <c r="Y19" s="31"/>
      <c r="Z19" s="31"/>
      <c r="AA19" s="31">
        <v>7</v>
      </c>
      <c r="AB19" s="90">
        <f t="shared" si="1"/>
        <v>26</v>
      </c>
      <c r="AC19" s="209">
        <v>3</v>
      </c>
      <c r="AD19" s="209">
        <v>3</v>
      </c>
      <c r="AE19" s="90">
        <f t="shared" si="2"/>
        <v>6</v>
      </c>
      <c r="AF19" s="91" t="str">
        <f t="shared" si="3"/>
        <v>DA</v>
      </c>
      <c r="AG19" s="215">
        <f t="shared" si="4"/>
        <v>63.46153846153846</v>
      </c>
      <c r="AH19" s="295" t="str">
        <f t="shared" si="5"/>
        <v>APROBADO</v>
      </c>
      <c r="AI19" s="296"/>
      <c r="AJ19" s="296"/>
      <c r="AK19" s="296"/>
      <c r="AL19" s="296"/>
      <c r="AM19" s="297"/>
      <c r="AN19" s="93"/>
      <c r="AO19" s="93"/>
      <c r="AP19" s="93"/>
      <c r="AQ19" s="93"/>
      <c r="AR19" s="93"/>
    </row>
    <row r="20" spans="1:44" ht="12" customHeight="1" x14ac:dyDescent="0.35">
      <c r="A20" s="58">
        <v>12</v>
      </c>
      <c r="B20" s="88" t="str">
        <f>'C. FILIACION'!B19</f>
        <v>NAVIA ASCUI BELEN ANDREA</v>
      </c>
      <c r="C20" s="31">
        <v>10</v>
      </c>
      <c r="D20" s="31">
        <v>25</v>
      </c>
      <c r="E20" s="31">
        <v>35</v>
      </c>
      <c r="F20" s="31">
        <v>15</v>
      </c>
      <c r="G20" s="31"/>
      <c r="H20" s="31"/>
      <c r="I20" s="31"/>
      <c r="J20" s="31"/>
      <c r="K20" s="31"/>
      <c r="L20" s="31"/>
      <c r="M20" s="31"/>
      <c r="N20" s="31"/>
      <c r="O20" s="90">
        <f t="shared" si="0"/>
        <v>25</v>
      </c>
      <c r="P20" s="31">
        <v>15</v>
      </c>
      <c r="Q20" s="31">
        <v>15</v>
      </c>
      <c r="R20" s="187">
        <v>17</v>
      </c>
      <c r="S20" s="189">
        <v>35</v>
      </c>
      <c r="T20" s="189">
        <v>35</v>
      </c>
      <c r="U20" s="189">
        <v>35</v>
      </c>
      <c r="V20" s="31"/>
      <c r="W20" s="31"/>
      <c r="X20" s="31"/>
      <c r="Y20" s="31"/>
      <c r="Z20" s="31"/>
      <c r="AA20" s="31">
        <v>6</v>
      </c>
      <c r="AB20" s="90">
        <f t="shared" si="1"/>
        <v>25</v>
      </c>
      <c r="AC20" s="89">
        <v>4</v>
      </c>
      <c r="AD20" s="89">
        <v>5</v>
      </c>
      <c r="AE20" s="90">
        <f t="shared" si="2"/>
        <v>9</v>
      </c>
      <c r="AF20" s="91" t="str">
        <f t="shared" si="3"/>
        <v>DO</v>
      </c>
      <c r="AG20" s="215">
        <f t="shared" si="4"/>
        <v>75</v>
      </c>
      <c r="AH20" s="295" t="str">
        <f t="shared" si="5"/>
        <v>APROBADO</v>
      </c>
      <c r="AI20" s="296"/>
      <c r="AJ20" s="296"/>
      <c r="AK20" s="296"/>
      <c r="AL20" s="296"/>
      <c r="AM20" s="297"/>
      <c r="AN20" s="93"/>
      <c r="AO20" s="93"/>
      <c r="AP20" s="93"/>
      <c r="AQ20" s="93"/>
      <c r="AR20" s="93"/>
    </row>
    <row r="21" spans="1:44" ht="12" customHeight="1" x14ac:dyDescent="0.35">
      <c r="A21" s="58">
        <v>13</v>
      </c>
      <c r="B21" s="88" t="str">
        <f>'C. FILIACION'!B20</f>
        <v>QUISPE DIAZ KATHERIN LAURA</v>
      </c>
      <c r="C21" s="31">
        <v>9.2307692307692299</v>
      </c>
      <c r="D21" s="31">
        <v>20</v>
      </c>
      <c r="E21" s="31">
        <v>35</v>
      </c>
      <c r="F21" s="31">
        <v>29</v>
      </c>
      <c r="G21" s="31"/>
      <c r="H21" s="31"/>
      <c r="I21" s="31"/>
      <c r="J21" s="31"/>
      <c r="K21" s="31"/>
      <c r="L21" s="31"/>
      <c r="M21" s="31"/>
      <c r="N21" s="31"/>
      <c r="O21" s="90">
        <f t="shared" si="0"/>
        <v>28</v>
      </c>
      <c r="P21" s="31">
        <v>23</v>
      </c>
      <c r="Q21" s="31">
        <v>35</v>
      </c>
      <c r="R21" s="187">
        <v>20</v>
      </c>
      <c r="S21" s="189">
        <v>35</v>
      </c>
      <c r="T21" s="189">
        <v>35</v>
      </c>
      <c r="U21" s="189">
        <v>35</v>
      </c>
      <c r="V21" s="31"/>
      <c r="W21" s="31"/>
      <c r="X21" s="31"/>
      <c r="Y21" s="31"/>
      <c r="Z21" s="31"/>
      <c r="AA21" s="31">
        <v>8</v>
      </c>
      <c r="AB21" s="90">
        <f t="shared" si="1"/>
        <v>31</v>
      </c>
      <c r="AC21" s="89">
        <v>3</v>
      </c>
      <c r="AD21" s="89">
        <v>4</v>
      </c>
      <c r="AE21" s="90">
        <f t="shared" si="2"/>
        <v>7</v>
      </c>
      <c r="AF21" s="91" t="str">
        <f t="shared" si="3"/>
        <v>DO</v>
      </c>
      <c r="AG21" s="215">
        <f t="shared" si="4"/>
        <v>83.230769230769226</v>
      </c>
      <c r="AH21" s="295" t="str">
        <f t="shared" si="5"/>
        <v>APROBADO</v>
      </c>
      <c r="AI21" s="296"/>
      <c r="AJ21" s="296"/>
      <c r="AK21" s="296"/>
      <c r="AL21" s="296"/>
      <c r="AM21" s="297"/>
      <c r="AN21" s="93"/>
      <c r="AO21" s="93"/>
      <c r="AP21" s="93"/>
      <c r="AQ21" s="93"/>
      <c r="AR21" s="93"/>
    </row>
    <row r="22" spans="1:44" ht="12" customHeight="1" x14ac:dyDescent="0.35">
      <c r="A22" s="58">
        <v>14</v>
      </c>
      <c r="B22" s="88" t="str">
        <f>'C. FILIACION'!B21</f>
        <v>RAMOS MAMANI KRISTHEL GERALDINE</v>
      </c>
      <c r="C22" s="31">
        <v>9.2307692307692299</v>
      </c>
      <c r="D22" s="31">
        <v>20</v>
      </c>
      <c r="E22" s="31">
        <v>20</v>
      </c>
      <c r="F22" s="31">
        <v>21</v>
      </c>
      <c r="G22" s="31"/>
      <c r="H22" s="31"/>
      <c r="I22" s="31"/>
      <c r="J22" s="31"/>
      <c r="K22" s="31"/>
      <c r="L22" s="31"/>
      <c r="M22" s="31"/>
      <c r="N22" s="31"/>
      <c r="O22" s="90">
        <f t="shared" si="0"/>
        <v>20</v>
      </c>
      <c r="P22" s="31">
        <v>30</v>
      </c>
      <c r="Q22" s="31">
        <v>35</v>
      </c>
      <c r="R22" s="187">
        <v>30</v>
      </c>
      <c r="S22" s="189">
        <v>35</v>
      </c>
      <c r="T22" s="189">
        <v>35</v>
      </c>
      <c r="U22" s="189">
        <v>35</v>
      </c>
      <c r="V22" s="31"/>
      <c r="W22" s="31"/>
      <c r="X22" s="31"/>
      <c r="Y22" s="31"/>
      <c r="Z22" s="31"/>
      <c r="AA22" s="31">
        <v>10</v>
      </c>
      <c r="AB22" s="90">
        <f t="shared" si="1"/>
        <v>33</v>
      </c>
      <c r="AC22" s="31">
        <v>5</v>
      </c>
      <c r="AD22" s="31">
        <v>5</v>
      </c>
      <c r="AE22" s="90">
        <f t="shared" si="2"/>
        <v>10</v>
      </c>
      <c r="AF22" s="91" t="str">
        <f t="shared" si="3"/>
        <v>DO</v>
      </c>
      <c r="AG22" s="215">
        <f t="shared" si="4"/>
        <v>82.230769230769226</v>
      </c>
      <c r="AH22" s="295" t="str">
        <f t="shared" si="5"/>
        <v>APROBADO</v>
      </c>
      <c r="AI22" s="296"/>
      <c r="AJ22" s="296"/>
      <c r="AK22" s="296"/>
      <c r="AL22" s="296"/>
      <c r="AM22" s="297"/>
      <c r="AN22" s="93"/>
      <c r="AO22" s="93"/>
      <c r="AP22" s="93"/>
      <c r="AQ22" s="93"/>
      <c r="AR22" s="93"/>
    </row>
    <row r="23" spans="1:44" ht="12" customHeight="1" x14ac:dyDescent="0.35">
      <c r="A23" s="58">
        <v>15</v>
      </c>
      <c r="B23" s="88" t="str">
        <f>'C. FILIACION'!B22</f>
        <v>RODRIGUEZ LOBATON YADHIRA CIELO</v>
      </c>
      <c r="C23" s="31">
        <v>10</v>
      </c>
      <c r="D23" s="31">
        <v>18</v>
      </c>
      <c r="E23" s="31">
        <v>15</v>
      </c>
      <c r="F23" s="31">
        <v>10</v>
      </c>
      <c r="G23" s="31"/>
      <c r="H23" s="31"/>
      <c r="I23" s="31"/>
      <c r="J23" s="31"/>
      <c r="K23" s="31"/>
      <c r="L23" s="31"/>
      <c r="M23" s="31"/>
      <c r="N23" s="31"/>
      <c r="O23" s="90">
        <f t="shared" si="0"/>
        <v>14</v>
      </c>
      <c r="P23" s="31">
        <v>15</v>
      </c>
      <c r="Q23" s="31">
        <v>16</v>
      </c>
      <c r="R23" s="187">
        <v>15</v>
      </c>
      <c r="S23" s="189">
        <v>17</v>
      </c>
      <c r="T23" s="189">
        <v>17</v>
      </c>
      <c r="U23" s="189">
        <v>17</v>
      </c>
      <c r="V23" s="31"/>
      <c r="W23" s="31"/>
      <c r="X23" s="31"/>
      <c r="Y23" s="31"/>
      <c r="Z23" s="31"/>
      <c r="AA23" s="31">
        <v>6</v>
      </c>
      <c r="AB23" s="90">
        <f t="shared" si="1"/>
        <v>16</v>
      </c>
      <c r="AC23" s="31">
        <v>3</v>
      </c>
      <c r="AD23" s="89">
        <v>3</v>
      </c>
      <c r="AE23" s="90">
        <f t="shared" si="2"/>
        <v>6</v>
      </c>
      <c r="AF23" s="91" t="str">
        <f t="shared" si="3"/>
        <v>DA</v>
      </c>
      <c r="AG23" s="215">
        <f t="shared" si="4"/>
        <v>52</v>
      </c>
      <c r="AH23" s="295" t="str">
        <f t="shared" si="5"/>
        <v>APROBADO</v>
      </c>
      <c r="AI23" s="296"/>
      <c r="AJ23" s="296"/>
      <c r="AK23" s="296"/>
      <c r="AL23" s="296"/>
      <c r="AM23" s="297"/>
      <c r="AN23" s="93"/>
      <c r="AO23" s="93"/>
      <c r="AP23" s="93"/>
      <c r="AQ23" s="93"/>
      <c r="AR23" s="93"/>
    </row>
    <row r="24" spans="1:44" ht="12" customHeight="1" x14ac:dyDescent="0.35">
      <c r="A24" s="58">
        <v>16</v>
      </c>
      <c r="B24" s="88" t="str">
        <f>'C. FILIACION'!B23</f>
        <v>ROJAS CANAVIRI VICTOR ANDRE</v>
      </c>
      <c r="C24" s="31">
        <v>10</v>
      </c>
      <c r="D24" s="31">
        <v>20</v>
      </c>
      <c r="E24" s="31">
        <v>15</v>
      </c>
      <c r="F24" s="31">
        <v>13</v>
      </c>
      <c r="G24" s="31"/>
      <c r="H24" s="31"/>
      <c r="I24" s="31"/>
      <c r="J24" s="31"/>
      <c r="K24" s="31"/>
      <c r="L24" s="31"/>
      <c r="M24" s="31"/>
      <c r="N24" s="31"/>
      <c r="O24" s="90">
        <f t="shared" si="0"/>
        <v>16</v>
      </c>
      <c r="P24" s="31">
        <v>16</v>
      </c>
      <c r="Q24" s="89">
        <v>15</v>
      </c>
      <c r="R24" s="187">
        <v>15</v>
      </c>
      <c r="S24" s="189">
        <v>17</v>
      </c>
      <c r="T24" s="189">
        <v>17</v>
      </c>
      <c r="U24" s="189">
        <v>17</v>
      </c>
      <c r="V24" s="31"/>
      <c r="W24" s="31"/>
      <c r="X24" s="31"/>
      <c r="Y24" s="31"/>
      <c r="Z24" s="31"/>
      <c r="AA24" s="31">
        <v>6</v>
      </c>
      <c r="AB24" s="90">
        <f t="shared" si="1"/>
        <v>16</v>
      </c>
      <c r="AC24" s="209">
        <v>5</v>
      </c>
      <c r="AD24" s="209">
        <v>4</v>
      </c>
      <c r="AE24" s="90">
        <f t="shared" si="2"/>
        <v>9</v>
      </c>
      <c r="AF24" s="91" t="str">
        <f t="shared" si="3"/>
        <v>DA</v>
      </c>
      <c r="AG24" s="215">
        <f t="shared" si="4"/>
        <v>57</v>
      </c>
      <c r="AH24" s="295" t="str">
        <f t="shared" si="5"/>
        <v>APROBADO</v>
      </c>
      <c r="AI24" s="296"/>
      <c r="AJ24" s="296"/>
      <c r="AK24" s="296"/>
      <c r="AL24" s="296"/>
      <c r="AM24" s="297"/>
      <c r="AN24" s="93"/>
      <c r="AO24" s="93"/>
      <c r="AP24" s="93"/>
      <c r="AQ24" s="93"/>
      <c r="AR24" s="93"/>
    </row>
    <row r="25" spans="1:44" ht="12" customHeight="1" x14ac:dyDescent="0.35">
      <c r="A25" s="58">
        <v>17</v>
      </c>
      <c r="B25" s="88" t="str">
        <f>'C. FILIACION'!B24</f>
        <v>ROJAS LENIS GABRIEL</v>
      </c>
      <c r="C25" s="31">
        <v>7.6923076923076925</v>
      </c>
      <c r="D25" s="31">
        <v>15</v>
      </c>
      <c r="E25" s="31">
        <v>18</v>
      </c>
      <c r="F25" s="31">
        <v>14</v>
      </c>
      <c r="G25" s="31"/>
      <c r="H25" s="31"/>
      <c r="I25" s="31"/>
      <c r="J25" s="31"/>
      <c r="K25" s="31"/>
      <c r="L25" s="31"/>
      <c r="M25" s="31"/>
      <c r="N25" s="31"/>
      <c r="O25" s="90">
        <f t="shared" si="0"/>
        <v>16</v>
      </c>
      <c r="P25" s="89">
        <v>17</v>
      </c>
      <c r="Q25" s="89">
        <v>15</v>
      </c>
      <c r="R25" s="187">
        <v>16</v>
      </c>
      <c r="S25" s="189">
        <v>14</v>
      </c>
      <c r="T25" s="189">
        <v>14</v>
      </c>
      <c r="U25" s="189">
        <v>14</v>
      </c>
      <c r="V25" s="31"/>
      <c r="W25" s="31"/>
      <c r="X25" s="31"/>
      <c r="Y25" s="31"/>
      <c r="Z25" s="31"/>
      <c r="AA25" s="31">
        <v>6</v>
      </c>
      <c r="AB25" s="90">
        <f t="shared" si="1"/>
        <v>15</v>
      </c>
      <c r="AC25" s="209">
        <v>3</v>
      </c>
      <c r="AD25" s="209">
        <v>3</v>
      </c>
      <c r="AE25" s="90">
        <f t="shared" si="2"/>
        <v>6</v>
      </c>
      <c r="AF25" s="91" t="str">
        <f t="shared" si="3"/>
        <v>ED</v>
      </c>
      <c r="AG25" s="215">
        <f t="shared" si="4"/>
        <v>50.692307692307693</v>
      </c>
      <c r="AH25" s="295" t="str">
        <f t="shared" si="5"/>
        <v>APROBADO</v>
      </c>
      <c r="AI25" s="296"/>
      <c r="AJ25" s="296"/>
      <c r="AK25" s="296"/>
      <c r="AL25" s="296"/>
      <c r="AM25" s="297"/>
      <c r="AN25" s="93"/>
      <c r="AO25" s="93"/>
      <c r="AP25" s="93"/>
      <c r="AQ25" s="93"/>
      <c r="AR25" s="93"/>
    </row>
    <row r="26" spans="1:44" ht="12" customHeight="1" x14ac:dyDescent="0.35">
      <c r="A26" s="205">
        <v>18</v>
      </c>
      <c r="B26" s="199" t="str">
        <f>'C. FILIACION'!B25</f>
        <v>SUAREZ QUISPE JHUNIOR</v>
      </c>
      <c r="C26" s="200">
        <v>0</v>
      </c>
      <c r="D26" s="200">
        <v>0</v>
      </c>
      <c r="E26" s="200">
        <v>0</v>
      </c>
      <c r="F26" s="200"/>
      <c r="G26" s="200"/>
      <c r="H26" s="200"/>
      <c r="I26" s="200"/>
      <c r="J26" s="200"/>
      <c r="K26" s="200"/>
      <c r="L26" s="200"/>
      <c r="M26" s="200"/>
      <c r="N26" s="200"/>
      <c r="O26" s="201">
        <f t="shared" si="0"/>
        <v>0</v>
      </c>
      <c r="P26" s="200">
        <v>0</v>
      </c>
      <c r="Q26" s="200">
        <v>0</v>
      </c>
      <c r="R26" s="206">
        <v>0</v>
      </c>
      <c r="S26" s="207">
        <v>0</v>
      </c>
      <c r="T26" s="207">
        <v>0</v>
      </c>
      <c r="U26" s="207">
        <v>0</v>
      </c>
      <c r="V26" s="200"/>
      <c r="W26" s="200"/>
      <c r="X26" s="200"/>
      <c r="Y26" s="200"/>
      <c r="Z26" s="200"/>
      <c r="AA26" s="200">
        <v>10</v>
      </c>
      <c r="AB26" s="201">
        <f t="shared" si="1"/>
        <v>0</v>
      </c>
      <c r="AC26" s="200">
        <v>0</v>
      </c>
      <c r="AD26" s="200">
        <v>0</v>
      </c>
      <c r="AE26" s="201">
        <f t="shared" si="2"/>
        <v>0</v>
      </c>
      <c r="AF26" s="202" t="str">
        <f t="shared" si="3"/>
        <v>ED</v>
      </c>
      <c r="AG26" s="216">
        <f t="shared" si="4"/>
        <v>10</v>
      </c>
      <c r="AH26" s="317" t="str">
        <f t="shared" si="5"/>
        <v>REPROBADO</v>
      </c>
      <c r="AI26" s="318"/>
      <c r="AJ26" s="318"/>
      <c r="AK26" s="318"/>
      <c r="AL26" s="318"/>
      <c r="AM26" s="319"/>
      <c r="AN26" s="204"/>
      <c r="AO26" s="204"/>
      <c r="AP26" s="204"/>
      <c r="AQ26" s="204"/>
      <c r="AR26" s="204"/>
    </row>
    <row r="27" spans="1:44" ht="12" customHeight="1" x14ac:dyDescent="0.35">
      <c r="A27" s="58">
        <v>19</v>
      </c>
      <c r="B27" s="88" t="str">
        <f>'C. FILIACION'!B26</f>
        <v>VILAR CORTEZ MIKAELA DOLORES</v>
      </c>
      <c r="C27" s="31">
        <v>6.9230769230769234</v>
      </c>
      <c r="D27" s="31">
        <v>30</v>
      </c>
      <c r="E27" s="31">
        <v>15</v>
      </c>
      <c r="F27" s="31">
        <v>14</v>
      </c>
      <c r="G27" s="31"/>
      <c r="H27" s="31"/>
      <c r="I27" s="31"/>
      <c r="J27" s="31"/>
      <c r="K27" s="31"/>
      <c r="L27" s="31"/>
      <c r="M27" s="31"/>
      <c r="N27" s="31"/>
      <c r="O27" s="90">
        <f t="shared" si="0"/>
        <v>20</v>
      </c>
      <c r="P27" s="89">
        <v>15</v>
      </c>
      <c r="Q27" s="89">
        <v>15</v>
      </c>
      <c r="R27" s="187">
        <v>16</v>
      </c>
      <c r="S27" s="189">
        <v>17</v>
      </c>
      <c r="T27" s="189">
        <v>17</v>
      </c>
      <c r="U27" s="189">
        <v>17</v>
      </c>
      <c r="V27" s="31"/>
      <c r="W27" s="31"/>
      <c r="X27" s="31"/>
      <c r="Y27" s="31"/>
      <c r="Z27" s="31"/>
      <c r="AA27" s="31">
        <v>6</v>
      </c>
      <c r="AB27" s="90">
        <f t="shared" si="1"/>
        <v>16</v>
      </c>
      <c r="AC27" s="209">
        <v>3</v>
      </c>
      <c r="AD27" s="209">
        <v>3</v>
      </c>
      <c r="AE27" s="90">
        <f t="shared" si="2"/>
        <v>6</v>
      </c>
      <c r="AF27" s="91" t="str">
        <f t="shared" si="3"/>
        <v>DA</v>
      </c>
      <c r="AG27" s="215">
        <f t="shared" si="4"/>
        <v>54.92307692307692</v>
      </c>
      <c r="AH27" s="295" t="str">
        <f t="shared" si="5"/>
        <v>APROBADO</v>
      </c>
      <c r="AI27" s="296"/>
      <c r="AJ27" s="296"/>
      <c r="AK27" s="296"/>
      <c r="AL27" s="296"/>
      <c r="AM27" s="297"/>
      <c r="AN27" s="93"/>
      <c r="AO27" s="93"/>
      <c r="AP27" s="93"/>
      <c r="AQ27" s="93"/>
      <c r="AR27" s="93"/>
    </row>
    <row r="28" spans="1:44" ht="12" customHeight="1" x14ac:dyDescent="0.35">
      <c r="A28" s="58">
        <v>20</v>
      </c>
      <c r="B28" s="59" t="s">
        <v>167</v>
      </c>
      <c r="C28" s="31">
        <v>8</v>
      </c>
      <c r="D28" s="31">
        <v>20</v>
      </c>
      <c r="E28" s="31">
        <v>20</v>
      </c>
      <c r="F28" s="31">
        <v>26</v>
      </c>
      <c r="G28" s="31"/>
      <c r="H28" s="31"/>
      <c r="I28" s="31"/>
      <c r="J28" s="31"/>
      <c r="K28" s="31"/>
      <c r="L28" s="31"/>
      <c r="M28" s="31"/>
      <c r="N28" s="31"/>
      <c r="O28" s="90">
        <f t="shared" si="0"/>
        <v>22</v>
      </c>
      <c r="P28" s="89">
        <v>22</v>
      </c>
      <c r="Q28" s="89">
        <v>20</v>
      </c>
      <c r="R28" s="187">
        <v>20</v>
      </c>
      <c r="S28" s="189">
        <v>30</v>
      </c>
      <c r="T28" s="189">
        <v>30</v>
      </c>
      <c r="U28" s="189">
        <v>30</v>
      </c>
      <c r="V28" s="31"/>
      <c r="W28" s="31"/>
      <c r="X28" s="31"/>
      <c r="Y28" s="31"/>
      <c r="Z28" s="31"/>
      <c r="AA28" s="31">
        <v>10</v>
      </c>
      <c r="AB28" s="90">
        <f t="shared" si="1"/>
        <v>25</v>
      </c>
      <c r="AC28" s="209">
        <v>3</v>
      </c>
      <c r="AD28" s="209">
        <v>3</v>
      </c>
      <c r="AE28" s="90">
        <f t="shared" si="2"/>
        <v>6</v>
      </c>
      <c r="AF28" s="91" t="str">
        <f t="shared" si="3"/>
        <v>DO</v>
      </c>
      <c r="AG28" s="215">
        <f t="shared" si="4"/>
        <v>71</v>
      </c>
      <c r="AH28" s="295" t="str">
        <f t="shared" si="5"/>
        <v>APROBADO</v>
      </c>
      <c r="AI28" s="296"/>
      <c r="AJ28" s="296"/>
      <c r="AK28" s="296"/>
      <c r="AL28" s="296"/>
      <c r="AM28" s="297"/>
      <c r="AN28" s="93"/>
      <c r="AO28" s="93"/>
      <c r="AP28" s="93"/>
      <c r="AQ28" s="93"/>
      <c r="AR28" s="93"/>
    </row>
    <row r="29" spans="1:44" ht="12" customHeight="1" x14ac:dyDescent="0.35">
      <c r="A29" s="58">
        <v>21</v>
      </c>
      <c r="B29" s="59" t="s">
        <v>168</v>
      </c>
      <c r="C29" s="31">
        <v>9.2307692307692299</v>
      </c>
      <c r="D29" s="31">
        <v>15</v>
      </c>
      <c r="E29" s="31">
        <v>15</v>
      </c>
      <c r="F29" s="31">
        <v>14</v>
      </c>
      <c r="G29" s="31"/>
      <c r="H29" s="31"/>
      <c r="I29" s="31"/>
      <c r="J29" s="31"/>
      <c r="K29" s="31"/>
      <c r="L29" s="31"/>
      <c r="M29" s="31"/>
      <c r="N29" s="31"/>
      <c r="O29" s="90">
        <f t="shared" si="0"/>
        <v>15</v>
      </c>
      <c r="P29" s="89">
        <v>14</v>
      </c>
      <c r="Q29" s="89">
        <v>16</v>
      </c>
      <c r="R29" s="187">
        <v>17</v>
      </c>
      <c r="S29" s="189">
        <v>15</v>
      </c>
      <c r="T29" s="189">
        <v>15</v>
      </c>
      <c r="U29" s="189">
        <v>15</v>
      </c>
      <c r="V29" s="31"/>
      <c r="W29" s="31"/>
      <c r="X29" s="31"/>
      <c r="Y29" s="31"/>
      <c r="Z29" s="31"/>
      <c r="AA29" s="31">
        <v>6</v>
      </c>
      <c r="AB29" s="90">
        <f t="shared" si="1"/>
        <v>15</v>
      </c>
      <c r="AC29" s="209">
        <v>3</v>
      </c>
      <c r="AD29" s="209">
        <v>3</v>
      </c>
      <c r="AE29" s="90">
        <f t="shared" si="2"/>
        <v>6</v>
      </c>
      <c r="AF29" s="91" t="str">
        <f t="shared" si="3"/>
        <v>DA</v>
      </c>
      <c r="AG29" s="215">
        <f t="shared" si="4"/>
        <v>51.230769230769226</v>
      </c>
      <c r="AH29" s="295" t="str">
        <f t="shared" si="5"/>
        <v>APROBADO</v>
      </c>
      <c r="AI29" s="296"/>
      <c r="AJ29" s="296"/>
      <c r="AK29" s="296"/>
      <c r="AL29" s="296"/>
      <c r="AM29" s="297"/>
      <c r="AN29" s="93"/>
      <c r="AO29" s="93"/>
      <c r="AP29" s="93"/>
      <c r="AQ29" s="93"/>
      <c r="AR29" s="93"/>
    </row>
    <row r="30" spans="1:44" ht="12" customHeight="1" x14ac:dyDescent="0.35">
      <c r="A30" s="58">
        <v>22</v>
      </c>
      <c r="B30" s="190" t="s">
        <v>169</v>
      </c>
      <c r="C30" s="31">
        <v>9.2307692307692299</v>
      </c>
      <c r="D30" s="31">
        <v>20</v>
      </c>
      <c r="E30" s="31">
        <v>35</v>
      </c>
      <c r="F30" s="31">
        <v>14</v>
      </c>
      <c r="G30" s="31"/>
      <c r="H30" s="31"/>
      <c r="I30" s="31"/>
      <c r="J30" s="31"/>
      <c r="K30" s="31"/>
      <c r="L30" s="31"/>
      <c r="M30" s="31"/>
      <c r="N30" s="31"/>
      <c r="O30" s="90">
        <f t="shared" si="0"/>
        <v>23</v>
      </c>
      <c r="P30" s="31">
        <v>23</v>
      </c>
      <c r="Q30" s="31">
        <v>25</v>
      </c>
      <c r="R30" s="188">
        <v>30</v>
      </c>
      <c r="S30" s="189">
        <v>30</v>
      </c>
      <c r="T30" s="189">
        <v>30</v>
      </c>
      <c r="U30" s="189">
        <v>30</v>
      </c>
      <c r="V30" s="31"/>
      <c r="W30" s="31"/>
      <c r="X30" s="31"/>
      <c r="Y30" s="31"/>
      <c r="Z30" s="31"/>
      <c r="AA30" s="31">
        <v>10</v>
      </c>
      <c r="AB30" s="90">
        <f t="shared" si="1"/>
        <v>28</v>
      </c>
      <c r="AC30" s="31">
        <v>4</v>
      </c>
      <c r="AD30" s="31">
        <v>5</v>
      </c>
      <c r="AE30" s="90">
        <f t="shared" si="2"/>
        <v>9</v>
      </c>
      <c r="AF30" s="91" t="str">
        <f t="shared" si="3"/>
        <v>DO</v>
      </c>
      <c r="AG30" s="215">
        <f t="shared" si="4"/>
        <v>79.230769230769226</v>
      </c>
      <c r="AH30" s="295" t="str">
        <f t="shared" si="5"/>
        <v>APROBADO</v>
      </c>
      <c r="AI30" s="296"/>
      <c r="AJ30" s="296"/>
      <c r="AK30" s="296"/>
      <c r="AL30" s="296"/>
      <c r="AM30" s="297"/>
      <c r="AN30" s="93"/>
      <c r="AO30" s="93"/>
      <c r="AP30" s="93"/>
      <c r="AQ30" s="93"/>
      <c r="AR30" s="93"/>
    </row>
    <row r="31" spans="1:44" ht="12" customHeight="1" x14ac:dyDescent="0.35">
      <c r="A31" s="58">
        <v>23</v>
      </c>
      <c r="B31" s="191" t="s">
        <v>170</v>
      </c>
      <c r="C31" s="31">
        <v>9.2307692307692299</v>
      </c>
      <c r="D31" s="31">
        <v>20</v>
      </c>
      <c r="E31" s="31">
        <v>35</v>
      </c>
      <c r="F31" s="31">
        <v>19</v>
      </c>
      <c r="G31" s="31"/>
      <c r="H31" s="31"/>
      <c r="I31" s="31"/>
      <c r="J31" s="31"/>
      <c r="K31" s="31"/>
      <c r="L31" s="31"/>
      <c r="M31" s="31"/>
      <c r="N31" s="31"/>
      <c r="O31" s="90">
        <f t="shared" si="0"/>
        <v>25</v>
      </c>
      <c r="P31" s="31">
        <v>30</v>
      </c>
      <c r="Q31" s="31">
        <v>25</v>
      </c>
      <c r="R31" s="187">
        <v>30</v>
      </c>
      <c r="S31" s="189">
        <v>30</v>
      </c>
      <c r="T31" s="189">
        <v>30</v>
      </c>
      <c r="U31" s="189">
        <v>30</v>
      </c>
      <c r="V31" s="31"/>
      <c r="W31" s="31"/>
      <c r="X31" s="31"/>
      <c r="Y31" s="31"/>
      <c r="Z31" s="31"/>
      <c r="AA31" s="31">
        <v>10</v>
      </c>
      <c r="AB31" s="90">
        <f t="shared" si="1"/>
        <v>29</v>
      </c>
      <c r="AC31" s="31">
        <v>3</v>
      </c>
      <c r="AD31" s="31">
        <v>4</v>
      </c>
      <c r="AE31" s="90">
        <f t="shared" si="2"/>
        <v>7</v>
      </c>
      <c r="AF31" s="91" t="str">
        <f t="shared" si="3"/>
        <v>DO</v>
      </c>
      <c r="AG31" s="215">
        <f t="shared" si="4"/>
        <v>80.230769230769226</v>
      </c>
      <c r="AH31" s="295" t="str">
        <f t="shared" si="5"/>
        <v>APROBADO</v>
      </c>
      <c r="AI31" s="296"/>
      <c r="AJ31" s="296"/>
      <c r="AK31" s="296"/>
      <c r="AL31" s="296"/>
      <c r="AM31" s="297"/>
      <c r="AN31" s="93"/>
      <c r="AO31" s="93"/>
      <c r="AP31" s="93"/>
      <c r="AQ31" s="93"/>
      <c r="AR31" s="93"/>
    </row>
    <row r="32" spans="1:44" ht="12" customHeight="1" x14ac:dyDescent="0.35">
      <c r="A32" s="58">
        <v>24</v>
      </c>
      <c r="B32" s="88" t="str">
        <f>'C. FILIACION'!B31</f>
        <v xml:space="preserve">Flores Gutierrez Abel Manuel </v>
      </c>
      <c r="C32" s="31">
        <v>2</v>
      </c>
      <c r="D32" s="31">
        <v>18</v>
      </c>
      <c r="E32" s="31">
        <v>10</v>
      </c>
      <c r="F32" s="31">
        <v>20</v>
      </c>
      <c r="G32" s="31"/>
      <c r="H32" s="31"/>
      <c r="I32" s="31"/>
      <c r="J32" s="31"/>
      <c r="K32" s="31"/>
      <c r="L32" s="31"/>
      <c r="M32" s="31"/>
      <c r="N32" s="31"/>
      <c r="O32" s="90">
        <f t="shared" si="0"/>
        <v>16</v>
      </c>
      <c r="P32" s="31">
        <v>19</v>
      </c>
      <c r="Q32" s="89">
        <v>10</v>
      </c>
      <c r="R32" s="89">
        <v>20</v>
      </c>
      <c r="S32" s="89">
        <v>10</v>
      </c>
      <c r="T32" s="89">
        <v>20</v>
      </c>
      <c r="U32" s="89">
        <v>10</v>
      </c>
      <c r="V32" s="31"/>
      <c r="W32" s="89"/>
      <c r="X32" s="89"/>
      <c r="Y32" s="89"/>
      <c r="Z32" s="89"/>
      <c r="AA32" s="31">
        <v>3</v>
      </c>
      <c r="AB32" s="90">
        <f t="shared" si="1"/>
        <v>15</v>
      </c>
      <c r="AC32" s="31">
        <v>3</v>
      </c>
      <c r="AD32" s="31">
        <v>2</v>
      </c>
      <c r="AE32" s="90">
        <f t="shared" si="2"/>
        <v>5</v>
      </c>
      <c r="AF32" s="91" t="str">
        <f t="shared" si="3"/>
        <v>ED</v>
      </c>
      <c r="AG32" s="90">
        <f t="shared" si="4"/>
        <v>41</v>
      </c>
      <c r="AH32" s="295" t="str">
        <f t="shared" si="5"/>
        <v>REPROBADO</v>
      </c>
      <c r="AI32" s="296"/>
      <c r="AJ32" s="296"/>
      <c r="AK32" s="296"/>
      <c r="AL32" s="296"/>
      <c r="AM32" s="297"/>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5" t="str">
        <f t="shared" si="5"/>
        <v>APROBADO</v>
      </c>
      <c r="AI33" s="296"/>
      <c r="AJ33" s="296"/>
      <c r="AK33" s="296"/>
      <c r="AL33" s="296"/>
      <c r="AM33" s="297"/>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5" t="str">
        <f t="shared" si="5"/>
        <v>APROBADO</v>
      </c>
      <c r="AI34" s="296"/>
      <c r="AJ34" s="296"/>
      <c r="AK34" s="296"/>
      <c r="AL34" s="296"/>
      <c r="AM34" s="297"/>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5" t="str">
        <f t="shared" si="5"/>
        <v>APROBADO</v>
      </c>
      <c r="AI35" s="296"/>
      <c r="AJ35" s="296"/>
      <c r="AK35" s="296"/>
      <c r="AL35" s="296"/>
      <c r="AM35" s="297"/>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5" t="str">
        <f t="shared" si="5"/>
        <v>APROBADO</v>
      </c>
      <c r="AI36" s="296"/>
      <c r="AJ36" s="296"/>
      <c r="AK36" s="296"/>
      <c r="AL36" s="296"/>
      <c r="AM36" s="297"/>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5" t="str">
        <f t="shared" si="5"/>
        <v>APROBADO</v>
      </c>
      <c r="AI37" s="296"/>
      <c r="AJ37" s="296"/>
      <c r="AK37" s="296"/>
      <c r="AL37" s="296"/>
      <c r="AM37" s="297"/>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5" t="str">
        <f t="shared" si="5"/>
        <v>APROBADO</v>
      </c>
      <c r="AI38" s="296"/>
      <c r="AJ38" s="296"/>
      <c r="AK38" s="296"/>
      <c r="AL38" s="296"/>
      <c r="AM38" s="297"/>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5" t="str">
        <f t="shared" si="5"/>
        <v>APROBADO</v>
      </c>
      <c r="AI39" s="296"/>
      <c r="AJ39" s="296"/>
      <c r="AK39" s="296"/>
      <c r="AL39" s="296"/>
      <c r="AM39" s="297"/>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5" t="str">
        <f t="shared" si="5"/>
        <v>APROBADO</v>
      </c>
      <c r="AI40" s="296"/>
      <c r="AJ40" s="296"/>
      <c r="AK40" s="296"/>
      <c r="AL40" s="296"/>
      <c r="AM40" s="297"/>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5" t="str">
        <f t="shared" si="5"/>
        <v>APROBADO</v>
      </c>
      <c r="AI41" s="296"/>
      <c r="AJ41" s="296"/>
      <c r="AK41" s="296"/>
      <c r="AL41" s="296"/>
      <c r="AM41" s="297"/>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5" t="str">
        <f t="shared" si="5"/>
        <v>APROBADO</v>
      </c>
      <c r="AI42" s="296"/>
      <c r="AJ42" s="296"/>
      <c r="AK42" s="296"/>
      <c r="AL42" s="296"/>
      <c r="AM42" s="297"/>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5" t="str">
        <f t="shared" si="5"/>
        <v>APROBADO</v>
      </c>
      <c r="AI43" s="296"/>
      <c r="AJ43" s="296"/>
      <c r="AK43" s="296"/>
      <c r="AL43" s="296"/>
      <c r="AM43" s="297"/>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5" t="str">
        <f t="shared" si="5"/>
        <v>APROBADO</v>
      </c>
      <c r="AI44" s="296"/>
      <c r="AJ44" s="296"/>
      <c r="AK44" s="296"/>
      <c r="AL44" s="296"/>
      <c r="AM44" s="297"/>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V9:Z31 Q13:R31 Q9:U12 S14:U14 P9:P31 P32: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992187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14" t="s">
        <v>100</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3"/>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12" t="s">
        <v>52</v>
      </c>
      <c r="AD3" s="296"/>
      <c r="AE3" s="296"/>
      <c r="AF3" s="296"/>
      <c r="AG3" s="296"/>
      <c r="AH3" s="297"/>
      <c r="AI3" s="249">
        <f>CARÁTULA!$H$24</f>
        <v>44440</v>
      </c>
      <c r="AJ3" s="231"/>
      <c r="AK3" s="231"/>
      <c r="AL3" s="231"/>
      <c r="AM3" s="231"/>
      <c r="AN3" s="315" t="s">
        <v>53</v>
      </c>
      <c r="AO3" s="222"/>
      <c r="AP3" s="222"/>
      <c r="AQ3" s="222"/>
      <c r="AR3" s="223"/>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312" t="s">
        <v>55</v>
      </c>
      <c r="AD4" s="296"/>
      <c r="AE4" s="296"/>
      <c r="AF4" s="296"/>
      <c r="AG4" s="296"/>
      <c r="AH4" s="297"/>
      <c r="AI4" s="249">
        <f>CARÁTULA!$J$24</f>
        <v>44531</v>
      </c>
      <c r="AJ4" s="231"/>
      <c r="AK4" s="231"/>
      <c r="AL4" s="231"/>
      <c r="AM4" s="231"/>
      <c r="AN4" s="294">
        <f ca="1">AI4-AI5</f>
        <v>35</v>
      </c>
      <c r="AO4" s="241"/>
      <c r="AP4" s="241"/>
      <c r="AQ4" s="241"/>
      <c r="AR4" s="242"/>
    </row>
    <row r="5" spans="1:48" ht="12.75" customHeight="1" x14ac:dyDescent="0.4">
      <c r="A5" s="69"/>
      <c r="B5" s="72" t="s">
        <v>22</v>
      </c>
      <c r="C5" s="73" t="str">
        <f>CARÁTULA!$C$23</f>
        <v>3ro de Secundaria</v>
      </c>
      <c r="D5" s="74"/>
      <c r="E5" s="74"/>
      <c r="F5" s="74"/>
      <c r="G5" s="72"/>
      <c r="H5" s="72"/>
      <c r="I5" s="72"/>
      <c r="J5" s="72"/>
      <c r="K5" s="72"/>
      <c r="L5" s="72"/>
      <c r="M5" s="72"/>
      <c r="N5" s="72"/>
      <c r="O5" s="75" t="s">
        <v>23</v>
      </c>
      <c r="P5" s="77"/>
      <c r="Q5" s="77"/>
      <c r="R5" s="77"/>
      <c r="S5" s="308">
        <f ca="1">TODAY()</f>
        <v>44496</v>
      </c>
      <c r="T5" s="222"/>
      <c r="U5" s="222"/>
      <c r="V5" s="222"/>
      <c r="W5" s="222"/>
      <c r="X5" s="222"/>
      <c r="Y5" s="222"/>
      <c r="Z5" s="222"/>
      <c r="AA5" s="223"/>
      <c r="AB5" s="74"/>
      <c r="AC5" s="313" t="s">
        <v>56</v>
      </c>
      <c r="AD5" s="296"/>
      <c r="AE5" s="296"/>
      <c r="AF5" s="296"/>
      <c r="AG5" s="296"/>
      <c r="AH5" s="297"/>
      <c r="AI5" s="316">
        <f ca="1">TODAY()</f>
        <v>44496</v>
      </c>
      <c r="AJ5" s="231"/>
      <c r="AK5" s="231"/>
      <c r="AL5" s="231"/>
      <c r="AM5" s="231"/>
      <c r="AN5" s="243"/>
      <c r="AO5" s="244"/>
      <c r="AP5" s="244"/>
      <c r="AQ5" s="244"/>
      <c r="AR5" s="245"/>
    </row>
    <row r="6" spans="1:48" ht="12.75" customHeight="1" x14ac:dyDescent="0.4">
      <c r="A6" s="69"/>
      <c r="B6" s="72"/>
      <c r="C6" s="237" t="s">
        <v>78</v>
      </c>
      <c r="D6" s="238"/>
      <c r="E6" s="238"/>
      <c r="F6" s="238"/>
      <c r="G6" s="238"/>
      <c r="H6" s="238"/>
      <c r="I6" s="238"/>
      <c r="J6" s="238"/>
      <c r="K6" s="238"/>
      <c r="L6" s="238"/>
      <c r="M6" s="238"/>
      <c r="N6" s="238"/>
      <c r="O6" s="238"/>
      <c r="P6" s="238"/>
      <c r="Q6" s="238"/>
      <c r="R6" s="238"/>
      <c r="S6" s="238"/>
      <c r="T6" s="238"/>
      <c r="U6" s="238"/>
      <c r="V6" s="238"/>
      <c r="W6" s="238"/>
      <c r="X6" s="238"/>
      <c r="Y6" s="238"/>
      <c r="Z6" s="238"/>
      <c r="AA6" s="239"/>
      <c r="AB6" s="309" t="s">
        <v>79</v>
      </c>
      <c r="AC6" s="296"/>
      <c r="AD6" s="296"/>
      <c r="AE6" s="297"/>
      <c r="AF6" s="78"/>
      <c r="AG6" s="79"/>
      <c r="AH6" s="79"/>
      <c r="AI6" s="80"/>
      <c r="AJ6" s="81"/>
      <c r="AK6" s="81"/>
      <c r="AL6" s="81"/>
      <c r="AM6" s="81"/>
      <c r="AN6" s="82"/>
      <c r="AO6" s="82"/>
      <c r="AP6" s="82"/>
      <c r="AQ6" s="82"/>
      <c r="AR6" s="82"/>
    </row>
    <row r="7" spans="1:48" ht="12" customHeight="1" x14ac:dyDescent="0.4">
      <c r="A7" s="69"/>
      <c r="B7" s="83"/>
      <c r="C7" s="310" t="s">
        <v>80</v>
      </c>
      <c r="D7" s="311" t="s">
        <v>81</v>
      </c>
      <c r="E7" s="296"/>
      <c r="F7" s="296"/>
      <c r="G7" s="296"/>
      <c r="H7" s="296"/>
      <c r="I7" s="296"/>
      <c r="J7" s="296"/>
      <c r="K7" s="296"/>
      <c r="L7" s="296"/>
      <c r="M7" s="296"/>
      <c r="N7" s="296"/>
      <c r="O7" s="307" t="s">
        <v>82</v>
      </c>
      <c r="P7" s="311" t="s">
        <v>83</v>
      </c>
      <c r="Q7" s="296"/>
      <c r="R7" s="296"/>
      <c r="S7" s="296"/>
      <c r="T7" s="296"/>
      <c r="U7" s="296"/>
      <c r="V7" s="296"/>
      <c r="W7" s="296"/>
      <c r="X7" s="296"/>
      <c r="Y7" s="296"/>
      <c r="Z7" s="296"/>
      <c r="AA7" s="306" t="s">
        <v>84</v>
      </c>
      <c r="AB7" s="307" t="s">
        <v>82</v>
      </c>
      <c r="AC7" s="306" t="s">
        <v>85</v>
      </c>
      <c r="AD7" s="306" t="s">
        <v>86</v>
      </c>
      <c r="AE7" s="307" t="s">
        <v>82</v>
      </c>
      <c r="AF7" s="299" t="s">
        <v>87</v>
      </c>
      <c r="AG7" s="301" t="s">
        <v>88</v>
      </c>
      <c r="AH7" s="302" t="s">
        <v>89</v>
      </c>
      <c r="AI7" s="238"/>
      <c r="AJ7" s="238"/>
      <c r="AK7" s="238"/>
      <c r="AL7" s="238"/>
      <c r="AM7" s="239"/>
      <c r="AN7" s="84"/>
      <c r="AO7" s="74"/>
      <c r="AP7" s="74"/>
      <c r="AQ7" s="74"/>
      <c r="AR7" s="69"/>
    </row>
    <row r="8" spans="1:48" ht="67.5" customHeight="1" x14ac:dyDescent="0.35">
      <c r="A8" s="48" t="s">
        <v>57</v>
      </c>
      <c r="B8" s="49" t="s">
        <v>58</v>
      </c>
      <c r="C8" s="300"/>
      <c r="D8" s="53"/>
      <c r="E8" s="53"/>
      <c r="F8" s="53"/>
      <c r="G8" s="53"/>
      <c r="H8" s="53"/>
      <c r="I8" s="53"/>
      <c r="J8" s="53"/>
      <c r="K8" s="53"/>
      <c r="L8" s="53"/>
      <c r="M8" s="53"/>
      <c r="N8" s="54"/>
      <c r="O8" s="300"/>
      <c r="P8" s="94"/>
      <c r="Q8" s="53"/>
      <c r="R8" s="53"/>
      <c r="S8" s="53"/>
      <c r="T8" s="53"/>
      <c r="U8" s="53"/>
      <c r="V8" s="53"/>
      <c r="W8" s="53"/>
      <c r="X8" s="53"/>
      <c r="Y8" s="53"/>
      <c r="Z8" s="53"/>
      <c r="AA8" s="300"/>
      <c r="AB8" s="300"/>
      <c r="AC8" s="300"/>
      <c r="AD8" s="300"/>
      <c r="AE8" s="300"/>
      <c r="AF8" s="300"/>
      <c r="AG8" s="300"/>
      <c r="AH8" s="303"/>
      <c r="AI8" s="304"/>
      <c r="AJ8" s="304"/>
      <c r="AK8" s="304"/>
      <c r="AL8" s="304"/>
      <c r="AM8" s="305"/>
      <c r="AN8" s="86"/>
      <c r="AO8" s="86"/>
      <c r="AP8" s="86"/>
      <c r="AQ8" s="86"/>
      <c r="AR8" s="87"/>
    </row>
    <row r="9" spans="1:48" ht="12" customHeight="1" x14ac:dyDescent="0.35">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95" t="str">
        <f t="shared" ref="AH9:AH44" si="5">IF(AG9="","",(IF(AND(AG9&gt;=1,AG9&lt;=50.499),"REPROBADO",IF(AND(AG9&gt;=50.5,AG9&lt;=100),"APROBADO"))))</f>
        <v>APROBADO</v>
      </c>
      <c r="AI9" s="296"/>
      <c r="AJ9" s="296"/>
      <c r="AK9" s="296"/>
      <c r="AL9" s="296"/>
      <c r="AM9" s="297"/>
      <c r="AN9" s="92" t="s">
        <v>95</v>
      </c>
      <c r="AO9" s="298">
        <f>COUNTIF(AF9:AF44,"ED")</f>
        <v>0</v>
      </c>
      <c r="AP9" s="297"/>
      <c r="AQ9" s="93"/>
      <c r="AR9" s="93"/>
    </row>
    <row r="10" spans="1:48" ht="12" customHeight="1" x14ac:dyDescent="0.35">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95" t="str">
        <f t="shared" si="5"/>
        <v>APROBADO</v>
      </c>
      <c r="AI10" s="296"/>
      <c r="AJ10" s="296"/>
      <c r="AK10" s="296"/>
      <c r="AL10" s="296"/>
      <c r="AM10" s="297"/>
      <c r="AN10" s="48" t="s">
        <v>96</v>
      </c>
      <c r="AO10" s="298">
        <f>COUNTIF(AF9:AF44,"DA")</f>
        <v>0</v>
      </c>
      <c r="AP10" s="297"/>
      <c r="AQ10" s="93"/>
      <c r="AR10" s="93"/>
    </row>
    <row r="11" spans="1:48" ht="12" customHeight="1" x14ac:dyDescent="0.35">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95" t="str">
        <f t="shared" si="5"/>
        <v>APROBADO</v>
      </c>
      <c r="AI11" s="296"/>
      <c r="AJ11" s="296"/>
      <c r="AK11" s="296"/>
      <c r="AL11" s="296"/>
      <c r="AM11" s="297"/>
      <c r="AN11" s="48" t="s">
        <v>97</v>
      </c>
      <c r="AO11" s="298">
        <f>COUNTIF(AF9:AF44,"DO")</f>
        <v>0</v>
      </c>
      <c r="AP11" s="297"/>
      <c r="AQ11" s="93"/>
      <c r="AR11" s="93"/>
    </row>
    <row r="12" spans="1:48" ht="12" customHeight="1" x14ac:dyDescent="0.35">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95" t="str">
        <f t="shared" si="5"/>
        <v>APROBADO</v>
      </c>
      <c r="AI12" s="296"/>
      <c r="AJ12" s="296"/>
      <c r="AK12" s="296"/>
      <c r="AL12" s="296"/>
      <c r="AM12" s="297"/>
      <c r="AN12" s="48" t="s">
        <v>98</v>
      </c>
      <c r="AO12" s="298">
        <f>COUNTIF(AF9:AF44,"DP")</f>
        <v>36</v>
      </c>
      <c r="AP12" s="297"/>
      <c r="AQ12" s="93"/>
      <c r="AR12" s="93"/>
    </row>
    <row r="13" spans="1:48" ht="12" customHeight="1" x14ac:dyDescent="0.35">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95" t="str">
        <f t="shared" si="5"/>
        <v>APROBADO</v>
      </c>
      <c r="AI13" s="296"/>
      <c r="AJ13" s="296"/>
      <c r="AK13" s="296"/>
      <c r="AL13" s="296"/>
      <c r="AM13" s="297"/>
      <c r="AN13" s="93"/>
      <c r="AO13" s="93"/>
      <c r="AP13" s="93"/>
      <c r="AQ13" s="93"/>
      <c r="AR13" s="93"/>
    </row>
    <row r="14" spans="1:48" ht="12" customHeight="1" x14ac:dyDescent="0.35">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95" t="str">
        <f t="shared" si="5"/>
        <v>APROBADO</v>
      </c>
      <c r="AI14" s="296"/>
      <c r="AJ14" s="296"/>
      <c r="AK14" s="296"/>
      <c r="AL14" s="296"/>
      <c r="AM14" s="297"/>
      <c r="AN14" s="93"/>
      <c r="AO14" s="93"/>
      <c r="AP14" s="93"/>
      <c r="AQ14" s="93"/>
      <c r="AR14" s="93"/>
    </row>
    <row r="15" spans="1:48" ht="12" customHeight="1" x14ac:dyDescent="0.35">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95" t="str">
        <f t="shared" si="5"/>
        <v>APROBADO</v>
      </c>
      <c r="AI15" s="296"/>
      <c r="AJ15" s="296"/>
      <c r="AK15" s="296"/>
      <c r="AL15" s="296"/>
      <c r="AM15" s="297"/>
      <c r="AN15" s="93"/>
      <c r="AO15" s="93"/>
      <c r="AP15" s="93"/>
      <c r="AQ15" s="93"/>
      <c r="AR15" s="93"/>
    </row>
    <row r="16" spans="1:48" ht="12" customHeight="1" x14ac:dyDescent="0.35">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95" t="str">
        <f t="shared" si="5"/>
        <v>APROBADO</v>
      </c>
      <c r="AI16" s="296"/>
      <c r="AJ16" s="296"/>
      <c r="AK16" s="296"/>
      <c r="AL16" s="296"/>
      <c r="AM16" s="297"/>
      <c r="AN16" s="93"/>
      <c r="AO16" s="93"/>
      <c r="AP16" s="93"/>
      <c r="AQ16" s="93"/>
      <c r="AR16" s="93"/>
    </row>
    <row r="17" spans="1:44" ht="12" customHeight="1" x14ac:dyDescent="0.35">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95" t="str">
        <f t="shared" si="5"/>
        <v>APROBADO</v>
      </c>
      <c r="AI17" s="296"/>
      <c r="AJ17" s="296"/>
      <c r="AK17" s="296"/>
      <c r="AL17" s="296"/>
      <c r="AM17" s="297"/>
      <c r="AN17" s="93"/>
      <c r="AO17" s="93"/>
      <c r="AP17" s="93"/>
      <c r="AQ17" s="93"/>
      <c r="AR17" s="93"/>
    </row>
    <row r="18" spans="1:44" ht="12" customHeight="1" x14ac:dyDescent="0.35">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95" t="str">
        <f t="shared" si="5"/>
        <v>APROBADO</v>
      </c>
      <c r="AI18" s="296"/>
      <c r="AJ18" s="296"/>
      <c r="AK18" s="296"/>
      <c r="AL18" s="296"/>
      <c r="AM18" s="297"/>
      <c r="AN18" s="93"/>
      <c r="AO18" s="93"/>
      <c r="AP18" s="93"/>
      <c r="AQ18" s="93"/>
      <c r="AR18" s="93"/>
    </row>
    <row r="19" spans="1:44" ht="12" customHeight="1" x14ac:dyDescent="0.35">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95" t="str">
        <f t="shared" si="5"/>
        <v>APROBADO</v>
      </c>
      <c r="AI19" s="296"/>
      <c r="AJ19" s="296"/>
      <c r="AK19" s="296"/>
      <c r="AL19" s="296"/>
      <c r="AM19" s="297"/>
      <c r="AN19" s="93"/>
      <c r="AO19" s="93"/>
      <c r="AP19" s="93"/>
      <c r="AQ19" s="93"/>
      <c r="AR19" s="93"/>
    </row>
    <row r="20" spans="1:44" ht="12" customHeight="1" x14ac:dyDescent="0.35">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95" t="str">
        <f t="shared" si="5"/>
        <v>APROBADO</v>
      </c>
      <c r="AI20" s="296"/>
      <c r="AJ20" s="296"/>
      <c r="AK20" s="296"/>
      <c r="AL20" s="296"/>
      <c r="AM20" s="297"/>
      <c r="AN20" s="93"/>
      <c r="AO20" s="93"/>
      <c r="AP20" s="93"/>
      <c r="AQ20" s="93"/>
      <c r="AR20" s="93"/>
    </row>
    <row r="21" spans="1:44" ht="12" customHeight="1" x14ac:dyDescent="0.35">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95" t="str">
        <f t="shared" si="5"/>
        <v>APROBADO</v>
      </c>
      <c r="AI21" s="296"/>
      <c r="AJ21" s="296"/>
      <c r="AK21" s="296"/>
      <c r="AL21" s="296"/>
      <c r="AM21" s="297"/>
      <c r="AN21" s="93"/>
      <c r="AO21" s="93"/>
      <c r="AP21" s="93"/>
      <c r="AQ21" s="93"/>
      <c r="AR21" s="93"/>
    </row>
    <row r="22" spans="1:44" ht="12" customHeight="1" x14ac:dyDescent="0.35">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95" t="str">
        <f t="shared" si="5"/>
        <v>APROBADO</v>
      </c>
      <c r="AI22" s="296"/>
      <c r="AJ22" s="296"/>
      <c r="AK22" s="296"/>
      <c r="AL22" s="296"/>
      <c r="AM22" s="297"/>
      <c r="AN22" s="93"/>
      <c r="AO22" s="93"/>
      <c r="AP22" s="93"/>
      <c r="AQ22" s="93"/>
      <c r="AR22" s="93"/>
    </row>
    <row r="23" spans="1:44" ht="12" customHeight="1" x14ac:dyDescent="0.35">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95" t="str">
        <f t="shared" si="5"/>
        <v>APROBADO</v>
      </c>
      <c r="AI23" s="296"/>
      <c r="AJ23" s="296"/>
      <c r="AK23" s="296"/>
      <c r="AL23" s="296"/>
      <c r="AM23" s="297"/>
      <c r="AN23" s="93"/>
      <c r="AO23" s="93"/>
      <c r="AP23" s="93"/>
      <c r="AQ23" s="93"/>
      <c r="AR23" s="93"/>
    </row>
    <row r="24" spans="1:44" ht="12" customHeight="1" x14ac:dyDescent="0.35">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95" t="str">
        <f t="shared" si="5"/>
        <v>APROBADO</v>
      </c>
      <c r="AI24" s="296"/>
      <c r="AJ24" s="296"/>
      <c r="AK24" s="296"/>
      <c r="AL24" s="296"/>
      <c r="AM24" s="297"/>
      <c r="AN24" s="93"/>
      <c r="AO24" s="93"/>
      <c r="AP24" s="93"/>
      <c r="AQ24" s="93"/>
      <c r="AR24" s="93"/>
    </row>
    <row r="25" spans="1:44" ht="12" customHeight="1" x14ac:dyDescent="0.35">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95" t="str">
        <f t="shared" si="5"/>
        <v>APROBADO</v>
      </c>
      <c r="AI25" s="296"/>
      <c r="AJ25" s="296"/>
      <c r="AK25" s="296"/>
      <c r="AL25" s="296"/>
      <c r="AM25" s="297"/>
      <c r="AN25" s="93"/>
      <c r="AO25" s="93"/>
      <c r="AP25" s="93"/>
      <c r="AQ25" s="93"/>
      <c r="AR25" s="93"/>
    </row>
    <row r="26" spans="1:44" ht="12" customHeight="1" x14ac:dyDescent="0.35">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95" t="str">
        <f t="shared" si="5"/>
        <v>APROBADO</v>
      </c>
      <c r="AI26" s="296"/>
      <c r="AJ26" s="296"/>
      <c r="AK26" s="296"/>
      <c r="AL26" s="296"/>
      <c r="AM26" s="297"/>
      <c r="AN26" s="93"/>
      <c r="AO26" s="93"/>
      <c r="AP26" s="93"/>
      <c r="AQ26" s="93"/>
      <c r="AR26" s="93"/>
    </row>
    <row r="27" spans="1:44" ht="12" customHeight="1" x14ac:dyDescent="0.35">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95" t="str">
        <f t="shared" si="5"/>
        <v>APROBADO</v>
      </c>
      <c r="AI27" s="296"/>
      <c r="AJ27" s="296"/>
      <c r="AK27" s="296"/>
      <c r="AL27" s="296"/>
      <c r="AM27" s="297"/>
      <c r="AN27" s="93"/>
      <c r="AO27" s="93"/>
      <c r="AP27" s="93"/>
      <c r="AQ27" s="93"/>
      <c r="AR27" s="93"/>
    </row>
    <row r="28" spans="1:44" ht="12" customHeight="1" x14ac:dyDescent="0.35">
      <c r="A28" s="58">
        <v>20</v>
      </c>
      <c r="B28" s="88" t="str">
        <f>'C. FILIACION'!B27</f>
        <v>Tattum Rocha Elias</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95" t="str">
        <f t="shared" si="5"/>
        <v>APROBADO</v>
      </c>
      <c r="AI28" s="296"/>
      <c r="AJ28" s="296"/>
      <c r="AK28" s="296"/>
      <c r="AL28" s="296"/>
      <c r="AM28" s="297"/>
      <c r="AN28" s="93"/>
      <c r="AO28" s="93"/>
      <c r="AP28" s="93"/>
      <c r="AQ28" s="93"/>
      <c r="AR28" s="93"/>
    </row>
    <row r="29" spans="1:44" ht="12" customHeight="1" x14ac:dyDescent="0.35">
      <c r="A29" s="58">
        <v>21</v>
      </c>
      <c r="B29" s="88" t="str">
        <f>'C. FILIACION'!B28</f>
        <v>soria la fuente leonardo abel</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95" t="str">
        <f t="shared" si="5"/>
        <v>APROBADO</v>
      </c>
      <c r="AI29" s="296"/>
      <c r="AJ29" s="296"/>
      <c r="AK29" s="296"/>
      <c r="AL29" s="296"/>
      <c r="AM29" s="297"/>
      <c r="AN29" s="93"/>
      <c r="AO29" s="93"/>
      <c r="AP29" s="93"/>
      <c r="AQ29" s="93"/>
      <c r="AR29" s="93"/>
    </row>
    <row r="30" spans="1:44" ht="12" customHeight="1" x14ac:dyDescent="0.35">
      <c r="A30" s="58">
        <v>22</v>
      </c>
      <c r="B30" s="88" t="str">
        <f>'C. FILIACION'!B29</f>
        <v>Terrazas fuentes Salomon</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95" t="str">
        <f t="shared" si="5"/>
        <v>APROBADO</v>
      </c>
      <c r="AI30" s="296"/>
      <c r="AJ30" s="296"/>
      <c r="AK30" s="296"/>
      <c r="AL30" s="296"/>
      <c r="AM30" s="297"/>
      <c r="AN30" s="93"/>
      <c r="AO30" s="93"/>
      <c r="AP30" s="93"/>
      <c r="AQ30" s="93"/>
      <c r="AR30" s="93"/>
    </row>
    <row r="31" spans="1:44" ht="12" customHeight="1" x14ac:dyDescent="0.35">
      <c r="A31" s="58">
        <v>23</v>
      </c>
      <c r="B31" s="88" t="str">
        <f>'C. FILIACION'!B30</f>
        <v>Terrazas fuentes David</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95" t="str">
        <f t="shared" si="5"/>
        <v>APROBADO</v>
      </c>
      <c r="AI31" s="296"/>
      <c r="AJ31" s="296"/>
      <c r="AK31" s="296"/>
      <c r="AL31" s="296"/>
      <c r="AM31" s="297"/>
      <c r="AN31" s="93"/>
      <c r="AO31" s="93"/>
      <c r="AP31" s="93"/>
      <c r="AQ31" s="93"/>
      <c r="AR31" s="93"/>
    </row>
    <row r="32" spans="1:44" ht="12" customHeight="1" x14ac:dyDescent="0.35">
      <c r="A32" s="58">
        <v>24</v>
      </c>
      <c r="B32" s="88" t="str">
        <f>'C. FILIACION'!B31</f>
        <v xml:space="preserve">Flores Gutierrez Abel Manuel </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95" t="str">
        <f t="shared" si="5"/>
        <v>APROBADO</v>
      </c>
      <c r="AI32" s="296"/>
      <c r="AJ32" s="296"/>
      <c r="AK32" s="296"/>
      <c r="AL32" s="296"/>
      <c r="AM32" s="297"/>
      <c r="AN32" s="93"/>
      <c r="AO32" s="93"/>
      <c r="AP32" s="93"/>
      <c r="AQ32" s="93"/>
      <c r="AR32" s="93"/>
    </row>
    <row r="33" spans="1:44" ht="12" customHeight="1" x14ac:dyDescent="0.3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95" t="str">
        <f t="shared" si="5"/>
        <v>APROBADO</v>
      </c>
      <c r="AI33" s="296"/>
      <c r="AJ33" s="296"/>
      <c r="AK33" s="296"/>
      <c r="AL33" s="296"/>
      <c r="AM33" s="297"/>
      <c r="AN33" s="93"/>
      <c r="AO33" s="93"/>
      <c r="AP33" s="93"/>
      <c r="AQ33" s="93"/>
      <c r="AR33" s="93"/>
    </row>
    <row r="34" spans="1:44" ht="12" customHeight="1" x14ac:dyDescent="0.3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95" t="str">
        <f t="shared" si="5"/>
        <v>APROBADO</v>
      </c>
      <c r="AI34" s="296"/>
      <c r="AJ34" s="296"/>
      <c r="AK34" s="296"/>
      <c r="AL34" s="296"/>
      <c r="AM34" s="297"/>
      <c r="AN34" s="93"/>
      <c r="AO34" s="93"/>
      <c r="AP34" s="93"/>
      <c r="AQ34" s="93"/>
      <c r="AR34" s="93"/>
    </row>
    <row r="35" spans="1:44" ht="12" customHeight="1" x14ac:dyDescent="0.3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95" t="str">
        <f t="shared" si="5"/>
        <v>APROBADO</v>
      </c>
      <c r="AI35" s="296"/>
      <c r="AJ35" s="296"/>
      <c r="AK35" s="296"/>
      <c r="AL35" s="296"/>
      <c r="AM35" s="297"/>
      <c r="AN35" s="93"/>
      <c r="AO35" s="93"/>
      <c r="AP35" s="93"/>
      <c r="AQ35" s="93"/>
      <c r="AR35" s="93"/>
    </row>
    <row r="36" spans="1:44" ht="12" customHeight="1" x14ac:dyDescent="0.3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95" t="str">
        <f t="shared" si="5"/>
        <v>APROBADO</v>
      </c>
      <c r="AI36" s="296"/>
      <c r="AJ36" s="296"/>
      <c r="AK36" s="296"/>
      <c r="AL36" s="296"/>
      <c r="AM36" s="297"/>
      <c r="AN36" s="93"/>
      <c r="AO36" s="93"/>
      <c r="AP36" s="93"/>
      <c r="AQ36" s="93"/>
      <c r="AR36" s="93"/>
    </row>
    <row r="37" spans="1:44" ht="12" customHeight="1" x14ac:dyDescent="0.3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95" t="str">
        <f t="shared" si="5"/>
        <v>APROBADO</v>
      </c>
      <c r="AI37" s="296"/>
      <c r="AJ37" s="296"/>
      <c r="AK37" s="296"/>
      <c r="AL37" s="296"/>
      <c r="AM37" s="297"/>
      <c r="AN37" s="93"/>
      <c r="AO37" s="93"/>
      <c r="AP37" s="93"/>
      <c r="AQ37" s="93"/>
      <c r="AR37" s="93"/>
    </row>
    <row r="38" spans="1:44" ht="12" customHeight="1" x14ac:dyDescent="0.3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95" t="str">
        <f t="shared" si="5"/>
        <v>APROBADO</v>
      </c>
      <c r="AI38" s="296"/>
      <c r="AJ38" s="296"/>
      <c r="AK38" s="296"/>
      <c r="AL38" s="296"/>
      <c r="AM38" s="297"/>
      <c r="AN38" s="93"/>
      <c r="AO38" s="93"/>
      <c r="AP38" s="93"/>
      <c r="AQ38" s="93"/>
      <c r="AR38" s="93"/>
    </row>
    <row r="39" spans="1:44" ht="12" customHeight="1" x14ac:dyDescent="0.3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95" t="str">
        <f t="shared" si="5"/>
        <v>APROBADO</v>
      </c>
      <c r="AI39" s="296"/>
      <c r="AJ39" s="296"/>
      <c r="AK39" s="296"/>
      <c r="AL39" s="296"/>
      <c r="AM39" s="297"/>
      <c r="AN39" s="93"/>
      <c r="AO39" s="93"/>
      <c r="AP39" s="93"/>
      <c r="AQ39" s="93"/>
      <c r="AR39" s="93"/>
    </row>
    <row r="40" spans="1:44" ht="12" customHeight="1" x14ac:dyDescent="0.3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95" t="str">
        <f t="shared" si="5"/>
        <v>APROBADO</v>
      </c>
      <c r="AI40" s="296"/>
      <c r="AJ40" s="296"/>
      <c r="AK40" s="296"/>
      <c r="AL40" s="296"/>
      <c r="AM40" s="297"/>
      <c r="AN40" s="93"/>
      <c r="AO40" s="93"/>
      <c r="AP40" s="93"/>
      <c r="AQ40" s="93"/>
      <c r="AR40" s="93"/>
    </row>
    <row r="41" spans="1:44" ht="12" customHeight="1" x14ac:dyDescent="0.3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95" t="str">
        <f t="shared" si="5"/>
        <v>APROBADO</v>
      </c>
      <c r="AI41" s="296"/>
      <c r="AJ41" s="296"/>
      <c r="AK41" s="296"/>
      <c r="AL41" s="296"/>
      <c r="AM41" s="297"/>
      <c r="AN41" s="93"/>
      <c r="AO41" s="93"/>
      <c r="AP41" s="93"/>
      <c r="AQ41" s="93"/>
      <c r="AR41" s="93"/>
    </row>
    <row r="42" spans="1:44" ht="12" customHeight="1" x14ac:dyDescent="0.3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95" t="str">
        <f t="shared" si="5"/>
        <v>APROBADO</v>
      </c>
      <c r="AI42" s="296"/>
      <c r="AJ42" s="296"/>
      <c r="AK42" s="296"/>
      <c r="AL42" s="296"/>
      <c r="AM42" s="297"/>
      <c r="AN42" s="93"/>
      <c r="AO42" s="93"/>
      <c r="AP42" s="93"/>
      <c r="AQ42" s="93"/>
      <c r="AR42" s="93"/>
    </row>
    <row r="43" spans="1:44" ht="12" customHeight="1" x14ac:dyDescent="0.3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95" t="str">
        <f t="shared" si="5"/>
        <v>APROBADO</v>
      </c>
      <c r="AI43" s="296"/>
      <c r="AJ43" s="296"/>
      <c r="AK43" s="296"/>
      <c r="AL43" s="296"/>
      <c r="AM43" s="297"/>
      <c r="AN43" s="93"/>
      <c r="AO43" s="93"/>
      <c r="AP43" s="93"/>
      <c r="AQ43" s="93"/>
      <c r="AR43" s="93"/>
    </row>
    <row r="44" spans="1:44" ht="12" customHeight="1" x14ac:dyDescent="0.3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95" t="str">
        <f t="shared" si="5"/>
        <v>APROBADO</v>
      </c>
      <c r="AI44" s="296"/>
      <c r="AJ44" s="296"/>
      <c r="AK44" s="296"/>
      <c r="AL44" s="296"/>
      <c r="AM44" s="297"/>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19921875" defaultRowHeight="15" customHeight="1" x14ac:dyDescent="0.35"/>
  <cols>
    <col min="1" max="1" width="1.6640625" customWidth="1"/>
    <col min="2" max="2" width="20.6640625" customWidth="1"/>
    <col min="3" max="7" width="2.19921875" customWidth="1"/>
    <col min="8" max="8" width="3.19921875" customWidth="1"/>
    <col min="9" max="13" width="2.19921875" customWidth="1"/>
    <col min="14" max="14" width="3.19921875" customWidth="1"/>
    <col min="15" max="19" width="2.19921875" customWidth="1"/>
    <col min="20" max="21" width="3.19921875" customWidth="1"/>
    <col min="22" max="22" width="9" customWidth="1"/>
    <col min="23" max="24" width="2.19921875" customWidth="1"/>
    <col min="25" max="28" width="1.6640625" customWidth="1"/>
  </cols>
  <sheetData>
    <row r="1" spans="1:28" ht="4.5" customHeight="1" x14ac:dyDescent="0.35"/>
    <row r="2" spans="1:28" ht="12.75" customHeight="1" x14ac:dyDescent="0.35">
      <c r="B2" s="235" t="s">
        <v>101</v>
      </c>
      <c r="C2" s="231"/>
      <c r="D2" s="231"/>
      <c r="E2" s="231"/>
      <c r="F2" s="231"/>
      <c r="G2" s="231"/>
      <c r="H2" s="231"/>
      <c r="I2" s="231"/>
      <c r="J2" s="231"/>
      <c r="K2" s="231"/>
      <c r="L2" s="231"/>
      <c r="M2" s="231"/>
      <c r="N2" s="231"/>
      <c r="O2" s="231"/>
      <c r="P2" s="231"/>
      <c r="Q2" s="231"/>
      <c r="R2" s="231"/>
      <c r="S2" s="231"/>
      <c r="T2" s="231"/>
      <c r="U2" s="231"/>
      <c r="V2" s="231"/>
      <c r="W2" s="231"/>
      <c r="X2" s="231"/>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5">
      <c r="B5" s="38" t="s">
        <v>22</v>
      </c>
      <c r="C5" s="95" t="str">
        <f>CARÁTULA!$C$23</f>
        <v>3ro de Secundaria</v>
      </c>
      <c r="D5" s="40"/>
      <c r="E5" s="40"/>
      <c r="F5" s="40"/>
      <c r="G5" s="40"/>
      <c r="H5" s="40"/>
      <c r="I5" s="40"/>
      <c r="J5" s="40"/>
      <c r="K5" s="40"/>
      <c r="L5" s="40"/>
      <c r="M5" s="40"/>
      <c r="N5" s="38"/>
      <c r="O5" s="38"/>
      <c r="P5" s="38"/>
      <c r="Q5" s="38"/>
      <c r="R5" s="43" t="s">
        <v>23</v>
      </c>
      <c r="S5" s="44"/>
      <c r="T5" s="44"/>
      <c r="U5" s="249">
        <f ca="1">TODAY()</f>
        <v>44496</v>
      </c>
      <c r="V5" s="231"/>
      <c r="W5" s="231"/>
      <c r="X5" s="231"/>
    </row>
    <row r="6" spans="1:28" ht="12.75" customHeight="1" x14ac:dyDescent="0.35">
      <c r="B6" s="38"/>
      <c r="C6" s="321" t="s">
        <v>4</v>
      </c>
      <c r="D6" s="296"/>
      <c r="E6" s="296"/>
      <c r="F6" s="296"/>
      <c r="G6" s="296"/>
      <c r="H6" s="297"/>
      <c r="I6" s="321" t="s">
        <v>10</v>
      </c>
      <c r="J6" s="296"/>
      <c r="K6" s="296"/>
      <c r="L6" s="296"/>
      <c r="M6" s="296"/>
      <c r="N6" s="297"/>
      <c r="O6" s="321" t="s">
        <v>16</v>
      </c>
      <c r="P6" s="296"/>
      <c r="Q6" s="296"/>
      <c r="R6" s="296"/>
      <c r="S6" s="296"/>
      <c r="T6" s="297"/>
      <c r="U6" s="326" t="s">
        <v>102</v>
      </c>
      <c r="V6" s="322" t="s">
        <v>103</v>
      </c>
      <c r="W6" s="66"/>
      <c r="X6" s="66"/>
    </row>
    <row r="7" spans="1:28" ht="12" customHeight="1" x14ac:dyDescent="0.35">
      <c r="B7" s="47"/>
      <c r="C7" s="324"/>
      <c r="D7" s="296"/>
      <c r="E7" s="296"/>
      <c r="F7" s="296"/>
      <c r="G7" s="297"/>
      <c r="H7" s="325" t="s">
        <v>104</v>
      </c>
      <c r="I7" s="324"/>
      <c r="J7" s="296"/>
      <c r="K7" s="296"/>
      <c r="L7" s="296"/>
      <c r="M7" s="297"/>
      <c r="N7" s="325" t="s">
        <v>104</v>
      </c>
      <c r="O7" s="324"/>
      <c r="P7" s="296"/>
      <c r="Q7" s="296"/>
      <c r="R7" s="296"/>
      <c r="S7" s="297"/>
      <c r="T7" s="310" t="s">
        <v>104</v>
      </c>
      <c r="U7" s="323"/>
      <c r="V7" s="323"/>
      <c r="W7" s="40"/>
      <c r="X7" s="40"/>
    </row>
    <row r="8" spans="1:28" ht="67.5" customHeight="1" x14ac:dyDescent="0.35">
      <c r="A8" s="48" t="s">
        <v>57</v>
      </c>
      <c r="B8" s="49" t="s">
        <v>58</v>
      </c>
      <c r="C8" s="96" t="s">
        <v>80</v>
      </c>
      <c r="D8" s="97" t="s">
        <v>81</v>
      </c>
      <c r="E8" s="97" t="s">
        <v>83</v>
      </c>
      <c r="F8" s="97" t="s">
        <v>84</v>
      </c>
      <c r="G8" s="97" t="s">
        <v>105</v>
      </c>
      <c r="H8" s="300"/>
      <c r="I8" s="96" t="s">
        <v>80</v>
      </c>
      <c r="J8" s="97" t="s">
        <v>81</v>
      </c>
      <c r="K8" s="97" t="s">
        <v>83</v>
      </c>
      <c r="L8" s="97" t="s">
        <v>84</v>
      </c>
      <c r="M8" s="97" t="s">
        <v>105</v>
      </c>
      <c r="N8" s="300"/>
      <c r="O8" s="96" t="s">
        <v>80</v>
      </c>
      <c r="P8" s="97" t="s">
        <v>81</v>
      </c>
      <c r="Q8" s="97" t="s">
        <v>83</v>
      </c>
      <c r="R8" s="97" t="s">
        <v>84</v>
      </c>
      <c r="S8" s="97" t="s">
        <v>105</v>
      </c>
      <c r="T8" s="300"/>
      <c r="U8" s="300"/>
      <c r="V8" s="300"/>
      <c r="W8" s="98"/>
      <c r="X8" s="98"/>
    </row>
    <row r="9" spans="1:28" ht="12" customHeight="1" x14ac:dyDescent="0.35">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0</v>
      </c>
      <c r="J9" s="31">
        <f>'VAL 2 TRIM'!O9</f>
        <v>0</v>
      </c>
      <c r="K9" s="31">
        <f>'VAL 2 TRIM'!AB9</f>
        <v>0</v>
      </c>
      <c r="L9" s="31">
        <f>'VAL 2 TRIM'!AA9</f>
        <v>10</v>
      </c>
      <c r="M9" s="31">
        <f>'VAL 2 TRIM'!AE9</f>
        <v>0</v>
      </c>
      <c r="N9" s="99">
        <f>'VAL 2 TRIM'!AG9</f>
        <v>10</v>
      </c>
      <c r="O9" s="31">
        <f>'VAL 3 TRIM'!C9</f>
        <v>10</v>
      </c>
      <c r="P9" s="31">
        <f>'VAL 3 TRIM'!O9</f>
        <v>35</v>
      </c>
      <c r="Q9" s="31">
        <f>'VAL 3 TRIM'!AB9</f>
        <v>35</v>
      </c>
      <c r="R9" s="31">
        <f>'VAL 3 TRIM'!AA9</f>
        <v>10</v>
      </c>
      <c r="S9" s="31">
        <f>'VAL 3 TRIM'!AE9</f>
        <v>10</v>
      </c>
      <c r="T9" s="99">
        <f>'VAL 3 TRIM'!AG9</f>
        <v>100</v>
      </c>
      <c r="U9" s="100">
        <f t="shared" ref="U9:U44" si="0">AVERAGE(H9,N9,T9)</f>
        <v>52.666666666666664</v>
      </c>
      <c r="V9" s="101" t="str">
        <f t="shared" ref="V9:V44" si="1">IF(U9="","",(IF(AND(U9&gt;=1,U9&lt;=50.499),"REPROBADO",IF(AND(U9&gt;=50.5,U9&lt;=100),"APROBADO"))))</f>
        <v>APROBADO</v>
      </c>
      <c r="W9" s="102"/>
      <c r="X9" s="102"/>
    </row>
    <row r="10" spans="1:28" ht="12" customHeight="1" x14ac:dyDescent="0.35">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7.6923076923076925</v>
      </c>
      <c r="J10" s="31">
        <f>'VAL 2 TRIM'!O10</f>
        <v>14</v>
      </c>
      <c r="K10" s="31">
        <f>'VAL 2 TRIM'!AB10</f>
        <v>16</v>
      </c>
      <c r="L10" s="31">
        <f>'VAL 2 TRIM'!AA10</f>
        <v>8</v>
      </c>
      <c r="M10" s="31">
        <f>'VAL 2 TRIM'!AE10</f>
        <v>6</v>
      </c>
      <c r="N10" s="99">
        <f>'VAL 2 TRIM'!AG10</f>
        <v>51.692307692307693</v>
      </c>
      <c r="O10" s="31">
        <f>'VAL 3 TRIM'!C10</f>
        <v>10</v>
      </c>
      <c r="P10" s="31">
        <f>'VAL 3 TRIM'!O10</f>
        <v>35</v>
      </c>
      <c r="Q10" s="31">
        <f>'VAL 3 TRIM'!AB10</f>
        <v>35</v>
      </c>
      <c r="R10" s="31">
        <f>'VAL 3 TRIM'!AA10</f>
        <v>10</v>
      </c>
      <c r="S10" s="48">
        <f>'VAL 3 TRIM'!AE10</f>
        <v>10</v>
      </c>
      <c r="T10" s="99">
        <f>'VAL 3 TRIM'!AG10</f>
        <v>100</v>
      </c>
      <c r="U10" s="100">
        <f t="shared" si="0"/>
        <v>66.564102564102555</v>
      </c>
      <c r="V10" s="101" t="str">
        <f t="shared" si="1"/>
        <v>APROBADO</v>
      </c>
      <c r="W10" s="102"/>
      <c r="X10" s="102"/>
    </row>
    <row r="11" spans="1:28" ht="12" customHeight="1" x14ac:dyDescent="0.35">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5.384615384615385</v>
      </c>
      <c r="J11" s="31">
        <f>'VAL 2 TRIM'!O11</f>
        <v>18</v>
      </c>
      <c r="K11" s="31">
        <f>'VAL 2 TRIM'!AB11</f>
        <v>8</v>
      </c>
      <c r="L11" s="31">
        <f>'VAL 2 TRIM'!AA11</f>
        <v>6</v>
      </c>
      <c r="M11" s="31">
        <f>'VAL 2 TRIM'!AE11</f>
        <v>6</v>
      </c>
      <c r="N11" s="99">
        <f>'VAL 2 TRIM'!AG11</f>
        <v>43.384615384615387</v>
      </c>
      <c r="O11" s="31">
        <f>'VAL 3 TRIM'!C11</f>
        <v>10</v>
      </c>
      <c r="P11" s="31">
        <f>'VAL 3 TRIM'!O11</f>
        <v>35</v>
      </c>
      <c r="Q11" s="31">
        <f>'VAL 3 TRIM'!AB11</f>
        <v>35</v>
      </c>
      <c r="R11" s="31">
        <f>'VAL 3 TRIM'!AA11</f>
        <v>10</v>
      </c>
      <c r="S11" s="48">
        <f>'VAL 3 TRIM'!AE11</f>
        <v>10</v>
      </c>
      <c r="T11" s="99">
        <f>'VAL 3 TRIM'!AG11</f>
        <v>100</v>
      </c>
      <c r="U11" s="100">
        <f t="shared" si="0"/>
        <v>77.794871794871796</v>
      </c>
      <c r="V11" s="101" t="str">
        <f t="shared" si="1"/>
        <v>APROBADO</v>
      </c>
      <c r="W11" s="102"/>
      <c r="X11" s="102"/>
    </row>
    <row r="12" spans="1:28" ht="12" customHeight="1" x14ac:dyDescent="0.35">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7</v>
      </c>
      <c r="J12" s="31">
        <f>'VAL 2 TRIM'!O12</f>
        <v>15</v>
      </c>
      <c r="K12" s="31">
        <f>'VAL 2 TRIM'!AB12</f>
        <v>6</v>
      </c>
      <c r="L12" s="31">
        <f>'VAL 2 TRIM'!AA12</f>
        <v>7</v>
      </c>
      <c r="M12" s="31">
        <f>'VAL 2 TRIM'!AE12</f>
        <v>6</v>
      </c>
      <c r="N12" s="99">
        <f>'VAL 2 TRIM'!AG12</f>
        <v>41</v>
      </c>
      <c r="O12" s="31">
        <f>'VAL 3 TRIM'!C12</f>
        <v>10</v>
      </c>
      <c r="P12" s="31">
        <f>'VAL 3 TRIM'!O12</f>
        <v>35</v>
      </c>
      <c r="Q12" s="31">
        <f>'VAL 3 TRIM'!AB12</f>
        <v>35</v>
      </c>
      <c r="R12" s="31">
        <f>'VAL 3 TRIM'!AA12</f>
        <v>10</v>
      </c>
      <c r="S12" s="48">
        <f>'VAL 3 TRIM'!AE12</f>
        <v>10</v>
      </c>
      <c r="T12" s="99">
        <f>'VAL 3 TRIM'!AG12</f>
        <v>100</v>
      </c>
      <c r="U12" s="100">
        <f t="shared" si="0"/>
        <v>63</v>
      </c>
      <c r="V12" s="101" t="str">
        <f t="shared" si="1"/>
        <v>APROBADO</v>
      </c>
      <c r="W12" s="102"/>
      <c r="X12" s="102"/>
    </row>
    <row r="13" spans="1:28" ht="12" customHeight="1" x14ac:dyDescent="0.35">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29</v>
      </c>
      <c r="K13" s="31">
        <f>'VAL 2 TRIM'!AB13</f>
        <v>26</v>
      </c>
      <c r="L13" s="31">
        <f>'VAL 2 TRIM'!AA13</f>
        <v>10</v>
      </c>
      <c r="M13" s="31">
        <f>'VAL 2 TRIM'!AE13</f>
        <v>7</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35">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6.1538461538461542</v>
      </c>
      <c r="J14" s="31">
        <f>'VAL 2 TRIM'!O14</f>
        <v>20</v>
      </c>
      <c r="K14" s="31">
        <f>'VAL 2 TRIM'!AB14</f>
        <v>14</v>
      </c>
      <c r="L14" s="31">
        <f>'VAL 2 TRIM'!AA14</f>
        <v>7</v>
      </c>
      <c r="M14" s="31">
        <f>'VAL 2 TRIM'!AE14</f>
        <v>6</v>
      </c>
      <c r="N14" s="99">
        <f>'VAL 2 TRIM'!AG14</f>
        <v>53.153846153846153</v>
      </c>
      <c r="O14" s="31">
        <f>'VAL 3 TRIM'!C14</f>
        <v>10</v>
      </c>
      <c r="P14" s="31">
        <f>'VAL 3 TRIM'!O14</f>
        <v>35</v>
      </c>
      <c r="Q14" s="31">
        <f>'VAL 3 TRIM'!AB14</f>
        <v>35</v>
      </c>
      <c r="R14" s="31">
        <f>'VAL 3 TRIM'!AA14</f>
        <v>10</v>
      </c>
      <c r="S14" s="48">
        <f>'VAL 3 TRIM'!AE14</f>
        <v>10</v>
      </c>
      <c r="T14" s="99">
        <f>'VAL 3 TRIM'!AG14</f>
        <v>100</v>
      </c>
      <c r="U14" s="100">
        <f t="shared" si="0"/>
        <v>81.051282051282058</v>
      </c>
      <c r="V14" s="101" t="str">
        <f t="shared" si="1"/>
        <v>APROBADO</v>
      </c>
      <c r="W14" s="102"/>
      <c r="X14" s="102"/>
    </row>
    <row r="15" spans="1:28" ht="12" customHeight="1" x14ac:dyDescent="0.35">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24</v>
      </c>
      <c r="K15" s="31">
        <f>'VAL 2 TRIM'!AB15</f>
        <v>34</v>
      </c>
      <c r="L15" s="31">
        <f>'VAL 2 TRIM'!AA15</f>
        <v>10</v>
      </c>
      <c r="M15" s="31">
        <f>'VAL 2 TRIM'!AE15</f>
        <v>7</v>
      </c>
      <c r="N15" s="99">
        <f>'VAL 2 TRIM'!AG15</f>
        <v>85</v>
      </c>
      <c r="O15" s="31">
        <f>'VAL 3 TRIM'!C15</f>
        <v>10</v>
      </c>
      <c r="P15" s="31">
        <f>'VAL 3 TRIM'!O15</f>
        <v>35</v>
      </c>
      <c r="Q15" s="31">
        <f>'VAL 3 TRIM'!AB15</f>
        <v>35</v>
      </c>
      <c r="R15" s="31">
        <f>'VAL 3 TRIM'!AA15</f>
        <v>10</v>
      </c>
      <c r="S15" s="48">
        <f>'VAL 3 TRIM'!AE15</f>
        <v>10</v>
      </c>
      <c r="T15" s="99">
        <f>'VAL 3 TRIM'!AG15</f>
        <v>100</v>
      </c>
      <c r="U15" s="100">
        <f t="shared" si="0"/>
        <v>85</v>
      </c>
      <c r="V15" s="101" t="str">
        <f t="shared" si="1"/>
        <v>APROBADO</v>
      </c>
      <c r="W15" s="102"/>
      <c r="X15" s="102"/>
    </row>
    <row r="16" spans="1:28" ht="12" customHeight="1" x14ac:dyDescent="0.35">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9.2307692307692299</v>
      </c>
      <c r="J16" s="31">
        <f>'VAL 2 TRIM'!O16</f>
        <v>30</v>
      </c>
      <c r="K16" s="31">
        <f>'VAL 2 TRIM'!AB16</f>
        <v>28</v>
      </c>
      <c r="L16" s="31">
        <f>'VAL 2 TRIM'!AA16</f>
        <v>10</v>
      </c>
      <c r="M16" s="31">
        <f>'VAL 2 TRIM'!AE16</f>
        <v>8</v>
      </c>
      <c r="N16" s="99">
        <f>'VAL 2 TRIM'!AG16</f>
        <v>85.230769230769226</v>
      </c>
      <c r="O16" s="31">
        <f>'VAL 3 TRIM'!C16</f>
        <v>10</v>
      </c>
      <c r="P16" s="31">
        <f>'VAL 3 TRIM'!O16</f>
        <v>35</v>
      </c>
      <c r="Q16" s="31">
        <f>'VAL 3 TRIM'!AB16</f>
        <v>35</v>
      </c>
      <c r="R16" s="31">
        <f>'VAL 3 TRIM'!AA16</f>
        <v>10</v>
      </c>
      <c r="S16" s="48">
        <f>'VAL 3 TRIM'!AE16</f>
        <v>10</v>
      </c>
      <c r="T16" s="99">
        <f>'VAL 3 TRIM'!AG16</f>
        <v>100</v>
      </c>
      <c r="U16" s="100">
        <f t="shared" si="0"/>
        <v>91.743589743589737</v>
      </c>
      <c r="V16" s="101" t="str">
        <f t="shared" si="1"/>
        <v>APROBADO</v>
      </c>
      <c r="W16" s="102"/>
      <c r="X16" s="102"/>
    </row>
    <row r="17" spans="1:24" ht="12" customHeight="1" x14ac:dyDescent="0.35">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9.2307692307692299</v>
      </c>
      <c r="J17" s="31">
        <f>'VAL 2 TRIM'!O17</f>
        <v>24</v>
      </c>
      <c r="K17" s="31">
        <f>'VAL 2 TRIM'!AB17</f>
        <v>27</v>
      </c>
      <c r="L17" s="31">
        <f>'VAL 2 TRIM'!AA17</f>
        <v>10</v>
      </c>
      <c r="M17" s="31">
        <f>'VAL 2 TRIM'!AE17</f>
        <v>6</v>
      </c>
      <c r="N17" s="99">
        <f>'VAL 2 TRIM'!AG17</f>
        <v>76.230769230769226</v>
      </c>
      <c r="O17" s="31">
        <f>'VAL 3 TRIM'!C17</f>
        <v>10</v>
      </c>
      <c r="P17" s="31">
        <f>'VAL 3 TRIM'!O17</f>
        <v>35</v>
      </c>
      <c r="Q17" s="31">
        <f>'VAL 3 TRIM'!AB17</f>
        <v>35</v>
      </c>
      <c r="R17" s="31">
        <f>'VAL 3 TRIM'!AA17</f>
        <v>10</v>
      </c>
      <c r="S17" s="48">
        <f>'VAL 3 TRIM'!AE17</f>
        <v>10</v>
      </c>
      <c r="T17" s="99">
        <f>'VAL 3 TRIM'!AG17</f>
        <v>100</v>
      </c>
      <c r="U17" s="100">
        <f t="shared" si="0"/>
        <v>74.743589743589737</v>
      </c>
      <c r="V17" s="101" t="str">
        <f t="shared" si="1"/>
        <v>APROBADO</v>
      </c>
      <c r="W17" s="102"/>
      <c r="X17" s="102"/>
    </row>
    <row r="18" spans="1:24" ht="12" customHeight="1" x14ac:dyDescent="0.35">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22</v>
      </c>
      <c r="K18" s="31">
        <f>'VAL 2 TRIM'!AB18</f>
        <v>16</v>
      </c>
      <c r="L18" s="31">
        <f>'VAL 2 TRIM'!AA18</f>
        <v>10</v>
      </c>
      <c r="M18" s="31">
        <f>'VAL 2 TRIM'!AE18</f>
        <v>6</v>
      </c>
      <c r="N18" s="99">
        <f>'VAL 2 TRIM'!AG18</f>
        <v>64</v>
      </c>
      <c r="O18" s="31">
        <f>'VAL 3 TRIM'!C18</f>
        <v>10</v>
      </c>
      <c r="P18" s="31">
        <f>'VAL 3 TRIM'!O18</f>
        <v>35</v>
      </c>
      <c r="Q18" s="31">
        <f>'VAL 3 TRIM'!AB18</f>
        <v>35</v>
      </c>
      <c r="R18" s="31">
        <f>'VAL 3 TRIM'!AA18</f>
        <v>10</v>
      </c>
      <c r="S18" s="48">
        <f>'VAL 3 TRIM'!AE18</f>
        <v>10</v>
      </c>
      <c r="T18" s="99">
        <f>'VAL 3 TRIM'!AG18</f>
        <v>100</v>
      </c>
      <c r="U18" s="100">
        <f t="shared" si="0"/>
        <v>70.666666666666671</v>
      </c>
      <c r="V18" s="101" t="str">
        <f t="shared" si="1"/>
        <v>APROBADO</v>
      </c>
      <c r="W18" s="102"/>
      <c r="X18" s="102"/>
    </row>
    <row r="19" spans="1:24" ht="12" customHeight="1" x14ac:dyDescent="0.35">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8.4615384615384617</v>
      </c>
      <c r="J19" s="31">
        <f>'VAL 2 TRIM'!O19</f>
        <v>16</v>
      </c>
      <c r="K19" s="31">
        <f>'VAL 2 TRIM'!AB19</f>
        <v>26</v>
      </c>
      <c r="L19" s="31">
        <f>'VAL 2 TRIM'!AA19</f>
        <v>7</v>
      </c>
      <c r="M19" s="31">
        <f>'VAL 2 TRIM'!AE19</f>
        <v>6</v>
      </c>
      <c r="N19" s="99">
        <f>'VAL 2 TRIM'!AG19</f>
        <v>63.46153846153846</v>
      </c>
      <c r="O19" s="31">
        <f>'VAL 3 TRIM'!C19</f>
        <v>10</v>
      </c>
      <c r="P19" s="31">
        <f>'VAL 3 TRIM'!O19</f>
        <v>35</v>
      </c>
      <c r="Q19" s="31">
        <f>'VAL 3 TRIM'!AB19</f>
        <v>35</v>
      </c>
      <c r="R19" s="31">
        <f>'VAL 3 TRIM'!AA19</f>
        <v>10</v>
      </c>
      <c r="S19" s="48">
        <f>'VAL 3 TRIM'!AE19</f>
        <v>10</v>
      </c>
      <c r="T19" s="99">
        <f>'VAL 3 TRIM'!AG19</f>
        <v>100</v>
      </c>
      <c r="U19" s="100">
        <f t="shared" si="0"/>
        <v>70.487179487179489</v>
      </c>
      <c r="V19" s="101" t="str">
        <f t="shared" si="1"/>
        <v>APROBADO</v>
      </c>
      <c r="W19" s="102"/>
      <c r="X19" s="102"/>
    </row>
    <row r="20" spans="1:24" ht="12" customHeight="1" x14ac:dyDescent="0.35">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25</v>
      </c>
      <c r="K20" s="31">
        <f>'VAL 2 TRIM'!AB20</f>
        <v>25</v>
      </c>
      <c r="L20" s="31">
        <f>'VAL 2 TRIM'!AA20</f>
        <v>6</v>
      </c>
      <c r="M20" s="31">
        <f>'VAL 2 TRIM'!AE20</f>
        <v>9</v>
      </c>
      <c r="N20" s="99">
        <f>'VAL 2 TRIM'!AG20</f>
        <v>75</v>
      </c>
      <c r="O20" s="31">
        <f>'VAL 3 TRIM'!C20</f>
        <v>10</v>
      </c>
      <c r="P20" s="31">
        <f>'VAL 3 TRIM'!O20</f>
        <v>35</v>
      </c>
      <c r="Q20" s="31">
        <f>'VAL 3 TRIM'!AB20</f>
        <v>35</v>
      </c>
      <c r="R20" s="31">
        <f>'VAL 3 TRIM'!AA20</f>
        <v>10</v>
      </c>
      <c r="S20" s="48">
        <f>'VAL 3 TRIM'!AE20</f>
        <v>10</v>
      </c>
      <c r="T20" s="99">
        <f>'VAL 3 TRIM'!AG20</f>
        <v>100</v>
      </c>
      <c r="U20" s="100">
        <f t="shared" si="0"/>
        <v>88.333333333333329</v>
      </c>
      <c r="V20" s="101" t="str">
        <f t="shared" si="1"/>
        <v>APROBADO</v>
      </c>
      <c r="W20" s="102"/>
      <c r="X20" s="102"/>
    </row>
    <row r="21" spans="1:24" ht="12" customHeight="1" x14ac:dyDescent="0.35">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9.2307692307692299</v>
      </c>
      <c r="J21" s="31">
        <f>'VAL 2 TRIM'!O21</f>
        <v>28</v>
      </c>
      <c r="K21" s="31">
        <f>'VAL 2 TRIM'!AB21</f>
        <v>31</v>
      </c>
      <c r="L21" s="31">
        <f>'VAL 2 TRIM'!AA21</f>
        <v>8</v>
      </c>
      <c r="M21" s="31">
        <f>'VAL 2 TRIM'!AE21</f>
        <v>7</v>
      </c>
      <c r="N21" s="99">
        <f>'VAL 2 TRIM'!AG21</f>
        <v>83.230769230769226</v>
      </c>
      <c r="O21" s="31">
        <f>'VAL 3 TRIM'!C21</f>
        <v>10</v>
      </c>
      <c r="P21" s="31">
        <f>'VAL 3 TRIM'!O21</f>
        <v>35</v>
      </c>
      <c r="Q21" s="31">
        <f>'VAL 3 TRIM'!AB21</f>
        <v>35</v>
      </c>
      <c r="R21" s="31">
        <f>'VAL 3 TRIM'!AA21</f>
        <v>10</v>
      </c>
      <c r="S21" s="48">
        <f>'VAL 3 TRIM'!AE21</f>
        <v>10</v>
      </c>
      <c r="T21" s="99">
        <f>'VAL 3 TRIM'!AG21</f>
        <v>100</v>
      </c>
      <c r="U21" s="100">
        <f t="shared" si="0"/>
        <v>91.07692307692308</v>
      </c>
      <c r="V21" s="101" t="str">
        <f t="shared" si="1"/>
        <v>APROBADO</v>
      </c>
      <c r="W21" s="102"/>
      <c r="X21" s="102"/>
    </row>
    <row r="22" spans="1:24" ht="12" customHeight="1" x14ac:dyDescent="0.35">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9.2307692307692299</v>
      </c>
      <c r="J22" s="31">
        <f>'VAL 2 TRIM'!O22</f>
        <v>20</v>
      </c>
      <c r="K22" s="31">
        <f>'VAL 2 TRIM'!AB22</f>
        <v>33</v>
      </c>
      <c r="L22" s="31">
        <f>'VAL 2 TRIM'!AA22</f>
        <v>10</v>
      </c>
      <c r="M22" s="31">
        <f>'VAL 2 TRIM'!AE22</f>
        <v>10</v>
      </c>
      <c r="N22" s="99">
        <f>'VAL 2 TRIM'!AG22</f>
        <v>82.230769230769226</v>
      </c>
      <c r="O22" s="31">
        <f>'VAL 3 TRIM'!C22</f>
        <v>10</v>
      </c>
      <c r="P22" s="31">
        <f>'VAL 3 TRIM'!O22</f>
        <v>35</v>
      </c>
      <c r="Q22" s="31">
        <f>'VAL 3 TRIM'!AB22</f>
        <v>35</v>
      </c>
      <c r="R22" s="31">
        <f>'VAL 3 TRIM'!AA22</f>
        <v>10</v>
      </c>
      <c r="S22" s="48">
        <f>'VAL 3 TRIM'!AE22</f>
        <v>10</v>
      </c>
      <c r="T22" s="99">
        <f>'VAL 3 TRIM'!AG22</f>
        <v>100</v>
      </c>
      <c r="U22" s="100">
        <f t="shared" si="0"/>
        <v>90.743589743589737</v>
      </c>
      <c r="V22" s="101" t="str">
        <f t="shared" si="1"/>
        <v>APROBADO</v>
      </c>
      <c r="W22" s="102"/>
      <c r="X22" s="102"/>
    </row>
    <row r="23" spans="1:24" ht="12" customHeight="1" x14ac:dyDescent="0.35">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14</v>
      </c>
      <c r="K23" s="31">
        <f>'VAL 2 TRIM'!AB23</f>
        <v>16</v>
      </c>
      <c r="L23" s="31">
        <f>'VAL 2 TRIM'!AA23</f>
        <v>6</v>
      </c>
      <c r="M23" s="31">
        <f>'VAL 2 TRIM'!AE23</f>
        <v>6</v>
      </c>
      <c r="N23" s="99">
        <f>'VAL 2 TRIM'!AG23</f>
        <v>52</v>
      </c>
      <c r="O23" s="31">
        <f>'VAL 3 TRIM'!C23</f>
        <v>10</v>
      </c>
      <c r="P23" s="31">
        <f>'VAL 3 TRIM'!O23</f>
        <v>35</v>
      </c>
      <c r="Q23" s="31">
        <f>'VAL 3 TRIM'!AB23</f>
        <v>35</v>
      </c>
      <c r="R23" s="31">
        <f>'VAL 3 TRIM'!AA23</f>
        <v>10</v>
      </c>
      <c r="S23" s="48">
        <f>'VAL 3 TRIM'!AE23</f>
        <v>10</v>
      </c>
      <c r="T23" s="99">
        <f>'VAL 3 TRIM'!AG23</f>
        <v>100</v>
      </c>
      <c r="U23" s="100">
        <f t="shared" si="0"/>
        <v>80.666666666666671</v>
      </c>
      <c r="V23" s="101" t="str">
        <f t="shared" si="1"/>
        <v>APROBADO</v>
      </c>
      <c r="W23" s="102"/>
      <c r="X23" s="102"/>
    </row>
    <row r="24" spans="1:24" ht="12" customHeight="1" x14ac:dyDescent="0.35">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16</v>
      </c>
      <c r="K24" s="31">
        <f>'VAL 2 TRIM'!AB24</f>
        <v>16</v>
      </c>
      <c r="L24" s="31">
        <f>'VAL 2 TRIM'!AA24</f>
        <v>6</v>
      </c>
      <c r="M24" s="31">
        <f>'VAL 2 TRIM'!AE24</f>
        <v>9</v>
      </c>
      <c r="N24" s="99">
        <f>'VAL 2 TRIM'!AG24</f>
        <v>57</v>
      </c>
      <c r="O24" s="31">
        <f>'VAL 3 TRIM'!C24</f>
        <v>10</v>
      </c>
      <c r="P24" s="31">
        <f>'VAL 3 TRIM'!O24</f>
        <v>35</v>
      </c>
      <c r="Q24" s="31">
        <f>'VAL 3 TRIM'!AB24</f>
        <v>35</v>
      </c>
      <c r="R24" s="31">
        <f>'VAL 3 TRIM'!AA24</f>
        <v>10</v>
      </c>
      <c r="S24" s="48">
        <f>'VAL 3 TRIM'!AE24</f>
        <v>10</v>
      </c>
      <c r="T24" s="99">
        <f>'VAL 3 TRIM'!AG24</f>
        <v>100</v>
      </c>
      <c r="U24" s="100">
        <f t="shared" si="0"/>
        <v>68.333333333333329</v>
      </c>
      <c r="V24" s="101" t="str">
        <f t="shared" si="1"/>
        <v>APROBADO</v>
      </c>
      <c r="W24" s="102"/>
      <c r="X24" s="102"/>
    </row>
    <row r="25" spans="1:24" ht="12" customHeight="1" x14ac:dyDescent="0.35">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7.6923076923076925</v>
      </c>
      <c r="J25" s="31">
        <f>'VAL 2 TRIM'!O25</f>
        <v>16</v>
      </c>
      <c r="K25" s="31">
        <f>'VAL 2 TRIM'!AB25</f>
        <v>15</v>
      </c>
      <c r="L25" s="31">
        <f>'VAL 2 TRIM'!AA25</f>
        <v>6</v>
      </c>
      <c r="M25" s="31">
        <f>'VAL 2 TRIM'!AE25</f>
        <v>6</v>
      </c>
      <c r="N25" s="99">
        <f>'VAL 2 TRIM'!AG25</f>
        <v>50.692307692307693</v>
      </c>
      <c r="O25" s="31">
        <f>'VAL 3 TRIM'!C25</f>
        <v>10</v>
      </c>
      <c r="P25" s="31">
        <f>'VAL 3 TRIM'!O25</f>
        <v>35</v>
      </c>
      <c r="Q25" s="31">
        <f>'VAL 3 TRIM'!AB25</f>
        <v>35</v>
      </c>
      <c r="R25" s="31">
        <f>'VAL 3 TRIM'!AA25</f>
        <v>10</v>
      </c>
      <c r="S25" s="48">
        <f>'VAL 3 TRIM'!AE25</f>
        <v>10</v>
      </c>
      <c r="T25" s="99">
        <f>'VAL 3 TRIM'!AG25</f>
        <v>100</v>
      </c>
      <c r="U25" s="100">
        <f t="shared" si="0"/>
        <v>70.564102564102555</v>
      </c>
      <c r="V25" s="101" t="str">
        <f t="shared" si="1"/>
        <v>APROBADO</v>
      </c>
      <c r="W25" s="102"/>
      <c r="X25" s="102"/>
    </row>
    <row r="26" spans="1:24" ht="12" customHeight="1" x14ac:dyDescent="0.35">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0</v>
      </c>
      <c r="J26" s="31">
        <f>'VAL 2 TRIM'!O26</f>
        <v>0</v>
      </c>
      <c r="K26" s="31">
        <f>'VAL 2 TRIM'!AB26</f>
        <v>0</v>
      </c>
      <c r="L26" s="31">
        <f>'VAL 2 TRIM'!AA26</f>
        <v>10</v>
      </c>
      <c r="M26" s="31">
        <f>'VAL 2 TRIM'!AE26</f>
        <v>0</v>
      </c>
      <c r="N26" s="99">
        <f>'VAL 2 TRIM'!AG26</f>
        <v>10</v>
      </c>
      <c r="O26" s="31">
        <f>'VAL 3 TRIM'!C26</f>
        <v>10</v>
      </c>
      <c r="P26" s="31">
        <f>'VAL 3 TRIM'!O26</f>
        <v>35</v>
      </c>
      <c r="Q26" s="31">
        <f>'VAL 3 TRIM'!AB26</f>
        <v>35</v>
      </c>
      <c r="R26" s="31">
        <f>'VAL 3 TRIM'!AA26</f>
        <v>10</v>
      </c>
      <c r="S26" s="48">
        <f>'VAL 3 TRIM'!AE26</f>
        <v>10</v>
      </c>
      <c r="T26" s="99">
        <f>'VAL 3 TRIM'!AG26</f>
        <v>100</v>
      </c>
      <c r="U26" s="100">
        <f t="shared" si="0"/>
        <v>52.666666666666664</v>
      </c>
      <c r="V26" s="101" t="str">
        <f t="shared" si="1"/>
        <v>APROBADO</v>
      </c>
      <c r="W26" s="102"/>
      <c r="X26" s="102"/>
    </row>
    <row r="27" spans="1:24" ht="12" customHeight="1" x14ac:dyDescent="0.35">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6.9230769230769234</v>
      </c>
      <c r="J27" s="31">
        <f>'VAL 2 TRIM'!O27</f>
        <v>20</v>
      </c>
      <c r="K27" s="31">
        <f>'VAL 2 TRIM'!AB27</f>
        <v>16</v>
      </c>
      <c r="L27" s="31">
        <f>'VAL 2 TRIM'!AA27</f>
        <v>6</v>
      </c>
      <c r="M27" s="31">
        <f>'VAL 2 TRIM'!AE27</f>
        <v>6</v>
      </c>
      <c r="N27" s="99">
        <f>'VAL 2 TRIM'!AG27</f>
        <v>54.92307692307692</v>
      </c>
      <c r="O27" s="31">
        <f>'VAL 3 TRIM'!C27</f>
        <v>10</v>
      </c>
      <c r="P27" s="31">
        <f>'VAL 3 TRIM'!O27</f>
        <v>35</v>
      </c>
      <c r="Q27" s="31">
        <f>'VAL 3 TRIM'!AB27</f>
        <v>35</v>
      </c>
      <c r="R27" s="31">
        <f>'VAL 3 TRIM'!AA27</f>
        <v>10</v>
      </c>
      <c r="S27" s="48">
        <f>'VAL 3 TRIM'!AE27</f>
        <v>10</v>
      </c>
      <c r="T27" s="99">
        <f>'VAL 3 TRIM'!AG27</f>
        <v>100</v>
      </c>
      <c r="U27" s="100">
        <f t="shared" si="0"/>
        <v>71.974358974358964</v>
      </c>
      <c r="V27" s="101" t="str">
        <f t="shared" si="1"/>
        <v>APROBADO</v>
      </c>
      <c r="W27" s="102"/>
      <c r="X27" s="102"/>
    </row>
    <row r="28" spans="1:24" ht="12" customHeight="1" x14ac:dyDescent="0.35">
      <c r="A28" s="58">
        <v>20</v>
      </c>
      <c r="B28" s="59" t="str">
        <f>'C. FILIACION'!B27</f>
        <v>Tattum Rocha Elias</v>
      </c>
      <c r="C28" s="48">
        <f>'VAL 1 TRIM '!C28</f>
        <v>10</v>
      </c>
      <c r="D28" s="48">
        <f>'VAL 1 TRIM '!O28</f>
        <v>35</v>
      </c>
      <c r="E28" s="48">
        <f>'VAL 1 TRIM '!AB28</f>
        <v>35</v>
      </c>
      <c r="F28" s="48">
        <f>'VAL 1 TRIM '!AE28</f>
        <v>10</v>
      </c>
      <c r="G28" s="48">
        <f>'VAL 1 TRIM '!AE28</f>
        <v>10</v>
      </c>
      <c r="H28" s="99">
        <f>'VAL 1 TRIM '!AG28</f>
        <v>100</v>
      </c>
      <c r="I28" s="31">
        <f>'VAL 2 TRIM'!C28</f>
        <v>8</v>
      </c>
      <c r="J28" s="31">
        <f>'VAL 2 TRIM'!O28</f>
        <v>22</v>
      </c>
      <c r="K28" s="31">
        <f>'VAL 2 TRIM'!AB28</f>
        <v>25</v>
      </c>
      <c r="L28" s="31">
        <f>'VAL 2 TRIM'!AA28</f>
        <v>10</v>
      </c>
      <c r="M28" s="31">
        <f>'VAL 2 TRIM'!AE28</f>
        <v>6</v>
      </c>
      <c r="N28" s="99">
        <f>'VAL 2 TRIM'!AG28</f>
        <v>71</v>
      </c>
      <c r="O28" s="31">
        <f>'VAL 3 TRIM'!C28</f>
        <v>10</v>
      </c>
      <c r="P28" s="31">
        <f>'VAL 3 TRIM'!O28</f>
        <v>35</v>
      </c>
      <c r="Q28" s="31">
        <f>'VAL 3 TRIM'!AB28</f>
        <v>35</v>
      </c>
      <c r="R28" s="31">
        <f>'VAL 3 TRIM'!AA28</f>
        <v>10</v>
      </c>
      <c r="S28" s="48">
        <f>'VAL 3 TRIM'!AE28</f>
        <v>10</v>
      </c>
      <c r="T28" s="99">
        <f>'VAL 3 TRIM'!AG28</f>
        <v>100</v>
      </c>
      <c r="U28" s="100">
        <f t="shared" si="0"/>
        <v>90.333333333333329</v>
      </c>
      <c r="V28" s="101" t="str">
        <f t="shared" si="1"/>
        <v>APROBADO</v>
      </c>
      <c r="W28" s="102"/>
      <c r="X28" s="102"/>
    </row>
    <row r="29" spans="1:24" ht="12" customHeight="1" x14ac:dyDescent="0.35">
      <c r="A29" s="58">
        <v>21</v>
      </c>
      <c r="B29" s="59" t="str">
        <f>'C. FILIACION'!B28</f>
        <v>soria la fuente leonardo abel</v>
      </c>
      <c r="C29" s="48">
        <f>'VAL 1 TRIM '!C29</f>
        <v>10</v>
      </c>
      <c r="D29" s="48">
        <f>'VAL 1 TRIM '!O29</f>
        <v>35</v>
      </c>
      <c r="E29" s="48">
        <f>'VAL 1 TRIM '!AB29</f>
        <v>35</v>
      </c>
      <c r="F29" s="48">
        <f>'VAL 1 TRIM '!AE29</f>
        <v>10</v>
      </c>
      <c r="G29" s="48">
        <f>'VAL 1 TRIM '!AE29</f>
        <v>10</v>
      </c>
      <c r="H29" s="99">
        <f>'VAL 1 TRIM '!AG29</f>
        <v>100</v>
      </c>
      <c r="I29" s="31">
        <f>'VAL 2 TRIM'!C29</f>
        <v>9.2307692307692299</v>
      </c>
      <c r="J29" s="31">
        <f>'VAL 2 TRIM'!O29</f>
        <v>15</v>
      </c>
      <c r="K29" s="31">
        <f>'VAL 2 TRIM'!AB29</f>
        <v>15</v>
      </c>
      <c r="L29" s="31">
        <f>'VAL 2 TRIM'!AA29</f>
        <v>6</v>
      </c>
      <c r="M29" s="31">
        <f>'VAL 2 TRIM'!AE29</f>
        <v>6</v>
      </c>
      <c r="N29" s="99">
        <f>'VAL 2 TRIM'!AG29</f>
        <v>51.230769230769226</v>
      </c>
      <c r="O29" s="31">
        <f>'VAL 3 TRIM'!C29</f>
        <v>10</v>
      </c>
      <c r="P29" s="31">
        <f>'VAL 3 TRIM'!O29</f>
        <v>35</v>
      </c>
      <c r="Q29" s="31">
        <f>'VAL 3 TRIM'!AB29</f>
        <v>35</v>
      </c>
      <c r="R29" s="31">
        <f>'VAL 3 TRIM'!AA29</f>
        <v>10</v>
      </c>
      <c r="S29" s="48">
        <f>'VAL 3 TRIM'!AE29</f>
        <v>10</v>
      </c>
      <c r="T29" s="99">
        <f>'VAL 3 TRIM'!AG29</f>
        <v>100</v>
      </c>
      <c r="U29" s="100">
        <f t="shared" si="0"/>
        <v>83.743589743589737</v>
      </c>
      <c r="V29" s="101" t="str">
        <f t="shared" si="1"/>
        <v>APROBADO</v>
      </c>
      <c r="W29" s="102"/>
      <c r="X29" s="102"/>
    </row>
    <row r="30" spans="1:24" ht="12" customHeight="1" x14ac:dyDescent="0.35">
      <c r="A30" s="58">
        <v>22</v>
      </c>
      <c r="B30" s="59" t="str">
        <f>'C. FILIACION'!B29</f>
        <v>Terrazas fuentes Salomon</v>
      </c>
      <c r="C30" s="48">
        <f>'VAL 1 TRIM '!C30</f>
        <v>10</v>
      </c>
      <c r="D30" s="48">
        <f>'VAL 1 TRIM '!O30</f>
        <v>35</v>
      </c>
      <c r="E30" s="48">
        <f>'VAL 1 TRIM '!AB30</f>
        <v>35</v>
      </c>
      <c r="F30" s="48">
        <f>'VAL 1 TRIM '!AE30</f>
        <v>10</v>
      </c>
      <c r="G30" s="48">
        <f>'VAL 1 TRIM '!AE30</f>
        <v>10</v>
      </c>
      <c r="H30" s="99">
        <f>'VAL 1 TRIM '!AG30</f>
        <v>100</v>
      </c>
      <c r="I30" s="31">
        <f>'VAL 2 TRIM'!C30</f>
        <v>9.2307692307692299</v>
      </c>
      <c r="J30" s="31">
        <f>'VAL 2 TRIM'!O30</f>
        <v>23</v>
      </c>
      <c r="K30" s="31">
        <f>'VAL 2 TRIM'!AB30</f>
        <v>28</v>
      </c>
      <c r="L30" s="31">
        <f>'VAL 2 TRIM'!AA30</f>
        <v>10</v>
      </c>
      <c r="M30" s="31">
        <f>'VAL 2 TRIM'!AE30</f>
        <v>9</v>
      </c>
      <c r="N30" s="99">
        <f>'VAL 2 TRIM'!AG30</f>
        <v>79.230769230769226</v>
      </c>
      <c r="O30" s="31">
        <f>'VAL 3 TRIM'!C30</f>
        <v>10</v>
      </c>
      <c r="P30" s="31">
        <f>'VAL 3 TRIM'!O30</f>
        <v>35</v>
      </c>
      <c r="Q30" s="31">
        <f>'VAL 3 TRIM'!AB30</f>
        <v>35</v>
      </c>
      <c r="R30" s="31">
        <f>'VAL 3 TRIM'!AA30</f>
        <v>10</v>
      </c>
      <c r="S30" s="48">
        <f>'VAL 3 TRIM'!AE30</f>
        <v>10</v>
      </c>
      <c r="T30" s="99">
        <f>'VAL 3 TRIM'!AG30</f>
        <v>100</v>
      </c>
      <c r="U30" s="100">
        <f t="shared" si="0"/>
        <v>93.07692307692308</v>
      </c>
      <c r="V30" s="101" t="str">
        <f t="shared" si="1"/>
        <v>APROBADO</v>
      </c>
      <c r="W30" s="102"/>
      <c r="X30" s="102"/>
    </row>
    <row r="31" spans="1:24" ht="12" customHeight="1" x14ac:dyDescent="0.35">
      <c r="A31" s="58">
        <v>23</v>
      </c>
      <c r="B31" s="59" t="str">
        <f>'C. FILIACION'!B30</f>
        <v>Terrazas fuentes David</v>
      </c>
      <c r="C31" s="48">
        <f>'VAL 1 TRIM '!C31</f>
        <v>10</v>
      </c>
      <c r="D31" s="48">
        <f>'VAL 1 TRIM '!O31</f>
        <v>35</v>
      </c>
      <c r="E31" s="48">
        <f>'VAL 1 TRIM '!AB31</f>
        <v>35</v>
      </c>
      <c r="F31" s="48">
        <f>'VAL 1 TRIM '!AE31</f>
        <v>10</v>
      </c>
      <c r="G31" s="48">
        <f>'VAL 1 TRIM '!AE31</f>
        <v>10</v>
      </c>
      <c r="H31" s="99">
        <f>'VAL 1 TRIM '!AG31</f>
        <v>100</v>
      </c>
      <c r="I31" s="31">
        <f>'VAL 2 TRIM'!C31</f>
        <v>9.2307692307692299</v>
      </c>
      <c r="J31" s="31">
        <f>'VAL 2 TRIM'!O31</f>
        <v>25</v>
      </c>
      <c r="K31" s="31">
        <f>'VAL 2 TRIM'!AB31</f>
        <v>29</v>
      </c>
      <c r="L31" s="31">
        <f>'VAL 2 TRIM'!AA31</f>
        <v>10</v>
      </c>
      <c r="M31" s="31">
        <f>'VAL 2 TRIM'!AE31</f>
        <v>7</v>
      </c>
      <c r="N31" s="99">
        <f>'VAL 2 TRIM'!AG31</f>
        <v>80.230769230769226</v>
      </c>
      <c r="O31" s="31">
        <f>'VAL 3 TRIM'!C31</f>
        <v>10</v>
      </c>
      <c r="P31" s="31">
        <f>'VAL 3 TRIM'!O31</f>
        <v>35</v>
      </c>
      <c r="Q31" s="31">
        <f>'VAL 3 TRIM'!AB31</f>
        <v>35</v>
      </c>
      <c r="R31" s="31">
        <f>'VAL 3 TRIM'!AA31</f>
        <v>10</v>
      </c>
      <c r="S31" s="48">
        <f>'VAL 3 TRIM'!AE31</f>
        <v>10</v>
      </c>
      <c r="T31" s="99">
        <f>'VAL 3 TRIM'!AG31</f>
        <v>100</v>
      </c>
      <c r="U31" s="100">
        <f t="shared" si="0"/>
        <v>93.410256410256409</v>
      </c>
      <c r="V31" s="101" t="str">
        <f t="shared" si="1"/>
        <v>APROBADO</v>
      </c>
      <c r="W31" s="102"/>
      <c r="X31" s="102"/>
    </row>
    <row r="32" spans="1:24" ht="12" customHeight="1" x14ac:dyDescent="0.35">
      <c r="A32" s="58">
        <v>24</v>
      </c>
      <c r="B32" s="59" t="str">
        <f>'C. FILIACION'!B31</f>
        <v xml:space="preserve">Flores Gutierrez Abel Manuel </v>
      </c>
      <c r="C32" s="48">
        <f>'VAL 1 TRIM '!C32</f>
        <v>10</v>
      </c>
      <c r="D32" s="48">
        <f>'VAL 1 TRIM '!O32</f>
        <v>35</v>
      </c>
      <c r="E32" s="48">
        <f>'VAL 1 TRIM '!AB32</f>
        <v>35</v>
      </c>
      <c r="F32" s="48">
        <f>'VAL 1 TRIM '!AE32</f>
        <v>10</v>
      </c>
      <c r="G32" s="48">
        <f>'VAL 1 TRIM '!AE32</f>
        <v>10</v>
      </c>
      <c r="H32" s="99">
        <f>'VAL 1 TRIM '!AG32</f>
        <v>100</v>
      </c>
      <c r="I32" s="31">
        <f>'VAL 2 TRIM'!C32</f>
        <v>2</v>
      </c>
      <c r="J32" s="31">
        <f>'VAL 2 TRIM'!O32</f>
        <v>16</v>
      </c>
      <c r="K32" s="31">
        <f>'VAL 2 TRIM'!AB32</f>
        <v>15</v>
      </c>
      <c r="L32" s="31">
        <f>'VAL 2 TRIM'!AA32</f>
        <v>3</v>
      </c>
      <c r="M32" s="31">
        <f>'VAL 2 TRIM'!AE32</f>
        <v>5</v>
      </c>
      <c r="N32" s="99">
        <f>'VAL 2 TRIM'!AG32</f>
        <v>41</v>
      </c>
      <c r="O32" s="31">
        <f>'VAL 3 TRIM'!C32</f>
        <v>10</v>
      </c>
      <c r="P32" s="31">
        <f>'VAL 3 TRIM'!O32</f>
        <v>35</v>
      </c>
      <c r="Q32" s="31">
        <f>'VAL 3 TRIM'!AB32</f>
        <v>35</v>
      </c>
      <c r="R32" s="31">
        <f>'VAL 3 TRIM'!AA32</f>
        <v>10</v>
      </c>
      <c r="S32" s="48">
        <f>'VAL 3 TRIM'!AE32</f>
        <v>10</v>
      </c>
      <c r="T32" s="99">
        <f>'VAL 3 TRIM'!AG32</f>
        <v>100</v>
      </c>
      <c r="U32" s="100">
        <f t="shared" si="0"/>
        <v>80.333333333333329</v>
      </c>
      <c r="V32" s="101" t="str">
        <f t="shared" si="1"/>
        <v>APROBADO</v>
      </c>
      <c r="W32" s="102"/>
      <c r="X32" s="102"/>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9921875" defaultRowHeight="15" customHeight="1" x14ac:dyDescent="0.35"/>
  <cols>
    <col min="1" max="1" width="1.6640625" customWidth="1"/>
    <col min="2" max="2" width="20.6640625" customWidth="1"/>
    <col min="3" max="6" width="3.6640625" customWidth="1"/>
    <col min="7" max="7" width="9" customWidth="1"/>
    <col min="8" max="8" width="1.19921875" customWidth="1"/>
    <col min="9" max="11" width="3.6640625" customWidth="1"/>
    <col min="12" max="13" width="4.6640625" customWidth="1"/>
    <col min="14" max="26" width="8.796875" customWidth="1"/>
  </cols>
  <sheetData>
    <row r="1" spans="1:13" ht="4.5" customHeight="1" x14ac:dyDescent="0.35"/>
    <row r="2" spans="1:13" ht="12.75" customHeight="1" x14ac:dyDescent="0.35">
      <c r="B2" s="235" t="s">
        <v>101</v>
      </c>
      <c r="C2" s="231"/>
      <c r="D2" s="231"/>
      <c r="E2" s="231"/>
      <c r="F2" s="231"/>
      <c r="G2" s="231"/>
      <c r="H2" s="231"/>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5">
      <c r="B4" s="38" t="s">
        <v>14</v>
      </c>
      <c r="C4" s="39" t="str">
        <f>CARÁTULA!$C$21</f>
        <v>Secundaria</v>
      </c>
      <c r="D4" s="41"/>
      <c r="E4" s="40"/>
      <c r="F4" s="39"/>
      <c r="G4" s="40"/>
      <c r="H4" s="40"/>
      <c r="I4" s="40"/>
      <c r="J4" s="38" t="s">
        <v>54</v>
      </c>
      <c r="K4" s="104"/>
      <c r="L4" s="39">
        <f>CARÁTULA!$C$19</f>
        <v>0</v>
      </c>
      <c r="M4" s="104"/>
    </row>
    <row r="5" spans="1:13" ht="12.75" customHeight="1" x14ac:dyDescent="0.35">
      <c r="B5" s="38" t="s">
        <v>22</v>
      </c>
      <c r="C5" s="39" t="str">
        <f>CARÁTULA!$C$23</f>
        <v>3ro de Secundaria</v>
      </c>
      <c r="D5" s="38"/>
      <c r="E5" s="44"/>
      <c r="F5" s="329"/>
      <c r="G5" s="304"/>
      <c r="H5" s="44"/>
      <c r="I5" s="44"/>
      <c r="J5" s="38" t="s">
        <v>23</v>
      </c>
      <c r="K5" s="104"/>
      <c r="L5" s="249">
        <f ca="1">TODAY()</f>
        <v>44496</v>
      </c>
      <c r="M5" s="231"/>
    </row>
    <row r="6" spans="1:13" ht="12.75" customHeight="1" x14ac:dyDescent="0.35">
      <c r="B6" s="38"/>
      <c r="C6" s="330" t="s">
        <v>106</v>
      </c>
      <c r="D6" s="296"/>
      <c r="E6" s="297"/>
      <c r="F6" s="326" t="s">
        <v>102</v>
      </c>
      <c r="G6" s="322" t="s">
        <v>103</v>
      </c>
      <c r="H6" s="66"/>
      <c r="I6" s="66"/>
    </row>
    <row r="7" spans="1:13" ht="12" customHeight="1" x14ac:dyDescent="0.35">
      <c r="B7" s="47"/>
      <c r="C7" s="327" t="s">
        <v>4</v>
      </c>
      <c r="D7" s="327" t="s">
        <v>107</v>
      </c>
      <c r="E7" s="328" t="s">
        <v>16</v>
      </c>
      <c r="F7" s="323"/>
      <c r="G7" s="323"/>
      <c r="H7" s="40"/>
      <c r="I7" s="40"/>
    </row>
    <row r="8" spans="1:13" ht="67.5" customHeight="1" x14ac:dyDescent="0.35">
      <c r="A8" s="48" t="s">
        <v>57</v>
      </c>
      <c r="B8" s="49" t="s">
        <v>58</v>
      </c>
      <c r="C8" s="300"/>
      <c r="D8" s="300"/>
      <c r="E8" s="300"/>
      <c r="F8" s="300"/>
      <c r="G8" s="300"/>
      <c r="H8" s="98"/>
      <c r="I8" s="98" t="s">
        <v>108</v>
      </c>
      <c r="J8" s="98" t="s">
        <v>109</v>
      </c>
      <c r="K8" s="98" t="s">
        <v>110</v>
      </c>
    </row>
    <row r="9" spans="1:13" ht="12" customHeight="1" x14ac:dyDescent="0.35">
      <c r="A9" s="58">
        <v>1</v>
      </c>
      <c r="B9" s="59" t="str">
        <f>'C. FILIACION'!B8</f>
        <v>ALCONZ COLQUE ANDREY JEAN PAUL</v>
      </c>
      <c r="C9" s="99">
        <f>'VAL 1 TRIM '!AG9</f>
        <v>48</v>
      </c>
      <c r="D9" s="99">
        <f>'VAL 2 TRIM'!AG9</f>
        <v>10</v>
      </c>
      <c r="E9" s="99">
        <f>'VAL 3 TRIM'!AG9</f>
        <v>100</v>
      </c>
      <c r="F9" s="100">
        <f>'CENTRAL 1'!U9</f>
        <v>52.666666666666664</v>
      </c>
      <c r="G9" s="101" t="str">
        <f t="shared" ref="G9:G44" si="0">IF(F9="","",(IF(AND(F9&gt;=1,F9&lt;=50.499),"REPROBADO",IF(AND(F9&gt;=50.5,F9&lt;=100),"APROBADO"))))</f>
        <v>APROBADO</v>
      </c>
      <c r="H9" s="102"/>
      <c r="I9" s="31">
        <f>COUNTIF(C9:C44,"&gt;=51")</f>
        <v>28</v>
      </c>
      <c r="J9" s="105">
        <f>COUNTIF(D9:D44,"&gt;=51")</f>
        <v>30</v>
      </c>
      <c r="K9" s="105">
        <f>COUNTIF(E9:E44,"&gt;=51")</f>
        <v>36</v>
      </c>
    </row>
    <row r="10" spans="1:13" ht="12" customHeight="1" x14ac:dyDescent="0.35">
      <c r="A10" s="58">
        <v>2</v>
      </c>
      <c r="B10" s="59" t="str">
        <f>'C. FILIACION'!B9</f>
        <v>BEJARANO CHAVARRÍA ADRIANA ABRIL</v>
      </c>
      <c r="C10" s="99">
        <f>'VAL 1 TRIM '!AG10</f>
        <v>48</v>
      </c>
      <c r="D10" s="99">
        <f>'VAL 2 TRIM'!AG10</f>
        <v>51.692307692307693</v>
      </c>
      <c r="E10" s="99">
        <f>'VAL 3 TRIM'!AG10</f>
        <v>100</v>
      </c>
      <c r="F10" s="100">
        <f>'CENTRAL 1'!U10</f>
        <v>66.564102564102555</v>
      </c>
      <c r="G10" s="101" t="str">
        <f t="shared" si="0"/>
        <v>APROBADO</v>
      </c>
      <c r="H10" s="102"/>
      <c r="I10" s="106" t="s">
        <v>111</v>
      </c>
      <c r="J10" s="107"/>
    </row>
    <row r="11" spans="1:13" ht="12" customHeight="1" x14ac:dyDescent="0.35">
      <c r="A11" s="58">
        <v>3</v>
      </c>
      <c r="B11" s="59" t="str">
        <f>'C. FILIACION'!B10</f>
        <v>CHOQUE LOPEZ DIEGO ARMANDO</v>
      </c>
      <c r="C11" s="99">
        <f>'VAL 1 TRIM '!AG11</f>
        <v>90</v>
      </c>
      <c r="D11" s="99">
        <f>'VAL 2 TRIM'!AG11</f>
        <v>43.384615384615387</v>
      </c>
      <c r="E11" s="99">
        <f>'VAL 3 TRIM'!AG11</f>
        <v>100</v>
      </c>
      <c r="F11" s="100">
        <f>'CENTRAL 1'!U11</f>
        <v>77.794871794871796</v>
      </c>
      <c r="G11" s="101" t="str">
        <f t="shared" si="0"/>
        <v>APROBADO</v>
      </c>
      <c r="H11" s="102"/>
      <c r="I11" s="102"/>
    </row>
    <row r="12" spans="1:13" ht="12" customHeight="1" x14ac:dyDescent="0.35">
      <c r="A12" s="58">
        <v>4</v>
      </c>
      <c r="B12" s="59" t="str">
        <f>'C. FILIACION'!B11</f>
        <v>CHOQUE SANGA DIEGO OSCAR</v>
      </c>
      <c r="C12" s="99">
        <f>'VAL 1 TRIM '!AG12</f>
        <v>48</v>
      </c>
      <c r="D12" s="99">
        <f>'VAL 2 TRIM'!AG12</f>
        <v>41</v>
      </c>
      <c r="E12" s="99">
        <f>'VAL 3 TRIM'!AG12</f>
        <v>100</v>
      </c>
      <c r="F12" s="100">
        <f>'CENTRAL 1'!U12</f>
        <v>63</v>
      </c>
      <c r="G12" s="101" t="str">
        <f t="shared" si="0"/>
        <v>APROBADO</v>
      </c>
      <c r="H12" s="102"/>
      <c r="I12" s="102"/>
    </row>
    <row r="13" spans="1:13" ht="12" customHeight="1" x14ac:dyDescent="0.35">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6</v>
      </c>
      <c r="K13" s="105">
        <f>COUNTIF(E9:E44,"&lt;=51")</f>
        <v>0</v>
      </c>
    </row>
    <row r="14" spans="1:13" ht="12" customHeight="1" x14ac:dyDescent="0.35">
      <c r="A14" s="58">
        <v>6</v>
      </c>
      <c r="B14" s="59" t="str">
        <f>'C. FILIACION'!B13</f>
        <v>DE LA CRUZ RADO BLADIMIR MARCOS</v>
      </c>
      <c r="C14" s="99">
        <f>'VAL 1 TRIM '!AG14</f>
        <v>90</v>
      </c>
      <c r="D14" s="99">
        <f>'VAL 2 TRIM'!AG14</f>
        <v>53.153846153846153</v>
      </c>
      <c r="E14" s="99">
        <f>'VAL 3 TRIM'!AG14</f>
        <v>100</v>
      </c>
      <c r="F14" s="100">
        <f>'CENTRAL 1'!U14</f>
        <v>81.051282051282058</v>
      </c>
      <c r="G14" s="101" t="str">
        <f t="shared" si="0"/>
        <v>APROBADO</v>
      </c>
      <c r="H14" s="102"/>
      <c r="I14" s="106" t="s">
        <v>112</v>
      </c>
    </row>
    <row r="15" spans="1:13" ht="12" customHeight="1" x14ac:dyDescent="0.35">
      <c r="A15" s="58">
        <v>7</v>
      </c>
      <c r="B15" s="59" t="str">
        <f>'C. FILIACION'!B14</f>
        <v>DELGADILLO QUISBERT MICHAEL DAVID</v>
      </c>
      <c r="C15" s="99">
        <f>'VAL 1 TRIM '!AG15</f>
        <v>70</v>
      </c>
      <c r="D15" s="99">
        <f>'VAL 2 TRIM'!AG15</f>
        <v>85</v>
      </c>
      <c r="E15" s="99">
        <f>'VAL 3 TRIM'!AG15</f>
        <v>100</v>
      </c>
      <c r="F15" s="100">
        <f>'CENTRAL 1'!U15</f>
        <v>85</v>
      </c>
      <c r="G15" s="101" t="str">
        <f t="shared" si="0"/>
        <v>APROBADO</v>
      </c>
      <c r="H15" s="102"/>
      <c r="I15" s="102"/>
    </row>
    <row r="16" spans="1:13" ht="12" customHeight="1" x14ac:dyDescent="0.35">
      <c r="A16" s="58">
        <v>8</v>
      </c>
      <c r="B16" s="59" t="str">
        <f>'C. FILIACION'!B15</f>
        <v>DIAZ SAAVEDRA LEONARDO ADRIAN</v>
      </c>
      <c r="C16" s="99">
        <f>'VAL 1 TRIM '!AG16</f>
        <v>90</v>
      </c>
      <c r="D16" s="99">
        <f>'VAL 2 TRIM'!AG16</f>
        <v>85.230769230769226</v>
      </c>
      <c r="E16" s="99">
        <f>'VAL 3 TRIM'!AG16</f>
        <v>100</v>
      </c>
      <c r="F16" s="100">
        <f>'CENTRAL 1'!U16</f>
        <v>91.743589743589737</v>
      </c>
      <c r="G16" s="101" t="str">
        <f t="shared" si="0"/>
        <v>APROBADO</v>
      </c>
      <c r="H16" s="102"/>
      <c r="I16" s="102"/>
    </row>
    <row r="17" spans="1:9" ht="12" customHeight="1" x14ac:dyDescent="0.35">
      <c r="A17" s="58">
        <v>9</v>
      </c>
      <c r="B17" s="59" t="str">
        <f>'C. FILIACION'!B16</f>
        <v>HUAMAN TERAN JASON DANIEL</v>
      </c>
      <c r="C17" s="99">
        <f>'VAL 1 TRIM '!AG17</f>
        <v>48</v>
      </c>
      <c r="D17" s="99">
        <f>'VAL 2 TRIM'!AG17</f>
        <v>76.230769230769226</v>
      </c>
      <c r="E17" s="99">
        <f>'VAL 3 TRIM'!AG17</f>
        <v>100</v>
      </c>
      <c r="F17" s="100">
        <f>'CENTRAL 1'!U17</f>
        <v>74.743589743589737</v>
      </c>
      <c r="G17" s="101" t="str">
        <f t="shared" si="0"/>
        <v>APROBADO</v>
      </c>
      <c r="H17" s="102"/>
      <c r="I17" s="102"/>
    </row>
    <row r="18" spans="1:9" ht="12" customHeight="1" x14ac:dyDescent="0.35">
      <c r="A18" s="58">
        <v>10</v>
      </c>
      <c r="B18" s="59" t="str">
        <f>'C. FILIACION'!B17</f>
        <v>HUARAYO MORALES NICOLAS FABRICIO</v>
      </c>
      <c r="C18" s="99">
        <f>'VAL 1 TRIM '!AG18</f>
        <v>48</v>
      </c>
      <c r="D18" s="99">
        <f>'VAL 2 TRIM'!AG18</f>
        <v>64</v>
      </c>
      <c r="E18" s="99">
        <f>'VAL 3 TRIM'!AG18</f>
        <v>100</v>
      </c>
      <c r="F18" s="100">
        <f>'CENTRAL 1'!U18</f>
        <v>70.666666666666671</v>
      </c>
      <c r="G18" s="101" t="str">
        <f t="shared" si="0"/>
        <v>APROBADO</v>
      </c>
      <c r="H18" s="102"/>
      <c r="I18" s="102"/>
    </row>
    <row r="19" spans="1:9" ht="12" customHeight="1" x14ac:dyDescent="0.35">
      <c r="A19" s="58">
        <v>11</v>
      </c>
      <c r="B19" s="59" t="str">
        <f>'C. FILIACION'!B18</f>
        <v>MENDOZA VACA MIKHAEL NAIM</v>
      </c>
      <c r="C19" s="99">
        <f>'VAL 1 TRIM '!AG19</f>
        <v>48</v>
      </c>
      <c r="D19" s="99">
        <f>'VAL 2 TRIM'!AG19</f>
        <v>63.46153846153846</v>
      </c>
      <c r="E19" s="99">
        <f>'VAL 3 TRIM'!AG19</f>
        <v>100</v>
      </c>
      <c r="F19" s="100">
        <f>'CENTRAL 1'!U19</f>
        <v>70.487179487179489</v>
      </c>
      <c r="G19" s="101" t="str">
        <f t="shared" si="0"/>
        <v>APROBADO</v>
      </c>
      <c r="H19" s="102"/>
      <c r="I19" s="102"/>
    </row>
    <row r="20" spans="1:9" ht="12" customHeight="1" x14ac:dyDescent="0.35">
      <c r="A20" s="58">
        <v>12</v>
      </c>
      <c r="B20" s="59" t="str">
        <f>'C. FILIACION'!B19</f>
        <v>NAVIA ASCUI BELEN ANDREA</v>
      </c>
      <c r="C20" s="99">
        <f>'VAL 1 TRIM '!AG20</f>
        <v>90</v>
      </c>
      <c r="D20" s="99">
        <f>'VAL 2 TRIM'!AG20</f>
        <v>75</v>
      </c>
      <c r="E20" s="99">
        <f>'VAL 3 TRIM'!AG20</f>
        <v>100</v>
      </c>
      <c r="F20" s="100">
        <f>'CENTRAL 1'!U20</f>
        <v>88.333333333333329</v>
      </c>
      <c r="G20" s="101" t="str">
        <f t="shared" si="0"/>
        <v>APROBADO</v>
      </c>
      <c r="H20" s="102"/>
      <c r="I20" s="102"/>
    </row>
    <row r="21" spans="1:9" ht="12" customHeight="1" x14ac:dyDescent="0.35">
      <c r="A21" s="58">
        <v>13</v>
      </c>
      <c r="B21" s="59" t="str">
        <f>'C. FILIACION'!B20</f>
        <v>QUISPE DIAZ KATHERIN LAURA</v>
      </c>
      <c r="C21" s="99">
        <f>'VAL 1 TRIM '!AG21</f>
        <v>90</v>
      </c>
      <c r="D21" s="99">
        <f>'VAL 2 TRIM'!AG21</f>
        <v>83.230769230769226</v>
      </c>
      <c r="E21" s="99">
        <f>'VAL 3 TRIM'!AG21</f>
        <v>100</v>
      </c>
      <c r="F21" s="100">
        <f>'CENTRAL 1'!U21</f>
        <v>91.07692307692308</v>
      </c>
      <c r="G21" s="101" t="str">
        <f t="shared" si="0"/>
        <v>APROBADO</v>
      </c>
      <c r="H21" s="102"/>
      <c r="I21" s="102"/>
    </row>
    <row r="22" spans="1:9" ht="12" customHeight="1" x14ac:dyDescent="0.35">
      <c r="A22" s="58">
        <v>14</v>
      </c>
      <c r="B22" s="59" t="str">
        <f>'C. FILIACION'!B21</f>
        <v>RAMOS MAMANI KRISTHEL GERALDINE</v>
      </c>
      <c r="C22" s="99">
        <f>'VAL 1 TRIM '!AG22</f>
        <v>90</v>
      </c>
      <c r="D22" s="99">
        <f>'VAL 2 TRIM'!AG22</f>
        <v>82.230769230769226</v>
      </c>
      <c r="E22" s="99">
        <f>'VAL 3 TRIM'!AG22</f>
        <v>100</v>
      </c>
      <c r="F22" s="100">
        <f>'CENTRAL 1'!U22</f>
        <v>90.743589743589737</v>
      </c>
      <c r="G22" s="101" t="str">
        <f t="shared" si="0"/>
        <v>APROBADO</v>
      </c>
      <c r="H22" s="102"/>
      <c r="I22" s="102"/>
    </row>
    <row r="23" spans="1:9" ht="12" customHeight="1" x14ac:dyDescent="0.35">
      <c r="A23" s="58">
        <v>15</v>
      </c>
      <c r="B23" s="59" t="str">
        <f>'C. FILIACION'!B22</f>
        <v>RODRIGUEZ LOBATON YADHIRA CIELO</v>
      </c>
      <c r="C23" s="99">
        <f>'VAL 1 TRIM '!AG23</f>
        <v>90</v>
      </c>
      <c r="D23" s="99">
        <f>'VAL 2 TRIM'!AG23</f>
        <v>52</v>
      </c>
      <c r="E23" s="99">
        <f>'VAL 3 TRIM'!AG23</f>
        <v>100</v>
      </c>
      <c r="F23" s="100">
        <f>'CENTRAL 1'!U23</f>
        <v>80.666666666666671</v>
      </c>
      <c r="G23" s="101" t="str">
        <f t="shared" si="0"/>
        <v>APROBADO</v>
      </c>
      <c r="H23" s="102"/>
      <c r="I23" s="102"/>
    </row>
    <row r="24" spans="1:9" ht="12" customHeight="1" x14ac:dyDescent="0.35">
      <c r="A24" s="58">
        <v>16</v>
      </c>
      <c r="B24" s="59" t="str">
        <f>'C. FILIACION'!B23</f>
        <v>ROJAS CANAVIRI VICTOR ANDRE</v>
      </c>
      <c r="C24" s="99">
        <f>'VAL 1 TRIM '!AG24</f>
        <v>48</v>
      </c>
      <c r="D24" s="99">
        <f>'VAL 2 TRIM'!AG24</f>
        <v>57</v>
      </c>
      <c r="E24" s="99">
        <f>'VAL 3 TRIM'!AG24</f>
        <v>100</v>
      </c>
      <c r="F24" s="100">
        <f>'CENTRAL 1'!U24</f>
        <v>68.333333333333329</v>
      </c>
      <c r="G24" s="101" t="str">
        <f t="shared" si="0"/>
        <v>APROBADO</v>
      </c>
      <c r="H24" s="102"/>
      <c r="I24" s="102"/>
    </row>
    <row r="25" spans="1:9" ht="12" customHeight="1" x14ac:dyDescent="0.35">
      <c r="A25" s="58">
        <v>17</v>
      </c>
      <c r="B25" s="59" t="str">
        <f>'C. FILIACION'!B24</f>
        <v>ROJAS LENIS GABRIEL</v>
      </c>
      <c r="C25" s="99">
        <f>'VAL 1 TRIM '!AG25</f>
        <v>61</v>
      </c>
      <c r="D25" s="99">
        <f>'VAL 2 TRIM'!AG25</f>
        <v>50.692307692307693</v>
      </c>
      <c r="E25" s="99">
        <f>'VAL 3 TRIM'!AG25</f>
        <v>100</v>
      </c>
      <c r="F25" s="100">
        <f>'CENTRAL 1'!U25</f>
        <v>70.564102564102555</v>
      </c>
      <c r="G25" s="101" t="str">
        <f t="shared" si="0"/>
        <v>APROBADO</v>
      </c>
      <c r="H25" s="102"/>
      <c r="I25" s="102"/>
    </row>
    <row r="26" spans="1:9" ht="12" customHeight="1" x14ac:dyDescent="0.35">
      <c r="A26" s="58">
        <v>18</v>
      </c>
      <c r="B26" s="59" t="str">
        <f>'C. FILIACION'!B25</f>
        <v>SUAREZ QUISPE JHUNIOR</v>
      </c>
      <c r="C26" s="99">
        <f>'VAL 1 TRIM '!AG26</f>
        <v>48</v>
      </c>
      <c r="D26" s="99">
        <f>'VAL 2 TRIM'!AG26</f>
        <v>10</v>
      </c>
      <c r="E26" s="99">
        <f>'VAL 3 TRIM'!AG26</f>
        <v>100</v>
      </c>
      <c r="F26" s="100">
        <f>'CENTRAL 1'!U26</f>
        <v>52.666666666666664</v>
      </c>
      <c r="G26" s="101" t="str">
        <f t="shared" si="0"/>
        <v>APROBADO</v>
      </c>
      <c r="H26" s="102"/>
      <c r="I26" s="102"/>
    </row>
    <row r="27" spans="1:9" ht="12" customHeight="1" x14ac:dyDescent="0.35">
      <c r="A27" s="58">
        <v>19</v>
      </c>
      <c r="B27" s="59" t="str">
        <f>'C. FILIACION'!B26</f>
        <v>VILAR CORTEZ MIKAELA DOLORES</v>
      </c>
      <c r="C27" s="99">
        <f>'VAL 1 TRIM '!AG27</f>
        <v>61</v>
      </c>
      <c r="D27" s="99">
        <f>'VAL 2 TRIM'!AG27</f>
        <v>54.92307692307692</v>
      </c>
      <c r="E27" s="99">
        <f>'VAL 3 TRIM'!AG27</f>
        <v>100</v>
      </c>
      <c r="F27" s="100">
        <f>'CENTRAL 1'!U27</f>
        <v>71.974358974358964</v>
      </c>
      <c r="G27" s="101" t="str">
        <f t="shared" si="0"/>
        <v>APROBADO</v>
      </c>
      <c r="H27" s="102"/>
      <c r="I27" s="102"/>
    </row>
    <row r="28" spans="1:9" ht="12" customHeight="1" x14ac:dyDescent="0.35">
      <c r="A28" s="58">
        <v>20</v>
      </c>
      <c r="B28" s="59" t="str">
        <f>'C. FILIACION'!B27</f>
        <v>Tattum Rocha Elias</v>
      </c>
      <c r="C28" s="99">
        <f>'VAL 1 TRIM '!AG28</f>
        <v>100</v>
      </c>
      <c r="D28" s="99">
        <f>'VAL 2 TRIM'!AG28</f>
        <v>71</v>
      </c>
      <c r="E28" s="99">
        <f>'VAL 3 TRIM'!AG28</f>
        <v>100</v>
      </c>
      <c r="F28" s="100">
        <f>'CENTRAL 1'!U28</f>
        <v>90.333333333333329</v>
      </c>
      <c r="G28" s="101" t="str">
        <f t="shared" si="0"/>
        <v>APROBADO</v>
      </c>
      <c r="H28" s="102"/>
      <c r="I28" s="102"/>
    </row>
    <row r="29" spans="1:9" ht="12" customHeight="1" x14ac:dyDescent="0.35">
      <c r="A29" s="58">
        <v>21</v>
      </c>
      <c r="B29" s="59" t="str">
        <f>'C. FILIACION'!B28</f>
        <v>soria la fuente leonardo abel</v>
      </c>
      <c r="C29" s="99">
        <f>'VAL 1 TRIM '!AG29</f>
        <v>100</v>
      </c>
      <c r="D29" s="99">
        <f>'VAL 2 TRIM'!AG29</f>
        <v>51.230769230769226</v>
      </c>
      <c r="E29" s="99">
        <f>'VAL 3 TRIM'!AG29</f>
        <v>100</v>
      </c>
      <c r="F29" s="100">
        <f>'CENTRAL 1'!U29</f>
        <v>83.743589743589737</v>
      </c>
      <c r="G29" s="101" t="str">
        <f t="shared" si="0"/>
        <v>APROBADO</v>
      </c>
      <c r="H29" s="102"/>
      <c r="I29" s="102"/>
    </row>
    <row r="30" spans="1:9" ht="12" customHeight="1" x14ac:dyDescent="0.35">
      <c r="A30" s="58">
        <v>22</v>
      </c>
      <c r="B30" s="59" t="str">
        <f>'C. FILIACION'!B29</f>
        <v>Terrazas fuentes Salomon</v>
      </c>
      <c r="C30" s="99">
        <f>'VAL 1 TRIM '!AG30</f>
        <v>100</v>
      </c>
      <c r="D30" s="99">
        <f>'VAL 2 TRIM'!AG30</f>
        <v>79.230769230769226</v>
      </c>
      <c r="E30" s="99">
        <f>'VAL 3 TRIM'!AG30</f>
        <v>100</v>
      </c>
      <c r="F30" s="100">
        <f>'CENTRAL 1'!U30</f>
        <v>93.07692307692308</v>
      </c>
      <c r="G30" s="101" t="str">
        <f t="shared" si="0"/>
        <v>APROBADO</v>
      </c>
      <c r="H30" s="102"/>
      <c r="I30" s="102"/>
    </row>
    <row r="31" spans="1:9" ht="12" customHeight="1" x14ac:dyDescent="0.35">
      <c r="A31" s="58">
        <v>23</v>
      </c>
      <c r="B31" s="59" t="str">
        <f>'C. FILIACION'!B30</f>
        <v>Terrazas fuentes David</v>
      </c>
      <c r="C31" s="99">
        <f>'VAL 1 TRIM '!AG31</f>
        <v>100</v>
      </c>
      <c r="D31" s="99">
        <f>'VAL 2 TRIM'!AG31</f>
        <v>80.230769230769226</v>
      </c>
      <c r="E31" s="99">
        <f>'VAL 3 TRIM'!AG31</f>
        <v>100</v>
      </c>
      <c r="F31" s="100">
        <f>'CENTRAL 1'!U31</f>
        <v>93.410256410256409</v>
      </c>
      <c r="G31" s="101" t="str">
        <f t="shared" si="0"/>
        <v>APROBADO</v>
      </c>
      <c r="H31" s="102"/>
      <c r="I31" s="102"/>
    </row>
    <row r="32" spans="1:9" ht="12" customHeight="1" x14ac:dyDescent="0.35">
      <c r="A32" s="58">
        <v>24</v>
      </c>
      <c r="B32" s="59" t="str">
        <f>'C. FILIACION'!B31</f>
        <v xml:space="preserve">Flores Gutierrez Abel Manuel </v>
      </c>
      <c r="C32" s="99">
        <f>'VAL 1 TRIM '!AG32</f>
        <v>100</v>
      </c>
      <c r="D32" s="99">
        <f>'VAL 2 TRIM'!AG32</f>
        <v>41</v>
      </c>
      <c r="E32" s="99">
        <f>'VAL 3 TRIM'!AG32</f>
        <v>100</v>
      </c>
      <c r="F32" s="100">
        <f>'CENTRAL 1'!U32</f>
        <v>80.333333333333329</v>
      </c>
      <c r="G32" s="101" t="str">
        <f t="shared" si="0"/>
        <v>APROBADO</v>
      </c>
      <c r="H32" s="102"/>
      <c r="I32" s="102"/>
    </row>
    <row r="33" spans="1:9" ht="12" customHeight="1" x14ac:dyDescent="0.35">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5">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5">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5">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5">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5">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5">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5">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5">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5">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5">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5">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34" t="s">
        <v>113</v>
      </c>
      <c r="C2" s="231"/>
      <c r="D2" s="231"/>
      <c r="E2" s="231"/>
      <c r="F2" s="231"/>
      <c r="G2" s="231"/>
      <c r="H2" s="231"/>
      <c r="I2" s="231"/>
      <c r="J2" s="231"/>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44496</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114</v>
      </c>
      <c r="J6" s="108"/>
      <c r="K6" s="108"/>
      <c r="L6" s="108"/>
      <c r="M6" s="108"/>
      <c r="N6" s="108"/>
      <c r="O6" s="108"/>
      <c r="P6" s="108"/>
      <c r="Q6" s="108"/>
      <c r="R6" s="108"/>
      <c r="S6" s="108"/>
      <c r="T6" s="108"/>
      <c r="U6" s="108"/>
      <c r="V6" s="108"/>
      <c r="W6" s="108"/>
      <c r="X6" s="108"/>
      <c r="Y6" s="108"/>
      <c r="Z6" s="108"/>
    </row>
    <row r="7" spans="1:26" ht="20.399999999999999" x14ac:dyDescent="0.35">
      <c r="A7" s="108"/>
      <c r="B7" s="113" t="s">
        <v>95</v>
      </c>
      <c r="C7" s="112" t="s">
        <v>115</v>
      </c>
      <c r="D7" s="113" t="s">
        <v>116</v>
      </c>
      <c r="E7" s="114" t="s">
        <v>117</v>
      </c>
      <c r="F7" s="108"/>
      <c r="G7" s="115" t="s">
        <v>118</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399999999999999" x14ac:dyDescent="0.35">
      <c r="A8" s="108"/>
      <c r="B8" s="113" t="s">
        <v>96</v>
      </c>
      <c r="C8" s="112" t="s">
        <v>119</v>
      </c>
      <c r="D8" s="113" t="s">
        <v>120</v>
      </c>
      <c r="E8" s="114" t="s">
        <v>121</v>
      </c>
      <c r="F8" s="108"/>
      <c r="G8" s="115" t="s">
        <v>122</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399999999999999" x14ac:dyDescent="0.35">
      <c r="A9" s="108"/>
      <c r="B9" s="113" t="s">
        <v>97</v>
      </c>
      <c r="C9" s="112" t="s">
        <v>123</v>
      </c>
      <c r="D9" s="113" t="s">
        <v>124</v>
      </c>
      <c r="E9" s="114" t="s">
        <v>121</v>
      </c>
      <c r="F9" s="108"/>
      <c r="G9" s="117" t="s">
        <v>125</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399999999999999" x14ac:dyDescent="0.35">
      <c r="A10" s="108"/>
      <c r="B10" s="113" t="s">
        <v>98</v>
      </c>
      <c r="C10" s="112" t="s">
        <v>126</v>
      </c>
      <c r="D10" s="113" t="s">
        <v>127</v>
      </c>
      <c r="E10" s="114" t="s">
        <v>121</v>
      </c>
      <c r="F10" s="108"/>
      <c r="G10" s="117" t="s">
        <v>128</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129</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35" t="s">
        <v>130</v>
      </c>
      <c r="C13" s="231"/>
      <c r="D13" s="231"/>
      <c r="E13" s="231"/>
      <c r="F13" s="231"/>
      <c r="G13" s="231"/>
      <c r="H13" s="231"/>
      <c r="I13" s="231"/>
      <c r="J13" s="231"/>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31" t="s">
        <v>131</v>
      </c>
      <c r="C15" s="238"/>
      <c r="D15" s="238"/>
      <c r="E15" s="238"/>
      <c r="F15" s="238"/>
      <c r="G15" s="238"/>
      <c r="H15" s="238"/>
      <c r="I15" s="238"/>
      <c r="J15" s="239"/>
      <c r="K15" s="108"/>
      <c r="L15" s="108"/>
      <c r="M15" s="108"/>
      <c r="N15" s="108"/>
      <c r="O15" s="108"/>
      <c r="P15" s="108"/>
      <c r="Q15" s="108"/>
      <c r="R15" s="108"/>
      <c r="S15" s="108"/>
      <c r="T15" s="108"/>
      <c r="U15" s="108"/>
      <c r="V15" s="108"/>
      <c r="W15" s="108"/>
      <c r="X15" s="108"/>
      <c r="Y15" s="108"/>
      <c r="Z15" s="108"/>
    </row>
    <row r="16" spans="1:26" ht="16.5" customHeight="1" x14ac:dyDescent="0.35">
      <c r="A16" s="108"/>
      <c r="B16" s="332"/>
      <c r="C16" s="231"/>
      <c r="D16" s="231"/>
      <c r="E16" s="231"/>
      <c r="F16" s="231"/>
      <c r="G16" s="231"/>
      <c r="H16" s="231"/>
      <c r="I16" s="231"/>
      <c r="J16" s="333"/>
      <c r="K16" s="108"/>
      <c r="L16" s="108"/>
      <c r="M16" s="108"/>
      <c r="N16" s="108"/>
      <c r="O16" s="108"/>
      <c r="P16" s="108"/>
      <c r="Q16" s="108"/>
      <c r="R16" s="108"/>
      <c r="S16" s="108"/>
      <c r="T16" s="108"/>
      <c r="U16" s="108"/>
      <c r="V16" s="108"/>
      <c r="W16" s="108"/>
      <c r="X16" s="108"/>
      <c r="Y16" s="108"/>
      <c r="Z16" s="108"/>
    </row>
    <row r="17" spans="1:26" ht="16.5" customHeight="1" x14ac:dyDescent="0.35">
      <c r="A17" s="108"/>
      <c r="B17" s="303"/>
      <c r="C17" s="304"/>
      <c r="D17" s="304"/>
      <c r="E17" s="304"/>
      <c r="F17" s="304"/>
      <c r="G17" s="304"/>
      <c r="H17" s="304"/>
      <c r="I17" s="304"/>
      <c r="J17" s="305"/>
      <c r="K17" s="108"/>
      <c r="L17" s="108"/>
      <c r="M17" s="108"/>
      <c r="N17" s="108"/>
      <c r="O17" s="108"/>
      <c r="P17" s="108"/>
      <c r="Q17" s="108"/>
      <c r="R17" s="108"/>
      <c r="S17" s="108"/>
      <c r="T17" s="108"/>
      <c r="U17" s="108"/>
      <c r="V17" s="108"/>
      <c r="W17" s="108"/>
      <c r="X17" s="108"/>
      <c r="Y17" s="108"/>
      <c r="Z17" s="108"/>
    </row>
    <row r="18" spans="1:26" ht="16.5" customHeight="1" x14ac:dyDescent="0.35">
      <c r="A18" s="108"/>
      <c r="B18" s="331" t="s">
        <v>132</v>
      </c>
      <c r="C18" s="238"/>
      <c r="D18" s="238"/>
      <c r="E18" s="238"/>
      <c r="F18" s="238"/>
      <c r="G18" s="238"/>
      <c r="H18" s="238"/>
      <c r="I18" s="238"/>
      <c r="J18" s="239"/>
      <c r="K18" s="108"/>
      <c r="L18" s="108"/>
      <c r="M18" s="108"/>
      <c r="N18" s="108"/>
      <c r="O18" s="108"/>
      <c r="P18" s="108"/>
      <c r="Q18" s="108"/>
      <c r="R18" s="108"/>
      <c r="S18" s="108"/>
      <c r="T18" s="108"/>
      <c r="U18" s="108"/>
      <c r="V18" s="108"/>
      <c r="W18" s="108"/>
      <c r="X18" s="108"/>
      <c r="Y18" s="108"/>
      <c r="Z18" s="108"/>
    </row>
    <row r="19" spans="1:26" ht="16.5" customHeight="1" x14ac:dyDescent="0.35">
      <c r="A19" s="108"/>
      <c r="B19" s="332"/>
      <c r="C19" s="231"/>
      <c r="D19" s="231"/>
      <c r="E19" s="231"/>
      <c r="F19" s="231"/>
      <c r="G19" s="231"/>
      <c r="H19" s="231"/>
      <c r="I19" s="231"/>
      <c r="J19" s="333"/>
      <c r="K19" s="108"/>
      <c r="L19" s="108"/>
      <c r="M19" s="108"/>
      <c r="N19" s="108"/>
      <c r="O19" s="108"/>
      <c r="P19" s="108"/>
      <c r="Q19" s="108"/>
      <c r="R19" s="108"/>
      <c r="S19" s="108"/>
      <c r="T19" s="108"/>
      <c r="U19" s="108"/>
      <c r="V19" s="108"/>
      <c r="W19" s="108"/>
      <c r="X19" s="108"/>
      <c r="Y19" s="108"/>
      <c r="Z19" s="108"/>
    </row>
    <row r="20" spans="1:26" ht="16.5" customHeight="1" x14ac:dyDescent="0.35">
      <c r="A20" s="108"/>
      <c r="B20" s="303"/>
      <c r="C20" s="304"/>
      <c r="D20" s="304"/>
      <c r="E20" s="304"/>
      <c r="F20" s="304"/>
      <c r="G20" s="304"/>
      <c r="H20" s="304"/>
      <c r="I20" s="304"/>
      <c r="J20" s="305"/>
      <c r="K20" s="108"/>
      <c r="L20" s="108"/>
      <c r="M20" s="108"/>
      <c r="N20" s="108"/>
      <c r="O20" s="108"/>
      <c r="P20" s="108"/>
      <c r="Q20" s="108"/>
      <c r="R20" s="108"/>
      <c r="S20" s="108"/>
      <c r="T20" s="108"/>
      <c r="U20" s="108"/>
      <c r="V20" s="108"/>
      <c r="W20" s="108"/>
      <c r="X20" s="108"/>
      <c r="Y20" s="108"/>
      <c r="Z20" s="108"/>
    </row>
    <row r="21" spans="1:26" ht="16.5" customHeight="1" x14ac:dyDescent="0.35">
      <c r="A21" s="108"/>
      <c r="B21" s="331" t="s">
        <v>133</v>
      </c>
      <c r="C21" s="238"/>
      <c r="D21" s="238"/>
      <c r="E21" s="238"/>
      <c r="F21" s="238"/>
      <c r="G21" s="238"/>
      <c r="H21" s="238"/>
      <c r="I21" s="238"/>
      <c r="J21" s="239"/>
      <c r="K21" s="108"/>
      <c r="L21" s="108"/>
      <c r="M21" s="108"/>
      <c r="N21" s="108"/>
      <c r="O21" s="108"/>
      <c r="P21" s="108"/>
      <c r="Q21" s="108"/>
      <c r="R21" s="108"/>
      <c r="S21" s="108"/>
      <c r="T21" s="108"/>
      <c r="U21" s="108"/>
      <c r="V21" s="108"/>
      <c r="W21" s="108"/>
      <c r="X21" s="108"/>
      <c r="Y21" s="108"/>
      <c r="Z21" s="108"/>
    </row>
    <row r="22" spans="1:26" ht="16.5" customHeight="1" x14ac:dyDescent="0.35">
      <c r="A22" s="108"/>
      <c r="B22" s="332"/>
      <c r="C22" s="231"/>
      <c r="D22" s="231"/>
      <c r="E22" s="231"/>
      <c r="F22" s="231"/>
      <c r="G22" s="231"/>
      <c r="H22" s="231"/>
      <c r="I22" s="231"/>
      <c r="J22" s="333"/>
      <c r="K22" s="108"/>
      <c r="L22" s="108"/>
      <c r="M22" s="108"/>
      <c r="N22" s="108"/>
      <c r="O22" s="108"/>
      <c r="P22" s="108"/>
      <c r="Q22" s="108"/>
      <c r="R22" s="108"/>
      <c r="S22" s="108"/>
      <c r="T22" s="108"/>
      <c r="U22" s="108"/>
      <c r="V22" s="108"/>
      <c r="W22" s="108"/>
      <c r="X22" s="108"/>
      <c r="Y22" s="108"/>
      <c r="Z22" s="108"/>
    </row>
    <row r="23" spans="1:26" ht="16.5" customHeight="1" x14ac:dyDescent="0.35">
      <c r="A23" s="108"/>
      <c r="B23" s="303"/>
      <c r="C23" s="304"/>
      <c r="D23" s="304"/>
      <c r="E23" s="304"/>
      <c r="F23" s="304"/>
      <c r="G23" s="304"/>
      <c r="H23" s="304"/>
      <c r="I23" s="304"/>
      <c r="J23" s="305"/>
      <c r="K23" s="108"/>
      <c r="L23" s="108"/>
      <c r="M23" s="108"/>
      <c r="N23" s="108"/>
      <c r="O23" s="108"/>
      <c r="P23" s="108"/>
      <c r="Q23" s="108"/>
      <c r="R23" s="108"/>
      <c r="S23" s="108"/>
      <c r="T23" s="108"/>
      <c r="U23" s="108"/>
      <c r="V23" s="108"/>
      <c r="W23" s="108"/>
      <c r="X23" s="108"/>
      <c r="Y23" s="108"/>
      <c r="Z23" s="108"/>
    </row>
    <row r="24" spans="1:26" ht="16.5" customHeight="1" x14ac:dyDescent="0.35">
      <c r="A24" s="108"/>
      <c r="B24" s="331" t="s">
        <v>134</v>
      </c>
      <c r="C24" s="238"/>
      <c r="D24" s="238"/>
      <c r="E24" s="238"/>
      <c r="F24" s="238"/>
      <c r="G24" s="238"/>
      <c r="H24" s="238"/>
      <c r="I24" s="238"/>
      <c r="J24" s="239"/>
      <c r="K24" s="108"/>
      <c r="L24" s="108"/>
      <c r="M24" s="108"/>
      <c r="N24" s="108"/>
      <c r="O24" s="108"/>
      <c r="P24" s="108"/>
      <c r="Q24" s="108"/>
      <c r="R24" s="108"/>
      <c r="S24" s="108"/>
      <c r="T24" s="108"/>
      <c r="U24" s="108"/>
      <c r="V24" s="108"/>
      <c r="W24" s="108"/>
      <c r="X24" s="108"/>
      <c r="Y24" s="108"/>
      <c r="Z24" s="108"/>
    </row>
    <row r="25" spans="1:26" ht="16.5" customHeight="1" x14ac:dyDescent="0.35">
      <c r="A25" s="108"/>
      <c r="B25" s="332"/>
      <c r="C25" s="231"/>
      <c r="D25" s="231"/>
      <c r="E25" s="231"/>
      <c r="F25" s="231"/>
      <c r="G25" s="231"/>
      <c r="H25" s="231"/>
      <c r="I25" s="231"/>
      <c r="J25" s="333"/>
      <c r="K25" s="108"/>
      <c r="L25" s="108"/>
      <c r="M25" s="108"/>
      <c r="N25" s="108"/>
      <c r="O25" s="108"/>
      <c r="P25" s="108"/>
      <c r="Q25" s="108"/>
      <c r="R25" s="108"/>
      <c r="S25" s="108"/>
      <c r="T25" s="108"/>
      <c r="U25" s="108"/>
      <c r="V25" s="108"/>
      <c r="W25" s="108"/>
      <c r="X25" s="108"/>
      <c r="Y25" s="108"/>
      <c r="Z25" s="108"/>
    </row>
    <row r="26" spans="1:26" ht="16.5" customHeight="1" x14ac:dyDescent="0.35">
      <c r="A26" s="108"/>
      <c r="B26" s="303"/>
      <c r="C26" s="304"/>
      <c r="D26" s="304"/>
      <c r="E26" s="304"/>
      <c r="F26" s="304"/>
      <c r="G26" s="304"/>
      <c r="H26" s="304"/>
      <c r="I26" s="304"/>
      <c r="J26" s="305"/>
      <c r="K26" s="108"/>
      <c r="L26" s="108"/>
      <c r="M26" s="108"/>
      <c r="N26" s="108"/>
      <c r="O26" s="108"/>
      <c r="P26" s="108"/>
      <c r="Q26" s="108"/>
      <c r="R26" s="108"/>
      <c r="S26" s="108"/>
      <c r="T26" s="108"/>
      <c r="U26" s="108"/>
      <c r="V26" s="108"/>
      <c r="W26" s="108"/>
      <c r="X26" s="108"/>
      <c r="Y26" s="108"/>
      <c r="Z26" s="108"/>
    </row>
    <row r="27" spans="1:26" ht="16.5" customHeight="1" x14ac:dyDescent="0.35">
      <c r="A27" s="108"/>
      <c r="B27" s="331" t="s">
        <v>135</v>
      </c>
      <c r="C27" s="238"/>
      <c r="D27" s="238"/>
      <c r="E27" s="238"/>
      <c r="F27" s="238"/>
      <c r="G27" s="238"/>
      <c r="H27" s="238"/>
      <c r="I27" s="238"/>
      <c r="J27" s="239"/>
      <c r="K27" s="108"/>
      <c r="L27" s="108"/>
      <c r="M27" s="108"/>
      <c r="N27" s="108"/>
      <c r="O27" s="108"/>
      <c r="P27" s="108"/>
      <c r="Q27" s="108"/>
      <c r="R27" s="108"/>
      <c r="S27" s="108"/>
      <c r="T27" s="108"/>
      <c r="U27" s="108"/>
      <c r="V27" s="108"/>
      <c r="W27" s="108"/>
      <c r="X27" s="108"/>
      <c r="Y27" s="108"/>
      <c r="Z27" s="108"/>
    </row>
    <row r="28" spans="1:26" ht="16.5" customHeight="1" x14ac:dyDescent="0.35">
      <c r="A28" s="108"/>
      <c r="B28" s="332"/>
      <c r="C28" s="231"/>
      <c r="D28" s="231"/>
      <c r="E28" s="231"/>
      <c r="F28" s="231"/>
      <c r="G28" s="231"/>
      <c r="H28" s="231"/>
      <c r="I28" s="231"/>
      <c r="J28" s="333"/>
      <c r="K28" s="108"/>
      <c r="L28" s="108"/>
      <c r="M28" s="108"/>
      <c r="N28" s="108"/>
      <c r="O28" s="108"/>
      <c r="P28" s="108"/>
      <c r="Q28" s="108"/>
      <c r="R28" s="108"/>
      <c r="S28" s="108"/>
      <c r="T28" s="108"/>
      <c r="U28" s="108"/>
      <c r="V28" s="108"/>
      <c r="W28" s="108"/>
      <c r="X28" s="108"/>
      <c r="Y28" s="108"/>
      <c r="Z28" s="108"/>
    </row>
    <row r="29" spans="1:26" ht="16.5" customHeight="1" x14ac:dyDescent="0.35">
      <c r="A29" s="108"/>
      <c r="B29" s="303"/>
      <c r="C29" s="304"/>
      <c r="D29" s="304"/>
      <c r="E29" s="304"/>
      <c r="F29" s="304"/>
      <c r="G29" s="304"/>
      <c r="H29" s="304"/>
      <c r="I29" s="304"/>
      <c r="J29" s="305"/>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136</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34" t="s">
        <v>137</v>
      </c>
      <c r="C2" s="231"/>
      <c r="D2" s="231"/>
      <c r="E2" s="231"/>
      <c r="F2" s="231"/>
      <c r="G2" s="231"/>
      <c r="H2" s="231"/>
      <c r="I2" s="231"/>
      <c r="J2" s="231"/>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44496</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114</v>
      </c>
      <c r="J6" s="108"/>
      <c r="K6" s="108"/>
      <c r="L6" s="108"/>
      <c r="M6" s="108"/>
      <c r="N6" s="108"/>
      <c r="O6" s="108"/>
      <c r="P6" s="108"/>
      <c r="Q6" s="108"/>
      <c r="R6" s="108"/>
      <c r="S6" s="108"/>
      <c r="T6" s="108"/>
      <c r="U6" s="108"/>
      <c r="V6" s="108"/>
      <c r="W6" s="108"/>
      <c r="X6" s="108"/>
      <c r="Y6" s="108"/>
      <c r="Z6" s="108"/>
    </row>
    <row r="7" spans="1:26" ht="20.399999999999999" x14ac:dyDescent="0.35">
      <c r="A7" s="108"/>
      <c r="B7" s="113" t="s">
        <v>95</v>
      </c>
      <c r="C7" s="112" t="s">
        <v>115</v>
      </c>
      <c r="D7" s="113" t="s">
        <v>116</v>
      </c>
      <c r="E7" s="114" t="s">
        <v>117</v>
      </c>
      <c r="F7" s="108"/>
      <c r="G7" s="115" t="s">
        <v>118</v>
      </c>
      <c r="H7" s="113">
        <f>'VAL 2 TRIM'!$AO$9</f>
        <v>6</v>
      </c>
      <c r="I7" s="116">
        <f>H7/H11</f>
        <v>0.16666666666666666</v>
      </c>
      <c r="J7" s="108"/>
      <c r="K7" s="108"/>
      <c r="L7" s="108"/>
      <c r="M7" s="108"/>
      <c r="N7" s="108"/>
      <c r="O7" s="108"/>
      <c r="P7" s="108"/>
      <c r="Q7" s="108"/>
      <c r="R7" s="108"/>
      <c r="S7" s="108"/>
      <c r="T7" s="108"/>
      <c r="U7" s="108"/>
      <c r="V7" s="108"/>
      <c r="W7" s="108"/>
      <c r="X7" s="108"/>
      <c r="Y7" s="108"/>
      <c r="Z7" s="108"/>
    </row>
    <row r="8" spans="1:26" ht="20.399999999999999" x14ac:dyDescent="0.35">
      <c r="A8" s="108"/>
      <c r="B8" s="113" t="s">
        <v>96</v>
      </c>
      <c r="C8" s="112" t="s">
        <v>119</v>
      </c>
      <c r="D8" s="113" t="s">
        <v>120</v>
      </c>
      <c r="E8" s="114" t="s">
        <v>121</v>
      </c>
      <c r="F8" s="108"/>
      <c r="G8" s="115" t="s">
        <v>122</v>
      </c>
      <c r="H8" s="113">
        <f>'VAL 2 TRIM'!$AO$10</f>
        <v>8</v>
      </c>
      <c r="I8" s="116">
        <f>H8/H11</f>
        <v>0.22222222222222221</v>
      </c>
      <c r="J8" s="108"/>
      <c r="K8" s="108"/>
      <c r="L8" s="108"/>
      <c r="M8" s="108"/>
      <c r="N8" s="108"/>
      <c r="O8" s="108"/>
      <c r="P8" s="108"/>
      <c r="Q8" s="108"/>
      <c r="R8" s="108"/>
      <c r="S8" s="108"/>
      <c r="T8" s="108"/>
      <c r="U8" s="108"/>
      <c r="V8" s="108"/>
      <c r="W8" s="108"/>
      <c r="X8" s="108"/>
      <c r="Y8" s="108"/>
      <c r="Z8" s="108"/>
    </row>
    <row r="9" spans="1:26" ht="20.399999999999999" x14ac:dyDescent="0.35">
      <c r="A9" s="108"/>
      <c r="B9" s="113" t="s">
        <v>97</v>
      </c>
      <c r="C9" s="112" t="s">
        <v>123</v>
      </c>
      <c r="D9" s="113" t="s">
        <v>124</v>
      </c>
      <c r="E9" s="114" t="s">
        <v>121</v>
      </c>
      <c r="F9" s="108"/>
      <c r="G9" s="117" t="s">
        <v>125</v>
      </c>
      <c r="H9" s="113">
        <f>'VAL 2 TRIM'!$AO$11</f>
        <v>8</v>
      </c>
      <c r="I9" s="116">
        <f>H9/H11</f>
        <v>0.22222222222222221</v>
      </c>
      <c r="J9" s="108"/>
      <c r="K9" s="108"/>
      <c r="L9" s="108"/>
      <c r="M9" s="108"/>
      <c r="N9" s="108"/>
      <c r="O9" s="108"/>
      <c r="P9" s="108"/>
      <c r="Q9" s="108"/>
      <c r="R9" s="108"/>
      <c r="S9" s="108"/>
      <c r="T9" s="108"/>
      <c r="U9" s="108"/>
      <c r="V9" s="108"/>
      <c r="W9" s="108"/>
      <c r="X9" s="108"/>
      <c r="Y9" s="108"/>
      <c r="Z9" s="108"/>
    </row>
    <row r="10" spans="1:26" ht="20.399999999999999" x14ac:dyDescent="0.35">
      <c r="A10" s="108"/>
      <c r="B10" s="113" t="s">
        <v>98</v>
      </c>
      <c r="C10" s="112" t="s">
        <v>126</v>
      </c>
      <c r="D10" s="113" t="s">
        <v>127</v>
      </c>
      <c r="E10" s="114" t="s">
        <v>121</v>
      </c>
      <c r="F10" s="108"/>
      <c r="G10" s="117" t="s">
        <v>128</v>
      </c>
      <c r="H10" s="113">
        <f>'VAL 2 TRIM'!$AO$12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129</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35" t="s">
        <v>130</v>
      </c>
      <c r="C13" s="231"/>
      <c r="D13" s="231"/>
      <c r="E13" s="231"/>
      <c r="F13" s="231"/>
      <c r="G13" s="231"/>
      <c r="H13" s="231"/>
      <c r="I13" s="231"/>
      <c r="J13" s="231"/>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31" t="s">
        <v>131</v>
      </c>
      <c r="C15" s="238"/>
      <c r="D15" s="238"/>
      <c r="E15" s="238"/>
      <c r="F15" s="238"/>
      <c r="G15" s="238"/>
      <c r="H15" s="238"/>
      <c r="I15" s="238"/>
      <c r="J15" s="239"/>
      <c r="K15" s="108"/>
      <c r="L15" s="108"/>
      <c r="M15" s="108"/>
      <c r="N15" s="108"/>
      <c r="O15" s="108"/>
      <c r="P15" s="108"/>
      <c r="Q15" s="108"/>
      <c r="R15" s="108"/>
      <c r="S15" s="108"/>
      <c r="T15" s="108"/>
      <c r="U15" s="108"/>
      <c r="V15" s="108"/>
      <c r="W15" s="108"/>
      <c r="X15" s="108"/>
      <c r="Y15" s="108"/>
      <c r="Z15" s="108"/>
    </row>
    <row r="16" spans="1:26" ht="16.5" customHeight="1" x14ac:dyDescent="0.35">
      <c r="A16" s="108"/>
      <c r="B16" s="332"/>
      <c r="C16" s="231"/>
      <c r="D16" s="231"/>
      <c r="E16" s="231"/>
      <c r="F16" s="231"/>
      <c r="G16" s="231"/>
      <c r="H16" s="231"/>
      <c r="I16" s="231"/>
      <c r="J16" s="333"/>
      <c r="K16" s="108"/>
      <c r="L16" s="108"/>
      <c r="M16" s="108"/>
      <c r="N16" s="108"/>
      <c r="O16" s="108"/>
      <c r="P16" s="108"/>
      <c r="Q16" s="108"/>
      <c r="R16" s="108"/>
      <c r="S16" s="108"/>
      <c r="T16" s="108"/>
      <c r="U16" s="108"/>
      <c r="V16" s="108"/>
      <c r="W16" s="108"/>
      <c r="X16" s="108"/>
      <c r="Y16" s="108"/>
      <c r="Z16" s="108"/>
    </row>
    <row r="17" spans="1:26" ht="16.5" customHeight="1" x14ac:dyDescent="0.35">
      <c r="A17" s="108"/>
      <c r="B17" s="303"/>
      <c r="C17" s="304"/>
      <c r="D17" s="304"/>
      <c r="E17" s="304"/>
      <c r="F17" s="304"/>
      <c r="G17" s="304"/>
      <c r="H17" s="304"/>
      <c r="I17" s="304"/>
      <c r="J17" s="305"/>
      <c r="K17" s="108"/>
      <c r="L17" s="108"/>
      <c r="M17" s="108"/>
      <c r="N17" s="108"/>
      <c r="O17" s="108"/>
      <c r="P17" s="108"/>
      <c r="Q17" s="108"/>
      <c r="R17" s="108"/>
      <c r="S17" s="108"/>
      <c r="T17" s="108"/>
      <c r="U17" s="108"/>
      <c r="V17" s="108"/>
      <c r="W17" s="108"/>
      <c r="X17" s="108"/>
      <c r="Y17" s="108"/>
      <c r="Z17" s="108"/>
    </row>
    <row r="18" spans="1:26" ht="16.5" customHeight="1" x14ac:dyDescent="0.35">
      <c r="A18" s="108"/>
      <c r="B18" s="331" t="s">
        <v>132</v>
      </c>
      <c r="C18" s="238"/>
      <c r="D18" s="238"/>
      <c r="E18" s="238"/>
      <c r="F18" s="238"/>
      <c r="G18" s="238"/>
      <c r="H18" s="238"/>
      <c r="I18" s="238"/>
      <c r="J18" s="239"/>
      <c r="K18" s="108"/>
      <c r="L18" s="108"/>
      <c r="M18" s="108"/>
      <c r="N18" s="108"/>
      <c r="O18" s="108"/>
      <c r="P18" s="108"/>
      <c r="Q18" s="108"/>
      <c r="R18" s="108"/>
      <c r="S18" s="108"/>
      <c r="T18" s="108"/>
      <c r="U18" s="108"/>
      <c r="V18" s="108"/>
      <c r="W18" s="108"/>
      <c r="X18" s="108"/>
      <c r="Y18" s="108"/>
      <c r="Z18" s="108"/>
    </row>
    <row r="19" spans="1:26" ht="16.5" customHeight="1" x14ac:dyDescent="0.35">
      <c r="A19" s="108"/>
      <c r="B19" s="332"/>
      <c r="C19" s="231"/>
      <c r="D19" s="231"/>
      <c r="E19" s="231"/>
      <c r="F19" s="231"/>
      <c r="G19" s="231"/>
      <c r="H19" s="231"/>
      <c r="I19" s="231"/>
      <c r="J19" s="333"/>
      <c r="K19" s="108"/>
      <c r="L19" s="108"/>
      <c r="M19" s="108"/>
      <c r="N19" s="108"/>
      <c r="O19" s="108"/>
      <c r="P19" s="108"/>
      <c r="Q19" s="108"/>
      <c r="R19" s="108"/>
      <c r="S19" s="108"/>
      <c r="T19" s="108"/>
      <c r="U19" s="108"/>
      <c r="V19" s="108"/>
      <c r="W19" s="108"/>
      <c r="X19" s="108"/>
      <c r="Y19" s="108"/>
      <c r="Z19" s="108"/>
    </row>
    <row r="20" spans="1:26" ht="16.5" customHeight="1" x14ac:dyDescent="0.35">
      <c r="A20" s="108"/>
      <c r="B20" s="303"/>
      <c r="C20" s="304"/>
      <c r="D20" s="304"/>
      <c r="E20" s="304"/>
      <c r="F20" s="304"/>
      <c r="G20" s="304"/>
      <c r="H20" s="304"/>
      <c r="I20" s="304"/>
      <c r="J20" s="305"/>
      <c r="K20" s="108"/>
      <c r="L20" s="108"/>
      <c r="M20" s="108"/>
      <c r="N20" s="108"/>
      <c r="O20" s="108"/>
      <c r="P20" s="108"/>
      <c r="Q20" s="108"/>
      <c r="R20" s="108"/>
      <c r="S20" s="108"/>
      <c r="T20" s="108"/>
      <c r="U20" s="108"/>
      <c r="V20" s="108"/>
      <c r="W20" s="108"/>
      <c r="X20" s="108"/>
      <c r="Y20" s="108"/>
      <c r="Z20" s="108"/>
    </row>
    <row r="21" spans="1:26" ht="16.5" customHeight="1" x14ac:dyDescent="0.35">
      <c r="A21" s="108"/>
      <c r="B21" s="331" t="s">
        <v>133</v>
      </c>
      <c r="C21" s="238"/>
      <c r="D21" s="238"/>
      <c r="E21" s="238"/>
      <c r="F21" s="238"/>
      <c r="G21" s="238"/>
      <c r="H21" s="238"/>
      <c r="I21" s="238"/>
      <c r="J21" s="239"/>
      <c r="K21" s="108"/>
      <c r="L21" s="108"/>
      <c r="M21" s="108"/>
      <c r="N21" s="108"/>
      <c r="O21" s="108"/>
      <c r="P21" s="108"/>
      <c r="Q21" s="108"/>
      <c r="R21" s="108"/>
      <c r="S21" s="108"/>
      <c r="T21" s="108"/>
      <c r="U21" s="108"/>
      <c r="V21" s="108"/>
      <c r="W21" s="108"/>
      <c r="X21" s="108"/>
      <c r="Y21" s="108"/>
      <c r="Z21" s="108"/>
    </row>
    <row r="22" spans="1:26" ht="16.5" customHeight="1" x14ac:dyDescent="0.35">
      <c r="A22" s="108"/>
      <c r="B22" s="332"/>
      <c r="C22" s="231"/>
      <c r="D22" s="231"/>
      <c r="E22" s="231"/>
      <c r="F22" s="231"/>
      <c r="G22" s="231"/>
      <c r="H22" s="231"/>
      <c r="I22" s="231"/>
      <c r="J22" s="333"/>
      <c r="K22" s="108"/>
      <c r="L22" s="108"/>
      <c r="M22" s="108"/>
      <c r="N22" s="108"/>
      <c r="O22" s="108"/>
      <c r="P22" s="108"/>
      <c r="Q22" s="108"/>
      <c r="R22" s="108"/>
      <c r="S22" s="108"/>
      <c r="T22" s="108"/>
      <c r="U22" s="108"/>
      <c r="V22" s="108"/>
      <c r="W22" s="108"/>
      <c r="X22" s="108"/>
      <c r="Y22" s="108"/>
      <c r="Z22" s="108"/>
    </row>
    <row r="23" spans="1:26" ht="16.5" customHeight="1" x14ac:dyDescent="0.35">
      <c r="A23" s="108"/>
      <c r="B23" s="303"/>
      <c r="C23" s="304"/>
      <c r="D23" s="304"/>
      <c r="E23" s="304"/>
      <c r="F23" s="304"/>
      <c r="G23" s="304"/>
      <c r="H23" s="304"/>
      <c r="I23" s="304"/>
      <c r="J23" s="305"/>
      <c r="K23" s="108"/>
      <c r="L23" s="108"/>
      <c r="M23" s="108"/>
      <c r="N23" s="108"/>
      <c r="O23" s="108"/>
      <c r="P23" s="108"/>
      <c r="Q23" s="108"/>
      <c r="R23" s="108"/>
      <c r="S23" s="108"/>
      <c r="T23" s="108"/>
      <c r="U23" s="108"/>
      <c r="V23" s="108"/>
      <c r="W23" s="108"/>
      <c r="X23" s="108"/>
      <c r="Y23" s="108"/>
      <c r="Z23" s="108"/>
    </row>
    <row r="24" spans="1:26" ht="16.5" customHeight="1" x14ac:dyDescent="0.35">
      <c r="A24" s="108"/>
      <c r="B24" s="331" t="s">
        <v>134</v>
      </c>
      <c r="C24" s="238"/>
      <c r="D24" s="238"/>
      <c r="E24" s="238"/>
      <c r="F24" s="238"/>
      <c r="G24" s="238"/>
      <c r="H24" s="238"/>
      <c r="I24" s="238"/>
      <c r="J24" s="239"/>
      <c r="K24" s="108"/>
      <c r="L24" s="108"/>
      <c r="M24" s="108"/>
      <c r="N24" s="108"/>
      <c r="O24" s="108"/>
      <c r="P24" s="108"/>
      <c r="Q24" s="108"/>
      <c r="R24" s="108"/>
      <c r="S24" s="108"/>
      <c r="T24" s="108"/>
      <c r="U24" s="108"/>
      <c r="V24" s="108"/>
      <c r="W24" s="108"/>
      <c r="X24" s="108"/>
      <c r="Y24" s="108"/>
      <c r="Z24" s="108"/>
    </row>
    <row r="25" spans="1:26" ht="16.5" customHeight="1" x14ac:dyDescent="0.35">
      <c r="A25" s="108"/>
      <c r="B25" s="332"/>
      <c r="C25" s="231"/>
      <c r="D25" s="231"/>
      <c r="E25" s="231"/>
      <c r="F25" s="231"/>
      <c r="G25" s="231"/>
      <c r="H25" s="231"/>
      <c r="I25" s="231"/>
      <c r="J25" s="333"/>
      <c r="K25" s="108"/>
      <c r="L25" s="108"/>
      <c r="M25" s="108"/>
      <c r="N25" s="108"/>
      <c r="O25" s="108"/>
      <c r="P25" s="108"/>
      <c r="Q25" s="108"/>
      <c r="R25" s="108"/>
      <c r="S25" s="108"/>
      <c r="T25" s="108"/>
      <c r="U25" s="108"/>
      <c r="V25" s="108"/>
      <c r="W25" s="108"/>
      <c r="X25" s="108"/>
      <c r="Y25" s="108"/>
      <c r="Z25" s="108"/>
    </row>
    <row r="26" spans="1:26" ht="16.5" customHeight="1" x14ac:dyDescent="0.35">
      <c r="A26" s="108"/>
      <c r="B26" s="303"/>
      <c r="C26" s="304"/>
      <c r="D26" s="304"/>
      <c r="E26" s="304"/>
      <c r="F26" s="304"/>
      <c r="G26" s="304"/>
      <c r="H26" s="304"/>
      <c r="I26" s="304"/>
      <c r="J26" s="305"/>
      <c r="K26" s="108"/>
      <c r="L26" s="108"/>
      <c r="M26" s="108"/>
      <c r="N26" s="108"/>
      <c r="O26" s="108"/>
      <c r="P26" s="108"/>
      <c r="Q26" s="108"/>
      <c r="R26" s="108"/>
      <c r="S26" s="108"/>
      <c r="T26" s="108"/>
      <c r="U26" s="108"/>
      <c r="V26" s="108"/>
      <c r="W26" s="108"/>
      <c r="X26" s="108"/>
      <c r="Y26" s="108"/>
      <c r="Z26" s="108"/>
    </row>
    <row r="27" spans="1:26" ht="16.5" customHeight="1" x14ac:dyDescent="0.35">
      <c r="A27" s="108"/>
      <c r="B27" s="331" t="s">
        <v>135</v>
      </c>
      <c r="C27" s="238"/>
      <c r="D27" s="238"/>
      <c r="E27" s="238"/>
      <c r="F27" s="238"/>
      <c r="G27" s="238"/>
      <c r="H27" s="238"/>
      <c r="I27" s="238"/>
      <c r="J27" s="239"/>
      <c r="K27" s="108"/>
      <c r="L27" s="108"/>
      <c r="M27" s="108"/>
      <c r="N27" s="108"/>
      <c r="O27" s="108"/>
      <c r="P27" s="108"/>
      <c r="Q27" s="108"/>
      <c r="R27" s="108"/>
      <c r="S27" s="108"/>
      <c r="T27" s="108"/>
      <c r="U27" s="108"/>
      <c r="V27" s="108"/>
      <c r="W27" s="108"/>
      <c r="X27" s="108"/>
      <c r="Y27" s="108"/>
      <c r="Z27" s="108"/>
    </row>
    <row r="28" spans="1:26" ht="16.5" customHeight="1" x14ac:dyDescent="0.35">
      <c r="A28" s="108"/>
      <c r="B28" s="332"/>
      <c r="C28" s="231"/>
      <c r="D28" s="231"/>
      <c r="E28" s="231"/>
      <c r="F28" s="231"/>
      <c r="G28" s="231"/>
      <c r="H28" s="231"/>
      <c r="I28" s="231"/>
      <c r="J28" s="333"/>
      <c r="K28" s="108"/>
      <c r="L28" s="108"/>
      <c r="M28" s="108"/>
      <c r="N28" s="108"/>
      <c r="O28" s="108"/>
      <c r="P28" s="108"/>
      <c r="Q28" s="108"/>
      <c r="R28" s="108"/>
      <c r="S28" s="108"/>
      <c r="T28" s="108"/>
      <c r="U28" s="108"/>
      <c r="V28" s="108"/>
      <c r="W28" s="108"/>
      <c r="X28" s="108"/>
      <c r="Y28" s="108"/>
      <c r="Z28" s="108"/>
    </row>
    <row r="29" spans="1:26" ht="16.5" customHeight="1" x14ac:dyDescent="0.35">
      <c r="A29" s="108"/>
      <c r="B29" s="303"/>
      <c r="C29" s="304"/>
      <c r="D29" s="304"/>
      <c r="E29" s="304"/>
      <c r="F29" s="304"/>
      <c r="G29" s="304"/>
      <c r="H29" s="304"/>
      <c r="I29" s="304"/>
      <c r="J29" s="305"/>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136</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34" t="s">
        <v>138</v>
      </c>
      <c r="C2" s="231"/>
      <c r="D2" s="231"/>
      <c r="E2" s="231"/>
      <c r="F2" s="231"/>
      <c r="G2" s="231"/>
      <c r="H2" s="231"/>
      <c r="I2" s="231"/>
      <c r="J2" s="231"/>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3ro de Secundaria</v>
      </c>
      <c r="E5" s="108"/>
      <c r="F5" s="108"/>
      <c r="G5" s="108"/>
      <c r="H5" s="109" t="s">
        <v>23</v>
      </c>
      <c r="I5" s="66">
        <f ca="1">TODAY()</f>
        <v>44496</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114</v>
      </c>
      <c r="J6" s="108"/>
      <c r="K6" s="108"/>
      <c r="L6" s="108"/>
      <c r="M6" s="108"/>
      <c r="N6" s="108"/>
      <c r="O6" s="108"/>
      <c r="P6" s="108"/>
      <c r="Q6" s="108"/>
      <c r="R6" s="108"/>
      <c r="S6" s="108"/>
      <c r="T6" s="108"/>
      <c r="U6" s="108"/>
      <c r="V6" s="108"/>
      <c r="W6" s="108"/>
      <c r="X6" s="108"/>
      <c r="Y6" s="108"/>
      <c r="Z6" s="108"/>
    </row>
    <row r="7" spans="1:26" ht="20.399999999999999" x14ac:dyDescent="0.35">
      <c r="A7" s="108"/>
      <c r="B7" s="113" t="s">
        <v>95</v>
      </c>
      <c r="C7" s="112" t="s">
        <v>115</v>
      </c>
      <c r="D7" s="113" t="s">
        <v>116</v>
      </c>
      <c r="E7" s="114" t="s">
        <v>117</v>
      </c>
      <c r="F7" s="108"/>
      <c r="G7" s="115" t="s">
        <v>118</v>
      </c>
      <c r="H7" s="113">
        <f>'VAL 3 TRIM'!$AO$9</f>
        <v>0</v>
      </c>
      <c r="I7" s="116">
        <f>H7/H11</f>
        <v>0</v>
      </c>
      <c r="J7" s="108"/>
      <c r="K7" s="108"/>
      <c r="L7" s="108"/>
      <c r="M7" s="108"/>
      <c r="N7" s="108"/>
      <c r="O7" s="108"/>
      <c r="P7" s="108"/>
      <c r="Q7" s="108"/>
      <c r="R7" s="108"/>
      <c r="S7" s="108"/>
      <c r="T7" s="108"/>
      <c r="U7" s="108"/>
      <c r="V7" s="108"/>
      <c r="W7" s="108"/>
      <c r="X7" s="108"/>
      <c r="Y7" s="108"/>
      <c r="Z7" s="108"/>
    </row>
    <row r="8" spans="1:26" ht="20.399999999999999" x14ac:dyDescent="0.35">
      <c r="A8" s="108"/>
      <c r="B8" s="113" t="s">
        <v>96</v>
      </c>
      <c r="C8" s="112" t="s">
        <v>119</v>
      </c>
      <c r="D8" s="113" t="s">
        <v>120</v>
      </c>
      <c r="E8" s="114" t="s">
        <v>121</v>
      </c>
      <c r="F8" s="108"/>
      <c r="G8" s="115" t="s">
        <v>122</v>
      </c>
      <c r="H8" s="113">
        <f>'VAL 3 TRIM'!$AO$10</f>
        <v>0</v>
      </c>
      <c r="I8" s="116">
        <f>H8/H11</f>
        <v>0</v>
      </c>
      <c r="J8" s="108"/>
      <c r="K8" s="108"/>
      <c r="L8" s="108"/>
      <c r="M8" s="108"/>
      <c r="N8" s="108"/>
      <c r="O8" s="108"/>
      <c r="P8" s="108"/>
      <c r="Q8" s="108"/>
      <c r="R8" s="108"/>
      <c r="S8" s="108"/>
      <c r="T8" s="108"/>
      <c r="U8" s="108"/>
      <c r="V8" s="108"/>
      <c r="W8" s="108"/>
      <c r="X8" s="108"/>
      <c r="Y8" s="108"/>
      <c r="Z8" s="108"/>
    </row>
    <row r="9" spans="1:26" ht="20.399999999999999" x14ac:dyDescent="0.35">
      <c r="A9" s="108"/>
      <c r="B9" s="113" t="s">
        <v>97</v>
      </c>
      <c r="C9" s="112" t="s">
        <v>123</v>
      </c>
      <c r="D9" s="113" t="s">
        <v>124</v>
      </c>
      <c r="E9" s="114" t="s">
        <v>121</v>
      </c>
      <c r="F9" s="108"/>
      <c r="G9" s="117" t="s">
        <v>125</v>
      </c>
      <c r="H9" s="113">
        <f>'VAL 3 TRIM'!$AO$11</f>
        <v>0</v>
      </c>
      <c r="I9" s="116">
        <f>H9/H11</f>
        <v>0</v>
      </c>
      <c r="J9" s="108"/>
      <c r="K9" s="108"/>
      <c r="L9" s="108"/>
      <c r="M9" s="108"/>
      <c r="N9" s="108"/>
      <c r="O9" s="108"/>
      <c r="P9" s="108"/>
      <c r="Q9" s="108"/>
      <c r="R9" s="108"/>
      <c r="S9" s="108"/>
      <c r="T9" s="108"/>
      <c r="U9" s="108"/>
      <c r="V9" s="108"/>
      <c r="W9" s="108"/>
      <c r="X9" s="108"/>
      <c r="Y9" s="108"/>
      <c r="Z9" s="108"/>
    </row>
    <row r="10" spans="1:26" ht="20.399999999999999" x14ac:dyDescent="0.35">
      <c r="A10" s="108"/>
      <c r="B10" s="113" t="s">
        <v>98</v>
      </c>
      <c r="C10" s="112" t="s">
        <v>126</v>
      </c>
      <c r="D10" s="113" t="s">
        <v>127</v>
      </c>
      <c r="E10" s="114" t="s">
        <v>121</v>
      </c>
      <c r="F10" s="108"/>
      <c r="G10" s="117" t="s">
        <v>128</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129</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35" t="s">
        <v>130</v>
      </c>
      <c r="C13" s="231"/>
      <c r="D13" s="231"/>
      <c r="E13" s="231"/>
      <c r="F13" s="231"/>
      <c r="G13" s="231"/>
      <c r="H13" s="231"/>
      <c r="I13" s="231"/>
      <c r="J13" s="231"/>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31" t="s">
        <v>131</v>
      </c>
      <c r="C15" s="238"/>
      <c r="D15" s="238"/>
      <c r="E15" s="238"/>
      <c r="F15" s="238"/>
      <c r="G15" s="238"/>
      <c r="H15" s="238"/>
      <c r="I15" s="238"/>
      <c r="J15" s="239"/>
      <c r="K15" s="108"/>
      <c r="L15" s="108"/>
      <c r="M15" s="108"/>
      <c r="N15" s="108"/>
      <c r="O15" s="108"/>
      <c r="P15" s="108"/>
      <c r="Q15" s="108"/>
      <c r="R15" s="108"/>
      <c r="S15" s="108"/>
      <c r="T15" s="108"/>
      <c r="U15" s="108"/>
      <c r="V15" s="108"/>
      <c r="W15" s="108"/>
      <c r="X15" s="108"/>
      <c r="Y15" s="108"/>
      <c r="Z15" s="108"/>
    </row>
    <row r="16" spans="1:26" ht="16.5" customHeight="1" x14ac:dyDescent="0.35">
      <c r="A16" s="108"/>
      <c r="B16" s="332"/>
      <c r="C16" s="231"/>
      <c r="D16" s="231"/>
      <c r="E16" s="231"/>
      <c r="F16" s="231"/>
      <c r="G16" s="231"/>
      <c r="H16" s="231"/>
      <c r="I16" s="231"/>
      <c r="J16" s="333"/>
      <c r="K16" s="108"/>
      <c r="L16" s="108"/>
      <c r="M16" s="108"/>
      <c r="N16" s="108"/>
      <c r="O16" s="108"/>
      <c r="P16" s="108"/>
      <c r="Q16" s="108"/>
      <c r="R16" s="108"/>
      <c r="S16" s="108"/>
      <c r="T16" s="108"/>
      <c r="U16" s="108"/>
      <c r="V16" s="108"/>
      <c r="W16" s="108"/>
      <c r="X16" s="108"/>
      <c r="Y16" s="108"/>
      <c r="Z16" s="108"/>
    </row>
    <row r="17" spans="1:26" ht="16.5" customHeight="1" x14ac:dyDescent="0.35">
      <c r="A17" s="108"/>
      <c r="B17" s="303"/>
      <c r="C17" s="304"/>
      <c r="D17" s="304"/>
      <c r="E17" s="304"/>
      <c r="F17" s="304"/>
      <c r="G17" s="304"/>
      <c r="H17" s="304"/>
      <c r="I17" s="304"/>
      <c r="J17" s="305"/>
      <c r="K17" s="108"/>
      <c r="L17" s="108"/>
      <c r="M17" s="108"/>
      <c r="N17" s="108"/>
      <c r="O17" s="108"/>
      <c r="P17" s="108"/>
      <c r="Q17" s="108"/>
      <c r="R17" s="108"/>
      <c r="S17" s="108"/>
      <c r="T17" s="108"/>
      <c r="U17" s="108"/>
      <c r="V17" s="108"/>
      <c r="W17" s="108"/>
      <c r="X17" s="108"/>
      <c r="Y17" s="108"/>
      <c r="Z17" s="108"/>
    </row>
    <row r="18" spans="1:26" ht="16.5" customHeight="1" x14ac:dyDescent="0.35">
      <c r="A18" s="108"/>
      <c r="B18" s="331" t="s">
        <v>132</v>
      </c>
      <c r="C18" s="238"/>
      <c r="D18" s="238"/>
      <c r="E18" s="238"/>
      <c r="F18" s="238"/>
      <c r="G18" s="238"/>
      <c r="H18" s="238"/>
      <c r="I18" s="238"/>
      <c r="J18" s="239"/>
      <c r="K18" s="108"/>
      <c r="L18" s="108"/>
      <c r="M18" s="108"/>
      <c r="N18" s="108"/>
      <c r="O18" s="108"/>
      <c r="P18" s="108"/>
      <c r="Q18" s="108"/>
      <c r="R18" s="108"/>
      <c r="S18" s="108"/>
      <c r="T18" s="108"/>
      <c r="U18" s="108"/>
      <c r="V18" s="108"/>
      <c r="W18" s="108"/>
      <c r="X18" s="108"/>
      <c r="Y18" s="108"/>
      <c r="Z18" s="108"/>
    </row>
    <row r="19" spans="1:26" ht="16.5" customHeight="1" x14ac:dyDescent="0.35">
      <c r="A19" s="108"/>
      <c r="B19" s="332"/>
      <c r="C19" s="231"/>
      <c r="D19" s="231"/>
      <c r="E19" s="231"/>
      <c r="F19" s="231"/>
      <c r="G19" s="231"/>
      <c r="H19" s="231"/>
      <c r="I19" s="231"/>
      <c r="J19" s="333"/>
      <c r="K19" s="108"/>
      <c r="L19" s="108"/>
      <c r="M19" s="108"/>
      <c r="N19" s="108"/>
      <c r="O19" s="108"/>
      <c r="P19" s="108"/>
      <c r="Q19" s="108"/>
      <c r="R19" s="108"/>
      <c r="S19" s="108"/>
      <c r="T19" s="108"/>
      <c r="U19" s="108"/>
      <c r="V19" s="108"/>
      <c r="W19" s="108"/>
      <c r="X19" s="108"/>
      <c r="Y19" s="108"/>
      <c r="Z19" s="108"/>
    </row>
    <row r="20" spans="1:26" ht="16.5" customHeight="1" x14ac:dyDescent="0.35">
      <c r="A20" s="108"/>
      <c r="B20" s="303"/>
      <c r="C20" s="304"/>
      <c r="D20" s="304"/>
      <c r="E20" s="304"/>
      <c r="F20" s="304"/>
      <c r="G20" s="304"/>
      <c r="H20" s="304"/>
      <c r="I20" s="304"/>
      <c r="J20" s="305"/>
      <c r="K20" s="108"/>
      <c r="L20" s="108"/>
      <c r="M20" s="108"/>
      <c r="N20" s="108"/>
      <c r="O20" s="108"/>
      <c r="P20" s="108"/>
      <c r="Q20" s="108"/>
      <c r="R20" s="108"/>
      <c r="S20" s="108"/>
      <c r="T20" s="108"/>
      <c r="U20" s="108"/>
      <c r="V20" s="108"/>
      <c r="W20" s="108"/>
      <c r="X20" s="108"/>
      <c r="Y20" s="108"/>
      <c r="Z20" s="108"/>
    </row>
    <row r="21" spans="1:26" ht="16.5" customHeight="1" x14ac:dyDescent="0.35">
      <c r="A21" s="108"/>
      <c r="B21" s="331" t="s">
        <v>133</v>
      </c>
      <c r="C21" s="238"/>
      <c r="D21" s="238"/>
      <c r="E21" s="238"/>
      <c r="F21" s="238"/>
      <c r="G21" s="238"/>
      <c r="H21" s="238"/>
      <c r="I21" s="238"/>
      <c r="J21" s="239"/>
      <c r="K21" s="108"/>
      <c r="L21" s="108"/>
      <c r="M21" s="108"/>
      <c r="N21" s="108"/>
      <c r="O21" s="108"/>
      <c r="P21" s="108"/>
      <c r="Q21" s="108"/>
      <c r="R21" s="108"/>
      <c r="S21" s="108"/>
      <c r="T21" s="108"/>
      <c r="U21" s="108"/>
      <c r="V21" s="108"/>
      <c r="W21" s="108"/>
      <c r="X21" s="108"/>
      <c r="Y21" s="108"/>
      <c r="Z21" s="108"/>
    </row>
    <row r="22" spans="1:26" ht="16.5" customHeight="1" x14ac:dyDescent="0.35">
      <c r="A22" s="108"/>
      <c r="B22" s="332"/>
      <c r="C22" s="231"/>
      <c r="D22" s="231"/>
      <c r="E22" s="231"/>
      <c r="F22" s="231"/>
      <c r="G22" s="231"/>
      <c r="H22" s="231"/>
      <c r="I22" s="231"/>
      <c r="J22" s="333"/>
      <c r="K22" s="108"/>
      <c r="L22" s="108"/>
      <c r="M22" s="108"/>
      <c r="N22" s="108"/>
      <c r="O22" s="108"/>
      <c r="P22" s="108"/>
      <c r="Q22" s="108"/>
      <c r="R22" s="108"/>
      <c r="S22" s="108"/>
      <c r="T22" s="108"/>
      <c r="U22" s="108"/>
      <c r="V22" s="108"/>
      <c r="W22" s="108"/>
      <c r="X22" s="108"/>
      <c r="Y22" s="108"/>
      <c r="Z22" s="108"/>
    </row>
    <row r="23" spans="1:26" ht="16.5" customHeight="1" x14ac:dyDescent="0.35">
      <c r="A23" s="108"/>
      <c r="B23" s="303"/>
      <c r="C23" s="304"/>
      <c r="D23" s="304"/>
      <c r="E23" s="304"/>
      <c r="F23" s="304"/>
      <c r="G23" s="304"/>
      <c r="H23" s="304"/>
      <c r="I23" s="304"/>
      <c r="J23" s="305"/>
      <c r="K23" s="108"/>
      <c r="L23" s="108"/>
      <c r="M23" s="108"/>
      <c r="N23" s="108"/>
      <c r="O23" s="108"/>
      <c r="P23" s="108"/>
      <c r="Q23" s="108"/>
      <c r="R23" s="108"/>
      <c r="S23" s="108"/>
      <c r="T23" s="108"/>
      <c r="U23" s="108"/>
      <c r="V23" s="108"/>
      <c r="W23" s="108"/>
      <c r="X23" s="108"/>
      <c r="Y23" s="108"/>
      <c r="Z23" s="108"/>
    </row>
    <row r="24" spans="1:26" ht="16.5" customHeight="1" x14ac:dyDescent="0.35">
      <c r="A24" s="108"/>
      <c r="B24" s="331" t="s">
        <v>134</v>
      </c>
      <c r="C24" s="238"/>
      <c r="D24" s="238"/>
      <c r="E24" s="238"/>
      <c r="F24" s="238"/>
      <c r="G24" s="238"/>
      <c r="H24" s="238"/>
      <c r="I24" s="238"/>
      <c r="J24" s="239"/>
      <c r="K24" s="108"/>
      <c r="L24" s="108"/>
      <c r="M24" s="108"/>
      <c r="N24" s="108"/>
      <c r="O24" s="108"/>
      <c r="P24" s="108"/>
      <c r="Q24" s="108"/>
      <c r="R24" s="108"/>
      <c r="S24" s="108"/>
      <c r="T24" s="108"/>
      <c r="U24" s="108"/>
      <c r="V24" s="108"/>
      <c r="W24" s="108"/>
      <c r="X24" s="108"/>
      <c r="Y24" s="108"/>
      <c r="Z24" s="108"/>
    </row>
    <row r="25" spans="1:26" ht="16.5" customHeight="1" x14ac:dyDescent="0.35">
      <c r="A25" s="108"/>
      <c r="B25" s="332"/>
      <c r="C25" s="231"/>
      <c r="D25" s="231"/>
      <c r="E25" s="231"/>
      <c r="F25" s="231"/>
      <c r="G25" s="231"/>
      <c r="H25" s="231"/>
      <c r="I25" s="231"/>
      <c r="J25" s="333"/>
      <c r="K25" s="108"/>
      <c r="L25" s="108"/>
      <c r="M25" s="108"/>
      <c r="N25" s="108"/>
      <c r="O25" s="108"/>
      <c r="P25" s="108"/>
      <c r="Q25" s="108"/>
      <c r="R25" s="108"/>
      <c r="S25" s="108"/>
      <c r="T25" s="108"/>
      <c r="U25" s="108"/>
      <c r="V25" s="108"/>
      <c r="W25" s="108"/>
      <c r="X25" s="108"/>
      <c r="Y25" s="108"/>
      <c r="Z25" s="108"/>
    </row>
    <row r="26" spans="1:26" ht="16.5" customHeight="1" x14ac:dyDescent="0.35">
      <c r="A26" s="108"/>
      <c r="B26" s="303"/>
      <c r="C26" s="304"/>
      <c r="D26" s="304"/>
      <c r="E26" s="304"/>
      <c r="F26" s="304"/>
      <c r="G26" s="304"/>
      <c r="H26" s="304"/>
      <c r="I26" s="304"/>
      <c r="J26" s="305"/>
      <c r="K26" s="108"/>
      <c r="L26" s="108"/>
      <c r="M26" s="108"/>
      <c r="N26" s="108"/>
      <c r="O26" s="108"/>
      <c r="P26" s="108"/>
      <c r="Q26" s="108"/>
      <c r="R26" s="108"/>
      <c r="S26" s="108"/>
      <c r="T26" s="108"/>
      <c r="U26" s="108"/>
      <c r="V26" s="108"/>
      <c r="W26" s="108"/>
      <c r="X26" s="108"/>
      <c r="Y26" s="108"/>
      <c r="Z26" s="108"/>
    </row>
    <row r="27" spans="1:26" ht="16.5" customHeight="1" x14ac:dyDescent="0.35">
      <c r="A27" s="108"/>
      <c r="B27" s="331" t="s">
        <v>135</v>
      </c>
      <c r="C27" s="238"/>
      <c r="D27" s="238"/>
      <c r="E27" s="238"/>
      <c r="F27" s="238"/>
      <c r="G27" s="238"/>
      <c r="H27" s="238"/>
      <c r="I27" s="238"/>
      <c r="J27" s="239"/>
      <c r="K27" s="108"/>
      <c r="L27" s="108"/>
      <c r="M27" s="108"/>
      <c r="N27" s="108"/>
      <c r="O27" s="108"/>
      <c r="P27" s="108"/>
      <c r="Q27" s="108"/>
      <c r="R27" s="108"/>
      <c r="S27" s="108"/>
      <c r="T27" s="108"/>
      <c r="U27" s="108"/>
      <c r="V27" s="108"/>
      <c r="W27" s="108"/>
      <c r="X27" s="108"/>
      <c r="Y27" s="108"/>
      <c r="Z27" s="108"/>
    </row>
    <row r="28" spans="1:26" ht="16.5" customHeight="1" x14ac:dyDescent="0.35">
      <c r="A28" s="108"/>
      <c r="B28" s="332"/>
      <c r="C28" s="231"/>
      <c r="D28" s="231"/>
      <c r="E28" s="231"/>
      <c r="F28" s="231"/>
      <c r="G28" s="231"/>
      <c r="H28" s="231"/>
      <c r="I28" s="231"/>
      <c r="J28" s="333"/>
      <c r="K28" s="108"/>
      <c r="L28" s="108"/>
      <c r="M28" s="108"/>
      <c r="N28" s="108"/>
      <c r="O28" s="108"/>
      <c r="P28" s="108"/>
      <c r="Q28" s="108"/>
      <c r="R28" s="108"/>
      <c r="S28" s="108"/>
      <c r="T28" s="108"/>
      <c r="U28" s="108"/>
      <c r="V28" s="108"/>
      <c r="W28" s="108"/>
      <c r="X28" s="108"/>
      <c r="Y28" s="108"/>
      <c r="Z28" s="108"/>
    </row>
    <row r="29" spans="1:26" ht="16.5" customHeight="1" x14ac:dyDescent="0.35">
      <c r="A29" s="108"/>
      <c r="B29" s="303"/>
      <c r="C29" s="304"/>
      <c r="D29" s="304"/>
      <c r="E29" s="304"/>
      <c r="F29" s="304"/>
      <c r="G29" s="304"/>
      <c r="H29" s="304"/>
      <c r="I29" s="304"/>
      <c r="J29" s="305"/>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136</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9921875" defaultRowHeight="15" customHeight="1" x14ac:dyDescent="0.35"/>
  <cols>
    <col min="1" max="1" width="1.6640625" customWidth="1"/>
    <col min="2" max="2" width="4.53125" customWidth="1"/>
    <col min="3" max="3" width="5.6640625" customWidth="1"/>
    <col min="4" max="4" width="5" customWidth="1"/>
    <col min="5" max="5" width="5.6640625" customWidth="1"/>
    <col min="6" max="6" width="1" customWidth="1"/>
    <col min="7" max="7" width="5.796875" customWidth="1"/>
    <col min="8" max="9" width="5.6640625" customWidth="1"/>
    <col min="10" max="10" width="6.6640625" customWidth="1"/>
    <col min="11" max="11" width="7.8632812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35" t="s">
        <v>139</v>
      </c>
      <c r="D2" s="231"/>
      <c r="E2" s="231"/>
      <c r="F2" s="231"/>
      <c r="G2" s="231"/>
      <c r="H2" s="231"/>
      <c r="I2" s="231"/>
      <c r="J2" s="231"/>
      <c r="K2" s="231"/>
      <c r="L2" s="231"/>
      <c r="M2" s="231"/>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5">
      <c r="A5" s="40"/>
      <c r="B5" s="121" t="s">
        <v>22</v>
      </c>
      <c r="C5" s="40"/>
      <c r="D5" s="40"/>
      <c r="E5" s="40" t="str">
        <f>CARÁTULA!$C$23</f>
        <v>3ro de Secundaria</v>
      </c>
      <c r="F5" s="40"/>
      <c r="G5" s="40"/>
      <c r="H5" s="40"/>
      <c r="I5" s="40"/>
      <c r="J5" s="43" t="s">
        <v>23</v>
      </c>
      <c r="K5" s="66">
        <f ca="1">TODAY()</f>
        <v>44496</v>
      </c>
      <c r="L5" s="39"/>
      <c r="M5" s="39"/>
      <c r="N5" s="39"/>
      <c r="O5" s="40"/>
      <c r="P5" s="40"/>
      <c r="Q5" s="40"/>
      <c r="R5" s="40"/>
      <c r="S5" s="40"/>
      <c r="T5" s="40"/>
      <c r="U5" s="40"/>
      <c r="V5" s="40"/>
      <c r="W5" s="40"/>
      <c r="X5" s="40"/>
      <c r="Y5" s="40"/>
      <c r="Z5" s="40"/>
    </row>
    <row r="6" spans="1:26" ht="13.5" customHeight="1" x14ac:dyDescent="0.3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93" t="s">
        <v>140</v>
      </c>
      <c r="D10" s="231"/>
      <c r="E10" s="122"/>
      <c r="F10" s="40"/>
      <c r="G10" s="43" t="s">
        <v>141</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3" t="s">
        <v>142</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143</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144</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93" t="s">
        <v>145</v>
      </c>
      <c r="D23" s="231"/>
      <c r="E23" s="40"/>
      <c r="F23" s="40"/>
      <c r="G23" s="43" t="s">
        <v>146</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3" t="s">
        <v>142</v>
      </c>
      <c r="D24" s="40"/>
      <c r="E24" s="124">
        <f>'CENTRAL 2'!$J$9</f>
        <v>30</v>
      </c>
      <c r="F24" s="40"/>
      <c r="G24" s="125">
        <f>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143</v>
      </c>
      <c r="D25" s="40"/>
      <c r="E25" s="127">
        <f>'CENTRAL 2'!$J$13</f>
        <v>6</v>
      </c>
      <c r="F25" s="40"/>
      <c r="G25" s="125">
        <f>E25/$E$26</f>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144</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93" t="s">
        <v>147</v>
      </c>
      <c r="D35" s="231"/>
      <c r="E35" s="40"/>
      <c r="F35" s="40"/>
      <c r="G35" s="121" t="s">
        <v>148</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3" t="s">
        <v>142</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143</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144</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9921875" defaultRowHeight="15" customHeight="1" x14ac:dyDescent="0.35"/>
  <cols>
    <col min="1" max="1" width="1.6640625" customWidth="1"/>
    <col min="2" max="2" width="5.6640625" customWidth="1"/>
    <col min="3" max="3" width="4.33203125" customWidth="1"/>
    <col min="4" max="4" width="6.19921875" customWidth="1"/>
    <col min="5" max="5" width="7.53125" customWidth="1"/>
    <col min="6" max="6" width="13.33203125" customWidth="1"/>
    <col min="7" max="7" width="10.796875" customWidth="1"/>
    <col min="8" max="8" width="8.19921875" customWidth="1"/>
    <col min="9" max="26" width="5.6640625" customWidth="1"/>
  </cols>
  <sheetData>
    <row r="1" spans="1:26" ht="13.5" customHeight="1" x14ac:dyDescent="0.3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5">
      <c r="A2" s="126"/>
      <c r="B2" s="126"/>
      <c r="C2" s="337" t="s">
        <v>149</v>
      </c>
      <c r="D2" s="231"/>
      <c r="E2" s="231"/>
      <c r="F2" s="231"/>
      <c r="G2" s="231"/>
      <c r="H2" s="231"/>
      <c r="I2" s="231"/>
      <c r="J2" s="126"/>
      <c r="K2" s="126"/>
      <c r="L2" s="126"/>
      <c r="M2" s="126"/>
      <c r="N2" s="126"/>
      <c r="O2" s="126"/>
      <c r="P2" s="126"/>
      <c r="Q2" s="126"/>
      <c r="R2" s="126"/>
      <c r="S2" s="126"/>
      <c r="T2" s="126"/>
      <c r="U2" s="126"/>
      <c r="V2" s="126"/>
      <c r="W2" s="126"/>
      <c r="X2" s="126"/>
      <c r="Y2" s="126"/>
      <c r="Z2" s="126"/>
    </row>
    <row r="3" spans="1:26" ht="13.5" customHeight="1" x14ac:dyDescent="0.35">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5">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5">
      <c r="A5" s="126"/>
      <c r="B5" s="130" t="s">
        <v>22</v>
      </c>
      <c r="C5" s="131"/>
      <c r="D5" s="131"/>
      <c r="E5" s="131" t="str">
        <f>CARÁTULA!$C$23</f>
        <v>3ro de Secundaria</v>
      </c>
      <c r="F5" s="131"/>
      <c r="G5" s="130" t="s">
        <v>23</v>
      </c>
      <c r="H5" s="132">
        <f ca="1">TODAY()</f>
        <v>44496</v>
      </c>
      <c r="I5" s="131"/>
      <c r="J5" s="131"/>
      <c r="K5" s="126"/>
      <c r="L5" s="126"/>
      <c r="M5" s="126"/>
      <c r="N5" s="126"/>
      <c r="O5" s="126"/>
      <c r="P5" s="126"/>
      <c r="Q5" s="126"/>
      <c r="R5" s="126"/>
      <c r="S5" s="126"/>
      <c r="T5" s="126"/>
      <c r="U5" s="126"/>
      <c r="V5" s="126"/>
      <c r="W5" s="126"/>
      <c r="X5" s="126"/>
      <c r="Y5" s="126"/>
      <c r="Z5" s="126"/>
    </row>
    <row r="6" spans="1:26" ht="13.5" customHeight="1" x14ac:dyDescent="0.3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5">
      <c r="A8" s="126"/>
      <c r="B8" s="126"/>
      <c r="C8" s="336" t="s">
        <v>150</v>
      </c>
      <c r="D8" s="134" t="s">
        <v>151</v>
      </c>
      <c r="E8" s="134" t="s">
        <v>152</v>
      </c>
      <c r="F8" s="135" t="s">
        <v>153</v>
      </c>
      <c r="G8" s="134" t="s">
        <v>154</v>
      </c>
      <c r="H8" s="134" t="s">
        <v>155</v>
      </c>
      <c r="I8" s="126"/>
      <c r="J8" s="126"/>
      <c r="K8" s="126"/>
      <c r="L8" s="126"/>
      <c r="M8" s="126"/>
      <c r="N8" s="126"/>
      <c r="O8" s="126"/>
      <c r="P8" s="126"/>
      <c r="Q8" s="126"/>
      <c r="R8" s="126"/>
      <c r="S8" s="126"/>
      <c r="T8" s="126"/>
      <c r="U8" s="126"/>
      <c r="V8" s="126"/>
      <c r="W8" s="126"/>
      <c r="X8" s="126"/>
      <c r="Y8" s="126"/>
      <c r="Z8" s="126"/>
    </row>
    <row r="9" spans="1:26" ht="13.5" customHeight="1" x14ac:dyDescent="0.35">
      <c r="A9" s="126"/>
      <c r="B9" s="126"/>
      <c r="C9" s="323"/>
      <c r="D9" s="136" t="s">
        <v>156</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5">
      <c r="A10" s="126"/>
      <c r="B10" s="126"/>
      <c r="C10" s="323"/>
      <c r="D10" s="136" t="s">
        <v>157</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5">
      <c r="A11" s="126"/>
      <c r="B11" s="126"/>
      <c r="C11" s="323"/>
      <c r="D11" s="136" t="s">
        <v>158</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5">
      <c r="A12" s="126"/>
      <c r="B12" s="126"/>
      <c r="C12" s="300"/>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5">
      <c r="A15" s="126"/>
      <c r="B15" s="126"/>
      <c r="C15" s="336" t="s">
        <v>159</v>
      </c>
      <c r="D15" s="134" t="s">
        <v>151</v>
      </c>
      <c r="E15" s="134" t="s">
        <v>152</v>
      </c>
      <c r="F15" s="135" t="s">
        <v>153</v>
      </c>
      <c r="G15" s="134" t="s">
        <v>154</v>
      </c>
      <c r="H15" s="134" t="s">
        <v>155</v>
      </c>
      <c r="I15" s="126"/>
      <c r="J15" s="126"/>
      <c r="K15" s="126"/>
      <c r="L15" s="126"/>
      <c r="M15" s="126"/>
      <c r="N15" s="126"/>
      <c r="O15" s="126"/>
      <c r="P15" s="126"/>
      <c r="Q15" s="126"/>
      <c r="R15" s="126"/>
      <c r="S15" s="126"/>
      <c r="T15" s="126"/>
      <c r="U15" s="126"/>
      <c r="V15" s="126"/>
      <c r="W15" s="126"/>
      <c r="X15" s="126"/>
      <c r="Y15" s="126"/>
      <c r="Z15" s="126"/>
    </row>
    <row r="16" spans="1:26" ht="13.5" customHeight="1" x14ac:dyDescent="0.35">
      <c r="A16" s="126"/>
      <c r="B16" s="126"/>
      <c r="C16" s="323"/>
      <c r="D16" s="136" t="s">
        <v>156</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5">
      <c r="A17" s="126"/>
      <c r="B17" s="126"/>
      <c r="C17" s="323"/>
      <c r="D17" s="136" t="s">
        <v>157</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5">
      <c r="A18" s="126"/>
      <c r="B18" s="126"/>
      <c r="C18" s="323"/>
      <c r="D18" s="136" t="s">
        <v>158</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5">
      <c r="A19" s="126"/>
      <c r="B19" s="126"/>
      <c r="C19" s="300"/>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5">
      <c r="A22" s="126"/>
      <c r="B22" s="126"/>
      <c r="C22" s="336" t="s">
        <v>160</v>
      </c>
      <c r="D22" s="134" t="s">
        <v>151</v>
      </c>
      <c r="E22" s="134" t="s">
        <v>152</v>
      </c>
      <c r="F22" s="135" t="s">
        <v>153</v>
      </c>
      <c r="G22" s="134" t="s">
        <v>154</v>
      </c>
      <c r="H22" s="134" t="s">
        <v>155</v>
      </c>
      <c r="I22" s="126"/>
      <c r="J22" s="126"/>
      <c r="K22" s="126"/>
      <c r="L22" s="126"/>
      <c r="M22" s="126"/>
      <c r="N22" s="126"/>
      <c r="O22" s="126"/>
      <c r="P22" s="126"/>
      <c r="Q22" s="126"/>
      <c r="R22" s="126"/>
      <c r="S22" s="126"/>
      <c r="T22" s="126"/>
      <c r="U22" s="126"/>
      <c r="V22" s="126"/>
      <c r="W22" s="126"/>
      <c r="X22" s="126"/>
      <c r="Y22" s="126"/>
      <c r="Z22" s="126"/>
    </row>
    <row r="23" spans="1:26" ht="13.5" customHeight="1" x14ac:dyDescent="0.35">
      <c r="A23" s="126"/>
      <c r="B23" s="126"/>
      <c r="C23" s="323"/>
      <c r="D23" s="136" t="s">
        <v>156</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5">
      <c r="A24" s="126"/>
      <c r="B24" s="126"/>
      <c r="C24" s="323"/>
      <c r="D24" s="136" t="s">
        <v>157</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5">
      <c r="A25" s="126"/>
      <c r="B25" s="126"/>
      <c r="C25" s="323"/>
      <c r="D25" s="136" t="s">
        <v>158</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5">
      <c r="A26" s="126"/>
      <c r="B26" s="126"/>
      <c r="C26" s="300"/>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5">
      <c r="A29" s="126"/>
      <c r="B29" s="126"/>
      <c r="C29" s="336" t="s">
        <v>161</v>
      </c>
      <c r="D29" s="134" t="s">
        <v>151</v>
      </c>
      <c r="E29" s="134" t="s">
        <v>152</v>
      </c>
      <c r="F29" s="135" t="s">
        <v>153</v>
      </c>
      <c r="G29" s="134" t="s">
        <v>154</v>
      </c>
      <c r="H29" s="134" t="s">
        <v>155</v>
      </c>
      <c r="I29" s="126"/>
      <c r="J29" s="126"/>
      <c r="K29" s="126"/>
      <c r="L29" s="126"/>
      <c r="M29" s="126"/>
      <c r="N29" s="126"/>
      <c r="O29" s="126"/>
      <c r="P29" s="126"/>
      <c r="Q29" s="126"/>
      <c r="R29" s="126"/>
      <c r="S29" s="126"/>
      <c r="T29" s="126"/>
      <c r="U29" s="126"/>
      <c r="V29" s="126"/>
      <c r="W29" s="126"/>
      <c r="X29" s="126"/>
      <c r="Y29" s="126"/>
      <c r="Z29" s="126"/>
    </row>
    <row r="30" spans="1:26" ht="13.5" customHeight="1" x14ac:dyDescent="0.35">
      <c r="A30" s="126"/>
      <c r="B30" s="126"/>
      <c r="C30" s="323"/>
      <c r="D30" s="136" t="s">
        <v>156</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5">
      <c r="A31" s="126"/>
      <c r="B31" s="126"/>
      <c r="C31" s="323"/>
      <c r="D31" s="136" t="s">
        <v>157</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5">
      <c r="A32" s="126"/>
      <c r="B32" s="126"/>
      <c r="C32" s="323"/>
      <c r="D32" s="136" t="s">
        <v>158</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5">
      <c r="A33" s="126"/>
      <c r="B33" s="126"/>
      <c r="C33" s="300"/>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5">
      <c r="A36" s="126"/>
      <c r="B36" s="126"/>
      <c r="C36" s="336" t="s">
        <v>162</v>
      </c>
      <c r="D36" s="134" t="s">
        <v>151</v>
      </c>
      <c r="E36" s="134" t="s">
        <v>152</v>
      </c>
      <c r="F36" s="135" t="s">
        <v>153</v>
      </c>
      <c r="G36" s="134" t="s">
        <v>154</v>
      </c>
      <c r="H36" s="134" t="s">
        <v>155</v>
      </c>
      <c r="I36" s="126"/>
      <c r="J36" s="126"/>
      <c r="K36" s="126"/>
      <c r="L36" s="126"/>
      <c r="M36" s="126"/>
      <c r="N36" s="126"/>
      <c r="O36" s="126"/>
      <c r="P36" s="126"/>
      <c r="Q36" s="126"/>
      <c r="R36" s="126"/>
      <c r="S36" s="126"/>
      <c r="T36" s="126"/>
      <c r="U36" s="126"/>
      <c r="V36" s="126"/>
      <c r="W36" s="126"/>
      <c r="X36" s="126"/>
      <c r="Y36" s="126"/>
      <c r="Z36" s="126"/>
    </row>
    <row r="37" spans="1:26" ht="13.5" customHeight="1" x14ac:dyDescent="0.35">
      <c r="A37" s="126"/>
      <c r="B37" s="126"/>
      <c r="C37" s="323"/>
      <c r="D37" s="136" t="s">
        <v>156</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5">
      <c r="A38" s="126"/>
      <c r="B38" s="126"/>
      <c r="C38" s="323"/>
      <c r="D38" s="136" t="s">
        <v>157</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5">
      <c r="A39" s="126"/>
      <c r="B39" s="126"/>
      <c r="C39" s="323"/>
      <c r="D39" s="136" t="s">
        <v>158</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5">
      <c r="A40" s="126"/>
      <c r="B40" s="126"/>
      <c r="C40" s="300"/>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5">
      <c r="A43" s="126"/>
      <c r="B43" s="126"/>
      <c r="C43" s="336" t="s">
        <v>163</v>
      </c>
      <c r="D43" s="134" t="s">
        <v>151</v>
      </c>
      <c r="E43" s="134" t="s">
        <v>152</v>
      </c>
      <c r="F43" s="135" t="s">
        <v>153</v>
      </c>
      <c r="G43" s="134" t="s">
        <v>154</v>
      </c>
      <c r="H43" s="134" t="s">
        <v>155</v>
      </c>
      <c r="I43" s="126"/>
      <c r="J43" s="126"/>
      <c r="K43" s="126"/>
      <c r="L43" s="126"/>
      <c r="M43" s="126"/>
      <c r="N43" s="126"/>
      <c r="O43" s="126"/>
      <c r="P43" s="126"/>
      <c r="Q43" s="126"/>
      <c r="R43" s="126"/>
      <c r="S43" s="126"/>
      <c r="T43" s="126"/>
      <c r="U43" s="126"/>
      <c r="V43" s="126"/>
      <c r="W43" s="126"/>
      <c r="X43" s="126"/>
      <c r="Y43" s="126"/>
      <c r="Z43" s="126"/>
    </row>
    <row r="44" spans="1:26" ht="13.5" customHeight="1" x14ac:dyDescent="0.35">
      <c r="A44" s="126"/>
      <c r="B44" s="126"/>
      <c r="C44" s="323"/>
      <c r="D44" s="136" t="s">
        <v>156</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5">
      <c r="A45" s="126"/>
      <c r="B45" s="126"/>
      <c r="C45" s="323"/>
      <c r="D45" s="136" t="s">
        <v>157</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5">
      <c r="A46" s="126"/>
      <c r="B46" s="126"/>
      <c r="C46" s="323"/>
      <c r="D46" s="136" t="s">
        <v>158</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5">
      <c r="A47" s="126"/>
      <c r="B47" s="126"/>
      <c r="C47" s="300"/>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9921875" defaultRowHeight="15" customHeight="1" x14ac:dyDescent="0.35"/>
  <cols>
    <col min="1" max="4" width="1.6640625" customWidth="1"/>
    <col min="5" max="6" width="4.6640625" customWidth="1"/>
    <col min="7" max="7" width="26.6640625" customWidth="1"/>
    <col min="8" max="8" width="7.53125" customWidth="1"/>
    <col min="9" max="10" width="10.86328125" customWidth="1"/>
    <col min="11" max="26" width="10.46484375" customWidth="1"/>
  </cols>
  <sheetData>
    <row r="1" spans="1:26" ht="7.5" customHeight="1" x14ac:dyDescent="0.3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5">
      <c r="A3" s="141"/>
      <c r="B3" s="19"/>
      <c r="C3" s="19"/>
      <c r="D3" s="19"/>
      <c r="E3" s="342" t="s">
        <v>164</v>
      </c>
      <c r="F3" s="231"/>
      <c r="G3" s="231"/>
      <c r="H3" s="231"/>
      <c r="I3" s="231"/>
      <c r="J3" s="141"/>
      <c r="K3" s="141"/>
      <c r="L3" s="141"/>
      <c r="M3" s="141"/>
      <c r="N3" s="141"/>
      <c r="O3" s="141"/>
      <c r="P3" s="141"/>
      <c r="Q3" s="141"/>
      <c r="R3" s="141"/>
      <c r="S3" s="141"/>
      <c r="T3" s="141"/>
      <c r="U3" s="141"/>
      <c r="V3" s="141"/>
      <c r="W3" s="141"/>
      <c r="X3" s="141"/>
      <c r="Y3" s="141"/>
      <c r="Z3" s="141"/>
    </row>
    <row r="4" spans="1:26" ht="6.75" customHeight="1" x14ac:dyDescent="0.3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5">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5">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5">
      <c r="A8" s="141"/>
      <c r="B8" s="142" t="s">
        <v>22</v>
      </c>
      <c r="C8" s="19"/>
      <c r="D8" s="19"/>
      <c r="E8" s="19"/>
      <c r="F8" s="19"/>
      <c r="G8" s="40" t="str">
        <f>CARÁTULA!$C$23</f>
        <v>3ro de Secundaria</v>
      </c>
      <c r="H8" s="142" t="s">
        <v>23</v>
      </c>
      <c r="I8" s="132">
        <f ca="1">TODAY()</f>
        <v>44496</v>
      </c>
      <c r="J8" s="141"/>
      <c r="K8" s="141"/>
      <c r="L8" s="141"/>
      <c r="M8" s="141"/>
      <c r="N8" s="141"/>
      <c r="O8" s="141"/>
      <c r="P8" s="141"/>
      <c r="Q8" s="141"/>
      <c r="R8" s="141"/>
      <c r="S8" s="141"/>
      <c r="T8" s="141"/>
      <c r="U8" s="141"/>
      <c r="V8" s="141"/>
      <c r="W8" s="141"/>
      <c r="X8" s="141"/>
      <c r="Y8" s="141"/>
      <c r="Z8" s="141"/>
    </row>
    <row r="9" spans="1:26" ht="6.75" customHeight="1" x14ac:dyDescent="0.3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5">
      <c r="A16" s="141"/>
      <c r="B16" s="141"/>
      <c r="C16" s="141"/>
      <c r="D16" s="141"/>
      <c r="E16" s="343" t="s">
        <v>165</v>
      </c>
      <c r="F16" s="344"/>
      <c r="G16" s="144" t="s">
        <v>24</v>
      </c>
      <c r="H16" s="145" t="s">
        <v>166</v>
      </c>
      <c r="I16" s="146"/>
      <c r="J16" s="141"/>
      <c r="K16" s="141"/>
      <c r="L16" s="141"/>
      <c r="M16" s="141"/>
      <c r="N16" s="141"/>
      <c r="O16" s="141"/>
      <c r="P16" s="141"/>
      <c r="Q16" s="141"/>
      <c r="R16" s="141"/>
      <c r="S16" s="141"/>
      <c r="T16" s="141"/>
      <c r="U16" s="141"/>
      <c r="V16" s="141"/>
      <c r="W16" s="141"/>
      <c r="X16" s="141"/>
      <c r="Y16" s="141"/>
      <c r="Z16" s="141"/>
    </row>
    <row r="17" spans="1:26" ht="12.75" customHeight="1" x14ac:dyDescent="0.35">
      <c r="A17" s="141"/>
      <c r="B17" s="141"/>
      <c r="C17" s="141"/>
      <c r="D17" s="141"/>
      <c r="E17" s="338"/>
      <c r="F17" s="297"/>
      <c r="G17" s="147" t="str">
        <f>'C. FILIACION'!B8</f>
        <v>ALCONZ COLQUE ANDREY JEAN PAUL</v>
      </c>
      <c r="H17" s="148">
        <f>'CENTRAL 2'!F9</f>
        <v>52.666666666666664</v>
      </c>
      <c r="I17" s="141"/>
      <c r="J17" s="141"/>
      <c r="K17" s="141"/>
      <c r="L17" s="141"/>
      <c r="M17" s="141"/>
      <c r="N17" s="141"/>
      <c r="O17" s="141"/>
      <c r="P17" s="141"/>
      <c r="Q17" s="141"/>
      <c r="R17" s="141"/>
      <c r="S17" s="141"/>
      <c r="T17" s="141"/>
      <c r="U17" s="141"/>
      <c r="V17" s="141"/>
      <c r="W17" s="141"/>
      <c r="X17" s="141"/>
      <c r="Y17" s="141"/>
      <c r="Z17" s="141"/>
    </row>
    <row r="18" spans="1:26" ht="12.75" customHeight="1" x14ac:dyDescent="0.35">
      <c r="A18" s="141"/>
      <c r="B18" s="141"/>
      <c r="C18" s="141"/>
      <c r="D18" s="141"/>
      <c r="E18" s="338"/>
      <c r="F18" s="297"/>
      <c r="G18" s="147" t="str">
        <f>'C. FILIACION'!B9</f>
        <v>BEJARANO CHAVARRÍA ADRIANA ABRIL</v>
      </c>
      <c r="H18" s="148">
        <f>'CENTRAL 2'!F10</f>
        <v>66.564102564102555</v>
      </c>
      <c r="I18" s="141"/>
      <c r="J18" s="141"/>
      <c r="K18" s="141"/>
      <c r="L18" s="141"/>
      <c r="M18" s="141"/>
      <c r="N18" s="141"/>
      <c r="O18" s="141"/>
      <c r="P18" s="141"/>
      <c r="Q18" s="141"/>
      <c r="R18" s="141"/>
      <c r="S18" s="141"/>
      <c r="T18" s="141"/>
      <c r="U18" s="141"/>
      <c r="V18" s="141"/>
      <c r="W18" s="141"/>
      <c r="X18" s="141"/>
      <c r="Y18" s="141"/>
      <c r="Z18" s="141"/>
    </row>
    <row r="19" spans="1:26" ht="12.75" customHeight="1" x14ac:dyDescent="0.35">
      <c r="A19" s="141"/>
      <c r="B19" s="141"/>
      <c r="C19" s="141"/>
      <c r="D19" s="141"/>
      <c r="E19" s="338"/>
      <c r="F19" s="297"/>
      <c r="G19" s="147" t="str">
        <f>'C. FILIACION'!B10</f>
        <v>CHOQUE LOPEZ DIEGO ARMANDO</v>
      </c>
      <c r="H19" s="148">
        <f>'CENTRAL 2'!F11</f>
        <v>77.794871794871796</v>
      </c>
      <c r="I19" s="141"/>
      <c r="J19" s="141"/>
      <c r="K19" s="141"/>
      <c r="L19" s="141"/>
      <c r="M19" s="141"/>
      <c r="N19" s="141"/>
      <c r="O19" s="141"/>
      <c r="P19" s="141"/>
      <c r="Q19" s="141"/>
      <c r="R19" s="141"/>
      <c r="S19" s="141"/>
      <c r="T19" s="141"/>
      <c r="U19" s="141"/>
      <c r="V19" s="141"/>
      <c r="W19" s="141"/>
      <c r="X19" s="141"/>
      <c r="Y19" s="141"/>
      <c r="Z19" s="141"/>
    </row>
    <row r="20" spans="1:26" ht="12.75" customHeight="1" x14ac:dyDescent="0.35">
      <c r="A20" s="141"/>
      <c r="B20" s="141"/>
      <c r="C20" s="141"/>
      <c r="D20" s="141"/>
      <c r="E20" s="338"/>
      <c r="F20" s="297"/>
      <c r="G20" s="147" t="str">
        <f>'C. FILIACION'!B11</f>
        <v>CHOQUE SANGA DIEGO OSCAR</v>
      </c>
      <c r="H20" s="148">
        <f>'CENTRAL 2'!F12</f>
        <v>63</v>
      </c>
      <c r="I20" s="141"/>
      <c r="J20" s="141"/>
      <c r="K20" s="141"/>
      <c r="L20" s="141"/>
      <c r="M20" s="141"/>
      <c r="N20" s="141"/>
      <c r="O20" s="141"/>
      <c r="P20" s="141"/>
      <c r="Q20" s="141"/>
      <c r="R20" s="141"/>
      <c r="S20" s="141"/>
      <c r="T20" s="141"/>
      <c r="U20" s="141"/>
      <c r="V20" s="141"/>
      <c r="W20" s="141"/>
      <c r="X20" s="141"/>
      <c r="Y20" s="141"/>
      <c r="Z20" s="141"/>
    </row>
    <row r="21" spans="1:26" ht="12.75" customHeight="1" x14ac:dyDescent="0.35">
      <c r="A21" s="141"/>
      <c r="B21" s="141"/>
      <c r="C21" s="141"/>
      <c r="D21" s="141"/>
      <c r="E21" s="338"/>
      <c r="F21" s="297"/>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35">
      <c r="A22" s="141"/>
      <c r="B22" s="141"/>
      <c r="C22" s="141"/>
      <c r="D22" s="141"/>
      <c r="E22" s="338"/>
      <c r="F22" s="297"/>
      <c r="G22" s="147" t="str">
        <f>'C. FILIACION'!B13</f>
        <v>DE LA CRUZ RADO BLADIMIR MARCOS</v>
      </c>
      <c r="H22" s="148">
        <f>'CENTRAL 2'!F14</f>
        <v>81.051282051282058</v>
      </c>
      <c r="I22" s="141"/>
      <c r="J22" s="141"/>
      <c r="K22" s="141"/>
      <c r="L22" s="141"/>
      <c r="M22" s="141"/>
      <c r="N22" s="141"/>
      <c r="O22" s="141"/>
      <c r="P22" s="141"/>
      <c r="Q22" s="141"/>
      <c r="R22" s="141"/>
      <c r="S22" s="141"/>
      <c r="T22" s="141"/>
      <c r="U22" s="141"/>
      <c r="V22" s="141"/>
      <c r="W22" s="141"/>
      <c r="X22" s="141"/>
      <c r="Y22" s="141"/>
      <c r="Z22" s="141"/>
    </row>
    <row r="23" spans="1:26" ht="12.75" customHeight="1" x14ac:dyDescent="0.35">
      <c r="A23" s="141"/>
      <c r="B23" s="141"/>
      <c r="C23" s="141"/>
      <c r="D23" s="141"/>
      <c r="E23" s="338"/>
      <c r="F23" s="297"/>
      <c r="G23" s="147" t="str">
        <f>'C. FILIACION'!B14</f>
        <v>DELGADILLO QUISBERT MICHAEL DAVID</v>
      </c>
      <c r="H23" s="148">
        <f>'CENTRAL 2'!F15</f>
        <v>85</v>
      </c>
      <c r="I23" s="141"/>
      <c r="J23" s="141"/>
      <c r="K23" s="141"/>
      <c r="L23" s="141"/>
      <c r="M23" s="141"/>
      <c r="N23" s="141"/>
      <c r="O23" s="141"/>
      <c r="P23" s="141"/>
      <c r="Q23" s="141"/>
      <c r="R23" s="141"/>
      <c r="S23" s="141"/>
      <c r="T23" s="141"/>
      <c r="U23" s="141"/>
      <c r="V23" s="141"/>
      <c r="W23" s="141"/>
      <c r="X23" s="141"/>
      <c r="Y23" s="141"/>
      <c r="Z23" s="141"/>
    </row>
    <row r="24" spans="1:26" ht="12.75" customHeight="1" x14ac:dyDescent="0.35">
      <c r="A24" s="141"/>
      <c r="B24" s="141"/>
      <c r="C24" s="141"/>
      <c r="D24" s="141"/>
      <c r="E24" s="338"/>
      <c r="F24" s="297"/>
      <c r="G24" s="147" t="str">
        <f>'C. FILIACION'!B15</f>
        <v>DIAZ SAAVEDRA LEONARDO ADRIAN</v>
      </c>
      <c r="H24" s="148">
        <f>'CENTRAL 2'!F16</f>
        <v>91.743589743589737</v>
      </c>
      <c r="I24" s="141"/>
      <c r="J24" s="141"/>
      <c r="K24" s="141"/>
      <c r="L24" s="141"/>
      <c r="M24" s="141"/>
      <c r="N24" s="141"/>
      <c r="O24" s="141"/>
      <c r="P24" s="141"/>
      <c r="Q24" s="141"/>
      <c r="R24" s="141"/>
      <c r="S24" s="141"/>
      <c r="T24" s="141"/>
      <c r="U24" s="141"/>
      <c r="V24" s="141"/>
      <c r="W24" s="141"/>
      <c r="X24" s="141"/>
      <c r="Y24" s="141"/>
      <c r="Z24" s="141"/>
    </row>
    <row r="25" spans="1:26" ht="12.75" customHeight="1" x14ac:dyDescent="0.35">
      <c r="A25" s="141"/>
      <c r="B25" s="141"/>
      <c r="C25" s="141"/>
      <c r="D25" s="141"/>
      <c r="E25" s="338"/>
      <c r="F25" s="297"/>
      <c r="G25" s="147" t="str">
        <f>'C. FILIACION'!B16</f>
        <v>HUAMAN TERAN JASON DANIEL</v>
      </c>
      <c r="H25" s="148">
        <f>'CENTRAL 2'!F17</f>
        <v>74.743589743589737</v>
      </c>
      <c r="I25" s="141"/>
      <c r="J25" s="141"/>
      <c r="K25" s="141"/>
      <c r="L25" s="141"/>
      <c r="M25" s="141"/>
      <c r="N25" s="141"/>
      <c r="O25" s="141"/>
      <c r="P25" s="141"/>
      <c r="Q25" s="141"/>
      <c r="R25" s="141"/>
      <c r="S25" s="141"/>
      <c r="T25" s="141"/>
      <c r="U25" s="141"/>
      <c r="V25" s="141"/>
      <c r="W25" s="141"/>
      <c r="X25" s="141"/>
      <c r="Y25" s="141"/>
      <c r="Z25" s="141"/>
    </row>
    <row r="26" spans="1:26" ht="12.75" customHeight="1" x14ac:dyDescent="0.35">
      <c r="A26" s="141"/>
      <c r="B26" s="141"/>
      <c r="C26" s="141"/>
      <c r="D26" s="141"/>
      <c r="E26" s="338"/>
      <c r="F26" s="297"/>
      <c r="G26" s="147" t="str">
        <f>'C. FILIACION'!B17</f>
        <v>HUARAYO MORALES NICOLAS FABRICIO</v>
      </c>
      <c r="H26" s="148">
        <f>'CENTRAL 2'!F18</f>
        <v>70.666666666666671</v>
      </c>
      <c r="I26" s="141"/>
      <c r="J26" s="141"/>
      <c r="K26" s="141"/>
      <c r="L26" s="141"/>
      <c r="M26" s="141"/>
      <c r="N26" s="141"/>
      <c r="O26" s="141"/>
      <c r="P26" s="141"/>
      <c r="Q26" s="141"/>
      <c r="R26" s="141"/>
      <c r="S26" s="141"/>
      <c r="T26" s="141"/>
      <c r="U26" s="141"/>
      <c r="V26" s="141"/>
      <c r="W26" s="141"/>
      <c r="X26" s="141"/>
      <c r="Y26" s="141"/>
      <c r="Z26" s="141"/>
    </row>
    <row r="27" spans="1:26" ht="12.75" customHeight="1" x14ac:dyDescent="0.35">
      <c r="A27" s="141"/>
      <c r="B27" s="141"/>
      <c r="C27" s="141"/>
      <c r="D27" s="141"/>
      <c r="E27" s="338"/>
      <c r="F27" s="297"/>
      <c r="G27" s="147" t="str">
        <f>'C. FILIACION'!B18</f>
        <v>MENDOZA VACA MIKHAEL NAIM</v>
      </c>
      <c r="H27" s="148">
        <f>'CENTRAL 2'!F19</f>
        <v>70.487179487179489</v>
      </c>
      <c r="I27" s="141"/>
      <c r="J27" s="141"/>
      <c r="K27" s="141"/>
      <c r="L27" s="141"/>
      <c r="M27" s="141"/>
      <c r="N27" s="141"/>
      <c r="O27" s="141"/>
      <c r="P27" s="141"/>
      <c r="Q27" s="141"/>
      <c r="R27" s="141"/>
      <c r="S27" s="141"/>
      <c r="T27" s="141"/>
      <c r="U27" s="141"/>
      <c r="V27" s="141"/>
      <c r="W27" s="141"/>
      <c r="X27" s="141"/>
      <c r="Y27" s="141"/>
      <c r="Z27" s="141"/>
    </row>
    <row r="28" spans="1:26" ht="12.75" customHeight="1" x14ac:dyDescent="0.35">
      <c r="A28" s="141"/>
      <c r="B28" s="141"/>
      <c r="C28" s="141"/>
      <c r="D28" s="141"/>
      <c r="E28" s="338"/>
      <c r="F28" s="297"/>
      <c r="G28" s="147" t="str">
        <f>'C. FILIACION'!B19</f>
        <v>NAVIA ASCUI BELEN ANDREA</v>
      </c>
      <c r="H28" s="148">
        <f>'CENTRAL 2'!F20</f>
        <v>88.333333333333329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5">
      <c r="A29" s="141"/>
      <c r="B29" s="141"/>
      <c r="C29" s="141"/>
      <c r="D29" s="141"/>
      <c r="E29" s="338"/>
      <c r="F29" s="297"/>
      <c r="G29" s="147" t="str">
        <f>'C. FILIACION'!B20</f>
        <v>QUISPE DIAZ KATHERIN LAURA</v>
      </c>
      <c r="H29" s="148">
        <f>'CENTRAL 2'!F21</f>
        <v>91.07692307692308</v>
      </c>
      <c r="I29" s="141"/>
      <c r="J29" s="141"/>
      <c r="K29" s="141"/>
      <c r="L29" s="141"/>
      <c r="M29" s="141"/>
      <c r="N29" s="141"/>
      <c r="O29" s="141"/>
      <c r="P29" s="141"/>
      <c r="Q29" s="141"/>
      <c r="R29" s="141"/>
      <c r="S29" s="141"/>
      <c r="T29" s="141"/>
      <c r="U29" s="141"/>
      <c r="V29" s="141"/>
      <c r="W29" s="141"/>
      <c r="X29" s="141"/>
      <c r="Y29" s="141"/>
      <c r="Z29" s="141"/>
    </row>
    <row r="30" spans="1:26" ht="12.75" customHeight="1" x14ac:dyDescent="0.35">
      <c r="A30" s="141"/>
      <c r="B30" s="141"/>
      <c r="C30" s="141"/>
      <c r="D30" s="141"/>
      <c r="E30" s="338"/>
      <c r="F30" s="297"/>
      <c r="G30" s="147" t="str">
        <f>'C. FILIACION'!B21</f>
        <v>RAMOS MAMANI KRISTHEL GERALDINE</v>
      </c>
      <c r="H30" s="148">
        <f>'CENTRAL 2'!F22</f>
        <v>90.743589743589737</v>
      </c>
      <c r="I30" s="141"/>
      <c r="J30" s="141"/>
      <c r="K30" s="141"/>
      <c r="L30" s="141"/>
      <c r="M30" s="141"/>
      <c r="N30" s="141"/>
      <c r="O30" s="141"/>
      <c r="P30" s="141"/>
      <c r="Q30" s="141"/>
      <c r="R30" s="141"/>
      <c r="S30" s="141"/>
      <c r="T30" s="141"/>
      <c r="U30" s="141"/>
      <c r="V30" s="141"/>
      <c r="W30" s="141"/>
      <c r="X30" s="141"/>
      <c r="Y30" s="141"/>
      <c r="Z30" s="141"/>
    </row>
    <row r="31" spans="1:26" ht="12.75" customHeight="1" x14ac:dyDescent="0.35">
      <c r="A31" s="141"/>
      <c r="B31" s="141"/>
      <c r="C31" s="141"/>
      <c r="D31" s="141"/>
      <c r="E31" s="338"/>
      <c r="F31" s="297"/>
      <c r="G31" s="147" t="str">
        <f>'C. FILIACION'!B22</f>
        <v>RODRIGUEZ LOBATON YADHIRA CIELO</v>
      </c>
      <c r="H31" s="148">
        <f>'CENTRAL 2'!F23</f>
        <v>80.666666666666671</v>
      </c>
      <c r="I31" s="141"/>
      <c r="J31" s="141"/>
      <c r="K31" s="141"/>
      <c r="L31" s="141"/>
      <c r="M31" s="141"/>
      <c r="N31" s="141"/>
      <c r="O31" s="141"/>
      <c r="P31" s="141"/>
      <c r="Q31" s="141"/>
      <c r="R31" s="141"/>
      <c r="S31" s="141"/>
      <c r="T31" s="141"/>
      <c r="U31" s="141"/>
      <c r="V31" s="141"/>
      <c r="W31" s="141"/>
      <c r="X31" s="141"/>
      <c r="Y31" s="141"/>
      <c r="Z31" s="141"/>
    </row>
    <row r="32" spans="1:26" ht="12.75" customHeight="1" x14ac:dyDescent="0.35">
      <c r="A32" s="141"/>
      <c r="B32" s="141"/>
      <c r="C32" s="141"/>
      <c r="D32" s="141"/>
      <c r="E32" s="338"/>
      <c r="F32" s="297"/>
      <c r="G32" s="147" t="str">
        <f>'C. FILIACION'!B23</f>
        <v>ROJAS CANAVIRI VICTOR ANDRE</v>
      </c>
      <c r="H32" s="148">
        <f>'CENTRAL 2'!F24</f>
        <v>68.333333333333329</v>
      </c>
      <c r="I32" s="141"/>
      <c r="J32" s="141"/>
      <c r="K32" s="141"/>
      <c r="L32" s="141"/>
      <c r="M32" s="141"/>
      <c r="N32" s="141"/>
      <c r="O32" s="141"/>
      <c r="P32" s="141"/>
      <c r="Q32" s="141"/>
      <c r="R32" s="141"/>
      <c r="S32" s="141"/>
      <c r="T32" s="141"/>
      <c r="U32" s="141"/>
      <c r="V32" s="141"/>
      <c r="W32" s="141"/>
      <c r="X32" s="141"/>
      <c r="Y32" s="141"/>
      <c r="Z32" s="141"/>
    </row>
    <row r="33" spans="1:26" ht="12.75" customHeight="1" x14ac:dyDescent="0.35">
      <c r="A33" s="141"/>
      <c r="B33" s="141"/>
      <c r="C33" s="141"/>
      <c r="D33" s="141"/>
      <c r="E33" s="338"/>
      <c r="F33" s="297"/>
      <c r="G33" s="147" t="str">
        <f>'C. FILIACION'!B24</f>
        <v>ROJAS LENIS GABRIEL</v>
      </c>
      <c r="H33" s="148">
        <f>'CENTRAL 2'!F25</f>
        <v>70.564102564102555</v>
      </c>
      <c r="I33" s="141"/>
      <c r="J33" s="141"/>
      <c r="K33" s="141"/>
      <c r="L33" s="141"/>
      <c r="M33" s="141"/>
      <c r="N33" s="141"/>
      <c r="O33" s="141"/>
      <c r="P33" s="141"/>
      <c r="Q33" s="141"/>
      <c r="R33" s="141"/>
      <c r="S33" s="141"/>
      <c r="T33" s="141"/>
      <c r="U33" s="141"/>
      <c r="V33" s="141"/>
      <c r="W33" s="141"/>
      <c r="X33" s="141"/>
      <c r="Y33" s="141"/>
      <c r="Z33" s="141"/>
    </row>
    <row r="34" spans="1:26" ht="12.75" customHeight="1" x14ac:dyDescent="0.35">
      <c r="A34" s="141"/>
      <c r="B34" s="141"/>
      <c r="C34" s="141"/>
      <c r="D34" s="141"/>
      <c r="E34" s="338"/>
      <c r="F34" s="297"/>
      <c r="G34" s="147" t="str">
        <f>'C. FILIACION'!B25</f>
        <v>SUAREZ QUISPE JHUNIOR</v>
      </c>
      <c r="H34" s="148">
        <f>'CENTRAL 2'!F26</f>
        <v>52.666666666666664</v>
      </c>
      <c r="I34" s="141"/>
      <c r="J34" s="141"/>
      <c r="K34" s="141"/>
      <c r="L34" s="141"/>
      <c r="M34" s="141"/>
      <c r="N34" s="141"/>
      <c r="O34" s="141"/>
      <c r="P34" s="141"/>
      <c r="Q34" s="141"/>
      <c r="R34" s="141"/>
      <c r="S34" s="141"/>
      <c r="T34" s="141"/>
      <c r="U34" s="141"/>
      <c r="V34" s="141"/>
      <c r="W34" s="141"/>
      <c r="X34" s="141"/>
      <c r="Y34" s="141"/>
      <c r="Z34" s="141"/>
    </row>
    <row r="35" spans="1:26" ht="12.75" customHeight="1" x14ac:dyDescent="0.35">
      <c r="A35" s="141"/>
      <c r="B35" s="141"/>
      <c r="C35" s="141"/>
      <c r="D35" s="141"/>
      <c r="E35" s="341"/>
      <c r="F35" s="297"/>
      <c r="G35" s="147" t="str">
        <f>'C. FILIACION'!B26</f>
        <v>VILAR CORTEZ MIKAELA DOLORES</v>
      </c>
      <c r="H35" s="148">
        <f>'CENTRAL 2'!F27</f>
        <v>71.974358974358964</v>
      </c>
      <c r="I35" s="141"/>
      <c r="J35" s="141"/>
      <c r="K35" s="141"/>
      <c r="L35" s="141"/>
      <c r="M35" s="141"/>
      <c r="N35" s="141"/>
      <c r="O35" s="141"/>
      <c r="P35" s="141"/>
      <c r="Q35" s="141"/>
      <c r="R35" s="141"/>
      <c r="S35" s="141"/>
      <c r="T35" s="141"/>
      <c r="U35" s="141"/>
      <c r="V35" s="141"/>
      <c r="W35" s="141"/>
      <c r="X35" s="141"/>
      <c r="Y35" s="141"/>
      <c r="Z35" s="141"/>
    </row>
    <row r="36" spans="1:26" ht="12.75" customHeight="1" x14ac:dyDescent="0.35">
      <c r="A36" s="141"/>
      <c r="B36" s="141"/>
      <c r="C36" s="141"/>
      <c r="D36" s="141"/>
      <c r="E36" s="338"/>
      <c r="F36" s="297"/>
      <c r="G36" s="147" t="str">
        <f>'C. FILIACION'!B27</f>
        <v>Tattum Rocha Elias</v>
      </c>
      <c r="H36" s="148">
        <f>'CENTRAL 2'!F28</f>
        <v>90.333333333333329</v>
      </c>
      <c r="I36" s="141"/>
      <c r="J36" s="141"/>
      <c r="K36" s="141"/>
      <c r="L36" s="141"/>
      <c r="M36" s="141"/>
      <c r="N36" s="141"/>
      <c r="O36" s="141"/>
      <c r="P36" s="141"/>
      <c r="Q36" s="141"/>
      <c r="R36" s="141"/>
      <c r="S36" s="141"/>
      <c r="T36" s="141"/>
      <c r="U36" s="141"/>
      <c r="V36" s="141"/>
      <c r="W36" s="141"/>
      <c r="X36" s="141"/>
      <c r="Y36" s="141"/>
      <c r="Z36" s="141"/>
    </row>
    <row r="37" spans="1:26" ht="12.75" customHeight="1" x14ac:dyDescent="0.35">
      <c r="A37" s="141"/>
      <c r="B37" s="141"/>
      <c r="C37" s="141"/>
      <c r="D37" s="141"/>
      <c r="E37" s="338"/>
      <c r="F37" s="297"/>
      <c r="G37" s="147" t="str">
        <f>'C. FILIACION'!B28</f>
        <v>soria la fuente leonardo abel</v>
      </c>
      <c r="H37" s="148">
        <f>'CENTRAL 2'!F29</f>
        <v>83.743589743589737</v>
      </c>
      <c r="I37" s="141"/>
      <c r="J37" s="141"/>
      <c r="K37" s="141"/>
      <c r="L37" s="141"/>
      <c r="M37" s="141"/>
      <c r="N37" s="141"/>
      <c r="O37" s="141"/>
      <c r="P37" s="141"/>
      <c r="Q37" s="141"/>
      <c r="R37" s="141"/>
      <c r="S37" s="141"/>
      <c r="T37" s="141"/>
      <c r="U37" s="141"/>
      <c r="V37" s="141"/>
      <c r="W37" s="141"/>
      <c r="X37" s="141"/>
      <c r="Y37" s="141"/>
      <c r="Z37" s="141"/>
    </row>
    <row r="38" spans="1:26" ht="12.75" customHeight="1" x14ac:dyDescent="0.35">
      <c r="A38" s="141"/>
      <c r="B38" s="141"/>
      <c r="C38" s="141"/>
      <c r="D38" s="141"/>
      <c r="E38" s="338"/>
      <c r="F38" s="297"/>
      <c r="G38" s="147" t="str">
        <f>'C. FILIACION'!B29</f>
        <v>Terrazas fuentes Salomon</v>
      </c>
      <c r="H38" s="148">
        <f>'CENTRAL 2'!F30</f>
        <v>93.07692307692308</v>
      </c>
      <c r="I38" s="141"/>
      <c r="J38" s="141"/>
      <c r="K38" s="141"/>
      <c r="L38" s="141"/>
      <c r="M38" s="141"/>
      <c r="N38" s="141"/>
      <c r="O38" s="141"/>
      <c r="P38" s="141"/>
      <c r="Q38" s="141"/>
      <c r="R38" s="141"/>
      <c r="S38" s="141"/>
      <c r="T38" s="141"/>
      <c r="U38" s="141"/>
      <c r="V38" s="141"/>
      <c r="W38" s="141"/>
      <c r="X38" s="141"/>
      <c r="Y38" s="141"/>
      <c r="Z38" s="141"/>
    </row>
    <row r="39" spans="1:26" ht="12.75" customHeight="1" x14ac:dyDescent="0.35">
      <c r="A39" s="141"/>
      <c r="B39" s="141"/>
      <c r="C39" s="141"/>
      <c r="D39" s="141"/>
      <c r="E39" s="338"/>
      <c r="F39" s="297"/>
      <c r="G39" s="147" t="str">
        <f>'C. FILIACION'!B30</f>
        <v>Terrazas fuentes David</v>
      </c>
      <c r="H39" s="148">
        <f>'CENTRAL 2'!F31</f>
        <v>93.410256410256409</v>
      </c>
      <c r="I39" s="141"/>
      <c r="J39" s="141"/>
      <c r="K39" s="141"/>
      <c r="L39" s="141"/>
      <c r="M39" s="141"/>
      <c r="N39" s="141"/>
      <c r="O39" s="141"/>
      <c r="P39" s="141"/>
      <c r="Q39" s="141"/>
      <c r="R39" s="141"/>
      <c r="S39" s="141"/>
      <c r="T39" s="141"/>
      <c r="U39" s="141"/>
      <c r="V39" s="141"/>
      <c r="W39" s="141"/>
      <c r="X39" s="141"/>
      <c r="Y39" s="141"/>
      <c r="Z39" s="141"/>
    </row>
    <row r="40" spans="1:26" ht="12.75" customHeight="1" x14ac:dyDescent="0.35">
      <c r="A40" s="141"/>
      <c r="B40" s="141"/>
      <c r="C40" s="141"/>
      <c r="D40" s="141"/>
      <c r="E40" s="338"/>
      <c r="F40" s="297"/>
      <c r="G40" s="147" t="str">
        <f>'C. FILIACION'!B31</f>
        <v xml:space="preserve">Flores Gutierrez Abel Manuel </v>
      </c>
      <c r="H40" s="148">
        <f>'CENTRAL 2'!F32</f>
        <v>80.333333333333329</v>
      </c>
      <c r="I40" s="141"/>
      <c r="J40" s="141"/>
      <c r="K40" s="141"/>
      <c r="L40" s="141"/>
      <c r="M40" s="141"/>
      <c r="N40" s="141"/>
      <c r="O40" s="141"/>
      <c r="P40" s="141"/>
      <c r="Q40" s="141"/>
      <c r="R40" s="141"/>
      <c r="S40" s="141"/>
      <c r="T40" s="141"/>
      <c r="U40" s="141"/>
      <c r="V40" s="141"/>
      <c r="W40" s="141"/>
      <c r="X40" s="141"/>
      <c r="Y40" s="141"/>
      <c r="Z40" s="141"/>
    </row>
    <row r="41" spans="1:26" ht="12.75" customHeight="1" x14ac:dyDescent="0.35">
      <c r="A41" s="141"/>
      <c r="B41" s="141"/>
      <c r="C41" s="141"/>
      <c r="D41" s="141"/>
      <c r="E41" s="338"/>
      <c r="F41" s="297"/>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5">
      <c r="A42" s="141"/>
      <c r="B42" s="141"/>
      <c r="C42" s="141"/>
      <c r="D42" s="141"/>
      <c r="E42" s="338"/>
      <c r="F42" s="297"/>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5">
      <c r="A43" s="141"/>
      <c r="B43" s="141"/>
      <c r="C43" s="141"/>
      <c r="D43" s="141"/>
      <c r="E43" s="338"/>
      <c r="F43" s="297"/>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5">
      <c r="A44" s="141"/>
      <c r="B44" s="141"/>
      <c r="C44" s="141"/>
      <c r="D44" s="141"/>
      <c r="E44" s="338"/>
      <c r="F44" s="297"/>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5">
      <c r="A45" s="141"/>
      <c r="B45" s="141"/>
      <c r="C45" s="141"/>
      <c r="D45" s="141"/>
      <c r="E45" s="338"/>
      <c r="F45" s="297"/>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5">
      <c r="A46" s="141"/>
      <c r="B46" s="141"/>
      <c r="C46" s="141"/>
      <c r="D46" s="141"/>
      <c r="E46" s="338"/>
      <c r="F46" s="297"/>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5">
      <c r="A47" s="141"/>
      <c r="B47" s="141"/>
      <c r="C47" s="141"/>
      <c r="D47" s="141"/>
      <c r="E47" s="338"/>
      <c r="F47" s="297"/>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5">
      <c r="A48" s="141"/>
      <c r="B48" s="141"/>
      <c r="C48" s="141"/>
      <c r="D48" s="141"/>
      <c r="E48" s="338"/>
      <c r="F48" s="297"/>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5">
      <c r="A49" s="141"/>
      <c r="B49" s="141"/>
      <c r="C49" s="141"/>
      <c r="D49" s="141"/>
      <c r="E49" s="338"/>
      <c r="F49" s="297"/>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5">
      <c r="A50" s="141"/>
      <c r="B50" s="141"/>
      <c r="C50" s="141"/>
      <c r="D50" s="141"/>
      <c r="E50" s="338"/>
      <c r="F50" s="297"/>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5">
      <c r="A51" s="141"/>
      <c r="B51" s="141"/>
      <c r="C51" s="141"/>
      <c r="D51" s="141"/>
      <c r="E51" s="338"/>
      <c r="F51" s="297"/>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5">
      <c r="A52" s="141"/>
      <c r="B52" s="141"/>
      <c r="C52" s="141"/>
      <c r="D52" s="141"/>
      <c r="E52" s="338"/>
      <c r="F52" s="297"/>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5">
      <c r="A53" s="141"/>
      <c r="B53" s="141"/>
      <c r="C53" s="141"/>
      <c r="D53" s="141"/>
      <c r="E53" s="338"/>
      <c r="F53" s="297"/>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5">
      <c r="A54" s="141"/>
      <c r="B54" s="141"/>
      <c r="C54" s="141"/>
      <c r="D54" s="141"/>
      <c r="E54" s="338"/>
      <c r="F54" s="297"/>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5">
      <c r="A55" s="141"/>
      <c r="B55" s="141"/>
      <c r="C55" s="141"/>
      <c r="D55" s="141"/>
      <c r="E55" s="338"/>
      <c r="F55" s="297"/>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5">
      <c r="A56" s="141"/>
      <c r="B56" s="141"/>
      <c r="C56" s="141"/>
      <c r="D56" s="141"/>
      <c r="E56" s="338"/>
      <c r="F56" s="297"/>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5">
      <c r="A57" s="141"/>
      <c r="B57" s="141"/>
      <c r="C57" s="141"/>
      <c r="D57" s="141"/>
      <c r="E57" s="338"/>
      <c r="F57" s="297"/>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5">
      <c r="A58" s="141"/>
      <c r="B58" s="141"/>
      <c r="C58" s="141"/>
      <c r="D58" s="141"/>
      <c r="E58" s="338"/>
      <c r="F58" s="297"/>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5">
      <c r="A59" s="141"/>
      <c r="B59" s="141"/>
      <c r="C59" s="141"/>
      <c r="D59" s="141"/>
      <c r="E59" s="338"/>
      <c r="F59" s="297"/>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5">
      <c r="A60" s="141"/>
      <c r="B60" s="141"/>
      <c r="C60" s="141"/>
      <c r="D60" s="141"/>
      <c r="E60" s="339"/>
      <c r="F60" s="340"/>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2021-09-08T03:54:52Z</cp:lastPrinted>
  <dcterms:created xsi:type="dcterms:W3CDTF">2020-01-23T13:58:13Z</dcterms:created>
  <dcterms:modified xsi:type="dcterms:W3CDTF">2021-10-27T21:27:33Z</dcterms:modified>
</cp:coreProperties>
</file>