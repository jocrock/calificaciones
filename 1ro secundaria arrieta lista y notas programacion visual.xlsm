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4F9E75AD-9CEF-43D2-9A81-CDFD3D54A518}" xr6:coauthVersionLast="47" xr6:coauthVersionMax="47" xr10:uidLastSave="{00000000-0000-0000-0000-000000000000}"/>
  <bookViews>
    <workbookView xWindow="-108" yWindow="-108" windowWidth="23256" windowHeight="12576" tabRatio="820" firstSheet="1" activeTab="3"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O11" i="17" l="1"/>
  <c r="O10" i="17"/>
  <c r="F10" i="17"/>
  <c r="G10" i="17"/>
  <c r="H10" i="17"/>
  <c r="I10" i="17"/>
  <c r="J10" i="17"/>
  <c r="K10" i="17"/>
  <c r="L10" i="17"/>
  <c r="M10" i="17"/>
  <c r="F11" i="17"/>
  <c r="G11" i="17"/>
  <c r="I11" i="17"/>
  <c r="J11" i="17"/>
  <c r="K11" i="17"/>
  <c r="L11" i="17"/>
  <c r="M11" i="17"/>
  <c r="B16" i="4"/>
  <c r="B17" i="4"/>
  <c r="B18" i="4"/>
  <c r="B19" i="4"/>
  <c r="B20" i="4"/>
  <c r="B21" i="4"/>
  <c r="B22" i="4"/>
  <c r="B15" i="4"/>
  <c r="AD25" i="17"/>
  <c r="I24" i="17"/>
  <c r="AC24" i="17" s="1"/>
  <c r="I23" i="17"/>
  <c r="AC23" i="17" s="1"/>
  <c r="I22" i="17"/>
  <c r="AC22" i="17" s="1"/>
  <c r="I17" i="17"/>
  <c r="AC17" i="17" s="1"/>
  <c r="I16" i="17"/>
  <c r="AC16" i="17" s="1"/>
  <c r="I15" i="17"/>
  <c r="AC15" i="17" s="1"/>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T10" i="17"/>
  <c r="Q10" i="17"/>
  <c r="R10" i="17"/>
  <c r="S10" i="17"/>
  <c r="P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4" i="4"/>
  <c r="B13" i="4"/>
  <c r="B12" i="4"/>
  <c r="B11" i="4"/>
  <c r="B10" i="4"/>
  <c r="B9" i="4"/>
  <c r="B8" i="4"/>
  <c r="N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0" i="4" l="1"/>
  <c r="R11" i="17"/>
  <c r="BE18" i="4"/>
  <c r="BE10" i="4"/>
  <c r="S11" i="17"/>
  <c r="Q11" i="17"/>
  <c r="BE16" i="4"/>
  <c r="BE15" i="4"/>
  <c r="BE14" i="4"/>
  <c r="BE11" i="4"/>
  <c r="BE22" i="4"/>
  <c r="BE21" i="4"/>
  <c r="BE19" i="4"/>
  <c r="BE17" i="4"/>
  <c r="BE13" i="4"/>
  <c r="BE12" i="4"/>
  <c r="P11" i="17"/>
  <c r="BE9" i="4"/>
  <c r="BE8" i="4"/>
  <c r="AC18" i="17"/>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T11" i="17" l="1"/>
  <c r="AC26" i="17"/>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U12" i="9" l="1"/>
  <c r="F12" i="10" s="1"/>
  <c r="A26" i="17"/>
  <c r="U9" i="9"/>
  <c r="F9" i="10" s="1"/>
  <c r="U13" i="9"/>
  <c r="F13" i="10" s="1"/>
  <c r="U22" i="9"/>
  <c r="F22" i="10" s="1"/>
  <c r="U21" i="9"/>
  <c r="F21" i="10" s="1"/>
  <c r="J9" i="10"/>
  <c r="E24" i="14" s="1"/>
  <c r="U23" i="9"/>
  <c r="F23" i="10" s="1"/>
  <c r="F17" i="10"/>
  <c r="V17" i="9"/>
  <c r="V32" i="9"/>
  <c r="F32" i="10"/>
  <c r="V28" i="9"/>
  <c r="F28" i="10"/>
  <c r="V20" i="9"/>
  <c r="F20"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<sst xmlns="http://schemas.openxmlformats.org/spreadsheetml/2006/main" count="771" uniqueCount="216">
  <si>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</si>
  <si>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</si>
  <si>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</si>
  <si>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</si>
  <si>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</si>
  <si>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</si>
  <si>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</si>
  <si>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</si>
  <si>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</si>
  <si>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</si>
  <si>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</si>
  <si>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</si>
  <si>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</si>
  <si>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</si>
  <si>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</si>
  <si>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</si>
  <si>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</si>
  <si>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</si>
  <si>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</si>
  <si>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</si>
  <si>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</si>
  <si>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</si>
  <si>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</si>
  <si>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</si>
  <si>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</si>
  <si>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</si>
  <si>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</si>
  <si>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</si>
  <si>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</si>
  <si>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</si>
  <si>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</si>
  <si>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</si>
  <si>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</si>
  <si>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</si>
  <si>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</si>
  <si>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</si>
  <si>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</si>
  <si>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</si>
  <si>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</si>
  <si>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</si>
  <si>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</si>
  <si>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</si>
  <si>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</si>
  <si>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</si>
  <si>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</si>
  <si>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</si>
  <si>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</si>
  <si>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</si>
  <si>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</si>
  <si>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</si>
  <si>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</si>
  <si>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</si>
  <si>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</si>
  <si>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</si>
  <si>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</si>
  <si>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</si>
  <si>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</si>
  <si>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</si>
  <si>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</si>
  <si>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</si>
  <si>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</si>
  <si>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</si>
  <si>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</si>
  <si>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</si>
  <si>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</si>
  <si>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</si>
  <si>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</si>
  <si>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</si>
  <si>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</si>
  <si>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</si>
  <si>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</si>
  <si>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</si>
  <si>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</si>
  <si>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</si>
  <si>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</si>
  <si>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</si>
  <si>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</si>
  <si>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</si>
  <si>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</si>
  <si>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</si>
  <si>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</si>
  <si>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</si>
  <si>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</si>
  <si>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</si>
  <si>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</si>
  <si>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</si>
  <si>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</si>
  <si>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</si>
  <si>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</si>
  <si>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</si>
  <si>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</si>
  <si>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</si>
  <si>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</si>
  <si>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</si>
  <si>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</si>
  <si>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</si>
  <si>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</si>
  <si>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</si>
  <si>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</si>
  <si>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</si>
  <si>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</si>
  <si>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</si>
  <si>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</si>
  <si>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</si>
  <si>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</si>
  <si>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</si>
  <si>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</si>
  <si>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</si>
  <si>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</si>
  <si>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</si>
  <si>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</si>
  <si>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</si>
  <si>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</si>
  <si>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</si>
  <si>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</si>
  <si>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</si>
  <si>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</si>
  <si>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</si>
  <si>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</si>
  <si>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</si>
  <si>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</si>
  <si>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</si>
  <si>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</si>
  <si>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</si>
  <si>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</si>
  <si>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</si>
  <si>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</si>
  <si>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</si>
  <si>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</si>
  <si>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</si>
  <si>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</si>
  <si>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</si>
  <si>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</si>
  <si>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</si>
  <si>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</si>
  <si>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</si>
  <si>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</si>
  <si>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</si>
  <si>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</si>
  <si>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</si>
  <si>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</si>
  <si>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</si>
  <si>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</si>
  <si>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</si>
  <si>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</si>
  <si>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</si>
  <si>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</si>
  <si>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</si>
  <si>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</si>
  <si>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</si>
  <si>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</si>
  <si>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</si>
  <si>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</si>
  <si>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</si>
  <si>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</si>
  <si>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</si>
  <si>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</si>
  <si>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</si>
  <si>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</si>
  <si>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</si>
  <si>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</si>
  <si>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</si>
  <si>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</si>
  <si>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</si>
  <si>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</si>
  <si>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</si>
  <si>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</si>
  <si>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</si>
  <si>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</si>
  <si>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</si>
  <si>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</si>
  <si>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</si>
  <si>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</si>
  <si>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</si>
  <si>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</si>
  <si>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</si>
  <si>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</si>
  <si>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</si>
  <si>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</si>
  <si>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</si>
  <si>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</si>
  <si>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</si>
  <si>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</si>
  <si>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</si>
  <si>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</si>
  <si>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</si>
  <si>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</si>
  <si>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</si>
  <si>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</si>
  <si>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</si>
  <si>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</si>
  <si>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</si>
  <si>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</si>
  <si>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</si>
  <si>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</si>
  <si>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</si>
  <si>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</si>
  <si>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</si>
  <si>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</si>
  <si>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</si>
  <si>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</si>
  <si>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</si>
  <si>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</si>
  <si>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</si>
  <si>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</si>
  <si>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</si>
  <si>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</si>
  <si>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</si>
  <si>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</si>
  <si>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</si>
  <si>
    <t>19/8/2021</t>
  </si>
  <si>
    <t>19/08/2021 (Primer Examen)</t>
  </si>
  <si>
    <t>26/8/20212</t>
  </si>
  <si>
    <t>26/08/2021 (sumas binarias)</t>
  </si>
  <si>
    <t>2/9/2021</t>
  </si>
  <si>
    <t>9/9/2021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</si>
</sst>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
      <sz val="9"/>
      <color theme="1"/>
      <name val="Calibri"/>
      <family val="2"/>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1">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58" fillId="0" borderId="19" xfId="0" applyFont="1" applyBorder="1" applyAlignment="1">
      <alignment horizontal="center" vertical="center"/>
    </xf>
    <xf numFmtId="0" fontId="58" fillId="0" borderId="27" xfId="0" applyFont="1" applyBorder="1" applyAlignment="1">
      <alignment horizontal="center" vertical="center"/>
    </xf>
    <xf numFmtId="0" fontId="58" fillId="0" borderId="29" xfId="0" applyFont="1" applyBorder="1" applyAlignment="1">
      <alignment horizontal="center" vertical="center"/>
    </xf>
    <xf numFmtId="14" fontId="58" fillId="0" borderId="27" xfId="0" applyNumberFormat="1" applyFont="1" applyBorder="1" applyAlignment="1">
      <alignment horizontal="center" vertical="center" textRotation="90"/>
    </xf>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0" fillId="0" borderId="58" xfId="0" applyFont="1" applyBorder="1" applyAlignment="1">
      <alignment horizontal="center" vertical="center"/>
    </xf>
    <xf numFmtId="1" fontId="52" fillId="0" borderId="58" xfId="0" applyNumberFormat="1" applyFont="1" applyBorder="1" applyAlignment="1">
      <alignment horizont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4" fillId="6" borderId="29" xfId="0" applyFont="1" applyFill="1" applyBorder="1" applyAlignment="1">
      <alignment horizontal="center" textRotation="90"/>
    </xf>
    <xf numFmtId="0" fontId="3" fillId="0" borderId="27" xfId="0" applyFont="1" applyBorder="1"/>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17" fillId="0" borderId="29" xfId="0" applyFont="1" applyBorder="1" applyAlignment="1">
      <alignment horizontal="center" textRotation="90"/>
    </xf>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3" xfId="0" applyNumberFormat="1" applyFont="1" applyBorder="1" applyAlignment="1">
      <alignment horizontal="center" vertical="center"/>
    </xf>
    <xf numFmtId="1" fontId="10" fillId="0" borderId="54" xfId="0" applyNumberFormat="1" applyFont="1" applyBorder="1" applyAlignment="1">
      <alignment horizontal="center" vertical="center"/>
    </xf>
    <xf numFmtId="0" fontId="3" fillId="0" borderId="55" xfId="0" applyFont="1" applyBorder="1"/>
    <xf numFmtId="1" fontId="10" fillId="0" borderId="53" xfId="0" applyNumberFormat="1" applyFont="1" applyBorder="1" applyAlignment="1">
      <alignment horizont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cellXfs>
  <cellStyles count="3">
    <cellStyle name="Hipervínculo" xfId="2" builtinId="8"/>
    <cellStyle name="Millares" xfId="1" builtinId="3"/>
    <cellStyle name="Normal" xfId="0" builtinId="0"/>
  </cellStyles>
  <dxfs count="31">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P22" totalsRowShown="0" headerRowDxfId="30" dataDxfId="28" headerRowBorderDxfId="29" tableBorderDxfId="27" totalsRowBorderDxfId="26">
  <autoFilter ref="A7:P22" xr:uid="{59FD026B-0623-4339-BB3D-C7C23EF06C1F}"/>
  <sortState xmlns:xlrd2="http://schemas.microsoft.com/office/spreadsheetml/2017/richdata2" ref="A8:L22">
    <sortCondition ref="B7:B22"/>
  </sortState>
  <tableColumns count="16">
    <tableColumn id="1" xr3:uid="{DEBE85AE-5009-470A-94B3-5373DB6D3A02}" name="Nº" dataDxfId="25"/>
    <tableColumn id="2" xr3:uid="{12B12D34-4BC0-4E8C-A098-718976792D72}" name="NÓMINA DE ESTUDIANTES" dataDxfId="24">
      <calculatedColumnFormula>'C. FILIACION'!B8</calculatedColumnFormula>
    </tableColumn>
    <tableColumn id="3" xr3:uid="{FDC463D7-1C57-4672-9DA3-BC831344720F}" name="13/5/2020" dataDxfId="23"/>
    <tableColumn id="4" xr3:uid="{42BFB67E-0798-4ACA-BD99-0C0997D12A2C}" name="20/5/2020" dataDxfId="22"/>
    <tableColumn id="5" xr3:uid="{7F7E2003-B335-4050-B634-39343FA64E1C}" name="27/5/2021" dataDxfId="21"/>
    <tableColumn id="6" xr3:uid="{E7A9D7E8-FCFD-464F-9ADC-A03DE6E7333C}" name="1/7/2021" dataDxfId="20"/>
    <tableColumn id="7" xr3:uid="{890A7888-92F7-4EDF-BA48-C7494FF63900}" name="8/7/2021" dataDxfId="19"/>
    <tableColumn id="8" xr3:uid="{E9EF9408-0712-4BC3-A036-DEC39DEDC006}" name="15/7/2021" dataDxfId="18"/>
    <tableColumn id="9" xr3:uid="{6A753869-F65D-44A1-9118-5F5BCCDA6B79}" name="22/7/2021" dataDxfId="17"/>
    <tableColumn id="10" xr3:uid="{90398900-1432-4EAA-AD68-749D730E744C}" name="29/7/2021" dataDxfId="16"/>
    <tableColumn id="11" xr3:uid="{6EF176CB-A4A5-4D5E-8ABE-0E4B0F98088A}" name="5/8/2021" dataDxfId="15"/>
    <tableColumn id="12" xr3:uid="{0A527BC8-C677-4DF3-9BD8-BF9567F2E796}" name="12/8/2021" dataDxfId="14"/>
    <tableColumn id="13" xr3:uid="{ADB70729-A43B-4678-8A22-08E080E068FC}" name="19/8/2021" dataDxfId="13"/>
    <tableColumn id="14" xr3:uid="{88DED88E-9BA8-4096-AABD-663345A1AF48}" name="26/8/20212" dataDxfId="12"/>
    <tableColumn id="15" xr3:uid="{B98E7895-DF4A-47A3-BFDF-83312B664F18}" name="2/9/2021" dataDxfId="11"/>
    <tableColumn id="16" xr3:uid="{25F57227-C308-4F81-9C72-CEF0C021B8FD}" name="9/9/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7734375" defaultRowHeight="15" customHeight="1"/>
  <cols>
    <col min="1" max="1" width="3.6640625" customWidth="1"/>
    <col min="2" max="2" width="18.6640625" customWidth="1"/>
    <col min="3" max="6" width="8.71875" customWidth="1"/>
    <col min="7" max="7" width="1.94140625" customWidth="1"/>
    <col min="8" max="8" width="8.71875" customWidth="1"/>
    <col min="9" max="9" width="3.6640625" customWidth="1"/>
    <col min="10" max="10" width="8.71875" customWidth="1"/>
    <col min="11" max="11" width="1.94140625" customWidth="1"/>
    <col min="12" max="26" width="8.71875" customWidth="1"/>
  </cols>
  <sheetData>
    <row r="1" spans="1:26" ht="20">
      <c r="A1" s="1"/>
      <c r="B1" s="1"/>
      <c r="C1" s="1"/>
      <c r="D1" s="1"/>
      <c r="E1" s="1"/>
      <c r="F1" s="1"/>
      <c r="G1" s="1"/>
      <c r="H1" s="1"/>
      <c r="I1" s="1"/>
      <c r="J1" s="1"/>
      <c r="K1" s="1"/>
      <c r="L1" s="1"/>
      <c r="M1" s="1"/>
      <c r="N1" s="1"/>
      <c r="O1" s="1"/>
      <c r="P1" s="1"/>
      <c r="Q1" s="1"/>
      <c r="R1" s="1"/>
      <c r="S1" s="1"/>
      <c r="T1" s="1"/>
      <c r="U1" s="1"/>
      <c r="V1" s="1"/>
      <c r="W1" s="1"/>
      <c r="X1" s="1"/>
      <c r="Y1" s="1"/>
      <c r="Z1" s="1"/>
    </row>
    <row r="2" spans="1:26" ht="20">
      <c r="A2" s="1"/>
      <c r="B2" s="1"/>
      <c r="C2" s="1"/>
      <c r="D2" s="1"/>
      <c r="E2" s="1"/>
      <c r="F2" s="1"/>
      <c r="G2" s="1"/>
      <c r="H2" s="1"/>
      <c r="I2" s="1"/>
      <c r="J2" s="1"/>
      <c r="K2" s="1"/>
      <c r="L2" s="1"/>
      <c r="M2" s="1"/>
      <c r="N2" s="1"/>
      <c r="O2" s="1"/>
      <c r="P2" s="1"/>
      <c r="Q2" s="1"/>
      <c r="R2" s="1"/>
      <c r="S2" s="1"/>
      <c r="T2" s="1"/>
      <c r="U2" s="1"/>
      <c r="V2" s="1"/>
      <c r="W2" s="1"/>
      <c r="X2" s="1"/>
      <c r="Y2" s="1"/>
      <c r="Z2" s="1"/>
    </row>
    <row r="3" spans="1:26" ht="20">
      <c r="A3" s="1"/>
      <c r="B3" s="1"/>
      <c r="C3" s="1"/>
      <c r="D3" s="1"/>
      <c r="E3" s="1"/>
      <c r="F3" s="1"/>
      <c r="G3" s="1"/>
      <c r="H3" s="1"/>
      <c r="I3" s="1"/>
      <c r="J3" s="1"/>
      <c r="K3" s="1"/>
      <c r="L3" s="1"/>
      <c r="M3" s="1"/>
      <c r="N3" s="1"/>
      <c r="O3" s="1"/>
      <c r="P3" s="1"/>
      <c r="Q3" s="1"/>
      <c r="R3" s="1"/>
      <c r="S3" s="1"/>
      <c r="T3" s="1"/>
      <c r="U3" s="1"/>
      <c r="V3" s="1"/>
      <c r="W3" s="1"/>
      <c r="X3" s="1"/>
      <c r="Y3" s="1"/>
      <c r="Z3" s="1"/>
    </row>
    <row r="4" spans="1:26" ht="20">
      <c r="A4" s="1"/>
      <c r="B4" s="1"/>
      <c r="C4" s="1"/>
      <c r="D4" s="1"/>
      <c r="E4" s="1"/>
      <c r="F4" s="1"/>
      <c r="G4" s="1"/>
      <c r="H4" s="1"/>
      <c r="I4" s="1"/>
      <c r="J4" s="1"/>
      <c r="K4" s="1"/>
      <c r="L4" s="1"/>
      <c r="M4" s="1"/>
      <c r="N4" s="1"/>
      <c r="O4" s="1"/>
      <c r="P4" s="1"/>
      <c r="Q4" s="1"/>
      <c r="R4" s="1"/>
      <c r="S4" s="1"/>
      <c r="T4" s="1"/>
      <c r="U4" s="1"/>
      <c r="V4" s="1"/>
      <c r="W4" s="1"/>
      <c r="X4" s="1"/>
      <c r="Y4" s="1"/>
      <c r="Z4" s="1"/>
    </row>
    <row r="5" spans="1:26" ht="20">
      <c r="A5" s="1"/>
      <c r="B5" s="1"/>
      <c r="C5" s="1"/>
      <c r="D5" s="1"/>
      <c r="E5" s="1"/>
      <c r="F5" s="1"/>
      <c r="G5" s="1"/>
      <c r="H5" s="1"/>
      <c r="I5" s="1"/>
      <c r="J5" s="1"/>
      <c r="K5" s="1"/>
      <c r="L5" s="1"/>
      <c r="M5" s="1"/>
      <c r="N5" s="1"/>
      <c r="O5" s="1"/>
      <c r="P5" s="1"/>
      <c r="Q5" s="1"/>
      <c r="R5" s="1"/>
      <c r="S5" s="1"/>
      <c r="T5" s="1"/>
      <c r="U5" s="1"/>
      <c r="V5" s="1"/>
      <c r="W5" s="1"/>
      <c r="X5" s="1"/>
      <c r="Y5" s="1"/>
      <c r="Z5" s="1"/>
    </row>
    <row r="6" spans="1:26" ht="20">
      <c r="A6" s="1"/>
      <c r="B6" s="1"/>
      <c r="C6" s="1"/>
      <c r="D6" s="1"/>
      <c r="E6" s="1"/>
      <c r="F6" s="1"/>
      <c r="G6" s="1"/>
      <c r="H6" s="1"/>
      <c r="I6" s="1"/>
      <c r="J6" s="1"/>
      <c r="K6" s="1"/>
      <c r="L6" s="1"/>
      <c r="M6" s="1"/>
      <c r="N6" s="1"/>
      <c r="O6" s="1"/>
      <c r="P6" s="1"/>
      <c r="Q6" s="1"/>
      <c r="R6" s="1"/>
      <c r="S6" s="1"/>
      <c r="T6" s="1"/>
      <c r="U6" s="1"/>
      <c r="V6" s="1"/>
      <c r="W6" s="1"/>
      <c r="X6" s="1"/>
      <c r="Y6" s="1"/>
      <c r="Z6" s="1"/>
    </row>
    <row r="7" spans="1:26" ht="20">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94" t="s">
        <v>0</v>
      </c>
      <c r="D8" s="195"/>
      <c r="E8" s="196"/>
      <c r="F8" s="2"/>
      <c r="G8" s="3"/>
      <c r="H8" s="4"/>
      <c r="I8" s="4"/>
      <c r="J8" s="4"/>
      <c r="K8" s="5"/>
      <c r="L8" s="1"/>
      <c r="M8" s="1"/>
      <c r="N8" s="1"/>
      <c r="O8" s="1"/>
      <c r="P8" s="1"/>
      <c r="Q8" s="1"/>
      <c r="R8" s="1"/>
      <c r="S8" s="1"/>
      <c r="T8" s="1"/>
      <c r="U8" s="1"/>
      <c r="V8" s="1"/>
      <c r="W8" s="1"/>
      <c r="X8" s="1"/>
      <c r="Y8" s="1"/>
      <c r="Z8" s="1"/>
    </row>
    <row r="9" spans="1:26" ht="20">
      <c r="A9" s="1"/>
      <c r="B9" s="1"/>
      <c r="C9" s="1"/>
      <c r="D9" s="1"/>
      <c r="E9" s="1"/>
      <c r="F9" s="1"/>
      <c r="G9" s="6"/>
      <c r="H9" s="197" t="s">
        <v>1</v>
      </c>
      <c r="I9" s="198"/>
      <c r="J9" s="199"/>
      <c r="K9" s="7"/>
      <c r="L9" s="1"/>
      <c r="M9" s="1"/>
      <c r="N9" s="1"/>
      <c r="O9" s="1"/>
      <c r="P9" s="1"/>
      <c r="Q9" s="1"/>
      <c r="R9" s="1"/>
      <c r="S9" s="1"/>
      <c r="T9" s="1"/>
      <c r="U9" s="1"/>
      <c r="V9" s="1"/>
      <c r="W9" s="1"/>
      <c r="X9" s="1"/>
      <c r="Y9" s="1"/>
      <c r="Z9" s="1"/>
    </row>
    <row r="10" spans="1:26" ht="20">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c r="A11" s="1"/>
      <c r="B11" s="8" t="s">
        <v>2</v>
      </c>
      <c r="C11" s="193" t="s">
        <v>3</v>
      </c>
      <c r="D11" s="191"/>
      <c r="E11" s="192"/>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
      <c r="A13" s="1"/>
      <c r="B13" s="8" t="s">
        <v>5</v>
      </c>
      <c r="C13" s="193"/>
      <c r="D13" s="191"/>
      <c r="E13" s="192"/>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
      <c r="A15" s="1"/>
      <c r="B15" s="8" t="s">
        <v>8</v>
      </c>
      <c r="C15" s="193" t="s">
        <v>9</v>
      </c>
      <c r="D15" s="191"/>
      <c r="E15" s="192"/>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
      <c r="A17" s="1"/>
      <c r="B17" s="8" t="s">
        <v>11</v>
      </c>
      <c r="C17" s="193" t="s">
        <v>12</v>
      </c>
      <c r="D17" s="191"/>
      <c r="E17" s="192"/>
      <c r="F17" s="9"/>
      <c r="G17" s="6"/>
      <c r="H17" s="10"/>
      <c r="I17" s="10"/>
      <c r="J17" s="10"/>
      <c r="K17" s="7"/>
      <c r="L17" s="1"/>
      <c r="M17" s="1"/>
      <c r="N17" s="1"/>
      <c r="O17" s="1"/>
      <c r="P17" s="1"/>
      <c r="Q17" s="1"/>
      <c r="R17" s="1"/>
      <c r="S17" s="1"/>
      <c r="T17" s="1"/>
      <c r="U17" s="1"/>
      <c r="V17" s="1"/>
      <c r="W17" s="1"/>
      <c r="X17" s="1"/>
      <c r="Y17" s="1"/>
      <c r="Z17" s="1"/>
    </row>
    <row r="18" spans="1:26" ht="20">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
      <c r="A19" s="1"/>
      <c r="B19" s="8" t="s">
        <v>13</v>
      </c>
      <c r="C19" s="190" t="s">
        <v>181</v>
      </c>
      <c r="D19" s="191"/>
      <c r="E19" s="192"/>
      <c r="F19" s="9"/>
      <c r="G19" s="6"/>
      <c r="H19" s="13">
        <v>44326</v>
      </c>
      <c r="I19" s="10"/>
      <c r="J19" s="13">
        <v>44439</v>
      </c>
      <c r="K19" s="7"/>
      <c r="L19" s="1"/>
      <c r="M19" s="1"/>
      <c r="N19" s="1"/>
      <c r="O19" s="1"/>
      <c r="P19" s="1"/>
      <c r="Q19" s="1"/>
      <c r="R19" s="1"/>
      <c r="S19" s="1"/>
      <c r="T19" s="1"/>
      <c r="U19" s="1"/>
      <c r="V19" s="1"/>
      <c r="W19" s="1"/>
      <c r="X19" s="1"/>
      <c r="Y19" s="1"/>
      <c r="Z19" s="1"/>
    </row>
    <row r="20" spans="1:26" ht="20">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93" t="s">
        <v>15</v>
      </c>
      <c r="D21" s="191"/>
      <c r="E21" s="192"/>
      <c r="F21" s="9"/>
      <c r="G21" s="6"/>
      <c r="H21" s="205" t="s">
        <v>16</v>
      </c>
      <c r="I21" s="204"/>
      <c r="J21" s="204"/>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93" t="s">
        <v>18</v>
      </c>
      <c r="D23" s="191"/>
      <c r="E23" s="192"/>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190" t="s">
        <v>192</v>
      </c>
      <c r="D25" s="191"/>
      <c r="E25" s="192"/>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93">
        <v>2021</v>
      </c>
      <c r="D27" s="191"/>
      <c r="E27" s="192"/>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7734375" defaultRowHeight="15" customHeight="1"/>
  <cols>
    <col min="1" max="1" width="2" customWidth="1"/>
    <col min="2" max="2" width="25" customWidth="1"/>
    <col min="3" max="3" width="8.0546875" customWidth="1"/>
    <col min="4" max="4" width="3.94140625" hidden="1" customWidth="1"/>
    <col min="5" max="5" width="8.94140625" customWidth="1"/>
    <col min="6" max="6" width="10.94140625" customWidth="1"/>
    <col min="7" max="8" width="8.71875" customWidth="1"/>
    <col min="9" max="9" width="9.71875" customWidth="1"/>
    <col min="10" max="26" width="8.71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06" t="str">
        <f>CARÁTULA!$C$15</f>
        <v>Instituto Tecnico Humanistico Jauzel Arrieta</v>
      </c>
      <c r="D4" s="204"/>
      <c r="E4" s="204"/>
      <c r="F4" s="22" t="s">
        <v>19</v>
      </c>
      <c r="G4" s="206" t="str">
        <f>CARÁTULA!$C$25</f>
        <v>Tecnica Tecnologica (Programacion)</v>
      </c>
      <c r="H4" s="204"/>
      <c r="I4" s="204"/>
      <c r="J4" s="19"/>
      <c r="K4" s="19"/>
      <c r="L4" s="19"/>
      <c r="M4" s="19"/>
      <c r="N4" s="19"/>
      <c r="O4" s="19"/>
      <c r="P4" s="19"/>
      <c r="Q4" s="19"/>
      <c r="R4" s="19"/>
      <c r="S4" s="19"/>
      <c r="T4" s="19"/>
      <c r="U4" s="19"/>
      <c r="V4" s="19"/>
      <c r="W4" s="19"/>
      <c r="X4" s="19"/>
      <c r="Y4" s="19"/>
      <c r="Z4" s="19"/>
    </row>
    <row r="5" spans="1:26" ht="12" customHeight="1">
      <c r="A5" s="20"/>
      <c r="B5" s="21" t="s">
        <v>14</v>
      </c>
      <c r="C5" s="206" t="str">
        <f>CARÁTULA!$C$21</f>
        <v>Secundaria</v>
      </c>
      <c r="D5" s="204"/>
      <c r="E5" s="204"/>
      <c r="F5" s="22" t="s">
        <v>13</v>
      </c>
      <c r="G5" s="206" t="str">
        <f>CARÁTULA!$C$19</f>
        <v>JOSE COAQUIRA COPA</v>
      </c>
      <c r="H5" s="204"/>
      <c r="I5" s="204"/>
      <c r="J5" s="19"/>
      <c r="K5" s="19"/>
      <c r="L5" s="19"/>
      <c r="M5" s="19"/>
      <c r="N5" s="19"/>
      <c r="O5" s="19"/>
      <c r="P5" s="19"/>
      <c r="Q5" s="19"/>
      <c r="R5" s="19"/>
      <c r="S5" s="19"/>
      <c r="T5" s="19"/>
      <c r="U5" s="19"/>
      <c r="V5" s="19"/>
      <c r="W5" s="19"/>
      <c r="X5" s="19"/>
      <c r="Y5" s="19"/>
      <c r="Z5" s="19"/>
    </row>
    <row r="6" spans="1:26" ht="12" customHeight="1">
      <c r="A6" s="20"/>
      <c r="B6" s="21" t="s">
        <v>22</v>
      </c>
      <c r="C6" s="206" t="str">
        <f>CARÁTULA!$C$23</f>
        <v>1ro de Secundaria</v>
      </c>
      <c r="D6" s="204"/>
      <c r="E6" s="204"/>
      <c r="F6" s="22" t="s">
        <v>23</v>
      </c>
      <c r="G6" s="207">
        <f ca="1">TODAY()</f>
        <v>44453</v>
      </c>
      <c r="H6" s="204"/>
      <c r="I6" s="204"/>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44453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44453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44453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44453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44453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44453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44453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44453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44453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44453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44453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44453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44453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44453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44453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44453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44453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44453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44453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44453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44453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44453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44453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44453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44453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44453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44453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44453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44453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44453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44453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44453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44453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44453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44453</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44453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7734375" defaultRowHeight="15" customHeight="1"/>
  <cols>
    <col min="1" max="1" width="1.6640625" customWidth="1"/>
    <col min="2" max="2" width="20.6640625" customWidth="1"/>
    <col min="3" max="52" width="1.27734375" customWidth="1"/>
    <col min="53" max="57" width="1.38671875" customWidth="1"/>
    <col min="58" max="61" width="1.6640625" customWidth="1"/>
  </cols>
  <sheetData>
    <row r="1" spans="1:61" ht="4.5" customHeight="1"/>
    <row r="2" spans="1:61" ht="12.75" customHeight="1">
      <c r="B2" s="208" t="s">
        <v>47</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9">
        <f>CARÁTULA!$H$14</f>
        <v>44228</v>
      </c>
      <c r="AU3" s="204"/>
      <c r="AV3" s="204"/>
      <c r="AW3" s="204"/>
      <c r="AX3" s="204"/>
      <c r="AY3" s="204"/>
      <c r="AZ3" s="204"/>
      <c r="BA3" s="210" t="s">
        <v>49</v>
      </c>
      <c r="BB3" s="211"/>
      <c r="BC3" s="211"/>
      <c r="BD3" s="211"/>
      <c r="BE3" s="212"/>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9">
        <f>CARÁTULA!$J$14</f>
        <v>44323</v>
      </c>
      <c r="AU4" s="204"/>
      <c r="AV4" s="204"/>
      <c r="AW4" s="204"/>
      <c r="AX4" s="204"/>
      <c r="AY4" s="204"/>
      <c r="AZ4" s="204"/>
      <c r="BA4" s="213">
        <f ca="1">AT4-AT5</f>
        <v>-130</v>
      </c>
      <c r="BB4" s="214"/>
      <c r="BC4" s="214"/>
      <c r="BD4" s="214"/>
      <c r="BE4" s="215"/>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19">
        <f ca="1">TODAY()</f>
        <v>44453</v>
      </c>
      <c r="Y5" s="204"/>
      <c r="Z5" s="204"/>
      <c r="AA5" s="204"/>
      <c r="AB5" s="204"/>
      <c r="AC5" s="204"/>
      <c r="AD5" s="41"/>
      <c r="AE5" s="41"/>
      <c r="AF5" s="41"/>
      <c r="AG5" s="41"/>
      <c r="AH5" s="41"/>
      <c r="AI5" s="41"/>
      <c r="AJ5" s="41"/>
      <c r="AK5" s="46" t="s">
        <v>52</v>
      </c>
      <c r="AL5" s="47"/>
      <c r="AM5" s="47"/>
      <c r="AN5" s="47"/>
      <c r="AO5" s="47"/>
      <c r="AP5" s="47"/>
      <c r="AQ5" s="47"/>
      <c r="AR5" s="41"/>
      <c r="AS5" s="41"/>
      <c r="AT5" s="220">
        <f ca="1">TODAY()</f>
        <v>44453</v>
      </c>
      <c r="AU5" s="204"/>
      <c r="AV5" s="204"/>
      <c r="AW5" s="204"/>
      <c r="AX5" s="204"/>
      <c r="AY5" s="204"/>
      <c r="AZ5" s="204"/>
      <c r="BA5" s="216"/>
      <c r="BB5" s="217"/>
      <c r="BC5" s="217"/>
      <c r="BD5" s="217"/>
      <c r="BE5" s="218"/>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tabSelected="1" workbookViewId="0">
      <selection activeCell="H11" sqref="H11"/>
    </sheetView>
  </sheetViews>
  <sheetFormatPr baseColWidth="10" defaultColWidth="9.27734375" defaultRowHeight="15" customHeight="1"/>
  <cols>
    <col min="1" max="1" width="2.94140625" customWidth="1"/>
    <col min="2" max="2" width="20.6640625" customWidth="1"/>
    <col min="3" max="11" width="3.109375" customWidth="1"/>
    <col min="12" max="13" width="1.27734375" customWidth="1"/>
    <col min="14" max="14" width="1.33203125" customWidth="1"/>
    <col min="15" max="52" width="1.27734375" customWidth="1"/>
    <col min="53" max="53" width="1.609375" customWidth="1"/>
    <col min="54" max="56" width="3.27734375" customWidth="1"/>
    <col min="57" max="57" width="3.0546875" customWidth="1"/>
    <col min="58" max="61" width="1.6640625" customWidth="1"/>
    <col min="62" max="62" width="11.33203125" bestFit="1" customWidth="1"/>
  </cols>
  <sheetData>
    <row r="1" spans="1:80" ht="4.5" customHeight="1"/>
    <row r="2" spans="1:80" ht="12.75" customHeight="1">
      <c r="B2" s="208" t="s">
        <v>62</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9">
        <f>CARÁTULA!$H$19</f>
        <v>44326</v>
      </c>
      <c r="AU3" s="204"/>
      <c r="AV3" s="204"/>
      <c r="AW3" s="204"/>
      <c r="AX3" s="204"/>
      <c r="AY3" s="204"/>
      <c r="AZ3" s="204"/>
      <c r="BA3" s="210" t="s">
        <v>49</v>
      </c>
      <c r="BB3" s="211"/>
      <c r="BC3" s="211"/>
      <c r="BD3" s="211"/>
      <c r="BE3" s="212"/>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9">
        <f>CARÁTULA!$J$19</f>
        <v>44439</v>
      </c>
      <c r="AU4" s="204"/>
      <c r="AV4" s="204"/>
      <c r="AW4" s="204"/>
      <c r="AX4" s="204"/>
      <c r="AY4" s="204"/>
      <c r="AZ4" s="204"/>
      <c r="BA4" s="221">
        <f ca="1">AT4-AT5</f>
        <v>-14</v>
      </c>
      <c r="BB4" s="214"/>
      <c r="BC4" s="214"/>
      <c r="BD4" s="214"/>
      <c r="BE4" s="215"/>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2">
        <f ca="1">TODAY()</f>
        <v>44453</v>
      </c>
      <c r="Y5" s="204"/>
      <c r="Z5" s="204"/>
      <c r="AA5" s="204"/>
      <c r="AB5" s="204"/>
      <c r="AC5" s="204"/>
      <c r="AD5" s="41"/>
      <c r="AE5" s="41"/>
      <c r="AF5" s="41"/>
      <c r="AG5" s="41"/>
      <c r="AH5" s="41"/>
      <c r="AI5" s="41"/>
      <c r="AJ5" s="41"/>
      <c r="AK5" s="46" t="s">
        <v>52</v>
      </c>
      <c r="AL5" s="47"/>
      <c r="AM5" s="47"/>
      <c r="AN5" s="47"/>
      <c r="AO5" s="47"/>
      <c r="AP5" s="47"/>
      <c r="AQ5" s="47"/>
      <c r="AR5" s="41"/>
      <c r="AS5" s="41"/>
      <c r="AT5" s="220">
        <f ca="1">TODAY()</f>
        <v>44453</v>
      </c>
      <c r="AU5" s="204"/>
      <c r="AV5" s="204"/>
      <c r="AW5" s="204"/>
      <c r="AX5" s="204"/>
      <c r="AY5" s="204"/>
      <c r="AZ5" s="204"/>
      <c r="BA5" s="216"/>
      <c r="BB5" s="217"/>
      <c r="BC5" s="217"/>
      <c r="BD5" s="217"/>
      <c r="BE5" s="218"/>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6" t="s">
        <v>53</v>
      </c>
      <c r="B7" s="167" t="s">
        <v>54</v>
      </c>
      <c r="C7" s="168" t="s">
        <v>182</v>
      </c>
      <c r="D7" s="168" t="s">
        <v>183</v>
      </c>
      <c r="E7" s="168" t="s">
        <v>184</v>
      </c>
      <c r="F7" s="168" t="s">
        <v>185</v>
      </c>
      <c r="G7" s="168" t="s">
        <v>186</v>
      </c>
      <c r="H7" s="168" t="s">
        <v>187</v>
      </c>
      <c r="I7" s="168" t="s">
        <v>188</v>
      </c>
      <c r="J7" s="168" t="s">
        <v>189</v>
      </c>
      <c r="K7" s="169" t="s">
        <v>190</v>
      </c>
      <c r="L7" s="168" t="s">
        <v>208</v>
      </c>
      <c r="M7" s="189" t="s">
        <v>210</v>
      </c>
      <c r="N7" s="189" t="s">
        <v>212</v>
      </c>
      <c r="O7" s="168" t="s">
        <v>214</v>
      </c>
      <c r="P7" s="168" t="s">
        <v>215</v>
      </c>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4" t="s">
        <v>63</v>
      </c>
      <c r="BB7" s="175" t="s">
        <v>64</v>
      </c>
      <c r="BC7" s="175" t="s">
        <v>65</v>
      </c>
      <c r="BD7" s="175" t="s">
        <v>66</v>
      </c>
      <c r="BE7" s="176" t="s">
        <v>59</v>
      </c>
    </row>
    <row r="8" spans="1:80" ht="12" customHeight="1">
      <c r="A8" s="165">
        <v>1</v>
      </c>
      <c r="B8" s="60" t="str">
        <f>'C. FILIACION'!B8</f>
        <v>ARANCIBIA ARRAYA LUIS ANDRES</v>
      </c>
      <c r="C8" s="162" t="s">
        <v>60</v>
      </c>
      <c r="D8" s="162" t="s">
        <v>60</v>
      </c>
      <c r="E8" s="162"/>
      <c r="F8" s="162" t="s">
        <v>60</v>
      </c>
      <c r="G8" s="62" t="s">
        <v>60</v>
      </c>
      <c r="H8" s="62" t="s">
        <v>60</v>
      </c>
      <c r="I8" s="62" t="s">
        <v>60</v>
      </c>
      <c r="J8" s="62" t="s">
        <v>60</v>
      </c>
      <c r="K8" s="159" t="s">
        <v>60</v>
      </c>
      <c r="L8" s="161" t="s">
        <v>60</v>
      </c>
      <c r="M8" s="187"/>
      <c r="N8" s="187" t="s">
        <v>60</v>
      </c>
      <c r="O8" s="161"/>
      <c r="P8" s="161" t="s">
        <v>60</v>
      </c>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11</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11</v>
      </c>
      <c r="BJ8" s="164"/>
      <c r="BK8" s="164"/>
      <c r="BL8" s="164"/>
      <c r="BM8" s="164"/>
      <c r="BN8" s="164"/>
      <c r="BO8" s="164"/>
      <c r="BP8" s="164"/>
      <c r="BQ8" s="164"/>
      <c r="BR8" s="164"/>
      <c r="BS8" s="164"/>
      <c r="BT8" s="164"/>
      <c r="BU8" s="164"/>
      <c r="BV8" s="164"/>
      <c r="BW8" s="164"/>
      <c r="BX8" s="164"/>
      <c r="BY8" s="164"/>
      <c r="BZ8" s="164"/>
      <c r="CA8" s="164"/>
      <c r="CB8" s="164"/>
    </row>
    <row r="9" spans="1:80" ht="12" customHeight="1">
      <c r="A9" s="165">
        <v>2</v>
      </c>
      <c r="B9" s="60" t="str">
        <f>'C. FILIACION'!B9</f>
        <v>ARIVIRI ALEXIS JHONATAN</v>
      </c>
      <c r="C9" s="162" t="s">
        <v>60</v>
      </c>
      <c r="D9" s="162" t="s">
        <v>60</v>
      </c>
      <c r="E9" s="162"/>
      <c r="F9" s="162" t="s">
        <v>60</v>
      </c>
      <c r="G9" s="62" t="s">
        <v>60</v>
      </c>
      <c r="H9" s="62" t="s">
        <v>60</v>
      </c>
      <c r="I9" s="49" t="s">
        <v>60</v>
      </c>
      <c r="J9" s="49" t="s">
        <v>168</v>
      </c>
      <c r="K9" s="159" t="s">
        <v>60</v>
      </c>
      <c r="L9" s="62" t="s">
        <v>168</v>
      </c>
      <c r="M9" s="186" t="s">
        <v>168</v>
      </c>
      <c r="N9" s="186" t="s">
        <v>168</v>
      </c>
      <c r="O9" s="62"/>
      <c r="P9" s="62" t="s">
        <v>61</v>
      </c>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7</v>
      </c>
      <c r="BB9" s="49">
        <f t="shared" si="1"/>
        <v>1</v>
      </c>
      <c r="BC9" s="49">
        <f t="shared" si="2"/>
        <v>4</v>
      </c>
      <c r="BD9" s="49" t="str">
        <f t="shared" si="3"/>
        <v>0</v>
      </c>
      <c r="BE9" s="159">
        <f>SUM(Tabla3[[#This Row],[Asist. (A)]:[Licencias (L)]])</f>
        <v>12</v>
      </c>
      <c r="BJ9" s="164"/>
      <c r="BK9" s="164"/>
      <c r="BL9" s="164"/>
      <c r="BM9" s="164"/>
      <c r="BN9" s="164"/>
      <c r="BO9" s="164"/>
      <c r="BP9" s="164"/>
      <c r="BQ9" s="164"/>
      <c r="BR9" s="164"/>
      <c r="BS9" s="164"/>
      <c r="BT9" s="164"/>
      <c r="BU9" s="164"/>
      <c r="BV9" s="164"/>
      <c r="BW9" s="164"/>
      <c r="BX9" s="164"/>
      <c r="BY9" s="164"/>
      <c r="BZ9" s="164"/>
      <c r="CA9" s="164"/>
      <c r="CB9" s="164"/>
    </row>
    <row r="10" spans="1:80" ht="12" customHeight="1">
      <c r="A10" s="165">
        <v>3</v>
      </c>
      <c r="B10" s="60" t="str">
        <f>'C. FILIACION'!B10</f>
        <v>BASCOPE LOPEZ JHYMMY ANGHELO</v>
      </c>
      <c r="C10" s="162" t="s">
        <v>60</v>
      </c>
      <c r="D10" s="162" t="s">
        <v>60</v>
      </c>
      <c r="E10" s="162"/>
      <c r="F10" s="162" t="s">
        <v>61</v>
      </c>
      <c r="G10" s="49" t="s">
        <v>60</v>
      </c>
      <c r="H10" s="49" t="s">
        <v>168</v>
      </c>
      <c r="I10" s="49" t="s">
        <v>60</v>
      </c>
      <c r="J10" s="49" t="s">
        <v>60</v>
      </c>
      <c r="K10" s="159" t="s">
        <v>61</v>
      </c>
      <c r="L10" s="62" t="s">
        <v>60</v>
      </c>
      <c r="M10" s="186"/>
      <c r="N10" s="186" t="s">
        <v>60</v>
      </c>
      <c r="O10" s="62"/>
      <c r="P10" s="62" t="s">
        <v>60</v>
      </c>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8</v>
      </c>
      <c r="BB10" s="49">
        <f t="shared" si="1"/>
        <v>2</v>
      </c>
      <c r="BC10" s="49">
        <f t="shared" si="2"/>
        <v>1</v>
      </c>
      <c r="BD10" s="49" t="str">
        <f t="shared" si="3"/>
        <v>0</v>
      </c>
      <c r="BE10" s="159">
        <f>SUM(Tabla3[[#This Row],[Asist. (A)]:[Licencias (L)]])</f>
        <v>11</v>
      </c>
      <c r="BJ10" s="164"/>
      <c r="BK10" s="164"/>
      <c r="BL10" s="164"/>
      <c r="BM10" s="164"/>
      <c r="BN10" s="164"/>
      <c r="BO10" s="164"/>
      <c r="BP10" s="164"/>
      <c r="BQ10" s="164"/>
      <c r="BR10" s="164"/>
      <c r="BS10" s="164"/>
      <c r="BT10" s="164"/>
      <c r="BU10" s="164"/>
      <c r="BV10" s="164"/>
      <c r="BW10" s="164"/>
      <c r="BX10" s="164"/>
      <c r="BY10" s="164"/>
      <c r="BZ10" s="164"/>
      <c r="CA10" s="164"/>
      <c r="CB10" s="164"/>
    </row>
    <row r="11" spans="1:80" ht="12" customHeight="1">
      <c r="A11" s="165">
        <v>4</v>
      </c>
      <c r="B11" s="60" t="str">
        <f>'C. FILIACION'!B11</f>
        <v>BLANCO SALVATIERRA DANIELA MARGARITA</v>
      </c>
      <c r="C11" s="162" t="s">
        <v>60</v>
      </c>
      <c r="D11" s="162" t="s">
        <v>60</v>
      </c>
      <c r="E11" s="162"/>
      <c r="F11" s="162" t="s">
        <v>60</v>
      </c>
      <c r="G11" s="49" t="s">
        <v>60</v>
      </c>
      <c r="H11" s="49" t="s">
        <v>60</v>
      </c>
      <c r="I11" s="49" t="s">
        <v>60</v>
      </c>
      <c r="J11" s="49" t="s">
        <v>60</v>
      </c>
      <c r="K11" s="159" t="s">
        <v>60</v>
      </c>
      <c r="L11" s="62" t="s">
        <v>60</v>
      </c>
      <c r="M11" s="186"/>
      <c r="N11" s="186" t="s">
        <v>60</v>
      </c>
      <c r="O11" s="62"/>
      <c r="P11" s="62" t="s">
        <v>60</v>
      </c>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11</v>
      </c>
      <c r="BB11" s="49">
        <f t="shared" si="1"/>
        <v>0</v>
      </c>
      <c r="BC11" s="49" t="str">
        <f t="shared" si="2"/>
        <v>0</v>
      </c>
      <c r="BD11" s="49" t="str">
        <f t="shared" si="3"/>
        <v>0</v>
      </c>
      <c r="BE11" s="159">
        <f>SUM(Tabla3[[#This Row],[Asist. (A)]:[Licencias (L)]])</f>
        <v>11</v>
      </c>
      <c r="BJ11" s="164"/>
      <c r="BK11" s="164"/>
      <c r="BL11" s="164"/>
      <c r="BM11" s="164"/>
      <c r="BN11" s="164"/>
      <c r="BO11" s="164"/>
      <c r="BP11" s="164"/>
      <c r="BQ11" s="164"/>
      <c r="BR11" s="164"/>
      <c r="BS11" s="164"/>
      <c r="BT11" s="164"/>
      <c r="BU11" s="164"/>
      <c r="BV11" s="164"/>
      <c r="BW11" s="164"/>
      <c r="BX11" s="164"/>
      <c r="BY11" s="164"/>
      <c r="BZ11" s="164"/>
      <c r="CA11" s="164"/>
      <c r="CB11" s="164"/>
    </row>
    <row r="12" spans="1:80" ht="12" customHeight="1">
      <c r="A12" s="165">
        <v>5</v>
      </c>
      <c r="B12" s="60" t="str">
        <f>'C. FILIACION'!B12</f>
        <v>DAVILA LAPACA DIEGO LEONEL</v>
      </c>
      <c r="C12" s="162" t="s">
        <v>60</v>
      </c>
      <c r="D12" s="162" t="s">
        <v>61</v>
      </c>
      <c r="E12" s="162"/>
      <c r="F12" s="162" t="s">
        <v>61</v>
      </c>
      <c r="G12" s="49" t="s">
        <v>60</v>
      </c>
      <c r="H12" s="49" t="s">
        <v>61</v>
      </c>
      <c r="I12" s="49" t="s">
        <v>61</v>
      </c>
      <c r="J12" s="49" t="s">
        <v>61</v>
      </c>
      <c r="K12" s="159" t="s">
        <v>61</v>
      </c>
      <c r="L12" s="62" t="s">
        <v>61</v>
      </c>
      <c r="M12" s="186"/>
      <c r="N12" s="186" t="s">
        <v>61</v>
      </c>
      <c r="O12" s="62"/>
      <c r="P12" s="62" t="s">
        <v>60</v>
      </c>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3</v>
      </c>
      <c r="BB12" s="49">
        <f t="shared" si="1"/>
        <v>8</v>
      </c>
      <c r="BC12" s="49" t="str">
        <f t="shared" si="2"/>
        <v>0</v>
      </c>
      <c r="BD12" s="49" t="str">
        <f t="shared" si="3"/>
        <v>0</v>
      </c>
      <c r="BE12" s="159">
        <f>SUM(Tabla3[[#This Row],[Asist. (A)]:[Licencias (L)]])</f>
        <v>11</v>
      </c>
      <c r="BJ12" s="164"/>
      <c r="BK12" s="164"/>
      <c r="BL12" s="164"/>
      <c r="BM12" s="164"/>
      <c r="BN12" s="164"/>
      <c r="BO12" s="164"/>
      <c r="BP12" s="164"/>
      <c r="BQ12" s="164"/>
      <c r="BR12" s="164"/>
      <c r="BS12" s="164"/>
      <c r="BT12" s="164"/>
      <c r="BU12" s="164"/>
      <c r="BV12" s="164"/>
      <c r="BW12" s="164"/>
      <c r="BX12" s="164"/>
      <c r="BY12" s="164"/>
      <c r="BZ12" s="164"/>
      <c r="CA12" s="164"/>
      <c r="CB12" s="164"/>
    </row>
    <row r="13" spans="1:80" ht="12" customHeight="1">
      <c r="A13" s="165">
        <v>6</v>
      </c>
      <c r="B13" s="60" t="str">
        <f>'C. FILIACION'!B13</f>
        <v>ESCOBAR LAZO JHOSELIN MARCELA</v>
      </c>
      <c r="C13" s="162" t="s">
        <v>60</v>
      </c>
      <c r="D13" s="162" t="s">
        <v>60</v>
      </c>
      <c r="E13" s="162"/>
      <c r="F13" s="162" t="s">
        <v>60</v>
      </c>
      <c r="G13" s="49" t="s">
        <v>60</v>
      </c>
      <c r="H13" s="49" t="s">
        <v>60</v>
      </c>
      <c r="I13" s="49" t="s">
        <v>60</v>
      </c>
      <c r="J13" s="49" t="s">
        <v>60</v>
      </c>
      <c r="K13" s="159" t="s">
        <v>60</v>
      </c>
      <c r="L13" s="62" t="s">
        <v>60</v>
      </c>
      <c r="M13" s="186" t="s">
        <v>60</v>
      </c>
      <c r="N13" s="186" t="s">
        <v>60</v>
      </c>
      <c r="O13" s="62"/>
      <c r="P13" s="62" t="s">
        <v>60</v>
      </c>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12</v>
      </c>
      <c r="BB13" s="49">
        <f t="shared" si="1"/>
        <v>0</v>
      </c>
      <c r="BC13" s="49" t="str">
        <f t="shared" si="2"/>
        <v>0</v>
      </c>
      <c r="BD13" s="49" t="str">
        <f t="shared" si="3"/>
        <v>0</v>
      </c>
      <c r="BE13" s="159">
        <f>SUM(Tabla3[[#This Row],[Asist. (A)]:[Licencias (L)]])</f>
        <v>12</v>
      </c>
      <c r="BJ13" s="164"/>
      <c r="BK13" s="164"/>
      <c r="BL13" s="164"/>
      <c r="BM13" s="164"/>
      <c r="BN13" s="164"/>
      <c r="BO13" s="164"/>
      <c r="BP13" s="164"/>
      <c r="BQ13" s="164"/>
      <c r="BR13" s="164"/>
      <c r="BS13" s="164"/>
      <c r="BT13" s="164"/>
      <c r="BU13" s="164"/>
      <c r="BV13" s="164"/>
      <c r="BW13" s="164"/>
      <c r="BX13" s="164"/>
      <c r="BY13" s="164"/>
      <c r="BZ13" s="164"/>
      <c r="CA13" s="164"/>
      <c r="CB13" s="164"/>
    </row>
    <row r="14" spans="1:80" ht="12" customHeight="1">
      <c r="A14" s="165">
        <v>7</v>
      </c>
      <c r="B14" s="60" t="str">
        <f>'C. FILIACION'!B14</f>
        <v>GUTIERREZ PEREZ ARIEL FERNANDO</v>
      </c>
      <c r="C14" s="162" t="s">
        <v>60</v>
      </c>
      <c r="D14" s="162" t="s">
        <v>60</v>
      </c>
      <c r="E14" s="162"/>
      <c r="F14" s="162" t="s">
        <v>60</v>
      </c>
      <c r="G14" s="49" t="s">
        <v>60</v>
      </c>
      <c r="H14" s="49" t="s">
        <v>168</v>
      </c>
      <c r="I14" s="49" t="s">
        <v>60</v>
      </c>
      <c r="J14" s="49" t="s">
        <v>60</v>
      </c>
      <c r="K14" s="159" t="s">
        <v>60</v>
      </c>
      <c r="L14" s="62" t="s">
        <v>168</v>
      </c>
      <c r="M14" s="186" t="s">
        <v>60</v>
      </c>
      <c r="N14" s="186" t="s">
        <v>168</v>
      </c>
      <c r="O14" s="62"/>
      <c r="P14" s="62" t="s">
        <v>168</v>
      </c>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8</v>
      </c>
      <c r="BB14" s="49">
        <f t="shared" si="1"/>
        <v>0</v>
      </c>
      <c r="BC14" s="49">
        <f t="shared" si="2"/>
        <v>4</v>
      </c>
      <c r="BD14" s="49" t="str">
        <f t="shared" si="3"/>
        <v>0</v>
      </c>
      <c r="BE14" s="159">
        <f>SUM(Tabla3[[#This Row],[Asist. (A)]:[Licencias (L)]])</f>
        <v>12</v>
      </c>
      <c r="BJ14" s="164"/>
      <c r="BK14" s="164"/>
      <c r="BL14" s="164"/>
      <c r="BM14" s="164"/>
      <c r="BN14" s="164"/>
      <c r="BO14" s="164"/>
      <c r="BP14" s="164"/>
      <c r="BQ14" s="164"/>
      <c r="BR14" s="164"/>
      <c r="BS14" s="164"/>
      <c r="BT14" s="164"/>
      <c r="BU14" s="164"/>
      <c r="BV14" s="164"/>
      <c r="BW14" s="164"/>
      <c r="BX14" s="164"/>
      <c r="BY14" s="164"/>
      <c r="BZ14" s="164"/>
      <c r="CA14" s="164"/>
      <c r="CB14" s="164"/>
    </row>
    <row r="15" spans="1:80" ht="12" customHeight="1">
      <c r="A15" s="165">
        <v>10</v>
      </c>
      <c r="B15" s="60" t="str">
        <f>'C. FILIACION'!B15</f>
        <v>LOPEZ PACO FABRICIO ANDRE</v>
      </c>
      <c r="C15" s="162" t="s">
        <v>60</v>
      </c>
      <c r="D15" s="162" t="s">
        <v>60</v>
      </c>
      <c r="E15" s="162"/>
      <c r="F15" s="162" t="s">
        <v>60</v>
      </c>
      <c r="G15" s="49" t="s">
        <v>60</v>
      </c>
      <c r="H15" s="49" t="s">
        <v>61</v>
      </c>
      <c r="I15" s="49" t="s">
        <v>61</v>
      </c>
      <c r="J15" s="49" t="s">
        <v>60</v>
      </c>
      <c r="K15" s="159" t="s">
        <v>60</v>
      </c>
      <c r="L15" s="62" t="s">
        <v>61</v>
      </c>
      <c r="M15" s="186"/>
      <c r="N15" s="186" t="s">
        <v>60</v>
      </c>
      <c r="O15" s="62"/>
      <c r="P15" s="62" t="s">
        <v>60</v>
      </c>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8</v>
      </c>
      <c r="BB15" s="49">
        <f t="shared" si="1"/>
        <v>3</v>
      </c>
      <c r="BC15" s="49" t="str">
        <f t="shared" si="2"/>
        <v>0</v>
      </c>
      <c r="BD15" s="49" t="str">
        <f t="shared" si="3"/>
        <v>0</v>
      </c>
      <c r="BE15" s="159">
        <f>SUM(Tabla3[[#This Row],[Asist. (A)]:[Licencias (L)]])</f>
        <v>11</v>
      </c>
      <c r="BJ15" s="164"/>
      <c r="BK15" s="164"/>
      <c r="BL15" s="164"/>
      <c r="BM15" s="164"/>
      <c r="BN15" s="164"/>
      <c r="BO15" s="164"/>
      <c r="BP15" s="164"/>
      <c r="BQ15" s="164"/>
      <c r="BR15" s="164"/>
      <c r="BS15" s="164"/>
      <c r="BT15" s="164"/>
      <c r="BU15" s="164"/>
      <c r="BV15" s="164"/>
      <c r="BW15" s="164"/>
      <c r="BX15" s="164"/>
      <c r="BY15" s="164"/>
      <c r="BZ15" s="164"/>
      <c r="CA15" s="164"/>
      <c r="CB15" s="164"/>
    </row>
    <row r="16" spans="1:80" ht="12" customHeight="1">
      <c r="A16" s="165">
        <v>8</v>
      </c>
      <c r="B16" s="60" t="str">
        <f>'C. FILIACION'!B16</f>
        <v>NINA PANIAGUA DEYVID GABRIEL</v>
      </c>
      <c r="C16" s="162" t="s">
        <v>60</v>
      </c>
      <c r="D16" s="162" t="s">
        <v>60</v>
      </c>
      <c r="E16" s="162"/>
      <c r="F16" s="162" t="s">
        <v>60</v>
      </c>
      <c r="G16" s="49" t="s">
        <v>61</v>
      </c>
      <c r="H16" s="49" t="s">
        <v>60</v>
      </c>
      <c r="I16" s="49" t="s">
        <v>61</v>
      </c>
      <c r="J16" s="49" t="s">
        <v>61</v>
      </c>
      <c r="K16" s="159" t="s">
        <v>60</v>
      </c>
      <c r="L16" s="62" t="s">
        <v>60</v>
      </c>
      <c r="M16" s="186"/>
      <c r="N16" s="186" t="s">
        <v>60</v>
      </c>
      <c r="O16" s="62"/>
      <c r="P16" s="62" t="s">
        <v>60</v>
      </c>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8</v>
      </c>
      <c r="BB16" s="49">
        <f t="shared" si="1"/>
        <v>3</v>
      </c>
      <c r="BC16" s="49" t="str">
        <f t="shared" si="2"/>
        <v>0</v>
      </c>
      <c r="BD16" s="49" t="str">
        <f t="shared" si="3"/>
        <v>0</v>
      </c>
      <c r="BE16" s="159">
        <f>SUM(Tabla3[[#This Row],[Asist. (A)]:[Licencias (L)]])</f>
        <v>11</v>
      </c>
      <c r="BJ16" s="164"/>
      <c r="BK16" s="164"/>
      <c r="BL16" s="164"/>
      <c r="BM16" s="164"/>
      <c r="BN16" s="164"/>
      <c r="BO16" s="164"/>
      <c r="BP16" s="164"/>
      <c r="BQ16" s="164"/>
      <c r="BR16" s="164"/>
      <c r="BS16" s="164"/>
      <c r="BT16" s="164"/>
      <c r="BU16" s="164"/>
      <c r="BV16" s="164"/>
      <c r="BW16" s="164"/>
      <c r="BX16" s="164"/>
      <c r="BY16" s="164"/>
      <c r="BZ16" s="164"/>
      <c r="CA16" s="164"/>
      <c r="CB16" s="164"/>
    </row>
    <row r="17" spans="1:80" ht="12" customHeight="1">
      <c r="A17" s="165">
        <v>9</v>
      </c>
      <c r="B17" s="60" t="str">
        <f>'C. FILIACION'!B17</f>
        <v>PASTOR CONDARCO STEVE DAVID</v>
      </c>
      <c r="C17" s="162" t="s">
        <v>60</v>
      </c>
      <c r="D17" s="162" t="s">
        <v>60</v>
      </c>
      <c r="E17" s="162"/>
      <c r="F17" s="162" t="s">
        <v>60</v>
      </c>
      <c r="G17" s="49" t="s">
        <v>60</v>
      </c>
      <c r="H17" s="49" t="s">
        <v>60</v>
      </c>
      <c r="I17" s="49" t="s">
        <v>60</v>
      </c>
      <c r="J17" s="49" t="s">
        <v>60</v>
      </c>
      <c r="K17" s="159" t="s">
        <v>60</v>
      </c>
      <c r="L17" s="62" t="s">
        <v>60</v>
      </c>
      <c r="M17" s="186"/>
      <c r="N17" s="186" t="s">
        <v>60</v>
      </c>
      <c r="O17" s="62"/>
      <c r="P17" s="62" t="s">
        <v>60</v>
      </c>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11</v>
      </c>
      <c r="BB17" s="49">
        <f t="shared" si="1"/>
        <v>0</v>
      </c>
      <c r="BC17" s="49" t="str">
        <f t="shared" si="2"/>
        <v>0</v>
      </c>
      <c r="BD17" s="49" t="str">
        <f t="shared" si="3"/>
        <v>0</v>
      </c>
      <c r="BE17" s="159">
        <f>SUM(Tabla3[[#This Row],[Asist. (A)]:[Licencias (L)]])</f>
        <v>11</v>
      </c>
      <c r="BJ17" s="164"/>
      <c r="BK17" s="164"/>
      <c r="BL17" s="164"/>
      <c r="BM17" s="164"/>
      <c r="BN17" s="164"/>
      <c r="BO17" s="164"/>
      <c r="BP17" s="164"/>
      <c r="BQ17" s="164"/>
      <c r="BR17" s="164"/>
      <c r="BS17" s="164"/>
      <c r="BT17" s="164"/>
      <c r="BU17" s="164"/>
      <c r="BV17" s="164"/>
      <c r="BW17" s="164"/>
      <c r="BX17" s="164"/>
      <c r="BY17" s="164"/>
      <c r="BZ17" s="164"/>
      <c r="CA17" s="164"/>
      <c r="CB17" s="164"/>
    </row>
    <row r="18" spans="1:80" ht="12" customHeight="1">
      <c r="A18" s="165">
        <v>11</v>
      </c>
      <c r="B18" s="60" t="str">
        <f>'C. FILIACION'!B18</f>
        <v>ROJAS MAMANI JERUSALEN LOURDES</v>
      </c>
      <c r="C18" s="162" t="s">
        <v>60</v>
      </c>
      <c r="D18" s="162" t="s">
        <v>60</v>
      </c>
      <c r="E18" s="162"/>
      <c r="F18" s="162" t="s">
        <v>60</v>
      </c>
      <c r="G18" s="62" t="s">
        <v>60</v>
      </c>
      <c r="H18" s="62" t="s">
        <v>60</v>
      </c>
      <c r="I18" s="62" t="s">
        <v>60</v>
      </c>
      <c r="J18" s="62" t="s">
        <v>60</v>
      </c>
      <c r="K18" s="159" t="s">
        <v>60</v>
      </c>
      <c r="L18" s="62" t="s">
        <v>60</v>
      </c>
      <c r="M18" s="186"/>
      <c r="N18" s="186" t="s">
        <v>60</v>
      </c>
      <c r="O18" s="62"/>
      <c r="P18" s="62" t="s">
        <v>60</v>
      </c>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11</v>
      </c>
      <c r="BB18" s="49">
        <f t="shared" si="1"/>
        <v>0</v>
      </c>
      <c r="BC18" s="49" t="str">
        <f t="shared" si="2"/>
        <v>0</v>
      </c>
      <c r="BD18" s="49" t="str">
        <f t="shared" si="3"/>
        <v>0</v>
      </c>
      <c r="BE18" s="159">
        <f>SUM(Tabla3[[#This Row],[Asist. (A)]:[Licencias (L)]])</f>
        <v>11</v>
      </c>
      <c r="BJ18" s="164"/>
      <c r="BK18" s="164"/>
      <c r="BL18" s="164"/>
      <c r="BM18" s="164"/>
      <c r="BN18" s="164"/>
      <c r="BO18" s="164"/>
      <c r="BP18" s="164"/>
      <c r="BQ18" s="164"/>
      <c r="BR18" s="164"/>
      <c r="BS18" s="164"/>
      <c r="BT18" s="164"/>
      <c r="BU18" s="164"/>
      <c r="BV18" s="164"/>
      <c r="BW18" s="164"/>
      <c r="BX18" s="164"/>
      <c r="BY18" s="164"/>
      <c r="BZ18" s="164"/>
      <c r="CA18" s="164"/>
      <c r="CB18" s="164"/>
    </row>
    <row r="19" spans="1:80" ht="12" customHeight="1">
      <c r="A19" s="165">
        <v>12</v>
      </c>
      <c r="B19" s="60" t="str">
        <f>'C. FILIACION'!B19</f>
        <v>SALAS ROJAS LUCIANA ANTONELLA</v>
      </c>
      <c r="C19" s="162" t="s">
        <v>169</v>
      </c>
      <c r="D19" s="162" t="s">
        <v>169</v>
      </c>
      <c r="E19" s="162"/>
      <c r="F19" s="162" t="s">
        <v>169</v>
      </c>
      <c r="G19" s="162" t="s">
        <v>169</v>
      </c>
      <c r="H19" s="162" t="s">
        <v>169</v>
      </c>
      <c r="I19" s="49" t="s">
        <v>169</v>
      </c>
      <c r="J19" s="49" t="s">
        <v>169</v>
      </c>
      <c r="K19" s="159" t="s">
        <v>169</v>
      </c>
      <c r="L19" s="62" t="s">
        <v>169</v>
      </c>
      <c r="M19" s="186"/>
      <c r="N19" s="186" t="s">
        <v>169</v>
      </c>
      <c r="O19" s="62"/>
      <c r="P19" s="62"/>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10</v>
      </c>
      <c r="BE19" s="159">
        <f>SUM(Tabla3[[#This Row],[Asist. (A)]:[Licencias (L)]])</f>
        <v>10</v>
      </c>
      <c r="BJ19" s="164"/>
      <c r="BK19" s="164"/>
      <c r="BL19" s="164"/>
      <c r="BM19" s="164"/>
      <c r="BN19" s="164"/>
      <c r="BO19" s="164"/>
      <c r="BP19" s="164"/>
      <c r="BQ19" s="164"/>
      <c r="BR19" s="164"/>
      <c r="BS19" s="164"/>
      <c r="BT19" s="164"/>
      <c r="BU19" s="164"/>
      <c r="BV19" s="164"/>
      <c r="BW19" s="164"/>
      <c r="BX19" s="164"/>
      <c r="BY19" s="164"/>
      <c r="BZ19" s="164"/>
      <c r="CA19" s="164"/>
      <c r="CB19" s="164"/>
    </row>
    <row r="20" spans="1:80" ht="12" customHeight="1">
      <c r="A20" s="165">
        <v>13</v>
      </c>
      <c r="B20" s="60" t="str">
        <f>'C. FILIACION'!B20</f>
        <v>SANTOS CRUZ ROYER JOEL</v>
      </c>
      <c r="C20" s="162" t="s">
        <v>60</v>
      </c>
      <c r="D20" s="162" t="s">
        <v>60</v>
      </c>
      <c r="E20" s="162"/>
      <c r="F20" s="162" t="s">
        <v>60</v>
      </c>
      <c r="G20" s="49" t="s">
        <v>60</v>
      </c>
      <c r="H20" s="49" t="s">
        <v>60</v>
      </c>
      <c r="I20" s="49" t="s">
        <v>60</v>
      </c>
      <c r="J20" s="49" t="s">
        <v>60</v>
      </c>
      <c r="K20" s="159" t="s">
        <v>60</v>
      </c>
      <c r="L20" s="62" t="s">
        <v>60</v>
      </c>
      <c r="M20" s="186" t="s">
        <v>60</v>
      </c>
      <c r="N20" s="186" t="s">
        <v>60</v>
      </c>
      <c r="O20" s="62"/>
      <c r="P20" s="62" t="s">
        <v>60</v>
      </c>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12</v>
      </c>
      <c r="BB20" s="49">
        <f t="shared" si="1"/>
        <v>0</v>
      </c>
      <c r="BC20" s="49" t="str">
        <f t="shared" si="2"/>
        <v>0</v>
      </c>
      <c r="BD20" s="49" t="str">
        <f t="shared" si="3"/>
        <v>0</v>
      </c>
      <c r="BE20" s="159">
        <f>SUM(Tabla3[[#This Row],[Asist. (A)]:[Licencias (L)]])</f>
        <v>12</v>
      </c>
      <c r="BJ20" s="164"/>
      <c r="BK20" s="164"/>
      <c r="BL20" s="164"/>
      <c r="BM20" s="164"/>
      <c r="BN20" s="164"/>
      <c r="BO20" s="164"/>
      <c r="BP20" s="164"/>
      <c r="BQ20" s="164"/>
      <c r="BR20" s="164"/>
      <c r="BS20" s="164"/>
      <c r="BT20" s="164"/>
      <c r="BU20" s="164"/>
      <c r="BV20" s="164"/>
      <c r="BW20" s="164"/>
      <c r="BX20" s="164"/>
      <c r="BY20" s="164"/>
      <c r="BZ20" s="164"/>
      <c r="CA20" s="164"/>
      <c r="CB20" s="164"/>
    </row>
    <row r="21" spans="1:80" ht="12" customHeight="1">
      <c r="A21" s="165">
        <v>14</v>
      </c>
      <c r="B21" s="60" t="str">
        <f>'C. FILIACION'!B21</f>
        <v>TICONA LOAYZA ARIADNE VALERIA</v>
      </c>
      <c r="C21" s="162" t="s">
        <v>60</v>
      </c>
      <c r="D21" s="162" t="s">
        <v>60</v>
      </c>
      <c r="E21" s="162"/>
      <c r="F21" s="162" t="s">
        <v>60</v>
      </c>
      <c r="G21" s="49" t="s">
        <v>60</v>
      </c>
      <c r="H21" s="49" t="s">
        <v>60</v>
      </c>
      <c r="I21" s="49" t="s">
        <v>60</v>
      </c>
      <c r="J21" s="49" t="s">
        <v>60</v>
      </c>
      <c r="K21" s="159" t="s">
        <v>60</v>
      </c>
      <c r="L21" s="62" t="s">
        <v>60</v>
      </c>
      <c r="M21" s="186" t="s">
        <v>60</v>
      </c>
      <c r="N21" s="186" t="s">
        <v>60</v>
      </c>
      <c r="O21" s="62"/>
      <c r="P21" s="62" t="s">
        <v>60</v>
      </c>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12</v>
      </c>
      <c r="BB21" s="49">
        <f t="shared" si="1"/>
        <v>0</v>
      </c>
      <c r="BC21" s="49" t="str">
        <f t="shared" si="2"/>
        <v>0</v>
      </c>
      <c r="BD21" s="49" t="str">
        <f t="shared" si="3"/>
        <v>0</v>
      </c>
      <c r="BE21" s="159">
        <f>SUM(Tabla3[[#This Row],[Asist. (A)]:[Licencias (L)]])</f>
        <v>12</v>
      </c>
      <c r="BJ21" s="164"/>
      <c r="BK21" s="164"/>
      <c r="BL21" s="164"/>
      <c r="BM21" s="164"/>
      <c r="BN21" s="164"/>
      <c r="BO21" s="164"/>
      <c r="BP21" s="164"/>
      <c r="BQ21" s="164"/>
      <c r="BR21" s="164"/>
      <c r="BS21" s="164"/>
      <c r="BT21" s="164"/>
      <c r="BU21" s="164"/>
      <c r="BV21" s="164"/>
      <c r="BW21" s="164"/>
      <c r="BX21" s="164"/>
      <c r="BY21" s="164"/>
      <c r="BZ21" s="164"/>
      <c r="CA21" s="164"/>
      <c r="CB21" s="164"/>
    </row>
    <row r="22" spans="1:80" ht="12" customHeight="1">
      <c r="A22" s="170">
        <v>15</v>
      </c>
      <c r="B22" s="60" t="str">
        <f>'C. FILIACION'!B22</f>
        <v>ZEBALLOS DEL CARPIO AMIRA MERCEDES</v>
      </c>
      <c r="C22" s="171" t="s">
        <v>60</v>
      </c>
      <c r="D22" s="171" t="s">
        <v>60</v>
      </c>
      <c r="E22" s="171"/>
      <c r="F22" s="171" t="s">
        <v>60</v>
      </c>
      <c r="G22" s="172" t="s">
        <v>60</v>
      </c>
      <c r="H22" s="172" t="s">
        <v>60</v>
      </c>
      <c r="I22" s="172" t="s">
        <v>60</v>
      </c>
      <c r="J22" s="172" t="s">
        <v>60</v>
      </c>
      <c r="K22" s="173" t="s">
        <v>60</v>
      </c>
      <c r="L22" s="172" t="s">
        <v>60</v>
      </c>
      <c r="M22" s="188" t="s">
        <v>60</v>
      </c>
      <c r="N22" s="188" t="s">
        <v>60</v>
      </c>
      <c r="O22" s="172"/>
      <c r="P22" s="172" t="s">
        <v>60</v>
      </c>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77">
        <f t="shared" si="0"/>
        <v>12</v>
      </c>
      <c r="BB22" s="172">
        <f t="shared" si="1"/>
        <v>0</v>
      </c>
      <c r="BC22" s="172" t="str">
        <f t="shared" si="2"/>
        <v>0</v>
      </c>
      <c r="BD22" s="172" t="str">
        <f t="shared" si="3"/>
        <v>0</v>
      </c>
      <c r="BE22" s="173">
        <f>SUM(Tabla3[[#This Row],[Asist. (A)]:[Licencias (L)]])</f>
        <v>12</v>
      </c>
      <c r="BJ22" s="164"/>
      <c r="BK22" s="164"/>
      <c r="BL22" s="164"/>
      <c r="BM22" s="164"/>
      <c r="BN22" s="164"/>
      <c r="BO22" s="164"/>
      <c r="BP22" s="164"/>
      <c r="BQ22" s="164"/>
      <c r="BR22" s="164"/>
      <c r="BS22" s="164"/>
      <c r="BT22" s="164"/>
      <c r="BU22" s="164"/>
      <c r="BV22" s="164"/>
      <c r="BW22" s="164"/>
      <c r="BX22" s="164"/>
      <c r="BY22" s="164"/>
      <c r="BZ22" s="164"/>
      <c r="CA22" s="164"/>
      <c r="CB22" s="164"/>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4"/>
      <c r="BK23" s="164"/>
      <c r="BL23" s="164"/>
      <c r="BM23" s="164"/>
      <c r="BN23" s="164"/>
      <c r="BO23" s="164"/>
      <c r="BP23" s="164"/>
      <c r="BQ23" s="164"/>
      <c r="BR23" s="164"/>
      <c r="BS23" s="164"/>
      <c r="BT23" s="164"/>
      <c r="BU23" s="164"/>
      <c r="BV23" s="164"/>
      <c r="BW23" s="164"/>
      <c r="BX23" s="164"/>
      <c r="BY23" s="164"/>
      <c r="BZ23" s="164"/>
      <c r="CA23" s="164"/>
      <c r="CB23" s="164"/>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4"/>
      <c r="BK24" s="164"/>
      <c r="BL24" s="164"/>
      <c r="BM24" s="164"/>
      <c r="BN24" s="164"/>
      <c r="BO24" s="164"/>
      <c r="BP24" s="164"/>
      <c r="BQ24" s="164"/>
      <c r="BR24" s="164"/>
      <c r="BS24" s="164"/>
      <c r="BT24" s="164"/>
      <c r="BU24" s="164"/>
      <c r="BV24" s="164"/>
      <c r="BW24" s="164"/>
      <c r="BX24" s="164"/>
      <c r="BY24" s="164"/>
      <c r="BZ24" s="164"/>
      <c r="CA24" s="164"/>
      <c r="CB24" s="164"/>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7734375" defaultRowHeight="15" customHeight="1"/>
  <cols>
    <col min="1" max="1" width="1.6640625" customWidth="1"/>
    <col min="2" max="2" width="20.6640625" customWidth="1"/>
    <col min="3" max="52" width="1.27734375" customWidth="1"/>
    <col min="53" max="57" width="1.38671875" customWidth="1"/>
    <col min="58" max="61" width="1.6640625" customWidth="1"/>
  </cols>
  <sheetData>
    <row r="1" spans="1:61" ht="4.5" customHeight="1"/>
    <row r="2" spans="1:61" ht="12.75" customHeight="1">
      <c r="B2" s="208" t="s">
        <v>71</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09">
        <f>CARÁTULA!$H$24</f>
        <v>44440</v>
      </c>
      <c r="AU3" s="204"/>
      <c r="AV3" s="204"/>
      <c r="AW3" s="204"/>
      <c r="AX3" s="204"/>
      <c r="AY3" s="204"/>
      <c r="AZ3" s="204"/>
      <c r="BA3" s="223"/>
      <c r="BB3" s="204"/>
      <c r="BC3" s="204"/>
      <c r="BD3" s="204"/>
      <c r="BE3" s="204"/>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09">
        <f>CARÁTULA!$J$24</f>
        <v>44531</v>
      </c>
      <c r="AU4" s="204"/>
      <c r="AV4" s="204"/>
      <c r="AW4" s="204"/>
      <c r="AX4" s="204"/>
      <c r="AY4" s="204"/>
      <c r="AZ4" s="204"/>
      <c r="BA4" s="224">
        <f ca="1">AT4-AT5</f>
        <v>78</v>
      </c>
      <c r="BB4" s="214"/>
      <c r="BC4" s="214"/>
      <c r="BD4" s="214"/>
      <c r="BE4" s="215"/>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22">
        <f ca="1">TODAY()</f>
        <v>44453</v>
      </c>
      <c r="Y5" s="204"/>
      <c r="Z5" s="204"/>
      <c r="AA5" s="204"/>
      <c r="AB5" s="204"/>
      <c r="AC5" s="204"/>
      <c r="AD5" s="41"/>
      <c r="AE5" s="41"/>
      <c r="AF5" s="41"/>
      <c r="AG5" s="41"/>
      <c r="AH5" s="41"/>
      <c r="AI5" s="41"/>
      <c r="AJ5" s="41"/>
      <c r="AK5" s="46" t="s">
        <v>52</v>
      </c>
      <c r="AL5" s="47"/>
      <c r="AM5" s="47"/>
      <c r="AN5" s="47"/>
      <c r="AO5" s="47"/>
      <c r="AP5" s="47"/>
      <c r="AQ5" s="47"/>
      <c r="AR5" s="41"/>
      <c r="AS5" s="41"/>
      <c r="AT5" s="220">
        <f ca="1">TODAY()</f>
        <v>44453</v>
      </c>
      <c r="AU5" s="204"/>
      <c r="AV5" s="204"/>
      <c r="AW5" s="204"/>
      <c r="AX5" s="204"/>
      <c r="AY5" s="204"/>
      <c r="AZ5" s="204"/>
      <c r="BA5" s="216"/>
      <c r="BB5" s="217"/>
      <c r="BC5" s="217"/>
      <c r="BD5" s="217"/>
      <c r="BE5" s="218"/>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workbookViewId="0">
      <selection activeCell="AB31" sqref="A1:AB31"/>
    </sheetView>
  </sheetViews>
  <sheetFormatPr baseColWidth="10" defaultRowHeight="20"/>
  <cols>
    <col min="1" max="26" width="2.38671875" customWidth="1"/>
  </cols>
  <sheetData>
    <row r="1" spans="1:30" s="158" customFormat="1" ht="22.5" customHeight="1"/>
    <row r="2" spans="1:30">
      <c r="A2" s="249" t="s">
        <v>176</v>
      </c>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30" ht="6" customHeight="1"/>
    <row r="4" spans="1:30" ht="15.9" customHeight="1">
      <c r="A4" s="253" t="s">
        <v>177</v>
      </c>
      <c r="B4" s="253"/>
      <c r="C4" s="253"/>
      <c r="D4" s="253"/>
      <c r="E4" s="253"/>
      <c r="F4" s="250" t="str">
        <f>CARÁTULA!C25</f>
        <v>Tecnica Tecnologica (Programacion)</v>
      </c>
      <c r="G4" s="250"/>
      <c r="H4" s="250"/>
      <c r="I4" s="250"/>
      <c r="J4" s="250"/>
      <c r="K4" s="250"/>
      <c r="L4" s="250"/>
      <c r="M4" s="250"/>
      <c r="N4" s="250"/>
      <c r="O4" s="251" t="s">
        <v>191</v>
      </c>
      <c r="P4" s="251"/>
      <c r="Q4" s="251"/>
      <c r="R4" s="250" t="str">
        <f>CARÁTULA!C23</f>
        <v>1ro de Secundaria</v>
      </c>
      <c r="S4" s="250"/>
      <c r="T4" s="250"/>
      <c r="U4" s="250"/>
      <c r="V4" s="250"/>
      <c r="W4" s="250"/>
      <c r="X4" s="250"/>
      <c r="Y4" s="250"/>
      <c r="Z4" s="250"/>
      <c r="AA4" s="180" t="s">
        <v>200</v>
      </c>
      <c r="AB4" s="182" t="s">
        <v>204</v>
      </c>
    </row>
    <row r="5" spans="1:30" ht="15.9" customHeight="1">
      <c r="A5" s="253" t="s">
        <v>178</v>
      </c>
      <c r="B5" s="253"/>
      <c r="C5" s="253"/>
      <c r="D5" s="253"/>
      <c r="E5" s="253"/>
      <c r="F5" s="254" t="s">
        <v>36</v>
      </c>
      <c r="G5" s="254"/>
      <c r="H5" s="254"/>
      <c r="I5" s="254"/>
      <c r="J5" s="254"/>
      <c r="K5" s="254"/>
      <c r="L5" s="254"/>
      <c r="M5" s="254"/>
      <c r="N5" s="254"/>
      <c r="O5" s="254"/>
      <c r="P5" s="254"/>
      <c r="Q5" s="254"/>
      <c r="R5" s="254"/>
      <c r="S5" s="254"/>
      <c r="T5" s="254"/>
      <c r="U5" s="254"/>
      <c r="V5" s="254"/>
      <c r="W5" s="254"/>
      <c r="X5" s="254"/>
      <c r="Y5" s="254"/>
      <c r="Z5" s="254"/>
      <c r="AA5" s="180" t="s">
        <v>203</v>
      </c>
      <c r="AB5" s="181" t="s">
        <v>202</v>
      </c>
    </row>
    <row r="6" spans="1:30" ht="15.9" customHeight="1">
      <c r="A6" s="253" t="s">
        <v>179</v>
      </c>
      <c r="B6" s="253"/>
      <c r="C6" s="253"/>
      <c r="D6" s="253"/>
      <c r="E6" s="253"/>
      <c r="F6" s="254" t="s">
        <v>181</v>
      </c>
      <c r="G6" s="254"/>
      <c r="H6" s="254"/>
      <c r="I6" s="254"/>
      <c r="J6" s="254"/>
      <c r="K6" s="254"/>
      <c r="L6" s="254"/>
      <c r="M6" s="254"/>
      <c r="N6" s="254"/>
      <c r="O6" s="254"/>
      <c r="P6" s="254"/>
      <c r="Q6" s="254"/>
      <c r="R6" s="254"/>
      <c r="S6" s="254"/>
      <c r="T6" s="254"/>
      <c r="U6" s="254"/>
      <c r="V6" s="254"/>
      <c r="W6" s="254"/>
      <c r="X6" s="254"/>
      <c r="Y6" s="254"/>
      <c r="Z6" s="254"/>
    </row>
    <row r="7" spans="1:30" ht="7.5" customHeight="1"/>
    <row r="8" spans="1:30" ht="15.9" customHeight="1">
      <c r="A8" s="252" t="s">
        <v>180</v>
      </c>
      <c r="B8" s="252"/>
      <c r="C8" s="252"/>
      <c r="D8" s="252"/>
      <c r="E8" s="252"/>
      <c r="F8" s="252"/>
      <c r="G8" s="252"/>
      <c r="H8" s="252"/>
      <c r="I8" s="252"/>
      <c r="J8" s="252"/>
      <c r="K8" s="252"/>
      <c r="L8" s="252"/>
      <c r="M8" s="252"/>
      <c r="N8" s="252"/>
      <c r="O8" s="252"/>
      <c r="P8" s="252"/>
      <c r="Q8" s="252"/>
      <c r="R8" s="252"/>
      <c r="S8" s="252"/>
      <c r="T8" s="252"/>
      <c r="U8" s="252"/>
      <c r="V8" s="252"/>
      <c r="W8" s="252"/>
      <c r="X8" s="252"/>
      <c r="Y8" s="252"/>
      <c r="Z8" s="252"/>
      <c r="AA8" s="252"/>
      <c r="AB8" s="252"/>
    </row>
    <row r="9" spans="1:30" ht="5.25" customHeight="1"/>
    <row r="10" spans="1:30" ht="81" customHeight="1">
      <c r="F10" s="163" t="str">
        <f>'ASIS 2 TRIM'!C7</f>
        <v>13/5/2020</v>
      </c>
      <c r="G10" s="163" t="str">
        <f>'ASIS 2 TRIM'!D7</f>
        <v>20/5/2020</v>
      </c>
      <c r="H10" s="163" t="str">
        <f>'ASIS 2 TRIM'!E7</f>
        <v>27/5/2021</v>
      </c>
      <c r="I10" s="163" t="str">
        <f>'ASIS 2 TRIM'!F7</f>
        <v>1/7/2021</v>
      </c>
      <c r="J10" s="163" t="str">
        <f>'ASIS 2 TRIM'!G7</f>
        <v>8/7/2021</v>
      </c>
      <c r="K10" s="163" t="str">
        <f>'ASIS 2 TRIM'!H7</f>
        <v>15/7/2021</v>
      </c>
      <c r="L10" s="163" t="str">
        <f>'ASIS 2 TRIM'!I7</f>
        <v>22/7/2021</v>
      </c>
      <c r="M10" s="163" t="str">
        <f>'ASIS 2 TRIM'!J7</f>
        <v>29/7/2021</v>
      </c>
      <c r="N10" s="163" t="str">
        <f>'ASIS 2 TRIM'!K7</f>
        <v>5/8/2021</v>
      </c>
      <c r="O10" s="163" t="str">
        <f>'ASIS 2 TRIM'!L7</f>
        <v>12/8/2021</v>
      </c>
      <c r="P10" s="163" t="str">
        <f>'ASIS 2 TRIM'!BA7</f>
        <v>Asist. (A)</v>
      </c>
      <c r="Q10" s="163" t="str">
        <f>'ASIS 2 TRIM'!BB7</f>
        <v>Faltas (F)</v>
      </c>
      <c r="R10" s="163" t="str">
        <f>'ASIS 2 TRIM'!BC7</f>
        <v>Retrasos (R)</v>
      </c>
      <c r="S10" s="163" t="str">
        <f>'ASIS 2 TRIM'!BD7</f>
        <v>Licencias (L)</v>
      </c>
      <c r="T10" s="178" t="str">
        <f>'ASIS 2 TRIM'!BE7</f>
        <v>DÍAS TRABAJADOS</v>
      </c>
    </row>
    <row r="11" spans="1:30" ht="15" customHeight="1">
      <c r="F11" s="179" t="str">
        <f>VLOOKUP($F$5,Tabla2[[NÓMINA DE ESTUDIANTES]:[5/8/2021]],2,FALSE)</f>
        <v>a</v>
      </c>
      <c r="G11" s="179" t="str">
        <f>VLOOKUP($F$5,Tabla2[[NÓMINA DE ESTUDIANTES]:[5/8/2021]],3,FALSE)</f>
        <v>f</v>
      </c>
      <c r="H11" s="179"/>
      <c r="I11" s="179" t="str">
        <f>VLOOKUP($F$5,Tabla2[[NÓMINA DE ESTUDIANTES]:[5/8/2021]],5,FALSE)</f>
        <v>f</v>
      </c>
      <c r="J11" s="179" t="str">
        <f>VLOOKUP($F$5,Tabla2[[NÓMINA DE ESTUDIANTES]:[5/8/2021]],6,FALSE)</f>
        <v>a</v>
      </c>
      <c r="K11" s="179" t="str">
        <f>VLOOKUP($F$5,Tabla2[[NÓMINA DE ESTUDIANTES]:[5/8/2021]],7,FALSE)</f>
        <v>f</v>
      </c>
      <c r="L11" s="179" t="str">
        <f>VLOOKUP($F$5,Tabla2[[NÓMINA DE ESTUDIANTES]:[5/8/2021]],8,FALSE)</f>
        <v>f</v>
      </c>
      <c r="M11" s="179" t="str">
        <f>VLOOKUP($F$5,Tabla2[[NÓMINA DE ESTUDIANTES]:[5/8/2021]],9,FALSE)</f>
        <v>f</v>
      </c>
      <c r="N11" s="179" t="str">
        <f>VLOOKUP($F$5,Tabla2[[NÓMINA DE ESTUDIANTES]:[5/8/2021]],10,FALSE)</f>
        <v>f</v>
      </c>
      <c r="O11" s="179" t="str">
        <f>VLOOKUP($F$5,Tabla2[[NÓMINA DE ESTUDIANTES]:[12/8/2021]],11,FALSE)</f>
        <v>f</v>
      </c>
      <c r="P11" s="179">
        <f>VLOOKUP($F$5,'ASIS 2 TRIM'!$B$8:$BE$22,52,FALSE)</f>
        <v>3</v>
      </c>
      <c r="Q11" s="179">
        <f>VLOOKUP($F$5,'ASIS 2 TRIM'!$B$8:$BE$22,53,FALSE)</f>
        <v>8</v>
      </c>
      <c r="R11" s="179" t="str">
        <f>VLOOKUP($F$5,'ASIS 2 TRIM'!$B$8:$BE$22,54,FALSE)</f>
        <v>0</v>
      </c>
      <c r="S11" s="179" t="str">
        <f>VLOOKUP($F$5,'ASIS 2 TRIM'!$B$8:$BE$22,55,FALSE)</f>
        <v>0</v>
      </c>
      <c r="T11" s="179">
        <f>VLOOKUP($F$5,'ASIS 2 TRIM'!$B$8:$BE$22,56,FALSE)</f>
        <v>11</v>
      </c>
    </row>
    <row r="12" spans="1:30" ht="15" customHeight="1"/>
    <row r="13" spans="1:30" ht="15" customHeight="1">
      <c r="A13" s="243" t="s">
        <v>198</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row>
    <row r="14" spans="1:30" s="158" customFormat="1" ht="15" customHeight="1">
      <c r="A14" s="243" t="s">
        <v>195</v>
      </c>
      <c r="B14" s="243"/>
      <c r="C14" s="243"/>
      <c r="D14" s="243"/>
      <c r="E14" s="243"/>
      <c r="F14" s="243"/>
      <c r="G14" s="243"/>
      <c r="H14" s="243"/>
      <c r="I14" s="243" t="s">
        <v>196</v>
      </c>
      <c r="J14" s="243"/>
      <c r="K14" s="243" t="s">
        <v>197</v>
      </c>
      <c r="L14" s="243"/>
      <c r="M14" s="243"/>
      <c r="N14" s="243"/>
      <c r="O14" s="243"/>
      <c r="P14" s="243"/>
      <c r="Q14" s="243"/>
      <c r="R14" s="243"/>
      <c r="S14" s="243"/>
      <c r="T14" s="243"/>
      <c r="U14" s="243"/>
      <c r="V14" s="243"/>
      <c r="W14" s="243"/>
      <c r="X14" s="243"/>
      <c r="Y14" s="243"/>
      <c r="Z14" s="243"/>
      <c r="AA14" s="243"/>
      <c r="AB14" s="243"/>
      <c r="AD14" s="60"/>
    </row>
    <row r="15" spans="1:30" ht="15" customHeight="1">
      <c r="A15" s="245" t="s">
        <v>194</v>
      </c>
      <c r="B15" s="246"/>
      <c r="C15" s="246"/>
      <c r="D15" s="246"/>
      <c r="E15" s="246"/>
      <c r="F15" s="246"/>
      <c r="G15" s="246"/>
      <c r="H15" s="246"/>
      <c r="I15" s="230">
        <f>VLOOKUP($F$5,'VAL 2 TRIM'!$B$9:$AM$23,3,FALSE)</f>
        <v>0</v>
      </c>
      <c r="J15" s="230"/>
      <c r="K15" s="231" t="s">
        <v>207</v>
      </c>
      <c r="L15" s="232"/>
      <c r="M15" s="232"/>
      <c r="N15" s="232"/>
      <c r="O15" s="232"/>
      <c r="P15" s="232"/>
      <c r="Q15" s="232"/>
      <c r="R15" s="232"/>
      <c r="S15" s="232"/>
      <c r="T15" s="232"/>
      <c r="U15" s="232"/>
      <c r="V15" s="232"/>
      <c r="W15" s="232"/>
      <c r="X15" s="232"/>
      <c r="Y15" s="232"/>
      <c r="Z15" s="232"/>
      <c r="AA15" s="232"/>
      <c r="AB15" s="232"/>
      <c r="AC15">
        <f>IF(I15=0,1,0)</f>
        <v>1</v>
      </c>
      <c r="AD15" s="183">
        <v>1</v>
      </c>
    </row>
    <row r="16" spans="1:30" ht="15" customHeight="1">
      <c r="A16" s="247" t="s">
        <v>175</v>
      </c>
      <c r="B16" s="247"/>
      <c r="C16" s="247"/>
      <c r="D16" s="247"/>
      <c r="E16" s="247"/>
      <c r="F16" s="247"/>
      <c r="G16" s="247"/>
      <c r="H16" s="247"/>
      <c r="I16" s="230">
        <f>VLOOKUP($F$5,'VAL 2 TRIM'!$B$9:$AM$23,4,FALSE)</f>
        <v>0</v>
      </c>
      <c r="J16" s="230"/>
      <c r="K16" s="230"/>
      <c r="L16" s="230"/>
      <c r="M16" s="230"/>
      <c r="N16" s="230"/>
      <c r="O16" s="230"/>
      <c r="P16" s="230"/>
      <c r="Q16" s="230"/>
      <c r="R16" s="230"/>
      <c r="S16" s="230"/>
      <c r="T16" s="230"/>
      <c r="U16" s="230"/>
      <c r="V16" s="230"/>
      <c r="W16" s="230"/>
      <c r="X16" s="230"/>
      <c r="Y16" s="230"/>
      <c r="Z16" s="230"/>
      <c r="AA16" s="230"/>
      <c r="AB16" s="230"/>
      <c r="AC16" s="158">
        <f t="shared" ref="AC16:AC17" si="0">IF(I16=0,1,0)</f>
        <v>1</v>
      </c>
      <c r="AD16" s="183">
        <v>1</v>
      </c>
    </row>
    <row r="17" spans="1:30" ht="15" customHeight="1">
      <c r="A17" s="248" t="s">
        <v>193</v>
      </c>
      <c r="B17" s="247"/>
      <c r="C17" s="247"/>
      <c r="D17" s="247"/>
      <c r="E17" s="247"/>
      <c r="F17" s="247"/>
      <c r="G17" s="247"/>
      <c r="H17" s="247"/>
      <c r="I17" s="230">
        <f>VLOOKUP($F$5,'VAL 2 TRIM'!$B$9:$AM$23,5,FALSE)</f>
        <v>0</v>
      </c>
      <c r="J17" s="230"/>
      <c r="K17" s="230"/>
      <c r="L17" s="230"/>
      <c r="M17" s="230"/>
      <c r="N17" s="230"/>
      <c r="O17" s="230"/>
      <c r="P17" s="230"/>
      <c r="Q17" s="230"/>
      <c r="R17" s="230"/>
      <c r="S17" s="230"/>
      <c r="T17" s="230"/>
      <c r="U17" s="230"/>
      <c r="V17" s="230"/>
      <c r="W17" s="230"/>
      <c r="X17" s="230"/>
      <c r="Y17" s="230"/>
      <c r="Z17" s="230"/>
      <c r="AA17" s="230"/>
      <c r="AB17" s="230"/>
      <c r="AC17" s="158">
        <f t="shared" si="0"/>
        <v>1</v>
      </c>
      <c r="AD17" s="184">
        <v>1</v>
      </c>
    </row>
    <row r="18" spans="1:30" ht="15" customHeight="1">
      <c r="A18" s="233" t="s">
        <v>81</v>
      </c>
      <c r="B18" s="234"/>
      <c r="C18" s="234"/>
      <c r="D18" s="234"/>
      <c r="E18" s="234"/>
      <c r="F18" s="234"/>
      <c r="G18" s="234"/>
      <c r="H18" s="234"/>
      <c r="I18" s="244">
        <f>SUM(I15:J17)/3</f>
        <v>0</v>
      </c>
      <c r="J18" s="244"/>
      <c r="K18" s="230"/>
      <c r="L18" s="230"/>
      <c r="M18" s="230"/>
      <c r="N18" s="230"/>
      <c r="O18" s="230"/>
      <c r="P18" s="230"/>
      <c r="Q18" s="230"/>
      <c r="R18" s="230"/>
      <c r="S18" s="230"/>
      <c r="T18" s="230"/>
      <c r="U18" s="230"/>
      <c r="V18" s="230"/>
      <c r="W18" s="230"/>
      <c r="X18" s="230"/>
      <c r="Y18" s="230"/>
      <c r="Z18" s="230"/>
      <c r="AA18" s="230"/>
      <c r="AB18" s="230"/>
      <c r="AC18">
        <f>SUM(AC15:AC17)</f>
        <v>3</v>
      </c>
    </row>
    <row r="19" spans="1:30" ht="9.75" customHeight="1"/>
    <row r="20" spans="1:30" ht="15" customHeight="1">
      <c r="A20" s="243" t="s">
        <v>199</v>
      </c>
      <c r="B20" s="243"/>
      <c r="C20" s="243"/>
      <c r="D20" s="243"/>
      <c r="E20" s="243"/>
      <c r="F20" s="243"/>
      <c r="G20" s="243"/>
      <c r="H20" s="243"/>
      <c r="I20" s="243"/>
      <c r="J20" s="243"/>
      <c r="K20" s="243"/>
      <c r="L20" s="243"/>
      <c r="M20" s="243"/>
      <c r="N20" s="243"/>
      <c r="O20" s="243"/>
      <c r="P20" s="243"/>
      <c r="Q20" s="243"/>
      <c r="R20" s="243"/>
      <c r="S20" s="243"/>
      <c r="T20" s="243"/>
      <c r="U20" s="243"/>
      <c r="V20" s="243"/>
      <c r="W20" s="243"/>
      <c r="X20" s="243"/>
      <c r="Y20" s="243"/>
      <c r="Z20" s="243"/>
      <c r="AA20" s="243"/>
      <c r="AB20" s="243"/>
    </row>
    <row r="21" spans="1:30" ht="15" customHeight="1">
      <c r="A21" s="243" t="s">
        <v>195</v>
      </c>
      <c r="B21" s="243"/>
      <c r="C21" s="243"/>
      <c r="D21" s="243"/>
      <c r="E21" s="243"/>
      <c r="F21" s="243"/>
      <c r="G21" s="243"/>
      <c r="H21" s="243"/>
      <c r="I21" s="243" t="s">
        <v>196</v>
      </c>
      <c r="J21" s="243"/>
      <c r="K21" s="243" t="s">
        <v>197</v>
      </c>
      <c r="L21" s="243"/>
      <c r="M21" s="243"/>
      <c r="N21" s="243"/>
      <c r="O21" s="243"/>
      <c r="P21" s="243"/>
      <c r="Q21" s="243"/>
      <c r="R21" s="243"/>
      <c r="S21" s="243"/>
      <c r="T21" s="243"/>
      <c r="U21" s="243"/>
      <c r="V21" s="243"/>
      <c r="W21" s="243"/>
      <c r="X21" s="243"/>
      <c r="Y21" s="243"/>
      <c r="Z21" s="243"/>
      <c r="AA21" s="243"/>
      <c r="AB21" s="243"/>
    </row>
    <row r="22" spans="1:30" ht="15" customHeight="1">
      <c r="A22" s="237" t="s">
        <v>170</v>
      </c>
      <c r="B22" s="238"/>
      <c r="C22" s="238"/>
      <c r="D22" s="238"/>
      <c r="E22" s="238"/>
      <c r="F22" s="238"/>
      <c r="G22" s="238"/>
      <c r="H22" s="239"/>
      <c r="I22" s="230">
        <f>VLOOKUP($F$5,'VAL 2 TRIM'!$B$9:$AM$23,16,FALSE)</f>
        <v>0</v>
      </c>
      <c r="J22" s="230"/>
      <c r="K22" s="231" t="s">
        <v>206</v>
      </c>
      <c r="L22" s="232"/>
      <c r="M22" s="232"/>
      <c r="N22" s="232"/>
      <c r="O22" s="232"/>
      <c r="P22" s="232"/>
      <c r="Q22" s="232"/>
      <c r="R22" s="232"/>
      <c r="S22" s="232"/>
      <c r="T22" s="232"/>
      <c r="U22" s="232"/>
      <c r="V22" s="232"/>
      <c r="W22" s="232"/>
      <c r="X22" s="232"/>
      <c r="Y22" s="232"/>
      <c r="Z22" s="232"/>
      <c r="AA22" s="232"/>
      <c r="AB22" s="232"/>
      <c r="AC22" s="158">
        <f>IF(I22=0,1,0)</f>
        <v>1</v>
      </c>
      <c r="AD22">
        <v>1</v>
      </c>
    </row>
    <row r="23" spans="1:30" ht="15" customHeight="1">
      <c r="A23" s="240" t="s">
        <v>171</v>
      </c>
      <c r="B23" s="241"/>
      <c r="C23" s="241"/>
      <c r="D23" s="241"/>
      <c r="E23" s="241"/>
      <c r="F23" s="241"/>
      <c r="G23" s="241"/>
      <c r="H23" s="242"/>
      <c r="I23" s="230">
        <f>VLOOKUP($F$5,'VAL 2 TRIM'!$B$9:$AM$23,17,FALSE)</f>
        <v>0</v>
      </c>
      <c r="J23" s="230"/>
      <c r="K23" s="231" t="s">
        <v>205</v>
      </c>
      <c r="L23" s="232"/>
      <c r="M23" s="232"/>
      <c r="N23" s="232"/>
      <c r="O23" s="232"/>
      <c r="P23" s="232"/>
      <c r="Q23" s="232"/>
      <c r="R23" s="232"/>
      <c r="S23" s="232"/>
      <c r="T23" s="232"/>
      <c r="U23" s="232"/>
      <c r="V23" s="232"/>
      <c r="W23" s="232"/>
      <c r="X23" s="232"/>
      <c r="Y23" s="232"/>
      <c r="Z23" s="232"/>
      <c r="AA23" s="232"/>
      <c r="AB23" s="232"/>
      <c r="AC23" s="158">
        <f t="shared" ref="AC23:AC24" si="1">IF(I23=0,1,0)</f>
        <v>1</v>
      </c>
      <c r="AD23">
        <v>1</v>
      </c>
    </row>
    <row r="24" spans="1:30" ht="15" customHeight="1">
      <c r="A24" s="227" t="s">
        <v>173</v>
      </c>
      <c r="B24" s="228"/>
      <c r="C24" s="228"/>
      <c r="D24" s="228"/>
      <c r="E24" s="228"/>
      <c r="F24" s="228"/>
      <c r="G24" s="228"/>
      <c r="H24" s="229"/>
      <c r="I24" s="230">
        <f>VLOOKUP($F$5,'VAL 2 TRIM'!$B$9:$AM$23,18,FALSE)</f>
        <v>0</v>
      </c>
      <c r="J24" s="230"/>
      <c r="K24" s="231" t="s">
        <v>201</v>
      </c>
      <c r="L24" s="232"/>
      <c r="M24" s="232"/>
      <c r="N24" s="232"/>
      <c r="O24" s="232"/>
      <c r="P24" s="232"/>
      <c r="Q24" s="232"/>
      <c r="R24" s="232"/>
      <c r="S24" s="232"/>
      <c r="T24" s="232"/>
      <c r="U24" s="232"/>
      <c r="V24" s="232"/>
      <c r="W24" s="232"/>
      <c r="X24" s="232"/>
      <c r="Y24" s="232"/>
      <c r="Z24" s="232"/>
      <c r="AA24" s="232"/>
      <c r="AB24" s="232"/>
      <c r="AC24" s="158">
        <f t="shared" si="1"/>
        <v>1</v>
      </c>
      <c r="AD24">
        <v>1</v>
      </c>
    </row>
    <row r="25" spans="1:30" ht="15" customHeight="1">
      <c r="A25" s="233" t="s">
        <v>81</v>
      </c>
      <c r="B25" s="234"/>
      <c r="C25" s="234"/>
      <c r="D25" s="234"/>
      <c r="E25" s="234"/>
      <c r="F25" s="234"/>
      <c r="G25" s="234"/>
      <c r="H25" s="234"/>
      <c r="I25" s="235">
        <f>SUM(I22:J24)/3</f>
        <v>0</v>
      </c>
      <c r="J25" s="235"/>
      <c r="K25" s="236"/>
      <c r="L25" s="236"/>
      <c r="M25" s="236"/>
      <c r="N25" s="236"/>
      <c r="O25" s="236"/>
      <c r="P25" s="236"/>
      <c r="Q25" s="236"/>
      <c r="R25" s="236"/>
      <c r="S25" s="236"/>
      <c r="T25" s="236"/>
      <c r="U25" s="236"/>
      <c r="V25" s="236"/>
      <c r="W25" s="236"/>
      <c r="X25" s="236"/>
      <c r="Y25" s="236"/>
      <c r="Z25" s="236"/>
      <c r="AA25" s="236"/>
      <c r="AB25" s="236"/>
      <c r="AC25" s="158">
        <f>SUM(AC22:AC24)</f>
        <v>3</v>
      </c>
      <c r="AD25" s="185">
        <f>SUM(AD15:AD24)</f>
        <v>6</v>
      </c>
    </row>
    <row r="26" spans="1:30" ht="15" customHeight="1">
      <c r="A26" s="225"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DAVILA LAPACA DIEGO LEONEL  durante el segundo trimestre tuvo 3 Asistencias, 8 Faltas, 0 Retrasos, 0 Licencias,  Total de Dias Trabajados 11, en relacion a las practicas No presentó 6 Practicas de las 6  tareas (El estudiante puede presentar practicas por una ponderacion de 20 puntos)</v>
      </c>
      <c r="B26" s="225"/>
      <c r="C26" s="225"/>
      <c r="D26" s="225"/>
      <c r="E26" s="225"/>
      <c r="F26" s="225"/>
      <c r="G26" s="225"/>
      <c r="H26" s="225"/>
      <c r="I26" s="225"/>
      <c r="J26" s="225"/>
      <c r="K26" s="225"/>
      <c r="L26" s="225"/>
      <c r="M26" s="225"/>
      <c r="N26" s="225"/>
      <c r="O26" s="225"/>
      <c r="P26" s="225"/>
      <c r="Q26" s="225"/>
      <c r="R26" s="225"/>
      <c r="S26" s="225"/>
      <c r="T26" s="225"/>
      <c r="U26" s="225"/>
      <c r="V26" s="225"/>
      <c r="W26" s="225"/>
      <c r="X26" s="225"/>
      <c r="Y26" s="225"/>
      <c r="Z26" s="225"/>
      <c r="AA26" s="225"/>
      <c r="AB26" s="225"/>
      <c r="AC26">
        <f>AC18+AC25</f>
        <v>6</v>
      </c>
    </row>
    <row r="27" spans="1:30" ht="15" customHeight="1">
      <c r="A27" s="226"/>
      <c r="B27" s="226"/>
      <c r="C27" s="226"/>
      <c r="D27" s="226"/>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row>
    <row r="28" spans="1:30" ht="8.25" customHeight="1"/>
    <row r="29" spans="1:30" ht="19.5" customHeight="1"/>
    <row r="31" spans="1:30">
      <c r="AD31" s="185"/>
    </row>
  </sheetData>
  <dataConsolidate/>
  <mergeCells count="43">
    <mergeCell ref="A2:AB2"/>
    <mergeCell ref="F4:N4"/>
    <mergeCell ref="R4:Z4"/>
    <mergeCell ref="O4:Q4"/>
    <mergeCell ref="A8:AB8"/>
    <mergeCell ref="A4:E4"/>
    <mergeCell ref="A5:E5"/>
    <mergeCell ref="F5:Z5"/>
    <mergeCell ref="A6:E6"/>
    <mergeCell ref="F6:Z6"/>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0:AB20"/>
    <mergeCell ref="A21:H21"/>
    <mergeCell ref="I21:J21"/>
    <mergeCell ref="K21:AB21"/>
    <mergeCell ref="A18:H18"/>
    <mergeCell ref="I18:J18"/>
    <mergeCell ref="K18:AB18"/>
    <mergeCell ref="A22:H22"/>
    <mergeCell ref="I22:J22"/>
    <mergeCell ref="K22:AB22"/>
    <mergeCell ref="A23:H23"/>
    <mergeCell ref="I23:J23"/>
    <mergeCell ref="K23:AB23"/>
    <mergeCell ref="A26:AB27"/>
    <mergeCell ref="A24:H24"/>
    <mergeCell ref="I24:J24"/>
    <mergeCell ref="K24:AB24"/>
    <mergeCell ref="A25:H25"/>
    <mergeCell ref="I25:J25"/>
    <mergeCell ref="K25:AB25"/>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7734375" defaultRowHeight="15" customHeight="1"/>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77343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4" t="s">
        <v>76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2" t="s">
        <v>48</v>
      </c>
      <c r="AD3" s="256"/>
      <c r="AE3" s="256"/>
      <c r="AF3" s="256"/>
      <c r="AG3" s="256"/>
      <c r="AH3" s="257"/>
      <c r="AI3" s="222">
        <f>CARÁTULA!$H$14</f>
        <v>44228</v>
      </c>
      <c r="AJ3" s="204"/>
      <c r="AK3" s="204"/>
      <c r="AL3" s="204"/>
      <c r="AM3" s="204"/>
      <c r="AN3" s="275" t="s">
        <v>49</v>
      </c>
      <c r="AO3" s="195"/>
      <c r="AP3" s="195"/>
      <c r="AQ3" s="195"/>
      <c r="AR3" s="196"/>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2" t="s">
        <v>51</v>
      </c>
      <c r="AD4" s="256"/>
      <c r="AE4" s="256"/>
      <c r="AF4" s="256"/>
      <c r="AG4" s="256"/>
      <c r="AH4" s="257"/>
      <c r="AI4" s="222">
        <f>CARÁTULA!$J$14</f>
        <v>44323</v>
      </c>
      <c r="AJ4" s="204"/>
      <c r="AK4" s="204"/>
      <c r="AL4" s="204"/>
      <c r="AM4" s="204"/>
      <c r="AN4" s="224">
        <f ca="1">AI4-AI5</f>
        <v>-130</v>
      </c>
      <c r="AO4" s="214"/>
      <c r="AP4" s="214"/>
      <c r="AQ4" s="214"/>
      <c r="AR4" s="215"/>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8">
        <f ca="1">TODAY()</f>
        <v>44453</v>
      </c>
      <c r="T5" s="195"/>
      <c r="U5" s="195"/>
      <c r="V5" s="195"/>
      <c r="W5" s="195"/>
      <c r="X5" s="195"/>
      <c r="Y5" s="195"/>
      <c r="Z5" s="195"/>
      <c r="AA5" s="196"/>
      <c r="AB5" s="76"/>
      <c r="AC5" s="273" t="s">
        <v>52</v>
      </c>
      <c r="AD5" s="256"/>
      <c r="AE5" s="256"/>
      <c r="AF5" s="256"/>
      <c r="AG5" s="256"/>
      <c r="AH5" s="257"/>
      <c r="AI5" s="276">
        <f ca="1">TODAY()</f>
        <v>44453</v>
      </c>
      <c r="AJ5" s="204"/>
      <c r="AK5" s="204"/>
      <c r="AL5" s="204"/>
      <c r="AM5" s="204"/>
      <c r="AN5" s="216"/>
      <c r="AO5" s="217"/>
      <c r="AP5" s="217"/>
      <c r="AQ5" s="217"/>
      <c r="AR5" s="218"/>
    </row>
    <row r="6" spans="1:48" ht="12.75" customHeight="1">
      <c r="A6" s="71"/>
      <c r="B6" s="74"/>
      <c r="C6" s="210" t="s">
        <v>77</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78</v>
      </c>
      <c r="AC6" s="256"/>
      <c r="AD6" s="256"/>
      <c r="AE6" s="257"/>
      <c r="AF6" s="80"/>
      <c r="AG6" s="81"/>
      <c r="AH6" s="81"/>
      <c r="AI6" s="82"/>
      <c r="AJ6" s="83"/>
      <c r="AK6" s="83"/>
      <c r="AL6" s="83"/>
      <c r="AM6" s="83"/>
      <c r="AN6" s="84"/>
      <c r="AO6" s="84"/>
      <c r="AP6" s="84"/>
      <c r="AQ6" s="84"/>
      <c r="AR6" s="84"/>
    </row>
    <row r="7" spans="1:48" ht="12" customHeight="1">
      <c r="A7" s="71"/>
      <c r="B7" s="85"/>
      <c r="C7" s="270" t="s">
        <v>79</v>
      </c>
      <c r="D7" s="271" t="s">
        <v>80</v>
      </c>
      <c r="E7" s="256"/>
      <c r="F7" s="256"/>
      <c r="G7" s="256"/>
      <c r="H7" s="256"/>
      <c r="I7" s="256"/>
      <c r="J7" s="256"/>
      <c r="K7" s="256"/>
      <c r="L7" s="256"/>
      <c r="M7" s="256"/>
      <c r="N7" s="256"/>
      <c r="O7" s="267" t="s">
        <v>81</v>
      </c>
      <c r="P7" s="271" t="s">
        <v>82</v>
      </c>
      <c r="Q7" s="256"/>
      <c r="R7" s="256"/>
      <c r="S7" s="256"/>
      <c r="T7" s="256"/>
      <c r="U7" s="256"/>
      <c r="V7" s="256"/>
      <c r="W7" s="256"/>
      <c r="X7" s="256"/>
      <c r="Y7" s="256"/>
      <c r="Z7" s="256"/>
      <c r="AA7" s="266" t="s">
        <v>83</v>
      </c>
      <c r="AB7" s="267" t="s">
        <v>81</v>
      </c>
      <c r="AC7" s="266" t="s">
        <v>84</v>
      </c>
      <c r="AD7" s="266" t="s">
        <v>85</v>
      </c>
      <c r="AE7" s="267" t="s">
        <v>81</v>
      </c>
      <c r="AF7" s="259" t="s">
        <v>86</v>
      </c>
      <c r="AG7" s="261" t="s">
        <v>87</v>
      </c>
      <c r="AH7" s="262" t="s">
        <v>88</v>
      </c>
      <c r="AI7" s="211"/>
      <c r="AJ7" s="211"/>
      <c r="AK7" s="211"/>
      <c r="AL7" s="211"/>
      <c r="AM7" s="212"/>
      <c r="AN7" s="86"/>
      <c r="AO7" s="76"/>
      <c r="AP7" s="76"/>
      <c r="AQ7" s="76"/>
      <c r="AR7" s="71"/>
    </row>
    <row r="8" spans="1:48" ht="154.5">
      <c r="A8" s="49" t="s">
        <v>53</v>
      </c>
      <c r="B8" s="50" t="s">
        <v>54</v>
      </c>
      <c r="C8" s="260"/>
      <c r="D8" s="87" t="s">
        <v>89</v>
      </c>
      <c r="E8" s="87" t="s">
        <v>90</v>
      </c>
      <c r="F8" s="87" t="s">
        <v>91</v>
      </c>
      <c r="G8" s="88"/>
      <c r="H8" s="51"/>
      <c r="I8" s="54"/>
      <c r="J8" s="54"/>
      <c r="K8" s="54"/>
      <c r="L8" s="54"/>
      <c r="M8" s="54"/>
      <c r="N8" s="55"/>
      <c r="O8" s="260"/>
      <c r="P8" s="89" t="s">
        <v>92</v>
      </c>
      <c r="Q8" s="89" t="s">
        <v>93</v>
      </c>
      <c r="R8" s="89" t="s">
        <v>94</v>
      </c>
      <c r="S8" s="90"/>
      <c r="T8" s="51"/>
      <c r="U8" s="54"/>
      <c r="V8" s="54"/>
      <c r="W8" s="54"/>
      <c r="X8" s="54"/>
      <c r="Y8" s="54"/>
      <c r="Z8" s="54"/>
      <c r="AA8" s="260"/>
      <c r="AB8" s="260"/>
      <c r="AC8" s="260"/>
      <c r="AD8" s="260"/>
      <c r="AE8" s="260"/>
      <c r="AF8" s="260"/>
      <c r="AG8" s="260"/>
      <c r="AH8" s="263"/>
      <c r="AI8" s="264"/>
      <c r="AJ8" s="264"/>
      <c r="AK8" s="264"/>
      <c r="AL8" s="264"/>
      <c r="AM8" s="265"/>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55" t="str">
        <f t="shared" ref="AH9:AH44" si="5">IF(AG9="","",(IF(AND(AG9&gt;=1,AG9&lt;=50.499),"REPROBADO",IF(AND(AG9&gt;=50.5,AG9&lt;=100),"APROBADO"))))</f>
        <v>APROBADO</v>
      </c>
      <c r="AI9" s="256"/>
      <c r="AJ9" s="256"/>
      <c r="AK9" s="256"/>
      <c r="AL9" s="256"/>
      <c r="AM9" s="257"/>
      <c r="AN9" s="97" t="s">
        <v>95</v>
      </c>
      <c r="AO9" s="258">
        <f>COUNTIF(AF9:AF44,"ED")</f>
        <v>5</v>
      </c>
      <c r="AP9" s="257"/>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55" t="str">
        <f t="shared" si="5"/>
        <v>REPROBADO</v>
      </c>
      <c r="AI10" s="256"/>
      <c r="AJ10" s="256"/>
      <c r="AK10" s="256"/>
      <c r="AL10" s="256"/>
      <c r="AM10" s="257"/>
      <c r="AN10" s="49" t="s">
        <v>96</v>
      </c>
      <c r="AO10" s="258">
        <f>COUNTIF(AF9:AF44,"DA")</f>
        <v>1</v>
      </c>
      <c r="AP10" s="257"/>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55" t="str">
        <f t="shared" si="5"/>
        <v>APROBADO</v>
      </c>
      <c r="AI11" s="256"/>
      <c r="AJ11" s="256"/>
      <c r="AK11" s="256"/>
      <c r="AL11" s="256"/>
      <c r="AM11" s="257"/>
      <c r="AN11" s="49" t="s">
        <v>97</v>
      </c>
      <c r="AO11" s="258">
        <f>COUNTIF(AF9:AF44,"DO")</f>
        <v>2</v>
      </c>
      <c r="AP11" s="257"/>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55" t="str">
        <f t="shared" si="5"/>
        <v>APROBADO</v>
      </c>
      <c r="AI12" s="256"/>
      <c r="AJ12" s="256"/>
      <c r="AK12" s="256"/>
      <c r="AL12" s="256"/>
      <c r="AM12" s="257"/>
      <c r="AN12" s="49" t="s">
        <v>98</v>
      </c>
      <c r="AO12" s="258">
        <f>COUNTIF(AF9:AF44,"DP")</f>
        <v>28</v>
      </c>
      <c r="AP12" s="257"/>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55" t="str">
        <f t="shared" si="5"/>
        <v>REPROBADO</v>
      </c>
      <c r="AI13" s="256"/>
      <c r="AJ13" s="256"/>
      <c r="AK13" s="256"/>
      <c r="AL13" s="256"/>
      <c r="AM13" s="257"/>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55" t="str">
        <f t="shared" si="5"/>
        <v>APROBADO</v>
      </c>
      <c r="AI14" s="256"/>
      <c r="AJ14" s="256"/>
      <c r="AK14" s="256"/>
      <c r="AL14" s="256"/>
      <c r="AM14" s="257"/>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55" t="str">
        <f t="shared" si="5"/>
        <v>REPROBADO</v>
      </c>
      <c r="AI15" s="256"/>
      <c r="AJ15" s="256"/>
      <c r="AK15" s="256"/>
      <c r="AL15" s="256"/>
      <c r="AM15" s="257"/>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55" t="str">
        <f t="shared" si="5"/>
        <v>APROBADO</v>
      </c>
      <c r="AI16" s="256"/>
      <c r="AJ16" s="256"/>
      <c r="AK16" s="256"/>
      <c r="AL16" s="256"/>
      <c r="AM16" s="257"/>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55" t="str">
        <f t="shared" si="5"/>
        <v>APROBADO</v>
      </c>
      <c r="AI17" s="256"/>
      <c r="AJ17" s="256"/>
      <c r="AK17" s="256"/>
      <c r="AL17" s="256"/>
      <c r="AM17" s="257"/>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55" t="str">
        <f t="shared" si="5"/>
        <v>APROBADO</v>
      </c>
      <c r="AI18" s="256"/>
      <c r="AJ18" s="256"/>
      <c r="AK18" s="256"/>
      <c r="AL18" s="256"/>
      <c r="AM18" s="257"/>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55" t="str">
        <f t="shared" si="5"/>
        <v>APROBADO</v>
      </c>
      <c r="AI19" s="256"/>
      <c r="AJ19" s="256"/>
      <c r="AK19" s="256"/>
      <c r="AL19" s="256"/>
      <c r="AM19" s="257"/>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55" t="str">
        <f t="shared" si="5"/>
        <v>REPROBADO</v>
      </c>
      <c r="AI20" s="256"/>
      <c r="AJ20" s="256"/>
      <c r="AK20" s="256"/>
      <c r="AL20" s="256"/>
      <c r="AM20" s="257"/>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55" t="str">
        <f t="shared" si="5"/>
        <v>REPROBADO</v>
      </c>
      <c r="AI21" s="256"/>
      <c r="AJ21" s="256"/>
      <c r="AK21" s="256"/>
      <c r="AL21" s="256"/>
      <c r="AM21" s="257"/>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55" t="str">
        <f t="shared" si="5"/>
        <v>APROBADO</v>
      </c>
      <c r="AI22" s="256"/>
      <c r="AJ22" s="256"/>
      <c r="AK22" s="256"/>
      <c r="AL22" s="256"/>
      <c r="AM22" s="257"/>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55" t="str">
        <f t="shared" si="5"/>
        <v>APROBADO</v>
      </c>
      <c r="AI23" s="256"/>
      <c r="AJ23" s="256"/>
      <c r="AK23" s="256"/>
      <c r="AL23" s="256"/>
      <c r="AM23" s="257"/>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5" t="str">
        <f t="shared" si="5"/>
        <v>APROBADO</v>
      </c>
      <c r="AI24" s="256"/>
      <c r="AJ24" s="256"/>
      <c r="AK24" s="256"/>
      <c r="AL24" s="256"/>
      <c r="AM24" s="257"/>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5" t="str">
        <f t="shared" si="5"/>
        <v>APROBADO</v>
      </c>
      <c r="AI25" s="256"/>
      <c r="AJ25" s="256"/>
      <c r="AK25" s="256"/>
      <c r="AL25" s="256"/>
      <c r="AM25" s="257"/>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5" t="str">
        <f t="shared" si="5"/>
        <v>APROBADO</v>
      </c>
      <c r="AI26" s="256"/>
      <c r="AJ26" s="256"/>
      <c r="AK26" s="256"/>
      <c r="AL26" s="256"/>
      <c r="AM26" s="257"/>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5" t="str">
        <f t="shared" si="5"/>
        <v>APROBADO</v>
      </c>
      <c r="AI27" s="256"/>
      <c r="AJ27" s="256"/>
      <c r="AK27" s="256"/>
      <c r="AL27" s="256"/>
      <c r="AM27" s="257"/>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5" t="str">
        <f t="shared" si="5"/>
        <v>APROBADO</v>
      </c>
      <c r="AI28" s="256"/>
      <c r="AJ28" s="256"/>
      <c r="AK28" s="256"/>
      <c r="AL28" s="256"/>
      <c r="AM28" s="257"/>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5" t="str">
        <f t="shared" si="5"/>
        <v>APROBADO</v>
      </c>
      <c r="AI29" s="256"/>
      <c r="AJ29" s="256"/>
      <c r="AK29" s="256"/>
      <c r="AL29" s="256"/>
      <c r="AM29" s="257"/>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5" t="str">
        <f t="shared" si="5"/>
        <v>APROBADO</v>
      </c>
      <c r="AI30" s="256"/>
      <c r="AJ30" s="256"/>
      <c r="AK30" s="256"/>
      <c r="AL30" s="256"/>
      <c r="AM30" s="257"/>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5" t="str">
        <f t="shared" si="5"/>
        <v>APROBADO</v>
      </c>
      <c r="AI31" s="256"/>
      <c r="AJ31" s="256"/>
      <c r="AK31" s="256"/>
      <c r="AL31" s="256"/>
      <c r="AM31" s="257"/>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5" t="str">
        <f t="shared" si="5"/>
        <v>APROBADO</v>
      </c>
      <c r="AI32" s="256"/>
      <c r="AJ32" s="256"/>
      <c r="AK32" s="256"/>
      <c r="AL32" s="256"/>
      <c r="AM32" s="257"/>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5" t="str">
        <f t="shared" si="5"/>
        <v>APROBADO</v>
      </c>
      <c r="AI33" s="256"/>
      <c r="AJ33" s="256"/>
      <c r="AK33" s="256"/>
      <c r="AL33" s="256"/>
      <c r="AM33" s="257"/>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5" t="str">
        <f t="shared" si="5"/>
        <v>APROBADO</v>
      </c>
      <c r="AI34" s="256"/>
      <c r="AJ34" s="256"/>
      <c r="AK34" s="256"/>
      <c r="AL34" s="256"/>
      <c r="AM34" s="257"/>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5" t="str">
        <f t="shared" si="5"/>
        <v>APROBADO</v>
      </c>
      <c r="AI35" s="256"/>
      <c r="AJ35" s="256"/>
      <c r="AK35" s="256"/>
      <c r="AL35" s="256"/>
      <c r="AM35" s="257"/>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5" t="str">
        <f t="shared" si="5"/>
        <v>APROBADO</v>
      </c>
      <c r="AI36" s="256"/>
      <c r="AJ36" s="256"/>
      <c r="AK36" s="256"/>
      <c r="AL36" s="256"/>
      <c r="AM36" s="257"/>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5" t="str">
        <f t="shared" si="5"/>
        <v>APROBADO</v>
      </c>
      <c r="AI37" s="256"/>
      <c r="AJ37" s="256"/>
      <c r="AK37" s="256"/>
      <c r="AL37" s="256"/>
      <c r="AM37" s="257"/>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5" t="str">
        <f t="shared" si="5"/>
        <v>APROBADO</v>
      </c>
      <c r="AI38" s="256"/>
      <c r="AJ38" s="256"/>
      <c r="AK38" s="256"/>
      <c r="AL38" s="256"/>
      <c r="AM38" s="257"/>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5" t="str">
        <f t="shared" si="5"/>
        <v>APROBADO</v>
      </c>
      <c r="AI39" s="256"/>
      <c r="AJ39" s="256"/>
      <c r="AK39" s="256"/>
      <c r="AL39" s="256"/>
      <c r="AM39" s="257"/>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5" t="str">
        <f t="shared" si="5"/>
        <v>APROBADO</v>
      </c>
      <c r="AI40" s="256"/>
      <c r="AJ40" s="256"/>
      <c r="AK40" s="256"/>
      <c r="AL40" s="256"/>
      <c r="AM40" s="257"/>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5" t="str">
        <f t="shared" si="5"/>
        <v>APROBADO</v>
      </c>
      <c r="AI41" s="256"/>
      <c r="AJ41" s="256"/>
      <c r="AK41" s="256"/>
      <c r="AL41" s="256"/>
      <c r="AM41" s="257"/>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5" t="str">
        <f t="shared" si="5"/>
        <v>APROBADO</v>
      </c>
      <c r="AI42" s="256"/>
      <c r="AJ42" s="256"/>
      <c r="AK42" s="256"/>
      <c r="AL42" s="256"/>
      <c r="AM42" s="257"/>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5" t="str">
        <f t="shared" si="5"/>
        <v>APROBADO</v>
      </c>
      <c r="AI43" s="256"/>
      <c r="AJ43" s="256"/>
      <c r="AK43" s="256"/>
      <c r="AL43" s="256"/>
      <c r="AM43" s="257"/>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5" t="str">
        <f t="shared" si="5"/>
        <v>APROBADO</v>
      </c>
      <c r="AI44" s="256"/>
      <c r="AJ44" s="256"/>
      <c r="AK44" s="256"/>
      <c r="AL44" s="256"/>
      <c r="AM44" s="257"/>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Q8" sqref="Q8:T8"/>
    </sheetView>
  </sheetViews>
  <sheetFormatPr baseColWidth="10" defaultColWidth="9.27734375" defaultRowHeight="15" customHeight="1"/>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77343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4" t="s">
        <v>99</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2" t="s">
        <v>48</v>
      </c>
      <c r="AD3" s="256"/>
      <c r="AE3" s="256"/>
      <c r="AF3" s="256"/>
      <c r="AG3" s="256"/>
      <c r="AH3" s="257"/>
      <c r="AI3" s="222">
        <f>CARÁTULA!$H$19</f>
        <v>44326</v>
      </c>
      <c r="AJ3" s="204"/>
      <c r="AK3" s="204"/>
      <c r="AL3" s="204"/>
      <c r="AM3" s="204"/>
      <c r="AN3" s="275" t="s">
        <v>49</v>
      </c>
      <c r="AO3" s="195"/>
      <c r="AP3" s="195"/>
      <c r="AQ3" s="195"/>
      <c r="AR3" s="196"/>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2" t="s">
        <v>51</v>
      </c>
      <c r="AD4" s="256"/>
      <c r="AE4" s="256"/>
      <c r="AF4" s="256"/>
      <c r="AG4" s="256"/>
      <c r="AH4" s="257"/>
      <c r="AI4" s="222">
        <f>CARÁTULA!$J$19</f>
        <v>44439</v>
      </c>
      <c r="AJ4" s="204"/>
      <c r="AK4" s="204"/>
      <c r="AL4" s="204"/>
      <c r="AM4" s="204"/>
      <c r="AN4" s="224">
        <f ca="1">AI4-AI5</f>
        <v>-14</v>
      </c>
      <c r="AO4" s="214"/>
      <c r="AP4" s="214"/>
      <c r="AQ4" s="214"/>
      <c r="AR4" s="215"/>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68">
        <f ca="1">TODAY()</f>
        <v>44453</v>
      </c>
      <c r="T5" s="195"/>
      <c r="U5" s="195"/>
      <c r="V5" s="195"/>
      <c r="W5" s="195"/>
      <c r="X5" s="195"/>
      <c r="Y5" s="195"/>
      <c r="Z5" s="195"/>
      <c r="AA5" s="196"/>
      <c r="AB5" s="76"/>
      <c r="AC5" s="273" t="s">
        <v>52</v>
      </c>
      <c r="AD5" s="256"/>
      <c r="AE5" s="256"/>
      <c r="AF5" s="256"/>
      <c r="AG5" s="256"/>
      <c r="AH5" s="257"/>
      <c r="AI5" s="276">
        <f ca="1">TODAY()</f>
        <v>44453</v>
      </c>
      <c r="AJ5" s="204"/>
      <c r="AK5" s="204"/>
      <c r="AL5" s="204"/>
      <c r="AM5" s="204"/>
      <c r="AN5" s="216"/>
      <c r="AO5" s="217"/>
      <c r="AP5" s="217"/>
      <c r="AQ5" s="217"/>
      <c r="AR5" s="218"/>
    </row>
    <row r="6" spans="1:48" ht="12.75" customHeight="1">
      <c r="A6" s="71"/>
      <c r="B6" s="74"/>
      <c r="C6" s="210" t="s">
        <v>77</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78</v>
      </c>
      <c r="AC6" s="256"/>
      <c r="AD6" s="256"/>
      <c r="AE6" s="257"/>
      <c r="AF6" s="80"/>
      <c r="AG6" s="81"/>
      <c r="AH6" s="81"/>
      <c r="AI6" s="82"/>
      <c r="AJ6" s="83"/>
      <c r="AK6" s="83"/>
      <c r="AL6" s="83"/>
      <c r="AM6" s="83"/>
      <c r="AN6" s="84"/>
      <c r="AO6" s="84"/>
      <c r="AP6" s="84"/>
      <c r="AQ6" s="84"/>
      <c r="AR6" s="84"/>
    </row>
    <row r="7" spans="1:48" ht="12" customHeight="1">
      <c r="A7" s="71"/>
      <c r="B7" s="85"/>
      <c r="C7" s="270" t="s">
        <v>79</v>
      </c>
      <c r="D7" s="271" t="s">
        <v>80</v>
      </c>
      <c r="E7" s="256"/>
      <c r="F7" s="256"/>
      <c r="G7" s="256"/>
      <c r="H7" s="256"/>
      <c r="I7" s="256"/>
      <c r="J7" s="256"/>
      <c r="K7" s="256"/>
      <c r="L7" s="256"/>
      <c r="M7" s="256"/>
      <c r="N7" s="256"/>
      <c r="O7" s="267" t="s">
        <v>81</v>
      </c>
      <c r="P7" s="271" t="s">
        <v>82</v>
      </c>
      <c r="Q7" s="256"/>
      <c r="R7" s="256"/>
      <c r="S7" s="256"/>
      <c r="T7" s="256"/>
      <c r="U7" s="256"/>
      <c r="V7" s="256"/>
      <c r="W7" s="256"/>
      <c r="X7" s="256"/>
      <c r="Y7" s="256"/>
      <c r="Z7" s="256"/>
      <c r="AA7" s="266" t="s">
        <v>83</v>
      </c>
      <c r="AB7" s="267" t="s">
        <v>81</v>
      </c>
      <c r="AC7" s="266" t="s">
        <v>84</v>
      </c>
      <c r="AD7" s="266" t="s">
        <v>85</v>
      </c>
      <c r="AE7" s="267" t="s">
        <v>81</v>
      </c>
      <c r="AF7" s="259" t="s">
        <v>86</v>
      </c>
      <c r="AG7" s="261" t="s">
        <v>87</v>
      </c>
      <c r="AH7" s="262" t="s">
        <v>88</v>
      </c>
      <c r="AI7" s="211"/>
      <c r="AJ7" s="211"/>
      <c r="AK7" s="211"/>
      <c r="AL7" s="211"/>
      <c r="AM7" s="212"/>
      <c r="AN7" s="86"/>
      <c r="AO7" s="76"/>
      <c r="AP7" s="76"/>
      <c r="AQ7" s="76"/>
      <c r="AR7" s="71"/>
    </row>
    <row r="8" spans="1:48" ht="67.5" customHeight="1">
      <c r="A8" s="49" t="s">
        <v>53</v>
      </c>
      <c r="B8" s="50" t="s">
        <v>54</v>
      </c>
      <c r="C8" s="260"/>
      <c r="D8" s="52" t="s">
        <v>172</v>
      </c>
      <c r="E8" s="54" t="s">
        <v>175</v>
      </c>
      <c r="F8" s="54" t="s">
        <v>174</v>
      </c>
      <c r="G8" s="54" t="s">
        <v>209</v>
      </c>
      <c r="H8" s="54" t="s">
        <v>211</v>
      </c>
      <c r="I8" s="54"/>
      <c r="J8" s="54"/>
      <c r="K8" s="54"/>
      <c r="L8" s="54"/>
      <c r="M8" s="54"/>
      <c r="N8" s="55"/>
      <c r="O8" s="260"/>
      <c r="P8" s="99"/>
      <c r="Q8" s="54" t="s">
        <v>170</v>
      </c>
      <c r="R8" s="52" t="s">
        <v>171</v>
      </c>
      <c r="S8" s="52" t="s">
        <v>173</v>
      </c>
      <c r="T8" s="54" t="s">
        <v>213</v>
      </c>
      <c r="U8" s="54"/>
      <c r="V8" s="54"/>
      <c r="W8" s="54"/>
      <c r="X8" s="54"/>
      <c r="Y8" s="54"/>
      <c r="Z8" s="54"/>
      <c r="AA8" s="260"/>
      <c r="AB8" s="260"/>
      <c r="AC8" s="260"/>
      <c r="AD8" s="260"/>
      <c r="AE8" s="260"/>
      <c r="AF8" s="260"/>
      <c r="AG8" s="260"/>
      <c r="AH8" s="263"/>
      <c r="AI8" s="264"/>
      <c r="AJ8" s="264"/>
      <c r="AK8" s="264"/>
      <c r="AL8" s="264"/>
      <c r="AM8" s="265"/>
      <c r="AN8" s="91"/>
      <c r="AO8" s="91"/>
      <c r="AP8" s="91"/>
      <c r="AQ8" s="91"/>
      <c r="AR8" s="92"/>
    </row>
    <row r="9" spans="1:48" ht="12" customHeight="1">
      <c r="A9" s="59">
        <v>1</v>
      </c>
      <c r="B9" s="93" t="str">
        <f>'C. FILIACION'!B8</f>
        <v>ARANCIBIA ARRAYA LUIS ANDRES</v>
      </c>
      <c r="C9" s="31">
        <v>10</v>
      </c>
      <c r="D9" s="31">
        <v>27</v>
      </c>
      <c r="E9" s="31">
        <v>27</v>
      </c>
      <c r="F9" s="62">
        <v>30</v>
      </c>
      <c r="G9" s="31">
        <v>30</v>
      </c>
      <c r="H9" s="31">
        <v>18</v>
      </c>
      <c r="I9" s="31"/>
      <c r="J9" s="31"/>
      <c r="K9" s="31"/>
      <c r="L9" s="31"/>
      <c r="M9" s="31"/>
      <c r="N9" s="31"/>
      <c r="O9" s="95">
        <f t="shared" ref="O9:O44" si="0">IFERROR(ROUND(AVERAGE(D9:N9),0),"")</f>
        <v>26</v>
      </c>
      <c r="P9" s="31"/>
      <c r="Q9" s="31">
        <v>15</v>
      </c>
      <c r="R9" s="31">
        <v>20</v>
      </c>
      <c r="S9" s="31">
        <v>18</v>
      </c>
      <c r="T9" s="31">
        <v>20</v>
      </c>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74</v>
      </c>
      <c r="AH9" s="255" t="str">
        <f t="shared" ref="AH9:AH44" si="5">IF(AG9="","",(IF(AND(AG9&gt;=1,AG9&lt;=50.499),"REPROBADO",IF(AND(AG9&gt;=50.5,AG9&lt;=100),"APROBADO"))))</f>
        <v>APROBADO</v>
      </c>
      <c r="AI9" s="256"/>
      <c r="AJ9" s="256"/>
      <c r="AK9" s="256"/>
      <c r="AL9" s="256"/>
      <c r="AM9" s="257"/>
      <c r="AN9" s="97" t="s">
        <v>95</v>
      </c>
      <c r="AO9" s="258">
        <f>COUNTIF(AF9:AF44,"ED")</f>
        <v>2</v>
      </c>
      <c r="AP9" s="257"/>
      <c r="AQ9" s="98"/>
      <c r="AR9" s="98"/>
    </row>
    <row r="10" spans="1:48" ht="12" customHeight="1">
      <c r="A10" s="59">
        <v>2</v>
      </c>
      <c r="B10" s="93" t="str">
        <f>'C. FILIACION'!B9</f>
        <v>ARIVIRI ALEXIS JHONATAN</v>
      </c>
      <c r="C10" s="31">
        <v>10</v>
      </c>
      <c r="D10" s="31">
        <v>18</v>
      </c>
      <c r="E10" s="31">
        <v>28</v>
      </c>
      <c r="F10" s="62">
        <v>17</v>
      </c>
      <c r="G10" s="31">
        <v>18</v>
      </c>
      <c r="H10" s="31"/>
      <c r="I10" s="31"/>
      <c r="J10" s="31"/>
      <c r="K10" s="31"/>
      <c r="L10" s="31"/>
      <c r="M10" s="31"/>
      <c r="N10" s="31"/>
      <c r="O10" s="95">
        <f t="shared" si="0"/>
        <v>20</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68</v>
      </c>
      <c r="AH10" s="255" t="str">
        <f t="shared" si="5"/>
        <v>APROBADO</v>
      </c>
      <c r="AI10" s="256"/>
      <c r="AJ10" s="256"/>
      <c r="AK10" s="256"/>
      <c r="AL10" s="256"/>
      <c r="AM10" s="257"/>
      <c r="AN10" s="49" t="s">
        <v>96</v>
      </c>
      <c r="AO10" s="258">
        <f>COUNTIF(AF9:AF44,"DA")</f>
        <v>1</v>
      </c>
      <c r="AP10" s="257"/>
      <c r="AQ10" s="98"/>
      <c r="AR10" s="98"/>
    </row>
    <row r="11" spans="1:48" ht="12" customHeight="1">
      <c r="A11" s="59">
        <v>3</v>
      </c>
      <c r="B11" s="93" t="str">
        <f>'C. FILIACION'!B10</f>
        <v>BASCOPE LOPEZ JHYMMY ANGHELO</v>
      </c>
      <c r="C11" s="31">
        <v>10</v>
      </c>
      <c r="D11" s="31">
        <v>21</v>
      </c>
      <c r="E11" s="31">
        <v>26</v>
      </c>
      <c r="F11" s="62">
        <v>17</v>
      </c>
      <c r="G11" s="31">
        <v>25</v>
      </c>
      <c r="H11" s="31">
        <v>20</v>
      </c>
      <c r="I11" s="31"/>
      <c r="J11" s="31"/>
      <c r="K11" s="31"/>
      <c r="L11" s="31"/>
      <c r="M11" s="31"/>
      <c r="N11" s="31"/>
      <c r="O11" s="95">
        <f t="shared" si="0"/>
        <v>22</v>
      </c>
      <c r="P11" s="31"/>
      <c r="Q11" s="31">
        <v>20</v>
      </c>
      <c r="R11" s="31">
        <v>18</v>
      </c>
      <c r="S11" s="31">
        <v>18</v>
      </c>
      <c r="T11" s="31">
        <v>35</v>
      </c>
      <c r="U11" s="31"/>
      <c r="V11" s="31"/>
      <c r="W11" s="31"/>
      <c r="X11" s="31"/>
      <c r="Y11" s="31"/>
      <c r="Z11" s="31"/>
      <c r="AA11" s="31">
        <v>10</v>
      </c>
      <c r="AB11" s="95">
        <f t="shared" si="1"/>
        <v>23</v>
      </c>
      <c r="AC11" s="31">
        <v>5</v>
      </c>
      <c r="AD11" s="31">
        <v>5</v>
      </c>
      <c r="AE11" s="95">
        <f t="shared" si="2"/>
        <v>10</v>
      </c>
      <c r="AF11" s="96" t="str">
        <f t="shared" si="3"/>
        <v>DO</v>
      </c>
      <c r="AG11" s="95">
        <f t="shared" si="4"/>
        <v>75</v>
      </c>
      <c r="AH11" s="255" t="str">
        <f t="shared" si="5"/>
        <v>APROBADO</v>
      </c>
      <c r="AI11" s="256"/>
      <c r="AJ11" s="256"/>
      <c r="AK11" s="256"/>
      <c r="AL11" s="256"/>
      <c r="AM11" s="257"/>
      <c r="AN11" s="49" t="s">
        <v>97</v>
      </c>
      <c r="AO11" s="258">
        <f>COUNTIF(AF9:AF44,"DO")</f>
        <v>9</v>
      </c>
      <c r="AP11" s="257"/>
      <c r="AQ11" s="98"/>
      <c r="AR11" s="98"/>
    </row>
    <row r="12" spans="1:48" ht="12" customHeight="1">
      <c r="A12" s="59">
        <v>4</v>
      </c>
      <c r="B12" s="93" t="str">
        <f>'C. FILIACION'!B11</f>
        <v>BLANCO SALVATIERRA DANIELA MARGARITA</v>
      </c>
      <c r="C12" s="31">
        <v>10</v>
      </c>
      <c r="D12" s="31">
        <v>29</v>
      </c>
      <c r="E12" s="31">
        <v>30</v>
      </c>
      <c r="F12" s="62">
        <v>35</v>
      </c>
      <c r="G12" s="31">
        <v>30</v>
      </c>
      <c r="H12" s="31">
        <v>18</v>
      </c>
      <c r="I12" s="31"/>
      <c r="J12" s="31"/>
      <c r="K12" s="31"/>
      <c r="L12" s="31"/>
      <c r="M12" s="31"/>
      <c r="N12" s="31"/>
      <c r="O12" s="95">
        <f t="shared" si="0"/>
        <v>28</v>
      </c>
      <c r="P12" s="31"/>
      <c r="Q12" s="31">
        <v>15</v>
      </c>
      <c r="R12" s="31">
        <v>20</v>
      </c>
      <c r="S12" s="31">
        <v>17</v>
      </c>
      <c r="T12" s="31">
        <v>35</v>
      </c>
      <c r="U12" s="31"/>
      <c r="V12" s="31"/>
      <c r="W12" s="31"/>
      <c r="X12" s="31"/>
      <c r="Y12" s="31"/>
      <c r="Z12" s="31"/>
      <c r="AA12" s="31">
        <v>10</v>
      </c>
      <c r="AB12" s="95">
        <f t="shared" si="1"/>
        <v>22</v>
      </c>
      <c r="AC12" s="31">
        <v>5</v>
      </c>
      <c r="AD12" s="31">
        <v>5</v>
      </c>
      <c r="AE12" s="95">
        <f t="shared" si="2"/>
        <v>10</v>
      </c>
      <c r="AF12" s="96" t="str">
        <f t="shared" si="3"/>
        <v>DO</v>
      </c>
      <c r="AG12" s="95">
        <f t="shared" si="4"/>
        <v>80</v>
      </c>
      <c r="AH12" s="255" t="str">
        <f t="shared" si="5"/>
        <v>APROBADO</v>
      </c>
      <c r="AI12" s="256"/>
      <c r="AJ12" s="256"/>
      <c r="AK12" s="256"/>
      <c r="AL12" s="256"/>
      <c r="AM12" s="257"/>
      <c r="AN12" s="49" t="s">
        <v>98</v>
      </c>
      <c r="AO12" s="258">
        <f>COUNTIF(AF9:AF44,"DP")</f>
        <v>24</v>
      </c>
      <c r="AP12" s="257"/>
      <c r="AQ12" s="98"/>
      <c r="AR12" s="98"/>
    </row>
    <row r="13" spans="1:48" ht="12" customHeight="1">
      <c r="A13" s="59">
        <v>5</v>
      </c>
      <c r="B13" s="93" t="str">
        <f>'C. FILIACION'!B12</f>
        <v>DAVILA LAPACA DIEGO LEONEL</v>
      </c>
      <c r="C13" s="31">
        <v>10</v>
      </c>
      <c r="D13" s="31">
        <v>0</v>
      </c>
      <c r="E13" s="31">
        <v>0</v>
      </c>
      <c r="F13" s="62">
        <v>0</v>
      </c>
      <c r="G13" s="31">
        <v>0</v>
      </c>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255" t="str">
        <f t="shared" si="5"/>
        <v>REPROBADO</v>
      </c>
      <c r="AI13" s="256"/>
      <c r="AJ13" s="256"/>
      <c r="AK13" s="256"/>
      <c r="AL13" s="256"/>
      <c r="AM13" s="257"/>
      <c r="AN13" s="98"/>
      <c r="AO13" s="98"/>
      <c r="AP13" s="98"/>
      <c r="AQ13" s="98"/>
      <c r="AR13" s="98"/>
    </row>
    <row r="14" spans="1:48" ht="12" customHeight="1">
      <c r="A14" s="59">
        <v>6</v>
      </c>
      <c r="B14" s="93" t="str">
        <f>'C. FILIACION'!B13</f>
        <v>ESCOBAR LAZO JHOSELIN MARCELA</v>
      </c>
      <c r="C14" s="31">
        <v>10</v>
      </c>
      <c r="D14" s="31">
        <v>31</v>
      </c>
      <c r="E14" s="31">
        <v>30</v>
      </c>
      <c r="F14" s="62">
        <v>35</v>
      </c>
      <c r="G14" s="31">
        <v>18</v>
      </c>
      <c r="H14" s="31">
        <v>15</v>
      </c>
      <c r="I14" s="31"/>
      <c r="J14" s="31"/>
      <c r="K14" s="31"/>
      <c r="L14" s="31"/>
      <c r="M14" s="31"/>
      <c r="N14" s="31"/>
      <c r="O14" s="95">
        <f t="shared" si="0"/>
        <v>26</v>
      </c>
      <c r="P14" s="31"/>
      <c r="Q14" s="31">
        <v>35</v>
      </c>
      <c r="R14" s="31">
        <v>33</v>
      </c>
      <c r="S14" s="31">
        <v>32</v>
      </c>
      <c r="T14" s="31">
        <v>35</v>
      </c>
      <c r="U14" s="31"/>
      <c r="V14" s="31"/>
      <c r="W14" s="31"/>
      <c r="X14" s="31"/>
      <c r="Y14" s="31"/>
      <c r="Z14" s="31"/>
      <c r="AA14" s="31">
        <v>10</v>
      </c>
      <c r="AB14" s="95">
        <f t="shared" si="1"/>
        <v>34</v>
      </c>
      <c r="AC14" s="31">
        <v>5</v>
      </c>
      <c r="AD14" s="31">
        <v>5</v>
      </c>
      <c r="AE14" s="95">
        <f t="shared" si="2"/>
        <v>10</v>
      </c>
      <c r="AF14" s="96" t="str">
        <f t="shared" si="3"/>
        <v>DP</v>
      </c>
      <c r="AG14" s="95">
        <f t="shared" si="4"/>
        <v>90</v>
      </c>
      <c r="AH14" s="255" t="str">
        <f t="shared" si="5"/>
        <v>APROBADO</v>
      </c>
      <c r="AI14" s="256"/>
      <c r="AJ14" s="256"/>
      <c r="AK14" s="256"/>
      <c r="AL14" s="256"/>
      <c r="AM14" s="257"/>
      <c r="AN14" s="98"/>
      <c r="AO14" s="98"/>
      <c r="AP14" s="98"/>
      <c r="AQ14" s="98"/>
      <c r="AR14" s="98"/>
    </row>
    <row r="15" spans="1:48" ht="12" customHeight="1">
      <c r="A15" s="59">
        <v>7</v>
      </c>
      <c r="B15" s="93" t="str">
        <f>'C. FILIACION'!B14</f>
        <v>GUTIERREZ PEREZ ARIEL FERNANDO</v>
      </c>
      <c r="C15" s="31">
        <v>10</v>
      </c>
      <c r="D15" s="31">
        <v>28</v>
      </c>
      <c r="E15" s="31">
        <v>29</v>
      </c>
      <c r="F15" s="62">
        <v>18</v>
      </c>
      <c r="G15" s="31">
        <v>18</v>
      </c>
      <c r="H15" s="31"/>
      <c r="I15" s="31"/>
      <c r="J15" s="31"/>
      <c r="K15" s="31"/>
      <c r="L15" s="31"/>
      <c r="M15" s="31"/>
      <c r="N15" s="31"/>
      <c r="O15" s="95">
        <f t="shared" si="0"/>
        <v>23</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71</v>
      </c>
      <c r="AH15" s="255" t="str">
        <f t="shared" si="5"/>
        <v>APROBADO</v>
      </c>
      <c r="AI15" s="256"/>
      <c r="AJ15" s="256"/>
      <c r="AK15" s="256"/>
      <c r="AL15" s="256"/>
      <c r="AM15" s="257"/>
      <c r="AN15" s="98"/>
      <c r="AO15" s="98"/>
      <c r="AP15" s="98"/>
      <c r="AQ15" s="98"/>
      <c r="AR15" s="98"/>
    </row>
    <row r="16" spans="1:48" ht="12" customHeight="1">
      <c r="A16" s="59">
        <v>8</v>
      </c>
      <c r="B16" s="93" t="str">
        <f>'C. FILIACION'!B15</f>
        <v>LOPEZ PACO FABRICIO ANDRE</v>
      </c>
      <c r="C16" s="31">
        <v>10</v>
      </c>
      <c r="D16" s="31">
        <v>18</v>
      </c>
      <c r="E16" s="31">
        <v>20</v>
      </c>
      <c r="F16" s="62">
        <v>18</v>
      </c>
      <c r="G16" s="31">
        <v>18</v>
      </c>
      <c r="H16" s="31">
        <v>30</v>
      </c>
      <c r="I16" s="31"/>
      <c r="J16" s="31"/>
      <c r="K16" s="31"/>
      <c r="L16" s="31"/>
      <c r="M16" s="31"/>
      <c r="N16" s="31"/>
      <c r="O16" s="95">
        <f t="shared" si="0"/>
        <v>21</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59</v>
      </c>
      <c r="AH16" s="255" t="str">
        <f t="shared" si="5"/>
        <v>APROBADO</v>
      </c>
      <c r="AI16" s="256"/>
      <c r="AJ16" s="256"/>
      <c r="AK16" s="256"/>
      <c r="AL16" s="256"/>
      <c r="AM16" s="257"/>
      <c r="AN16" s="98"/>
      <c r="AO16" s="98"/>
      <c r="AP16" s="98"/>
      <c r="AQ16" s="98"/>
      <c r="AR16" s="98"/>
    </row>
    <row r="17" spans="1:44" ht="12" customHeight="1">
      <c r="A17" s="59">
        <v>9</v>
      </c>
      <c r="B17" s="93" t="str">
        <f>'C. FILIACION'!B16</f>
        <v>NINA PANIAGUA DEYVID GABRIEL</v>
      </c>
      <c r="C17" s="31">
        <v>10</v>
      </c>
      <c r="D17" s="31">
        <v>24</v>
      </c>
      <c r="E17" s="31">
        <v>25</v>
      </c>
      <c r="F17" s="62">
        <v>35</v>
      </c>
      <c r="G17" s="31">
        <v>35</v>
      </c>
      <c r="H17" s="31">
        <v>18</v>
      </c>
      <c r="I17" s="31"/>
      <c r="J17" s="31"/>
      <c r="K17" s="31"/>
      <c r="L17" s="31"/>
      <c r="M17" s="31"/>
      <c r="N17" s="31"/>
      <c r="O17" s="95">
        <f t="shared" si="0"/>
        <v>27</v>
      </c>
      <c r="P17" s="31"/>
      <c r="Q17" s="31">
        <v>20</v>
      </c>
      <c r="R17" s="31">
        <v>18</v>
      </c>
      <c r="S17" s="31">
        <v>30</v>
      </c>
      <c r="T17" s="31">
        <v>35</v>
      </c>
      <c r="U17" s="31"/>
      <c r="V17" s="31"/>
      <c r="W17" s="31"/>
      <c r="X17" s="31"/>
      <c r="Y17" s="31"/>
      <c r="Z17" s="31"/>
      <c r="AA17" s="31">
        <v>10</v>
      </c>
      <c r="AB17" s="95">
        <f t="shared" si="1"/>
        <v>26</v>
      </c>
      <c r="AC17" s="31">
        <v>5</v>
      </c>
      <c r="AD17" s="31">
        <v>5</v>
      </c>
      <c r="AE17" s="95">
        <f t="shared" si="2"/>
        <v>10</v>
      </c>
      <c r="AF17" s="96" t="str">
        <f t="shared" si="3"/>
        <v>DO</v>
      </c>
      <c r="AG17" s="95">
        <f t="shared" si="4"/>
        <v>83</v>
      </c>
      <c r="AH17" s="255" t="str">
        <f t="shared" si="5"/>
        <v>APROBADO</v>
      </c>
      <c r="AI17" s="256"/>
      <c r="AJ17" s="256"/>
      <c r="AK17" s="256"/>
      <c r="AL17" s="256"/>
      <c r="AM17" s="257"/>
      <c r="AN17" s="98"/>
      <c r="AO17" s="98"/>
      <c r="AP17" s="98"/>
      <c r="AQ17" s="98"/>
      <c r="AR17" s="98"/>
    </row>
    <row r="18" spans="1:44" ht="12" customHeight="1">
      <c r="A18" s="59">
        <v>10</v>
      </c>
      <c r="B18" s="93" t="str">
        <f>'C. FILIACION'!B17</f>
        <v>PASTOR CONDARCO STEVE DAVID</v>
      </c>
      <c r="C18" s="31">
        <v>10</v>
      </c>
      <c r="D18" s="31">
        <v>0</v>
      </c>
      <c r="E18" s="31">
        <v>25</v>
      </c>
      <c r="F18" s="62">
        <v>35</v>
      </c>
      <c r="G18" s="31">
        <v>35</v>
      </c>
      <c r="H18" s="31">
        <v>20</v>
      </c>
      <c r="I18" s="31"/>
      <c r="J18" s="31"/>
      <c r="K18" s="31"/>
      <c r="L18" s="31"/>
      <c r="M18" s="31"/>
      <c r="N18" s="31"/>
      <c r="O18" s="95">
        <f t="shared" si="0"/>
        <v>23</v>
      </c>
      <c r="P18" s="31"/>
      <c r="Q18" s="31">
        <v>17</v>
      </c>
      <c r="R18" s="31">
        <v>15</v>
      </c>
      <c r="S18" s="31">
        <v>18</v>
      </c>
      <c r="T18" s="31">
        <v>25</v>
      </c>
      <c r="U18" s="31"/>
      <c r="V18" s="31"/>
      <c r="W18" s="31"/>
      <c r="X18" s="31"/>
      <c r="Y18" s="31"/>
      <c r="Z18" s="31"/>
      <c r="AA18" s="31">
        <v>10</v>
      </c>
      <c r="AB18" s="95">
        <f t="shared" si="1"/>
        <v>19</v>
      </c>
      <c r="AC18" s="31">
        <v>5</v>
      </c>
      <c r="AD18" s="31">
        <v>5</v>
      </c>
      <c r="AE18" s="95">
        <f t="shared" si="2"/>
        <v>10</v>
      </c>
      <c r="AF18" s="96" t="str">
        <f t="shared" si="3"/>
        <v>DO</v>
      </c>
      <c r="AG18" s="95">
        <f t="shared" si="4"/>
        <v>72</v>
      </c>
      <c r="AH18" s="255" t="str">
        <f t="shared" si="5"/>
        <v>APROBADO</v>
      </c>
      <c r="AI18" s="256"/>
      <c r="AJ18" s="256"/>
      <c r="AK18" s="256"/>
      <c r="AL18" s="256"/>
      <c r="AM18" s="257"/>
      <c r="AN18" s="98"/>
      <c r="AO18" s="98"/>
      <c r="AP18" s="98"/>
      <c r="AQ18" s="98"/>
      <c r="AR18" s="98"/>
    </row>
    <row r="19" spans="1:44" ht="12" customHeight="1">
      <c r="A19" s="59">
        <v>11</v>
      </c>
      <c r="B19" s="93" t="str">
        <f>'C. FILIACION'!B18</f>
        <v>ROJAS MAMANI JERUSALEN LOURDES</v>
      </c>
      <c r="C19" s="31">
        <v>10</v>
      </c>
      <c r="D19" s="31">
        <v>33</v>
      </c>
      <c r="E19" s="31">
        <v>30</v>
      </c>
      <c r="F19" s="62">
        <v>30</v>
      </c>
      <c r="G19" s="31">
        <v>35</v>
      </c>
      <c r="H19" s="31">
        <v>18</v>
      </c>
      <c r="I19" s="31"/>
      <c r="J19" s="31"/>
      <c r="K19" s="31"/>
      <c r="L19" s="31"/>
      <c r="M19" s="31"/>
      <c r="N19" s="31"/>
      <c r="O19" s="95">
        <f t="shared" si="0"/>
        <v>29</v>
      </c>
      <c r="P19" s="31"/>
      <c r="Q19" s="31">
        <v>35</v>
      </c>
      <c r="R19" s="31">
        <v>33</v>
      </c>
      <c r="S19" s="31">
        <v>25</v>
      </c>
      <c r="T19" s="31">
        <v>35</v>
      </c>
      <c r="U19" s="31"/>
      <c r="V19" s="31"/>
      <c r="W19" s="31"/>
      <c r="X19" s="31"/>
      <c r="Y19" s="31"/>
      <c r="Z19" s="31"/>
      <c r="AA19" s="31">
        <v>10</v>
      </c>
      <c r="AB19" s="95">
        <f t="shared" si="1"/>
        <v>32</v>
      </c>
      <c r="AC19" s="31">
        <v>5</v>
      </c>
      <c r="AD19" s="31">
        <v>5</v>
      </c>
      <c r="AE19" s="95">
        <f t="shared" si="2"/>
        <v>10</v>
      </c>
      <c r="AF19" s="96" t="str">
        <f t="shared" si="3"/>
        <v>DP</v>
      </c>
      <c r="AG19" s="95">
        <f t="shared" si="4"/>
        <v>91</v>
      </c>
      <c r="AH19" s="255" t="str">
        <f t="shared" si="5"/>
        <v>APROBADO</v>
      </c>
      <c r="AI19" s="256"/>
      <c r="AJ19" s="256"/>
      <c r="AK19" s="256"/>
      <c r="AL19" s="256"/>
      <c r="AM19" s="257"/>
      <c r="AN19" s="98"/>
      <c r="AO19" s="98"/>
      <c r="AP19" s="98"/>
      <c r="AQ19" s="98"/>
      <c r="AR19" s="98"/>
    </row>
    <row r="20" spans="1:44" ht="12" customHeight="1">
      <c r="A20" s="59">
        <v>12</v>
      </c>
      <c r="B20" s="93" t="str">
        <f>'C. FILIACION'!B19</f>
        <v>SALAS ROJAS LUCIANA ANTONELLA</v>
      </c>
      <c r="C20" s="31">
        <v>10</v>
      </c>
      <c r="D20" s="31">
        <v>0</v>
      </c>
      <c r="E20" s="31">
        <v>0</v>
      </c>
      <c r="F20" s="62">
        <v>0</v>
      </c>
      <c r="G20" s="31">
        <v>0</v>
      </c>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255" t="str">
        <f t="shared" si="5"/>
        <v>REPROBADO</v>
      </c>
      <c r="AI20" s="256"/>
      <c r="AJ20" s="256"/>
      <c r="AK20" s="256"/>
      <c r="AL20" s="256"/>
      <c r="AM20" s="257"/>
      <c r="AN20" s="98"/>
      <c r="AO20" s="98"/>
      <c r="AP20" s="98"/>
      <c r="AQ20" s="98"/>
      <c r="AR20" s="98"/>
    </row>
    <row r="21" spans="1:44" ht="12" customHeight="1">
      <c r="A21" s="59">
        <v>13</v>
      </c>
      <c r="B21" s="93" t="str">
        <f>'C. FILIACION'!B20</f>
        <v>SANTOS CRUZ ROYER JOEL</v>
      </c>
      <c r="C21" s="31">
        <v>10</v>
      </c>
      <c r="D21" s="31">
        <v>22</v>
      </c>
      <c r="E21" s="31">
        <v>25</v>
      </c>
      <c r="F21" s="62">
        <v>35</v>
      </c>
      <c r="G21" s="31">
        <v>35</v>
      </c>
      <c r="H21" s="31">
        <v>20</v>
      </c>
      <c r="I21" s="31"/>
      <c r="J21" s="31"/>
      <c r="K21" s="31"/>
      <c r="L21" s="31"/>
      <c r="M21" s="31"/>
      <c r="N21" s="31"/>
      <c r="O21" s="95">
        <f t="shared" si="0"/>
        <v>27</v>
      </c>
      <c r="P21" s="31"/>
      <c r="Q21" s="31">
        <v>15</v>
      </c>
      <c r="R21" s="31">
        <v>15</v>
      </c>
      <c r="S21" s="31">
        <v>25</v>
      </c>
      <c r="T21" s="31">
        <v>30</v>
      </c>
      <c r="U21" s="31"/>
      <c r="V21" s="31"/>
      <c r="W21" s="31"/>
      <c r="X21" s="31"/>
      <c r="Y21" s="31"/>
      <c r="Z21" s="31"/>
      <c r="AA21" s="31">
        <v>10</v>
      </c>
      <c r="AB21" s="95">
        <f t="shared" si="1"/>
        <v>21</v>
      </c>
      <c r="AC21" s="31">
        <v>5</v>
      </c>
      <c r="AD21" s="31">
        <v>5</v>
      </c>
      <c r="AE21" s="95">
        <f t="shared" si="2"/>
        <v>10</v>
      </c>
      <c r="AF21" s="96" t="str">
        <f t="shared" si="3"/>
        <v>DO</v>
      </c>
      <c r="AG21" s="95">
        <f t="shared" si="4"/>
        <v>78</v>
      </c>
      <c r="AH21" s="255" t="str">
        <f t="shared" si="5"/>
        <v>APROBADO</v>
      </c>
      <c r="AI21" s="256"/>
      <c r="AJ21" s="256"/>
      <c r="AK21" s="256"/>
      <c r="AL21" s="256"/>
      <c r="AM21" s="257"/>
      <c r="AN21" s="98"/>
      <c r="AO21" s="98"/>
      <c r="AP21" s="98"/>
      <c r="AQ21" s="98"/>
      <c r="AR21" s="98"/>
    </row>
    <row r="22" spans="1:44" ht="12" customHeight="1">
      <c r="A22" s="59">
        <v>14</v>
      </c>
      <c r="B22" s="93" t="str">
        <f>'C. FILIACION'!B21</f>
        <v>TICONA LOAYZA ARIADNE VALERIA</v>
      </c>
      <c r="C22" s="31">
        <v>10</v>
      </c>
      <c r="D22" s="31">
        <v>21</v>
      </c>
      <c r="E22" s="31">
        <v>30</v>
      </c>
      <c r="F22" s="62">
        <v>30</v>
      </c>
      <c r="G22" s="31">
        <v>18</v>
      </c>
      <c r="H22" s="31"/>
      <c r="I22" s="31"/>
      <c r="J22" s="31"/>
      <c r="K22" s="31"/>
      <c r="L22" s="31"/>
      <c r="M22" s="31"/>
      <c r="N22" s="31"/>
      <c r="O22" s="95">
        <f t="shared" si="0"/>
        <v>25</v>
      </c>
      <c r="P22" s="31"/>
      <c r="Q22" s="31">
        <v>25</v>
      </c>
      <c r="R22" s="31">
        <v>24</v>
      </c>
      <c r="S22" s="31">
        <v>18</v>
      </c>
      <c r="T22" s="31">
        <v>35</v>
      </c>
      <c r="U22" s="31"/>
      <c r="V22" s="31"/>
      <c r="W22" s="31"/>
      <c r="X22" s="31"/>
      <c r="Y22" s="31"/>
      <c r="Z22" s="31"/>
      <c r="AA22" s="31">
        <v>10</v>
      </c>
      <c r="AB22" s="95">
        <f t="shared" si="1"/>
        <v>26</v>
      </c>
      <c r="AC22" s="31">
        <v>5</v>
      </c>
      <c r="AD22" s="31">
        <v>5</v>
      </c>
      <c r="AE22" s="95">
        <f t="shared" si="2"/>
        <v>10</v>
      </c>
      <c r="AF22" s="96" t="str">
        <f t="shared" si="3"/>
        <v>DO</v>
      </c>
      <c r="AG22" s="95">
        <f t="shared" si="4"/>
        <v>81</v>
      </c>
      <c r="AH22" s="255" t="str">
        <f t="shared" si="5"/>
        <v>APROBADO</v>
      </c>
      <c r="AI22" s="256"/>
      <c r="AJ22" s="256"/>
      <c r="AK22" s="256"/>
      <c r="AL22" s="256"/>
      <c r="AM22" s="257"/>
      <c r="AN22" s="98"/>
      <c r="AO22" s="98"/>
      <c r="AP22" s="98"/>
      <c r="AQ22" s="98"/>
      <c r="AR22" s="98"/>
    </row>
    <row r="23" spans="1:44" ht="12" customHeight="1">
      <c r="A23" s="59">
        <v>15</v>
      </c>
      <c r="B23" s="93" t="str">
        <f>'C. FILIACION'!B22</f>
        <v>ZEBALLOS DEL CARPIO AMIRA MERCEDES</v>
      </c>
      <c r="C23" s="31">
        <v>10</v>
      </c>
      <c r="D23" s="31">
        <v>32</v>
      </c>
      <c r="E23" s="31">
        <v>30</v>
      </c>
      <c r="F23" s="62">
        <v>35</v>
      </c>
      <c r="G23" s="31">
        <v>25</v>
      </c>
      <c r="H23" s="31">
        <v>35</v>
      </c>
      <c r="I23" s="31"/>
      <c r="J23" s="31"/>
      <c r="K23" s="31"/>
      <c r="L23" s="31"/>
      <c r="M23" s="31"/>
      <c r="N23" s="31"/>
      <c r="O23" s="95">
        <f t="shared" si="0"/>
        <v>31</v>
      </c>
      <c r="P23" s="31"/>
      <c r="Q23" s="31">
        <v>35</v>
      </c>
      <c r="R23" s="31">
        <v>34</v>
      </c>
      <c r="S23" s="31">
        <v>34</v>
      </c>
      <c r="T23" s="31">
        <v>35</v>
      </c>
      <c r="U23" s="31"/>
      <c r="V23" s="31"/>
      <c r="W23" s="31"/>
      <c r="X23" s="31"/>
      <c r="Y23" s="31"/>
      <c r="Z23" s="31"/>
      <c r="AA23" s="31">
        <v>10</v>
      </c>
      <c r="AB23" s="95">
        <f t="shared" si="1"/>
        <v>35</v>
      </c>
      <c r="AC23" s="31">
        <v>5</v>
      </c>
      <c r="AD23" s="31">
        <v>5</v>
      </c>
      <c r="AE23" s="95">
        <f t="shared" si="2"/>
        <v>10</v>
      </c>
      <c r="AF23" s="96" t="str">
        <f t="shared" si="3"/>
        <v>DP</v>
      </c>
      <c r="AG23" s="95">
        <f t="shared" si="4"/>
        <v>96</v>
      </c>
      <c r="AH23" s="255" t="str">
        <f t="shared" si="5"/>
        <v>APROBADO</v>
      </c>
      <c r="AI23" s="256"/>
      <c r="AJ23" s="256"/>
      <c r="AK23" s="256"/>
      <c r="AL23" s="256"/>
      <c r="AM23" s="257"/>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5" t="str">
        <f t="shared" si="5"/>
        <v>APROBADO</v>
      </c>
      <c r="AI24" s="256"/>
      <c r="AJ24" s="256"/>
      <c r="AK24" s="256"/>
      <c r="AL24" s="256"/>
      <c r="AM24" s="257"/>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5" t="str">
        <f t="shared" si="5"/>
        <v>APROBADO</v>
      </c>
      <c r="AI25" s="256"/>
      <c r="AJ25" s="256"/>
      <c r="AK25" s="256"/>
      <c r="AL25" s="256"/>
      <c r="AM25" s="257"/>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5" t="str">
        <f t="shared" si="5"/>
        <v>APROBADO</v>
      </c>
      <c r="AI26" s="256"/>
      <c r="AJ26" s="256"/>
      <c r="AK26" s="256"/>
      <c r="AL26" s="256"/>
      <c r="AM26" s="257"/>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5" t="str">
        <f t="shared" si="5"/>
        <v>APROBADO</v>
      </c>
      <c r="AI27" s="256"/>
      <c r="AJ27" s="256"/>
      <c r="AK27" s="256"/>
      <c r="AL27" s="256"/>
      <c r="AM27" s="257"/>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5" t="str">
        <f t="shared" si="5"/>
        <v>APROBADO</v>
      </c>
      <c r="AI28" s="256"/>
      <c r="AJ28" s="256"/>
      <c r="AK28" s="256"/>
      <c r="AL28" s="256"/>
      <c r="AM28" s="257"/>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5" t="str">
        <f t="shared" si="5"/>
        <v>APROBADO</v>
      </c>
      <c r="AI29" s="256"/>
      <c r="AJ29" s="256"/>
      <c r="AK29" s="256"/>
      <c r="AL29" s="256"/>
      <c r="AM29" s="257"/>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5" t="str">
        <f t="shared" si="5"/>
        <v>APROBADO</v>
      </c>
      <c r="AI30" s="256"/>
      <c r="AJ30" s="256"/>
      <c r="AK30" s="256"/>
      <c r="AL30" s="256"/>
      <c r="AM30" s="257"/>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5" t="str">
        <f t="shared" si="5"/>
        <v>APROBADO</v>
      </c>
      <c r="AI31" s="256"/>
      <c r="AJ31" s="256"/>
      <c r="AK31" s="256"/>
      <c r="AL31" s="256"/>
      <c r="AM31" s="257"/>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5" t="str">
        <f t="shared" si="5"/>
        <v>APROBADO</v>
      </c>
      <c r="AI32" s="256"/>
      <c r="AJ32" s="256"/>
      <c r="AK32" s="256"/>
      <c r="AL32" s="256"/>
      <c r="AM32" s="257"/>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5" t="str">
        <f t="shared" si="5"/>
        <v>APROBADO</v>
      </c>
      <c r="AI33" s="256"/>
      <c r="AJ33" s="256"/>
      <c r="AK33" s="256"/>
      <c r="AL33" s="256"/>
      <c r="AM33" s="257"/>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5" t="str">
        <f t="shared" si="5"/>
        <v>APROBADO</v>
      </c>
      <c r="AI34" s="256"/>
      <c r="AJ34" s="256"/>
      <c r="AK34" s="256"/>
      <c r="AL34" s="256"/>
      <c r="AM34" s="257"/>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5" t="str">
        <f t="shared" si="5"/>
        <v>APROBADO</v>
      </c>
      <c r="AI35" s="256"/>
      <c r="AJ35" s="256"/>
      <c r="AK35" s="256"/>
      <c r="AL35" s="256"/>
      <c r="AM35" s="257"/>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5" t="str">
        <f t="shared" si="5"/>
        <v>APROBADO</v>
      </c>
      <c r="AI36" s="256"/>
      <c r="AJ36" s="256"/>
      <c r="AK36" s="256"/>
      <c r="AL36" s="256"/>
      <c r="AM36" s="257"/>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5" t="str">
        <f t="shared" si="5"/>
        <v>APROBADO</v>
      </c>
      <c r="AI37" s="256"/>
      <c r="AJ37" s="256"/>
      <c r="AK37" s="256"/>
      <c r="AL37" s="256"/>
      <c r="AM37" s="257"/>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5" t="str">
        <f t="shared" si="5"/>
        <v>APROBADO</v>
      </c>
      <c r="AI38" s="256"/>
      <c r="AJ38" s="256"/>
      <c r="AK38" s="256"/>
      <c r="AL38" s="256"/>
      <c r="AM38" s="257"/>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5" t="str">
        <f t="shared" si="5"/>
        <v>APROBADO</v>
      </c>
      <c r="AI39" s="256"/>
      <c r="AJ39" s="256"/>
      <c r="AK39" s="256"/>
      <c r="AL39" s="256"/>
      <c r="AM39" s="257"/>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5" t="str">
        <f t="shared" si="5"/>
        <v>APROBADO</v>
      </c>
      <c r="AI40" s="256"/>
      <c r="AJ40" s="256"/>
      <c r="AK40" s="256"/>
      <c r="AL40" s="256"/>
      <c r="AM40" s="257"/>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5" t="str">
        <f t="shared" si="5"/>
        <v>APROBADO</v>
      </c>
      <c r="AI41" s="256"/>
      <c r="AJ41" s="256"/>
      <c r="AK41" s="256"/>
      <c r="AL41" s="256"/>
      <c r="AM41" s="257"/>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5" t="str">
        <f t="shared" si="5"/>
        <v>APROBADO</v>
      </c>
      <c r="AI42" s="256"/>
      <c r="AJ42" s="256"/>
      <c r="AK42" s="256"/>
      <c r="AL42" s="256"/>
      <c r="AM42" s="257"/>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5" t="str">
        <f t="shared" si="5"/>
        <v>APROBADO</v>
      </c>
      <c r="AI43" s="256"/>
      <c r="AJ43" s="256"/>
      <c r="AK43" s="256"/>
      <c r="AL43" s="256"/>
      <c r="AM43" s="257"/>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5" t="str">
        <f t="shared" si="5"/>
        <v>APROBADO</v>
      </c>
      <c r="AI44" s="256"/>
      <c r="AJ44" s="256"/>
      <c r="AK44" s="256"/>
      <c r="AL44" s="256"/>
      <c r="AM44" s="257"/>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7734375" defaultRowHeight="15" customHeight="1"/>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77343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74" t="s">
        <v>100</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72" t="s">
        <v>48</v>
      </c>
      <c r="AD3" s="256"/>
      <c r="AE3" s="256"/>
      <c r="AF3" s="256"/>
      <c r="AG3" s="256"/>
      <c r="AH3" s="257"/>
      <c r="AI3" s="222">
        <f>CARÁTULA!$H$24</f>
        <v>44440</v>
      </c>
      <c r="AJ3" s="204"/>
      <c r="AK3" s="204"/>
      <c r="AL3" s="204"/>
      <c r="AM3" s="204"/>
      <c r="AN3" s="275" t="s">
        <v>49</v>
      </c>
      <c r="AO3" s="195"/>
      <c r="AP3" s="195"/>
      <c r="AQ3" s="195"/>
      <c r="AR3" s="196"/>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72" t="s">
        <v>51</v>
      </c>
      <c r="AD4" s="256"/>
      <c r="AE4" s="256"/>
      <c r="AF4" s="256"/>
      <c r="AG4" s="256"/>
      <c r="AH4" s="257"/>
      <c r="AI4" s="222">
        <f>CARÁTULA!$J$24</f>
        <v>44531</v>
      </c>
      <c r="AJ4" s="204"/>
      <c r="AK4" s="204"/>
      <c r="AL4" s="204"/>
      <c r="AM4" s="204"/>
      <c r="AN4" s="224">
        <f ca="1">AI4-AI5</f>
        <v>78</v>
      </c>
      <c r="AO4" s="214"/>
      <c r="AP4" s="214"/>
      <c r="AQ4" s="214"/>
      <c r="AR4" s="215"/>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8">
        <f ca="1">TODAY()</f>
        <v>44453</v>
      </c>
      <c r="T5" s="195"/>
      <c r="U5" s="195"/>
      <c r="V5" s="195"/>
      <c r="W5" s="195"/>
      <c r="X5" s="195"/>
      <c r="Y5" s="195"/>
      <c r="Z5" s="195"/>
      <c r="AA5" s="196"/>
      <c r="AB5" s="76"/>
      <c r="AC5" s="273" t="s">
        <v>52</v>
      </c>
      <c r="AD5" s="256"/>
      <c r="AE5" s="256"/>
      <c r="AF5" s="256"/>
      <c r="AG5" s="256"/>
      <c r="AH5" s="257"/>
      <c r="AI5" s="276">
        <f ca="1">TODAY()</f>
        <v>44453</v>
      </c>
      <c r="AJ5" s="204"/>
      <c r="AK5" s="204"/>
      <c r="AL5" s="204"/>
      <c r="AM5" s="204"/>
      <c r="AN5" s="216"/>
      <c r="AO5" s="217"/>
      <c r="AP5" s="217"/>
      <c r="AQ5" s="217"/>
      <c r="AR5" s="218"/>
    </row>
    <row r="6" spans="1:48" ht="12.75" customHeight="1">
      <c r="A6" s="71"/>
      <c r="B6" s="74"/>
      <c r="C6" s="210" t="s">
        <v>77</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78</v>
      </c>
      <c r="AC6" s="256"/>
      <c r="AD6" s="256"/>
      <c r="AE6" s="257"/>
      <c r="AF6" s="80"/>
      <c r="AG6" s="81"/>
      <c r="AH6" s="81"/>
      <c r="AI6" s="82"/>
      <c r="AJ6" s="83"/>
      <c r="AK6" s="83"/>
      <c r="AL6" s="83"/>
      <c r="AM6" s="83"/>
      <c r="AN6" s="84"/>
      <c r="AO6" s="84"/>
      <c r="AP6" s="84"/>
      <c r="AQ6" s="84"/>
      <c r="AR6" s="84"/>
    </row>
    <row r="7" spans="1:48" ht="12" customHeight="1">
      <c r="A7" s="71"/>
      <c r="B7" s="85"/>
      <c r="C7" s="270" t="s">
        <v>79</v>
      </c>
      <c r="D7" s="271" t="s">
        <v>80</v>
      </c>
      <c r="E7" s="256"/>
      <c r="F7" s="256"/>
      <c r="G7" s="256"/>
      <c r="H7" s="256"/>
      <c r="I7" s="256"/>
      <c r="J7" s="256"/>
      <c r="K7" s="256"/>
      <c r="L7" s="256"/>
      <c r="M7" s="256"/>
      <c r="N7" s="256"/>
      <c r="O7" s="267" t="s">
        <v>81</v>
      </c>
      <c r="P7" s="271" t="s">
        <v>82</v>
      </c>
      <c r="Q7" s="256"/>
      <c r="R7" s="256"/>
      <c r="S7" s="256"/>
      <c r="T7" s="256"/>
      <c r="U7" s="256"/>
      <c r="V7" s="256"/>
      <c r="W7" s="256"/>
      <c r="X7" s="256"/>
      <c r="Y7" s="256"/>
      <c r="Z7" s="256"/>
      <c r="AA7" s="266" t="s">
        <v>83</v>
      </c>
      <c r="AB7" s="267" t="s">
        <v>81</v>
      </c>
      <c r="AC7" s="266" t="s">
        <v>84</v>
      </c>
      <c r="AD7" s="266" t="s">
        <v>85</v>
      </c>
      <c r="AE7" s="267" t="s">
        <v>81</v>
      </c>
      <c r="AF7" s="259" t="s">
        <v>86</v>
      </c>
      <c r="AG7" s="261" t="s">
        <v>87</v>
      </c>
      <c r="AH7" s="262" t="s">
        <v>88</v>
      </c>
      <c r="AI7" s="211"/>
      <c r="AJ7" s="211"/>
      <c r="AK7" s="211"/>
      <c r="AL7" s="211"/>
      <c r="AM7" s="212"/>
      <c r="AN7" s="86"/>
      <c r="AO7" s="76"/>
      <c r="AP7" s="76"/>
      <c r="AQ7" s="76"/>
      <c r="AR7" s="71"/>
    </row>
    <row r="8" spans="1:48" ht="67.5" customHeight="1">
      <c r="A8" s="49" t="s">
        <v>53</v>
      </c>
      <c r="B8" s="50" t="s">
        <v>54</v>
      </c>
      <c r="C8" s="260"/>
      <c r="D8" s="54"/>
      <c r="E8" s="54"/>
      <c r="F8" s="54"/>
      <c r="G8" s="54"/>
      <c r="H8" s="54"/>
      <c r="I8" s="54"/>
      <c r="J8" s="54"/>
      <c r="K8" s="54"/>
      <c r="L8" s="54"/>
      <c r="M8" s="54"/>
      <c r="N8" s="55"/>
      <c r="O8" s="260"/>
      <c r="P8" s="99"/>
      <c r="Q8" s="54"/>
      <c r="R8" s="54"/>
      <c r="S8" s="54"/>
      <c r="T8" s="54"/>
      <c r="U8" s="54"/>
      <c r="V8" s="54"/>
      <c r="W8" s="54"/>
      <c r="X8" s="54"/>
      <c r="Y8" s="54"/>
      <c r="Z8" s="54"/>
      <c r="AA8" s="260"/>
      <c r="AB8" s="260"/>
      <c r="AC8" s="260"/>
      <c r="AD8" s="260"/>
      <c r="AE8" s="260"/>
      <c r="AF8" s="260"/>
      <c r="AG8" s="260"/>
      <c r="AH8" s="263"/>
      <c r="AI8" s="264"/>
      <c r="AJ8" s="264"/>
      <c r="AK8" s="264"/>
      <c r="AL8" s="264"/>
      <c r="AM8" s="265"/>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55" t="str">
        <f t="shared" ref="AH9:AH44" si="5">IF(AG9="","",(IF(AND(AG9&gt;=1,AG9&lt;=50.499),"REPROBADO",IF(AND(AG9&gt;=50.5,AG9&lt;=100),"APROBADO"))))</f>
        <v>APROBADO</v>
      </c>
      <c r="AI9" s="256"/>
      <c r="AJ9" s="256"/>
      <c r="AK9" s="256"/>
      <c r="AL9" s="256"/>
      <c r="AM9" s="257"/>
      <c r="AN9" s="97" t="s">
        <v>95</v>
      </c>
      <c r="AO9" s="258">
        <f>COUNTIF(AF9:AF44,"ED")</f>
        <v>0</v>
      </c>
      <c r="AP9" s="257"/>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55" t="str">
        <f t="shared" si="5"/>
        <v>APROBADO</v>
      </c>
      <c r="AI10" s="256"/>
      <c r="AJ10" s="256"/>
      <c r="AK10" s="256"/>
      <c r="AL10" s="256"/>
      <c r="AM10" s="257"/>
      <c r="AN10" s="49" t="s">
        <v>96</v>
      </c>
      <c r="AO10" s="258">
        <f>COUNTIF(AF9:AF44,"DA")</f>
        <v>0</v>
      </c>
      <c r="AP10" s="257"/>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55" t="str">
        <f t="shared" si="5"/>
        <v>APROBADO</v>
      </c>
      <c r="AI11" s="256"/>
      <c r="AJ11" s="256"/>
      <c r="AK11" s="256"/>
      <c r="AL11" s="256"/>
      <c r="AM11" s="257"/>
      <c r="AN11" s="49" t="s">
        <v>97</v>
      </c>
      <c r="AO11" s="258">
        <f>COUNTIF(AF9:AF44,"DO")</f>
        <v>0</v>
      </c>
      <c r="AP11" s="257"/>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55" t="str">
        <f t="shared" si="5"/>
        <v>APROBADO</v>
      </c>
      <c r="AI12" s="256"/>
      <c r="AJ12" s="256"/>
      <c r="AK12" s="256"/>
      <c r="AL12" s="256"/>
      <c r="AM12" s="257"/>
      <c r="AN12" s="49" t="s">
        <v>98</v>
      </c>
      <c r="AO12" s="258">
        <f>COUNTIF(AF9:AF44,"DP")</f>
        <v>36</v>
      </c>
      <c r="AP12" s="257"/>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55" t="str">
        <f t="shared" si="5"/>
        <v>APROBADO</v>
      </c>
      <c r="AI13" s="256"/>
      <c r="AJ13" s="256"/>
      <c r="AK13" s="256"/>
      <c r="AL13" s="256"/>
      <c r="AM13" s="257"/>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55" t="str">
        <f t="shared" si="5"/>
        <v>APROBADO</v>
      </c>
      <c r="AI14" s="256"/>
      <c r="AJ14" s="256"/>
      <c r="AK14" s="256"/>
      <c r="AL14" s="256"/>
      <c r="AM14" s="257"/>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55" t="str">
        <f t="shared" si="5"/>
        <v>APROBADO</v>
      </c>
      <c r="AI15" s="256"/>
      <c r="AJ15" s="256"/>
      <c r="AK15" s="256"/>
      <c r="AL15" s="256"/>
      <c r="AM15" s="257"/>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55" t="str">
        <f t="shared" si="5"/>
        <v>APROBADO</v>
      </c>
      <c r="AI16" s="256"/>
      <c r="AJ16" s="256"/>
      <c r="AK16" s="256"/>
      <c r="AL16" s="256"/>
      <c r="AM16" s="257"/>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55" t="str">
        <f t="shared" si="5"/>
        <v>APROBADO</v>
      </c>
      <c r="AI17" s="256"/>
      <c r="AJ17" s="256"/>
      <c r="AK17" s="256"/>
      <c r="AL17" s="256"/>
      <c r="AM17" s="257"/>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55" t="str">
        <f t="shared" si="5"/>
        <v>APROBADO</v>
      </c>
      <c r="AI18" s="256"/>
      <c r="AJ18" s="256"/>
      <c r="AK18" s="256"/>
      <c r="AL18" s="256"/>
      <c r="AM18" s="257"/>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55" t="str">
        <f t="shared" si="5"/>
        <v>APROBADO</v>
      </c>
      <c r="AI19" s="256"/>
      <c r="AJ19" s="256"/>
      <c r="AK19" s="256"/>
      <c r="AL19" s="256"/>
      <c r="AM19" s="257"/>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55" t="str">
        <f t="shared" si="5"/>
        <v>APROBADO</v>
      </c>
      <c r="AI20" s="256"/>
      <c r="AJ20" s="256"/>
      <c r="AK20" s="256"/>
      <c r="AL20" s="256"/>
      <c r="AM20" s="257"/>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55" t="str">
        <f t="shared" si="5"/>
        <v>APROBADO</v>
      </c>
      <c r="AI21" s="256"/>
      <c r="AJ21" s="256"/>
      <c r="AK21" s="256"/>
      <c r="AL21" s="256"/>
      <c r="AM21" s="257"/>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55" t="str">
        <f t="shared" si="5"/>
        <v>APROBADO</v>
      </c>
      <c r="AI22" s="256"/>
      <c r="AJ22" s="256"/>
      <c r="AK22" s="256"/>
      <c r="AL22" s="256"/>
      <c r="AM22" s="257"/>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55" t="str">
        <f t="shared" si="5"/>
        <v>APROBADO</v>
      </c>
      <c r="AI23" s="256"/>
      <c r="AJ23" s="256"/>
      <c r="AK23" s="256"/>
      <c r="AL23" s="256"/>
      <c r="AM23" s="257"/>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5" t="str">
        <f t="shared" si="5"/>
        <v>APROBADO</v>
      </c>
      <c r="AI24" s="256"/>
      <c r="AJ24" s="256"/>
      <c r="AK24" s="256"/>
      <c r="AL24" s="256"/>
      <c r="AM24" s="257"/>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5" t="str">
        <f t="shared" si="5"/>
        <v>APROBADO</v>
      </c>
      <c r="AI25" s="256"/>
      <c r="AJ25" s="256"/>
      <c r="AK25" s="256"/>
      <c r="AL25" s="256"/>
      <c r="AM25" s="257"/>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5" t="str">
        <f t="shared" si="5"/>
        <v>APROBADO</v>
      </c>
      <c r="AI26" s="256"/>
      <c r="AJ26" s="256"/>
      <c r="AK26" s="256"/>
      <c r="AL26" s="256"/>
      <c r="AM26" s="257"/>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5" t="str">
        <f t="shared" si="5"/>
        <v>APROBADO</v>
      </c>
      <c r="AI27" s="256"/>
      <c r="AJ27" s="256"/>
      <c r="AK27" s="256"/>
      <c r="AL27" s="256"/>
      <c r="AM27" s="257"/>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5" t="str">
        <f t="shared" si="5"/>
        <v>APROBADO</v>
      </c>
      <c r="AI28" s="256"/>
      <c r="AJ28" s="256"/>
      <c r="AK28" s="256"/>
      <c r="AL28" s="256"/>
      <c r="AM28" s="257"/>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5" t="str">
        <f t="shared" si="5"/>
        <v>APROBADO</v>
      </c>
      <c r="AI29" s="256"/>
      <c r="AJ29" s="256"/>
      <c r="AK29" s="256"/>
      <c r="AL29" s="256"/>
      <c r="AM29" s="257"/>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5" t="str">
        <f t="shared" si="5"/>
        <v>APROBADO</v>
      </c>
      <c r="AI30" s="256"/>
      <c r="AJ30" s="256"/>
      <c r="AK30" s="256"/>
      <c r="AL30" s="256"/>
      <c r="AM30" s="257"/>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5" t="str">
        <f t="shared" si="5"/>
        <v>APROBADO</v>
      </c>
      <c r="AI31" s="256"/>
      <c r="AJ31" s="256"/>
      <c r="AK31" s="256"/>
      <c r="AL31" s="256"/>
      <c r="AM31" s="257"/>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5" t="str">
        <f t="shared" si="5"/>
        <v>APROBADO</v>
      </c>
      <c r="AI32" s="256"/>
      <c r="AJ32" s="256"/>
      <c r="AK32" s="256"/>
      <c r="AL32" s="256"/>
      <c r="AM32" s="257"/>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5" t="str">
        <f t="shared" si="5"/>
        <v>APROBADO</v>
      </c>
      <c r="AI33" s="256"/>
      <c r="AJ33" s="256"/>
      <c r="AK33" s="256"/>
      <c r="AL33" s="256"/>
      <c r="AM33" s="257"/>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5" t="str">
        <f t="shared" si="5"/>
        <v>APROBADO</v>
      </c>
      <c r="AI34" s="256"/>
      <c r="AJ34" s="256"/>
      <c r="AK34" s="256"/>
      <c r="AL34" s="256"/>
      <c r="AM34" s="257"/>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5" t="str">
        <f t="shared" si="5"/>
        <v>APROBADO</v>
      </c>
      <c r="AI35" s="256"/>
      <c r="AJ35" s="256"/>
      <c r="AK35" s="256"/>
      <c r="AL35" s="256"/>
      <c r="AM35" s="257"/>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5" t="str">
        <f t="shared" si="5"/>
        <v>APROBADO</v>
      </c>
      <c r="AI36" s="256"/>
      <c r="AJ36" s="256"/>
      <c r="AK36" s="256"/>
      <c r="AL36" s="256"/>
      <c r="AM36" s="257"/>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5" t="str">
        <f t="shared" si="5"/>
        <v>APROBADO</v>
      </c>
      <c r="AI37" s="256"/>
      <c r="AJ37" s="256"/>
      <c r="AK37" s="256"/>
      <c r="AL37" s="256"/>
      <c r="AM37" s="257"/>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5" t="str">
        <f t="shared" si="5"/>
        <v>APROBADO</v>
      </c>
      <c r="AI38" s="256"/>
      <c r="AJ38" s="256"/>
      <c r="AK38" s="256"/>
      <c r="AL38" s="256"/>
      <c r="AM38" s="257"/>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5" t="str">
        <f t="shared" si="5"/>
        <v>APROBADO</v>
      </c>
      <c r="AI39" s="256"/>
      <c r="AJ39" s="256"/>
      <c r="AK39" s="256"/>
      <c r="AL39" s="256"/>
      <c r="AM39" s="257"/>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5" t="str">
        <f t="shared" si="5"/>
        <v>APROBADO</v>
      </c>
      <c r="AI40" s="256"/>
      <c r="AJ40" s="256"/>
      <c r="AK40" s="256"/>
      <c r="AL40" s="256"/>
      <c r="AM40" s="257"/>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5" t="str">
        <f t="shared" si="5"/>
        <v>APROBADO</v>
      </c>
      <c r="AI41" s="256"/>
      <c r="AJ41" s="256"/>
      <c r="AK41" s="256"/>
      <c r="AL41" s="256"/>
      <c r="AM41" s="257"/>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5" t="str">
        <f t="shared" si="5"/>
        <v>APROBADO</v>
      </c>
      <c r="AI42" s="256"/>
      <c r="AJ42" s="256"/>
      <c r="AK42" s="256"/>
      <c r="AL42" s="256"/>
      <c r="AM42" s="257"/>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5" t="str">
        <f t="shared" si="5"/>
        <v>APROBADO</v>
      </c>
      <c r="AI43" s="256"/>
      <c r="AJ43" s="256"/>
      <c r="AK43" s="256"/>
      <c r="AL43" s="256"/>
      <c r="AM43" s="257"/>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5" t="str">
        <f t="shared" si="5"/>
        <v>APROBADO</v>
      </c>
      <c r="AI44" s="256"/>
      <c r="AJ44" s="256"/>
      <c r="AK44" s="256"/>
      <c r="AL44" s="256"/>
      <c r="AM44" s="257"/>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7734375" defaultRowHeight="15" customHeight="1"/>
  <cols>
    <col min="1" max="1" width="1.6640625" customWidth="1"/>
    <col min="2" max="2" width="20.6640625" customWidth="1"/>
    <col min="3" max="7" width="2.27734375" customWidth="1"/>
    <col min="8" max="8" width="3.27734375" customWidth="1"/>
    <col min="9" max="13" width="2.27734375" customWidth="1"/>
    <col min="14" max="14" width="3.27734375" customWidth="1"/>
    <col min="15" max="19" width="2.27734375" customWidth="1"/>
    <col min="20" max="21" width="3.27734375" customWidth="1"/>
    <col min="22" max="22" width="9" customWidth="1"/>
    <col min="23" max="24" width="2.27734375" customWidth="1"/>
    <col min="25" max="28" width="1.6640625" customWidth="1"/>
  </cols>
  <sheetData>
    <row r="1" spans="1:28" ht="4.5" customHeight="1"/>
    <row r="2" spans="1:28" ht="12.75" customHeight="1">
      <c r="B2" s="208" t="s">
        <v>101</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22">
        <f ca="1">TODAY()</f>
        <v>44453</v>
      </c>
      <c r="V5" s="204"/>
      <c r="W5" s="204"/>
      <c r="X5" s="204"/>
    </row>
    <row r="6" spans="1:28" ht="12.75" customHeight="1">
      <c r="B6" s="39"/>
      <c r="C6" s="277" t="s">
        <v>4</v>
      </c>
      <c r="D6" s="256"/>
      <c r="E6" s="256"/>
      <c r="F6" s="256"/>
      <c r="G6" s="256"/>
      <c r="H6" s="257"/>
      <c r="I6" s="277" t="s">
        <v>10</v>
      </c>
      <c r="J6" s="256"/>
      <c r="K6" s="256"/>
      <c r="L6" s="256"/>
      <c r="M6" s="256"/>
      <c r="N6" s="257"/>
      <c r="O6" s="277" t="s">
        <v>16</v>
      </c>
      <c r="P6" s="256"/>
      <c r="Q6" s="256"/>
      <c r="R6" s="256"/>
      <c r="S6" s="256"/>
      <c r="T6" s="257"/>
      <c r="U6" s="282" t="s">
        <v>102</v>
      </c>
      <c r="V6" s="278" t="s">
        <v>103</v>
      </c>
      <c r="W6" s="68"/>
      <c r="X6" s="68"/>
    </row>
    <row r="7" spans="1:28" ht="12" customHeight="1">
      <c r="B7" s="48"/>
      <c r="C7" s="280"/>
      <c r="D7" s="256"/>
      <c r="E7" s="256"/>
      <c r="F7" s="256"/>
      <c r="G7" s="257"/>
      <c r="H7" s="281" t="s">
        <v>104</v>
      </c>
      <c r="I7" s="280"/>
      <c r="J7" s="256"/>
      <c r="K7" s="256"/>
      <c r="L7" s="256"/>
      <c r="M7" s="257"/>
      <c r="N7" s="281" t="s">
        <v>104</v>
      </c>
      <c r="O7" s="280"/>
      <c r="P7" s="256"/>
      <c r="Q7" s="256"/>
      <c r="R7" s="256"/>
      <c r="S7" s="257"/>
      <c r="T7" s="270" t="s">
        <v>104</v>
      </c>
      <c r="U7" s="279"/>
      <c r="V7" s="279"/>
      <c r="W7" s="41"/>
      <c r="X7" s="41"/>
    </row>
    <row r="8" spans="1:28" ht="67.5" customHeight="1">
      <c r="A8" s="49" t="s">
        <v>53</v>
      </c>
      <c r="B8" s="50" t="s">
        <v>54</v>
      </c>
      <c r="C8" s="101" t="s">
        <v>79</v>
      </c>
      <c r="D8" s="102" t="s">
        <v>80</v>
      </c>
      <c r="E8" s="102" t="s">
        <v>82</v>
      </c>
      <c r="F8" s="102" t="s">
        <v>83</v>
      </c>
      <c r="G8" s="102" t="s">
        <v>105</v>
      </c>
      <c r="H8" s="260"/>
      <c r="I8" s="101" t="s">
        <v>79</v>
      </c>
      <c r="J8" s="102" t="s">
        <v>80</v>
      </c>
      <c r="K8" s="102" t="s">
        <v>82</v>
      </c>
      <c r="L8" s="102" t="s">
        <v>83</v>
      </c>
      <c r="M8" s="102" t="s">
        <v>105</v>
      </c>
      <c r="N8" s="260"/>
      <c r="O8" s="101" t="s">
        <v>79</v>
      </c>
      <c r="P8" s="102" t="s">
        <v>80</v>
      </c>
      <c r="Q8" s="102" t="s">
        <v>82</v>
      </c>
      <c r="R8" s="102" t="s">
        <v>83</v>
      </c>
      <c r="S8" s="102" t="s">
        <v>105</v>
      </c>
      <c r="T8" s="260"/>
      <c r="U8" s="260"/>
      <c r="V8" s="260"/>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26</v>
      </c>
      <c r="K9" s="31">
        <f>'VAL 2 TRIM'!AB9</f>
        <v>18</v>
      </c>
      <c r="L9" s="31">
        <f>'VAL 2 TRIM'!AA9</f>
        <v>10</v>
      </c>
      <c r="M9" s="31">
        <f>'VAL 2 TRIM'!AE9</f>
        <v>10</v>
      </c>
      <c r="N9" s="104">
        <f>'VAL 2 TRIM'!AG9</f>
        <v>74</v>
      </c>
      <c r="O9" s="31">
        <f>'VAL 3 TRIM'!C9</f>
        <v>10</v>
      </c>
      <c r="P9" s="31">
        <f>'VAL 3 TRIM'!O9</f>
        <v>35</v>
      </c>
      <c r="Q9" s="31">
        <f>'VAL 3 TRIM'!AB9</f>
        <v>35</v>
      </c>
      <c r="R9" s="31">
        <f>'VAL 3 TRIM'!AA9</f>
        <v>10</v>
      </c>
      <c r="S9" s="31">
        <f>'VAL 3 TRIM'!AE9</f>
        <v>10</v>
      </c>
      <c r="T9" s="104">
        <f>'VAL 3 TRIM'!AG9</f>
        <v>100</v>
      </c>
      <c r="U9" s="105">
        <f t="shared" ref="U9:U44" si="0">AVERAGE(H9,N9,T9)</f>
        <v>83.333333333333329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20</v>
      </c>
      <c r="K10" s="31">
        <f>'VAL 2 TRIM'!AB10</f>
        <v>18</v>
      </c>
      <c r="L10" s="31">
        <f>'VAL 2 TRIM'!AA10</f>
        <v>10</v>
      </c>
      <c r="M10" s="31">
        <f>'VAL 2 TRIM'!AE10</f>
        <v>10</v>
      </c>
      <c r="N10" s="104">
        <f>'VAL 2 TRIM'!AG10</f>
        <v>68</v>
      </c>
      <c r="O10" s="31">
        <f>'VAL 3 TRIM'!C10</f>
        <v>10</v>
      </c>
      <c r="P10" s="31">
        <f>'VAL 3 TRIM'!O10</f>
        <v>35</v>
      </c>
      <c r="Q10" s="31">
        <f>'VAL 3 TRIM'!AB10</f>
        <v>35</v>
      </c>
      <c r="R10" s="31">
        <f>'VAL 3 TRIM'!AA10</f>
        <v>10</v>
      </c>
      <c r="S10" s="49">
        <f>'VAL 3 TRIM'!AE10</f>
        <v>10</v>
      </c>
      <c r="T10" s="104">
        <f>'VAL 3 TRIM'!AG10</f>
        <v>100</v>
      </c>
      <c r="U10" s="105">
        <f t="shared" si="0"/>
        <v>72.666666666666671</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22</v>
      </c>
      <c r="K11" s="31">
        <f>'VAL 2 TRIM'!AB11</f>
        <v>23</v>
      </c>
      <c r="L11" s="31">
        <f>'VAL 2 TRIM'!AA11</f>
        <v>10</v>
      </c>
      <c r="M11" s="31">
        <f>'VAL 2 TRIM'!AE11</f>
        <v>10</v>
      </c>
      <c r="N11" s="104">
        <f>'VAL 2 TRIM'!AG11</f>
        <v>75</v>
      </c>
      <c r="O11" s="31">
        <f>'VAL 3 TRIM'!C11</f>
        <v>10</v>
      </c>
      <c r="P11" s="31">
        <f>'VAL 3 TRIM'!O11</f>
        <v>35</v>
      </c>
      <c r="Q11" s="31">
        <f>'VAL 3 TRIM'!AB11</f>
        <v>35</v>
      </c>
      <c r="R11" s="31">
        <f>'VAL 3 TRIM'!AA11</f>
        <v>10</v>
      </c>
      <c r="S11" s="49">
        <f>'VAL 3 TRIM'!AE11</f>
        <v>10</v>
      </c>
      <c r="T11" s="104">
        <f>'VAL 3 TRIM'!AG11</f>
        <v>100</v>
      </c>
      <c r="U11" s="105">
        <f t="shared" si="0"/>
        <v>79.666666666666671</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28</v>
      </c>
      <c r="K12" s="31">
        <f>'VAL 2 TRIM'!AB12</f>
        <v>22</v>
      </c>
      <c r="L12" s="31">
        <f>'VAL 2 TRIM'!AA12</f>
        <v>10</v>
      </c>
      <c r="M12" s="31">
        <f>'VAL 2 TRIM'!AE12</f>
        <v>10</v>
      </c>
      <c r="N12" s="104">
        <f>'VAL 2 TRIM'!AG12</f>
        <v>80</v>
      </c>
      <c r="O12" s="31">
        <f>'VAL 3 TRIM'!C12</f>
        <v>10</v>
      </c>
      <c r="P12" s="31">
        <f>'VAL 3 TRIM'!O12</f>
        <v>35</v>
      </c>
      <c r="Q12" s="31">
        <f>'VAL 3 TRIM'!AB12</f>
        <v>35</v>
      </c>
      <c r="R12" s="31">
        <f>'VAL 3 TRIM'!AA12</f>
        <v>10</v>
      </c>
      <c r="S12" s="49">
        <f>'VAL 3 TRIM'!AE12</f>
        <v>10</v>
      </c>
      <c r="T12" s="104">
        <f>'VAL 3 TRIM'!AG12</f>
        <v>100</v>
      </c>
      <c r="U12" s="105">
        <f t="shared" si="0"/>
        <v>90</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26</v>
      </c>
      <c r="K14" s="31">
        <f>'VAL 2 TRIM'!AB14</f>
        <v>34</v>
      </c>
      <c r="L14" s="31">
        <f>'VAL 2 TRIM'!AA14</f>
        <v>10</v>
      </c>
      <c r="M14" s="31">
        <f>'VAL 2 TRIM'!AE14</f>
        <v>10</v>
      </c>
      <c r="N14" s="104">
        <f>'VAL 2 TRIM'!AG14</f>
        <v>90</v>
      </c>
      <c r="O14" s="31">
        <f>'VAL 3 TRIM'!C14</f>
        <v>10</v>
      </c>
      <c r="P14" s="31">
        <f>'VAL 3 TRIM'!O14</f>
        <v>35</v>
      </c>
      <c r="Q14" s="31">
        <f>'VAL 3 TRIM'!AB14</f>
        <v>35</v>
      </c>
      <c r="R14" s="31">
        <f>'VAL 3 TRIM'!AA14</f>
        <v>10</v>
      </c>
      <c r="S14" s="49">
        <f>'VAL 3 TRIM'!AE14</f>
        <v>10</v>
      </c>
      <c r="T14" s="104">
        <f>'VAL 3 TRIM'!AG14</f>
        <v>100</v>
      </c>
      <c r="U14" s="105">
        <f t="shared" si="0"/>
        <v>93.333333333333329</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23</v>
      </c>
      <c r="K15" s="31">
        <f>'VAL 2 TRIM'!AB15</f>
        <v>18</v>
      </c>
      <c r="L15" s="31">
        <f>'VAL 2 TRIM'!AA15</f>
        <v>10</v>
      </c>
      <c r="M15" s="31">
        <f>'VAL 2 TRIM'!AE15</f>
        <v>10</v>
      </c>
      <c r="N15" s="104">
        <f>'VAL 2 TRIM'!AG15</f>
        <v>71</v>
      </c>
      <c r="O15" s="31">
        <f>'VAL 3 TRIM'!C15</f>
        <v>10</v>
      </c>
      <c r="P15" s="31">
        <f>'VAL 3 TRIM'!O15</f>
        <v>35</v>
      </c>
      <c r="Q15" s="31">
        <f>'VAL 3 TRIM'!AB15</f>
        <v>35</v>
      </c>
      <c r="R15" s="31">
        <f>'VAL 3 TRIM'!AA15</f>
        <v>10</v>
      </c>
      <c r="S15" s="49">
        <f>'VAL 3 TRIM'!AE15</f>
        <v>10</v>
      </c>
      <c r="T15" s="104">
        <f>'VAL 3 TRIM'!AG15</f>
        <v>100</v>
      </c>
      <c r="U15" s="105">
        <f t="shared" si="0"/>
        <v>73.666666666666671</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21</v>
      </c>
      <c r="K16" s="31">
        <f>'VAL 2 TRIM'!AB16</f>
        <v>8</v>
      </c>
      <c r="L16" s="31">
        <f>'VAL 2 TRIM'!AA16</f>
        <v>10</v>
      </c>
      <c r="M16" s="31">
        <f>'VAL 2 TRIM'!AE16</f>
        <v>10</v>
      </c>
      <c r="N16" s="104">
        <f>'VAL 2 TRIM'!AG16</f>
        <v>59</v>
      </c>
      <c r="O16" s="31">
        <f>'VAL 3 TRIM'!C16</f>
        <v>10</v>
      </c>
      <c r="P16" s="31">
        <f>'VAL 3 TRIM'!O16</f>
        <v>35</v>
      </c>
      <c r="Q16" s="31">
        <f>'VAL 3 TRIM'!AB16</f>
        <v>35</v>
      </c>
      <c r="R16" s="31">
        <f>'VAL 3 TRIM'!AA16</f>
        <v>10</v>
      </c>
      <c r="S16" s="49">
        <f>'VAL 3 TRIM'!AE16</f>
        <v>10</v>
      </c>
      <c r="T16" s="104">
        <f>'VAL 3 TRIM'!AG16</f>
        <v>100</v>
      </c>
      <c r="U16" s="105">
        <f t="shared" si="0"/>
        <v>81.666666666666671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27</v>
      </c>
      <c r="K17" s="31">
        <f>'VAL 2 TRIM'!AB17</f>
        <v>26</v>
      </c>
      <c r="L17" s="31">
        <f>'VAL 2 TRIM'!AA17</f>
        <v>10</v>
      </c>
      <c r="M17" s="31">
        <f>'VAL 2 TRIM'!AE17</f>
        <v>10</v>
      </c>
      <c r="N17" s="104">
        <f>'VAL 2 TRIM'!AG17</f>
        <v>83</v>
      </c>
      <c r="O17" s="31">
        <f>'VAL 3 TRIM'!C17</f>
        <v>10</v>
      </c>
      <c r="P17" s="31">
        <f>'VAL 3 TRIM'!O17</f>
        <v>35</v>
      </c>
      <c r="Q17" s="31">
        <f>'VAL 3 TRIM'!AB17</f>
        <v>35</v>
      </c>
      <c r="R17" s="31">
        <f>'VAL 3 TRIM'!AA17</f>
        <v>10</v>
      </c>
      <c r="S17" s="49">
        <f>'VAL 3 TRIM'!AE17</f>
        <v>10</v>
      </c>
      <c r="T17" s="104">
        <f>'VAL 3 TRIM'!AG17</f>
        <v>100</v>
      </c>
      <c r="U17" s="105">
        <f t="shared" si="0"/>
        <v>91</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23</v>
      </c>
      <c r="K18" s="31">
        <f>'VAL 2 TRIM'!AB18</f>
        <v>19</v>
      </c>
      <c r="L18" s="31">
        <f>'VAL 2 TRIM'!AA18</f>
        <v>10</v>
      </c>
      <c r="M18" s="31">
        <f>'VAL 2 TRIM'!AE18</f>
        <v>10</v>
      </c>
      <c r="N18" s="104">
        <f>'VAL 2 TRIM'!AG18</f>
        <v>72</v>
      </c>
      <c r="O18" s="31">
        <f>'VAL 3 TRIM'!C18</f>
        <v>10</v>
      </c>
      <c r="P18" s="31">
        <f>'VAL 3 TRIM'!O18</f>
        <v>35</v>
      </c>
      <c r="Q18" s="31">
        <f>'VAL 3 TRIM'!AB18</f>
        <v>35</v>
      </c>
      <c r="R18" s="31">
        <f>'VAL 3 TRIM'!AA18</f>
        <v>10</v>
      </c>
      <c r="S18" s="49">
        <f>'VAL 3 TRIM'!AE18</f>
        <v>10</v>
      </c>
      <c r="T18" s="104">
        <f>'VAL 3 TRIM'!AG18</f>
        <v>100</v>
      </c>
      <c r="U18" s="105">
        <f t="shared" si="0"/>
        <v>85.333333333333329</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29</v>
      </c>
      <c r="K19" s="31">
        <f>'VAL 2 TRIM'!AB19</f>
        <v>32</v>
      </c>
      <c r="L19" s="31">
        <f>'VAL 2 TRIM'!AA19</f>
        <v>10</v>
      </c>
      <c r="M19" s="31">
        <f>'VAL 2 TRIM'!AE19</f>
        <v>10</v>
      </c>
      <c r="N19" s="104">
        <f>'VAL 2 TRIM'!AG19</f>
        <v>91</v>
      </c>
      <c r="O19" s="31">
        <f>'VAL 3 TRIM'!C19</f>
        <v>10</v>
      </c>
      <c r="P19" s="31">
        <f>'VAL 3 TRIM'!O19</f>
        <v>35</v>
      </c>
      <c r="Q19" s="31">
        <f>'VAL 3 TRIM'!AB19</f>
        <v>35</v>
      </c>
      <c r="R19" s="31">
        <f>'VAL 3 TRIM'!AA19</f>
        <v>10</v>
      </c>
      <c r="S19" s="49">
        <f>'VAL 3 TRIM'!AE19</f>
        <v>10</v>
      </c>
      <c r="T19" s="104">
        <f>'VAL 3 TRIM'!AG19</f>
        <v>100</v>
      </c>
      <c r="U19" s="105">
        <f t="shared" si="0"/>
        <v>93.666666666666671</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27</v>
      </c>
      <c r="K21" s="31">
        <f>'VAL 2 TRIM'!AB21</f>
        <v>21</v>
      </c>
      <c r="L21" s="31">
        <f>'VAL 2 TRIM'!AA21</f>
        <v>10</v>
      </c>
      <c r="M21" s="31">
        <f>'VAL 2 TRIM'!AE21</f>
        <v>10</v>
      </c>
      <c r="N21" s="104">
        <f>'VAL 2 TRIM'!AG21</f>
        <v>78</v>
      </c>
      <c r="O21" s="31">
        <f>'VAL 3 TRIM'!C21</f>
        <v>10</v>
      </c>
      <c r="P21" s="31">
        <f>'VAL 3 TRIM'!O21</f>
        <v>35</v>
      </c>
      <c r="Q21" s="31">
        <f>'VAL 3 TRIM'!AB21</f>
        <v>35</v>
      </c>
      <c r="R21" s="31">
        <f>'VAL 3 TRIM'!AA21</f>
        <v>10</v>
      </c>
      <c r="S21" s="49">
        <f>'VAL 3 TRIM'!AE21</f>
        <v>10</v>
      </c>
      <c r="T21" s="104">
        <f>'VAL 3 TRIM'!AG21</f>
        <v>100</v>
      </c>
      <c r="U21" s="105">
        <f t="shared" si="0"/>
        <v>76</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25</v>
      </c>
      <c r="K22" s="31">
        <f>'VAL 2 TRIM'!AB22</f>
        <v>26</v>
      </c>
      <c r="L22" s="31">
        <f>'VAL 2 TRIM'!AA22</f>
        <v>10</v>
      </c>
      <c r="M22" s="31">
        <f>'VAL 2 TRIM'!AE22</f>
        <v>10</v>
      </c>
      <c r="N22" s="104">
        <f>'VAL 2 TRIM'!AG22</f>
        <v>81</v>
      </c>
      <c r="O22" s="31">
        <f>'VAL 3 TRIM'!C22</f>
        <v>10</v>
      </c>
      <c r="P22" s="31">
        <f>'VAL 3 TRIM'!O22</f>
        <v>35</v>
      </c>
      <c r="Q22" s="31">
        <f>'VAL 3 TRIM'!AB22</f>
        <v>35</v>
      </c>
      <c r="R22" s="31">
        <f>'VAL 3 TRIM'!AA22</f>
        <v>10</v>
      </c>
      <c r="S22" s="49">
        <f>'VAL 3 TRIM'!AE22</f>
        <v>10</v>
      </c>
      <c r="T22" s="104">
        <f>'VAL 3 TRIM'!AG22</f>
        <v>100</v>
      </c>
      <c r="U22" s="105">
        <f t="shared" si="0"/>
        <v>90.333333333333329</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31</v>
      </c>
      <c r="K23" s="31">
        <f>'VAL 2 TRIM'!AB23</f>
        <v>35</v>
      </c>
      <c r="L23" s="31">
        <f>'VAL 2 TRIM'!AA23</f>
        <v>10</v>
      </c>
      <c r="M23" s="31">
        <f>'VAL 2 TRIM'!AE23</f>
        <v>10</v>
      </c>
      <c r="N23" s="104">
        <f>'VAL 2 TRIM'!AG23</f>
        <v>96</v>
      </c>
      <c r="O23" s="31">
        <f>'VAL 3 TRIM'!C23</f>
        <v>10</v>
      </c>
      <c r="P23" s="31">
        <f>'VAL 3 TRIM'!O23</f>
        <v>35</v>
      </c>
      <c r="Q23" s="31">
        <f>'VAL 3 TRIM'!AB23</f>
        <v>35</v>
      </c>
      <c r="R23" s="31">
        <f>'VAL 3 TRIM'!AA23</f>
        <v>10</v>
      </c>
      <c r="S23" s="49">
        <f>'VAL 3 TRIM'!AE23</f>
        <v>10</v>
      </c>
      <c r="T23" s="104">
        <f>'VAL 3 TRIM'!AG23</f>
        <v>100</v>
      </c>
      <c r="U23" s="105">
        <f t="shared" si="0"/>
        <v>95.333333333333329</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7734375" defaultRowHeight="15" customHeight="1"/>
  <cols>
    <col min="1" max="1" width="1.6640625" customWidth="1"/>
    <col min="2" max="2" width="20.6640625" customWidth="1"/>
    <col min="3" max="6" width="3.6640625" customWidth="1"/>
    <col min="7" max="7" width="9" customWidth="1"/>
    <col min="8" max="8" width="1.27734375" customWidth="1"/>
    <col min="9" max="11" width="3.6640625" customWidth="1"/>
    <col min="12" max="13" width="4.6640625" customWidth="1"/>
    <col min="14" max="26" width="8.71875" customWidth="1"/>
  </cols>
  <sheetData>
    <row r="1" spans="1:13" ht="4.5" customHeight="1"/>
    <row r="2" spans="1:13" ht="12.75" customHeight="1">
      <c r="B2" s="208" t="s">
        <v>101</v>
      </c>
      <c r="C2" s="204"/>
      <c r="D2" s="204"/>
      <c r="E2" s="204"/>
      <c r="F2" s="204"/>
      <c r="G2" s="204"/>
      <c r="H2" s="204"/>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85"/>
      <c r="G5" s="264"/>
      <c r="H5" s="45"/>
      <c r="I5" s="45"/>
      <c r="J5" s="39" t="s">
        <v>23</v>
      </c>
      <c r="K5" s="109"/>
      <c r="L5" s="222">
        <f ca="1">TODAY()</f>
        <v>44453</v>
      </c>
      <c r="M5" s="204"/>
    </row>
    <row r="6" spans="1:13" ht="12.75" customHeight="1">
      <c r="B6" s="39"/>
      <c r="C6" s="286" t="s">
        <v>106</v>
      </c>
      <c r="D6" s="256"/>
      <c r="E6" s="257"/>
      <c r="F6" s="282" t="s">
        <v>102</v>
      </c>
      <c r="G6" s="278" t="s">
        <v>103</v>
      </c>
      <c r="H6" s="68"/>
      <c r="I6" s="68"/>
    </row>
    <row r="7" spans="1:13" ht="12" customHeight="1">
      <c r="B7" s="48"/>
      <c r="C7" s="283" t="s">
        <v>4</v>
      </c>
      <c r="D7" s="283" t="s">
        <v>107</v>
      </c>
      <c r="E7" s="284" t="s">
        <v>16</v>
      </c>
      <c r="F7" s="279"/>
      <c r="G7" s="279"/>
      <c r="H7" s="41"/>
      <c r="I7" s="41"/>
    </row>
    <row r="8" spans="1:13" ht="67.5" customHeight="1">
      <c r="A8" s="49" t="s">
        <v>53</v>
      </c>
      <c r="B8" s="50" t="s">
        <v>54</v>
      </c>
      <c r="C8" s="260"/>
      <c r="D8" s="260"/>
      <c r="E8" s="260"/>
      <c r="F8" s="260"/>
      <c r="G8" s="260"/>
      <c r="H8" s="103"/>
      <c r="I8" s="103" t="s">
        <v>108</v>
      </c>
      <c r="J8" s="103" t="s">
        <v>109</v>
      </c>
      <c r="K8" s="103" t="s">
        <v>110</v>
      </c>
    </row>
    <row r="9" spans="1:13" ht="12" customHeight="1">
      <c r="A9" s="59">
        <v>1</v>
      </c>
      <c r="B9" s="60" t="str">
        <f>'C. FILIACION'!B8</f>
        <v>ARANCIBIA ARRAYA LUIS ANDRES</v>
      </c>
      <c r="C9" s="104">
        <f>'VAL 1 TRIM '!AG9</f>
        <v>76</v>
      </c>
      <c r="D9" s="104">
        <f>'VAL 2 TRIM'!AG9</f>
        <v>74</v>
      </c>
      <c r="E9" s="104">
        <f>'VAL 3 TRIM'!AG9</f>
        <v>100</v>
      </c>
      <c r="F9" s="105">
        <f>'CENTRAL 1'!U9</f>
        <v>83.333333333333329</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68</v>
      </c>
      <c r="E10" s="104">
        <f>'VAL 3 TRIM'!AG10</f>
        <v>100</v>
      </c>
      <c r="F10" s="105">
        <f>'CENTRAL 1'!U10</f>
        <v>72.666666666666671</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75</v>
      </c>
      <c r="E11" s="104">
        <f>'VAL 3 TRIM'!AG11</f>
        <v>100</v>
      </c>
      <c r="F11" s="105">
        <f>'CENTRAL 1'!U11</f>
        <v>79.666666666666671</v>
      </c>
      <c r="G11" s="106" t="str">
        <f t="shared" si="0"/>
        <v>APROBADO</v>
      </c>
      <c r="H11" s="107"/>
      <c r="I11" s="107"/>
    </row>
    <row r="12" spans="1:13" ht="12" customHeight="1">
      <c r="A12" s="59">
        <v>4</v>
      </c>
      <c r="B12" s="60" t="str">
        <f>'C. FILIACION'!B11</f>
        <v>BLANCO SALVATIERRA DANIELA MARGARITA</v>
      </c>
      <c r="C12" s="104">
        <f>'VAL 1 TRIM '!AG12</f>
        <v>90</v>
      </c>
      <c r="D12" s="104">
        <f>'VAL 2 TRIM'!AG12</f>
        <v>80</v>
      </c>
      <c r="E12" s="104">
        <f>'VAL 3 TRIM'!AG12</f>
        <v>100</v>
      </c>
      <c r="F12" s="105">
        <f>'CENTRAL 1'!U12</f>
        <v>90</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90</v>
      </c>
      <c r="E14" s="104">
        <f>'VAL 3 TRIM'!AG14</f>
        <v>100</v>
      </c>
      <c r="F14" s="105">
        <f>'CENTRAL 1'!U14</f>
        <v>93.333333333333329</v>
      </c>
      <c r="G14" s="106" t="str">
        <f t="shared" si="0"/>
        <v>APROBADO</v>
      </c>
      <c r="H14" s="107"/>
      <c r="I14" s="111" t="s">
        <v>112</v>
      </c>
    </row>
    <row r="15" spans="1:13" ht="12" customHeight="1">
      <c r="A15" s="59">
        <v>7</v>
      </c>
      <c r="B15" s="60" t="str">
        <f>'C. FILIACION'!B14</f>
        <v>GUTIERREZ PEREZ ARIEL FERNANDO</v>
      </c>
      <c r="C15" s="104">
        <f>'VAL 1 TRIM '!AG15</f>
        <v>50</v>
      </c>
      <c r="D15" s="104">
        <f>'VAL 2 TRIM'!AG15</f>
        <v>71</v>
      </c>
      <c r="E15" s="104">
        <f>'VAL 3 TRIM'!AG15</f>
        <v>100</v>
      </c>
      <c r="F15" s="105">
        <f>'CENTRAL 1'!U15</f>
        <v>73.666666666666671</v>
      </c>
      <c r="G15" s="106" t="str">
        <f t="shared" si="0"/>
        <v>APROBADO</v>
      </c>
      <c r="H15" s="107"/>
      <c r="I15" s="107"/>
    </row>
    <row r="16" spans="1:13" ht="12" customHeight="1">
      <c r="A16" s="59">
        <v>8</v>
      </c>
      <c r="B16" s="60" t="str">
        <f>'C. FILIACION'!B15</f>
        <v>LOPEZ PACO FABRICIO ANDRE</v>
      </c>
      <c r="C16" s="104">
        <f>'VAL 1 TRIM '!AG16</f>
        <v>86</v>
      </c>
      <c r="D16" s="104">
        <f>'VAL 2 TRIM'!AG16</f>
        <v>59</v>
      </c>
      <c r="E16" s="104">
        <f>'VAL 3 TRIM'!AG16</f>
        <v>100</v>
      </c>
      <c r="F16" s="105">
        <f>'CENTRAL 1'!U16</f>
        <v>81.666666666666671</v>
      </c>
      <c r="G16" s="106" t="str">
        <f t="shared" si="0"/>
        <v>APROBADO</v>
      </c>
      <c r="H16" s="107"/>
      <c r="I16" s="107"/>
    </row>
    <row r="17" spans="1:9" ht="12" customHeight="1">
      <c r="A17" s="59">
        <v>9</v>
      </c>
      <c r="B17" s="60" t="str">
        <f>'C. FILIACION'!B16</f>
        <v>NINA PANIAGUA DEYVID GABRIEL</v>
      </c>
      <c r="C17" s="104">
        <f>'VAL 1 TRIM '!AG17</f>
        <v>90</v>
      </c>
      <c r="D17" s="104">
        <f>'VAL 2 TRIM'!AG17</f>
        <v>83</v>
      </c>
      <c r="E17" s="104">
        <f>'VAL 3 TRIM'!AG17</f>
        <v>100</v>
      </c>
      <c r="F17" s="105">
        <f>'CENTRAL 1'!U17</f>
        <v>91</v>
      </c>
      <c r="G17" s="106" t="str">
        <f t="shared" si="0"/>
        <v>APROBADO</v>
      </c>
      <c r="H17" s="107"/>
      <c r="I17" s="107"/>
    </row>
    <row r="18" spans="1:9" ht="12" customHeight="1">
      <c r="A18" s="59">
        <v>10</v>
      </c>
      <c r="B18" s="60" t="str">
        <f>'C. FILIACION'!B17</f>
        <v>PASTOR CONDARCO STEVE DAVID</v>
      </c>
      <c r="C18" s="104">
        <f>'VAL 1 TRIM '!AG18</f>
        <v>84</v>
      </c>
      <c r="D18" s="104">
        <f>'VAL 2 TRIM'!AG18</f>
        <v>72</v>
      </c>
      <c r="E18" s="104">
        <f>'VAL 3 TRIM'!AG18</f>
        <v>100</v>
      </c>
      <c r="F18" s="105">
        <f>'CENTRAL 1'!U18</f>
        <v>85.333333333333329</v>
      </c>
      <c r="G18" s="106" t="str">
        <f t="shared" si="0"/>
        <v>APROBADO</v>
      </c>
      <c r="H18" s="107"/>
      <c r="I18" s="107"/>
    </row>
    <row r="19" spans="1:9" ht="12" customHeight="1">
      <c r="A19" s="59">
        <v>11</v>
      </c>
      <c r="B19" s="60" t="str">
        <f>'C. FILIACION'!B18</f>
        <v>ROJAS MAMANI JERUSALEN LOURDES</v>
      </c>
      <c r="C19" s="104">
        <f>'VAL 1 TRIM '!AG19</f>
        <v>90</v>
      </c>
      <c r="D19" s="104">
        <f>'VAL 2 TRIM'!AG19</f>
        <v>91</v>
      </c>
      <c r="E19" s="104">
        <f>'VAL 3 TRIM'!AG19</f>
        <v>100</v>
      </c>
      <c r="F19" s="105">
        <f>'CENTRAL 1'!U19</f>
        <v>93.666666666666671</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78</v>
      </c>
      <c r="E21" s="104">
        <f>'VAL 3 TRIM'!AG21</f>
        <v>100</v>
      </c>
      <c r="F21" s="105">
        <f>'CENTRAL 1'!U21</f>
        <v>76</v>
      </c>
      <c r="G21" s="106" t="str">
        <f t="shared" si="0"/>
        <v>APROBADO</v>
      </c>
      <c r="H21" s="107"/>
      <c r="I21" s="107"/>
    </row>
    <row r="22" spans="1:9" ht="12" customHeight="1">
      <c r="A22" s="59">
        <v>14</v>
      </c>
      <c r="B22" s="60" t="str">
        <f>'C. FILIACION'!B21</f>
        <v>TICONA LOAYZA ARIADNE VALERIA</v>
      </c>
      <c r="C22" s="104">
        <f>'VAL 1 TRIM '!AG22</f>
        <v>90</v>
      </c>
      <c r="D22" s="104">
        <f>'VAL 2 TRIM'!AG22</f>
        <v>81</v>
      </c>
      <c r="E22" s="104">
        <f>'VAL 3 TRIM'!AG22</f>
        <v>100</v>
      </c>
      <c r="F22" s="105">
        <f>'CENTRAL 1'!U22</f>
        <v>90.333333333333329</v>
      </c>
      <c r="G22" s="106" t="str">
        <f t="shared" si="0"/>
        <v>APROBADO</v>
      </c>
      <c r="H22" s="107"/>
      <c r="I22" s="107"/>
    </row>
    <row r="23" spans="1:9" ht="12" customHeight="1">
      <c r="A23" s="59">
        <v>15</v>
      </c>
      <c r="B23" s="60" t="str">
        <f>'C. FILIACION'!B22</f>
        <v>ZEBALLOS DEL CARPIO AMIRA MERCEDES</v>
      </c>
      <c r="C23" s="104">
        <f>'VAL 1 TRIM '!AG23</f>
        <v>90</v>
      </c>
      <c r="D23" s="104">
        <f>'VAL 2 TRIM'!AG23</f>
        <v>96</v>
      </c>
      <c r="E23" s="104">
        <f>'VAL 3 TRIM'!AG23</f>
        <v>100</v>
      </c>
      <c r="F23" s="105">
        <f>'CENTRAL 1'!U23</f>
        <v>95.333333333333329</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7734375" defaultRowHeight="15" customHeight="1"/>
  <cols>
    <col min="1" max="1" width="3.94140625" customWidth="1"/>
    <col min="2" max="2" width="6.27734375" customWidth="1"/>
    <col min="3" max="3" width="12.6640625" customWidth="1"/>
    <col min="4" max="4" width="5.94140625" customWidth="1"/>
    <col min="5" max="5" width="7.609375" customWidth="1"/>
    <col min="6" max="6" width="2.94140625" customWidth="1"/>
    <col min="7" max="7" width="14.71875" customWidth="1"/>
    <col min="8" max="8" width="5.27734375" customWidth="1"/>
    <col min="9" max="10" width="10.94140625" customWidth="1"/>
    <col min="11" max="26" width="10.386718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0" t="s">
        <v>113</v>
      </c>
      <c r="C2" s="204"/>
      <c r="D2" s="204"/>
      <c r="E2" s="204"/>
      <c r="F2" s="204"/>
      <c r="G2" s="204"/>
      <c r="H2" s="204"/>
      <c r="I2" s="204"/>
      <c r="J2" s="204"/>
      <c r="K2" s="113"/>
      <c r="L2" s="113"/>
      <c r="M2" s="113"/>
      <c r="N2" s="113"/>
      <c r="O2" s="113"/>
      <c r="P2" s="113"/>
      <c r="Q2" s="113"/>
      <c r="R2" s="113"/>
      <c r="S2" s="113"/>
      <c r="T2" s="113"/>
      <c r="U2" s="113"/>
      <c r="V2" s="113"/>
      <c r="W2" s="113"/>
      <c r="X2" s="113"/>
      <c r="Y2" s="113"/>
      <c r="Z2" s="113"/>
    </row>
    <row r="3" spans="1:26" ht="20">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
      <c r="A5" s="113"/>
      <c r="B5" s="114" t="s">
        <v>22</v>
      </c>
      <c r="C5" s="113"/>
      <c r="D5" s="115" t="str">
        <f>CARÁTULA!$C$23</f>
        <v>1ro de Secundaria</v>
      </c>
      <c r="E5" s="113"/>
      <c r="F5" s="113"/>
      <c r="G5" s="113"/>
      <c r="H5" s="114" t="s">
        <v>23</v>
      </c>
      <c r="I5" s="68">
        <f ca="1">TODAY()</f>
        <v>44453</v>
      </c>
      <c r="J5" s="113"/>
      <c r="K5" s="113"/>
      <c r="L5" s="113"/>
      <c r="M5" s="113"/>
      <c r="N5" s="113"/>
      <c r="O5" s="113"/>
      <c r="P5" s="113"/>
      <c r="Q5" s="113"/>
      <c r="R5" s="113"/>
      <c r="S5" s="113"/>
      <c r="T5" s="113"/>
      <c r="U5" s="113"/>
      <c r="V5" s="113"/>
      <c r="W5" s="113"/>
      <c r="X5" s="113"/>
      <c r="Y5" s="113"/>
      <c r="Z5" s="113"/>
    </row>
    <row r="6" spans="1:26" ht="20">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
      <c r="A13" s="113"/>
      <c r="B13" s="291" t="s">
        <v>130</v>
      </c>
      <c r="C13" s="204"/>
      <c r="D13" s="204"/>
      <c r="E13" s="204"/>
      <c r="F13" s="204"/>
      <c r="G13" s="204"/>
      <c r="H13" s="204"/>
      <c r="I13" s="204"/>
      <c r="J13" s="204"/>
      <c r="K13" s="113"/>
      <c r="L13" s="113"/>
      <c r="M13" s="113"/>
      <c r="N13" s="113"/>
      <c r="O13" s="113"/>
      <c r="P13" s="113"/>
      <c r="Q13" s="113"/>
      <c r="R13" s="113"/>
      <c r="S13" s="113"/>
      <c r="T13" s="113"/>
      <c r="U13" s="113"/>
      <c r="V13" s="113"/>
      <c r="W13" s="113"/>
      <c r="X13" s="113"/>
      <c r="Y13" s="113"/>
      <c r="Z13" s="113"/>
    </row>
    <row r="14" spans="1:26" ht="20">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7" t="s">
        <v>131</v>
      </c>
      <c r="C15" s="211"/>
      <c r="D15" s="211"/>
      <c r="E15" s="211"/>
      <c r="F15" s="211"/>
      <c r="G15" s="211"/>
      <c r="H15" s="211"/>
      <c r="I15" s="211"/>
      <c r="J15" s="212"/>
      <c r="K15" s="113"/>
      <c r="L15" s="113"/>
      <c r="M15" s="113"/>
      <c r="N15" s="113"/>
      <c r="O15" s="113"/>
      <c r="P15" s="113"/>
      <c r="Q15" s="113"/>
      <c r="R15" s="113"/>
      <c r="S15" s="113"/>
      <c r="T15" s="113"/>
      <c r="U15" s="113"/>
      <c r="V15" s="113"/>
      <c r="W15" s="113"/>
      <c r="X15" s="113"/>
      <c r="Y15" s="113"/>
      <c r="Z15" s="113"/>
    </row>
    <row r="16" spans="1:26" ht="16.5" customHeight="1">
      <c r="A16" s="113"/>
      <c r="B16" s="288"/>
      <c r="C16" s="204"/>
      <c r="D16" s="204"/>
      <c r="E16" s="204"/>
      <c r="F16" s="204"/>
      <c r="G16" s="204"/>
      <c r="H16" s="204"/>
      <c r="I16" s="204"/>
      <c r="J16" s="289"/>
      <c r="K16" s="113"/>
      <c r="L16" s="113"/>
      <c r="M16" s="113"/>
      <c r="N16" s="113"/>
      <c r="O16" s="113"/>
      <c r="P16" s="113"/>
      <c r="Q16" s="113"/>
      <c r="R16" s="113"/>
      <c r="S16" s="113"/>
      <c r="T16" s="113"/>
      <c r="U16" s="113"/>
      <c r="V16" s="113"/>
      <c r="W16" s="113"/>
      <c r="X16" s="113"/>
      <c r="Y16" s="113"/>
      <c r="Z16" s="113"/>
    </row>
    <row r="17" spans="1:26" ht="16.5" customHeight="1">
      <c r="A17" s="113"/>
      <c r="B17" s="263"/>
      <c r="C17" s="264"/>
      <c r="D17" s="264"/>
      <c r="E17" s="264"/>
      <c r="F17" s="264"/>
      <c r="G17" s="264"/>
      <c r="H17" s="264"/>
      <c r="I17" s="264"/>
      <c r="J17" s="265"/>
      <c r="K17" s="113"/>
      <c r="L17" s="113"/>
      <c r="M17" s="113"/>
      <c r="N17" s="113"/>
      <c r="O17" s="113"/>
      <c r="P17" s="113"/>
      <c r="Q17" s="113"/>
      <c r="R17" s="113"/>
      <c r="S17" s="113"/>
      <c r="T17" s="113"/>
      <c r="U17" s="113"/>
      <c r="V17" s="113"/>
      <c r="W17" s="113"/>
      <c r="X17" s="113"/>
      <c r="Y17" s="113"/>
      <c r="Z17" s="113"/>
    </row>
    <row r="18" spans="1:26" ht="16.5" customHeight="1">
      <c r="A18" s="113"/>
      <c r="B18" s="287" t="s">
        <v>132</v>
      </c>
      <c r="C18" s="211"/>
      <c r="D18" s="211"/>
      <c r="E18" s="211"/>
      <c r="F18" s="211"/>
      <c r="G18" s="211"/>
      <c r="H18" s="211"/>
      <c r="I18" s="211"/>
      <c r="J18" s="212"/>
      <c r="K18" s="113"/>
      <c r="L18" s="113"/>
      <c r="M18" s="113"/>
      <c r="N18" s="113"/>
      <c r="O18" s="113"/>
      <c r="P18" s="113"/>
      <c r="Q18" s="113"/>
      <c r="R18" s="113"/>
      <c r="S18" s="113"/>
      <c r="T18" s="113"/>
      <c r="U18" s="113"/>
      <c r="V18" s="113"/>
      <c r="W18" s="113"/>
      <c r="X18" s="113"/>
      <c r="Y18" s="113"/>
      <c r="Z18" s="113"/>
    </row>
    <row r="19" spans="1:26" ht="16.5" customHeight="1">
      <c r="A19" s="113"/>
      <c r="B19" s="288"/>
      <c r="C19" s="204"/>
      <c r="D19" s="204"/>
      <c r="E19" s="204"/>
      <c r="F19" s="204"/>
      <c r="G19" s="204"/>
      <c r="H19" s="204"/>
      <c r="I19" s="204"/>
      <c r="J19" s="289"/>
      <c r="K19" s="113"/>
      <c r="L19" s="113"/>
      <c r="M19" s="113"/>
      <c r="N19" s="113"/>
      <c r="O19" s="113"/>
      <c r="P19" s="113"/>
      <c r="Q19" s="113"/>
      <c r="R19" s="113"/>
      <c r="S19" s="113"/>
      <c r="T19" s="113"/>
      <c r="U19" s="113"/>
      <c r="V19" s="113"/>
      <c r="W19" s="113"/>
      <c r="X19" s="113"/>
      <c r="Y19" s="113"/>
      <c r="Z19" s="113"/>
    </row>
    <row r="20" spans="1:26" ht="16.5" customHeight="1">
      <c r="A20" s="113"/>
      <c r="B20" s="263"/>
      <c r="C20" s="264"/>
      <c r="D20" s="264"/>
      <c r="E20" s="264"/>
      <c r="F20" s="264"/>
      <c r="G20" s="264"/>
      <c r="H20" s="264"/>
      <c r="I20" s="264"/>
      <c r="J20" s="265"/>
      <c r="K20" s="113"/>
      <c r="L20" s="113"/>
      <c r="M20" s="113"/>
      <c r="N20" s="113"/>
      <c r="O20" s="113"/>
      <c r="P20" s="113"/>
      <c r="Q20" s="113"/>
      <c r="R20" s="113"/>
      <c r="S20" s="113"/>
      <c r="T20" s="113"/>
      <c r="U20" s="113"/>
      <c r="V20" s="113"/>
      <c r="W20" s="113"/>
      <c r="X20" s="113"/>
      <c r="Y20" s="113"/>
      <c r="Z20" s="113"/>
    </row>
    <row r="21" spans="1:26" ht="16.5" customHeight="1">
      <c r="A21" s="113"/>
      <c r="B21" s="287" t="s">
        <v>133</v>
      </c>
      <c r="C21" s="211"/>
      <c r="D21" s="211"/>
      <c r="E21" s="211"/>
      <c r="F21" s="211"/>
      <c r="G21" s="211"/>
      <c r="H21" s="211"/>
      <c r="I21" s="211"/>
      <c r="J21" s="212"/>
      <c r="K21" s="113"/>
      <c r="L21" s="113"/>
      <c r="M21" s="113"/>
      <c r="N21" s="113"/>
      <c r="O21" s="113"/>
      <c r="P21" s="113"/>
      <c r="Q21" s="113"/>
      <c r="R21" s="113"/>
      <c r="S21" s="113"/>
      <c r="T21" s="113"/>
      <c r="U21" s="113"/>
      <c r="V21" s="113"/>
      <c r="W21" s="113"/>
      <c r="X21" s="113"/>
      <c r="Y21" s="113"/>
      <c r="Z21" s="113"/>
    </row>
    <row r="22" spans="1:26" ht="16.5" customHeight="1">
      <c r="A22" s="113"/>
      <c r="B22" s="288"/>
      <c r="C22" s="204"/>
      <c r="D22" s="204"/>
      <c r="E22" s="204"/>
      <c r="F22" s="204"/>
      <c r="G22" s="204"/>
      <c r="H22" s="204"/>
      <c r="I22" s="204"/>
      <c r="J22" s="289"/>
      <c r="K22" s="113"/>
      <c r="L22" s="113"/>
      <c r="M22" s="113"/>
      <c r="N22" s="113"/>
      <c r="O22" s="113"/>
      <c r="P22" s="113"/>
      <c r="Q22" s="113"/>
      <c r="R22" s="113"/>
      <c r="S22" s="113"/>
      <c r="T22" s="113"/>
      <c r="U22" s="113"/>
      <c r="V22" s="113"/>
      <c r="W22" s="113"/>
      <c r="X22" s="113"/>
      <c r="Y22" s="113"/>
      <c r="Z22" s="113"/>
    </row>
    <row r="23" spans="1:26" ht="16.5" customHeight="1">
      <c r="A23" s="113"/>
      <c r="B23" s="263"/>
      <c r="C23" s="264"/>
      <c r="D23" s="264"/>
      <c r="E23" s="264"/>
      <c r="F23" s="264"/>
      <c r="G23" s="264"/>
      <c r="H23" s="264"/>
      <c r="I23" s="264"/>
      <c r="J23" s="265"/>
      <c r="K23" s="113"/>
      <c r="L23" s="113"/>
      <c r="M23" s="113"/>
      <c r="N23" s="113"/>
      <c r="O23" s="113"/>
      <c r="P23" s="113"/>
      <c r="Q23" s="113"/>
      <c r="R23" s="113"/>
      <c r="S23" s="113"/>
      <c r="T23" s="113"/>
      <c r="U23" s="113"/>
      <c r="V23" s="113"/>
      <c r="W23" s="113"/>
      <c r="X23" s="113"/>
      <c r="Y23" s="113"/>
      <c r="Z23" s="113"/>
    </row>
    <row r="24" spans="1:26" ht="16.5" customHeight="1">
      <c r="A24" s="113"/>
      <c r="B24" s="287" t="s">
        <v>134</v>
      </c>
      <c r="C24" s="211"/>
      <c r="D24" s="211"/>
      <c r="E24" s="211"/>
      <c r="F24" s="211"/>
      <c r="G24" s="211"/>
      <c r="H24" s="211"/>
      <c r="I24" s="211"/>
      <c r="J24" s="212"/>
      <c r="K24" s="113"/>
      <c r="L24" s="113"/>
      <c r="M24" s="113"/>
      <c r="N24" s="113"/>
      <c r="O24" s="113"/>
      <c r="P24" s="113"/>
      <c r="Q24" s="113"/>
      <c r="R24" s="113"/>
      <c r="S24" s="113"/>
      <c r="T24" s="113"/>
      <c r="U24" s="113"/>
      <c r="V24" s="113"/>
      <c r="W24" s="113"/>
      <c r="X24" s="113"/>
      <c r="Y24" s="113"/>
      <c r="Z24" s="113"/>
    </row>
    <row r="25" spans="1:26" ht="16.5" customHeight="1">
      <c r="A25" s="113"/>
      <c r="B25" s="288"/>
      <c r="C25" s="204"/>
      <c r="D25" s="204"/>
      <c r="E25" s="204"/>
      <c r="F25" s="204"/>
      <c r="G25" s="204"/>
      <c r="H25" s="204"/>
      <c r="I25" s="204"/>
      <c r="J25" s="289"/>
      <c r="K25" s="113"/>
      <c r="L25" s="113"/>
      <c r="M25" s="113"/>
      <c r="N25" s="113"/>
      <c r="O25" s="113"/>
      <c r="P25" s="113"/>
      <c r="Q25" s="113"/>
      <c r="R25" s="113"/>
      <c r="S25" s="113"/>
      <c r="T25" s="113"/>
      <c r="U25" s="113"/>
      <c r="V25" s="113"/>
      <c r="W25" s="113"/>
      <c r="X25" s="113"/>
      <c r="Y25" s="113"/>
      <c r="Z25" s="113"/>
    </row>
    <row r="26" spans="1:26" ht="16.5" customHeight="1">
      <c r="A26" s="113"/>
      <c r="B26" s="263"/>
      <c r="C26" s="264"/>
      <c r="D26" s="264"/>
      <c r="E26" s="264"/>
      <c r="F26" s="264"/>
      <c r="G26" s="264"/>
      <c r="H26" s="264"/>
      <c r="I26" s="264"/>
      <c r="J26" s="265"/>
      <c r="K26" s="113"/>
      <c r="L26" s="113"/>
      <c r="M26" s="113"/>
      <c r="N26" s="113"/>
      <c r="O26" s="113"/>
      <c r="P26" s="113"/>
      <c r="Q26" s="113"/>
      <c r="R26" s="113"/>
      <c r="S26" s="113"/>
      <c r="T26" s="113"/>
      <c r="U26" s="113"/>
      <c r="V26" s="113"/>
      <c r="W26" s="113"/>
      <c r="X26" s="113"/>
      <c r="Y26" s="113"/>
      <c r="Z26" s="113"/>
    </row>
    <row r="27" spans="1:26" ht="16.5" customHeight="1">
      <c r="A27" s="113"/>
      <c r="B27" s="287" t="s">
        <v>135</v>
      </c>
      <c r="C27" s="211"/>
      <c r="D27" s="211"/>
      <c r="E27" s="211"/>
      <c r="F27" s="211"/>
      <c r="G27" s="211"/>
      <c r="H27" s="211"/>
      <c r="I27" s="211"/>
      <c r="J27" s="212"/>
      <c r="K27" s="113"/>
      <c r="L27" s="113"/>
      <c r="M27" s="113"/>
      <c r="N27" s="113"/>
      <c r="O27" s="113"/>
      <c r="P27" s="113"/>
      <c r="Q27" s="113"/>
      <c r="R27" s="113"/>
      <c r="S27" s="113"/>
      <c r="T27" s="113"/>
      <c r="U27" s="113"/>
      <c r="V27" s="113"/>
      <c r="W27" s="113"/>
      <c r="X27" s="113"/>
      <c r="Y27" s="113"/>
      <c r="Z27" s="113"/>
    </row>
    <row r="28" spans="1:26" ht="16.5" customHeight="1">
      <c r="A28" s="113"/>
      <c r="B28" s="288"/>
      <c r="C28" s="204"/>
      <c r="D28" s="204"/>
      <c r="E28" s="204"/>
      <c r="F28" s="204"/>
      <c r="G28" s="204"/>
      <c r="H28" s="204"/>
      <c r="I28" s="204"/>
      <c r="J28" s="289"/>
      <c r="K28" s="113"/>
      <c r="L28" s="113"/>
      <c r="M28" s="113"/>
      <c r="N28" s="113"/>
      <c r="O28" s="113"/>
      <c r="P28" s="113"/>
      <c r="Q28" s="113"/>
      <c r="R28" s="113"/>
      <c r="S28" s="113"/>
      <c r="T28" s="113"/>
      <c r="U28" s="113"/>
      <c r="V28" s="113"/>
      <c r="W28" s="113"/>
      <c r="X28" s="113"/>
      <c r="Y28" s="113"/>
      <c r="Z28" s="113"/>
    </row>
    <row r="29" spans="1:26" ht="16.5" customHeight="1">
      <c r="A29" s="113"/>
      <c r="B29" s="263"/>
      <c r="C29" s="264"/>
      <c r="D29" s="264"/>
      <c r="E29" s="264"/>
      <c r="F29" s="264"/>
      <c r="G29" s="264"/>
      <c r="H29" s="264"/>
      <c r="I29" s="264"/>
      <c r="J29" s="265"/>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7734375" defaultRowHeight="15" customHeight="1"/>
  <cols>
    <col min="1" max="1" width="3.94140625" customWidth="1"/>
    <col min="2" max="2" width="6.27734375" customWidth="1"/>
    <col min="3" max="3" width="12.6640625" customWidth="1"/>
    <col min="4" max="4" width="5.94140625" customWidth="1"/>
    <col min="5" max="5" width="7.609375" customWidth="1"/>
    <col min="6" max="6" width="2.94140625" customWidth="1"/>
    <col min="7" max="7" width="14.71875" customWidth="1"/>
    <col min="8" max="8" width="5.27734375" customWidth="1"/>
    <col min="9" max="10" width="10.94140625" customWidth="1"/>
    <col min="11" max="26" width="10.386718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0" t="s">
        <v>137</v>
      </c>
      <c r="C2" s="204"/>
      <c r="D2" s="204"/>
      <c r="E2" s="204"/>
      <c r="F2" s="204"/>
      <c r="G2" s="204"/>
      <c r="H2" s="204"/>
      <c r="I2" s="204"/>
      <c r="J2" s="204"/>
      <c r="K2" s="113"/>
      <c r="L2" s="113"/>
      <c r="M2" s="113"/>
      <c r="N2" s="113"/>
      <c r="O2" s="113"/>
      <c r="P2" s="113"/>
      <c r="Q2" s="113"/>
      <c r="R2" s="113"/>
      <c r="S2" s="113"/>
      <c r="T2" s="113"/>
      <c r="U2" s="113"/>
      <c r="V2" s="113"/>
      <c r="W2" s="113"/>
      <c r="X2" s="113"/>
      <c r="Y2" s="113"/>
      <c r="Z2" s="113"/>
    </row>
    <row r="3" spans="1:26" ht="20">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
      <c r="A5" s="113"/>
      <c r="B5" s="114" t="s">
        <v>22</v>
      </c>
      <c r="C5" s="113"/>
      <c r="D5" s="115" t="str">
        <f>CARÁTULA!$C$23</f>
        <v>1ro de Secundaria</v>
      </c>
      <c r="E5" s="113"/>
      <c r="F5" s="113"/>
      <c r="G5" s="113"/>
      <c r="H5" s="114" t="s">
        <v>23</v>
      </c>
      <c r="I5" s="68">
        <f ca="1">TODAY()</f>
        <v>44453</v>
      </c>
      <c r="J5" s="113"/>
      <c r="K5" s="113"/>
      <c r="L5" s="113"/>
      <c r="M5" s="113"/>
      <c r="N5" s="113"/>
      <c r="O5" s="113"/>
      <c r="P5" s="113"/>
      <c r="Q5" s="113"/>
      <c r="R5" s="113"/>
      <c r="S5" s="113"/>
      <c r="T5" s="113"/>
      <c r="U5" s="113"/>
      <c r="V5" s="113"/>
      <c r="W5" s="113"/>
      <c r="X5" s="113"/>
      <c r="Y5" s="113"/>
      <c r="Z5" s="113"/>
    </row>
    <row r="6" spans="1:26" ht="20">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
      <c r="A13" s="113"/>
      <c r="B13" s="291" t="s">
        <v>130</v>
      </c>
      <c r="C13" s="204"/>
      <c r="D13" s="204"/>
      <c r="E13" s="204"/>
      <c r="F13" s="204"/>
      <c r="G13" s="204"/>
      <c r="H13" s="204"/>
      <c r="I13" s="204"/>
      <c r="J13" s="204"/>
      <c r="K13" s="113"/>
      <c r="L13" s="113"/>
      <c r="M13" s="113"/>
      <c r="N13" s="113"/>
      <c r="O13" s="113"/>
      <c r="P13" s="113"/>
      <c r="Q13" s="113"/>
      <c r="R13" s="113"/>
      <c r="S13" s="113"/>
      <c r="T13" s="113"/>
      <c r="U13" s="113"/>
      <c r="V13" s="113"/>
      <c r="W13" s="113"/>
      <c r="X13" s="113"/>
      <c r="Y13" s="113"/>
      <c r="Z13" s="113"/>
    </row>
    <row r="14" spans="1:26" ht="20">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7" t="s">
        <v>131</v>
      </c>
      <c r="C15" s="211"/>
      <c r="D15" s="211"/>
      <c r="E15" s="211"/>
      <c r="F15" s="211"/>
      <c r="G15" s="211"/>
      <c r="H15" s="211"/>
      <c r="I15" s="211"/>
      <c r="J15" s="212"/>
      <c r="K15" s="113"/>
      <c r="L15" s="113"/>
      <c r="M15" s="113"/>
      <c r="N15" s="113"/>
      <c r="O15" s="113"/>
      <c r="P15" s="113"/>
      <c r="Q15" s="113"/>
      <c r="R15" s="113"/>
      <c r="S15" s="113"/>
      <c r="T15" s="113"/>
      <c r="U15" s="113"/>
      <c r="V15" s="113"/>
      <c r="W15" s="113"/>
      <c r="X15" s="113"/>
      <c r="Y15" s="113"/>
      <c r="Z15" s="113"/>
    </row>
    <row r="16" spans="1:26" ht="16.5" customHeight="1">
      <c r="A16" s="113"/>
      <c r="B16" s="288"/>
      <c r="C16" s="204"/>
      <c r="D16" s="204"/>
      <c r="E16" s="204"/>
      <c r="F16" s="204"/>
      <c r="G16" s="204"/>
      <c r="H16" s="204"/>
      <c r="I16" s="204"/>
      <c r="J16" s="289"/>
      <c r="K16" s="113"/>
      <c r="L16" s="113"/>
      <c r="M16" s="113"/>
      <c r="N16" s="113"/>
      <c r="O16" s="113"/>
      <c r="P16" s="113"/>
      <c r="Q16" s="113"/>
      <c r="R16" s="113"/>
      <c r="S16" s="113"/>
      <c r="T16" s="113"/>
      <c r="U16" s="113"/>
      <c r="V16" s="113"/>
      <c r="W16" s="113"/>
      <c r="X16" s="113"/>
      <c r="Y16" s="113"/>
      <c r="Z16" s="113"/>
    </row>
    <row r="17" spans="1:26" ht="16.5" customHeight="1">
      <c r="A17" s="113"/>
      <c r="B17" s="263"/>
      <c r="C17" s="264"/>
      <c r="D17" s="264"/>
      <c r="E17" s="264"/>
      <c r="F17" s="264"/>
      <c r="G17" s="264"/>
      <c r="H17" s="264"/>
      <c r="I17" s="264"/>
      <c r="J17" s="265"/>
      <c r="K17" s="113"/>
      <c r="L17" s="113"/>
      <c r="M17" s="113"/>
      <c r="N17" s="113"/>
      <c r="O17" s="113"/>
      <c r="P17" s="113"/>
      <c r="Q17" s="113"/>
      <c r="R17" s="113"/>
      <c r="S17" s="113"/>
      <c r="T17" s="113"/>
      <c r="U17" s="113"/>
      <c r="V17" s="113"/>
      <c r="W17" s="113"/>
      <c r="X17" s="113"/>
      <c r="Y17" s="113"/>
      <c r="Z17" s="113"/>
    </row>
    <row r="18" spans="1:26" ht="16.5" customHeight="1">
      <c r="A18" s="113"/>
      <c r="B18" s="287" t="s">
        <v>132</v>
      </c>
      <c r="C18" s="211"/>
      <c r="D18" s="211"/>
      <c r="E18" s="211"/>
      <c r="F18" s="211"/>
      <c r="G18" s="211"/>
      <c r="H18" s="211"/>
      <c r="I18" s="211"/>
      <c r="J18" s="212"/>
      <c r="K18" s="113"/>
      <c r="L18" s="113"/>
      <c r="M18" s="113"/>
      <c r="N18" s="113"/>
      <c r="O18" s="113"/>
      <c r="P18" s="113"/>
      <c r="Q18" s="113"/>
      <c r="R18" s="113"/>
      <c r="S18" s="113"/>
      <c r="T18" s="113"/>
      <c r="U18" s="113"/>
      <c r="V18" s="113"/>
      <c r="W18" s="113"/>
      <c r="X18" s="113"/>
      <c r="Y18" s="113"/>
      <c r="Z18" s="113"/>
    </row>
    <row r="19" spans="1:26" ht="16.5" customHeight="1">
      <c r="A19" s="113"/>
      <c r="B19" s="288"/>
      <c r="C19" s="204"/>
      <c r="D19" s="204"/>
      <c r="E19" s="204"/>
      <c r="F19" s="204"/>
      <c r="G19" s="204"/>
      <c r="H19" s="204"/>
      <c r="I19" s="204"/>
      <c r="J19" s="289"/>
      <c r="K19" s="113"/>
      <c r="L19" s="113"/>
      <c r="M19" s="113"/>
      <c r="N19" s="113"/>
      <c r="O19" s="113"/>
      <c r="P19" s="113"/>
      <c r="Q19" s="113"/>
      <c r="R19" s="113"/>
      <c r="S19" s="113"/>
      <c r="T19" s="113"/>
      <c r="U19" s="113"/>
      <c r="V19" s="113"/>
      <c r="W19" s="113"/>
      <c r="X19" s="113"/>
      <c r="Y19" s="113"/>
      <c r="Z19" s="113"/>
    </row>
    <row r="20" spans="1:26" ht="16.5" customHeight="1">
      <c r="A20" s="113"/>
      <c r="B20" s="263"/>
      <c r="C20" s="264"/>
      <c r="D20" s="264"/>
      <c r="E20" s="264"/>
      <c r="F20" s="264"/>
      <c r="G20" s="264"/>
      <c r="H20" s="264"/>
      <c r="I20" s="264"/>
      <c r="J20" s="265"/>
      <c r="K20" s="113"/>
      <c r="L20" s="113"/>
      <c r="M20" s="113"/>
      <c r="N20" s="113"/>
      <c r="O20" s="113"/>
      <c r="P20" s="113"/>
      <c r="Q20" s="113"/>
      <c r="R20" s="113"/>
      <c r="S20" s="113"/>
      <c r="T20" s="113"/>
      <c r="U20" s="113"/>
      <c r="V20" s="113"/>
      <c r="W20" s="113"/>
      <c r="X20" s="113"/>
      <c r="Y20" s="113"/>
      <c r="Z20" s="113"/>
    </row>
    <row r="21" spans="1:26" ht="16.5" customHeight="1">
      <c r="A21" s="113"/>
      <c r="B21" s="287" t="s">
        <v>133</v>
      </c>
      <c r="C21" s="211"/>
      <c r="D21" s="211"/>
      <c r="E21" s="211"/>
      <c r="F21" s="211"/>
      <c r="G21" s="211"/>
      <c r="H21" s="211"/>
      <c r="I21" s="211"/>
      <c r="J21" s="212"/>
      <c r="K21" s="113"/>
      <c r="L21" s="113"/>
      <c r="M21" s="113"/>
      <c r="N21" s="113"/>
      <c r="O21" s="113"/>
      <c r="P21" s="113"/>
      <c r="Q21" s="113"/>
      <c r="R21" s="113"/>
      <c r="S21" s="113"/>
      <c r="T21" s="113"/>
      <c r="U21" s="113"/>
      <c r="V21" s="113"/>
      <c r="W21" s="113"/>
      <c r="X21" s="113"/>
      <c r="Y21" s="113"/>
      <c r="Z21" s="113"/>
    </row>
    <row r="22" spans="1:26" ht="16.5" customHeight="1">
      <c r="A22" s="113"/>
      <c r="B22" s="288"/>
      <c r="C22" s="204"/>
      <c r="D22" s="204"/>
      <c r="E22" s="204"/>
      <c r="F22" s="204"/>
      <c r="G22" s="204"/>
      <c r="H22" s="204"/>
      <c r="I22" s="204"/>
      <c r="J22" s="289"/>
      <c r="K22" s="113"/>
      <c r="L22" s="113"/>
      <c r="M22" s="113"/>
      <c r="N22" s="113"/>
      <c r="O22" s="113"/>
      <c r="P22" s="113"/>
      <c r="Q22" s="113"/>
      <c r="R22" s="113"/>
      <c r="S22" s="113"/>
      <c r="T22" s="113"/>
      <c r="U22" s="113"/>
      <c r="V22" s="113"/>
      <c r="W22" s="113"/>
      <c r="X22" s="113"/>
      <c r="Y22" s="113"/>
      <c r="Z22" s="113"/>
    </row>
    <row r="23" spans="1:26" ht="16.5" customHeight="1">
      <c r="A23" s="113"/>
      <c r="B23" s="263"/>
      <c r="C23" s="264"/>
      <c r="D23" s="264"/>
      <c r="E23" s="264"/>
      <c r="F23" s="264"/>
      <c r="G23" s="264"/>
      <c r="H23" s="264"/>
      <c r="I23" s="264"/>
      <c r="J23" s="265"/>
      <c r="K23" s="113"/>
      <c r="L23" s="113"/>
      <c r="M23" s="113"/>
      <c r="N23" s="113"/>
      <c r="O23" s="113"/>
      <c r="P23" s="113"/>
      <c r="Q23" s="113"/>
      <c r="R23" s="113"/>
      <c r="S23" s="113"/>
      <c r="T23" s="113"/>
      <c r="U23" s="113"/>
      <c r="V23" s="113"/>
      <c r="W23" s="113"/>
      <c r="X23" s="113"/>
      <c r="Y23" s="113"/>
      <c r="Z23" s="113"/>
    </row>
    <row r="24" spans="1:26" ht="16.5" customHeight="1">
      <c r="A24" s="113"/>
      <c r="B24" s="287" t="s">
        <v>134</v>
      </c>
      <c r="C24" s="211"/>
      <c r="D24" s="211"/>
      <c r="E24" s="211"/>
      <c r="F24" s="211"/>
      <c r="G24" s="211"/>
      <c r="H24" s="211"/>
      <c r="I24" s="211"/>
      <c r="J24" s="212"/>
      <c r="K24" s="113"/>
      <c r="L24" s="113"/>
      <c r="M24" s="113"/>
      <c r="N24" s="113"/>
      <c r="O24" s="113"/>
      <c r="P24" s="113"/>
      <c r="Q24" s="113"/>
      <c r="R24" s="113"/>
      <c r="S24" s="113"/>
      <c r="T24" s="113"/>
      <c r="U24" s="113"/>
      <c r="V24" s="113"/>
      <c r="W24" s="113"/>
      <c r="X24" s="113"/>
      <c r="Y24" s="113"/>
      <c r="Z24" s="113"/>
    </row>
    <row r="25" spans="1:26" ht="16.5" customHeight="1">
      <c r="A25" s="113"/>
      <c r="B25" s="288"/>
      <c r="C25" s="204"/>
      <c r="D25" s="204"/>
      <c r="E25" s="204"/>
      <c r="F25" s="204"/>
      <c r="G25" s="204"/>
      <c r="H25" s="204"/>
      <c r="I25" s="204"/>
      <c r="J25" s="289"/>
      <c r="K25" s="113"/>
      <c r="L25" s="113"/>
      <c r="M25" s="113"/>
      <c r="N25" s="113"/>
      <c r="O25" s="113"/>
      <c r="P25" s="113"/>
      <c r="Q25" s="113"/>
      <c r="R25" s="113"/>
      <c r="S25" s="113"/>
      <c r="T25" s="113"/>
      <c r="U25" s="113"/>
      <c r="V25" s="113"/>
      <c r="W25" s="113"/>
      <c r="X25" s="113"/>
      <c r="Y25" s="113"/>
      <c r="Z25" s="113"/>
    </row>
    <row r="26" spans="1:26" ht="16.5" customHeight="1">
      <c r="A26" s="113"/>
      <c r="B26" s="263"/>
      <c r="C26" s="264"/>
      <c r="D26" s="264"/>
      <c r="E26" s="264"/>
      <c r="F26" s="264"/>
      <c r="G26" s="264"/>
      <c r="H26" s="264"/>
      <c r="I26" s="264"/>
      <c r="J26" s="265"/>
      <c r="K26" s="113"/>
      <c r="L26" s="113"/>
      <c r="M26" s="113"/>
      <c r="N26" s="113"/>
      <c r="O26" s="113"/>
      <c r="P26" s="113"/>
      <c r="Q26" s="113"/>
      <c r="R26" s="113"/>
      <c r="S26" s="113"/>
      <c r="T26" s="113"/>
      <c r="U26" s="113"/>
      <c r="V26" s="113"/>
      <c r="W26" s="113"/>
      <c r="X26" s="113"/>
      <c r="Y26" s="113"/>
      <c r="Z26" s="113"/>
    </row>
    <row r="27" spans="1:26" ht="16.5" customHeight="1">
      <c r="A27" s="113"/>
      <c r="B27" s="287" t="s">
        <v>135</v>
      </c>
      <c r="C27" s="211"/>
      <c r="D27" s="211"/>
      <c r="E27" s="211"/>
      <c r="F27" s="211"/>
      <c r="G27" s="211"/>
      <c r="H27" s="211"/>
      <c r="I27" s="211"/>
      <c r="J27" s="212"/>
      <c r="K27" s="113"/>
      <c r="L27" s="113"/>
      <c r="M27" s="113"/>
      <c r="N27" s="113"/>
      <c r="O27" s="113"/>
      <c r="P27" s="113"/>
      <c r="Q27" s="113"/>
      <c r="R27" s="113"/>
      <c r="S27" s="113"/>
      <c r="T27" s="113"/>
      <c r="U27" s="113"/>
      <c r="V27" s="113"/>
      <c r="W27" s="113"/>
      <c r="X27" s="113"/>
      <c r="Y27" s="113"/>
      <c r="Z27" s="113"/>
    </row>
    <row r="28" spans="1:26" ht="16.5" customHeight="1">
      <c r="A28" s="113"/>
      <c r="B28" s="288"/>
      <c r="C28" s="204"/>
      <c r="D28" s="204"/>
      <c r="E28" s="204"/>
      <c r="F28" s="204"/>
      <c r="G28" s="204"/>
      <c r="H28" s="204"/>
      <c r="I28" s="204"/>
      <c r="J28" s="289"/>
      <c r="K28" s="113"/>
      <c r="L28" s="113"/>
      <c r="M28" s="113"/>
      <c r="N28" s="113"/>
      <c r="O28" s="113"/>
      <c r="P28" s="113"/>
      <c r="Q28" s="113"/>
      <c r="R28" s="113"/>
      <c r="S28" s="113"/>
      <c r="T28" s="113"/>
      <c r="U28" s="113"/>
      <c r="V28" s="113"/>
      <c r="W28" s="113"/>
      <c r="X28" s="113"/>
      <c r="Y28" s="113"/>
      <c r="Z28" s="113"/>
    </row>
    <row r="29" spans="1:26" ht="16.5" customHeight="1">
      <c r="A29" s="113"/>
      <c r="B29" s="263"/>
      <c r="C29" s="264"/>
      <c r="D29" s="264"/>
      <c r="E29" s="264"/>
      <c r="F29" s="264"/>
      <c r="G29" s="264"/>
      <c r="H29" s="264"/>
      <c r="I29" s="264"/>
      <c r="J29" s="265"/>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7734375" defaultRowHeight="15" customHeight="1"/>
  <cols>
    <col min="1" max="1" width="3.94140625" customWidth="1"/>
    <col min="2" max="2" width="6.27734375" customWidth="1"/>
    <col min="3" max="3" width="12.6640625" customWidth="1"/>
    <col min="4" max="4" width="5.94140625" customWidth="1"/>
    <col min="5" max="5" width="7.609375" customWidth="1"/>
    <col min="6" max="6" width="2.94140625" customWidth="1"/>
    <col min="7" max="7" width="14.71875" customWidth="1"/>
    <col min="8" max="8" width="5.27734375" customWidth="1"/>
    <col min="9" max="10" width="10.94140625" customWidth="1"/>
    <col min="11" max="26" width="10.386718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0" t="s">
        <v>138</v>
      </c>
      <c r="C2" s="204"/>
      <c r="D2" s="204"/>
      <c r="E2" s="204"/>
      <c r="F2" s="204"/>
      <c r="G2" s="204"/>
      <c r="H2" s="204"/>
      <c r="I2" s="204"/>
      <c r="J2" s="204"/>
      <c r="K2" s="113"/>
      <c r="L2" s="113"/>
      <c r="M2" s="113"/>
      <c r="N2" s="113"/>
      <c r="O2" s="113"/>
      <c r="P2" s="113"/>
      <c r="Q2" s="113"/>
      <c r="R2" s="113"/>
      <c r="S2" s="113"/>
      <c r="T2" s="113"/>
      <c r="U2" s="113"/>
      <c r="V2" s="113"/>
      <c r="W2" s="113"/>
      <c r="X2" s="113"/>
      <c r="Y2" s="113"/>
      <c r="Z2" s="113"/>
    </row>
    <row r="3" spans="1:26" ht="20">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
      <c r="A5" s="113"/>
      <c r="B5" s="114" t="s">
        <v>22</v>
      </c>
      <c r="C5" s="113"/>
      <c r="D5" s="115" t="str">
        <f>CARÁTULA!$C$23</f>
        <v>1ro de Secundaria</v>
      </c>
      <c r="E5" s="113"/>
      <c r="F5" s="113"/>
      <c r="G5" s="113"/>
      <c r="H5" s="114" t="s">
        <v>23</v>
      </c>
      <c r="I5" s="68">
        <f ca="1">TODAY()</f>
        <v>44453</v>
      </c>
      <c r="J5" s="113"/>
      <c r="K5" s="113"/>
      <c r="L5" s="113"/>
      <c r="M5" s="113"/>
      <c r="N5" s="113"/>
      <c r="O5" s="113"/>
      <c r="P5" s="113"/>
      <c r="Q5" s="113"/>
      <c r="R5" s="113"/>
      <c r="S5" s="113"/>
      <c r="T5" s="113"/>
      <c r="U5" s="113"/>
      <c r="V5" s="113"/>
      <c r="W5" s="113"/>
      <c r="X5" s="113"/>
      <c r="Y5" s="113"/>
      <c r="Z5" s="113"/>
    </row>
    <row r="6" spans="1:26" ht="20">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
      <c r="A13" s="113"/>
      <c r="B13" s="291" t="s">
        <v>130</v>
      </c>
      <c r="C13" s="204"/>
      <c r="D13" s="204"/>
      <c r="E13" s="204"/>
      <c r="F13" s="204"/>
      <c r="G13" s="204"/>
      <c r="H13" s="204"/>
      <c r="I13" s="204"/>
      <c r="J13" s="204"/>
      <c r="K13" s="113"/>
      <c r="L13" s="113"/>
      <c r="M13" s="113"/>
      <c r="N13" s="113"/>
      <c r="O13" s="113"/>
      <c r="P13" s="113"/>
      <c r="Q13" s="113"/>
      <c r="R13" s="113"/>
      <c r="S13" s="113"/>
      <c r="T13" s="113"/>
      <c r="U13" s="113"/>
      <c r="V13" s="113"/>
      <c r="W13" s="113"/>
      <c r="X13" s="113"/>
      <c r="Y13" s="113"/>
      <c r="Z13" s="113"/>
    </row>
    <row r="14" spans="1:26" ht="20">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7" t="s">
        <v>131</v>
      </c>
      <c r="C15" s="211"/>
      <c r="D15" s="211"/>
      <c r="E15" s="211"/>
      <c r="F15" s="211"/>
      <c r="G15" s="211"/>
      <c r="H15" s="211"/>
      <c r="I15" s="211"/>
      <c r="J15" s="212"/>
      <c r="K15" s="113"/>
      <c r="L15" s="113"/>
      <c r="M15" s="113"/>
      <c r="N15" s="113"/>
      <c r="O15" s="113"/>
      <c r="P15" s="113"/>
      <c r="Q15" s="113"/>
      <c r="R15" s="113"/>
      <c r="S15" s="113"/>
      <c r="T15" s="113"/>
      <c r="U15" s="113"/>
      <c r="V15" s="113"/>
      <c r="W15" s="113"/>
      <c r="X15" s="113"/>
      <c r="Y15" s="113"/>
      <c r="Z15" s="113"/>
    </row>
    <row r="16" spans="1:26" ht="16.5" customHeight="1">
      <c r="A16" s="113"/>
      <c r="B16" s="288"/>
      <c r="C16" s="204"/>
      <c r="D16" s="204"/>
      <c r="E16" s="204"/>
      <c r="F16" s="204"/>
      <c r="G16" s="204"/>
      <c r="H16" s="204"/>
      <c r="I16" s="204"/>
      <c r="J16" s="289"/>
      <c r="K16" s="113"/>
      <c r="L16" s="113"/>
      <c r="M16" s="113"/>
      <c r="N16" s="113"/>
      <c r="O16" s="113"/>
      <c r="P16" s="113"/>
      <c r="Q16" s="113"/>
      <c r="R16" s="113"/>
      <c r="S16" s="113"/>
      <c r="T16" s="113"/>
      <c r="U16" s="113"/>
      <c r="V16" s="113"/>
      <c r="W16" s="113"/>
      <c r="X16" s="113"/>
      <c r="Y16" s="113"/>
      <c r="Z16" s="113"/>
    </row>
    <row r="17" spans="1:26" ht="16.5" customHeight="1">
      <c r="A17" s="113"/>
      <c r="B17" s="263"/>
      <c r="C17" s="264"/>
      <c r="D17" s="264"/>
      <c r="E17" s="264"/>
      <c r="F17" s="264"/>
      <c r="G17" s="264"/>
      <c r="H17" s="264"/>
      <c r="I17" s="264"/>
      <c r="J17" s="265"/>
      <c r="K17" s="113"/>
      <c r="L17" s="113"/>
      <c r="M17" s="113"/>
      <c r="N17" s="113"/>
      <c r="O17" s="113"/>
      <c r="P17" s="113"/>
      <c r="Q17" s="113"/>
      <c r="R17" s="113"/>
      <c r="S17" s="113"/>
      <c r="T17" s="113"/>
      <c r="U17" s="113"/>
      <c r="V17" s="113"/>
      <c r="W17" s="113"/>
      <c r="X17" s="113"/>
      <c r="Y17" s="113"/>
      <c r="Z17" s="113"/>
    </row>
    <row r="18" spans="1:26" ht="16.5" customHeight="1">
      <c r="A18" s="113"/>
      <c r="B18" s="287" t="s">
        <v>132</v>
      </c>
      <c r="C18" s="211"/>
      <c r="D18" s="211"/>
      <c r="E18" s="211"/>
      <c r="F18" s="211"/>
      <c r="G18" s="211"/>
      <c r="H18" s="211"/>
      <c r="I18" s="211"/>
      <c r="J18" s="212"/>
      <c r="K18" s="113"/>
      <c r="L18" s="113"/>
      <c r="M18" s="113"/>
      <c r="N18" s="113"/>
      <c r="O18" s="113"/>
      <c r="P18" s="113"/>
      <c r="Q18" s="113"/>
      <c r="R18" s="113"/>
      <c r="S18" s="113"/>
      <c r="T18" s="113"/>
      <c r="U18" s="113"/>
      <c r="V18" s="113"/>
      <c r="W18" s="113"/>
      <c r="X18" s="113"/>
      <c r="Y18" s="113"/>
      <c r="Z18" s="113"/>
    </row>
    <row r="19" spans="1:26" ht="16.5" customHeight="1">
      <c r="A19" s="113"/>
      <c r="B19" s="288"/>
      <c r="C19" s="204"/>
      <c r="D19" s="204"/>
      <c r="E19" s="204"/>
      <c r="F19" s="204"/>
      <c r="G19" s="204"/>
      <c r="H19" s="204"/>
      <c r="I19" s="204"/>
      <c r="J19" s="289"/>
      <c r="K19" s="113"/>
      <c r="L19" s="113"/>
      <c r="M19" s="113"/>
      <c r="N19" s="113"/>
      <c r="O19" s="113"/>
      <c r="P19" s="113"/>
      <c r="Q19" s="113"/>
      <c r="R19" s="113"/>
      <c r="S19" s="113"/>
      <c r="T19" s="113"/>
      <c r="U19" s="113"/>
      <c r="V19" s="113"/>
      <c r="W19" s="113"/>
      <c r="X19" s="113"/>
      <c r="Y19" s="113"/>
      <c r="Z19" s="113"/>
    </row>
    <row r="20" spans="1:26" ht="16.5" customHeight="1">
      <c r="A20" s="113"/>
      <c r="B20" s="263"/>
      <c r="C20" s="264"/>
      <c r="D20" s="264"/>
      <c r="E20" s="264"/>
      <c r="F20" s="264"/>
      <c r="G20" s="264"/>
      <c r="H20" s="264"/>
      <c r="I20" s="264"/>
      <c r="J20" s="265"/>
      <c r="K20" s="113"/>
      <c r="L20" s="113"/>
      <c r="M20" s="113"/>
      <c r="N20" s="113"/>
      <c r="O20" s="113"/>
      <c r="P20" s="113"/>
      <c r="Q20" s="113"/>
      <c r="R20" s="113"/>
      <c r="S20" s="113"/>
      <c r="T20" s="113"/>
      <c r="U20" s="113"/>
      <c r="V20" s="113"/>
      <c r="W20" s="113"/>
      <c r="X20" s="113"/>
      <c r="Y20" s="113"/>
      <c r="Z20" s="113"/>
    </row>
    <row r="21" spans="1:26" ht="16.5" customHeight="1">
      <c r="A21" s="113"/>
      <c r="B21" s="287" t="s">
        <v>133</v>
      </c>
      <c r="C21" s="211"/>
      <c r="D21" s="211"/>
      <c r="E21" s="211"/>
      <c r="F21" s="211"/>
      <c r="G21" s="211"/>
      <c r="H21" s="211"/>
      <c r="I21" s="211"/>
      <c r="J21" s="212"/>
      <c r="K21" s="113"/>
      <c r="L21" s="113"/>
      <c r="M21" s="113"/>
      <c r="N21" s="113"/>
      <c r="O21" s="113"/>
      <c r="P21" s="113"/>
      <c r="Q21" s="113"/>
      <c r="R21" s="113"/>
      <c r="S21" s="113"/>
      <c r="T21" s="113"/>
      <c r="U21" s="113"/>
      <c r="V21" s="113"/>
      <c r="W21" s="113"/>
      <c r="X21" s="113"/>
      <c r="Y21" s="113"/>
      <c r="Z21" s="113"/>
    </row>
    <row r="22" spans="1:26" ht="16.5" customHeight="1">
      <c r="A22" s="113"/>
      <c r="B22" s="288"/>
      <c r="C22" s="204"/>
      <c r="D22" s="204"/>
      <c r="E22" s="204"/>
      <c r="F22" s="204"/>
      <c r="G22" s="204"/>
      <c r="H22" s="204"/>
      <c r="I22" s="204"/>
      <c r="J22" s="289"/>
      <c r="K22" s="113"/>
      <c r="L22" s="113"/>
      <c r="M22" s="113"/>
      <c r="N22" s="113"/>
      <c r="O22" s="113"/>
      <c r="P22" s="113"/>
      <c r="Q22" s="113"/>
      <c r="R22" s="113"/>
      <c r="S22" s="113"/>
      <c r="T22" s="113"/>
      <c r="U22" s="113"/>
      <c r="V22" s="113"/>
      <c r="W22" s="113"/>
      <c r="X22" s="113"/>
      <c r="Y22" s="113"/>
      <c r="Z22" s="113"/>
    </row>
    <row r="23" spans="1:26" ht="16.5" customHeight="1">
      <c r="A23" s="113"/>
      <c r="B23" s="263"/>
      <c r="C23" s="264"/>
      <c r="D23" s="264"/>
      <c r="E23" s="264"/>
      <c r="F23" s="264"/>
      <c r="G23" s="264"/>
      <c r="H23" s="264"/>
      <c r="I23" s="264"/>
      <c r="J23" s="265"/>
      <c r="K23" s="113"/>
      <c r="L23" s="113"/>
      <c r="M23" s="113"/>
      <c r="N23" s="113"/>
      <c r="O23" s="113"/>
      <c r="P23" s="113"/>
      <c r="Q23" s="113"/>
      <c r="R23" s="113"/>
      <c r="S23" s="113"/>
      <c r="T23" s="113"/>
      <c r="U23" s="113"/>
      <c r="V23" s="113"/>
      <c r="W23" s="113"/>
      <c r="X23" s="113"/>
      <c r="Y23" s="113"/>
      <c r="Z23" s="113"/>
    </row>
    <row r="24" spans="1:26" ht="16.5" customHeight="1">
      <c r="A24" s="113"/>
      <c r="B24" s="287" t="s">
        <v>134</v>
      </c>
      <c r="C24" s="211"/>
      <c r="D24" s="211"/>
      <c r="E24" s="211"/>
      <c r="F24" s="211"/>
      <c r="G24" s="211"/>
      <c r="H24" s="211"/>
      <c r="I24" s="211"/>
      <c r="J24" s="212"/>
      <c r="K24" s="113"/>
      <c r="L24" s="113"/>
      <c r="M24" s="113"/>
      <c r="N24" s="113"/>
      <c r="O24" s="113"/>
      <c r="P24" s="113"/>
      <c r="Q24" s="113"/>
      <c r="R24" s="113"/>
      <c r="S24" s="113"/>
      <c r="T24" s="113"/>
      <c r="U24" s="113"/>
      <c r="V24" s="113"/>
      <c r="W24" s="113"/>
      <c r="X24" s="113"/>
      <c r="Y24" s="113"/>
      <c r="Z24" s="113"/>
    </row>
    <row r="25" spans="1:26" ht="16.5" customHeight="1">
      <c r="A25" s="113"/>
      <c r="B25" s="288"/>
      <c r="C25" s="204"/>
      <c r="D25" s="204"/>
      <c r="E25" s="204"/>
      <c r="F25" s="204"/>
      <c r="G25" s="204"/>
      <c r="H25" s="204"/>
      <c r="I25" s="204"/>
      <c r="J25" s="289"/>
      <c r="K25" s="113"/>
      <c r="L25" s="113"/>
      <c r="M25" s="113"/>
      <c r="N25" s="113"/>
      <c r="O25" s="113"/>
      <c r="P25" s="113"/>
      <c r="Q25" s="113"/>
      <c r="R25" s="113"/>
      <c r="S25" s="113"/>
      <c r="T25" s="113"/>
      <c r="U25" s="113"/>
      <c r="V25" s="113"/>
      <c r="W25" s="113"/>
      <c r="X25" s="113"/>
      <c r="Y25" s="113"/>
      <c r="Z25" s="113"/>
    </row>
    <row r="26" spans="1:26" ht="16.5" customHeight="1">
      <c r="A26" s="113"/>
      <c r="B26" s="263"/>
      <c r="C26" s="264"/>
      <c r="D26" s="264"/>
      <c r="E26" s="264"/>
      <c r="F26" s="264"/>
      <c r="G26" s="264"/>
      <c r="H26" s="264"/>
      <c r="I26" s="264"/>
      <c r="J26" s="265"/>
      <c r="K26" s="113"/>
      <c r="L26" s="113"/>
      <c r="M26" s="113"/>
      <c r="N26" s="113"/>
      <c r="O26" s="113"/>
      <c r="P26" s="113"/>
      <c r="Q26" s="113"/>
      <c r="R26" s="113"/>
      <c r="S26" s="113"/>
      <c r="T26" s="113"/>
      <c r="U26" s="113"/>
      <c r="V26" s="113"/>
      <c r="W26" s="113"/>
      <c r="X26" s="113"/>
      <c r="Y26" s="113"/>
      <c r="Z26" s="113"/>
    </row>
    <row r="27" spans="1:26" ht="16.5" customHeight="1">
      <c r="A27" s="113"/>
      <c r="B27" s="287" t="s">
        <v>135</v>
      </c>
      <c r="C27" s="211"/>
      <c r="D27" s="211"/>
      <c r="E27" s="211"/>
      <c r="F27" s="211"/>
      <c r="G27" s="211"/>
      <c r="H27" s="211"/>
      <c r="I27" s="211"/>
      <c r="J27" s="212"/>
      <c r="K27" s="113"/>
      <c r="L27" s="113"/>
      <c r="M27" s="113"/>
      <c r="N27" s="113"/>
      <c r="O27" s="113"/>
      <c r="P27" s="113"/>
      <c r="Q27" s="113"/>
      <c r="R27" s="113"/>
      <c r="S27" s="113"/>
      <c r="T27" s="113"/>
      <c r="U27" s="113"/>
      <c r="V27" s="113"/>
      <c r="W27" s="113"/>
      <c r="X27" s="113"/>
      <c r="Y27" s="113"/>
      <c r="Z27" s="113"/>
    </row>
    <row r="28" spans="1:26" ht="16.5" customHeight="1">
      <c r="A28" s="113"/>
      <c r="B28" s="288"/>
      <c r="C28" s="204"/>
      <c r="D28" s="204"/>
      <c r="E28" s="204"/>
      <c r="F28" s="204"/>
      <c r="G28" s="204"/>
      <c r="H28" s="204"/>
      <c r="I28" s="204"/>
      <c r="J28" s="289"/>
      <c r="K28" s="113"/>
      <c r="L28" s="113"/>
      <c r="M28" s="113"/>
      <c r="N28" s="113"/>
      <c r="O28" s="113"/>
      <c r="P28" s="113"/>
      <c r="Q28" s="113"/>
      <c r="R28" s="113"/>
      <c r="S28" s="113"/>
      <c r="T28" s="113"/>
      <c r="U28" s="113"/>
      <c r="V28" s="113"/>
      <c r="W28" s="113"/>
      <c r="X28" s="113"/>
      <c r="Y28" s="113"/>
      <c r="Z28" s="113"/>
    </row>
    <row r="29" spans="1:26" ht="16.5" customHeight="1">
      <c r="A29" s="113"/>
      <c r="B29" s="263"/>
      <c r="C29" s="264"/>
      <c r="D29" s="264"/>
      <c r="E29" s="264"/>
      <c r="F29" s="264"/>
      <c r="G29" s="264"/>
      <c r="H29" s="264"/>
      <c r="I29" s="264"/>
      <c r="J29" s="265"/>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7734375" defaultRowHeight="15" customHeight="1"/>
  <cols>
    <col min="1" max="1" width="1.6640625" customWidth="1"/>
    <col min="2" max="2" width="4.609375" customWidth="1"/>
    <col min="3" max="3" width="5.6640625" customWidth="1"/>
    <col min="4" max="4" width="5" customWidth="1"/>
    <col min="5" max="5" width="5.6640625" customWidth="1"/>
    <col min="6" max="6" width="1" customWidth="1"/>
    <col min="7" max="7" width="5.71875" customWidth="1"/>
    <col min="8" max="9" width="5.6640625" customWidth="1"/>
    <col min="10" max="10" width="6.6640625" customWidth="1"/>
    <col min="11" max="11" width="7.9414062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08" t="s">
        <v>139</v>
      </c>
      <c r="D2" s="204"/>
      <c r="E2" s="204"/>
      <c r="F2" s="204"/>
      <c r="G2" s="204"/>
      <c r="H2" s="204"/>
      <c r="I2" s="204"/>
      <c r="J2" s="204"/>
      <c r="K2" s="204"/>
      <c r="L2" s="204"/>
      <c r="M2" s="204"/>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44453</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23" t="s">
        <v>140</v>
      </c>
      <c r="D10" s="204"/>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23" t="s">
        <v>145</v>
      </c>
      <c r="D23" s="204"/>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23" t="s">
        <v>147</v>
      </c>
      <c r="D35" s="204"/>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7734375" defaultRowHeight="15" customHeight="1"/>
  <cols>
    <col min="1" max="1" width="1.6640625" customWidth="1"/>
    <col min="2" max="2" width="5.6640625" customWidth="1"/>
    <col min="3" max="3" width="4.33203125" customWidth="1"/>
    <col min="4" max="4" width="6.27734375" customWidth="1"/>
    <col min="5" max="5" width="7.609375" customWidth="1"/>
    <col min="6" max="6" width="13.33203125" customWidth="1"/>
    <col min="7" max="7" width="10.71875" customWidth="1"/>
    <col min="8" max="8" width="8.2773437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93" t="s">
        <v>149</v>
      </c>
      <c r="D2" s="204"/>
      <c r="E2" s="204"/>
      <c r="F2" s="204"/>
      <c r="G2" s="204"/>
      <c r="H2" s="204"/>
      <c r="I2" s="204"/>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44453</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92"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79"/>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79"/>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79"/>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60"/>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92"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79"/>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79"/>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79"/>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60"/>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92"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79"/>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79"/>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79"/>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60"/>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92"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79"/>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79"/>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79"/>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60"/>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92"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79"/>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79"/>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79"/>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60"/>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92"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79"/>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79"/>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79"/>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60"/>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7734375" defaultRowHeight="15" customHeight="1"/>
  <cols>
    <col min="1" max="4" width="1.6640625" customWidth="1"/>
    <col min="5" max="6" width="4.6640625" customWidth="1"/>
    <col min="7" max="7" width="26.6640625" customWidth="1"/>
    <col min="8" max="8" width="7.609375" customWidth="1"/>
    <col min="9" max="10" width="10.94140625" customWidth="1"/>
    <col min="11" max="26" width="10.3867187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98" t="s">
        <v>164</v>
      </c>
      <c r="F3" s="204"/>
      <c r="G3" s="204"/>
      <c r="H3" s="204"/>
      <c r="I3" s="204"/>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44453</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99" t="s">
        <v>165</v>
      </c>
      <c r="F16" s="300"/>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94"/>
      <c r="F17" s="257"/>
      <c r="G17" s="152" t="str">
        <f>'C. FILIACION'!B8</f>
        <v>ARANCIBIA ARRAYA LUIS ANDRES</v>
      </c>
      <c r="H17" s="153">
        <f>'CENTRAL 2'!F9</f>
        <v>83.333333333333329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94"/>
      <c r="F18" s="257"/>
      <c r="G18" s="152" t="str">
        <f>'C. FILIACION'!B9</f>
        <v>ARIVIRI ALEXIS JHONATAN</v>
      </c>
      <c r="H18" s="153">
        <f>'CENTRAL 2'!F10</f>
        <v>72.666666666666671</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94"/>
      <c r="F19" s="257"/>
      <c r="G19" s="152" t="str">
        <f>'C. FILIACION'!B10</f>
        <v>BASCOPE LOPEZ JHYMMY ANGHELO</v>
      </c>
      <c r="H19" s="153">
        <f>'CENTRAL 2'!F11</f>
        <v>79.666666666666671</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94"/>
      <c r="F20" s="257"/>
      <c r="G20" s="152" t="str">
        <f>'C. FILIACION'!B11</f>
        <v>BLANCO SALVATIERRA DANIELA MARGARITA</v>
      </c>
      <c r="H20" s="153">
        <f>'CENTRAL 2'!F12</f>
        <v>90</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94"/>
      <c r="F21" s="257"/>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94"/>
      <c r="F22" s="257"/>
      <c r="G22" s="152" t="str">
        <f>'C. FILIACION'!B13</f>
        <v>ESCOBAR LAZO JHOSELIN MARCELA</v>
      </c>
      <c r="H22" s="153">
        <f>'CENTRAL 2'!F14</f>
        <v>93.333333333333329</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94"/>
      <c r="F23" s="257"/>
      <c r="G23" s="152" t="str">
        <f>'C. FILIACION'!B14</f>
        <v>GUTIERREZ PEREZ ARIEL FERNANDO</v>
      </c>
      <c r="H23" s="153">
        <f>'CENTRAL 2'!F15</f>
        <v>73.666666666666671</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94"/>
      <c r="F24" s="257"/>
      <c r="G24" s="152" t="str">
        <f>'C. FILIACION'!B15</f>
        <v>LOPEZ PACO FABRICIO ANDRE</v>
      </c>
      <c r="H24" s="153">
        <f>'CENTRAL 2'!F16</f>
        <v>81.666666666666671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94"/>
      <c r="F25" s="257"/>
      <c r="G25" s="152" t="str">
        <f>'C. FILIACION'!B16</f>
        <v>NINA PANIAGUA DEYVID GABRIEL</v>
      </c>
      <c r="H25" s="153">
        <f>'CENTRAL 2'!F17</f>
        <v>91</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94"/>
      <c r="F26" s="257"/>
      <c r="G26" s="152" t="str">
        <f>'C. FILIACION'!B17</f>
        <v>PASTOR CONDARCO STEVE DAVID</v>
      </c>
      <c r="H26" s="153">
        <f>'CENTRAL 2'!F18</f>
        <v>85.333333333333329</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94"/>
      <c r="F27" s="257"/>
      <c r="G27" s="152" t="str">
        <f>'C. FILIACION'!B18</f>
        <v>ROJAS MAMANI JERUSALEN LOURDES</v>
      </c>
      <c r="H27" s="153">
        <f>'CENTRAL 2'!F19</f>
        <v>93.666666666666671</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94"/>
      <c r="F28" s="257"/>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94"/>
      <c r="F29" s="257"/>
      <c r="G29" s="152" t="str">
        <f>'C. FILIACION'!B20</f>
        <v>SANTOS CRUZ ROYER JOEL</v>
      </c>
      <c r="H29" s="153">
        <f>'CENTRAL 2'!F21</f>
        <v>76</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94"/>
      <c r="F30" s="257"/>
      <c r="G30" s="152" t="str">
        <f>'C. FILIACION'!B21</f>
        <v>TICONA LOAYZA ARIADNE VALERIA</v>
      </c>
      <c r="H30" s="153">
        <f>'CENTRAL 2'!F22</f>
        <v>90.333333333333329</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94"/>
      <c r="F31" s="257"/>
      <c r="G31" s="152" t="str">
        <f>'C. FILIACION'!B22</f>
        <v>ZEBALLOS DEL CARPIO AMIRA MERCEDES</v>
      </c>
      <c r="H31" s="153">
        <f>'CENTRAL 2'!F23</f>
        <v>95.333333333333329</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94"/>
      <c r="F32" s="257"/>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94"/>
      <c r="F33" s="257"/>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94"/>
      <c r="F34" s="257"/>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297"/>
      <c r="F35" s="257"/>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94"/>
      <c r="F36" s="257"/>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94"/>
      <c r="F37" s="257"/>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94"/>
      <c r="F38" s="257"/>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94"/>
      <c r="F39" s="257"/>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94"/>
      <c r="F40" s="257"/>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94"/>
      <c r="F41" s="257"/>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94"/>
      <c r="F42" s="257"/>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94"/>
      <c r="F43" s="257"/>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94"/>
      <c r="F44" s="257"/>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94"/>
      <c r="F45" s="257"/>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94"/>
      <c r="F46" s="257"/>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94"/>
      <c r="F47" s="257"/>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94"/>
      <c r="F48" s="257"/>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94"/>
      <c r="F49" s="257"/>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94"/>
      <c r="F50" s="257"/>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94"/>
      <c r="F51" s="257"/>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94"/>
      <c r="F52" s="257"/>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94"/>
      <c r="F53" s="257"/>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94"/>
      <c r="F54" s="257"/>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94"/>
      <c r="F55" s="257"/>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94"/>
      <c r="F56" s="257"/>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94"/>
      <c r="F57" s="257"/>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94"/>
      <c r="F58" s="257"/>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94"/>
      <c r="F59" s="257"/>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295"/>
      <c r="F60" s="296"/>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2021-08-13T21:02:40Z</cp:lastPrinted>
  <dcterms:created xsi:type="dcterms:W3CDTF">2020-01-23T13:58:13Z</dcterms:created>
  <dcterms:modified xsi:type="dcterms:W3CDTF">2021-09-14T12:55:04Z</dcterms:modified>
</cp:coreProperties>
</file>