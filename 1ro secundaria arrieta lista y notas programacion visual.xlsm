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mc:AlternateContent xmlns:mc="http://schemas.openxmlformats.org/markup-compatibility/2006">
    <mc:Choice Requires="x15">
      <x15ac:absPath xmlns:x15ac="http://schemas.microsoft.com/office/spreadsheetml/2010/11/ac" url="D:\Calificaciones\"/>
    </mc:Choice>
  </mc:AlternateContent>
  <xr:revisionPtr revIDLastSave="0" documentId="13_ncr:1_{0DA57DA7-BA40-40E5-9DB1-CFD643430DA1}" xr6:coauthVersionLast="47" xr6:coauthVersionMax="47" xr10:uidLastSave="{00000000-0000-0000-0000-000000000000}"/>
  <bookViews>
    <workbookView xWindow="-23148" yWindow="-108" windowWidth="23256" windowHeight="12576" tabRatio="820" firstSheet="1" activeTab="4" xr2:uid="{00000000-000D-0000-FFFF-FFFF00000000}"/>
  </bookViews>
  <sheets>
    <sheet name="CARÁTULA" sheetId="1" r:id="rId1"/>
    <sheet name="C. FILIACION" sheetId="2" r:id="rId2"/>
    <sheet name="ASIS 1 TRIM" sheetId="3" r:id="rId3"/>
    <sheet name="ASIS 2 TRIM" sheetId="4" r:id="rId4"/>
    <sheet name="ASIS 3 TRIM" sheetId="5" r:id="rId5"/>
    <sheet name="Rend_est_2doTrim" sheetId="17"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definedNames>
    <definedName name="_xlnm._FilterDatabase" localSheetId="3" hidden="1">'ASIS 2 TRIM'!$B$8:$K$22</definedName>
    <definedName name="_xlnm._FilterDatabase" localSheetId="16" hidden="1">EST_DEST!$E$16:$H$60</definedName>
    <definedName name="_xlnm.Criteria" localSheetId="3">'ASIS 2 TRIM'!$B$8:$B$22</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AB20" i="7" l="1"/>
  <c r="I23" i="9"/>
  <c r="B14" i="4"/>
  <c r="P10" i="17"/>
  <c r="Q10" i="17"/>
  <c r="R10" i="17"/>
  <c r="S10" i="17"/>
  <c r="O10" i="17"/>
  <c r="F10" i="17"/>
  <c r="G10" i="17"/>
  <c r="H10" i="17"/>
  <c r="I10" i="17"/>
  <c r="J10" i="17"/>
  <c r="K10" i="17"/>
  <c r="L10" i="17"/>
  <c r="M10" i="17"/>
  <c r="B16" i="4"/>
  <c r="B17" i="4"/>
  <c r="B18" i="4"/>
  <c r="B19" i="4"/>
  <c r="B20" i="4"/>
  <c r="B21" i="4"/>
  <c r="B22" i="4"/>
  <c r="B15" i="4"/>
  <c r="AD25" i="17"/>
  <c r="R4" i="17"/>
  <c r="F4" i="17"/>
  <c r="BA8" i="4"/>
  <c r="BA9" i="4"/>
  <c r="BA10" i="4"/>
  <c r="BA11" i="4"/>
  <c r="BA12" i="4"/>
  <c r="BA13" i="4"/>
  <c r="BA14" i="4"/>
  <c r="BA15" i="4"/>
  <c r="BA16" i="4"/>
  <c r="BA17" i="4"/>
  <c r="BA18" i="4"/>
  <c r="BA19" i="4"/>
  <c r="BA20" i="4"/>
  <c r="BA21" i="4"/>
  <c r="BA22" i="4"/>
  <c r="BC8" i="4"/>
  <c r="BC9" i="4"/>
  <c r="BC10" i="4"/>
  <c r="BC11" i="4"/>
  <c r="BC12" i="4"/>
  <c r="BC13" i="4"/>
  <c r="BC14" i="4"/>
  <c r="BC15" i="4"/>
  <c r="BC16" i="4"/>
  <c r="BC17" i="4"/>
  <c r="BC18" i="4"/>
  <c r="BC19" i="4"/>
  <c r="BC20" i="4"/>
  <c r="BC21" i="4"/>
  <c r="BC22" i="4"/>
  <c r="BD8" i="4"/>
  <c r="BD9" i="4"/>
  <c r="BD10" i="4"/>
  <c r="BD11" i="4"/>
  <c r="BD12" i="4"/>
  <c r="BD13" i="4"/>
  <c r="BD14" i="4"/>
  <c r="BD15" i="4"/>
  <c r="BD16" i="4"/>
  <c r="BD17" i="4"/>
  <c r="BD18" i="4"/>
  <c r="BD19" i="4"/>
  <c r="BD20" i="4"/>
  <c r="BD21" i="4"/>
  <c r="BD22" i="4"/>
  <c r="BB8" i="4"/>
  <c r="BB9" i="4"/>
  <c r="BB10" i="4"/>
  <c r="BB11" i="4"/>
  <c r="BB12" i="4"/>
  <c r="BB13" i="4"/>
  <c r="BB14" i="4"/>
  <c r="BB15" i="4"/>
  <c r="BB16" i="4"/>
  <c r="BB17" i="4"/>
  <c r="BB18" i="4"/>
  <c r="BB19" i="4"/>
  <c r="BB20" i="4"/>
  <c r="BB21" i="4"/>
  <c r="BB22" i="4"/>
  <c r="Z10" i="17"/>
  <c r="W10" i="17"/>
  <c r="X10" i="17"/>
  <c r="Y10" i="17"/>
  <c r="V10" i="17"/>
  <c r="N10"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8" i="15"/>
  <c r="H37" i="15"/>
  <c r="G33" i="15"/>
  <c r="H30" i="15" s="1"/>
  <c r="F33" i="15"/>
  <c r="E33" i="15"/>
  <c r="G26" i="15"/>
  <c r="H25" i="15" s="1"/>
  <c r="F26" i="15"/>
  <c r="E26" i="15"/>
  <c r="H24" i="15"/>
  <c r="G19" i="15"/>
  <c r="H18"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S33"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Q23" i="9"/>
  <c r="O23" i="9"/>
  <c r="L23" i="9"/>
  <c r="C23" i="9"/>
  <c r="B23" i="9"/>
  <c r="R22" i="9"/>
  <c r="O22" i="9"/>
  <c r="L22" i="9"/>
  <c r="C22" i="9"/>
  <c r="B22" i="9"/>
  <c r="R21" i="9"/>
  <c r="O21" i="9"/>
  <c r="L21" i="9"/>
  <c r="C21" i="9"/>
  <c r="B21" i="9"/>
  <c r="R20" i="9"/>
  <c r="O20" i="9"/>
  <c r="L20" i="9"/>
  <c r="C20" i="9"/>
  <c r="B20" i="9"/>
  <c r="R19" i="9"/>
  <c r="O19" i="9"/>
  <c r="L19" i="9"/>
  <c r="C19" i="9"/>
  <c r="B19" i="9"/>
  <c r="R18" i="9"/>
  <c r="O18" i="9"/>
  <c r="L18" i="9"/>
  <c r="C18" i="9"/>
  <c r="B18" i="9"/>
  <c r="R17" i="9"/>
  <c r="O17" i="9"/>
  <c r="L17" i="9"/>
  <c r="C17" i="9"/>
  <c r="B17" i="9"/>
  <c r="R16" i="9"/>
  <c r="O16" i="9"/>
  <c r="L16" i="9"/>
  <c r="C16" i="9"/>
  <c r="B16" i="9"/>
  <c r="R15" i="9"/>
  <c r="O15" i="9"/>
  <c r="L15" i="9"/>
  <c r="C15" i="9"/>
  <c r="B15" i="9"/>
  <c r="R14" i="9"/>
  <c r="O14" i="9"/>
  <c r="L14" i="9"/>
  <c r="C14" i="9"/>
  <c r="B14" i="9"/>
  <c r="R13" i="9"/>
  <c r="O13" i="9"/>
  <c r="L13" i="9"/>
  <c r="C13" i="9"/>
  <c r="B13" i="9"/>
  <c r="R12" i="9"/>
  <c r="O12" i="9"/>
  <c r="L12" i="9"/>
  <c r="C12" i="9"/>
  <c r="B12" i="9"/>
  <c r="R11" i="9"/>
  <c r="O11" i="9"/>
  <c r="L11" i="9"/>
  <c r="C11" i="9"/>
  <c r="B11" i="9"/>
  <c r="R10" i="9"/>
  <c r="O10" i="9"/>
  <c r="L10" i="9"/>
  <c r="C10" i="9"/>
  <c r="B10" i="9"/>
  <c r="S9" i="9"/>
  <c r="R9" i="9"/>
  <c r="O9" i="9"/>
  <c r="L9" i="9"/>
  <c r="E9" i="9"/>
  <c r="C9" i="9"/>
  <c r="B9" i="9"/>
  <c r="U5" i="9"/>
  <c r="C5" i="9"/>
  <c r="U4" i="9"/>
  <c r="C4" i="9"/>
  <c r="U3" i="9"/>
  <c r="C3" i="9"/>
  <c r="AE44" i="8"/>
  <c r="S44" i="9" s="1"/>
  <c r="AB44" i="8"/>
  <c r="Q44" i="9" s="1"/>
  <c r="O44" i="8"/>
  <c r="AG44" i="8" s="1"/>
  <c r="AH44" i="8"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B40" i="8"/>
  <c r="AE39" i="8"/>
  <c r="S39" i="9" s="1"/>
  <c r="AB39" i="8"/>
  <c r="Q39" i="9" s="1"/>
  <c r="O39" i="8"/>
  <c r="B39" i="8"/>
  <c r="AE38" i="8"/>
  <c r="S38" i="9" s="1"/>
  <c r="AB38" i="8"/>
  <c r="O38" i="8"/>
  <c r="P38" i="9" s="1"/>
  <c r="B38" i="8"/>
  <c r="AE37" i="8"/>
  <c r="S37" i="9" s="1"/>
  <c r="AB37" i="8"/>
  <c r="Q37" i="9" s="1"/>
  <c r="O37" i="8"/>
  <c r="P37" i="9"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AB33" i="8"/>
  <c r="Q33" i="9" s="1"/>
  <c r="O33" i="8"/>
  <c r="AG33" i="8" s="1"/>
  <c r="B33" i="8"/>
  <c r="AE32" i="8"/>
  <c r="S32" i="9" s="1"/>
  <c r="AB32" i="8"/>
  <c r="Q32" i="9" s="1"/>
  <c r="O32" i="8"/>
  <c r="B32" i="8"/>
  <c r="AE31" i="8"/>
  <c r="S31" i="9" s="1"/>
  <c r="AB31" i="8"/>
  <c r="Q31" i="9" s="1"/>
  <c r="O31" i="8"/>
  <c r="AG31" i="8" s="1"/>
  <c r="B31" i="8"/>
  <c r="AE30" i="8"/>
  <c r="S30" i="9" s="1"/>
  <c r="AB30" i="8"/>
  <c r="O30" i="8"/>
  <c r="P30" i="9" s="1"/>
  <c r="B30" i="8"/>
  <c r="AE29" i="8"/>
  <c r="S29" i="9" s="1"/>
  <c r="AB29" i="8"/>
  <c r="Q29" i="9" s="1"/>
  <c r="O29" i="8"/>
  <c r="P29" i="9" s="1"/>
  <c r="B29" i="8"/>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O23" i="8"/>
  <c r="P23" i="9" s="1"/>
  <c r="B23" i="8"/>
  <c r="AE22" i="8"/>
  <c r="S22" i="9" s="1"/>
  <c r="AB22" i="8"/>
  <c r="O22" i="8"/>
  <c r="P22" i="9" s="1"/>
  <c r="B22" i="8"/>
  <c r="AE21" i="8"/>
  <c r="S21" i="9" s="1"/>
  <c r="AB21" i="8"/>
  <c r="Q21" i="9" s="1"/>
  <c r="O21" i="8"/>
  <c r="P21" i="9" s="1"/>
  <c r="B21" i="8"/>
  <c r="AG20" i="8"/>
  <c r="AF20" i="8" s="1"/>
  <c r="AE20" i="8"/>
  <c r="S20" i="9" s="1"/>
  <c r="AB20" i="8"/>
  <c r="Q20" i="9" s="1"/>
  <c r="O20" i="8"/>
  <c r="P20" i="9" s="1"/>
  <c r="B20" i="8"/>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P16" i="9" s="1"/>
  <c r="B16" i="8"/>
  <c r="AG15" i="8"/>
  <c r="AF15" i="8"/>
  <c r="AE15" i="8"/>
  <c r="S15" i="9" s="1"/>
  <c r="AB15" i="8"/>
  <c r="Q15" i="9" s="1"/>
  <c r="O15" i="8"/>
  <c r="P15" i="9" s="1"/>
  <c r="B15" i="8"/>
  <c r="AE14" i="8"/>
  <c r="S14" i="9" s="1"/>
  <c r="AB14" i="8"/>
  <c r="Q14" i="9" s="1"/>
  <c r="O14" i="8"/>
  <c r="P14" i="9" s="1"/>
  <c r="B14" i="8"/>
  <c r="AE13" i="8"/>
  <c r="S13" i="9" s="1"/>
  <c r="AB13" i="8"/>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K20" i="9"/>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I22" i="17" s="1"/>
  <c r="AC22" i="17" s="1"/>
  <c r="AI5" i="7"/>
  <c r="S5" i="7"/>
  <c r="C5" i="7"/>
  <c r="AI4" i="7"/>
  <c r="S4" i="7"/>
  <c r="C4" i="7"/>
  <c r="AI3" i="7"/>
  <c r="S3" i="7"/>
  <c r="C3" i="7"/>
  <c r="AG44" i="6"/>
  <c r="AH44" i="6" s="1"/>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E36" i="6"/>
  <c r="AG36" i="6" s="1"/>
  <c r="AH36" i="6" s="1"/>
  <c r="AB36" i="6"/>
  <c r="E36" i="9" s="1"/>
  <c r="O36" i="6"/>
  <c r="D36" i="9" s="1"/>
  <c r="B36"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E28" i="6"/>
  <c r="G28" i="9" s="1"/>
  <c r="AB28" i="6"/>
  <c r="E28" i="9" s="1"/>
  <c r="O28" i="6"/>
  <c r="D28" i="9" s="1"/>
  <c r="B28" i="6"/>
  <c r="AG27" i="6"/>
  <c r="AF27" i="6"/>
  <c r="AE27" i="6"/>
  <c r="AB27" i="6"/>
  <c r="E27" i="9" s="1"/>
  <c r="O27" i="6"/>
  <c r="D27" i="9" s="1"/>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E20" i="6"/>
  <c r="F20" i="9" s="1"/>
  <c r="AB20" i="6"/>
  <c r="E20" i="9" s="1"/>
  <c r="O20" i="6"/>
  <c r="D20" i="9" s="1"/>
  <c r="B20" i="6"/>
  <c r="AE19" i="6"/>
  <c r="AB19" i="6"/>
  <c r="E19" i="9" s="1"/>
  <c r="O19" i="6"/>
  <c r="D19" i="9" s="1"/>
  <c r="B19" i="6"/>
  <c r="AE18" i="6"/>
  <c r="F18" i="9" s="1"/>
  <c r="AB18" i="6"/>
  <c r="E18" i="9" s="1"/>
  <c r="O18" i="6"/>
  <c r="D18" i="9" s="1"/>
  <c r="B18" i="6"/>
  <c r="AE17" i="6"/>
  <c r="AB17" i="6"/>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B12" i="6"/>
  <c r="AE11" i="6"/>
  <c r="AB11" i="6"/>
  <c r="E11" i="9" s="1"/>
  <c r="O11" i="6"/>
  <c r="D11" i="9" s="1"/>
  <c r="B11" i="6"/>
  <c r="AE10" i="6"/>
  <c r="G10" i="9" s="1"/>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13" i="4"/>
  <c r="B12" i="4"/>
  <c r="B11"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H33" i="15" l="1"/>
  <c r="N11" i="17"/>
  <c r="AG12" i="6"/>
  <c r="AG19" i="6"/>
  <c r="AF19" i="6" s="1"/>
  <c r="AG28" i="6"/>
  <c r="C28" i="10" s="1"/>
  <c r="AG13" i="8"/>
  <c r="AG16" i="8"/>
  <c r="AF16" i="8" s="1"/>
  <c r="AG27" i="8"/>
  <c r="AF27" i="8" s="1"/>
  <c r="AG43" i="8"/>
  <c r="H31" i="15"/>
  <c r="I23" i="17"/>
  <c r="AC23" i="17" s="1"/>
  <c r="G11" i="17"/>
  <c r="S11" i="17"/>
  <c r="AG35" i="6"/>
  <c r="AF35" i="6" s="1"/>
  <c r="BA4" i="5"/>
  <c r="AG43" i="6"/>
  <c r="AF43" i="6" s="1"/>
  <c r="H23" i="15"/>
  <c r="H26" i="15" s="1"/>
  <c r="H32" i="15"/>
  <c r="I24" i="17"/>
  <c r="AC24" i="17" s="1"/>
  <c r="F11" i="17"/>
  <c r="R11" i="17"/>
  <c r="Q11" i="17"/>
  <c r="M11" i="17"/>
  <c r="O11" i="17"/>
  <c r="P11" i="17"/>
  <c r="AG33" i="7"/>
  <c r="AG38" i="7"/>
  <c r="AF38" i="7" s="1"/>
  <c r="AG29" i="8"/>
  <c r="AH29" i="8" s="1"/>
  <c r="I15" i="17"/>
  <c r="AC15" i="17" s="1"/>
  <c r="L11" i="17"/>
  <c r="AG17" i="6"/>
  <c r="AG20" i="6"/>
  <c r="AH20" i="6" s="1"/>
  <c r="AG29" i="7"/>
  <c r="AG35" i="8"/>
  <c r="AF35" i="8" s="1"/>
  <c r="H16" i="15"/>
  <c r="I16" i="17"/>
  <c r="AC16" i="17" s="1"/>
  <c r="K11" i="17"/>
  <c r="AG28" i="8"/>
  <c r="I17" i="17"/>
  <c r="AC17" i="17" s="1"/>
  <c r="J11" i="17"/>
  <c r="AN4" i="7"/>
  <c r="AG37" i="7"/>
  <c r="AF37" i="7" s="1"/>
  <c r="AG41" i="8"/>
  <c r="D12" i="9"/>
  <c r="I11" i="17"/>
  <c r="AG18" i="7"/>
  <c r="AG23" i="7"/>
  <c r="I9" i="9"/>
  <c r="BJ9" i="4"/>
  <c r="BJ10" i="4"/>
  <c r="BJ11" i="4"/>
  <c r="BJ12" i="4"/>
  <c r="I13" i="9"/>
  <c r="BJ15" i="4"/>
  <c r="I16" i="9"/>
  <c r="I17" i="9"/>
  <c r="I18" i="9"/>
  <c r="BJ18" i="4"/>
  <c r="I22" i="9"/>
  <c r="BJ22" i="4"/>
  <c r="BJ21" i="4"/>
  <c r="BE20" i="4"/>
  <c r="X11" i="17"/>
  <c r="BE18" i="4"/>
  <c r="BE10" i="4"/>
  <c r="Y11" i="17"/>
  <c r="W11" i="17"/>
  <c r="BE16" i="4"/>
  <c r="BJ16" i="4" s="1"/>
  <c r="BE15" i="4"/>
  <c r="BE14" i="4"/>
  <c r="BE11" i="4"/>
  <c r="I11" i="9" s="1"/>
  <c r="BE22" i="4"/>
  <c r="BE21" i="4"/>
  <c r="BE19" i="4"/>
  <c r="BJ19" i="4" s="1"/>
  <c r="BE17" i="4"/>
  <c r="BJ17" i="4" s="1"/>
  <c r="BE13" i="4"/>
  <c r="BJ13" i="4" s="1"/>
  <c r="BE12" i="4"/>
  <c r="V11" i="17"/>
  <c r="BE9" i="4"/>
  <c r="BE8" i="4"/>
  <c r="BJ8" i="4" s="1"/>
  <c r="AC18" i="17"/>
  <c r="AC25" i="17"/>
  <c r="I25" i="17"/>
  <c r="I18" i="17"/>
  <c r="BA4" i="4"/>
  <c r="AN4" i="6"/>
  <c r="AN4" i="8"/>
  <c r="D33" i="10"/>
  <c r="N33" i="9"/>
  <c r="AF33" i="7"/>
  <c r="AH33" i="7"/>
  <c r="C17" i="10"/>
  <c r="H17" i="9"/>
  <c r="AH17" i="6"/>
  <c r="AF17" i="6"/>
  <c r="C12" i="10"/>
  <c r="H12" i="9"/>
  <c r="AH12" i="6"/>
  <c r="AF12" i="6"/>
  <c r="E13" i="10"/>
  <c r="T13" i="9"/>
  <c r="AH13" i="8"/>
  <c r="AF13" i="8"/>
  <c r="D27" i="10"/>
  <c r="N27" i="9"/>
  <c r="AH27" i="7"/>
  <c r="AF27" i="7"/>
  <c r="C32" i="10"/>
  <c r="H32" i="9"/>
  <c r="AH32" i="6"/>
  <c r="AF32" i="6"/>
  <c r="E33" i="10"/>
  <c r="T33" i="9"/>
  <c r="AH33" i="8"/>
  <c r="AF33" i="8"/>
  <c r="AG14" i="6"/>
  <c r="AG22" i="6"/>
  <c r="AG30" i="6"/>
  <c r="G36" i="9"/>
  <c r="F36" i="9"/>
  <c r="AG38" i="6"/>
  <c r="G44" i="9"/>
  <c r="F44" i="9"/>
  <c r="AG24" i="7"/>
  <c r="AG32" i="7"/>
  <c r="AG40" i="7"/>
  <c r="AG17" i="8"/>
  <c r="E36" i="10"/>
  <c r="T36" i="9"/>
  <c r="F26" i="9"/>
  <c r="AG9" i="6"/>
  <c r="AG10" i="6"/>
  <c r="AG11" i="6"/>
  <c r="AG13" i="6"/>
  <c r="G19" i="9"/>
  <c r="F19" i="9"/>
  <c r="AF20" i="6"/>
  <c r="AG21" i="6"/>
  <c r="G27" i="9"/>
  <c r="F27" i="9"/>
  <c r="AF28" i="6"/>
  <c r="AG29" i="6"/>
  <c r="G35" i="9"/>
  <c r="F35" i="9"/>
  <c r="AF36" i="6"/>
  <c r="AG37" i="6"/>
  <c r="G43" i="9"/>
  <c r="F43" i="9"/>
  <c r="AF44" i="6"/>
  <c r="AF30" i="7"/>
  <c r="AG31" i="7"/>
  <c r="AG39" i="7"/>
  <c r="AG21" i="8"/>
  <c r="AG25" i="8"/>
  <c r="AH36" i="8"/>
  <c r="Q13" i="9"/>
  <c r="E17" i="9"/>
  <c r="G31" i="9"/>
  <c r="P33" i="9"/>
  <c r="D38" i="10"/>
  <c r="N38" i="9"/>
  <c r="E16" i="10"/>
  <c r="T16" i="9"/>
  <c r="E31" i="10"/>
  <c r="T31" i="9"/>
  <c r="AH31" i="8"/>
  <c r="AF31" i="8"/>
  <c r="E35" i="10"/>
  <c r="AH35" i="8"/>
  <c r="P40" i="9"/>
  <c r="AG40" i="8"/>
  <c r="E41" i="10"/>
  <c r="T41" i="9"/>
  <c r="AH41" i="8"/>
  <c r="AF41" i="8"/>
  <c r="G17" i="9"/>
  <c r="F17" i="9"/>
  <c r="C19" i="10"/>
  <c r="H19" i="9"/>
  <c r="G25" i="9"/>
  <c r="F25" i="9"/>
  <c r="C27" i="10"/>
  <c r="H27" i="9"/>
  <c r="AH28" i="6"/>
  <c r="G33" i="9"/>
  <c r="F33" i="9"/>
  <c r="C35" i="10"/>
  <c r="H35" i="9"/>
  <c r="F41" i="9"/>
  <c r="G41" i="9"/>
  <c r="C43" i="10"/>
  <c r="H43" i="9"/>
  <c r="D37" i="10"/>
  <c r="N37" i="9"/>
  <c r="AH38" i="7"/>
  <c r="E15" i="10"/>
  <c r="T15" i="9"/>
  <c r="AH16" i="8"/>
  <c r="P18" i="9"/>
  <c r="AG18" i="8"/>
  <c r="E20" i="10"/>
  <c r="T20" i="9"/>
  <c r="F12" i="9"/>
  <c r="T35" i="9"/>
  <c r="C36" i="10"/>
  <c r="H36" i="9"/>
  <c r="G42" i="9"/>
  <c r="F42" i="9"/>
  <c r="C44" i="10"/>
  <c r="H44" i="9"/>
  <c r="D30" i="10"/>
  <c r="N30" i="9"/>
  <c r="E29" i="10"/>
  <c r="AF29" i="8"/>
  <c r="AG38" i="8"/>
  <c r="Q38" i="9"/>
  <c r="D32" i="9"/>
  <c r="G16" i="9"/>
  <c r="F16" i="9"/>
  <c r="AG18" i="6"/>
  <c r="AH19" i="6"/>
  <c r="F24" i="9"/>
  <c r="G24" i="9"/>
  <c r="AG26" i="6"/>
  <c r="AH27" i="6"/>
  <c r="F32" i="9"/>
  <c r="G32" i="9"/>
  <c r="AG34" i="6"/>
  <c r="AH35" i="6"/>
  <c r="F40" i="9"/>
  <c r="G40" i="9"/>
  <c r="AG42" i="6"/>
  <c r="AH43" i="6"/>
  <c r="AG28" i="7"/>
  <c r="AH29" i="7"/>
  <c r="AG36" i="7"/>
  <c r="AH37" i="7"/>
  <c r="AG44" i="7"/>
  <c r="AG14" i="8"/>
  <c r="AH15" i="8"/>
  <c r="AH20" i="8"/>
  <c r="AG24" i="8"/>
  <c r="AG26" i="8"/>
  <c r="E28" i="10"/>
  <c r="T28" i="9"/>
  <c r="G18" i="9"/>
  <c r="K27" i="9"/>
  <c r="C20" i="10"/>
  <c r="H20" i="9"/>
  <c r="AG25" i="6"/>
  <c r="AG33" i="6"/>
  <c r="G39" i="9"/>
  <c r="F39" i="9"/>
  <c r="AG41" i="6"/>
  <c r="AG35" i="7"/>
  <c r="AG43" i="7"/>
  <c r="AG9" i="8"/>
  <c r="AG10" i="8"/>
  <c r="AG11" i="8"/>
  <c r="AG12" i="8"/>
  <c r="AG19" i="8"/>
  <c r="Q22" i="9"/>
  <c r="AG22" i="8"/>
  <c r="E43" i="10"/>
  <c r="AF43" i="8"/>
  <c r="T43" i="9"/>
  <c r="AH43" i="8"/>
  <c r="G13" i="9"/>
  <c r="F28" i="9"/>
  <c r="T29" i="9"/>
  <c r="G14" i="9"/>
  <c r="F14" i="9"/>
  <c r="AG16" i="6"/>
  <c r="G22" i="9"/>
  <c r="F22" i="9"/>
  <c r="AG24" i="6"/>
  <c r="G30" i="9"/>
  <c r="F30" i="9"/>
  <c r="F38" i="9"/>
  <c r="G38" i="9"/>
  <c r="AG40" i="6"/>
  <c r="AG26" i="7"/>
  <c r="AG34" i="7"/>
  <c r="AG42" i="7"/>
  <c r="AG23" i="8"/>
  <c r="E27" i="10"/>
  <c r="T27" i="9"/>
  <c r="AH27" i="8"/>
  <c r="Q30" i="9"/>
  <c r="AG30" i="8"/>
  <c r="P32" i="9"/>
  <c r="AG32" i="8"/>
  <c r="AG37" i="8"/>
  <c r="AG39" i="8"/>
  <c r="P39" i="9"/>
  <c r="F10" i="9"/>
  <c r="G20" i="9"/>
  <c r="F21" i="9"/>
  <c r="H28" i="9"/>
  <c r="P31" i="9"/>
  <c r="J33" i="9"/>
  <c r="G9" i="9"/>
  <c r="F9" i="9"/>
  <c r="G11" i="9"/>
  <c r="F11" i="9"/>
  <c r="AG15" i="6"/>
  <c r="AG23" i="6"/>
  <c r="G29" i="9"/>
  <c r="F29" i="9"/>
  <c r="AG31" i="6"/>
  <c r="G37" i="9"/>
  <c r="F37" i="9"/>
  <c r="AG39" i="6"/>
  <c r="AG25" i="7"/>
  <c r="AG41" i="7"/>
  <c r="AF36" i="8"/>
  <c r="E44" i="10"/>
  <c r="T44" i="9"/>
  <c r="AF44" i="8"/>
  <c r="G15" i="9"/>
  <c r="F23" i="9"/>
  <c r="G34" i="9"/>
  <c r="AG34" i="8"/>
  <c r="AG42" i="8"/>
  <c r="P44" i="9"/>
  <c r="H11" i="15"/>
  <c r="H10" i="15"/>
  <c r="H9" i="15"/>
  <c r="H40" i="15"/>
  <c r="H17" i="15"/>
  <c r="H19" i="15" s="1"/>
  <c r="H44" i="15"/>
  <c r="H47" i="15" s="1"/>
  <c r="AH28" i="8" l="1"/>
  <c r="AF28" i="8"/>
  <c r="D29" i="10"/>
  <c r="AF29" i="7"/>
  <c r="N29" i="9"/>
  <c r="AG9" i="7"/>
  <c r="AF9" i="7" s="1"/>
  <c r="I10" i="9"/>
  <c r="AG10" i="7"/>
  <c r="AH10" i="7" s="1"/>
  <c r="AG11" i="7"/>
  <c r="AF11" i="7" s="1"/>
  <c r="I12" i="9"/>
  <c r="AG12" i="7"/>
  <c r="D12" i="10" s="1"/>
  <c r="AG13" i="7"/>
  <c r="AF13" i="7" s="1"/>
  <c r="I14" i="9"/>
  <c r="AG14" i="7"/>
  <c r="AH14" i="7" s="1"/>
  <c r="BJ14" i="4"/>
  <c r="I15" i="9"/>
  <c r="AG15" i="7"/>
  <c r="AH15" i="7" s="1"/>
  <c r="AG16" i="7"/>
  <c r="D16" i="10" s="1"/>
  <c r="AG17" i="7"/>
  <c r="D17" i="10" s="1"/>
  <c r="AF18" i="7"/>
  <c r="AG22" i="7"/>
  <c r="AH22" i="7" s="1"/>
  <c r="I21" i="9"/>
  <c r="AG21" i="7"/>
  <c r="AF21" i="7" s="1"/>
  <c r="I20" i="9"/>
  <c r="AG20" i="7"/>
  <c r="D20" i="10" s="1"/>
  <c r="BJ20" i="4"/>
  <c r="I19" i="9"/>
  <c r="AG19" i="7"/>
  <c r="D19" i="10" s="1"/>
  <c r="Z11" i="17"/>
  <c r="AC26" i="17"/>
  <c r="AH11" i="7"/>
  <c r="C41" i="10"/>
  <c r="H41" i="9"/>
  <c r="AH41" i="6"/>
  <c r="AF41" i="6"/>
  <c r="E21" i="10"/>
  <c r="T21" i="9"/>
  <c r="AF21" i="8"/>
  <c r="AH21" i="8"/>
  <c r="C11" i="10"/>
  <c r="H11" i="9"/>
  <c r="AH11" i="6"/>
  <c r="AF11" i="6"/>
  <c r="N32" i="9"/>
  <c r="D32" i="10"/>
  <c r="AF32" i="7"/>
  <c r="AH32" i="7"/>
  <c r="C30" i="10"/>
  <c r="H30" i="9"/>
  <c r="AF30" i="6"/>
  <c r="AH30" i="6"/>
  <c r="C40" i="10"/>
  <c r="H40" i="9"/>
  <c r="AH40" i="6"/>
  <c r="AF40" i="6"/>
  <c r="C16" i="10"/>
  <c r="AH16" i="6"/>
  <c r="AF16" i="6"/>
  <c r="H16" i="9"/>
  <c r="E9" i="10"/>
  <c r="T9" i="9"/>
  <c r="AH9" i="8"/>
  <c r="AF9" i="8"/>
  <c r="C34" i="10"/>
  <c r="H34" i="9"/>
  <c r="AH34" i="6"/>
  <c r="AF34" i="6"/>
  <c r="C18" i="10"/>
  <c r="H18" i="9"/>
  <c r="AH18" i="6"/>
  <c r="AF18" i="6"/>
  <c r="T18" i="9"/>
  <c r="E18" i="10"/>
  <c r="AH18" i="8"/>
  <c r="AF18" i="8"/>
  <c r="D39" i="10"/>
  <c r="N39" i="9"/>
  <c r="AH39" i="7"/>
  <c r="AF39" i="7"/>
  <c r="C10" i="10"/>
  <c r="H10" i="9"/>
  <c r="AH10" i="6"/>
  <c r="AF10" i="6"/>
  <c r="N24" i="9"/>
  <c r="D24" i="10"/>
  <c r="AF24" i="7"/>
  <c r="AH24" i="7"/>
  <c r="C22" i="10"/>
  <c r="H22" i="9"/>
  <c r="AF22" i="6"/>
  <c r="AH22" i="6"/>
  <c r="T10" i="9"/>
  <c r="E10" i="10"/>
  <c r="AH10" i="8"/>
  <c r="AF10" i="8"/>
  <c r="D44" i="10"/>
  <c r="N44" i="9"/>
  <c r="U44" i="9" s="1"/>
  <c r="AH44" i="7"/>
  <c r="AF44" i="7"/>
  <c r="C14" i="10"/>
  <c r="H14" i="9"/>
  <c r="AF14" i="6"/>
  <c r="AH14" i="6"/>
  <c r="E22" i="10"/>
  <c r="T22" i="9"/>
  <c r="AF22" i="8"/>
  <c r="AH22" i="8"/>
  <c r="C37" i="10"/>
  <c r="H37" i="9"/>
  <c r="AH37" i="6"/>
  <c r="AF37" i="6"/>
  <c r="C21" i="10"/>
  <c r="H21" i="9"/>
  <c r="AH21" i="6"/>
  <c r="AF21" i="6"/>
  <c r="D43" i="10"/>
  <c r="N43" i="9"/>
  <c r="U43" i="9" s="1"/>
  <c r="AH43" i="7"/>
  <c r="AF43" i="7"/>
  <c r="U27" i="9"/>
  <c r="H9" i="9"/>
  <c r="C9" i="10"/>
  <c r="AH9" i="6"/>
  <c r="AF9" i="6"/>
  <c r="N35" i="9"/>
  <c r="D35" i="10"/>
  <c r="AH35" i="7"/>
  <c r="AF35" i="7"/>
  <c r="T34" i="9"/>
  <c r="E34" i="10"/>
  <c r="AH34" i="8"/>
  <c r="AF34" i="8"/>
  <c r="D41" i="10"/>
  <c r="N41" i="9"/>
  <c r="AF41" i="7"/>
  <c r="AH41" i="7"/>
  <c r="E37" i="10"/>
  <c r="AF37" i="8"/>
  <c r="T37" i="9"/>
  <c r="AH37" i="8"/>
  <c r="E23" i="10"/>
  <c r="AH23" i="8"/>
  <c r="T23" i="9"/>
  <c r="AF23" i="8"/>
  <c r="C25" i="10"/>
  <c r="H25" i="9"/>
  <c r="AH25" i="6"/>
  <c r="AF25" i="6"/>
  <c r="E24" i="10"/>
  <c r="T24" i="9"/>
  <c r="AH24" i="8"/>
  <c r="AF24" i="8"/>
  <c r="D28" i="10"/>
  <c r="N28" i="9"/>
  <c r="U28" i="9" s="1"/>
  <c r="AH28" i="7"/>
  <c r="AF28" i="7"/>
  <c r="N23" i="9"/>
  <c r="D23" i="10"/>
  <c r="AH23" i="7"/>
  <c r="AF23" i="7"/>
  <c r="C31" i="10"/>
  <c r="H31" i="9"/>
  <c r="AF31" i="6"/>
  <c r="AH31" i="6"/>
  <c r="D31" i="10"/>
  <c r="N31" i="9"/>
  <c r="AH31" i="7"/>
  <c r="AF31" i="7"/>
  <c r="D25" i="10"/>
  <c r="N25" i="9"/>
  <c r="AF25" i="7"/>
  <c r="AH25" i="7"/>
  <c r="C23" i="10"/>
  <c r="AF23" i="6"/>
  <c r="H23" i="9"/>
  <c r="AH23" i="6"/>
  <c r="E32" i="10"/>
  <c r="AH32" i="8"/>
  <c r="T32" i="9"/>
  <c r="AF32" i="8"/>
  <c r="D42" i="10"/>
  <c r="N42" i="9"/>
  <c r="AH42" i="7"/>
  <c r="AF42" i="7"/>
  <c r="E19" i="10"/>
  <c r="AH19" i="8"/>
  <c r="AF19" i="8"/>
  <c r="T19" i="9"/>
  <c r="C42" i="10"/>
  <c r="H42" i="9"/>
  <c r="AH42" i="6"/>
  <c r="AF42" i="6"/>
  <c r="C26" i="10"/>
  <c r="AH26" i="6"/>
  <c r="AF26" i="6"/>
  <c r="H26" i="9"/>
  <c r="U35" i="9"/>
  <c r="C38" i="10"/>
  <c r="H38" i="9"/>
  <c r="AF38" i="6"/>
  <c r="AH38" i="6"/>
  <c r="D36" i="10"/>
  <c r="N36" i="9"/>
  <c r="U36" i="9" s="1"/>
  <c r="AH36" i="7"/>
  <c r="AF36" i="7"/>
  <c r="C33" i="10"/>
  <c r="AH33" i="6"/>
  <c r="H33" i="9"/>
  <c r="U33" i="9" s="1"/>
  <c r="AF33" i="6"/>
  <c r="C15" i="10"/>
  <c r="H15" i="9"/>
  <c r="AF15" i="6"/>
  <c r="AH15" i="6"/>
  <c r="D34" i="10"/>
  <c r="N34" i="9"/>
  <c r="AH34" i="7"/>
  <c r="AF34" i="7"/>
  <c r="C24" i="10"/>
  <c r="H24" i="9"/>
  <c r="AH24" i="6"/>
  <c r="AF24" i="6"/>
  <c r="E12" i="10"/>
  <c r="AH12" i="8"/>
  <c r="AF12" i="8"/>
  <c r="T12" i="9"/>
  <c r="E38" i="10"/>
  <c r="AF38" i="8"/>
  <c r="T38" i="9"/>
  <c r="AH38" i="8"/>
  <c r="E40" i="10"/>
  <c r="AH40" i="8"/>
  <c r="T40" i="9"/>
  <c r="AF40" i="8"/>
  <c r="E17" i="10"/>
  <c r="T17" i="9"/>
  <c r="AF17" i="8"/>
  <c r="AH17" i="8"/>
  <c r="T42" i="9"/>
  <c r="E42" i="10"/>
  <c r="AF42" i="8"/>
  <c r="AH42" i="8"/>
  <c r="E39" i="10"/>
  <c r="T39" i="9"/>
  <c r="AH39" i="8"/>
  <c r="AF39" i="8"/>
  <c r="T26" i="9"/>
  <c r="E26" i="10"/>
  <c r="AF26" i="8"/>
  <c r="AH26" i="8"/>
  <c r="H12" i="15"/>
  <c r="C39" i="10"/>
  <c r="H39" i="9"/>
  <c r="U39" i="9" s="1"/>
  <c r="AF39" i="6"/>
  <c r="AH39" i="6"/>
  <c r="E30" i="10"/>
  <c r="AF30" i="8"/>
  <c r="T30" i="9"/>
  <c r="AH30" i="8"/>
  <c r="D26" i="10"/>
  <c r="AH26" i="7"/>
  <c r="AF26" i="7"/>
  <c r="N26" i="9"/>
  <c r="E11" i="10"/>
  <c r="T11" i="9"/>
  <c r="AH11" i="8"/>
  <c r="AF11" i="8"/>
  <c r="E14" i="10"/>
  <c r="AH14" i="8"/>
  <c r="T14" i="9"/>
  <c r="AF14" i="8"/>
  <c r="E25" i="10"/>
  <c r="AF25" i="8"/>
  <c r="T25" i="9"/>
  <c r="AH25" i="8"/>
  <c r="C29" i="10"/>
  <c r="H29" i="9"/>
  <c r="U29" i="9" s="1"/>
  <c r="AH29" i="6"/>
  <c r="AF29" i="6"/>
  <c r="C13" i="10"/>
  <c r="H13" i="9"/>
  <c r="AH13" i="6"/>
  <c r="AF13" i="6"/>
  <c r="N40" i="9"/>
  <c r="D40" i="10"/>
  <c r="AF40" i="7"/>
  <c r="AH40" i="7"/>
  <c r="U42" i="9" l="1"/>
  <c r="F42" i="10" s="1"/>
  <c r="U24" i="9"/>
  <c r="U32" i="9"/>
  <c r="AF12" i="7"/>
  <c r="AO10" i="7" s="1"/>
  <c r="H8" i="12" s="1"/>
  <c r="AH17" i="7"/>
  <c r="U31" i="9"/>
  <c r="V31" i="9" s="1"/>
  <c r="AH12" i="7"/>
  <c r="AF15" i="7"/>
  <c r="AF20" i="7"/>
  <c r="AH16" i="7"/>
  <c r="D9" i="10"/>
  <c r="N9" i="9"/>
  <c r="U9" i="9" s="1"/>
  <c r="F9" i="10" s="1"/>
  <c r="AH9" i="7"/>
  <c r="AF10" i="7"/>
  <c r="N10" i="9"/>
  <c r="U10" i="9" s="1"/>
  <c r="D10" i="10"/>
  <c r="N11" i="9"/>
  <c r="U11" i="9" s="1"/>
  <c r="D11" i="10"/>
  <c r="N12" i="9"/>
  <c r="U12" i="9" s="1"/>
  <c r="AH13" i="7"/>
  <c r="D13" i="10"/>
  <c r="N13" i="9"/>
  <c r="U13" i="9" s="1"/>
  <c r="F13" i="10" s="1"/>
  <c r="D14" i="10"/>
  <c r="N14" i="9"/>
  <c r="U14" i="9" s="1"/>
  <c r="V14" i="9" s="1"/>
  <c r="AF14" i="7"/>
  <c r="N15" i="9"/>
  <c r="U15" i="9" s="1"/>
  <c r="D15" i="10"/>
  <c r="AF16" i="7"/>
  <c r="N16" i="9"/>
  <c r="U16" i="9" s="1"/>
  <c r="AF17" i="7"/>
  <c r="N17" i="9"/>
  <c r="U17" i="9" s="1"/>
  <c r="V17" i="9" s="1"/>
  <c r="AH18" i="7"/>
  <c r="N18" i="9"/>
  <c r="U18" i="9" s="1"/>
  <c r="D18" i="10"/>
  <c r="AF22" i="7"/>
  <c r="D22" i="10"/>
  <c r="N22" i="9"/>
  <c r="D21" i="10"/>
  <c r="AH21" i="7"/>
  <c r="N21" i="9"/>
  <c r="U21" i="9" s="1"/>
  <c r="F21" i="10" s="1"/>
  <c r="AH20" i="7"/>
  <c r="N20" i="9"/>
  <c r="U20" i="9" s="1"/>
  <c r="V20" i="9" s="1"/>
  <c r="AF19" i="7"/>
  <c r="AH19" i="7"/>
  <c r="N19" i="9"/>
  <c r="U19" i="9" s="1"/>
  <c r="F19" i="10" s="1"/>
  <c r="A26" i="17"/>
  <c r="U22" i="9"/>
  <c r="F22" i="10" s="1"/>
  <c r="U23" i="9"/>
  <c r="F23" i="10" s="1"/>
  <c r="V32" i="9"/>
  <c r="F32" i="10"/>
  <c r="V28" i="9"/>
  <c r="F28" i="10"/>
  <c r="F43" i="10"/>
  <c r="V43" i="9"/>
  <c r="F39" i="10"/>
  <c r="V39" i="9"/>
  <c r="F44" i="10"/>
  <c r="V44" i="9"/>
  <c r="F31" i="10"/>
  <c r="U25" i="9"/>
  <c r="F35" i="10"/>
  <c r="V35" i="9"/>
  <c r="F29" i="10"/>
  <c r="V29" i="9"/>
  <c r="U38" i="9"/>
  <c r="U37" i="9"/>
  <c r="U34" i="9"/>
  <c r="U30" i="9"/>
  <c r="U41" i="9"/>
  <c r="AO12" i="8"/>
  <c r="H10" i="13" s="1"/>
  <c r="AO11" i="8"/>
  <c r="H9" i="13" s="1"/>
  <c r="AO10" i="8"/>
  <c r="H8" i="13" s="1"/>
  <c r="AO9" i="8"/>
  <c r="H7" i="13" s="1"/>
  <c r="V24" i="9"/>
  <c r="F24" i="10"/>
  <c r="U26" i="9"/>
  <c r="I9" i="10"/>
  <c r="E11" i="14" s="1"/>
  <c r="I13" i="10"/>
  <c r="E12" i="14" s="1"/>
  <c r="AO12" i="6"/>
  <c r="H10" i="11" s="1"/>
  <c r="AO11" i="6"/>
  <c r="H9" i="11" s="1"/>
  <c r="AO10" i="6"/>
  <c r="H8" i="11" s="1"/>
  <c r="AO9" i="6"/>
  <c r="H7" i="11" s="1"/>
  <c r="U40" i="9"/>
  <c r="F33" i="10"/>
  <c r="V33" i="9"/>
  <c r="F27" i="10"/>
  <c r="V27" i="9"/>
  <c r="K13" i="10"/>
  <c r="E37" i="14" s="1"/>
  <c r="K9" i="10"/>
  <c r="E36" i="14" s="1"/>
  <c r="F36" i="10"/>
  <c r="V36" i="9"/>
  <c r="V42" i="9" l="1"/>
  <c r="V19" i="9"/>
  <c r="F17" i="10"/>
  <c r="G17" i="10" s="1"/>
  <c r="AO11" i="7"/>
  <c r="H9" i="12" s="1"/>
  <c r="F14" i="10"/>
  <c r="H22" i="16" s="1"/>
  <c r="AO12" i="7"/>
  <c r="H10" i="12" s="1"/>
  <c r="F12" i="10"/>
  <c r="H20" i="16" s="1"/>
  <c r="V12" i="9"/>
  <c r="AO9" i="7"/>
  <c r="H7" i="12" s="1"/>
  <c r="J13" i="10"/>
  <c r="E25" i="14" s="1"/>
  <c r="J9" i="10"/>
  <c r="E24" i="14" s="1"/>
  <c r="F20" i="10"/>
  <c r="H28" i="16" s="1"/>
  <c r="V22" i="9"/>
  <c r="V13" i="9"/>
  <c r="V9" i="9"/>
  <c r="V21" i="9"/>
  <c r="V23" i="9"/>
  <c r="E38" i="14"/>
  <c r="F15" i="10"/>
  <c r="V15" i="9"/>
  <c r="H21" i="16"/>
  <c r="G13" i="10"/>
  <c r="G29" i="10"/>
  <c r="H37" i="16"/>
  <c r="G21" i="10"/>
  <c r="H29" i="16"/>
  <c r="H11" i="11"/>
  <c r="I8" i="11" s="1"/>
  <c r="H32" i="16"/>
  <c r="G24" i="10"/>
  <c r="F41" i="10"/>
  <c r="V41" i="9"/>
  <c r="H30" i="16"/>
  <c r="G22" i="10"/>
  <c r="G39" i="10"/>
  <c r="H47" i="16"/>
  <c r="H36" i="16"/>
  <c r="G28" i="10"/>
  <c r="I9" i="11"/>
  <c r="H11" i="13"/>
  <c r="I7" i="13" s="1"/>
  <c r="F30" i="10"/>
  <c r="V30" i="9"/>
  <c r="H51" i="16"/>
  <c r="G43" i="10"/>
  <c r="F10" i="10"/>
  <c r="V10" i="9"/>
  <c r="V11" i="9"/>
  <c r="F11" i="10"/>
  <c r="G35" i="10"/>
  <c r="H43" i="16"/>
  <c r="F25" i="10"/>
  <c r="V25" i="9"/>
  <c r="F16" i="10"/>
  <c r="V16" i="9"/>
  <c r="G27" i="10"/>
  <c r="H35" i="16"/>
  <c r="G9" i="10"/>
  <c r="H17" i="16"/>
  <c r="F34" i="10"/>
  <c r="V34" i="9"/>
  <c r="G31" i="10"/>
  <c r="H39" i="16"/>
  <c r="H40" i="16"/>
  <c r="G32" i="10"/>
  <c r="G12" i="14"/>
  <c r="F37" i="10"/>
  <c r="V37" i="9"/>
  <c r="G23" i="10"/>
  <c r="H31" i="16"/>
  <c r="F18" i="10"/>
  <c r="V18" i="9"/>
  <c r="F26" i="10"/>
  <c r="V26" i="9"/>
  <c r="H44" i="16"/>
  <c r="G36" i="10"/>
  <c r="G33" i="10"/>
  <c r="H41" i="16"/>
  <c r="G19" i="10"/>
  <c r="H27" i="16"/>
  <c r="V40" i="9"/>
  <c r="F40" i="10"/>
  <c r="E13" i="14"/>
  <c r="G11" i="14"/>
  <c r="F38" i="10"/>
  <c r="V38" i="9"/>
  <c r="H50" i="16"/>
  <c r="G42" i="10"/>
  <c r="H52" i="16"/>
  <c r="G44" i="10"/>
  <c r="I10" i="11" l="1"/>
  <c r="H25" i="16"/>
  <c r="H11" i="12"/>
  <c r="I8" i="12" s="1"/>
  <c r="G14" i="10"/>
  <c r="G20" i="10"/>
  <c r="G12" i="10"/>
  <c r="E26" i="14"/>
  <c r="G24" i="14" s="1"/>
  <c r="H26" i="16"/>
  <c r="G18" i="10"/>
  <c r="G10" i="10"/>
  <c r="H18" i="16"/>
  <c r="G25" i="10"/>
  <c r="H33" i="16"/>
  <c r="H24" i="16"/>
  <c r="G16" i="10"/>
  <c r="G15" i="10"/>
  <c r="H23" i="16"/>
  <c r="I10" i="13"/>
  <c r="H48" i="16"/>
  <c r="G40" i="10"/>
  <c r="H46" i="16"/>
  <c r="G38" i="10"/>
  <c r="H42" i="16"/>
  <c r="G34" i="10"/>
  <c r="I8" i="13"/>
  <c r="I11" i="13" s="1"/>
  <c r="G13" i="14"/>
  <c r="G41" i="10"/>
  <c r="H49" i="16"/>
  <c r="H19" i="16"/>
  <c r="G11" i="10"/>
  <c r="H34" i="16"/>
  <c r="G26" i="10"/>
  <c r="G37" i="10"/>
  <c r="H45" i="16"/>
  <c r="H38" i="16"/>
  <c r="G30" i="10"/>
  <c r="I7" i="11"/>
  <c r="I9" i="13"/>
  <c r="I11" i="11" l="1"/>
  <c r="I9" i="12"/>
  <c r="I7" i="12"/>
  <c r="I10" i="12"/>
  <c r="G37" i="14"/>
  <c r="G25" i="14"/>
  <c r="G26" i="14" s="1"/>
  <c r="G36" i="14"/>
  <c r="I11" i="12" l="1"/>
  <c r="G38" i="14"/>
</calcChain>
</file>

<file path=xl/sharedStrings.xml><?xml version="1.0" encoding="utf-8"?>
<sst xmlns="http://schemas.openxmlformats.org/spreadsheetml/2006/main" count="865" uniqueCount="218">
  <si>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</si>
  <si>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</si>
  <si>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</si>
  <si>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</si>
  <si>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</si>
  <si>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</si>
  <si>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</si>
  <si>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</si>
  <si>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</si>
  <si>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</si>
  <si>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</si>
  <si>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</si>
  <si>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</si>
  <si>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</si>
  <si>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</si>
  <si>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</si>
  <si>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</si>
  <si>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</si>
  <si>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</si>
  <si>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</si>
  <si>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</si>
  <si>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</si>
  <si>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</si>
  <si>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</si>
  <si>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</si>
  <si>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</si>
  <si>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</si>
  <si>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</si>
  <si>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</si>
  <si>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</si>
  <si>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</si>
  <si>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</si>
  <si>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</si>
  <si>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</si>
  <si>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</si>
  <si>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</si>
  <si>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</si>
  <si>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</si>
  <si>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</si>
  <si>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</si>
  <si>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</si>
  <si>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</si>
  <si>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</si>
  <si>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</si>
  <si>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</si>
  <si>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</si>
  <si>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</si>
  <si>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</si>
  <si>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</si>
  <si>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</si>
  <si>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</si>
  <si>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</si>
  <si>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</si>
  <si>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</si>
  <si>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</si>
  <si>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</si>
  <si>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</si>
  <si>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</si>
  <si>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</si>
  <si>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</si>
  <si>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</si>
  <si>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</si>
  <si>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</si>
  <si>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</si>
  <si>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</si>
  <si>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</si>
  <si>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</si>
  <si>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</si>
  <si>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</si>
  <si>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</si>
  <si>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</si>
  <si>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</si>
  <si>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</si>
  <si>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</si>
  <si>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</si>
  <si>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</si>
  <si>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</si>
  <si>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</si>
  <si>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</si>
  <si>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</si>
  <si>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</si>
  <si>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</si>
  <si>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</si>
  <si>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</si>
  <si>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</si>
  <si>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</si>
  <si>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</si>
  <si>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</si>
  <si>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</si>
  <si>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</si>
  <si>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</si>
  <si>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</si>
  <si>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</si>
  <si>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</si>
  <si>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</si>
  <si>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</si>
  <si>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</si>
  <si>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</si>
  <si>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</si>
  <si>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</si>
  <si>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</si>
  <si>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</si>
  <si>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</si>
  <si>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</si>
  <si>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</si>
  <si>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</si>
  <si>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</si>
  <si>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</si>
  <si>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</si>
  <si>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</si>
  <si>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</si>
  <si>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</si>
  <si>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</si>
  <si>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</si>
  <si>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</si>
  <si>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</si>
  <si>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</si>
  <si>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</si>
  <si>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</si>
  <si>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</si>
  <si>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</si>
  <si>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</si>
  <si>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</si>
  <si>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</si>
  <si>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</si>
  <si>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</si>
  <si>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</si>
  <si>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</si>
  <si>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</si>
  <si>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</si>
  <si>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</si>
  <si>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</si>
  <si>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</si>
  <si>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</si>
  <si>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</si>
  <si>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</si>
  <si>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</si>
  <si>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</si>
  <si>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</si>
  <si>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</si>
  <si>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</si>
  <si>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</si>
  <si>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</si>
  <si>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</si>
  <si>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</si>
  <si>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</si>
  <si>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</si>
  <si>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</si>
  <si>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</si>
  <si>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</si>
  <si>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</si>
  <si>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</si>
  <si>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</si>
  <si>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</si>
  <si>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</si>
  <si>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</si>
  <si>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</si>
  <si>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</si>
  <si>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</si>
  <si>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</si>
  <si>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</si>
  <si>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</si>
  <si>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</si>
  <si>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</si>
  <si>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15/08/</t>
  </si>
  <si>
    <t>r</t>
  </si>
  <si>
    <t>l</t>
  </si>
  <si>
    <t>20/5/2021(Ejercicio ciclo repetitivos para)</t>
  </si>
  <si>
    <t>27/5/2021(Ej. Repetitiva Mientras</t>
  </si>
  <si>
    <t>1/7/2021(Repaso estructuras repetitivas</t>
  </si>
  <si>
    <t>15/7/2021(Ej. Hacer Mientras)</t>
  </si>
  <si>
    <t>5/8/2021(practica en clase pseint</t>
  </si>
  <si>
    <t>22/7/2021(Practica en clase)</t>
  </si>
  <si>
    <t>INFORME RESUMIDO SOBRE RENDIMIENTO</t>
  </si>
  <si>
    <t>Area:</t>
  </si>
  <si>
    <t>Alumno:</t>
  </si>
  <si>
    <t>Profesor:</t>
  </si>
  <si>
    <t>ASISTENCIA SEGUNDO TRIMESTRE</t>
  </si>
  <si>
    <t>JOSE COAQUIRA COPA</t>
  </si>
  <si>
    <t>13/5/2020</t>
  </si>
  <si>
    <t>20/5/2020</t>
  </si>
  <si>
    <t>27/5/2021</t>
  </si>
  <si>
    <t>1/7/2021</t>
  </si>
  <si>
    <t>8/7/2021</t>
  </si>
  <si>
    <t>15/7/2021</t>
  </si>
  <si>
    <t>22/7/2021</t>
  </si>
  <si>
    <t>29/7/2021</t>
  </si>
  <si>
    <t>5/8/2021</t>
  </si>
  <si>
    <t>Curso:</t>
  </si>
  <si>
    <t>Tecnica Tecnologica (Programacion)</t>
  </si>
  <si>
    <t>5/8/2021(practica en clase pseint)</t>
  </si>
  <si>
    <t>1/7/2021(Repaso estructuras repetitivas)</t>
  </si>
  <si>
    <t>DETALLE</t>
  </si>
  <si>
    <t>Calif.</t>
  </si>
  <si>
    <t>Link Tarea</t>
  </si>
  <si>
    <t>CALIFICACIONES DE TRABAJOS (SABER)</t>
  </si>
  <si>
    <t>CALIFICACIONES DE TRABAJOS HACER)</t>
  </si>
  <si>
    <t>Codigo Classroom</t>
  </si>
  <si>
    <t>https://classroom.google.com/c/MzY5OTU4OTQzMDEy/a/MzcwOTM2MTk2MzI5/details</t>
  </si>
  <si>
    <t>k6jd6gs</t>
  </si>
  <si>
    <t>Codigo Classroom 2</t>
  </si>
  <si>
    <t>ikbhmvu</t>
  </si>
  <si>
    <t>https://classroom.google.com/c/MzA3NTQxNzYyODM4/a/MzQ3MTE0MDI2MjMx/details</t>
  </si>
  <si>
    <t>https://classroom.google.com/c/MzA3NTQxNzYyODM4/a/MzQwMzQ0MzkwOTIz/details</t>
  </si>
  <si>
    <t>https://classroom.google.com/c/MzA3NTQxNzYyODM4/a/MzY4OTU3NTk4MDA3/details</t>
  </si>
  <si>
    <t>12/8/2021</t>
  </si>
  <si>
    <t>12/08/2021(pseint)</t>
  </si>
  <si>
    <t>19/8/2021</t>
  </si>
  <si>
    <t>19/08/2021 (Primer Examen)</t>
  </si>
  <si>
    <t>26/8/20212</t>
  </si>
  <si>
    <t>26/08/2021 (sumas binarias)</t>
  </si>
  <si>
    <t>2/9/2021</t>
  </si>
  <si>
    <t>9/9/2021</t>
  </si>
  <si>
    <t>16/09/2021 (Segundo Examen)</t>
  </si>
  <si>
    <t>cc</t>
  </si>
  <si>
    <t>camara</t>
  </si>
  <si>
    <t>p</t>
  </si>
  <si>
    <t>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</si>
</sst>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sz val="9"/>
      <color theme="1"/>
      <name val="&quot;Libre Franklin&quot;"/>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b/>
      <sz val="8"/>
      <color theme="1"/>
      <name val="Calibri"/>
      <family val="2"/>
    </font>
    <font>
      <sz val="9"/>
      <color theme="1"/>
      <name val="Arial"/>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sz val="9"/>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sz val="12"/>
      <color theme="1"/>
      <name val="Arial"/>
      <family val="2"/>
    </font>
    <font>
      <b/>
      <sz val="12"/>
      <color theme="1"/>
      <name val="Arial"/>
      <family val="2"/>
    </font>
    <font>
      <sz val="10"/>
      <color theme="1"/>
      <name val="Arial"/>
      <family val="2"/>
    </font>
    <font>
      <sz val="9"/>
      <color theme="1"/>
      <name val="Calibri"/>
      <family val="2"/>
    </font>
    <font>
      <sz val="10"/>
      <color theme="1"/>
      <name val="Times New Roman"/>
      <family val="1"/>
    </font>
    <font>
      <sz val="11"/>
      <color theme="1"/>
      <name val="Calibri"/>
      <family val="2"/>
    </font>
    <font>
      <sz val="8"/>
      <color theme="1"/>
      <name val="Times New Roman"/>
      <family val="1"/>
    </font>
    <font>
      <sz val="11"/>
      <color theme="1"/>
      <name val="Arial"/>
      <family val="2"/>
    </font>
    <font>
      <b/>
      <sz val="11"/>
      <color theme="1"/>
      <name val="Arial"/>
      <family val="2"/>
    </font>
    <font>
      <b/>
      <sz val="9"/>
      <color theme="1"/>
      <name val="Calibri"/>
      <family val="2"/>
    </font>
    <font>
      <b/>
      <sz val="10"/>
      <color theme="1"/>
      <name val="Arial"/>
      <family val="2"/>
    </font>
    <font>
      <u/>
      <sz val="16"/>
      <color theme="10"/>
      <name val="Arial"/>
      <family val="2"/>
    </font>
    <font>
      <u/>
      <sz val="11"/>
      <color theme="10"/>
      <name val="Arial"/>
      <family val="2"/>
    </font>
    <font>
      <sz val="11"/>
      <color rgb="FF5F6368"/>
      <name val="Roboto"/>
    </font>
    <font>
      <b/>
      <sz val="9"/>
      <color theme="1"/>
      <name val="Arial"/>
      <family val="2"/>
    </font>
    <font>
      <sz val="9"/>
      <color rgb="FF5F6368"/>
      <name val="Roboto"/>
    </font>
    <font>
      <sz val="9"/>
      <color theme="1"/>
      <name val="Calibri"/>
      <family val="2"/>
    </font>
  </fonts>
  <fills count="1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FF00"/>
        <bgColor rgb="FFD6DCE4"/>
      </patternFill>
    </fill>
    <fill>
      <patternFill patternType="solid">
        <fgColor rgb="FFFFFF00"/>
        <bgColor rgb="FFFBE4D5"/>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40" fillId="0" borderId="0" applyFont="0" applyFill="0" applyBorder="0" applyAlignment="0" applyProtection="0"/>
    <xf numFmtId="0" fontId="53" fillId="0" borderId="0" applyNumberFormat="0" applyFill="0" applyBorder="0" applyAlignment="0" applyProtection="0"/>
  </cellStyleXfs>
  <cellXfs count="31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45" fillId="0" borderId="19" xfId="0" applyFont="1" applyBorder="1" applyAlignment="1">
      <alignment horizontal="center" vertical="center"/>
    </xf>
    <xf numFmtId="14" fontId="46" fillId="0" borderId="58" xfId="0" applyNumberFormat="1" applyFont="1" applyBorder="1" applyAlignment="1">
      <alignment horizontal="center" textRotation="90"/>
    </xf>
    <xf numFmtId="0" fontId="41" fillId="0" borderId="0" xfId="0" applyFont="1" applyAlignment="1"/>
    <xf numFmtId="0" fontId="20" fillId="0" borderId="41" xfId="0" applyFont="1" applyBorder="1" applyAlignment="1">
      <alignment horizontal="center" vertical="center"/>
    </xf>
    <xf numFmtId="0" fontId="9" fillId="0" borderId="46" xfId="0" applyFont="1" applyBorder="1" applyAlignment="1">
      <alignment horizontal="center" vertical="center"/>
    </xf>
    <xf numFmtId="0" fontId="19" fillId="0" borderId="27" xfId="0" applyFont="1" applyBorder="1" applyAlignment="1">
      <alignment horizontal="center" vertical="center"/>
    </xf>
    <xf numFmtId="14" fontId="9" fillId="0" borderId="27" xfId="0" applyNumberFormat="1" applyFont="1" applyBorder="1" applyAlignment="1">
      <alignment horizontal="center" vertical="center" textRotation="90"/>
    </xf>
    <xf numFmtId="14" fontId="9" fillId="0" borderId="44" xfId="0" applyNumberFormat="1" applyFont="1" applyBorder="1" applyAlignment="1">
      <alignment horizontal="center" vertical="center" textRotation="90"/>
    </xf>
    <xf numFmtId="0" fontId="20" fillId="0" borderId="32" xfId="0" applyFont="1" applyBorder="1" applyAlignment="1">
      <alignment horizontal="center" vertical="center"/>
    </xf>
    <xf numFmtId="0" fontId="45" fillId="0" borderId="29"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10" fillId="0" borderId="46" xfId="0" applyFont="1" applyBorder="1" applyAlignment="1">
      <alignment horizontal="center" textRotation="90"/>
    </xf>
    <xf numFmtId="0" fontId="10" fillId="0" borderId="27" xfId="0" applyFont="1" applyBorder="1" applyAlignment="1">
      <alignment horizontal="center" textRotation="90"/>
    </xf>
    <xf numFmtId="0" fontId="8" fillId="0" borderId="44" xfId="0" applyFont="1" applyBorder="1" applyAlignment="1">
      <alignment horizontal="center" vertical="center" textRotation="90"/>
    </xf>
    <xf numFmtId="0" fontId="9" fillId="0" borderId="32" xfId="0" applyFont="1" applyBorder="1" applyAlignment="1">
      <alignment horizontal="center" vertic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56" fillId="0" borderId="58" xfId="0" applyFont="1" applyBorder="1" applyAlignment="1"/>
    <xf numFmtId="0" fontId="57" fillId="0" borderId="58" xfId="0" applyFont="1" applyBorder="1" applyAlignment="1"/>
    <xf numFmtId="0" fontId="55" fillId="0" borderId="58" xfId="0" applyFont="1" applyBorder="1" applyAlignment="1"/>
    <xf numFmtId="166" fontId="9" fillId="0" borderId="19" xfId="1" applyNumberFormat="1" applyFont="1" applyBorder="1" applyAlignment="1">
      <alignment horizontal="left" vertical="center"/>
    </xf>
    <xf numFmtId="166" fontId="0" fillId="0" borderId="0" xfId="1" applyNumberFormat="1" applyFont="1" applyAlignment="1"/>
    <xf numFmtId="166" fontId="0" fillId="0" borderId="0" xfId="0" applyNumberFormat="1" applyFont="1" applyAlignment="1"/>
    <xf numFmtId="0" fontId="58" fillId="0" borderId="19" xfId="0" applyFont="1" applyBorder="1" applyAlignment="1">
      <alignment horizontal="center" vertical="center"/>
    </xf>
    <xf numFmtId="0" fontId="58" fillId="0" borderId="27" xfId="0" applyFont="1" applyBorder="1" applyAlignment="1">
      <alignment horizontal="center" vertical="center"/>
    </xf>
    <xf numFmtId="0" fontId="58" fillId="0" borderId="29" xfId="0" applyFont="1" applyBorder="1" applyAlignment="1">
      <alignment horizontal="center" vertical="center"/>
    </xf>
    <xf numFmtId="14" fontId="58" fillId="0" borderId="27" xfId="0" applyNumberFormat="1" applyFont="1" applyBorder="1" applyAlignment="1">
      <alignment horizontal="center" vertical="center" textRotation="90"/>
    </xf>
    <xf numFmtId="1" fontId="41" fillId="0" borderId="0" xfId="0" applyNumberFormat="1" applyFont="1" applyAlignment="1"/>
    <xf numFmtId="1" fontId="21" fillId="0" borderId="0" xfId="0" applyNumberFormat="1" applyFont="1" applyAlignment="1"/>
    <xf numFmtId="0" fontId="21" fillId="0" borderId="0" xfId="0" applyFont="1" applyAlignment="1"/>
    <xf numFmtId="0" fontId="10" fillId="9" borderId="19" xfId="0" applyFont="1" applyFill="1" applyBorder="1" applyAlignment="1">
      <alignment horizontal="left" vertical="center"/>
    </xf>
    <xf numFmtId="1" fontId="21" fillId="9" borderId="0" xfId="0" applyNumberFormat="1" applyFont="1" applyFill="1" applyAlignment="1"/>
    <xf numFmtId="0" fontId="10" fillId="9" borderId="19" xfId="0" applyFont="1" applyFill="1" applyBorder="1" applyAlignment="1">
      <alignment horizontal="center" vertical="center"/>
    </xf>
    <xf numFmtId="0" fontId="9" fillId="9" borderId="19" xfId="0" applyFont="1" applyFill="1" applyBorder="1" applyAlignment="1">
      <alignment horizontal="center" vertical="center"/>
    </xf>
    <xf numFmtId="0" fontId="26" fillId="10" borderId="19" xfId="0" applyFont="1" applyFill="1" applyBorder="1" applyAlignment="1">
      <alignment horizontal="center" vertical="center"/>
    </xf>
    <xf numFmtId="0" fontId="28" fillId="11" borderId="19" xfId="0" applyFont="1" applyFill="1" applyBorder="1" applyAlignment="1">
      <alignment horizontal="center" vertical="center"/>
    </xf>
    <xf numFmtId="1" fontId="26" fillId="5" borderId="19" xfId="0" applyNumberFormat="1" applyFont="1" applyFill="1" applyBorder="1" applyAlignment="1">
      <alignment horizontal="center" vertical="center"/>
    </xf>
    <xf numFmtId="1" fontId="26" fillId="10" borderId="19" xfId="0" applyNumberFormat="1" applyFont="1" applyFill="1" applyBorder="1" applyAlignment="1">
      <alignment horizontal="center" vertical="center"/>
    </xf>
    <xf numFmtId="0" fontId="47" fillId="0" borderId="16" xfId="0" applyFont="1" applyBorder="1" applyAlignment="1">
      <alignment horizontal="left" vertical="center"/>
    </xf>
    <xf numFmtId="0" fontId="3" fillId="0" borderId="17" xfId="0" applyFont="1" applyBorder="1"/>
    <xf numFmtId="0" fontId="3" fillId="0" borderId="18" xfId="0" applyFont="1" applyBorder="1"/>
    <xf numFmtId="0" fontId="1" fillId="0" borderId="16" xfId="0" applyFont="1" applyBorder="1" applyAlignment="1">
      <alignment horizontal="left" vertical="center"/>
    </xf>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0" fillId="0" borderId="0" xfId="0" applyFont="1" applyAlignment="1">
      <alignment horizontal="center"/>
    </xf>
    <xf numFmtId="0" fontId="42" fillId="0" borderId="58" xfId="0" applyFont="1" applyBorder="1" applyAlignment="1">
      <alignment horizontal="center"/>
    </xf>
    <xf numFmtId="0" fontId="43" fillId="0" borderId="58" xfId="0" applyFont="1" applyBorder="1" applyAlignment="1">
      <alignment horizontal="center"/>
    </xf>
    <xf numFmtId="0" fontId="50" fillId="0" borderId="0" xfId="0" applyFont="1" applyAlignment="1">
      <alignment horizontal="center"/>
    </xf>
    <xf numFmtId="0" fontId="43" fillId="0" borderId="58" xfId="0" applyFont="1" applyBorder="1" applyAlignment="1">
      <alignment horizontal="left"/>
    </xf>
    <xf numFmtId="0" fontId="42" fillId="0" borderId="58" xfId="0" applyFont="1" applyBorder="1" applyAlignment="1">
      <alignment horizontal="left"/>
    </xf>
    <xf numFmtId="0" fontId="50" fillId="0" borderId="58" xfId="0" applyFont="1" applyBorder="1" applyAlignment="1">
      <alignment horizontal="center" vertical="center"/>
    </xf>
    <xf numFmtId="14" fontId="45" fillId="0" borderId="58" xfId="0" applyNumberFormat="1" applyFont="1" applyBorder="1" applyAlignment="1">
      <alignment horizontal="left" vertical="center"/>
    </xf>
    <xf numFmtId="14" fontId="9" fillId="0" borderId="58" xfId="0" applyNumberFormat="1" applyFont="1" applyBorder="1" applyAlignment="1">
      <alignment horizontal="left" vertical="center"/>
    </xf>
    <xf numFmtId="0" fontId="9" fillId="0" borderId="58" xfId="0" applyFont="1" applyBorder="1" applyAlignment="1">
      <alignment horizontal="left" vertical="center"/>
    </xf>
    <xf numFmtId="0" fontId="45" fillId="0" borderId="58" xfId="0" applyFont="1" applyBorder="1" applyAlignment="1">
      <alignment horizontal="left" vertical="center"/>
    </xf>
    <xf numFmtId="0" fontId="44" fillId="0" borderId="58" xfId="0" applyFont="1" applyBorder="1" applyAlignment="1">
      <alignment horizontal="center"/>
    </xf>
    <xf numFmtId="0" fontId="54" fillId="0" borderId="58" xfId="2" applyFont="1" applyBorder="1" applyAlignment="1">
      <alignment horizontal="center"/>
    </xf>
    <xf numFmtId="0" fontId="49" fillId="0" borderId="58" xfId="0" applyFont="1" applyBorder="1" applyAlignment="1">
      <alignment horizontal="center"/>
    </xf>
    <xf numFmtId="0" fontId="51" fillId="0" borderId="58" xfId="0" applyFont="1" applyBorder="1" applyAlignment="1">
      <alignment horizontal="right" vertical="center"/>
    </xf>
    <xf numFmtId="0" fontId="9" fillId="0" borderId="58" xfId="0" applyFont="1" applyBorder="1" applyAlignment="1">
      <alignment horizontal="right" vertical="center"/>
    </xf>
    <xf numFmtId="1" fontId="52" fillId="0" borderId="58" xfId="0" applyNumberFormat="1" applyFont="1" applyBorder="1" applyAlignment="1">
      <alignment horizontal="center"/>
    </xf>
    <xf numFmtId="14" fontId="45" fillId="0" borderId="60" xfId="0" applyNumberFormat="1" applyFont="1" applyBorder="1" applyAlignment="1">
      <alignment horizontal="center" vertical="center"/>
    </xf>
    <xf numFmtId="14" fontId="45" fillId="0" borderId="61" xfId="0" applyNumberFormat="1" applyFont="1" applyBorder="1" applyAlignment="1">
      <alignment horizontal="center" vertical="center"/>
    </xf>
    <xf numFmtId="14" fontId="45" fillId="0" borderId="59" xfId="0" applyNumberFormat="1"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59" xfId="0" applyFont="1" applyBorder="1" applyAlignment="1">
      <alignment horizontal="center" vertical="center"/>
    </xf>
    <xf numFmtId="0" fontId="51" fillId="0" borderId="63" xfId="0" applyFont="1" applyBorder="1" applyAlignment="1">
      <alignment horizontal="left" vertical="center" wrapText="1"/>
    </xf>
    <xf numFmtId="0" fontId="51" fillId="0" borderId="15" xfId="0" applyFont="1" applyBorder="1" applyAlignment="1">
      <alignment horizontal="left" vertical="center" wrapText="1"/>
    </xf>
    <xf numFmtId="0" fontId="45" fillId="0" borderId="60" xfId="0" applyFont="1" applyBorder="1" applyAlignment="1">
      <alignment horizontal="center" vertical="center"/>
    </xf>
    <xf numFmtId="0" fontId="45" fillId="0" borderId="61" xfId="0" applyFont="1" applyBorder="1" applyAlignment="1">
      <alignment horizontal="center" vertical="center"/>
    </xf>
    <xf numFmtId="0" fontId="45" fillId="0" borderId="59" xfId="0" applyFont="1" applyBorder="1" applyAlignment="1">
      <alignment horizontal="center" vertical="center"/>
    </xf>
    <xf numFmtId="1" fontId="52" fillId="0" borderId="62" xfId="0" applyNumberFormat="1" applyFont="1" applyBorder="1" applyAlignment="1">
      <alignment horizontal="center"/>
    </xf>
    <xf numFmtId="0" fontId="49" fillId="0" borderId="62" xfId="0" applyFont="1" applyBorder="1" applyAlignment="1">
      <alignment horizontal="center"/>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17" fillId="0" borderId="29" xfId="0" applyFont="1" applyBorder="1" applyAlignment="1">
      <alignment horizontal="center" textRotation="90"/>
    </xf>
    <xf numFmtId="0" fontId="3" fillId="0" borderId="27" xfId="0" applyFont="1" applyBorder="1"/>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4" fillId="6" borderId="29" xfId="0" applyFont="1" applyFill="1" applyBorder="1" applyAlignment="1">
      <alignment horizontal="center" textRotation="90"/>
    </xf>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9" fillId="0" borderId="39" xfId="0" applyFont="1" applyBorder="1" applyAlignment="1">
      <alignment horizontal="center" vertical="center"/>
    </xf>
    <xf numFmtId="0" fontId="29"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xf numFmtId="1" fontId="10" fillId="0" borderId="53" xfId="0" applyNumberFormat="1" applyFont="1" applyBorder="1" applyAlignment="1">
      <alignment horizontal="center" vertical="center"/>
    </xf>
    <xf numFmtId="1" fontId="10" fillId="0" borderId="53" xfId="0" applyNumberFormat="1" applyFont="1" applyBorder="1" applyAlignment="1">
      <alignment horizontal="center"/>
    </xf>
    <xf numFmtId="1" fontId="10" fillId="0" borderId="54" xfId="0" applyNumberFormat="1" applyFont="1" applyBorder="1" applyAlignment="1">
      <alignment horizontal="center" vertical="center"/>
    </xf>
    <xf numFmtId="0" fontId="3" fillId="0" borderId="55" xfId="0" applyFont="1" applyBorder="1"/>
  </cellXfs>
  <cellStyles count="3">
    <cellStyle name="Hipervínculo" xfId="2" builtinId="8"/>
    <cellStyle name="Millares" xfId="1" builtinId="3"/>
    <cellStyle name="Normal" xfId="0" builtinId="0"/>
  </cellStyles>
  <dxfs count="31">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medium">
          <color rgb="FF000000"/>
        </left>
        <right style="medium">
          <color rgb="FF000000"/>
        </right>
        <top style="medium">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indexed="64"/>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9"/>
        <color theme="1"/>
        <name val="Calibri"/>
        <scheme val="none"/>
      </font>
      <numFmt numFmtId="19" formatCode="d/m/yyyy"/>
      <alignment horizontal="center" vertical="center"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0.86111111111111116</c:v>
                </c:pt>
                <c:pt idx="1">
                  <c:v>0.1388888888888889</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0.97222222222222221</c:v>
                </c:pt>
                <c:pt idx="1">
                  <c:v>2.7777777777777776E-2</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15</xdr:col>
      <xdr:colOff>43263</xdr:colOff>
      <xdr:row>28</xdr:row>
      <xdr:rowOff>206387</xdr:rowOff>
    </xdr:from>
    <xdr:to>
      <xdr:col>19</xdr:col>
      <xdr:colOff>53423</xdr:colOff>
      <xdr:row>31</xdr:row>
      <xdr:rowOff>9318</xdr:rowOff>
    </xdr:to>
    <xdr:sp macro="" textlink="">
      <xdr:nvSpPr>
        <xdr:cNvPr id="2" name="Cuadro de texto 2">
          <a:extLst>
            <a:ext uri="{FF2B5EF4-FFF2-40B4-BE49-F238E27FC236}">
              <a16:creationId xmlns:a16="http://schemas.microsoft.com/office/drawing/2014/main" id="{FF949BD8-1317-47DD-A005-3D9B9772AB79}"/>
            </a:ext>
          </a:extLst>
        </xdr:cNvPr>
        <xdr:cNvSpPr txBox="1">
          <a:spLocks noChangeArrowheads="1"/>
        </xdr:cNvSpPr>
      </xdr:nvSpPr>
      <xdr:spPr bwMode="auto">
        <a:xfrm>
          <a:off x="4186638" y="6092837"/>
          <a:ext cx="1115060" cy="564931"/>
        </a:xfrm>
        <a:prstGeom prst="rect">
          <a:avLst/>
        </a:prstGeom>
        <a:noFill/>
        <a:ln w="9525">
          <a:noFill/>
          <a:miter lim="800000"/>
          <a:headEnd/>
          <a:tailEnd/>
        </a:ln>
      </xdr:spPr>
      <xdr:txBody>
        <a:bodyPr rot="0" vert="horz" wrap="square" lIns="91440" tIns="45720" rIns="91440" bIns="45720" anchor="t" anchorCtr="0">
          <a:noAutofit/>
        </a:bodyPr>
        <a:lstStyle/>
        <a:p>
          <a:r>
            <a:rPr lang="es-ES" sz="1100" b="1">
              <a:solidFill>
                <a:srgbClr val="1F4E79"/>
              </a:solidFill>
              <a:effectLst/>
              <a:latin typeface="Gabriola" panose="04040605051002020D02" pitchFamily="82" charset="0"/>
              <a:ea typeface="Calibri" panose="020F0502020204030204" pitchFamily="34" charset="0"/>
              <a:cs typeface="Times New Roman" panose="02020603050405020304" pitchFamily="18" charset="0"/>
            </a:rPr>
            <a:t>José Coaquira Copa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11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   TÉCNICA TECNOLÓGICA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7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SECUNDARIA COMUNITARIA PRODUCTIVA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BO"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47626</xdr:rowOff>
    </xdr:to>
    <xdr:pic>
      <xdr:nvPicPr>
        <xdr:cNvPr id="4" name="Imagen 3">
          <a:extLst>
            <a:ext uri="{FF2B5EF4-FFF2-40B4-BE49-F238E27FC236}">
              <a16:creationId xmlns:a16="http://schemas.microsoft.com/office/drawing/2014/main" id="{B83118F5-E6C6-4207-ADFE-51C6C7FA26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D026B-0623-4339-BB3D-C7C23EF06C1F}" name="Tabla2" displayName="Tabla2" ref="A7:P22" totalsRowShown="0" headerRowDxfId="30" dataDxfId="28" headerRowBorderDxfId="29" tableBorderDxfId="27" totalsRowBorderDxfId="26">
  <autoFilter ref="A7:P22" xr:uid="{59FD026B-0623-4339-BB3D-C7C23EF06C1F}"/>
  <sortState xmlns:xlrd2="http://schemas.microsoft.com/office/spreadsheetml/2017/richdata2" ref="A8:L22">
    <sortCondition ref="B7:B22"/>
  </sortState>
  <tableColumns count="16">
    <tableColumn id="1" xr3:uid="{DEBE85AE-5009-470A-94B3-5373DB6D3A02}" name="Nº" dataDxfId="25"/>
    <tableColumn id="2" xr3:uid="{12B12D34-4BC0-4E8C-A098-718976792D72}" name="NÓMINA DE ESTUDIANTES" dataDxfId="24">
      <calculatedColumnFormula>'C. FILIACION'!B8</calculatedColumnFormula>
    </tableColumn>
    <tableColumn id="3" xr3:uid="{FDC463D7-1C57-4672-9DA3-BC831344720F}" name="13/5/2020" dataDxfId="23"/>
    <tableColumn id="4" xr3:uid="{42BFB67E-0798-4ACA-BD99-0C0997D12A2C}" name="20/5/2020" dataDxfId="22"/>
    <tableColumn id="5" xr3:uid="{7F7E2003-B335-4050-B634-39343FA64E1C}" name="27/5/2021" dataDxfId="21"/>
    <tableColumn id="6" xr3:uid="{E7A9D7E8-FCFD-464F-9ADC-A03DE6E7333C}" name="1/7/2021" dataDxfId="20"/>
    <tableColumn id="7" xr3:uid="{890A7888-92F7-4EDF-BA48-C7494FF63900}" name="8/7/2021" dataDxfId="19"/>
    <tableColumn id="8" xr3:uid="{E9EF9408-0712-4BC3-A036-DEC39DEDC006}" name="15/7/2021" dataDxfId="18"/>
    <tableColumn id="9" xr3:uid="{6A753869-F65D-44A1-9118-5F5BCCDA6B79}" name="22/7/2021" dataDxfId="17"/>
    <tableColumn id="10" xr3:uid="{90398900-1432-4EAA-AD68-749D730E744C}" name="29/7/2021" dataDxfId="16"/>
    <tableColumn id="11" xr3:uid="{6EF176CB-A4A5-4D5E-8ABE-0E4B0F98088A}" name="5/8/2021" dataDxfId="15"/>
    <tableColumn id="12" xr3:uid="{0A527BC8-C677-4DF3-9BD8-BF9567F2E796}" name="12/8/2021" dataDxfId="14"/>
    <tableColumn id="13" xr3:uid="{ADB70729-A43B-4678-8A22-08E080E068FC}" name="19/8/2021" dataDxfId="13"/>
    <tableColumn id="14" xr3:uid="{88DED88E-9BA8-4096-AABD-663345A1AF48}" name="26/8/20212" dataDxfId="12"/>
    <tableColumn id="15" xr3:uid="{B98E7895-DF4A-47A3-BFDF-83312B664F18}" name="2/9/2021" dataDxfId="11"/>
    <tableColumn id="16" xr3:uid="{25F57227-C308-4F81-9C72-CEF0C021B8FD}" name="9/9/2021"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72D26E-9839-40B6-BC79-0BA5BE2AFCB4}" name="Tabla3" displayName="Tabla3" ref="BA7:BE22" totalsRowShown="0" headerRowDxfId="9" dataDxfId="7" headerRowBorderDxfId="8" tableBorderDxfId="6" totalsRowBorderDxfId="5">
  <autoFilter ref="BA7:BE22" xr:uid="{2972D26E-9839-40B6-BC79-0BA5BE2AFCB4}">
    <filterColumn colId="0" hiddenButton="1"/>
    <filterColumn colId="1" hiddenButton="1"/>
    <filterColumn colId="2" hiddenButton="1"/>
    <filterColumn colId="3" hiddenButton="1"/>
    <filterColumn colId="4" hiddenButton="1"/>
  </autoFilter>
  <tableColumns count="5">
    <tableColumn id="1" xr3:uid="{86C91C82-4BA9-4100-9F6A-65BFAB410B8B}" name="Asist. (A)" dataDxfId="4">
      <calculatedColumnFormula>IF(COUNTIF(C8:AZ8,"A")=0,"0",COUNTIF(C8:AZ8,"A"))</calculatedColumnFormula>
    </tableColumn>
    <tableColumn id="2" xr3:uid="{A5CD1F9C-142E-4661-B81C-D432525CA3F2}" name="Faltas (F)" dataDxfId="3">
      <calculatedColumnFormula>IF(COUNTIF(C8:AZ8,"f")=0,0,COUNTIF(C8:AZ8,"f"))</calculatedColumnFormula>
    </tableColumn>
    <tableColumn id="3" xr3:uid="{42FB7C9B-72BF-467E-8B84-530F85558A29}" name="Retrasos (R)" dataDxfId="2">
      <calculatedColumnFormula>IF(COUNTIF(C8:AZ8,"R")=0,"0",COUNTIF(C8:AZ8,"R"))</calculatedColumnFormula>
    </tableColumn>
    <tableColumn id="4" xr3:uid="{E5B9E755-6030-43DC-91C0-E48382A5C27C}" name="Licencias (L)" dataDxfId="1">
      <calculatedColumnFormula>IF(COUNTIF(C8:AZ8,"L")=0,"0",COUNTIF(C8:AZ8,"L"))</calculatedColumnFormula>
    </tableColumn>
    <tableColumn id="5" xr3:uid="{99DE93A1-B945-4CB7-936B-C049DDD91416}" name="DÍAS TRABAJADOS" dataDxfId="0">
      <calculatedColumnFormula>SUM(Tabla3[[#This Row],[Asist. (A)]:[Licencias (L)]])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classroom.google.com/c/MzA3NTQxNzYyODM4/a/MzQwMzQ0MzkwOTIz/details" TargetMode="External"/><Relationship Id="rId2" Type="http://schemas.openxmlformats.org/officeDocument/2006/relationships/hyperlink" Target="https://classroom.google.com/c/MzA3NTQxNzYyODM4/a/MzQ3MTE0MDI2MjMx/details" TargetMode="External"/><Relationship Id="rId1" Type="http://schemas.openxmlformats.org/officeDocument/2006/relationships/hyperlink" Target="https://classroom.google.com/c/MzY5OTU4OTQzMDEy/a/MzcwOTM2MTk2MzI5/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A3NTQxNzYyODM4/a/MzY4OTU3NTk4MDA3/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C23" sqref="C23:E23"/>
    </sheetView>
  </sheetViews>
  <sheetFormatPr baseColWidth="10" defaultColWidth="9.265625" defaultRowHeight="15" customHeight="1"/>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c r="A1" s="1"/>
      <c r="B1" s="1"/>
      <c r="C1" s="1"/>
      <c r="D1" s="1"/>
      <c r="E1" s="1"/>
      <c r="F1" s="1"/>
      <c r="G1" s="1"/>
      <c r="H1" s="1"/>
      <c r="I1" s="1"/>
      <c r="J1" s="1"/>
      <c r="K1" s="1"/>
      <c r="L1" s="1"/>
      <c r="M1" s="1"/>
      <c r="N1" s="1"/>
      <c r="O1" s="1"/>
      <c r="P1" s="1"/>
      <c r="Q1" s="1"/>
      <c r="R1" s="1"/>
      <c r="S1" s="1"/>
      <c r="T1" s="1"/>
      <c r="U1" s="1"/>
      <c r="V1" s="1"/>
      <c r="W1" s="1"/>
      <c r="X1" s="1"/>
      <c r="Y1" s="1"/>
      <c r="Z1" s="1"/>
    </row>
    <row r="2" spans="1:26" ht="20.399999999999999">
      <c r="A2" s="1"/>
      <c r="B2" s="1"/>
      <c r="C2" s="1"/>
      <c r="D2" s="1"/>
      <c r="E2" s="1"/>
      <c r="F2" s="1"/>
      <c r="G2" s="1"/>
      <c r="H2" s="1"/>
      <c r="I2" s="1"/>
      <c r="J2" s="1"/>
      <c r="K2" s="1"/>
      <c r="L2" s="1"/>
      <c r="M2" s="1"/>
      <c r="N2" s="1"/>
      <c r="O2" s="1"/>
      <c r="P2" s="1"/>
      <c r="Q2" s="1"/>
      <c r="R2" s="1"/>
      <c r="S2" s="1"/>
      <c r="T2" s="1"/>
      <c r="U2" s="1"/>
      <c r="V2" s="1"/>
      <c r="W2" s="1"/>
      <c r="X2" s="1"/>
      <c r="Y2" s="1"/>
      <c r="Z2" s="1"/>
    </row>
    <row r="3" spans="1:26" ht="20.399999999999999">
      <c r="A3" s="1"/>
      <c r="B3" s="1"/>
      <c r="C3" s="1"/>
      <c r="D3" s="1"/>
      <c r="E3" s="1"/>
      <c r="F3" s="1"/>
      <c r="G3" s="1"/>
      <c r="H3" s="1"/>
      <c r="I3" s="1"/>
      <c r="J3" s="1"/>
      <c r="K3" s="1"/>
      <c r="L3" s="1"/>
      <c r="M3" s="1"/>
      <c r="N3" s="1"/>
      <c r="O3" s="1"/>
      <c r="P3" s="1"/>
      <c r="Q3" s="1"/>
      <c r="R3" s="1"/>
      <c r="S3" s="1"/>
      <c r="T3" s="1"/>
      <c r="U3" s="1"/>
      <c r="V3" s="1"/>
      <c r="W3" s="1"/>
      <c r="X3" s="1"/>
      <c r="Y3" s="1"/>
      <c r="Z3" s="1"/>
    </row>
    <row r="4" spans="1:26" ht="20.399999999999999">
      <c r="A4" s="1"/>
      <c r="B4" s="1"/>
      <c r="C4" s="1"/>
      <c r="D4" s="1"/>
      <c r="E4" s="1"/>
      <c r="F4" s="1"/>
      <c r="G4" s="1"/>
      <c r="H4" s="1"/>
      <c r="I4" s="1"/>
      <c r="J4" s="1"/>
      <c r="K4" s="1"/>
      <c r="L4" s="1"/>
      <c r="M4" s="1"/>
      <c r="N4" s="1"/>
      <c r="O4" s="1"/>
      <c r="P4" s="1"/>
      <c r="Q4" s="1"/>
      <c r="R4" s="1"/>
      <c r="S4" s="1"/>
      <c r="T4" s="1"/>
      <c r="U4" s="1"/>
      <c r="V4" s="1"/>
      <c r="W4" s="1"/>
      <c r="X4" s="1"/>
      <c r="Y4" s="1"/>
      <c r="Z4" s="1"/>
    </row>
    <row r="5" spans="1:26" ht="20.399999999999999">
      <c r="A5" s="1"/>
      <c r="B5" s="1"/>
      <c r="C5" s="1"/>
      <c r="D5" s="1"/>
      <c r="E5" s="1"/>
      <c r="F5" s="1"/>
      <c r="G5" s="1"/>
      <c r="H5" s="1"/>
      <c r="I5" s="1"/>
      <c r="J5" s="1"/>
      <c r="K5" s="1"/>
      <c r="L5" s="1"/>
      <c r="M5" s="1"/>
      <c r="N5" s="1"/>
      <c r="O5" s="1"/>
      <c r="P5" s="1"/>
      <c r="Q5" s="1"/>
      <c r="R5" s="1"/>
      <c r="S5" s="1"/>
      <c r="T5" s="1"/>
      <c r="U5" s="1"/>
      <c r="V5" s="1"/>
      <c r="W5" s="1"/>
      <c r="X5" s="1"/>
      <c r="Y5" s="1"/>
      <c r="Z5" s="1"/>
    </row>
    <row r="6" spans="1:26" ht="20.399999999999999">
      <c r="A6" s="1"/>
      <c r="B6" s="1"/>
      <c r="C6" s="1"/>
      <c r="D6" s="1"/>
      <c r="E6" s="1"/>
      <c r="F6" s="1"/>
      <c r="G6" s="1"/>
      <c r="H6" s="1"/>
      <c r="I6" s="1"/>
      <c r="J6" s="1"/>
      <c r="K6" s="1"/>
      <c r="L6" s="1"/>
      <c r="M6" s="1"/>
      <c r="N6" s="1"/>
      <c r="O6" s="1"/>
      <c r="P6" s="1"/>
      <c r="Q6" s="1"/>
      <c r="R6" s="1"/>
      <c r="S6" s="1"/>
      <c r="T6" s="1"/>
      <c r="U6" s="1"/>
      <c r="V6" s="1"/>
      <c r="W6" s="1"/>
      <c r="X6" s="1"/>
      <c r="Y6" s="1"/>
      <c r="Z6" s="1"/>
    </row>
    <row r="7" spans="1:26" ht="20.399999999999999">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205" t="s">
        <v>0</v>
      </c>
      <c r="D8" s="206"/>
      <c r="E8" s="207"/>
      <c r="F8" s="2"/>
      <c r="G8" s="3"/>
      <c r="H8" s="4"/>
      <c r="I8" s="4"/>
      <c r="J8" s="4"/>
      <c r="K8" s="5"/>
      <c r="L8" s="1"/>
      <c r="M8" s="1"/>
      <c r="N8" s="1"/>
      <c r="O8" s="1"/>
      <c r="P8" s="1"/>
      <c r="Q8" s="1"/>
      <c r="R8" s="1"/>
      <c r="S8" s="1"/>
      <c r="T8" s="1"/>
      <c r="U8" s="1"/>
      <c r="V8" s="1"/>
      <c r="W8" s="1"/>
      <c r="X8" s="1"/>
      <c r="Y8" s="1"/>
      <c r="Z8" s="1"/>
    </row>
    <row r="9" spans="1:26" ht="20.399999999999999">
      <c r="A9" s="1"/>
      <c r="B9" s="1"/>
      <c r="C9" s="1"/>
      <c r="D9" s="1"/>
      <c r="E9" s="1"/>
      <c r="F9" s="1"/>
      <c r="G9" s="6"/>
      <c r="H9" s="208" t="s">
        <v>1</v>
      </c>
      <c r="I9" s="209"/>
      <c r="J9" s="210"/>
      <c r="K9" s="7"/>
      <c r="L9" s="1"/>
      <c r="M9" s="1"/>
      <c r="N9" s="1"/>
      <c r="O9" s="1"/>
      <c r="P9" s="1"/>
      <c r="Q9" s="1"/>
      <c r="R9" s="1"/>
      <c r="S9" s="1"/>
      <c r="T9" s="1"/>
      <c r="U9" s="1"/>
      <c r="V9" s="1"/>
      <c r="W9" s="1"/>
      <c r="X9" s="1"/>
      <c r="Y9" s="1"/>
      <c r="Z9" s="1"/>
    </row>
    <row r="10" spans="1:26" ht="20.399999999999999">
      <c r="A10" s="1"/>
      <c r="B10" s="1"/>
      <c r="C10" s="1"/>
      <c r="D10" s="1"/>
      <c r="E10" s="1"/>
      <c r="F10" s="1"/>
      <c r="G10" s="6"/>
      <c r="H10" s="211"/>
      <c r="I10" s="212"/>
      <c r="J10" s="213"/>
      <c r="K10" s="7"/>
      <c r="L10" s="1"/>
      <c r="M10" s="1"/>
      <c r="N10" s="1"/>
      <c r="O10" s="1"/>
      <c r="P10" s="1"/>
      <c r="Q10" s="1"/>
      <c r="R10" s="1"/>
      <c r="S10" s="1"/>
      <c r="T10" s="1"/>
      <c r="U10" s="1"/>
      <c r="V10" s="1"/>
      <c r="W10" s="1"/>
      <c r="X10" s="1"/>
      <c r="Y10" s="1"/>
      <c r="Z10" s="1"/>
    </row>
    <row r="11" spans="1:26" ht="15" customHeight="1">
      <c r="A11" s="1"/>
      <c r="B11" s="8" t="s">
        <v>2</v>
      </c>
      <c r="C11" s="204" t="s">
        <v>3</v>
      </c>
      <c r="D11" s="202"/>
      <c r="E11" s="203"/>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214" t="s">
        <v>4</v>
      </c>
      <c r="I12" s="215"/>
      <c r="J12" s="215"/>
      <c r="K12" s="7"/>
      <c r="L12" s="1"/>
      <c r="M12" s="1"/>
      <c r="N12" s="1"/>
      <c r="O12" s="1"/>
      <c r="P12" s="1"/>
      <c r="Q12" s="1"/>
      <c r="R12" s="1"/>
      <c r="S12" s="1"/>
      <c r="T12" s="1"/>
      <c r="U12" s="1"/>
      <c r="V12" s="1"/>
      <c r="W12" s="1"/>
      <c r="X12" s="1"/>
      <c r="Y12" s="1"/>
      <c r="Z12" s="1"/>
    </row>
    <row r="13" spans="1:26" ht="20.399999999999999">
      <c r="A13" s="1"/>
      <c r="B13" s="8" t="s">
        <v>5</v>
      </c>
      <c r="C13" s="204"/>
      <c r="D13" s="202"/>
      <c r="E13" s="203"/>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c r="A15" s="1"/>
      <c r="B15" s="8" t="s">
        <v>8</v>
      </c>
      <c r="C15" s="204" t="s">
        <v>9</v>
      </c>
      <c r="D15" s="202"/>
      <c r="E15" s="203"/>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216" t="s">
        <v>10</v>
      </c>
      <c r="I16" s="215"/>
      <c r="J16" s="215"/>
      <c r="K16" s="7"/>
      <c r="L16" s="1"/>
      <c r="M16" s="1"/>
      <c r="N16" s="1"/>
      <c r="O16" s="1"/>
      <c r="P16" s="1"/>
      <c r="Q16" s="1"/>
      <c r="R16" s="1"/>
      <c r="S16" s="1"/>
      <c r="T16" s="1"/>
      <c r="U16" s="1"/>
      <c r="V16" s="1"/>
      <c r="W16" s="1"/>
      <c r="X16" s="1"/>
      <c r="Y16" s="1"/>
      <c r="Z16" s="1"/>
    </row>
    <row r="17" spans="1:26" ht="20.399999999999999">
      <c r="A17" s="1"/>
      <c r="B17" s="8" t="s">
        <v>11</v>
      </c>
      <c r="C17" s="204" t="s">
        <v>12</v>
      </c>
      <c r="D17" s="202"/>
      <c r="E17" s="203"/>
      <c r="F17" s="9"/>
      <c r="G17" s="6"/>
      <c r="H17" s="10"/>
      <c r="I17" s="10"/>
      <c r="J17" s="10"/>
      <c r="K17" s="7"/>
      <c r="L17" s="1"/>
      <c r="M17" s="1"/>
      <c r="N17" s="1"/>
      <c r="O17" s="1"/>
      <c r="P17" s="1"/>
      <c r="Q17" s="1"/>
      <c r="R17" s="1"/>
      <c r="S17" s="1"/>
      <c r="T17" s="1"/>
      <c r="U17" s="1"/>
      <c r="V17" s="1"/>
      <c r="W17" s="1"/>
      <c r="X17" s="1"/>
      <c r="Y17" s="1"/>
      <c r="Z17" s="1"/>
    </row>
    <row r="18" spans="1:26" ht="20.399999999999999">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c r="A19" s="1"/>
      <c r="B19" s="8" t="s">
        <v>13</v>
      </c>
      <c r="C19" s="201" t="s">
        <v>178</v>
      </c>
      <c r="D19" s="202"/>
      <c r="E19" s="203"/>
      <c r="F19" s="9"/>
      <c r="G19" s="6"/>
      <c r="H19" s="13">
        <v>44326</v>
      </c>
      <c r="I19" s="10"/>
      <c r="J19" s="13">
        <v>44439</v>
      </c>
      <c r="K19" s="7"/>
      <c r="L19" s="1"/>
      <c r="M19" s="1"/>
      <c r="N19" s="1"/>
      <c r="O19" s="1"/>
      <c r="P19" s="1"/>
      <c r="Q19" s="1"/>
      <c r="R19" s="1"/>
      <c r="S19" s="1"/>
      <c r="T19" s="1"/>
      <c r="U19" s="1"/>
      <c r="V19" s="1"/>
      <c r="W19" s="1"/>
      <c r="X19" s="1"/>
      <c r="Y19" s="1"/>
      <c r="Z19" s="1"/>
    </row>
    <row r="20" spans="1:26" ht="20.399999999999999">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14</v>
      </c>
      <c r="C21" s="204" t="s">
        <v>15</v>
      </c>
      <c r="D21" s="202"/>
      <c r="E21" s="203"/>
      <c r="F21" s="9"/>
      <c r="G21" s="6"/>
      <c r="H21" s="216" t="s">
        <v>16</v>
      </c>
      <c r="I21" s="215"/>
      <c r="J21" s="215"/>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17</v>
      </c>
      <c r="C23" s="204" t="s">
        <v>18</v>
      </c>
      <c r="D23" s="202"/>
      <c r="E23" s="203"/>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19</v>
      </c>
      <c r="C25" s="201" t="s">
        <v>189</v>
      </c>
      <c r="D25" s="202"/>
      <c r="E25" s="203"/>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20</v>
      </c>
      <c r="C27" s="204">
        <v>2021</v>
      </c>
      <c r="D27" s="202"/>
      <c r="E27" s="203"/>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65625" defaultRowHeight="15" customHeight="1"/>
  <cols>
    <col min="1" max="1" width="2" customWidth="1"/>
    <col min="2" max="2" width="2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219" t="s">
        <v>21</v>
      </c>
      <c r="C2" s="215"/>
      <c r="D2" s="215"/>
      <c r="E2" s="215"/>
      <c r="F2" s="215"/>
      <c r="G2" s="215"/>
      <c r="H2" s="215"/>
      <c r="I2" s="215"/>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217" t="str">
        <f>CARÁTULA!$C$15</f>
        <v>Instituto Tecnico Humanistico Jauzel Arrieta</v>
      </c>
      <c r="D4" s="215"/>
      <c r="E4" s="215"/>
      <c r="F4" s="22" t="s">
        <v>19</v>
      </c>
      <c r="G4" s="217" t="str">
        <f>CARÁTULA!$C$25</f>
        <v>Tecnica Tecnologica (Programacion)</v>
      </c>
      <c r="H4" s="215"/>
      <c r="I4" s="215"/>
      <c r="J4" s="19"/>
      <c r="K4" s="19"/>
      <c r="L4" s="19"/>
      <c r="M4" s="19"/>
      <c r="N4" s="19"/>
      <c r="O4" s="19"/>
      <c r="P4" s="19"/>
      <c r="Q4" s="19"/>
      <c r="R4" s="19"/>
      <c r="S4" s="19"/>
      <c r="T4" s="19"/>
      <c r="U4" s="19"/>
      <c r="V4" s="19"/>
      <c r="W4" s="19"/>
      <c r="X4" s="19"/>
      <c r="Y4" s="19"/>
      <c r="Z4" s="19"/>
    </row>
    <row r="5" spans="1:26" ht="12" customHeight="1">
      <c r="A5" s="20"/>
      <c r="B5" s="21" t="s">
        <v>14</v>
      </c>
      <c r="C5" s="217" t="str">
        <f>CARÁTULA!$C$21</f>
        <v>Secundaria</v>
      </c>
      <c r="D5" s="215"/>
      <c r="E5" s="215"/>
      <c r="F5" s="22" t="s">
        <v>13</v>
      </c>
      <c r="G5" s="217" t="str">
        <f>CARÁTULA!$C$19</f>
        <v>JOSE COAQUIRA COPA</v>
      </c>
      <c r="H5" s="215"/>
      <c r="I5" s="215"/>
      <c r="J5" s="19"/>
      <c r="K5" s="19"/>
      <c r="L5" s="19"/>
      <c r="M5" s="19"/>
      <c r="N5" s="19"/>
      <c r="O5" s="19"/>
      <c r="P5" s="19"/>
      <c r="Q5" s="19"/>
      <c r="R5" s="19"/>
      <c r="S5" s="19"/>
      <c r="T5" s="19"/>
      <c r="U5" s="19"/>
      <c r="V5" s="19"/>
      <c r="W5" s="19"/>
      <c r="X5" s="19"/>
      <c r="Y5" s="19"/>
      <c r="Z5" s="19"/>
    </row>
    <row r="6" spans="1:26" ht="12" customHeight="1">
      <c r="A6" s="20"/>
      <c r="B6" s="21" t="s">
        <v>22</v>
      </c>
      <c r="C6" s="217" t="str">
        <f>CARÁTULA!$C$23</f>
        <v>1ro de Secundaria</v>
      </c>
      <c r="D6" s="215"/>
      <c r="E6" s="215"/>
      <c r="F6" s="22" t="s">
        <v>23</v>
      </c>
      <c r="G6" s="218">
        <f ca="1">TODAY()</f>
        <v>44497</v>
      </c>
      <c r="H6" s="215"/>
      <c r="I6" s="215"/>
      <c r="J6" s="19"/>
      <c r="K6" s="19"/>
      <c r="L6" s="19"/>
      <c r="M6" s="19"/>
      <c r="N6" s="19"/>
      <c r="O6" s="19"/>
      <c r="P6" s="19"/>
      <c r="Q6" s="19"/>
      <c r="R6" s="19"/>
      <c r="S6" s="19"/>
      <c r="T6" s="19"/>
      <c r="U6" s="19"/>
      <c r="V6" s="19"/>
      <c r="W6" s="19"/>
      <c r="X6" s="19"/>
      <c r="Y6" s="19"/>
      <c r="Z6" s="19"/>
    </row>
    <row r="7" spans="1:26" ht="15" customHeight="1">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c r="A8" s="27">
        <v>1</v>
      </c>
      <c r="B8" s="28" t="s">
        <v>32</v>
      </c>
      <c r="C8" s="29"/>
      <c r="D8" s="30">
        <f t="shared" ref="D8:D43" ca="1" si="0">TODAY()</f>
        <v>44497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33</v>
      </c>
      <c r="C9" s="35"/>
      <c r="D9" s="30">
        <f t="shared" ca="1" si="0"/>
        <v>44497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34</v>
      </c>
      <c r="C10" s="35"/>
      <c r="D10" s="30">
        <f t="shared" ca="1" si="0"/>
        <v>44497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35</v>
      </c>
      <c r="C11" s="35"/>
      <c r="D11" s="30">
        <f t="shared" ca="1" si="0"/>
        <v>44497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36</v>
      </c>
      <c r="C12" s="35"/>
      <c r="D12" s="30">
        <f t="shared" ca="1" si="0"/>
        <v>44497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37</v>
      </c>
      <c r="C13" s="35"/>
      <c r="D13" s="30">
        <f t="shared" ca="1" si="0"/>
        <v>44497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38</v>
      </c>
      <c r="C14" s="35"/>
      <c r="D14" s="30">
        <f t="shared" ca="1" si="0"/>
        <v>44497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39</v>
      </c>
      <c r="C15" s="35"/>
      <c r="D15" s="30">
        <f t="shared" ca="1" si="0"/>
        <v>44497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40</v>
      </c>
      <c r="C16" s="35"/>
      <c r="D16" s="30">
        <f t="shared" ca="1" si="0"/>
        <v>44497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41</v>
      </c>
      <c r="C17" s="35"/>
      <c r="D17" s="30">
        <f t="shared" ca="1" si="0"/>
        <v>44497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42</v>
      </c>
      <c r="C18" s="35"/>
      <c r="D18" s="30">
        <f t="shared" ca="1" si="0"/>
        <v>44497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43</v>
      </c>
      <c r="C19" s="35"/>
      <c r="D19" s="30">
        <f t="shared" ca="1" si="0"/>
        <v>44497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44</v>
      </c>
      <c r="C20" s="35"/>
      <c r="D20" s="30">
        <f t="shared" ca="1" si="0"/>
        <v>44497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45</v>
      </c>
      <c r="C21" s="35"/>
      <c r="D21" s="30">
        <f t="shared" ca="1" si="0"/>
        <v>44497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46</v>
      </c>
      <c r="C22" s="35"/>
      <c r="D22" s="30">
        <f t="shared" ca="1" si="0"/>
        <v>44497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44497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44497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44497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44497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44497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44497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44497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44497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44497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44497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44497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44497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44497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44497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44497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44497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44497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44497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44497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44497</v>
      </c>
      <c r="E42" s="31">
        <f t="shared" ca="1" si="1"/>
        <v>121</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44497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zoomScale="70" zoomScaleNormal="70" workbookViewId="0">
      <selection activeCell="M10" sqref="M10"/>
    </sheetView>
  </sheetViews>
  <sheetFormatPr baseColWidth="10" defaultColWidth="9.265625" defaultRowHeight="15" customHeight="1"/>
  <cols>
    <col min="1" max="1" width="1.6640625" customWidth="1"/>
    <col min="2" max="2" width="20.6640625" customWidth="1"/>
    <col min="3" max="52" width="1.265625" customWidth="1"/>
    <col min="53" max="57" width="1.3984375" customWidth="1"/>
    <col min="58" max="61" width="1.6640625" customWidth="1"/>
  </cols>
  <sheetData>
    <row r="1" spans="1:61" ht="4.5" customHeight="1"/>
    <row r="2" spans="1:61" ht="12.75" customHeight="1">
      <c r="B2" s="219" t="s">
        <v>47</v>
      </c>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c r="BA2" s="215"/>
      <c r="BB2" s="215"/>
      <c r="BC2" s="215"/>
      <c r="BD2" s="215"/>
      <c r="BE2" s="215"/>
      <c r="BF2" s="215"/>
      <c r="BG2" s="215"/>
      <c r="BH2" s="215"/>
      <c r="BI2" s="215"/>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20">
        <f>CARÁTULA!$H$14</f>
        <v>44228</v>
      </c>
      <c r="AU3" s="215"/>
      <c r="AV3" s="215"/>
      <c r="AW3" s="215"/>
      <c r="AX3" s="215"/>
      <c r="AY3" s="215"/>
      <c r="AZ3" s="215"/>
      <c r="BA3" s="221" t="s">
        <v>49</v>
      </c>
      <c r="BB3" s="222"/>
      <c r="BC3" s="222"/>
      <c r="BD3" s="222"/>
      <c r="BE3" s="223"/>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20">
        <f>CARÁTULA!$J$14</f>
        <v>44323</v>
      </c>
      <c r="AU4" s="215"/>
      <c r="AV4" s="215"/>
      <c r="AW4" s="215"/>
      <c r="AX4" s="215"/>
      <c r="AY4" s="215"/>
      <c r="AZ4" s="215"/>
      <c r="BA4" s="224">
        <f ca="1">AT4-AT5</f>
        <v>-174</v>
      </c>
      <c r="BB4" s="225"/>
      <c r="BC4" s="225"/>
      <c r="BD4" s="225"/>
      <c r="BE4" s="226"/>
    </row>
    <row r="5" spans="1:61"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30">
        <f ca="1">TODAY()</f>
        <v>44497</v>
      </c>
      <c r="Y5" s="215"/>
      <c r="Z5" s="215"/>
      <c r="AA5" s="215"/>
      <c r="AB5" s="215"/>
      <c r="AC5" s="215"/>
      <c r="AD5" s="41"/>
      <c r="AE5" s="41"/>
      <c r="AF5" s="41"/>
      <c r="AG5" s="41"/>
      <c r="AH5" s="41"/>
      <c r="AI5" s="41"/>
      <c r="AJ5" s="41"/>
      <c r="AK5" s="46" t="s">
        <v>52</v>
      </c>
      <c r="AL5" s="47"/>
      <c r="AM5" s="47"/>
      <c r="AN5" s="47"/>
      <c r="AO5" s="47"/>
      <c r="AP5" s="47"/>
      <c r="AQ5" s="47"/>
      <c r="AR5" s="41"/>
      <c r="AS5" s="41"/>
      <c r="AT5" s="231">
        <f ca="1">TODAY()</f>
        <v>44497</v>
      </c>
      <c r="AU5" s="215"/>
      <c r="AV5" s="215"/>
      <c r="AW5" s="215"/>
      <c r="AX5" s="215"/>
      <c r="AY5" s="215"/>
      <c r="AZ5" s="215"/>
      <c r="BA5" s="227"/>
      <c r="BB5" s="228"/>
      <c r="BC5" s="228"/>
      <c r="BD5" s="228"/>
      <c r="BE5" s="229"/>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53</v>
      </c>
      <c r="B7" s="50" t="s">
        <v>54</v>
      </c>
      <c r="C7" s="51">
        <v>44231</v>
      </c>
      <c r="D7" s="51">
        <v>44238</v>
      </c>
      <c r="E7" s="52">
        <v>44245</v>
      </c>
      <c r="F7" s="53">
        <v>44252</v>
      </c>
      <c r="G7" s="51">
        <v>44259</v>
      </c>
      <c r="H7" s="52" t="s">
        <v>164</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55</v>
      </c>
      <c r="BB7" s="57" t="s">
        <v>56</v>
      </c>
      <c r="BC7" s="57" t="s">
        <v>57</v>
      </c>
      <c r="BD7" s="57" t="s">
        <v>58</v>
      </c>
      <c r="BE7" s="58" t="s">
        <v>59</v>
      </c>
    </row>
    <row r="8" spans="1:61" ht="12" customHeight="1">
      <c r="A8" s="59">
        <v>1</v>
      </c>
      <c r="B8" s="60" t="str">
        <f>'C. FILIACION'!B8</f>
        <v>ARANCIBIA ARRAYA LUIS ANDRES</v>
      </c>
      <c r="C8" s="49"/>
      <c r="D8" s="61" t="s">
        <v>60</v>
      </c>
      <c r="E8" s="49" t="s">
        <v>60</v>
      </c>
      <c r="F8" s="62" t="s">
        <v>60</v>
      </c>
      <c r="G8" s="62" t="s">
        <v>60</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60</v>
      </c>
      <c r="E9" s="62" t="s">
        <v>61</v>
      </c>
      <c r="F9" s="62" t="s">
        <v>61</v>
      </c>
      <c r="G9" s="62" t="s">
        <v>60</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60</v>
      </c>
      <c r="E10" s="49" t="s">
        <v>60</v>
      </c>
      <c r="F10" s="62" t="s">
        <v>60</v>
      </c>
      <c r="G10" s="62" t="s">
        <v>60</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60</v>
      </c>
      <c r="E11" s="49" t="s">
        <v>60</v>
      </c>
      <c r="F11" s="62" t="s">
        <v>60</v>
      </c>
      <c r="G11" s="62" t="s">
        <v>60</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60</v>
      </c>
      <c r="E12" s="62" t="s">
        <v>61</v>
      </c>
      <c r="F12" s="62" t="s">
        <v>61</v>
      </c>
      <c r="G12" s="62" t="s">
        <v>60</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60</v>
      </c>
      <c r="E13" s="49" t="s">
        <v>60</v>
      </c>
      <c r="F13" s="62" t="s">
        <v>60</v>
      </c>
      <c r="G13" s="62" t="s">
        <v>60</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60</v>
      </c>
      <c r="E14" s="49" t="s">
        <v>60</v>
      </c>
      <c r="F14" s="62" t="s">
        <v>60</v>
      </c>
      <c r="G14" s="62" t="s">
        <v>60</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60</v>
      </c>
      <c r="E15" s="49" t="s">
        <v>60</v>
      </c>
      <c r="F15" s="62" t="s">
        <v>60</v>
      </c>
      <c r="G15" s="62" t="s">
        <v>60</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60</v>
      </c>
      <c r="E16" s="49" t="s">
        <v>60</v>
      </c>
      <c r="F16" s="62" t="s">
        <v>60</v>
      </c>
      <c r="G16" s="62" t="s">
        <v>60</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60</v>
      </c>
      <c r="E17" s="62" t="s">
        <v>61</v>
      </c>
      <c r="F17" s="62" t="s">
        <v>60</v>
      </c>
      <c r="G17" s="62" t="s">
        <v>60</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60</v>
      </c>
      <c r="E18" s="49" t="s">
        <v>60</v>
      </c>
      <c r="F18" s="62" t="s">
        <v>60</v>
      </c>
      <c r="G18" s="62" t="s">
        <v>60</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60</v>
      </c>
      <c r="E19" s="62" t="s">
        <v>61</v>
      </c>
      <c r="F19" s="62" t="s">
        <v>61</v>
      </c>
      <c r="G19" s="62" t="s">
        <v>60</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60</v>
      </c>
      <c r="E20" s="49" t="s">
        <v>60</v>
      </c>
      <c r="F20" s="62" t="s">
        <v>60</v>
      </c>
      <c r="G20" s="62" t="s">
        <v>60</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60</v>
      </c>
      <c r="E21" s="62" t="s">
        <v>61</v>
      </c>
      <c r="F21" s="62" t="s">
        <v>60</v>
      </c>
      <c r="G21" s="62" t="s">
        <v>60</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60</v>
      </c>
      <c r="E22" s="62" t="s">
        <v>61</v>
      </c>
      <c r="F22" s="62" t="s">
        <v>60</v>
      </c>
      <c r="G22" s="62" t="s">
        <v>60</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CB1000"/>
  <sheetViews>
    <sheetView topLeftCell="M1" zoomScale="85" zoomScaleNormal="85" workbookViewId="0">
      <selection activeCell="BJ8" sqref="BJ8:BJ22"/>
    </sheetView>
  </sheetViews>
  <sheetFormatPr baseColWidth="10" defaultColWidth="9.265625" defaultRowHeight="15" customHeight="1"/>
  <cols>
    <col min="1" max="1" width="2.9296875" customWidth="1"/>
    <col min="2" max="2" width="20.6640625" customWidth="1"/>
    <col min="3" max="11" width="3.1328125" customWidth="1"/>
    <col min="12" max="13" width="1.265625" customWidth="1"/>
    <col min="14" max="14" width="1.33203125" customWidth="1"/>
    <col min="15" max="52" width="1.265625" customWidth="1"/>
    <col min="53" max="53" width="1.59765625" customWidth="1"/>
    <col min="54" max="56" width="3.265625" customWidth="1"/>
    <col min="57" max="57" width="3.06640625" customWidth="1"/>
    <col min="58" max="61" width="1.6640625" customWidth="1"/>
    <col min="62" max="62" width="12.53125" bestFit="1" customWidth="1"/>
  </cols>
  <sheetData>
    <row r="1" spans="1:80" ht="4.5" customHeight="1"/>
    <row r="2" spans="1:80" ht="12.75" customHeight="1">
      <c r="B2" s="219" t="s">
        <v>62</v>
      </c>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c r="BA2" s="215"/>
      <c r="BB2" s="215"/>
      <c r="BC2" s="215"/>
      <c r="BD2" s="215"/>
      <c r="BE2" s="215"/>
      <c r="BF2" s="215"/>
      <c r="BG2" s="215"/>
      <c r="BH2" s="215"/>
      <c r="BI2" s="215"/>
    </row>
    <row r="3" spans="1:80"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20">
        <f>CARÁTULA!$H$19</f>
        <v>44326</v>
      </c>
      <c r="AU3" s="215"/>
      <c r="AV3" s="215"/>
      <c r="AW3" s="215"/>
      <c r="AX3" s="215"/>
      <c r="AY3" s="215"/>
      <c r="AZ3" s="215"/>
      <c r="BA3" s="221" t="s">
        <v>49</v>
      </c>
      <c r="BB3" s="222"/>
      <c r="BC3" s="222"/>
      <c r="BD3" s="222"/>
      <c r="BE3" s="223"/>
    </row>
    <row r="4" spans="1:80"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20">
        <f>CARÁTULA!$J$19</f>
        <v>44439</v>
      </c>
      <c r="AU4" s="215"/>
      <c r="AV4" s="215"/>
      <c r="AW4" s="215"/>
      <c r="AX4" s="215"/>
      <c r="AY4" s="215"/>
      <c r="AZ4" s="215"/>
      <c r="BA4" s="232">
        <f ca="1">AT4-AT5</f>
        <v>-58</v>
      </c>
      <c r="BB4" s="225"/>
      <c r="BC4" s="225"/>
      <c r="BD4" s="225"/>
      <c r="BE4" s="226"/>
    </row>
    <row r="5" spans="1:80"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33">
        <f ca="1">TODAY()</f>
        <v>44497</v>
      </c>
      <c r="Y5" s="215"/>
      <c r="Z5" s="215"/>
      <c r="AA5" s="215"/>
      <c r="AB5" s="215"/>
      <c r="AC5" s="215"/>
      <c r="AD5" s="41"/>
      <c r="AE5" s="41"/>
      <c r="AF5" s="41"/>
      <c r="AG5" s="41"/>
      <c r="AH5" s="41"/>
      <c r="AI5" s="41"/>
      <c r="AJ5" s="41"/>
      <c r="AK5" s="46" t="s">
        <v>52</v>
      </c>
      <c r="AL5" s="47"/>
      <c r="AM5" s="47"/>
      <c r="AN5" s="47"/>
      <c r="AO5" s="47"/>
      <c r="AP5" s="47"/>
      <c r="AQ5" s="47"/>
      <c r="AR5" s="41"/>
      <c r="AS5" s="41"/>
      <c r="AT5" s="231">
        <f ca="1">TODAY()</f>
        <v>44497</v>
      </c>
      <c r="AU5" s="215"/>
      <c r="AV5" s="215"/>
      <c r="AW5" s="215"/>
      <c r="AX5" s="215"/>
      <c r="AY5" s="215"/>
      <c r="AZ5" s="215"/>
      <c r="BA5" s="227"/>
      <c r="BB5" s="228"/>
      <c r="BC5" s="228"/>
      <c r="BD5" s="228"/>
      <c r="BE5" s="229"/>
    </row>
    <row r="6" spans="1:80"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80" ht="67.5" customHeight="1">
      <c r="A7" s="166" t="s">
        <v>53</v>
      </c>
      <c r="B7" s="167" t="s">
        <v>54</v>
      </c>
      <c r="C7" s="168" t="s">
        <v>179</v>
      </c>
      <c r="D7" s="168" t="s">
        <v>180</v>
      </c>
      <c r="E7" s="168" t="s">
        <v>181</v>
      </c>
      <c r="F7" s="168" t="s">
        <v>182</v>
      </c>
      <c r="G7" s="168" t="s">
        <v>183</v>
      </c>
      <c r="H7" s="168" t="s">
        <v>184</v>
      </c>
      <c r="I7" s="168" t="s">
        <v>185</v>
      </c>
      <c r="J7" s="168" t="s">
        <v>186</v>
      </c>
      <c r="K7" s="169" t="s">
        <v>187</v>
      </c>
      <c r="L7" s="168" t="s">
        <v>205</v>
      </c>
      <c r="M7" s="189" t="s">
        <v>207</v>
      </c>
      <c r="N7" s="189" t="s">
        <v>209</v>
      </c>
      <c r="O7" s="168" t="s">
        <v>211</v>
      </c>
      <c r="P7" s="168" t="s">
        <v>212</v>
      </c>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174" t="s">
        <v>63</v>
      </c>
      <c r="BB7" s="175" t="s">
        <v>64</v>
      </c>
      <c r="BC7" s="175" t="s">
        <v>65</v>
      </c>
      <c r="BD7" s="175" t="s">
        <v>66</v>
      </c>
      <c r="BE7" s="176" t="s">
        <v>59</v>
      </c>
    </row>
    <row r="8" spans="1:80" ht="12" customHeight="1">
      <c r="A8" s="165">
        <v>1</v>
      </c>
      <c r="B8" s="60" t="str">
        <f>'C. FILIACION'!B8</f>
        <v>ARANCIBIA ARRAYA LUIS ANDRES</v>
      </c>
      <c r="C8" s="162" t="s">
        <v>60</v>
      </c>
      <c r="D8" s="162" t="s">
        <v>60</v>
      </c>
      <c r="E8" s="162"/>
      <c r="F8" s="162" t="s">
        <v>60</v>
      </c>
      <c r="G8" s="62" t="s">
        <v>60</v>
      </c>
      <c r="H8" s="62" t="s">
        <v>60</v>
      </c>
      <c r="I8" s="62" t="s">
        <v>60</v>
      </c>
      <c r="J8" s="62" t="s">
        <v>60</v>
      </c>
      <c r="K8" s="159" t="s">
        <v>60</v>
      </c>
      <c r="L8" s="161" t="s">
        <v>60</v>
      </c>
      <c r="M8" s="187"/>
      <c r="N8" s="187" t="s">
        <v>60</v>
      </c>
      <c r="O8" s="161" t="s">
        <v>60</v>
      </c>
      <c r="P8" s="161" t="s">
        <v>60</v>
      </c>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160">
        <f t="shared" ref="BA8:BA22" si="0">IF(COUNTIF(C8:AZ8,"A")=0,"0",COUNTIF(C8:AZ8,"A"))</f>
        <v>12</v>
      </c>
      <c r="BB8" s="49">
        <f t="shared" ref="BB8:BB22" si="1">IF(COUNTIF(C8:AZ8,"f")=0,0,COUNTIF(C8:AZ8,"f"))</f>
        <v>0</v>
      </c>
      <c r="BC8" s="49" t="str">
        <f t="shared" ref="BC8:BC22" si="2">IF(COUNTIF(C8:AZ8,"R")=0,"0",COUNTIF(C8:AZ8,"R"))</f>
        <v>0</v>
      </c>
      <c r="BD8" s="49" t="str">
        <f t="shared" ref="BD8:BD22" si="3">IF(COUNTIF(C8:AZ8,"L")=0,"0",COUNTIF(C8:AZ8,"L"))</f>
        <v>0</v>
      </c>
      <c r="BE8" s="159">
        <f>SUM(Tabla3[[#This Row],[Asist. (A)]:[Licencias (L)]])</f>
        <v>12</v>
      </c>
      <c r="BJ8" s="190">
        <f>(Tabla3[[#This Row],[Asist. (A)]]+Tabla3[[#This Row],[Retrasos (R)]]+Tabla3[[#This Row],[Licencias (L)]])*10/Tabla3[[#This Row],[DÍAS TRABAJADOS]]</f>
        <v>10</v>
      </c>
      <c r="BK8" s="164"/>
      <c r="BL8" s="164"/>
      <c r="BM8" s="164"/>
      <c r="BN8" s="164"/>
      <c r="BO8" s="164"/>
      <c r="BP8" s="164"/>
      <c r="BQ8" s="164"/>
      <c r="BR8" s="164"/>
      <c r="BS8" s="164"/>
      <c r="BT8" s="164"/>
      <c r="BU8" s="164"/>
      <c r="BV8" s="164"/>
      <c r="BW8" s="164"/>
      <c r="BX8" s="164"/>
      <c r="BY8" s="164"/>
      <c r="BZ8" s="164"/>
      <c r="CA8" s="164"/>
      <c r="CB8" s="164"/>
    </row>
    <row r="9" spans="1:80" ht="12" customHeight="1">
      <c r="A9" s="165">
        <v>2</v>
      </c>
      <c r="B9" s="60" t="str">
        <f>'C. FILIACION'!B9</f>
        <v>ARIVIRI ALEXIS JHONATAN</v>
      </c>
      <c r="C9" s="162" t="s">
        <v>60</v>
      </c>
      <c r="D9" s="162" t="s">
        <v>60</v>
      </c>
      <c r="E9" s="162"/>
      <c r="F9" s="162" t="s">
        <v>60</v>
      </c>
      <c r="G9" s="62" t="s">
        <v>60</v>
      </c>
      <c r="H9" s="62" t="s">
        <v>60</v>
      </c>
      <c r="I9" s="49" t="s">
        <v>60</v>
      </c>
      <c r="J9" s="49" t="s">
        <v>165</v>
      </c>
      <c r="K9" s="159" t="s">
        <v>60</v>
      </c>
      <c r="L9" s="62" t="s">
        <v>165</v>
      </c>
      <c r="M9" s="186" t="s">
        <v>165</v>
      </c>
      <c r="N9" s="186" t="s">
        <v>165</v>
      </c>
      <c r="O9" s="62" t="s">
        <v>60</v>
      </c>
      <c r="P9" s="62" t="s">
        <v>61</v>
      </c>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160">
        <f t="shared" si="0"/>
        <v>8</v>
      </c>
      <c r="BB9" s="49">
        <f t="shared" si="1"/>
        <v>1</v>
      </c>
      <c r="BC9" s="49">
        <f t="shared" si="2"/>
        <v>4</v>
      </c>
      <c r="BD9" s="49" t="str">
        <f t="shared" si="3"/>
        <v>0</v>
      </c>
      <c r="BE9" s="159">
        <f>SUM(Tabla3[[#This Row],[Asist. (A)]:[Licencias (L)]])</f>
        <v>13</v>
      </c>
      <c r="BJ9" s="190">
        <f>(Tabla3[[#This Row],[Asist. (A)]]+Tabla3[[#This Row],[Retrasos (R)]]+Tabla3[[#This Row],[Licencias (L)]])*10/Tabla3[[#This Row],[DÍAS TRABAJADOS]]</f>
        <v>9.2307692307692299</v>
      </c>
      <c r="BK9" s="164"/>
      <c r="BL9" s="164"/>
      <c r="BM9" s="164"/>
      <c r="BN9" s="164"/>
      <c r="BO9" s="164"/>
      <c r="BP9" s="164"/>
      <c r="BQ9" s="164"/>
      <c r="BR9" s="164"/>
      <c r="BS9" s="164"/>
      <c r="BT9" s="164"/>
      <c r="BU9" s="164"/>
      <c r="BV9" s="164"/>
      <c r="BW9" s="164"/>
      <c r="BX9" s="164"/>
      <c r="BY9" s="164"/>
      <c r="BZ9" s="164"/>
      <c r="CA9" s="164"/>
      <c r="CB9" s="164"/>
    </row>
    <row r="10" spans="1:80" ht="12" customHeight="1">
      <c r="A10" s="165">
        <v>3</v>
      </c>
      <c r="B10" s="60" t="str">
        <f>'C. FILIACION'!B10</f>
        <v>BASCOPE LOPEZ JHYMMY ANGHELO</v>
      </c>
      <c r="C10" s="162" t="s">
        <v>60</v>
      </c>
      <c r="D10" s="162" t="s">
        <v>60</v>
      </c>
      <c r="E10" s="162"/>
      <c r="F10" s="162" t="s">
        <v>61</v>
      </c>
      <c r="G10" s="49" t="s">
        <v>60</v>
      </c>
      <c r="H10" s="49" t="s">
        <v>165</v>
      </c>
      <c r="I10" s="49" t="s">
        <v>60</v>
      </c>
      <c r="J10" s="49" t="s">
        <v>60</v>
      </c>
      <c r="K10" s="159" t="s">
        <v>61</v>
      </c>
      <c r="L10" s="62" t="s">
        <v>60</v>
      </c>
      <c r="M10" s="186"/>
      <c r="N10" s="186" t="s">
        <v>60</v>
      </c>
      <c r="O10" s="62" t="s">
        <v>60</v>
      </c>
      <c r="P10" s="62" t="s">
        <v>60</v>
      </c>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160">
        <f t="shared" si="0"/>
        <v>9</v>
      </c>
      <c r="BB10" s="49">
        <f t="shared" si="1"/>
        <v>2</v>
      </c>
      <c r="BC10" s="49">
        <f t="shared" si="2"/>
        <v>1</v>
      </c>
      <c r="BD10" s="49" t="str">
        <f t="shared" si="3"/>
        <v>0</v>
      </c>
      <c r="BE10" s="159">
        <f>SUM(Tabla3[[#This Row],[Asist. (A)]:[Licencias (L)]])</f>
        <v>12</v>
      </c>
      <c r="BJ10" s="190">
        <f>(Tabla3[[#This Row],[Asist. (A)]]+Tabla3[[#This Row],[Retrasos (R)]]+Tabla3[[#This Row],[Licencias (L)]])*10/Tabla3[[#This Row],[DÍAS TRABAJADOS]]</f>
        <v>8.3333333333333339</v>
      </c>
      <c r="BK10" s="164"/>
      <c r="BL10" s="164"/>
      <c r="BM10" s="164"/>
      <c r="BN10" s="164"/>
      <c r="BO10" s="164"/>
      <c r="BP10" s="164"/>
      <c r="BQ10" s="164"/>
      <c r="BR10" s="164"/>
      <c r="BS10" s="164"/>
      <c r="BT10" s="164"/>
      <c r="BU10" s="164"/>
      <c r="BV10" s="164"/>
      <c r="BW10" s="164"/>
      <c r="BX10" s="164"/>
      <c r="BY10" s="164"/>
      <c r="BZ10" s="164"/>
      <c r="CA10" s="164"/>
      <c r="CB10" s="164"/>
    </row>
    <row r="11" spans="1:80" ht="12" customHeight="1">
      <c r="A11" s="165">
        <v>4</v>
      </c>
      <c r="B11" s="60" t="str">
        <f>'C. FILIACION'!B11</f>
        <v>BLANCO SALVATIERRA DANIELA MARGARITA</v>
      </c>
      <c r="C11" s="162" t="s">
        <v>60</v>
      </c>
      <c r="D11" s="162" t="s">
        <v>60</v>
      </c>
      <c r="E11" s="162"/>
      <c r="F11" s="162" t="s">
        <v>60</v>
      </c>
      <c r="G11" s="49" t="s">
        <v>60</v>
      </c>
      <c r="H11" s="49" t="s">
        <v>60</v>
      </c>
      <c r="I11" s="49" t="s">
        <v>60</v>
      </c>
      <c r="J11" s="49" t="s">
        <v>60</v>
      </c>
      <c r="K11" s="159" t="s">
        <v>60</v>
      </c>
      <c r="L11" s="62" t="s">
        <v>60</v>
      </c>
      <c r="M11" s="186"/>
      <c r="N11" s="186" t="s">
        <v>60</v>
      </c>
      <c r="O11" s="62" t="s">
        <v>60</v>
      </c>
      <c r="P11" s="62" t="s">
        <v>60</v>
      </c>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160">
        <f t="shared" si="0"/>
        <v>12</v>
      </c>
      <c r="BB11" s="49">
        <f t="shared" si="1"/>
        <v>0</v>
      </c>
      <c r="BC11" s="49" t="str">
        <f t="shared" si="2"/>
        <v>0</v>
      </c>
      <c r="BD11" s="49" t="str">
        <f t="shared" si="3"/>
        <v>0</v>
      </c>
      <c r="BE11" s="159">
        <f>SUM(Tabla3[[#This Row],[Asist. (A)]:[Licencias (L)]])</f>
        <v>12</v>
      </c>
      <c r="BJ11" s="190">
        <f>(Tabla3[[#This Row],[Asist. (A)]]+Tabla3[[#This Row],[Retrasos (R)]]+Tabla3[[#This Row],[Licencias (L)]])*10/Tabla3[[#This Row],[DÍAS TRABAJADOS]]</f>
        <v>10</v>
      </c>
      <c r="BK11" s="164"/>
      <c r="BL11" s="164"/>
      <c r="BM11" s="164"/>
      <c r="BN11" s="164"/>
      <c r="BO11" s="164"/>
      <c r="BP11" s="164"/>
      <c r="BQ11" s="164"/>
      <c r="BR11" s="164"/>
      <c r="BS11" s="164"/>
      <c r="BT11" s="164"/>
      <c r="BU11" s="164"/>
      <c r="BV11" s="164"/>
      <c r="BW11" s="164"/>
      <c r="BX11" s="164"/>
      <c r="BY11" s="164"/>
      <c r="BZ11" s="164"/>
      <c r="CA11" s="164"/>
      <c r="CB11" s="164"/>
    </row>
    <row r="12" spans="1:80" ht="12" customHeight="1">
      <c r="A12" s="165">
        <v>5</v>
      </c>
      <c r="B12" s="60" t="str">
        <f>'C. FILIACION'!B12</f>
        <v>DAVILA LAPACA DIEGO LEONEL</v>
      </c>
      <c r="C12" s="162" t="s">
        <v>60</v>
      </c>
      <c r="D12" s="162" t="s">
        <v>61</v>
      </c>
      <c r="E12" s="162"/>
      <c r="F12" s="162" t="s">
        <v>61</v>
      </c>
      <c r="G12" s="49" t="s">
        <v>60</v>
      </c>
      <c r="H12" s="49" t="s">
        <v>61</v>
      </c>
      <c r="I12" s="49" t="s">
        <v>61</v>
      </c>
      <c r="J12" s="49" t="s">
        <v>61</v>
      </c>
      <c r="K12" s="159" t="s">
        <v>61</v>
      </c>
      <c r="L12" s="62" t="s">
        <v>61</v>
      </c>
      <c r="M12" s="186"/>
      <c r="N12" s="186" t="s">
        <v>61</v>
      </c>
      <c r="O12" s="62" t="s">
        <v>60</v>
      </c>
      <c r="P12" s="62" t="s">
        <v>60</v>
      </c>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160">
        <f t="shared" si="0"/>
        <v>4</v>
      </c>
      <c r="BB12" s="49">
        <f t="shared" si="1"/>
        <v>8</v>
      </c>
      <c r="BC12" s="49" t="str">
        <f t="shared" si="2"/>
        <v>0</v>
      </c>
      <c r="BD12" s="49" t="str">
        <f t="shared" si="3"/>
        <v>0</v>
      </c>
      <c r="BE12" s="159">
        <f>SUM(Tabla3[[#This Row],[Asist. (A)]:[Licencias (L)]])</f>
        <v>12</v>
      </c>
      <c r="BJ12" s="190">
        <f>(Tabla3[[#This Row],[Asist. (A)]]+Tabla3[[#This Row],[Retrasos (R)]]+Tabla3[[#This Row],[Licencias (L)]])*10/Tabla3[[#This Row],[DÍAS TRABAJADOS]]</f>
        <v>3.3333333333333335</v>
      </c>
      <c r="BK12" s="164"/>
      <c r="BL12" s="164"/>
      <c r="BM12" s="164"/>
      <c r="BN12" s="164"/>
      <c r="BO12" s="164"/>
      <c r="BP12" s="164"/>
      <c r="BQ12" s="164"/>
      <c r="BR12" s="164"/>
      <c r="BS12" s="164"/>
      <c r="BT12" s="164"/>
      <c r="BU12" s="164"/>
      <c r="BV12" s="164"/>
      <c r="BW12" s="164"/>
      <c r="BX12" s="164"/>
      <c r="BY12" s="164"/>
      <c r="BZ12" s="164"/>
      <c r="CA12" s="164"/>
      <c r="CB12" s="164"/>
    </row>
    <row r="13" spans="1:80" ht="12" customHeight="1">
      <c r="A13" s="165">
        <v>6</v>
      </c>
      <c r="B13" s="60" t="str">
        <f>'C. FILIACION'!B13</f>
        <v>ESCOBAR LAZO JHOSELIN MARCELA</v>
      </c>
      <c r="C13" s="162" t="s">
        <v>60</v>
      </c>
      <c r="D13" s="162" t="s">
        <v>60</v>
      </c>
      <c r="E13" s="162"/>
      <c r="F13" s="162" t="s">
        <v>60</v>
      </c>
      <c r="G13" s="49" t="s">
        <v>60</v>
      </c>
      <c r="H13" s="49" t="s">
        <v>60</v>
      </c>
      <c r="I13" s="49" t="s">
        <v>60</v>
      </c>
      <c r="J13" s="49" t="s">
        <v>60</v>
      </c>
      <c r="K13" s="159" t="s">
        <v>60</v>
      </c>
      <c r="L13" s="62" t="s">
        <v>60</v>
      </c>
      <c r="M13" s="186" t="s">
        <v>60</v>
      </c>
      <c r="N13" s="186" t="s">
        <v>60</v>
      </c>
      <c r="O13" s="62" t="s">
        <v>60</v>
      </c>
      <c r="P13" s="62" t="s">
        <v>60</v>
      </c>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160">
        <f t="shared" si="0"/>
        <v>13</v>
      </c>
      <c r="BB13" s="49">
        <f t="shared" si="1"/>
        <v>0</v>
      </c>
      <c r="BC13" s="49" t="str">
        <f t="shared" si="2"/>
        <v>0</v>
      </c>
      <c r="BD13" s="49" t="str">
        <f t="shared" si="3"/>
        <v>0</v>
      </c>
      <c r="BE13" s="159">
        <f>SUM(Tabla3[[#This Row],[Asist. (A)]:[Licencias (L)]])</f>
        <v>13</v>
      </c>
      <c r="BJ13" s="190">
        <f>(Tabla3[[#This Row],[Asist. (A)]]+Tabla3[[#This Row],[Retrasos (R)]]+Tabla3[[#This Row],[Licencias (L)]])*10/Tabla3[[#This Row],[DÍAS TRABAJADOS]]</f>
        <v>10</v>
      </c>
      <c r="BK13" s="164"/>
      <c r="BL13" s="164"/>
      <c r="BM13" s="164"/>
      <c r="BN13" s="164"/>
      <c r="BO13" s="164"/>
      <c r="BP13" s="164"/>
      <c r="BQ13" s="164"/>
      <c r="BR13" s="164"/>
      <c r="BS13" s="164"/>
      <c r="BT13" s="164"/>
      <c r="BU13" s="164"/>
      <c r="BV13" s="164"/>
      <c r="BW13" s="164"/>
      <c r="BX13" s="164"/>
      <c r="BY13" s="164"/>
      <c r="BZ13" s="164"/>
      <c r="CA13" s="164"/>
      <c r="CB13" s="164"/>
    </row>
    <row r="14" spans="1:80" ht="12" customHeight="1">
      <c r="A14" s="165">
        <v>7</v>
      </c>
      <c r="B14" s="60" t="str">
        <f>'C. FILIACION'!B14</f>
        <v>GUTIERREZ PEREZ ARIEL FERNANDO</v>
      </c>
      <c r="C14" s="162" t="s">
        <v>60</v>
      </c>
      <c r="D14" s="162" t="s">
        <v>60</v>
      </c>
      <c r="E14" s="162"/>
      <c r="F14" s="162" t="s">
        <v>60</v>
      </c>
      <c r="G14" s="49" t="s">
        <v>60</v>
      </c>
      <c r="H14" s="49" t="s">
        <v>165</v>
      </c>
      <c r="I14" s="49" t="s">
        <v>60</v>
      </c>
      <c r="J14" s="49" t="s">
        <v>60</v>
      </c>
      <c r="K14" s="159" t="s">
        <v>60</v>
      </c>
      <c r="L14" s="62" t="s">
        <v>165</v>
      </c>
      <c r="M14" s="186" t="s">
        <v>60</v>
      </c>
      <c r="N14" s="186" t="s">
        <v>165</v>
      </c>
      <c r="O14" s="62" t="s">
        <v>60</v>
      </c>
      <c r="P14" s="62" t="s">
        <v>165</v>
      </c>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160">
        <f t="shared" si="0"/>
        <v>9</v>
      </c>
      <c r="BB14" s="49">
        <f t="shared" si="1"/>
        <v>0</v>
      </c>
      <c r="BC14" s="49">
        <f t="shared" si="2"/>
        <v>4</v>
      </c>
      <c r="BD14" s="49" t="str">
        <f t="shared" si="3"/>
        <v>0</v>
      </c>
      <c r="BE14" s="159">
        <f>SUM(Tabla3[[#This Row],[Asist. (A)]:[Licencias (L)]])</f>
        <v>13</v>
      </c>
      <c r="BJ14" s="190">
        <f>(Tabla3[[#This Row],[Asist. (A)]]+Tabla3[[#This Row],[Retrasos (R)]]+Tabla3[[#This Row],[Licencias (L)]])*10/Tabla3[[#This Row],[DÍAS TRABAJADOS]]</f>
        <v>10</v>
      </c>
      <c r="BK14" s="164"/>
      <c r="BL14" s="164"/>
      <c r="BM14" s="164"/>
      <c r="BN14" s="164"/>
      <c r="BO14" s="164"/>
      <c r="BP14" s="164"/>
      <c r="BQ14" s="164"/>
      <c r="BR14" s="164"/>
      <c r="BS14" s="164"/>
      <c r="BT14" s="164"/>
      <c r="BU14" s="164"/>
      <c r="BV14" s="164"/>
      <c r="BW14" s="164"/>
      <c r="BX14" s="164"/>
      <c r="BY14" s="164"/>
      <c r="BZ14" s="164"/>
      <c r="CA14" s="164"/>
      <c r="CB14" s="164"/>
    </row>
    <row r="15" spans="1:80" ht="12" customHeight="1">
      <c r="A15" s="165">
        <v>10</v>
      </c>
      <c r="B15" s="60" t="str">
        <f>'C. FILIACION'!B15</f>
        <v>LOPEZ PACO FABRICIO ANDRE</v>
      </c>
      <c r="C15" s="162" t="s">
        <v>60</v>
      </c>
      <c r="D15" s="162" t="s">
        <v>60</v>
      </c>
      <c r="E15" s="162"/>
      <c r="F15" s="162" t="s">
        <v>60</v>
      </c>
      <c r="G15" s="49" t="s">
        <v>60</v>
      </c>
      <c r="H15" s="49" t="s">
        <v>61</v>
      </c>
      <c r="I15" s="49" t="s">
        <v>61</v>
      </c>
      <c r="J15" s="49" t="s">
        <v>60</v>
      </c>
      <c r="K15" s="159" t="s">
        <v>60</v>
      </c>
      <c r="L15" s="62" t="s">
        <v>61</v>
      </c>
      <c r="M15" s="186"/>
      <c r="N15" s="186" t="s">
        <v>60</v>
      </c>
      <c r="O15" s="62" t="s">
        <v>60</v>
      </c>
      <c r="P15" s="62" t="s">
        <v>60</v>
      </c>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160">
        <f t="shared" si="0"/>
        <v>9</v>
      </c>
      <c r="BB15" s="49">
        <f t="shared" si="1"/>
        <v>3</v>
      </c>
      <c r="BC15" s="49" t="str">
        <f t="shared" si="2"/>
        <v>0</v>
      </c>
      <c r="BD15" s="49" t="str">
        <f t="shared" si="3"/>
        <v>0</v>
      </c>
      <c r="BE15" s="159">
        <f>SUM(Tabla3[[#This Row],[Asist. (A)]:[Licencias (L)]])</f>
        <v>12</v>
      </c>
      <c r="BJ15" s="190">
        <f>(Tabla3[[#This Row],[Asist. (A)]]+Tabla3[[#This Row],[Retrasos (R)]]+Tabla3[[#This Row],[Licencias (L)]])*10/Tabla3[[#This Row],[DÍAS TRABAJADOS]]</f>
        <v>7.5</v>
      </c>
      <c r="BK15" s="164"/>
      <c r="BL15" s="164"/>
      <c r="BM15" s="164"/>
      <c r="BN15" s="164"/>
      <c r="BO15" s="164"/>
      <c r="BP15" s="164"/>
      <c r="BQ15" s="164"/>
      <c r="BR15" s="164"/>
      <c r="BS15" s="164"/>
      <c r="BT15" s="164"/>
      <c r="BU15" s="164"/>
      <c r="BV15" s="164"/>
      <c r="BW15" s="164"/>
      <c r="BX15" s="164"/>
      <c r="BY15" s="164"/>
      <c r="BZ15" s="164"/>
      <c r="CA15" s="164"/>
      <c r="CB15" s="164"/>
    </row>
    <row r="16" spans="1:80" ht="12" customHeight="1">
      <c r="A16" s="165">
        <v>8</v>
      </c>
      <c r="B16" s="60" t="str">
        <f>'C. FILIACION'!B16</f>
        <v>NINA PANIAGUA DEYVID GABRIEL</v>
      </c>
      <c r="C16" s="162" t="s">
        <v>60</v>
      </c>
      <c r="D16" s="162" t="s">
        <v>60</v>
      </c>
      <c r="E16" s="162"/>
      <c r="F16" s="162" t="s">
        <v>60</v>
      </c>
      <c r="G16" s="49" t="s">
        <v>61</v>
      </c>
      <c r="H16" s="49" t="s">
        <v>60</v>
      </c>
      <c r="I16" s="49" t="s">
        <v>61</v>
      </c>
      <c r="J16" s="49" t="s">
        <v>61</v>
      </c>
      <c r="K16" s="159" t="s">
        <v>60</v>
      </c>
      <c r="L16" s="62" t="s">
        <v>60</v>
      </c>
      <c r="M16" s="186"/>
      <c r="N16" s="186" t="s">
        <v>60</v>
      </c>
      <c r="O16" s="62" t="s">
        <v>60</v>
      </c>
      <c r="P16" s="62" t="s">
        <v>60</v>
      </c>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160">
        <f t="shared" si="0"/>
        <v>9</v>
      </c>
      <c r="BB16" s="49">
        <f t="shared" si="1"/>
        <v>3</v>
      </c>
      <c r="BC16" s="49" t="str">
        <f t="shared" si="2"/>
        <v>0</v>
      </c>
      <c r="BD16" s="49" t="str">
        <f t="shared" si="3"/>
        <v>0</v>
      </c>
      <c r="BE16" s="159">
        <f>SUM(Tabla3[[#This Row],[Asist. (A)]:[Licencias (L)]])</f>
        <v>12</v>
      </c>
      <c r="BJ16" s="190">
        <f>(Tabla3[[#This Row],[Asist. (A)]]+Tabla3[[#This Row],[Retrasos (R)]]+Tabla3[[#This Row],[Licencias (L)]])*10/Tabla3[[#This Row],[DÍAS TRABAJADOS]]</f>
        <v>7.5</v>
      </c>
      <c r="BK16" s="164"/>
      <c r="BL16" s="164"/>
      <c r="BM16" s="164"/>
      <c r="BN16" s="164"/>
      <c r="BO16" s="164"/>
      <c r="BP16" s="164"/>
      <c r="BQ16" s="164"/>
      <c r="BR16" s="164"/>
      <c r="BS16" s="164"/>
      <c r="BT16" s="164"/>
      <c r="BU16" s="164"/>
      <c r="BV16" s="164"/>
      <c r="BW16" s="164"/>
      <c r="BX16" s="164"/>
      <c r="BY16" s="164"/>
      <c r="BZ16" s="164"/>
      <c r="CA16" s="164"/>
      <c r="CB16" s="164"/>
    </row>
    <row r="17" spans="1:80" ht="12" customHeight="1">
      <c r="A17" s="165">
        <v>9</v>
      </c>
      <c r="B17" s="60" t="str">
        <f>'C. FILIACION'!B17</f>
        <v>PASTOR CONDARCO STEVE DAVID</v>
      </c>
      <c r="C17" s="162" t="s">
        <v>60</v>
      </c>
      <c r="D17" s="162" t="s">
        <v>60</v>
      </c>
      <c r="E17" s="162"/>
      <c r="F17" s="162" t="s">
        <v>60</v>
      </c>
      <c r="G17" s="49" t="s">
        <v>60</v>
      </c>
      <c r="H17" s="49" t="s">
        <v>60</v>
      </c>
      <c r="I17" s="49" t="s">
        <v>60</v>
      </c>
      <c r="J17" s="49" t="s">
        <v>60</v>
      </c>
      <c r="K17" s="159" t="s">
        <v>60</v>
      </c>
      <c r="L17" s="62" t="s">
        <v>60</v>
      </c>
      <c r="M17" s="186"/>
      <c r="N17" s="186" t="s">
        <v>60</v>
      </c>
      <c r="O17" s="62" t="s">
        <v>60</v>
      </c>
      <c r="P17" s="62" t="s">
        <v>60</v>
      </c>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160">
        <f t="shared" si="0"/>
        <v>12</v>
      </c>
      <c r="BB17" s="49">
        <f t="shared" si="1"/>
        <v>0</v>
      </c>
      <c r="BC17" s="49" t="str">
        <f t="shared" si="2"/>
        <v>0</v>
      </c>
      <c r="BD17" s="49" t="str">
        <f t="shared" si="3"/>
        <v>0</v>
      </c>
      <c r="BE17" s="159">
        <f>SUM(Tabla3[[#This Row],[Asist. (A)]:[Licencias (L)]])</f>
        <v>12</v>
      </c>
      <c r="BJ17" s="190">
        <f>(Tabla3[[#This Row],[Asist. (A)]]+Tabla3[[#This Row],[Retrasos (R)]]+Tabla3[[#This Row],[Licencias (L)]])*10/Tabla3[[#This Row],[DÍAS TRABAJADOS]]</f>
        <v>10</v>
      </c>
      <c r="BK17" s="164"/>
      <c r="BL17" s="164"/>
      <c r="BM17" s="164"/>
      <c r="BN17" s="164"/>
      <c r="BO17" s="164"/>
      <c r="BP17" s="164"/>
      <c r="BQ17" s="164"/>
      <c r="BR17" s="164"/>
      <c r="BS17" s="164"/>
      <c r="BT17" s="164"/>
      <c r="BU17" s="164"/>
      <c r="BV17" s="164"/>
      <c r="BW17" s="164"/>
      <c r="BX17" s="164"/>
      <c r="BY17" s="164"/>
      <c r="BZ17" s="164"/>
      <c r="CA17" s="164"/>
      <c r="CB17" s="164"/>
    </row>
    <row r="18" spans="1:80" ht="12" customHeight="1">
      <c r="A18" s="165">
        <v>11</v>
      </c>
      <c r="B18" s="60" t="str">
        <f>'C. FILIACION'!B18</f>
        <v>ROJAS MAMANI JERUSALEN LOURDES</v>
      </c>
      <c r="C18" s="162" t="s">
        <v>60</v>
      </c>
      <c r="D18" s="162" t="s">
        <v>60</v>
      </c>
      <c r="E18" s="162"/>
      <c r="F18" s="162" t="s">
        <v>60</v>
      </c>
      <c r="G18" s="62" t="s">
        <v>60</v>
      </c>
      <c r="H18" s="62" t="s">
        <v>60</v>
      </c>
      <c r="I18" s="62" t="s">
        <v>60</v>
      </c>
      <c r="J18" s="62" t="s">
        <v>60</v>
      </c>
      <c r="K18" s="159" t="s">
        <v>60</v>
      </c>
      <c r="L18" s="62" t="s">
        <v>60</v>
      </c>
      <c r="M18" s="186"/>
      <c r="N18" s="186" t="s">
        <v>60</v>
      </c>
      <c r="O18" s="62" t="s">
        <v>60</v>
      </c>
      <c r="P18" s="62" t="s">
        <v>60</v>
      </c>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160">
        <f t="shared" si="0"/>
        <v>12</v>
      </c>
      <c r="BB18" s="49">
        <f t="shared" si="1"/>
        <v>0</v>
      </c>
      <c r="BC18" s="49" t="str">
        <f t="shared" si="2"/>
        <v>0</v>
      </c>
      <c r="BD18" s="49" t="str">
        <f t="shared" si="3"/>
        <v>0</v>
      </c>
      <c r="BE18" s="159">
        <f>SUM(Tabla3[[#This Row],[Asist. (A)]:[Licencias (L)]])</f>
        <v>12</v>
      </c>
      <c r="BJ18" s="190">
        <f>(Tabla3[[#This Row],[Asist. (A)]]+Tabla3[[#This Row],[Retrasos (R)]]+Tabla3[[#This Row],[Licencias (L)]])*10/Tabla3[[#This Row],[DÍAS TRABAJADOS]]</f>
        <v>10</v>
      </c>
      <c r="BK18" s="164"/>
      <c r="BL18" s="164"/>
      <c r="BM18" s="164"/>
      <c r="BN18" s="164"/>
      <c r="BO18" s="164"/>
      <c r="BP18" s="164"/>
      <c r="BQ18" s="164"/>
      <c r="BR18" s="164"/>
      <c r="BS18" s="164"/>
      <c r="BT18" s="164"/>
      <c r="BU18" s="164"/>
      <c r="BV18" s="164"/>
      <c r="BW18" s="164"/>
      <c r="BX18" s="164"/>
      <c r="BY18" s="164"/>
      <c r="BZ18" s="164"/>
      <c r="CA18" s="164"/>
      <c r="CB18" s="164"/>
    </row>
    <row r="19" spans="1:80" ht="12" customHeight="1">
      <c r="A19" s="165">
        <v>12</v>
      </c>
      <c r="B19" s="60" t="str">
        <f>'C. FILIACION'!B19</f>
        <v>SALAS ROJAS LUCIANA ANTONELLA</v>
      </c>
      <c r="C19" s="162" t="s">
        <v>166</v>
      </c>
      <c r="D19" s="162" t="s">
        <v>166</v>
      </c>
      <c r="E19" s="162"/>
      <c r="F19" s="162" t="s">
        <v>166</v>
      </c>
      <c r="G19" s="162" t="s">
        <v>166</v>
      </c>
      <c r="H19" s="162" t="s">
        <v>166</v>
      </c>
      <c r="I19" s="49" t="s">
        <v>166</v>
      </c>
      <c r="J19" s="49" t="s">
        <v>166</v>
      </c>
      <c r="K19" s="159" t="s">
        <v>166</v>
      </c>
      <c r="L19" s="62" t="s">
        <v>166</v>
      </c>
      <c r="M19" s="186"/>
      <c r="N19" s="186" t="s">
        <v>166</v>
      </c>
      <c r="O19" s="62" t="s">
        <v>166</v>
      </c>
      <c r="P19" s="62" t="s">
        <v>166</v>
      </c>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160" t="str">
        <f t="shared" si="0"/>
        <v>0</v>
      </c>
      <c r="BB19" s="49">
        <f t="shared" si="1"/>
        <v>0</v>
      </c>
      <c r="BC19" s="49" t="str">
        <f t="shared" si="2"/>
        <v>0</v>
      </c>
      <c r="BD19" s="49">
        <f t="shared" si="3"/>
        <v>12</v>
      </c>
      <c r="BE19" s="159">
        <f>SUM(Tabla3[[#This Row],[Asist. (A)]:[Licencias (L)]])</f>
        <v>12</v>
      </c>
      <c r="BJ19" s="190">
        <f>(Tabla3[[#This Row],[Asist. (A)]]+Tabla3[[#This Row],[Retrasos (R)]]+Tabla3[[#This Row],[Licencias (L)]])*10/Tabla3[[#This Row],[DÍAS TRABAJADOS]]</f>
        <v>10</v>
      </c>
      <c r="BK19" s="164"/>
      <c r="BL19" s="164"/>
      <c r="BM19" s="164"/>
      <c r="BN19" s="164"/>
      <c r="BO19" s="164"/>
      <c r="BP19" s="164"/>
      <c r="BQ19" s="164"/>
      <c r="BR19" s="164"/>
      <c r="BS19" s="164"/>
      <c r="BT19" s="164"/>
      <c r="BU19" s="164"/>
      <c r="BV19" s="164"/>
      <c r="BW19" s="164"/>
      <c r="BX19" s="164"/>
      <c r="BY19" s="164"/>
      <c r="BZ19" s="164"/>
      <c r="CA19" s="164"/>
      <c r="CB19" s="164"/>
    </row>
    <row r="20" spans="1:80" ht="12" customHeight="1">
      <c r="A20" s="165">
        <v>13</v>
      </c>
      <c r="B20" s="60" t="str">
        <f>'C. FILIACION'!B20</f>
        <v>SANTOS CRUZ ROYER JOEL</v>
      </c>
      <c r="C20" s="162" t="s">
        <v>60</v>
      </c>
      <c r="D20" s="162" t="s">
        <v>60</v>
      </c>
      <c r="E20" s="162"/>
      <c r="F20" s="162" t="s">
        <v>60</v>
      </c>
      <c r="G20" s="49" t="s">
        <v>60</v>
      </c>
      <c r="H20" s="49" t="s">
        <v>60</v>
      </c>
      <c r="I20" s="49" t="s">
        <v>60</v>
      </c>
      <c r="J20" s="49" t="s">
        <v>60</v>
      </c>
      <c r="K20" s="159" t="s">
        <v>60</v>
      </c>
      <c r="L20" s="62" t="s">
        <v>60</v>
      </c>
      <c r="M20" s="186" t="s">
        <v>60</v>
      </c>
      <c r="N20" s="186" t="s">
        <v>60</v>
      </c>
      <c r="O20" s="62" t="s">
        <v>60</v>
      </c>
      <c r="P20" s="62" t="s">
        <v>60</v>
      </c>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160">
        <f t="shared" si="0"/>
        <v>13</v>
      </c>
      <c r="BB20" s="49">
        <f t="shared" si="1"/>
        <v>0</v>
      </c>
      <c r="BC20" s="49" t="str">
        <f t="shared" si="2"/>
        <v>0</v>
      </c>
      <c r="BD20" s="49" t="str">
        <f t="shared" si="3"/>
        <v>0</v>
      </c>
      <c r="BE20" s="159">
        <f>SUM(Tabla3[[#This Row],[Asist. (A)]:[Licencias (L)]])</f>
        <v>13</v>
      </c>
      <c r="BJ20" s="190">
        <f>(Tabla3[[#This Row],[Asist. (A)]]+Tabla3[[#This Row],[Retrasos (R)]]+Tabla3[[#This Row],[Licencias (L)]])*10/Tabla3[[#This Row],[DÍAS TRABAJADOS]]</f>
        <v>10</v>
      </c>
      <c r="BK20" s="164"/>
      <c r="BL20" s="164"/>
      <c r="BM20" s="164"/>
      <c r="BN20" s="164"/>
      <c r="BO20" s="164"/>
      <c r="BP20" s="164"/>
      <c r="BQ20" s="164"/>
      <c r="BR20" s="164"/>
      <c r="BS20" s="164"/>
      <c r="BT20" s="164"/>
      <c r="BU20" s="164"/>
      <c r="BV20" s="164"/>
      <c r="BW20" s="164"/>
      <c r="BX20" s="164"/>
      <c r="BY20" s="164"/>
      <c r="BZ20" s="164"/>
      <c r="CA20" s="164"/>
      <c r="CB20" s="164"/>
    </row>
    <row r="21" spans="1:80" ht="12" customHeight="1">
      <c r="A21" s="165">
        <v>14</v>
      </c>
      <c r="B21" s="60" t="str">
        <f>'C. FILIACION'!B21</f>
        <v>TICONA LOAYZA ARIADNE VALERIA</v>
      </c>
      <c r="C21" s="162" t="s">
        <v>60</v>
      </c>
      <c r="D21" s="162" t="s">
        <v>60</v>
      </c>
      <c r="E21" s="162"/>
      <c r="F21" s="162" t="s">
        <v>60</v>
      </c>
      <c r="G21" s="49" t="s">
        <v>60</v>
      </c>
      <c r="H21" s="49" t="s">
        <v>60</v>
      </c>
      <c r="I21" s="49" t="s">
        <v>60</v>
      </c>
      <c r="J21" s="49" t="s">
        <v>60</v>
      </c>
      <c r="K21" s="159" t="s">
        <v>60</v>
      </c>
      <c r="L21" s="62" t="s">
        <v>60</v>
      </c>
      <c r="M21" s="186" t="s">
        <v>60</v>
      </c>
      <c r="N21" s="186" t="s">
        <v>60</v>
      </c>
      <c r="O21" s="62" t="s">
        <v>60</v>
      </c>
      <c r="P21" s="62" t="s">
        <v>60</v>
      </c>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160">
        <f t="shared" si="0"/>
        <v>13</v>
      </c>
      <c r="BB21" s="49">
        <f t="shared" si="1"/>
        <v>0</v>
      </c>
      <c r="BC21" s="49" t="str">
        <f t="shared" si="2"/>
        <v>0</v>
      </c>
      <c r="BD21" s="49" t="str">
        <f t="shared" si="3"/>
        <v>0</v>
      </c>
      <c r="BE21" s="159">
        <f>SUM(Tabla3[[#This Row],[Asist. (A)]:[Licencias (L)]])</f>
        <v>13</v>
      </c>
      <c r="BJ21" s="190">
        <f>(Tabla3[[#This Row],[Asist. (A)]]+Tabla3[[#This Row],[Retrasos (R)]]+Tabla3[[#This Row],[Licencias (L)]])*10/Tabla3[[#This Row],[DÍAS TRABAJADOS]]</f>
        <v>10</v>
      </c>
      <c r="BK21" s="164"/>
      <c r="BL21" s="164"/>
      <c r="BM21" s="164"/>
      <c r="BN21" s="164"/>
      <c r="BO21" s="164"/>
      <c r="BP21" s="164"/>
      <c r="BQ21" s="164"/>
      <c r="BR21" s="164"/>
      <c r="BS21" s="164"/>
      <c r="BT21" s="164"/>
      <c r="BU21" s="164"/>
      <c r="BV21" s="164"/>
      <c r="BW21" s="164"/>
      <c r="BX21" s="164"/>
      <c r="BY21" s="164"/>
      <c r="BZ21" s="164"/>
      <c r="CA21" s="164"/>
      <c r="CB21" s="164"/>
    </row>
    <row r="22" spans="1:80" ht="12" customHeight="1">
      <c r="A22" s="170">
        <v>15</v>
      </c>
      <c r="B22" s="60" t="str">
        <f>'C. FILIACION'!B22</f>
        <v>ZEBALLOS DEL CARPIO AMIRA MERCEDES</v>
      </c>
      <c r="C22" s="171" t="s">
        <v>60</v>
      </c>
      <c r="D22" s="171" t="s">
        <v>60</v>
      </c>
      <c r="E22" s="171"/>
      <c r="F22" s="171" t="s">
        <v>60</v>
      </c>
      <c r="G22" s="172" t="s">
        <v>60</v>
      </c>
      <c r="H22" s="172" t="s">
        <v>60</v>
      </c>
      <c r="I22" s="172" t="s">
        <v>60</v>
      </c>
      <c r="J22" s="172" t="s">
        <v>60</v>
      </c>
      <c r="K22" s="173" t="s">
        <v>60</v>
      </c>
      <c r="L22" s="172" t="s">
        <v>60</v>
      </c>
      <c r="M22" s="188" t="s">
        <v>60</v>
      </c>
      <c r="N22" s="188" t="s">
        <v>60</v>
      </c>
      <c r="O22" s="172" t="s">
        <v>60</v>
      </c>
      <c r="P22" s="172" t="s">
        <v>60</v>
      </c>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177">
        <f t="shared" si="0"/>
        <v>13</v>
      </c>
      <c r="BB22" s="172">
        <f t="shared" si="1"/>
        <v>0</v>
      </c>
      <c r="BC22" s="172" t="str">
        <f t="shared" si="2"/>
        <v>0</v>
      </c>
      <c r="BD22" s="172" t="str">
        <f t="shared" si="3"/>
        <v>0</v>
      </c>
      <c r="BE22" s="173">
        <f>SUM(Tabla3[[#This Row],[Asist. (A)]:[Licencias (L)]])</f>
        <v>13</v>
      </c>
      <c r="BJ22" s="190">
        <f>(Tabla3[[#This Row],[Asist. (A)]]+Tabla3[[#This Row],[Retrasos (R)]]+Tabla3[[#This Row],[Licencias (L)]])*10/Tabla3[[#This Row],[DÍAS TRABAJADOS]]</f>
        <v>10</v>
      </c>
      <c r="BK22" s="164"/>
      <c r="BL22" s="164"/>
      <c r="BM22" s="164"/>
      <c r="BN22" s="164"/>
      <c r="BO22" s="164"/>
      <c r="BP22" s="164"/>
      <c r="BQ22" s="164"/>
      <c r="BR22" s="164"/>
      <c r="BS22" s="164"/>
      <c r="BT22" s="164"/>
      <c r="BU22" s="164"/>
      <c r="BV22" s="164"/>
      <c r="BW22" s="164"/>
      <c r="BX22" s="164"/>
      <c r="BY22" s="164"/>
      <c r="BZ22" s="164"/>
      <c r="CA22" s="164"/>
      <c r="CB22" s="164"/>
    </row>
    <row r="23" spans="1:80" ht="12" customHeight="1">
      <c r="A23" s="59">
        <v>16</v>
      </c>
      <c r="B23" s="60"/>
      <c r="C23" s="49"/>
      <c r="D23" s="49"/>
      <c r="E23" s="49"/>
      <c r="F23" s="49"/>
      <c r="G23" s="49"/>
      <c r="H23" s="49"/>
      <c r="I23" s="49"/>
      <c r="J23" s="49"/>
      <c r="K23" s="49"/>
      <c r="L23" s="161"/>
      <c r="M23" s="161"/>
      <c r="N23" s="161"/>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ref="BA23:BA43" si="4">IF(COUNTIF(C23:AZ23,"A")=0,"",COUNTIF(C23:AZ23,"A"))</f>
        <v/>
      </c>
      <c r="BB23" s="49" t="str">
        <f t="shared" ref="BB23:BB43" si="5">IF(COUNTIF(C23:AZ23,"F")=0,"",COUNTIF(C23:AZ23,"F"))</f>
        <v/>
      </c>
      <c r="BC23" s="49" t="str">
        <f t="shared" ref="BC23:BC43" si="6">IF(COUNTIF(C23:AZ23,"R")=0,"",COUNTIF(C23:AZ23,"R"))</f>
        <v/>
      </c>
      <c r="BD23" s="49" t="str">
        <f t="shared" ref="BD23:BD43" si="7">IF(COUNTIF(C23:AZ23,"L")=0,"",COUNTIF(C23:AZ23,"L"))</f>
        <v/>
      </c>
      <c r="BE23" s="65" t="str">
        <f t="shared" ref="BE23:BE43" si="8">IF(COUNTIF(C23:AZ23,"L")=0,"",COUNTIF(C23:AZ23,"L"))</f>
        <v/>
      </c>
      <c r="BJ23" s="164"/>
      <c r="BK23" s="164"/>
      <c r="BL23" s="164"/>
      <c r="BM23" s="164"/>
      <c r="BN23" s="164"/>
      <c r="BO23" s="164"/>
      <c r="BP23" s="164"/>
      <c r="BQ23" s="164"/>
      <c r="BR23" s="164"/>
      <c r="BS23" s="164"/>
      <c r="BT23" s="164"/>
      <c r="BU23" s="164"/>
      <c r="BV23" s="164"/>
      <c r="BW23" s="164"/>
      <c r="BX23" s="164"/>
      <c r="BY23" s="164"/>
      <c r="BZ23" s="164"/>
      <c r="CA23" s="164"/>
      <c r="CB23" s="164"/>
    </row>
    <row r="24" spans="1:80"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4"/>
        <v/>
      </c>
      <c r="BB24" s="49" t="str">
        <f t="shared" si="5"/>
        <v/>
      </c>
      <c r="BC24" s="49" t="str">
        <f t="shared" si="6"/>
        <v/>
      </c>
      <c r="BD24" s="49" t="str">
        <f t="shared" si="7"/>
        <v/>
      </c>
      <c r="BE24" s="65" t="str">
        <f t="shared" si="8"/>
        <v/>
      </c>
      <c r="BJ24" s="164"/>
      <c r="BK24" s="164"/>
      <c r="BL24" s="164"/>
      <c r="BM24" s="164"/>
      <c r="BN24" s="164"/>
      <c r="BO24" s="164"/>
      <c r="BP24" s="164"/>
      <c r="BQ24" s="164"/>
      <c r="BR24" s="164"/>
      <c r="BS24" s="164"/>
      <c r="BT24" s="164"/>
      <c r="BU24" s="164"/>
      <c r="BV24" s="164"/>
      <c r="BW24" s="164"/>
      <c r="BX24" s="164"/>
      <c r="BY24" s="164"/>
      <c r="BZ24" s="164"/>
      <c r="CA24" s="164"/>
      <c r="CB24" s="164"/>
    </row>
    <row r="25" spans="1:80"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4"/>
        <v/>
      </c>
      <c r="BB25" s="49" t="str">
        <f t="shared" si="5"/>
        <v/>
      </c>
      <c r="BC25" s="49" t="str">
        <f t="shared" si="6"/>
        <v/>
      </c>
      <c r="BD25" s="49" t="str">
        <f t="shared" si="7"/>
        <v/>
      </c>
      <c r="BE25" s="65" t="str">
        <f t="shared" si="8"/>
        <v/>
      </c>
    </row>
    <row r="26" spans="1:80"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4"/>
        <v/>
      </c>
      <c r="BB26" s="49" t="str">
        <f t="shared" si="5"/>
        <v/>
      </c>
      <c r="BC26" s="49" t="str">
        <f t="shared" si="6"/>
        <v/>
      </c>
      <c r="BD26" s="49" t="str">
        <f t="shared" si="7"/>
        <v/>
      </c>
      <c r="BE26" s="65" t="str">
        <f t="shared" si="8"/>
        <v/>
      </c>
    </row>
    <row r="27" spans="1:80"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4"/>
        <v/>
      </c>
      <c r="BB27" s="49" t="str">
        <f t="shared" si="5"/>
        <v/>
      </c>
      <c r="BC27" s="49" t="str">
        <f t="shared" si="6"/>
        <v/>
      </c>
      <c r="BD27" s="49" t="str">
        <f t="shared" si="7"/>
        <v/>
      </c>
      <c r="BE27" s="65" t="str">
        <f t="shared" si="8"/>
        <v/>
      </c>
    </row>
    <row r="28" spans="1:80"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4"/>
        <v/>
      </c>
      <c r="BB28" s="49" t="str">
        <f t="shared" si="5"/>
        <v/>
      </c>
      <c r="BC28" s="49" t="str">
        <f t="shared" si="6"/>
        <v/>
      </c>
      <c r="BD28" s="49" t="str">
        <f t="shared" si="7"/>
        <v/>
      </c>
      <c r="BE28" s="65" t="str">
        <f t="shared" si="8"/>
        <v/>
      </c>
    </row>
    <row r="29" spans="1:80"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4"/>
        <v/>
      </c>
      <c r="BB29" s="49" t="str">
        <f t="shared" si="5"/>
        <v/>
      </c>
      <c r="BC29" s="49" t="str">
        <f t="shared" si="6"/>
        <v/>
      </c>
      <c r="BD29" s="49" t="str">
        <f t="shared" si="7"/>
        <v/>
      </c>
      <c r="BE29" s="65" t="str">
        <f t="shared" si="8"/>
        <v/>
      </c>
    </row>
    <row r="30" spans="1:80"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4"/>
        <v/>
      </c>
      <c r="BB30" s="49" t="str">
        <f t="shared" si="5"/>
        <v/>
      </c>
      <c r="BC30" s="49" t="str">
        <f t="shared" si="6"/>
        <v/>
      </c>
      <c r="BD30" s="49" t="str">
        <f t="shared" si="7"/>
        <v/>
      </c>
      <c r="BE30" s="65" t="str">
        <f t="shared" si="8"/>
        <v/>
      </c>
    </row>
    <row r="31" spans="1:80"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4"/>
        <v/>
      </c>
      <c r="BB31" s="49" t="str">
        <f t="shared" si="5"/>
        <v/>
      </c>
      <c r="BC31" s="49" t="str">
        <f t="shared" si="6"/>
        <v/>
      </c>
      <c r="BD31" s="49" t="str">
        <f t="shared" si="7"/>
        <v/>
      </c>
      <c r="BE31" s="65" t="str">
        <f t="shared" si="8"/>
        <v/>
      </c>
    </row>
    <row r="32" spans="1:80"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4"/>
        <v/>
      </c>
      <c r="BB32" s="49" t="str">
        <f t="shared" si="5"/>
        <v/>
      </c>
      <c r="BC32" s="49" t="str">
        <f t="shared" si="6"/>
        <v/>
      </c>
      <c r="BD32" s="49" t="str">
        <f t="shared" si="7"/>
        <v/>
      </c>
      <c r="BE32" s="65" t="str">
        <f t="shared" si="8"/>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4"/>
        <v/>
      </c>
      <c r="BB33" s="49" t="str">
        <f t="shared" si="5"/>
        <v/>
      </c>
      <c r="BC33" s="49" t="str">
        <f t="shared" si="6"/>
        <v/>
      </c>
      <c r="BD33" s="49" t="str">
        <f t="shared" si="7"/>
        <v/>
      </c>
      <c r="BE33" s="65" t="str">
        <f t="shared" si="8"/>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4"/>
        <v/>
      </c>
      <c r="BB34" s="49" t="str">
        <f t="shared" si="5"/>
        <v/>
      </c>
      <c r="BC34" s="49" t="str">
        <f t="shared" si="6"/>
        <v/>
      </c>
      <c r="BD34" s="49" t="str">
        <f t="shared" si="7"/>
        <v/>
      </c>
      <c r="BE34" s="65" t="str">
        <f t="shared" si="8"/>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4"/>
        <v/>
      </c>
      <c r="BB35" s="49" t="str">
        <f t="shared" si="5"/>
        <v/>
      </c>
      <c r="BC35" s="49" t="str">
        <f t="shared" si="6"/>
        <v/>
      </c>
      <c r="BD35" s="49" t="str">
        <f t="shared" si="7"/>
        <v/>
      </c>
      <c r="BE35" s="65" t="str">
        <f t="shared" si="8"/>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4"/>
        <v/>
      </c>
      <c r="BB36" s="49" t="str">
        <f t="shared" si="5"/>
        <v/>
      </c>
      <c r="BC36" s="49" t="str">
        <f t="shared" si="6"/>
        <v/>
      </c>
      <c r="BD36" s="49" t="str">
        <f t="shared" si="7"/>
        <v/>
      </c>
      <c r="BE36" s="65" t="str">
        <f t="shared" si="8"/>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4"/>
        <v/>
      </c>
      <c r="BB37" s="49" t="str">
        <f t="shared" si="5"/>
        <v/>
      </c>
      <c r="BC37" s="49" t="str">
        <f t="shared" si="6"/>
        <v/>
      </c>
      <c r="BD37" s="49" t="str">
        <f t="shared" si="7"/>
        <v/>
      </c>
      <c r="BE37" s="65" t="str">
        <f t="shared" si="8"/>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4"/>
        <v/>
      </c>
      <c r="BB38" s="49" t="str">
        <f t="shared" si="5"/>
        <v/>
      </c>
      <c r="BC38" s="49" t="str">
        <f t="shared" si="6"/>
        <v/>
      </c>
      <c r="BD38" s="49" t="str">
        <f t="shared" si="7"/>
        <v/>
      </c>
      <c r="BE38" s="65" t="str">
        <f t="shared" si="8"/>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4"/>
        <v/>
      </c>
      <c r="BB39" s="49" t="str">
        <f t="shared" si="5"/>
        <v/>
      </c>
      <c r="BC39" s="49" t="str">
        <f t="shared" si="6"/>
        <v/>
      </c>
      <c r="BD39" s="49" t="str">
        <f t="shared" si="7"/>
        <v/>
      </c>
      <c r="BE39" s="65" t="str">
        <f t="shared" si="8"/>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4"/>
        <v/>
      </c>
      <c r="BB40" s="49" t="str">
        <f t="shared" si="5"/>
        <v/>
      </c>
      <c r="BC40" s="49" t="str">
        <f t="shared" si="6"/>
        <v/>
      </c>
      <c r="BD40" s="49" t="str">
        <f t="shared" si="7"/>
        <v/>
      </c>
      <c r="BE40" s="65" t="str">
        <f t="shared" si="8"/>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4"/>
        <v/>
      </c>
      <c r="BB41" s="49" t="str">
        <f t="shared" si="5"/>
        <v/>
      </c>
      <c r="BC41" s="49" t="str">
        <f t="shared" si="6"/>
        <v/>
      </c>
      <c r="BD41" s="49" t="str">
        <f t="shared" si="7"/>
        <v/>
      </c>
      <c r="BE41" s="65" t="str">
        <f t="shared" si="8"/>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4"/>
        <v/>
      </c>
      <c r="BB42" s="49" t="str">
        <f t="shared" si="5"/>
        <v/>
      </c>
      <c r="BC42" s="49" t="str">
        <f t="shared" si="6"/>
        <v/>
      </c>
      <c r="BD42" s="49" t="str">
        <f t="shared" si="7"/>
        <v/>
      </c>
      <c r="BE42" s="65" t="str">
        <f t="shared" si="8"/>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4"/>
        <v/>
      </c>
      <c r="BB43" s="49" t="str">
        <f t="shared" si="5"/>
        <v/>
      </c>
      <c r="BC43" s="49" t="str">
        <f t="shared" si="6"/>
        <v/>
      </c>
      <c r="BD43" s="49" t="str">
        <f t="shared" si="7"/>
        <v/>
      </c>
      <c r="BE43" s="65" t="str">
        <f t="shared" si="8"/>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tabSelected="1" workbookViewId="0">
      <selection activeCell="O15" sqref="O15"/>
    </sheetView>
  </sheetViews>
  <sheetFormatPr baseColWidth="10" defaultColWidth="9.265625" defaultRowHeight="15" customHeight="1"/>
  <cols>
    <col min="1" max="1" width="1.6640625" customWidth="1"/>
    <col min="2" max="2" width="20.6640625" customWidth="1"/>
    <col min="3" max="52" width="1.265625" customWidth="1"/>
    <col min="53" max="57" width="1.3984375" customWidth="1"/>
    <col min="58" max="61" width="1.6640625" customWidth="1"/>
  </cols>
  <sheetData>
    <row r="1" spans="1:61" ht="4.5" customHeight="1"/>
    <row r="2" spans="1:61" ht="12.75" customHeight="1">
      <c r="B2" s="219" t="s">
        <v>68</v>
      </c>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c r="BA2" s="215"/>
      <c r="BB2" s="215"/>
      <c r="BC2" s="215"/>
      <c r="BD2" s="215"/>
      <c r="BE2" s="215"/>
      <c r="BF2" s="215"/>
      <c r="BG2" s="215"/>
      <c r="BH2" s="215"/>
      <c r="BI2" s="215"/>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20">
        <f>CARÁTULA!$H$24</f>
        <v>44440</v>
      </c>
      <c r="AU3" s="215"/>
      <c r="AV3" s="215"/>
      <c r="AW3" s="215"/>
      <c r="AX3" s="215"/>
      <c r="AY3" s="215"/>
      <c r="AZ3" s="215"/>
      <c r="BA3" s="234"/>
      <c r="BB3" s="215"/>
      <c r="BC3" s="215"/>
      <c r="BD3" s="215"/>
      <c r="BE3" s="215"/>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20">
        <f>CARÁTULA!$J$24</f>
        <v>44531</v>
      </c>
      <c r="AU4" s="215"/>
      <c r="AV4" s="215"/>
      <c r="AW4" s="215"/>
      <c r="AX4" s="215"/>
      <c r="AY4" s="215"/>
      <c r="AZ4" s="215"/>
      <c r="BA4" s="235">
        <f ca="1">AT4-AT5</f>
        <v>34</v>
      </c>
      <c r="BB4" s="225"/>
      <c r="BC4" s="225"/>
      <c r="BD4" s="225"/>
      <c r="BE4" s="226"/>
    </row>
    <row r="5" spans="1:61" ht="12.75" customHeight="1">
      <c r="B5" s="39" t="s">
        <v>22</v>
      </c>
      <c r="C5" s="40" t="str">
        <f>CARÁTULA!$C$23</f>
        <v>1ro de Secundaria</v>
      </c>
      <c r="D5" s="41"/>
      <c r="E5" s="41"/>
      <c r="F5" s="41"/>
      <c r="G5" s="41"/>
      <c r="H5" s="41"/>
      <c r="I5" s="41"/>
      <c r="J5" s="41"/>
      <c r="K5" s="41"/>
      <c r="L5" s="41"/>
      <c r="M5" s="41"/>
      <c r="N5" s="41"/>
      <c r="O5" s="39"/>
      <c r="P5" s="39"/>
      <c r="Q5" s="39"/>
      <c r="R5" s="39"/>
      <c r="S5" s="44" t="s">
        <v>23</v>
      </c>
      <c r="T5" s="45"/>
      <c r="U5" s="45"/>
      <c r="V5" s="45"/>
      <c r="W5" s="45"/>
      <c r="X5" s="233">
        <f ca="1">TODAY()</f>
        <v>44497</v>
      </c>
      <c r="Y5" s="215"/>
      <c r="Z5" s="215"/>
      <c r="AA5" s="215"/>
      <c r="AB5" s="215"/>
      <c r="AC5" s="215"/>
      <c r="AD5" s="41"/>
      <c r="AE5" s="41"/>
      <c r="AF5" s="41"/>
      <c r="AG5" s="41"/>
      <c r="AH5" s="41"/>
      <c r="AI5" s="41"/>
      <c r="AJ5" s="41"/>
      <c r="AK5" s="46" t="s">
        <v>52</v>
      </c>
      <c r="AL5" s="47"/>
      <c r="AM5" s="47"/>
      <c r="AN5" s="47"/>
      <c r="AO5" s="47"/>
      <c r="AP5" s="47"/>
      <c r="AQ5" s="47"/>
      <c r="AR5" s="41"/>
      <c r="AS5" s="41"/>
      <c r="AT5" s="231">
        <f ca="1">TODAY()</f>
        <v>44497</v>
      </c>
      <c r="AU5" s="215"/>
      <c r="AV5" s="215"/>
      <c r="AW5" s="215"/>
      <c r="AX5" s="215"/>
      <c r="AY5" s="215"/>
      <c r="AZ5" s="215"/>
      <c r="BA5" s="227"/>
      <c r="BB5" s="228"/>
      <c r="BC5" s="228"/>
      <c r="BD5" s="228"/>
      <c r="BE5" s="229"/>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1" ht="67.5" customHeight="1">
      <c r="A7" s="49" t="s">
        <v>53</v>
      </c>
      <c r="B7" s="50" t="s">
        <v>54</v>
      </c>
      <c r="C7" s="52">
        <v>44462</v>
      </c>
      <c r="D7" s="52">
        <v>44469</v>
      </c>
      <c r="E7" s="54" t="s">
        <v>215</v>
      </c>
      <c r="F7" s="52">
        <v>44476</v>
      </c>
      <c r="G7" s="54"/>
      <c r="H7" s="52">
        <v>44483</v>
      </c>
      <c r="I7" s="54"/>
      <c r="J7" s="52">
        <v>44490</v>
      </c>
      <c r="K7" s="52">
        <v>44497</v>
      </c>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69</v>
      </c>
      <c r="BB7" s="57" t="s">
        <v>70</v>
      </c>
      <c r="BC7" s="57" t="s">
        <v>71</v>
      </c>
      <c r="BD7" s="57" t="s">
        <v>72</v>
      </c>
      <c r="BE7" s="58" t="s">
        <v>59</v>
      </c>
    </row>
    <row r="8" spans="1:61" ht="12" customHeight="1">
      <c r="A8" s="59">
        <v>1</v>
      </c>
      <c r="B8" s="60" t="str">
        <f>'C. FILIACION'!B8</f>
        <v>ARANCIBIA ARRAYA LUIS ANDRES</v>
      </c>
      <c r="C8" s="49" t="s">
        <v>60</v>
      </c>
      <c r="D8" s="49" t="s">
        <v>60</v>
      </c>
      <c r="E8" s="49"/>
      <c r="F8" s="49" t="s">
        <v>60</v>
      </c>
      <c r="G8" s="49"/>
      <c r="H8" s="49" t="s">
        <v>60</v>
      </c>
      <c r="I8" s="49"/>
      <c r="J8" s="49" t="s">
        <v>60</v>
      </c>
      <c r="K8" s="49" t="s">
        <v>60</v>
      </c>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67</v>
      </c>
      <c r="BA8" s="64">
        <f t="shared" ref="BA8:BA43" si="0">IF(COUNTIF(C8:AZ8,"A")=0,"",COUNTIF(C8:AZ8,"A"))</f>
        <v>6</v>
      </c>
      <c r="BB8" s="49" t="str">
        <f t="shared" ref="BB8:BB43" si="1">IF(COUNTIF(C8:AZ8,"F")=0,"",COUNTIF(C8:AZ8,"F"))</f>
        <v/>
      </c>
      <c r="BC8" s="49" t="str">
        <f t="shared" ref="BC8:BC43" si="2">IF(COUNTIF(C8:AZ8,"R")=0,"",COUNTIF(C8:AZ8,"R"))</f>
        <v/>
      </c>
      <c r="BD8" s="49">
        <f t="shared" ref="BD8:BD43" si="3">IF(COUNTIF(C8:AZ8,"L")=0,"",COUNTIF(C8:AZ8,"L"))</f>
        <v>1</v>
      </c>
      <c r="BE8" s="65">
        <f t="shared" ref="BE8:BE43" si="4">IF(COUNTIF(C8:AZ8,"L")=0,"",COUNTIF(C8:AZ8,"L"))</f>
        <v>1</v>
      </c>
    </row>
    <row r="9" spans="1:61" ht="12" customHeight="1">
      <c r="A9" s="59">
        <v>2</v>
      </c>
      <c r="B9" s="60" t="str">
        <f>'C. FILIACION'!B9</f>
        <v>ARIVIRI ALEXIS JHONATAN</v>
      </c>
      <c r="C9" s="49" t="s">
        <v>61</v>
      </c>
      <c r="D9" s="49" t="s">
        <v>165</v>
      </c>
      <c r="E9" s="49"/>
      <c r="F9" s="49" t="s">
        <v>61</v>
      </c>
      <c r="G9" s="49"/>
      <c r="H9" s="49" t="s">
        <v>60</v>
      </c>
      <c r="I9" s="49"/>
      <c r="J9" s="49" t="s">
        <v>60</v>
      </c>
      <c r="K9" s="49" t="s">
        <v>60</v>
      </c>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3</v>
      </c>
      <c r="BB9" s="49">
        <f t="shared" si="1"/>
        <v>2</v>
      </c>
      <c r="BC9" s="49">
        <f t="shared" si="2"/>
        <v>1</v>
      </c>
      <c r="BD9" s="49" t="str">
        <f t="shared" si="3"/>
        <v/>
      </c>
      <c r="BE9" s="65" t="str">
        <f t="shared" si="4"/>
        <v/>
      </c>
    </row>
    <row r="10" spans="1:61" ht="12" customHeight="1">
      <c r="A10" s="59">
        <v>3</v>
      </c>
      <c r="B10" s="60" t="str">
        <f>'C. FILIACION'!B10</f>
        <v>BASCOPE LOPEZ JHYMMY ANGHELO</v>
      </c>
      <c r="C10" s="49" t="s">
        <v>60</v>
      </c>
      <c r="D10" s="49" t="s">
        <v>60</v>
      </c>
      <c r="E10" s="49"/>
      <c r="F10" s="49" t="s">
        <v>60</v>
      </c>
      <c r="G10" s="49"/>
      <c r="H10" s="49" t="s">
        <v>60</v>
      </c>
      <c r="I10" s="49"/>
      <c r="J10" s="49" t="s">
        <v>165</v>
      </c>
      <c r="K10" s="49" t="s">
        <v>60</v>
      </c>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5</v>
      </c>
      <c r="BB10" s="49" t="str">
        <f t="shared" si="1"/>
        <v/>
      </c>
      <c r="BC10" s="49">
        <f t="shared" si="2"/>
        <v>1</v>
      </c>
      <c r="BD10" s="49" t="str">
        <f t="shared" si="3"/>
        <v/>
      </c>
      <c r="BE10" s="65" t="str">
        <f t="shared" si="4"/>
        <v/>
      </c>
    </row>
    <row r="11" spans="1:61" ht="12" customHeight="1">
      <c r="A11" s="59">
        <v>4</v>
      </c>
      <c r="B11" s="60" t="str">
        <f>'C. FILIACION'!B11</f>
        <v>BLANCO SALVATIERRA DANIELA MARGARITA</v>
      </c>
      <c r="C11" s="49" t="s">
        <v>60</v>
      </c>
      <c r="D11" s="49" t="s">
        <v>165</v>
      </c>
      <c r="E11" s="49"/>
      <c r="F11" s="49" t="s">
        <v>60</v>
      </c>
      <c r="G11" s="49"/>
      <c r="H11" s="49" t="s">
        <v>60</v>
      </c>
      <c r="I11" s="49"/>
      <c r="J11" s="49" t="s">
        <v>60</v>
      </c>
      <c r="K11" s="49" t="s">
        <v>60</v>
      </c>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5</v>
      </c>
      <c r="BB11" s="49" t="str">
        <f t="shared" si="1"/>
        <v/>
      </c>
      <c r="BC11" s="49">
        <f t="shared" si="2"/>
        <v>1</v>
      </c>
      <c r="BD11" s="49" t="str">
        <f t="shared" si="3"/>
        <v/>
      </c>
      <c r="BE11" s="65" t="str">
        <f t="shared" si="4"/>
        <v/>
      </c>
    </row>
    <row r="12" spans="1:61" ht="12" customHeight="1">
      <c r="A12" s="59">
        <v>5</v>
      </c>
      <c r="B12" s="60" t="str">
        <f>'C. FILIACION'!B12</f>
        <v>DAVILA LAPACA DIEGO LEONEL</v>
      </c>
      <c r="C12" s="49" t="s">
        <v>60</v>
      </c>
      <c r="D12" s="49" t="s">
        <v>60</v>
      </c>
      <c r="E12" s="49"/>
      <c r="F12" s="49" t="s">
        <v>165</v>
      </c>
      <c r="G12" s="49"/>
      <c r="H12" s="49" t="s">
        <v>60</v>
      </c>
      <c r="I12" s="49"/>
      <c r="J12" s="49" t="s">
        <v>60</v>
      </c>
      <c r="K12" s="49" t="s">
        <v>165</v>
      </c>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4</v>
      </c>
      <c r="BB12" s="49" t="str">
        <f t="shared" si="1"/>
        <v/>
      </c>
      <c r="BC12" s="49">
        <f t="shared" si="2"/>
        <v>2</v>
      </c>
      <c r="BD12" s="49" t="str">
        <f t="shared" si="3"/>
        <v/>
      </c>
      <c r="BE12" s="65" t="str">
        <f t="shared" si="4"/>
        <v/>
      </c>
    </row>
    <row r="13" spans="1:61" ht="12" customHeight="1">
      <c r="A13" s="59">
        <v>6</v>
      </c>
      <c r="B13" s="60" t="str">
        <f>'C. FILIACION'!B13</f>
        <v>ESCOBAR LAZO JHOSELIN MARCELA</v>
      </c>
      <c r="C13" s="49" t="s">
        <v>60</v>
      </c>
      <c r="D13" s="49" t="s">
        <v>60</v>
      </c>
      <c r="E13" s="49"/>
      <c r="F13" s="49" t="s">
        <v>60</v>
      </c>
      <c r="G13" s="49"/>
      <c r="H13" s="49" t="s">
        <v>165</v>
      </c>
      <c r="I13" s="49"/>
      <c r="J13" s="49" t="s">
        <v>60</v>
      </c>
      <c r="K13" s="49" t="s">
        <v>60</v>
      </c>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5</v>
      </c>
      <c r="BB13" s="49" t="str">
        <f t="shared" si="1"/>
        <v/>
      </c>
      <c r="BC13" s="49">
        <f t="shared" si="2"/>
        <v>1</v>
      </c>
      <c r="BD13" s="49" t="str">
        <f t="shared" si="3"/>
        <v/>
      </c>
      <c r="BE13" s="65" t="str">
        <f t="shared" si="4"/>
        <v/>
      </c>
    </row>
    <row r="14" spans="1:61" ht="12" customHeight="1">
      <c r="A14" s="59">
        <v>7</v>
      </c>
      <c r="B14" s="60" t="str">
        <f>'C. FILIACION'!B14</f>
        <v>GUTIERREZ PEREZ ARIEL FERNANDO</v>
      </c>
      <c r="C14" s="49" t="s">
        <v>60</v>
      </c>
      <c r="D14" s="49" t="s">
        <v>60</v>
      </c>
      <c r="E14" s="49" t="s">
        <v>214</v>
      </c>
      <c r="F14" s="49" t="s">
        <v>60</v>
      </c>
      <c r="G14" s="49" t="s">
        <v>214</v>
      </c>
      <c r="H14" s="49" t="s">
        <v>60</v>
      </c>
      <c r="I14" s="49" t="s">
        <v>214</v>
      </c>
      <c r="J14" s="49" t="s">
        <v>60</v>
      </c>
      <c r="K14" s="49" t="s">
        <v>60</v>
      </c>
      <c r="L14" s="49" t="s">
        <v>217</v>
      </c>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6</v>
      </c>
      <c r="BB14" s="49" t="str">
        <f t="shared" si="1"/>
        <v/>
      </c>
      <c r="BC14" s="49" t="str">
        <f t="shared" si="2"/>
        <v/>
      </c>
      <c r="BD14" s="49" t="str">
        <f t="shared" si="3"/>
        <v/>
      </c>
      <c r="BE14" s="65" t="str">
        <f t="shared" si="4"/>
        <v/>
      </c>
    </row>
    <row r="15" spans="1:61" ht="12" customHeight="1">
      <c r="A15" s="59">
        <v>8</v>
      </c>
      <c r="B15" s="60" t="str">
        <f>'C. FILIACION'!B15</f>
        <v>LOPEZ PACO FABRICIO ANDRE</v>
      </c>
      <c r="C15" s="49" t="s">
        <v>60</v>
      </c>
      <c r="D15" s="49" t="s">
        <v>61</v>
      </c>
      <c r="E15" s="49"/>
      <c r="F15" s="49" t="s">
        <v>60</v>
      </c>
      <c r="G15" s="49"/>
      <c r="H15" s="49" t="s">
        <v>60</v>
      </c>
      <c r="I15" s="49"/>
      <c r="J15" s="49" t="s">
        <v>60</v>
      </c>
      <c r="K15" s="49" t="s">
        <v>60</v>
      </c>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5</v>
      </c>
      <c r="BB15" s="49">
        <f t="shared" si="1"/>
        <v>1</v>
      </c>
      <c r="BC15" s="49" t="str">
        <f t="shared" si="2"/>
        <v/>
      </c>
      <c r="BD15" s="49" t="str">
        <f t="shared" si="3"/>
        <v/>
      </c>
      <c r="BE15" s="65" t="str">
        <f t="shared" si="4"/>
        <v/>
      </c>
    </row>
    <row r="16" spans="1:61" ht="12" customHeight="1">
      <c r="A16" s="59">
        <v>9</v>
      </c>
      <c r="B16" s="60" t="str">
        <f>'C. FILIACION'!B16</f>
        <v>NINA PANIAGUA DEYVID GABRIEL</v>
      </c>
      <c r="C16" s="49" t="s">
        <v>60</v>
      </c>
      <c r="D16" s="49" t="s">
        <v>60</v>
      </c>
      <c r="E16" s="49"/>
      <c r="F16" s="49" t="s">
        <v>60</v>
      </c>
      <c r="G16" s="49"/>
      <c r="H16" s="49" t="s">
        <v>60</v>
      </c>
      <c r="I16" s="49"/>
      <c r="J16" s="49" t="s">
        <v>60</v>
      </c>
      <c r="K16" s="49" t="s">
        <v>60</v>
      </c>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6</v>
      </c>
      <c r="BB16" s="49" t="str">
        <f t="shared" si="1"/>
        <v/>
      </c>
      <c r="BC16" s="49" t="str">
        <f t="shared" si="2"/>
        <v/>
      </c>
      <c r="BD16" s="49" t="str">
        <f t="shared" si="3"/>
        <v/>
      </c>
      <c r="BE16" s="65" t="str">
        <f t="shared" si="4"/>
        <v/>
      </c>
    </row>
    <row r="17" spans="1:57" ht="12" customHeight="1">
      <c r="A17" s="59">
        <v>10</v>
      </c>
      <c r="B17" s="60" t="str">
        <f>'C. FILIACION'!B17</f>
        <v>PASTOR CONDARCO STEVE DAVID</v>
      </c>
      <c r="C17" s="49" t="s">
        <v>60</v>
      </c>
      <c r="D17" s="49" t="s">
        <v>60</v>
      </c>
      <c r="E17" s="49"/>
      <c r="F17" s="49" t="s">
        <v>165</v>
      </c>
      <c r="G17" s="49"/>
      <c r="H17" s="49" t="s">
        <v>61</v>
      </c>
      <c r="I17" s="49"/>
      <c r="J17" s="49" t="s">
        <v>165</v>
      </c>
      <c r="K17" s="49" t="s">
        <v>61</v>
      </c>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2</v>
      </c>
      <c r="BB17" s="49">
        <f t="shared" si="1"/>
        <v>2</v>
      </c>
      <c r="BC17" s="49">
        <f t="shared" si="2"/>
        <v>2</v>
      </c>
      <c r="BD17" s="49" t="str">
        <f t="shared" si="3"/>
        <v/>
      </c>
      <c r="BE17" s="65" t="str">
        <f t="shared" si="4"/>
        <v/>
      </c>
    </row>
    <row r="18" spans="1:57" ht="12" customHeight="1">
      <c r="A18" s="59">
        <v>11</v>
      </c>
      <c r="B18" s="60" t="str">
        <f>'C. FILIACION'!B18</f>
        <v>ROJAS MAMANI JERUSALEN LOURDES</v>
      </c>
      <c r="C18" s="49" t="s">
        <v>60</v>
      </c>
      <c r="D18" s="49" t="s">
        <v>60</v>
      </c>
      <c r="E18" s="49"/>
      <c r="F18" s="49" t="s">
        <v>60</v>
      </c>
      <c r="G18" s="49"/>
      <c r="H18" s="49" t="s">
        <v>60</v>
      </c>
      <c r="I18" s="49"/>
      <c r="J18" s="49" t="s">
        <v>60</v>
      </c>
      <c r="K18" s="49" t="s">
        <v>60</v>
      </c>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6</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t="s">
        <v>60</v>
      </c>
      <c r="D19" s="49" t="s">
        <v>60</v>
      </c>
      <c r="E19" s="49"/>
      <c r="F19" s="49" t="s">
        <v>165</v>
      </c>
      <c r="G19" s="49"/>
      <c r="H19" s="49" t="s">
        <v>165</v>
      </c>
      <c r="I19" s="49"/>
      <c r="J19" s="49" t="s">
        <v>60</v>
      </c>
      <c r="K19" s="49" t="s">
        <v>60</v>
      </c>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4</v>
      </c>
      <c r="BB19" s="49" t="str">
        <f t="shared" si="1"/>
        <v/>
      </c>
      <c r="BC19" s="49">
        <f t="shared" si="2"/>
        <v>2</v>
      </c>
      <c r="BD19" s="49" t="str">
        <f t="shared" si="3"/>
        <v/>
      </c>
      <c r="BE19" s="65" t="str">
        <f t="shared" si="4"/>
        <v/>
      </c>
    </row>
    <row r="20" spans="1:57" ht="12" customHeight="1">
      <c r="A20" s="59">
        <v>13</v>
      </c>
      <c r="B20" s="60" t="str">
        <f>'C. FILIACION'!B20</f>
        <v>SANTOS CRUZ ROYER JOEL</v>
      </c>
      <c r="C20" s="49" t="s">
        <v>60</v>
      </c>
      <c r="D20" s="49" t="s">
        <v>165</v>
      </c>
      <c r="E20" s="49"/>
      <c r="F20" s="49" t="s">
        <v>60</v>
      </c>
      <c r="G20" s="49"/>
      <c r="H20" s="49" t="s">
        <v>60</v>
      </c>
      <c r="I20" s="49"/>
      <c r="J20" s="49" t="s">
        <v>60</v>
      </c>
      <c r="K20" s="49" t="s">
        <v>60</v>
      </c>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5</v>
      </c>
      <c r="BB20" s="49" t="str">
        <f t="shared" si="1"/>
        <v/>
      </c>
      <c r="BC20" s="49">
        <f t="shared" si="2"/>
        <v>1</v>
      </c>
      <c r="BD20" s="49" t="str">
        <f t="shared" si="3"/>
        <v/>
      </c>
      <c r="BE20" s="65" t="str">
        <f t="shared" si="4"/>
        <v/>
      </c>
    </row>
    <row r="21" spans="1:57" ht="12" customHeight="1">
      <c r="A21" s="59">
        <v>14</v>
      </c>
      <c r="B21" s="60" t="str">
        <f>'C. FILIACION'!B21</f>
        <v>TICONA LOAYZA ARIADNE VALERIA</v>
      </c>
      <c r="C21" s="49" t="s">
        <v>60</v>
      </c>
      <c r="D21" s="49" t="s">
        <v>60</v>
      </c>
      <c r="E21" s="49"/>
      <c r="F21" s="49" t="s">
        <v>60</v>
      </c>
      <c r="G21" s="49"/>
      <c r="H21" s="49" t="s">
        <v>60</v>
      </c>
      <c r="I21" s="49"/>
      <c r="J21" s="49" t="s">
        <v>165</v>
      </c>
      <c r="K21" s="49" t="s">
        <v>60</v>
      </c>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5</v>
      </c>
      <c r="BB21" s="49" t="str">
        <f t="shared" si="1"/>
        <v/>
      </c>
      <c r="BC21" s="49">
        <f t="shared" si="2"/>
        <v>1</v>
      </c>
      <c r="BD21" s="49" t="str">
        <f t="shared" si="3"/>
        <v/>
      </c>
      <c r="BE21" s="65" t="str">
        <f t="shared" si="4"/>
        <v/>
      </c>
    </row>
    <row r="22" spans="1:57" ht="12" customHeight="1">
      <c r="A22" s="59">
        <v>15</v>
      </c>
      <c r="B22" s="60" t="str">
        <f>'C. FILIACION'!B22</f>
        <v>ZEBALLOS DEL CARPIO AMIRA MERCEDES</v>
      </c>
      <c r="C22" s="49" t="s">
        <v>60</v>
      </c>
      <c r="D22" s="49" t="s">
        <v>61</v>
      </c>
      <c r="E22" s="49"/>
      <c r="F22" s="49" t="s">
        <v>165</v>
      </c>
      <c r="G22" s="49" t="s">
        <v>216</v>
      </c>
      <c r="H22" s="49" t="s">
        <v>165</v>
      </c>
      <c r="I22" s="49"/>
      <c r="J22" s="49" t="s">
        <v>165</v>
      </c>
      <c r="K22" s="49" t="s">
        <v>60</v>
      </c>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2</v>
      </c>
      <c r="BB22" s="49">
        <f t="shared" si="1"/>
        <v>1</v>
      </c>
      <c r="BC22" s="49">
        <f t="shared" si="2"/>
        <v>3</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79B8-A878-4D26-BC77-578E07310BED}">
  <dimension ref="A1:AD31"/>
  <sheetViews>
    <sheetView zoomScale="85" zoomScaleNormal="85" workbookViewId="0">
      <selection activeCell="AB31" sqref="A1:AB31"/>
    </sheetView>
  </sheetViews>
  <sheetFormatPr baseColWidth="10" defaultRowHeight="20.399999999999999"/>
  <cols>
    <col min="1" max="26" width="2.3984375" customWidth="1"/>
  </cols>
  <sheetData>
    <row r="1" spans="1:30" s="158" customFormat="1" ht="22.5" customHeight="1"/>
    <row r="2" spans="1:30">
      <c r="A2" s="236" t="s">
        <v>173</v>
      </c>
      <c r="B2" s="236"/>
      <c r="C2" s="236"/>
      <c r="D2" s="236"/>
      <c r="E2" s="236"/>
      <c r="F2" s="236"/>
      <c r="G2" s="236"/>
      <c r="H2" s="236"/>
      <c r="I2" s="236"/>
      <c r="J2" s="236"/>
      <c r="K2" s="236"/>
      <c r="L2" s="236"/>
      <c r="M2" s="236"/>
      <c r="N2" s="236"/>
      <c r="O2" s="236"/>
      <c r="P2" s="236"/>
      <c r="Q2" s="236"/>
      <c r="R2" s="236"/>
      <c r="S2" s="236"/>
      <c r="T2" s="236"/>
      <c r="U2" s="236"/>
      <c r="V2" s="236"/>
      <c r="W2" s="236"/>
      <c r="X2" s="236"/>
      <c r="Y2" s="236"/>
      <c r="Z2" s="236"/>
      <c r="AA2" s="236"/>
      <c r="AB2" s="236"/>
    </row>
    <row r="3" spans="1:30" ht="6" customHeight="1"/>
    <row r="4" spans="1:30" ht="15.9" customHeight="1">
      <c r="A4" s="240" t="s">
        <v>174</v>
      </c>
      <c r="B4" s="240"/>
      <c r="C4" s="240"/>
      <c r="D4" s="240"/>
      <c r="E4" s="240"/>
      <c r="F4" s="237" t="str">
        <f>CARÁTULA!C25</f>
        <v>Tecnica Tecnologica (Programacion)</v>
      </c>
      <c r="G4" s="237"/>
      <c r="H4" s="237"/>
      <c r="I4" s="237"/>
      <c r="J4" s="237"/>
      <c r="K4" s="237"/>
      <c r="L4" s="237"/>
      <c r="M4" s="237"/>
      <c r="N4" s="237"/>
      <c r="O4" s="238" t="s">
        <v>188</v>
      </c>
      <c r="P4" s="238"/>
      <c r="Q4" s="238"/>
      <c r="R4" s="237" t="str">
        <f>CARÁTULA!C23</f>
        <v>1ro de Secundaria</v>
      </c>
      <c r="S4" s="237"/>
      <c r="T4" s="237"/>
      <c r="U4" s="237"/>
      <c r="V4" s="237"/>
      <c r="W4" s="237"/>
      <c r="X4" s="237"/>
      <c r="Y4" s="237"/>
      <c r="Z4" s="237"/>
      <c r="AA4" s="180" t="s">
        <v>197</v>
      </c>
      <c r="AB4" s="182" t="s">
        <v>201</v>
      </c>
    </row>
    <row r="5" spans="1:30" ht="15.9" customHeight="1">
      <c r="A5" s="240" t="s">
        <v>175</v>
      </c>
      <c r="B5" s="240"/>
      <c r="C5" s="240"/>
      <c r="D5" s="240"/>
      <c r="E5" s="240"/>
      <c r="F5" s="241" t="s">
        <v>45</v>
      </c>
      <c r="G5" s="241"/>
      <c r="H5" s="241"/>
      <c r="I5" s="241"/>
      <c r="J5" s="241"/>
      <c r="K5" s="241"/>
      <c r="L5" s="241"/>
      <c r="M5" s="241"/>
      <c r="N5" s="241"/>
      <c r="O5" s="241"/>
      <c r="P5" s="241"/>
      <c r="Q5" s="241"/>
      <c r="R5" s="241"/>
      <c r="S5" s="241"/>
      <c r="T5" s="241"/>
      <c r="U5" s="241"/>
      <c r="V5" s="241"/>
      <c r="W5" s="241"/>
      <c r="X5" s="241"/>
      <c r="Y5" s="241"/>
      <c r="Z5" s="241"/>
      <c r="AA5" s="180" t="s">
        <v>200</v>
      </c>
      <c r="AB5" s="181" t="s">
        <v>199</v>
      </c>
    </row>
    <row r="6" spans="1:30" ht="15.9" customHeight="1">
      <c r="A6" s="240" t="s">
        <v>176</v>
      </c>
      <c r="B6" s="240"/>
      <c r="C6" s="240"/>
      <c r="D6" s="240"/>
      <c r="E6" s="240"/>
      <c r="F6" s="241" t="s">
        <v>178</v>
      </c>
      <c r="G6" s="241"/>
      <c r="H6" s="241"/>
      <c r="I6" s="241"/>
      <c r="J6" s="241"/>
      <c r="K6" s="241"/>
      <c r="L6" s="241"/>
      <c r="M6" s="241"/>
      <c r="N6" s="241"/>
      <c r="O6" s="241"/>
      <c r="P6" s="241"/>
      <c r="Q6" s="241"/>
      <c r="R6" s="241"/>
      <c r="S6" s="241"/>
      <c r="T6" s="241"/>
      <c r="U6" s="241"/>
      <c r="V6" s="241"/>
      <c r="W6" s="241"/>
      <c r="X6" s="241"/>
      <c r="Y6" s="241"/>
      <c r="Z6" s="241"/>
    </row>
    <row r="7" spans="1:30" ht="7.5" customHeight="1"/>
    <row r="8" spans="1:30" ht="15.9" customHeight="1">
      <c r="A8" s="239" t="s">
        <v>177</v>
      </c>
      <c r="B8" s="239"/>
      <c r="C8" s="239"/>
      <c r="D8" s="239"/>
      <c r="E8" s="239"/>
      <c r="F8" s="239"/>
      <c r="G8" s="239"/>
      <c r="H8" s="239"/>
      <c r="I8" s="239"/>
      <c r="J8" s="239"/>
      <c r="K8" s="239"/>
      <c r="L8" s="239"/>
      <c r="M8" s="239"/>
      <c r="N8" s="239"/>
      <c r="O8" s="239"/>
      <c r="P8" s="239"/>
      <c r="Q8" s="239"/>
      <c r="R8" s="239"/>
      <c r="S8" s="239"/>
      <c r="T8" s="239"/>
      <c r="U8" s="239"/>
      <c r="V8" s="239"/>
      <c r="W8" s="239"/>
      <c r="X8" s="239"/>
      <c r="Y8" s="239"/>
      <c r="Z8" s="239"/>
      <c r="AA8" s="239"/>
      <c r="AB8" s="239"/>
    </row>
    <row r="9" spans="1:30" ht="5.25" customHeight="1"/>
    <row r="10" spans="1:30" ht="81" customHeight="1">
      <c r="F10" s="163" t="str">
        <f>'ASIS 2 TRIM'!C7</f>
        <v>13/5/2020</v>
      </c>
      <c r="G10" s="163" t="str">
        <f>'ASIS 2 TRIM'!D7</f>
        <v>20/5/2020</v>
      </c>
      <c r="H10" s="163" t="str">
        <f>'ASIS 2 TRIM'!E7</f>
        <v>27/5/2021</v>
      </c>
      <c r="I10" s="163" t="str">
        <f>'ASIS 2 TRIM'!F7</f>
        <v>1/7/2021</v>
      </c>
      <c r="J10" s="163" t="str">
        <f>'ASIS 2 TRIM'!G7</f>
        <v>8/7/2021</v>
      </c>
      <c r="K10" s="163" t="str">
        <f>'ASIS 2 TRIM'!H7</f>
        <v>15/7/2021</v>
      </c>
      <c r="L10" s="163" t="str">
        <f>'ASIS 2 TRIM'!I7</f>
        <v>22/7/2021</v>
      </c>
      <c r="M10" s="163" t="str">
        <f>'ASIS 2 TRIM'!J7</f>
        <v>29/7/2021</v>
      </c>
      <c r="N10" s="163" t="str">
        <f>'ASIS 2 TRIM'!K7</f>
        <v>5/8/2021</v>
      </c>
      <c r="O10" s="163" t="str">
        <f>'ASIS 2 TRIM'!L7</f>
        <v>12/8/2021</v>
      </c>
      <c r="P10" s="163" t="str">
        <f>'ASIS 2 TRIM'!M7</f>
        <v>19/8/2021</v>
      </c>
      <c r="Q10" s="163" t="str">
        <f>'ASIS 2 TRIM'!N7</f>
        <v>26/8/20212</v>
      </c>
      <c r="R10" s="163" t="str">
        <f>'ASIS 2 TRIM'!O7</f>
        <v>2/9/2021</v>
      </c>
      <c r="S10" s="163" t="str">
        <f>'ASIS 2 TRIM'!P7</f>
        <v>9/9/2021</v>
      </c>
      <c r="T10" s="163"/>
      <c r="U10" s="163"/>
      <c r="V10" s="163" t="str">
        <f>'ASIS 2 TRIM'!BA7</f>
        <v>Asist. (A)</v>
      </c>
      <c r="W10" s="163" t="str">
        <f>'ASIS 2 TRIM'!BB7</f>
        <v>Faltas (F)</v>
      </c>
      <c r="X10" s="163" t="str">
        <f>'ASIS 2 TRIM'!BC7</f>
        <v>Retrasos (R)</v>
      </c>
      <c r="Y10" s="163" t="str">
        <f>'ASIS 2 TRIM'!BD7</f>
        <v>Licencias (L)</v>
      </c>
      <c r="Z10" s="178" t="str">
        <f>'ASIS 2 TRIM'!BE7</f>
        <v>DÍAS TRABAJADOS</v>
      </c>
    </row>
    <row r="11" spans="1:30" ht="15" customHeight="1">
      <c r="F11" s="179" t="str">
        <f>VLOOKUP($F$5,Tabla2[[NÓMINA DE ESTUDIANTES]:[5/8/2021]],2,FALSE)</f>
        <v>a</v>
      </c>
      <c r="G11" s="179" t="str">
        <f>VLOOKUP($F$5,Tabla2[[NÓMINA DE ESTUDIANTES]:[5/8/2021]],3,FALSE)</f>
        <v>a</v>
      </c>
      <c r="H11" s="179"/>
      <c r="I11" s="179" t="str">
        <f>VLOOKUP($F$5,Tabla2[[NÓMINA DE ESTUDIANTES]:[5/8/2021]],5,FALSE)</f>
        <v>a</v>
      </c>
      <c r="J11" s="179" t="str">
        <f>VLOOKUP($F$5,Tabla2[[NÓMINA DE ESTUDIANTES]:[5/8/2021]],6,FALSE)</f>
        <v>a</v>
      </c>
      <c r="K11" s="179" t="str">
        <f>VLOOKUP($F$5,Tabla2[[NÓMINA DE ESTUDIANTES]:[5/8/2021]],7,FALSE)</f>
        <v>a</v>
      </c>
      <c r="L11" s="179" t="str">
        <f>VLOOKUP($F$5,Tabla2[[NÓMINA DE ESTUDIANTES]:[5/8/2021]],8,FALSE)</f>
        <v>a</v>
      </c>
      <c r="M11" s="179" t="str">
        <f>VLOOKUP($F$5,Tabla2[[NÓMINA DE ESTUDIANTES]:[5/8/2021]],9,FALSE)</f>
        <v>a</v>
      </c>
      <c r="N11" s="179" t="str">
        <f>VLOOKUP($F$5,Tabla2[[NÓMINA DE ESTUDIANTES]:[5/8/2021]],10,FALSE)</f>
        <v>a</v>
      </c>
      <c r="O11" s="179" t="str">
        <f>VLOOKUP($F$5,Tabla2[[NÓMINA DE ESTUDIANTES]:[12/8/2021]],11,FALSE)</f>
        <v>a</v>
      </c>
      <c r="P11" s="179" t="str">
        <f>VLOOKUP($F$5,Tabla2[[NÓMINA DE ESTUDIANTES]:[12/8/2021]],11,FALSE)</f>
        <v>a</v>
      </c>
      <c r="Q11" s="179" t="str">
        <f>VLOOKUP($F$5,Tabla2[[NÓMINA DE ESTUDIANTES]:[12/8/2021]],11,FALSE)</f>
        <v>a</v>
      </c>
      <c r="R11" s="179" t="str">
        <f>VLOOKUP($F$5,Tabla2[[NÓMINA DE ESTUDIANTES]:[12/8/2021]],11,FALSE)</f>
        <v>a</v>
      </c>
      <c r="S11" s="179" t="str">
        <f>VLOOKUP($F$5,Tabla2[[NÓMINA DE ESTUDIANTES]:[12/8/2021]],11,FALSE)</f>
        <v>a</v>
      </c>
      <c r="V11" s="179">
        <f>VLOOKUP($F$5,'ASIS 2 TRIM'!$B$8:$BE$22,52,FALSE)</f>
        <v>13</v>
      </c>
      <c r="W11" s="179">
        <f>VLOOKUP($F$5,'ASIS 2 TRIM'!$B$8:$BE$22,53,FALSE)</f>
        <v>0</v>
      </c>
      <c r="X11" s="179" t="str">
        <f>VLOOKUP($F$5,'ASIS 2 TRIM'!$B$8:$BE$22,54,FALSE)</f>
        <v>0</v>
      </c>
      <c r="Y11" s="179" t="str">
        <f>VLOOKUP($F$5,'ASIS 2 TRIM'!$B$8:$BE$22,55,FALSE)</f>
        <v>0</v>
      </c>
      <c r="Z11" s="179">
        <f>VLOOKUP($F$5,'ASIS 2 TRIM'!$B$8:$BE$22,56,FALSE)</f>
        <v>13</v>
      </c>
    </row>
    <row r="12" spans="1:30" ht="15" customHeight="1"/>
    <row r="13" spans="1:30" ht="15" customHeight="1">
      <c r="A13" s="242" t="s">
        <v>195</v>
      </c>
      <c r="B13" s="242"/>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row>
    <row r="14" spans="1:30" s="158" customFormat="1" ht="15" customHeight="1">
      <c r="A14" s="242" t="s">
        <v>192</v>
      </c>
      <c r="B14" s="242"/>
      <c r="C14" s="242"/>
      <c r="D14" s="242"/>
      <c r="E14" s="242"/>
      <c r="F14" s="242"/>
      <c r="G14" s="242"/>
      <c r="H14" s="242"/>
      <c r="I14" s="242" t="s">
        <v>193</v>
      </c>
      <c r="J14" s="242"/>
      <c r="K14" s="242" t="s">
        <v>194</v>
      </c>
      <c r="L14" s="242"/>
      <c r="M14" s="242"/>
      <c r="N14" s="242"/>
      <c r="O14" s="242"/>
      <c r="P14" s="242"/>
      <c r="Q14" s="242"/>
      <c r="R14" s="242"/>
      <c r="S14" s="242"/>
      <c r="T14" s="242"/>
      <c r="U14" s="242"/>
      <c r="V14" s="242"/>
      <c r="W14" s="242"/>
      <c r="X14" s="242"/>
      <c r="Y14" s="242"/>
      <c r="Z14" s="242"/>
      <c r="AA14" s="242"/>
      <c r="AB14" s="242"/>
      <c r="AD14" s="60"/>
    </row>
    <row r="15" spans="1:30" ht="15" customHeight="1">
      <c r="A15" s="243" t="s">
        <v>191</v>
      </c>
      <c r="B15" s="244"/>
      <c r="C15" s="244"/>
      <c r="D15" s="244"/>
      <c r="E15" s="244"/>
      <c r="F15" s="244"/>
      <c r="G15" s="244"/>
      <c r="H15" s="244"/>
      <c r="I15" s="247">
        <f>VLOOKUP($F$5,'VAL 2 TRIM'!$B$9:$AM$23,3,FALSE)</f>
        <v>21</v>
      </c>
      <c r="J15" s="247"/>
      <c r="K15" s="248" t="s">
        <v>204</v>
      </c>
      <c r="L15" s="249"/>
      <c r="M15" s="249"/>
      <c r="N15" s="249"/>
      <c r="O15" s="249"/>
      <c r="P15" s="249"/>
      <c r="Q15" s="249"/>
      <c r="R15" s="249"/>
      <c r="S15" s="249"/>
      <c r="T15" s="249"/>
      <c r="U15" s="249"/>
      <c r="V15" s="249"/>
      <c r="W15" s="249"/>
      <c r="X15" s="249"/>
      <c r="Y15" s="249"/>
      <c r="Z15" s="249"/>
      <c r="AA15" s="249"/>
      <c r="AB15" s="249"/>
      <c r="AC15">
        <f>IF(I15=0,1,0)</f>
        <v>0</v>
      </c>
      <c r="AD15" s="183">
        <v>1</v>
      </c>
    </row>
    <row r="16" spans="1:30" ht="15" customHeight="1">
      <c r="A16" s="245" t="s">
        <v>172</v>
      </c>
      <c r="B16" s="245"/>
      <c r="C16" s="245"/>
      <c r="D16" s="245"/>
      <c r="E16" s="245"/>
      <c r="F16" s="245"/>
      <c r="G16" s="245"/>
      <c r="H16" s="245"/>
      <c r="I16" s="247">
        <f>VLOOKUP($F$5,'VAL 2 TRIM'!$B$9:$AM$23,4,FALSE)</f>
        <v>30</v>
      </c>
      <c r="J16" s="247"/>
      <c r="K16" s="247"/>
      <c r="L16" s="247"/>
      <c r="M16" s="247"/>
      <c r="N16" s="247"/>
      <c r="O16" s="247"/>
      <c r="P16" s="247"/>
      <c r="Q16" s="247"/>
      <c r="R16" s="247"/>
      <c r="S16" s="247"/>
      <c r="T16" s="247"/>
      <c r="U16" s="247"/>
      <c r="V16" s="247"/>
      <c r="W16" s="247"/>
      <c r="X16" s="247"/>
      <c r="Y16" s="247"/>
      <c r="Z16" s="247"/>
      <c r="AA16" s="247"/>
      <c r="AB16" s="247"/>
      <c r="AC16" s="158">
        <f t="shared" ref="AC16:AC17" si="0">IF(I16=0,1,0)</f>
        <v>0</v>
      </c>
      <c r="AD16" s="183">
        <v>1</v>
      </c>
    </row>
    <row r="17" spans="1:30" ht="15" customHeight="1">
      <c r="A17" s="246" t="s">
        <v>190</v>
      </c>
      <c r="B17" s="245"/>
      <c r="C17" s="245"/>
      <c r="D17" s="245"/>
      <c r="E17" s="245"/>
      <c r="F17" s="245"/>
      <c r="G17" s="245"/>
      <c r="H17" s="245"/>
      <c r="I17" s="247">
        <f>VLOOKUP($F$5,'VAL 2 TRIM'!$B$9:$AM$23,5,FALSE)</f>
        <v>30</v>
      </c>
      <c r="J17" s="247"/>
      <c r="K17" s="247"/>
      <c r="L17" s="247"/>
      <c r="M17" s="247"/>
      <c r="N17" s="247"/>
      <c r="O17" s="247"/>
      <c r="P17" s="247"/>
      <c r="Q17" s="247"/>
      <c r="R17" s="247"/>
      <c r="S17" s="247"/>
      <c r="T17" s="247"/>
      <c r="U17" s="247"/>
      <c r="V17" s="247"/>
      <c r="W17" s="247"/>
      <c r="X17" s="247"/>
      <c r="Y17" s="247"/>
      <c r="Z17" s="247"/>
      <c r="AA17" s="247"/>
      <c r="AB17" s="247"/>
      <c r="AC17" s="158">
        <f t="shared" si="0"/>
        <v>0</v>
      </c>
      <c r="AD17" s="184">
        <v>1</v>
      </c>
    </row>
    <row r="18" spans="1:30" ht="15" customHeight="1">
      <c r="A18" s="250" t="s">
        <v>78</v>
      </c>
      <c r="B18" s="251"/>
      <c r="C18" s="251"/>
      <c r="D18" s="251"/>
      <c r="E18" s="251"/>
      <c r="F18" s="251"/>
      <c r="G18" s="251"/>
      <c r="H18" s="251"/>
      <c r="I18" s="252">
        <f>SUM(I15:J17)/3</f>
        <v>27</v>
      </c>
      <c r="J18" s="252"/>
      <c r="K18" s="247"/>
      <c r="L18" s="247"/>
      <c r="M18" s="247"/>
      <c r="N18" s="247"/>
      <c r="O18" s="247"/>
      <c r="P18" s="247"/>
      <c r="Q18" s="247"/>
      <c r="R18" s="247"/>
      <c r="S18" s="247"/>
      <c r="T18" s="247"/>
      <c r="U18" s="247"/>
      <c r="V18" s="247"/>
      <c r="W18" s="247"/>
      <c r="X18" s="247"/>
      <c r="Y18" s="247"/>
      <c r="Z18" s="247"/>
      <c r="AA18" s="247"/>
      <c r="AB18" s="247"/>
      <c r="AC18">
        <f>SUM(AC15:AC17)</f>
        <v>0</v>
      </c>
    </row>
    <row r="19" spans="1:30" ht="9.75" customHeight="1"/>
    <row r="20" spans="1:30" ht="15" customHeight="1">
      <c r="A20" s="242" t="s">
        <v>196</v>
      </c>
      <c r="B20" s="242"/>
      <c r="C20" s="242"/>
      <c r="D20" s="242"/>
      <c r="E20" s="242"/>
      <c r="F20" s="242"/>
      <c r="G20" s="242"/>
      <c r="H20" s="242"/>
      <c r="I20" s="242"/>
      <c r="J20" s="242"/>
      <c r="K20" s="242"/>
      <c r="L20" s="242"/>
      <c r="M20" s="242"/>
      <c r="N20" s="242"/>
      <c r="O20" s="242"/>
      <c r="P20" s="242"/>
      <c r="Q20" s="242"/>
      <c r="R20" s="242"/>
      <c r="S20" s="242"/>
      <c r="T20" s="242"/>
      <c r="U20" s="242"/>
      <c r="V20" s="242"/>
      <c r="W20" s="242"/>
      <c r="X20" s="242"/>
      <c r="Y20" s="242"/>
      <c r="Z20" s="242"/>
      <c r="AA20" s="242"/>
      <c r="AB20" s="242"/>
    </row>
    <row r="21" spans="1:30" ht="15" customHeight="1">
      <c r="A21" s="242" t="s">
        <v>192</v>
      </c>
      <c r="B21" s="242"/>
      <c r="C21" s="242"/>
      <c r="D21" s="242"/>
      <c r="E21" s="242"/>
      <c r="F21" s="242"/>
      <c r="G21" s="242"/>
      <c r="H21" s="242"/>
      <c r="I21" s="242" t="s">
        <v>193</v>
      </c>
      <c r="J21" s="242"/>
      <c r="K21" s="242" t="s">
        <v>194</v>
      </c>
      <c r="L21" s="242"/>
      <c r="M21" s="242"/>
      <c r="N21" s="242"/>
      <c r="O21" s="242"/>
      <c r="P21" s="242"/>
      <c r="Q21" s="242"/>
      <c r="R21" s="242"/>
      <c r="S21" s="242"/>
      <c r="T21" s="242"/>
      <c r="U21" s="242"/>
      <c r="V21" s="242"/>
      <c r="W21" s="242"/>
      <c r="X21" s="242"/>
      <c r="Y21" s="242"/>
      <c r="Z21" s="242"/>
      <c r="AA21" s="242"/>
      <c r="AB21" s="242"/>
    </row>
    <row r="22" spans="1:30" ht="15" customHeight="1">
      <c r="A22" s="253" t="s">
        <v>167</v>
      </c>
      <c r="B22" s="254"/>
      <c r="C22" s="254"/>
      <c r="D22" s="254"/>
      <c r="E22" s="254"/>
      <c r="F22" s="254"/>
      <c r="G22" s="254"/>
      <c r="H22" s="255"/>
      <c r="I22" s="247">
        <f>VLOOKUP($F$5,'VAL 2 TRIM'!$B$9:$AM$23,16,FALSE)</f>
        <v>25</v>
      </c>
      <c r="J22" s="247"/>
      <c r="K22" s="248" t="s">
        <v>203</v>
      </c>
      <c r="L22" s="249"/>
      <c r="M22" s="249"/>
      <c r="N22" s="249"/>
      <c r="O22" s="249"/>
      <c r="P22" s="249"/>
      <c r="Q22" s="249"/>
      <c r="R22" s="249"/>
      <c r="S22" s="249"/>
      <c r="T22" s="249"/>
      <c r="U22" s="249"/>
      <c r="V22" s="249"/>
      <c r="W22" s="249"/>
      <c r="X22" s="249"/>
      <c r="Y22" s="249"/>
      <c r="Z22" s="249"/>
      <c r="AA22" s="249"/>
      <c r="AB22" s="249"/>
      <c r="AC22" s="158">
        <f>IF(I22=0,1,0)</f>
        <v>0</v>
      </c>
      <c r="AD22">
        <v>1</v>
      </c>
    </row>
    <row r="23" spans="1:30" ht="15" customHeight="1">
      <c r="A23" s="256" t="s">
        <v>168</v>
      </c>
      <c r="B23" s="257"/>
      <c r="C23" s="257"/>
      <c r="D23" s="257"/>
      <c r="E23" s="257"/>
      <c r="F23" s="257"/>
      <c r="G23" s="257"/>
      <c r="H23" s="258"/>
      <c r="I23" s="247">
        <f>VLOOKUP($F$5,'VAL 2 TRIM'!$B$9:$AM$23,17,FALSE)</f>
        <v>24</v>
      </c>
      <c r="J23" s="247"/>
      <c r="K23" s="248" t="s">
        <v>202</v>
      </c>
      <c r="L23" s="249"/>
      <c r="M23" s="249"/>
      <c r="N23" s="249"/>
      <c r="O23" s="249"/>
      <c r="P23" s="249"/>
      <c r="Q23" s="249"/>
      <c r="R23" s="249"/>
      <c r="S23" s="249"/>
      <c r="T23" s="249"/>
      <c r="U23" s="249"/>
      <c r="V23" s="249"/>
      <c r="W23" s="249"/>
      <c r="X23" s="249"/>
      <c r="Y23" s="249"/>
      <c r="Z23" s="249"/>
      <c r="AA23" s="249"/>
      <c r="AB23" s="249"/>
      <c r="AC23" s="158">
        <f t="shared" ref="AC23:AC24" si="1">IF(I23=0,1,0)</f>
        <v>0</v>
      </c>
      <c r="AD23">
        <v>1</v>
      </c>
    </row>
    <row r="24" spans="1:30" ht="15" customHeight="1">
      <c r="A24" s="261" t="s">
        <v>170</v>
      </c>
      <c r="B24" s="262"/>
      <c r="C24" s="262"/>
      <c r="D24" s="262"/>
      <c r="E24" s="262"/>
      <c r="F24" s="262"/>
      <c r="G24" s="262"/>
      <c r="H24" s="263"/>
      <c r="I24" s="247">
        <f>VLOOKUP($F$5,'VAL 2 TRIM'!$B$9:$AM$23,18,FALSE)</f>
        <v>18</v>
      </c>
      <c r="J24" s="247"/>
      <c r="K24" s="248" t="s">
        <v>198</v>
      </c>
      <c r="L24" s="249"/>
      <c r="M24" s="249"/>
      <c r="N24" s="249"/>
      <c r="O24" s="249"/>
      <c r="P24" s="249"/>
      <c r="Q24" s="249"/>
      <c r="R24" s="249"/>
      <c r="S24" s="249"/>
      <c r="T24" s="249"/>
      <c r="U24" s="249"/>
      <c r="V24" s="249"/>
      <c r="W24" s="249"/>
      <c r="X24" s="249"/>
      <c r="Y24" s="249"/>
      <c r="Z24" s="249"/>
      <c r="AA24" s="249"/>
      <c r="AB24" s="249"/>
      <c r="AC24" s="158">
        <f t="shared" si="1"/>
        <v>0</v>
      </c>
      <c r="AD24">
        <v>1</v>
      </c>
    </row>
    <row r="25" spans="1:30" ht="15" customHeight="1">
      <c r="A25" s="250" t="s">
        <v>78</v>
      </c>
      <c r="B25" s="251"/>
      <c r="C25" s="251"/>
      <c r="D25" s="251"/>
      <c r="E25" s="251"/>
      <c r="F25" s="251"/>
      <c r="G25" s="251"/>
      <c r="H25" s="251"/>
      <c r="I25" s="264">
        <f>SUM(I22:J24)/3</f>
        <v>22.333333333333332</v>
      </c>
      <c r="J25" s="264"/>
      <c r="K25" s="265"/>
      <c r="L25" s="265"/>
      <c r="M25" s="265"/>
      <c r="N25" s="265"/>
      <c r="O25" s="265"/>
      <c r="P25" s="265"/>
      <c r="Q25" s="265"/>
      <c r="R25" s="265"/>
      <c r="S25" s="265"/>
      <c r="T25" s="265"/>
      <c r="U25" s="265"/>
      <c r="V25" s="265"/>
      <c r="W25" s="265"/>
      <c r="X25" s="265"/>
      <c r="Y25" s="265"/>
      <c r="Z25" s="265"/>
      <c r="AA25" s="265"/>
      <c r="AB25" s="265"/>
      <c r="AC25" s="158">
        <f>SUM(AC22:AC24)</f>
        <v>0</v>
      </c>
      <c r="AD25" s="185">
        <f>SUM(AD15:AD24)</f>
        <v>6</v>
      </c>
    </row>
    <row r="26" spans="1:30" ht="15" customHeight="1">
      <c r="A26" s="259" t="str">
        <f>IF(AC26&gt;0,CONCATENATE("Observaciones:El estudiante  ",F5,"  durante el segundo trimestre tuvo ",V11," Asistencias, ",W11," Faltas, ",X11," Retrasos, ",Y11," Licencias,  Total de Dias Trabajados ",Z11,", en relacion a las practicas",IF(AC26&gt;0,CONCATENATE(" No presentó ",AC26," Practicas"),"Presentó todo")," de las ",AD25,"  tareas (El estudiante puede presentar practicas por una ponderacion de 20 puntos)"),"Observaciones: Ninguna")</f>
        <v>Observaciones: Ninguna</v>
      </c>
      <c r="B26" s="259"/>
      <c r="C26" s="259"/>
      <c r="D26" s="259"/>
      <c r="E26" s="259"/>
      <c r="F26" s="259"/>
      <c r="G26" s="259"/>
      <c r="H26" s="259"/>
      <c r="I26" s="259"/>
      <c r="J26" s="259"/>
      <c r="K26" s="259"/>
      <c r="L26" s="259"/>
      <c r="M26" s="259"/>
      <c r="N26" s="259"/>
      <c r="O26" s="259"/>
      <c r="P26" s="259"/>
      <c r="Q26" s="259"/>
      <c r="R26" s="259"/>
      <c r="S26" s="259"/>
      <c r="T26" s="259"/>
      <c r="U26" s="259"/>
      <c r="V26" s="259"/>
      <c r="W26" s="259"/>
      <c r="X26" s="259"/>
      <c r="Y26" s="259"/>
      <c r="Z26" s="259"/>
      <c r="AA26" s="259"/>
      <c r="AB26" s="259"/>
      <c r="AC26">
        <f>AC18+AC25</f>
        <v>0</v>
      </c>
    </row>
    <row r="27" spans="1:30" ht="15" customHeight="1">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row>
    <row r="28" spans="1:30" ht="8.25" customHeight="1"/>
    <row r="29" spans="1:30" ht="19.5" customHeight="1"/>
    <row r="31" spans="1:30">
      <c r="AD31" s="185"/>
    </row>
  </sheetData>
  <dataConsolidate/>
  <mergeCells count="43">
    <mergeCell ref="A26:AB27"/>
    <mergeCell ref="A24:H24"/>
    <mergeCell ref="I24:J24"/>
    <mergeCell ref="K24:AB24"/>
    <mergeCell ref="A25:H25"/>
    <mergeCell ref="I25:J25"/>
    <mergeCell ref="K25:AB25"/>
    <mergeCell ref="A22:H22"/>
    <mergeCell ref="I22:J22"/>
    <mergeCell ref="K22:AB22"/>
    <mergeCell ref="A23:H23"/>
    <mergeCell ref="I23:J23"/>
    <mergeCell ref="K23:AB23"/>
    <mergeCell ref="A20:AB20"/>
    <mergeCell ref="A21:H21"/>
    <mergeCell ref="I21:J21"/>
    <mergeCell ref="K21:AB21"/>
    <mergeCell ref="A18:H18"/>
    <mergeCell ref="I18:J18"/>
    <mergeCell ref="K18:AB18"/>
    <mergeCell ref="A13:AB13"/>
    <mergeCell ref="A15:H15"/>
    <mergeCell ref="A16:H16"/>
    <mergeCell ref="A17:H17"/>
    <mergeCell ref="A14:H14"/>
    <mergeCell ref="I14:J14"/>
    <mergeCell ref="I15:J15"/>
    <mergeCell ref="I16:J16"/>
    <mergeCell ref="I17:J17"/>
    <mergeCell ref="K14:AB14"/>
    <mergeCell ref="K15:AB15"/>
    <mergeCell ref="K16:AB16"/>
    <mergeCell ref="K17:AB17"/>
    <mergeCell ref="A2:AB2"/>
    <mergeCell ref="F4:N4"/>
    <mergeCell ref="R4:Z4"/>
    <mergeCell ref="O4:Q4"/>
    <mergeCell ref="A8:AB8"/>
    <mergeCell ref="A4:E4"/>
    <mergeCell ref="A5:E5"/>
    <mergeCell ref="F5:Z5"/>
    <mergeCell ref="A6:E6"/>
    <mergeCell ref="F6:Z6"/>
  </mergeCells>
  <hyperlinks>
    <hyperlink ref="K24" r:id="rId1" xr:uid="{95E8E823-16AB-4684-BD32-D32CF85CF5C4}"/>
    <hyperlink ref="K23" r:id="rId2" xr:uid="{2D731EE3-E593-4D3A-9A99-5CCF556F4877}"/>
    <hyperlink ref="K22" r:id="rId3" xr:uid="{0B5AB1AA-1B01-416E-9AD2-9C21A39B565E}"/>
    <hyperlink ref="K15" r:id="rId4" xr:uid="{D3364117-8C68-4B5E-BA45-E63D3CEB3FD1}"/>
  </hyperlinks>
  <pageMargins left="0.82622047244094488" right="0.23622047244094491" top="0.74803149606299213" bottom="0.74803149606299213" header="0" footer="0"/>
  <pageSetup paperSize="9" scale="95" orientation="landscape"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72AAA6D1-CF71-4DBC-AB81-E828FF72AC36}">
          <x14:formula1>
            <xm:f>'ASIS 2 TRIM'!$B$8:$B$22</xm:f>
          </x14:formula1>
          <xm:sqref>F5:Z5</xm:sqref>
        </x14:dataValidation>
        <x14:dataValidation type="list" allowBlank="1" showInputMessage="1" showErrorMessage="1" xr:uid="{1C387CF4-66C1-4082-9402-78A03F8E24DA}">
          <x14:formula1>
            <xm:f>CARÁTULA!$C$19</xm:f>
          </x14:formula1>
          <xm:sqref>F6:Z6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65625" defaultRowHeight="15" customHeight="1"/>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1" t="s">
        <v>73</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7"/>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69" t="s">
        <v>48</v>
      </c>
      <c r="AD3" s="267"/>
      <c r="AE3" s="267"/>
      <c r="AF3" s="267"/>
      <c r="AG3" s="267"/>
      <c r="AH3" s="268"/>
      <c r="AI3" s="233">
        <f>CARÁTULA!$H$14</f>
        <v>44228</v>
      </c>
      <c r="AJ3" s="215"/>
      <c r="AK3" s="215"/>
      <c r="AL3" s="215"/>
      <c r="AM3" s="215"/>
      <c r="AN3" s="272" t="s">
        <v>49</v>
      </c>
      <c r="AO3" s="206"/>
      <c r="AP3" s="206"/>
      <c r="AQ3" s="206"/>
      <c r="AR3" s="207"/>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69" t="s">
        <v>51</v>
      </c>
      <c r="AD4" s="267"/>
      <c r="AE4" s="267"/>
      <c r="AF4" s="267"/>
      <c r="AG4" s="267"/>
      <c r="AH4" s="268"/>
      <c r="AI4" s="233">
        <f>CARÁTULA!$J$14</f>
        <v>44323</v>
      </c>
      <c r="AJ4" s="215"/>
      <c r="AK4" s="215"/>
      <c r="AL4" s="215"/>
      <c r="AM4" s="215"/>
      <c r="AN4" s="235">
        <f ca="1">AI4-AI5</f>
        <v>-174</v>
      </c>
      <c r="AO4" s="225"/>
      <c r="AP4" s="225"/>
      <c r="AQ4" s="225"/>
      <c r="AR4" s="226"/>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77">
        <f ca="1">TODAY()</f>
        <v>44497</v>
      </c>
      <c r="T5" s="206"/>
      <c r="U5" s="206"/>
      <c r="V5" s="206"/>
      <c r="W5" s="206"/>
      <c r="X5" s="206"/>
      <c r="Y5" s="206"/>
      <c r="Z5" s="206"/>
      <c r="AA5" s="207"/>
      <c r="AB5" s="76"/>
      <c r="AC5" s="270" t="s">
        <v>52</v>
      </c>
      <c r="AD5" s="267"/>
      <c r="AE5" s="267"/>
      <c r="AF5" s="267"/>
      <c r="AG5" s="267"/>
      <c r="AH5" s="268"/>
      <c r="AI5" s="273">
        <f ca="1">TODAY()</f>
        <v>44497</v>
      </c>
      <c r="AJ5" s="215"/>
      <c r="AK5" s="215"/>
      <c r="AL5" s="215"/>
      <c r="AM5" s="215"/>
      <c r="AN5" s="227"/>
      <c r="AO5" s="228"/>
      <c r="AP5" s="228"/>
      <c r="AQ5" s="228"/>
      <c r="AR5" s="229"/>
    </row>
    <row r="6" spans="1:48" ht="12.75" customHeight="1">
      <c r="A6" s="71"/>
      <c r="B6" s="74"/>
      <c r="C6" s="221" t="s">
        <v>74</v>
      </c>
      <c r="D6" s="222"/>
      <c r="E6" s="222"/>
      <c r="F6" s="222"/>
      <c r="G6" s="222"/>
      <c r="H6" s="222"/>
      <c r="I6" s="222"/>
      <c r="J6" s="222"/>
      <c r="K6" s="222"/>
      <c r="L6" s="222"/>
      <c r="M6" s="222"/>
      <c r="N6" s="222"/>
      <c r="O6" s="222"/>
      <c r="P6" s="222"/>
      <c r="Q6" s="222"/>
      <c r="R6" s="222"/>
      <c r="S6" s="222"/>
      <c r="T6" s="222"/>
      <c r="U6" s="222"/>
      <c r="V6" s="222"/>
      <c r="W6" s="222"/>
      <c r="X6" s="222"/>
      <c r="Y6" s="222"/>
      <c r="Z6" s="222"/>
      <c r="AA6" s="223"/>
      <c r="AB6" s="278" t="s">
        <v>75</v>
      </c>
      <c r="AC6" s="267"/>
      <c r="AD6" s="267"/>
      <c r="AE6" s="268"/>
      <c r="AF6" s="80"/>
      <c r="AG6" s="81"/>
      <c r="AH6" s="81"/>
      <c r="AI6" s="82"/>
      <c r="AJ6" s="83"/>
      <c r="AK6" s="83"/>
      <c r="AL6" s="83"/>
      <c r="AM6" s="83"/>
      <c r="AN6" s="84"/>
      <c r="AO6" s="84"/>
      <c r="AP6" s="84"/>
      <c r="AQ6" s="84"/>
      <c r="AR6" s="84"/>
    </row>
    <row r="7" spans="1:48" ht="12" customHeight="1">
      <c r="A7" s="71"/>
      <c r="B7" s="85"/>
      <c r="C7" s="279" t="s">
        <v>76</v>
      </c>
      <c r="D7" s="280" t="s">
        <v>77</v>
      </c>
      <c r="E7" s="267"/>
      <c r="F7" s="267"/>
      <c r="G7" s="267"/>
      <c r="H7" s="267"/>
      <c r="I7" s="267"/>
      <c r="J7" s="267"/>
      <c r="K7" s="267"/>
      <c r="L7" s="267"/>
      <c r="M7" s="267"/>
      <c r="N7" s="267"/>
      <c r="O7" s="276" t="s">
        <v>78</v>
      </c>
      <c r="P7" s="280" t="s">
        <v>79</v>
      </c>
      <c r="Q7" s="267"/>
      <c r="R7" s="267"/>
      <c r="S7" s="267"/>
      <c r="T7" s="267"/>
      <c r="U7" s="267"/>
      <c r="V7" s="267"/>
      <c r="W7" s="267"/>
      <c r="X7" s="267"/>
      <c r="Y7" s="267"/>
      <c r="Z7" s="267"/>
      <c r="AA7" s="274" t="s">
        <v>80</v>
      </c>
      <c r="AB7" s="276" t="s">
        <v>78</v>
      </c>
      <c r="AC7" s="274" t="s">
        <v>81</v>
      </c>
      <c r="AD7" s="274" t="s">
        <v>82</v>
      </c>
      <c r="AE7" s="276" t="s">
        <v>78</v>
      </c>
      <c r="AF7" s="281" t="s">
        <v>83</v>
      </c>
      <c r="AG7" s="282" t="s">
        <v>84</v>
      </c>
      <c r="AH7" s="283" t="s">
        <v>85</v>
      </c>
      <c r="AI7" s="222"/>
      <c r="AJ7" s="222"/>
      <c r="AK7" s="222"/>
      <c r="AL7" s="222"/>
      <c r="AM7" s="223"/>
      <c r="AN7" s="86"/>
      <c r="AO7" s="76"/>
      <c r="AP7" s="76"/>
      <c r="AQ7" s="76"/>
      <c r="AR7" s="71"/>
    </row>
    <row r="8" spans="1:48" ht="150">
      <c r="A8" s="49" t="s">
        <v>53</v>
      </c>
      <c r="B8" s="50" t="s">
        <v>54</v>
      </c>
      <c r="C8" s="275"/>
      <c r="D8" s="87" t="s">
        <v>86</v>
      </c>
      <c r="E8" s="87" t="s">
        <v>87</v>
      </c>
      <c r="F8" s="87" t="s">
        <v>88</v>
      </c>
      <c r="G8" s="88"/>
      <c r="H8" s="51"/>
      <c r="I8" s="54"/>
      <c r="J8" s="54"/>
      <c r="K8" s="54"/>
      <c r="L8" s="54"/>
      <c r="M8" s="54"/>
      <c r="N8" s="55"/>
      <c r="O8" s="275"/>
      <c r="P8" s="89" t="s">
        <v>89</v>
      </c>
      <c r="Q8" s="89" t="s">
        <v>90</v>
      </c>
      <c r="R8" s="89" t="s">
        <v>91</v>
      </c>
      <c r="S8" s="90"/>
      <c r="T8" s="51"/>
      <c r="U8" s="54"/>
      <c r="V8" s="54"/>
      <c r="W8" s="54"/>
      <c r="X8" s="54"/>
      <c r="Y8" s="54"/>
      <c r="Z8" s="54"/>
      <c r="AA8" s="275"/>
      <c r="AB8" s="275"/>
      <c r="AC8" s="275"/>
      <c r="AD8" s="275"/>
      <c r="AE8" s="275"/>
      <c r="AF8" s="275"/>
      <c r="AG8" s="275"/>
      <c r="AH8" s="284"/>
      <c r="AI8" s="285"/>
      <c r="AJ8" s="285"/>
      <c r="AK8" s="285"/>
      <c r="AL8" s="285"/>
      <c r="AM8" s="286"/>
      <c r="AN8" s="91"/>
      <c r="AO8" s="91"/>
      <c r="AP8" s="91"/>
      <c r="AQ8" s="91"/>
      <c r="AR8" s="92"/>
    </row>
    <row r="9" spans="1:48" ht="12" customHeight="1">
      <c r="A9" s="59">
        <v>1</v>
      </c>
      <c r="B9" s="93" t="str">
        <f>'C. FILIACION'!B8</f>
        <v>ARANCIBIA ARRAYA LUIS ANDRES</v>
      </c>
      <c r="C9" s="31">
        <v>10</v>
      </c>
      <c r="D9" s="94">
        <v>30</v>
      </c>
      <c r="E9" s="94">
        <v>10</v>
      </c>
      <c r="F9" s="94">
        <v>30</v>
      </c>
      <c r="G9" s="31"/>
      <c r="H9" s="31"/>
      <c r="I9" s="31"/>
      <c r="J9" s="31"/>
      <c r="K9" s="31"/>
      <c r="L9" s="31"/>
      <c r="M9" s="31"/>
      <c r="N9" s="31"/>
      <c r="O9" s="95">
        <f t="shared" ref="O9:O44" si="0">IFERROR(ROUND(AVERAGE(D9:N9),0),"")</f>
        <v>23</v>
      </c>
      <c r="P9" s="94">
        <v>30</v>
      </c>
      <c r="Q9" s="94">
        <v>10</v>
      </c>
      <c r="R9" s="94">
        <v>30</v>
      </c>
      <c r="S9" s="31"/>
      <c r="T9" s="31"/>
      <c r="U9" s="31"/>
      <c r="V9" s="31"/>
      <c r="W9" s="31"/>
      <c r="X9" s="31"/>
      <c r="Y9" s="31"/>
      <c r="Z9" s="31"/>
      <c r="AA9" s="31">
        <v>10</v>
      </c>
      <c r="AB9" s="95">
        <f t="shared" ref="AB9:AB44" si="1">IFERROR(ROUND(AVERAGE(P9:Z9),0),"")</f>
        <v>23</v>
      </c>
      <c r="AC9" s="31">
        <v>5</v>
      </c>
      <c r="AD9" s="31">
        <v>5</v>
      </c>
      <c r="AE9" s="95">
        <f t="shared" ref="AE9:AE44" si="2">IFERROR((SUM(AC9,AD9)),"")</f>
        <v>10</v>
      </c>
      <c r="AF9" s="96" t="str">
        <f t="shared" ref="AF9:AF44" si="3">IF(AG9&lt;51,"ED",IF(AG9&lt;67,"DA",IF(AG9&lt;85,"DO","DP")))</f>
        <v>DO</v>
      </c>
      <c r="AG9" s="95">
        <f t="shared" ref="AG9:AG44" si="4">IFERROR((SUM(C9,O9,AA9,AB9,AE9)),"")</f>
        <v>76</v>
      </c>
      <c r="AH9" s="266" t="str">
        <f t="shared" ref="AH9:AH44" si="5">IF(AG9="","",(IF(AND(AG9&gt;=1,AG9&lt;=50.499),"REPROBADO",IF(AND(AG9&gt;=50.5,AG9&lt;=100),"APROBADO"))))</f>
        <v>APROBADO</v>
      </c>
      <c r="AI9" s="267"/>
      <c r="AJ9" s="267"/>
      <c r="AK9" s="267"/>
      <c r="AL9" s="267"/>
      <c r="AM9" s="268"/>
      <c r="AN9" s="97" t="s">
        <v>92</v>
      </c>
      <c r="AO9" s="287">
        <f>COUNTIF(AF9:AF44,"ED")</f>
        <v>5</v>
      </c>
      <c r="AP9" s="268"/>
      <c r="AQ9" s="98"/>
      <c r="AR9" s="98"/>
    </row>
    <row r="10" spans="1:48" ht="12" customHeight="1">
      <c r="A10" s="59">
        <v>2</v>
      </c>
      <c r="B10" s="93" t="str">
        <f>'C. FILIACION'!B9</f>
        <v>ARIVIRI ALEXIS JHONATAN</v>
      </c>
      <c r="C10" s="31">
        <v>10</v>
      </c>
      <c r="D10" s="94">
        <v>20</v>
      </c>
      <c r="E10" s="94">
        <v>5</v>
      </c>
      <c r="F10" s="94">
        <v>5</v>
      </c>
      <c r="G10" s="31"/>
      <c r="H10" s="31"/>
      <c r="I10" s="31"/>
      <c r="J10" s="31"/>
      <c r="K10" s="31"/>
      <c r="L10" s="31"/>
      <c r="M10" s="31"/>
      <c r="N10" s="31"/>
      <c r="O10" s="95">
        <f t="shared" si="0"/>
        <v>10</v>
      </c>
      <c r="P10" s="94">
        <v>20</v>
      </c>
      <c r="Q10" s="94">
        <v>5</v>
      </c>
      <c r="R10" s="94">
        <v>5</v>
      </c>
      <c r="S10" s="31"/>
      <c r="T10" s="31"/>
      <c r="U10" s="31"/>
      <c r="V10" s="31"/>
      <c r="W10" s="31"/>
      <c r="X10" s="31"/>
      <c r="Y10" s="31"/>
      <c r="Z10" s="31"/>
      <c r="AA10" s="31">
        <v>10</v>
      </c>
      <c r="AB10" s="95">
        <f t="shared" si="1"/>
        <v>10</v>
      </c>
      <c r="AC10" s="31">
        <v>5</v>
      </c>
      <c r="AD10" s="31">
        <v>5</v>
      </c>
      <c r="AE10" s="95">
        <f t="shared" si="2"/>
        <v>10</v>
      </c>
      <c r="AF10" s="96" t="str">
        <f t="shared" si="3"/>
        <v>ED</v>
      </c>
      <c r="AG10" s="95">
        <f t="shared" si="4"/>
        <v>50</v>
      </c>
      <c r="AH10" s="266" t="str">
        <f t="shared" si="5"/>
        <v>REPROBADO</v>
      </c>
      <c r="AI10" s="267"/>
      <c r="AJ10" s="267"/>
      <c r="AK10" s="267"/>
      <c r="AL10" s="267"/>
      <c r="AM10" s="268"/>
      <c r="AN10" s="49" t="s">
        <v>93</v>
      </c>
      <c r="AO10" s="287">
        <f>COUNTIF(AF9:AF44,"DA")</f>
        <v>1</v>
      </c>
      <c r="AP10" s="268"/>
      <c r="AQ10" s="98"/>
      <c r="AR10" s="98"/>
    </row>
    <row r="11" spans="1:48" ht="12" customHeight="1">
      <c r="A11" s="59">
        <v>3</v>
      </c>
      <c r="B11" s="93" t="str">
        <f>'C. FILIACION'!B10</f>
        <v>BASCOPE LOPEZ JHYMMY ANGHELO</v>
      </c>
      <c r="C11" s="31">
        <v>10</v>
      </c>
      <c r="D11" s="94">
        <v>30</v>
      </c>
      <c r="E11" s="94">
        <v>15</v>
      </c>
      <c r="F11" s="94">
        <v>5</v>
      </c>
      <c r="G11" s="31"/>
      <c r="H11" s="31"/>
      <c r="I11" s="31"/>
      <c r="J11" s="31"/>
      <c r="K11" s="31"/>
      <c r="L11" s="31"/>
      <c r="M11" s="31"/>
      <c r="N11" s="31"/>
      <c r="O11" s="95">
        <f t="shared" si="0"/>
        <v>17</v>
      </c>
      <c r="P11" s="94">
        <v>30</v>
      </c>
      <c r="Q11" s="94">
        <v>15</v>
      </c>
      <c r="R11" s="94">
        <v>5</v>
      </c>
      <c r="S11" s="31"/>
      <c r="T11" s="31"/>
      <c r="U11" s="31"/>
      <c r="V11" s="31"/>
      <c r="W11" s="31"/>
      <c r="X11" s="31"/>
      <c r="Y11" s="31"/>
      <c r="Z11" s="31"/>
      <c r="AA11" s="31">
        <v>10</v>
      </c>
      <c r="AB11" s="95">
        <f t="shared" si="1"/>
        <v>17</v>
      </c>
      <c r="AC11" s="31">
        <v>5</v>
      </c>
      <c r="AD11" s="31">
        <v>5</v>
      </c>
      <c r="AE11" s="95">
        <f t="shared" si="2"/>
        <v>10</v>
      </c>
      <c r="AF11" s="96" t="str">
        <f t="shared" si="3"/>
        <v>DA</v>
      </c>
      <c r="AG11" s="95">
        <f t="shared" si="4"/>
        <v>64</v>
      </c>
      <c r="AH11" s="266" t="str">
        <f t="shared" si="5"/>
        <v>APROBADO</v>
      </c>
      <c r="AI11" s="267"/>
      <c r="AJ11" s="267"/>
      <c r="AK11" s="267"/>
      <c r="AL11" s="267"/>
      <c r="AM11" s="268"/>
      <c r="AN11" s="49" t="s">
        <v>94</v>
      </c>
      <c r="AO11" s="287">
        <f>COUNTIF(AF9:AF44,"DO")</f>
        <v>2</v>
      </c>
      <c r="AP11" s="268"/>
      <c r="AQ11" s="98"/>
      <c r="AR11" s="98"/>
    </row>
    <row r="12" spans="1:48" ht="12" customHeight="1">
      <c r="A12" s="59">
        <v>4</v>
      </c>
      <c r="B12" s="93" t="str">
        <f>'C. FILIACION'!B11</f>
        <v>BLANCO SALVATIERRA DANIELA MARGARITA</v>
      </c>
      <c r="C12" s="31">
        <v>10</v>
      </c>
      <c r="D12" s="94">
        <v>30</v>
      </c>
      <c r="E12" s="94">
        <v>30</v>
      </c>
      <c r="F12" s="94">
        <v>30</v>
      </c>
      <c r="G12" s="31"/>
      <c r="H12" s="31"/>
      <c r="I12" s="31"/>
      <c r="J12" s="31"/>
      <c r="K12" s="31"/>
      <c r="L12" s="31"/>
      <c r="M12" s="31"/>
      <c r="N12" s="31"/>
      <c r="O12" s="95">
        <f t="shared" si="0"/>
        <v>30</v>
      </c>
      <c r="P12" s="94">
        <v>30</v>
      </c>
      <c r="Q12" s="94">
        <v>30</v>
      </c>
      <c r="R12" s="94">
        <v>30</v>
      </c>
      <c r="S12" s="31"/>
      <c r="T12" s="31"/>
      <c r="U12" s="31"/>
      <c r="V12" s="31"/>
      <c r="W12" s="31"/>
      <c r="X12" s="31"/>
      <c r="Y12" s="31"/>
      <c r="Z12" s="31"/>
      <c r="AA12" s="31">
        <v>10</v>
      </c>
      <c r="AB12" s="95">
        <f t="shared" si="1"/>
        <v>30</v>
      </c>
      <c r="AC12" s="31">
        <v>5</v>
      </c>
      <c r="AD12" s="31">
        <v>5</v>
      </c>
      <c r="AE12" s="95">
        <f t="shared" si="2"/>
        <v>10</v>
      </c>
      <c r="AF12" s="96" t="str">
        <f t="shared" si="3"/>
        <v>DP</v>
      </c>
      <c r="AG12" s="95">
        <f t="shared" si="4"/>
        <v>90</v>
      </c>
      <c r="AH12" s="266" t="str">
        <f t="shared" si="5"/>
        <v>APROBADO</v>
      </c>
      <c r="AI12" s="267"/>
      <c r="AJ12" s="267"/>
      <c r="AK12" s="267"/>
      <c r="AL12" s="267"/>
      <c r="AM12" s="268"/>
      <c r="AN12" s="49" t="s">
        <v>95</v>
      </c>
      <c r="AO12" s="287">
        <f>COUNTIF(AF9:AF44,"DP")</f>
        <v>28</v>
      </c>
      <c r="AP12" s="268"/>
      <c r="AQ12" s="98"/>
      <c r="AR12" s="98"/>
    </row>
    <row r="13" spans="1:48" ht="12" customHeight="1">
      <c r="A13" s="59">
        <v>5</v>
      </c>
      <c r="B13" s="93" t="str">
        <f>'C. FILIACION'!B12</f>
        <v>DAVILA LAPACA DIEGO LEONEL</v>
      </c>
      <c r="C13" s="31">
        <v>10</v>
      </c>
      <c r="D13" s="94">
        <v>20</v>
      </c>
      <c r="E13" s="94">
        <v>5</v>
      </c>
      <c r="F13" s="94">
        <v>5</v>
      </c>
      <c r="G13" s="31"/>
      <c r="H13" s="31"/>
      <c r="I13" s="31"/>
      <c r="J13" s="31"/>
      <c r="K13" s="31"/>
      <c r="L13" s="31"/>
      <c r="M13" s="31"/>
      <c r="N13" s="31"/>
      <c r="O13" s="95">
        <f t="shared" si="0"/>
        <v>10</v>
      </c>
      <c r="P13" s="94">
        <v>20</v>
      </c>
      <c r="Q13" s="94">
        <v>5</v>
      </c>
      <c r="R13" s="94">
        <v>5</v>
      </c>
      <c r="S13" s="31"/>
      <c r="T13" s="31"/>
      <c r="U13" s="31"/>
      <c r="V13" s="31"/>
      <c r="W13" s="31"/>
      <c r="X13" s="31"/>
      <c r="Y13" s="31"/>
      <c r="Z13" s="31"/>
      <c r="AA13" s="31">
        <v>10</v>
      </c>
      <c r="AB13" s="95">
        <f t="shared" si="1"/>
        <v>10</v>
      </c>
      <c r="AC13" s="31">
        <v>5</v>
      </c>
      <c r="AD13" s="31">
        <v>5</v>
      </c>
      <c r="AE13" s="95">
        <f t="shared" si="2"/>
        <v>10</v>
      </c>
      <c r="AF13" s="96" t="str">
        <f t="shared" si="3"/>
        <v>ED</v>
      </c>
      <c r="AG13" s="95">
        <f t="shared" si="4"/>
        <v>50</v>
      </c>
      <c r="AH13" s="266" t="str">
        <f t="shared" si="5"/>
        <v>REPROBADO</v>
      </c>
      <c r="AI13" s="267"/>
      <c r="AJ13" s="267"/>
      <c r="AK13" s="267"/>
      <c r="AL13" s="267"/>
      <c r="AM13" s="268"/>
      <c r="AN13" s="98"/>
      <c r="AO13" s="98"/>
      <c r="AP13" s="98"/>
      <c r="AQ13" s="98"/>
      <c r="AR13" s="98"/>
    </row>
    <row r="14" spans="1:48" ht="12" customHeight="1">
      <c r="A14" s="59">
        <v>6</v>
      </c>
      <c r="B14" s="93" t="str">
        <f>'C. FILIACION'!B13</f>
        <v>ESCOBAR LAZO JHOSELIN MARCELA</v>
      </c>
      <c r="C14" s="31">
        <v>10</v>
      </c>
      <c r="D14" s="94">
        <v>30</v>
      </c>
      <c r="E14" s="94">
        <v>30</v>
      </c>
      <c r="F14" s="94">
        <v>30</v>
      </c>
      <c r="G14" s="31"/>
      <c r="H14" s="31"/>
      <c r="I14" s="31"/>
      <c r="J14" s="31"/>
      <c r="K14" s="31"/>
      <c r="L14" s="31"/>
      <c r="M14" s="31"/>
      <c r="N14" s="31"/>
      <c r="O14" s="95">
        <f t="shared" si="0"/>
        <v>30</v>
      </c>
      <c r="P14" s="94">
        <v>30</v>
      </c>
      <c r="Q14" s="94">
        <v>30</v>
      </c>
      <c r="R14" s="94">
        <v>30</v>
      </c>
      <c r="S14" s="31"/>
      <c r="T14" s="31"/>
      <c r="U14" s="31"/>
      <c r="V14" s="31"/>
      <c r="W14" s="31"/>
      <c r="X14" s="31"/>
      <c r="Y14" s="31"/>
      <c r="Z14" s="31"/>
      <c r="AA14" s="31">
        <v>10</v>
      </c>
      <c r="AB14" s="95">
        <f t="shared" si="1"/>
        <v>30</v>
      </c>
      <c r="AC14" s="31">
        <v>5</v>
      </c>
      <c r="AD14" s="31">
        <v>5</v>
      </c>
      <c r="AE14" s="95">
        <f t="shared" si="2"/>
        <v>10</v>
      </c>
      <c r="AF14" s="96" t="str">
        <f t="shared" si="3"/>
        <v>DP</v>
      </c>
      <c r="AG14" s="95">
        <f t="shared" si="4"/>
        <v>90</v>
      </c>
      <c r="AH14" s="266" t="str">
        <f t="shared" si="5"/>
        <v>APROBADO</v>
      </c>
      <c r="AI14" s="267"/>
      <c r="AJ14" s="267"/>
      <c r="AK14" s="267"/>
      <c r="AL14" s="267"/>
      <c r="AM14" s="268"/>
      <c r="AN14" s="98"/>
      <c r="AO14" s="98"/>
      <c r="AP14" s="98"/>
      <c r="AQ14" s="98"/>
      <c r="AR14" s="98"/>
    </row>
    <row r="15" spans="1:48" ht="12" customHeight="1">
      <c r="A15" s="59">
        <v>7</v>
      </c>
      <c r="B15" s="93" t="str">
        <f>'C. FILIACION'!B14</f>
        <v>GUTIERREZ PEREZ ARIEL FERNANDO</v>
      </c>
      <c r="C15" s="31">
        <v>10</v>
      </c>
      <c r="D15" s="94">
        <v>20</v>
      </c>
      <c r="E15" s="94">
        <v>5</v>
      </c>
      <c r="F15" s="94">
        <v>5</v>
      </c>
      <c r="G15" s="31"/>
      <c r="H15" s="31"/>
      <c r="I15" s="31"/>
      <c r="J15" s="31"/>
      <c r="K15" s="31"/>
      <c r="L15" s="31"/>
      <c r="M15" s="31"/>
      <c r="N15" s="31"/>
      <c r="O15" s="95">
        <f t="shared" si="0"/>
        <v>10</v>
      </c>
      <c r="P15" s="94">
        <v>20</v>
      </c>
      <c r="Q15" s="94">
        <v>5</v>
      </c>
      <c r="R15" s="94">
        <v>5</v>
      </c>
      <c r="S15" s="31"/>
      <c r="T15" s="31"/>
      <c r="U15" s="31"/>
      <c r="V15" s="31"/>
      <c r="W15" s="31"/>
      <c r="X15" s="31"/>
      <c r="Y15" s="31"/>
      <c r="Z15" s="31"/>
      <c r="AA15" s="31">
        <v>10</v>
      </c>
      <c r="AB15" s="95">
        <f t="shared" si="1"/>
        <v>10</v>
      </c>
      <c r="AC15" s="31">
        <v>5</v>
      </c>
      <c r="AD15" s="31">
        <v>5</v>
      </c>
      <c r="AE15" s="95">
        <f t="shared" si="2"/>
        <v>10</v>
      </c>
      <c r="AF15" s="96" t="str">
        <f t="shared" si="3"/>
        <v>ED</v>
      </c>
      <c r="AG15" s="95">
        <f t="shared" si="4"/>
        <v>50</v>
      </c>
      <c r="AH15" s="266" t="str">
        <f t="shared" si="5"/>
        <v>REPROBADO</v>
      </c>
      <c r="AI15" s="267"/>
      <c r="AJ15" s="267"/>
      <c r="AK15" s="267"/>
      <c r="AL15" s="267"/>
      <c r="AM15" s="268"/>
      <c r="AN15" s="98"/>
      <c r="AO15" s="98"/>
      <c r="AP15" s="98"/>
      <c r="AQ15" s="98"/>
      <c r="AR15" s="98"/>
    </row>
    <row r="16" spans="1:48" ht="12" customHeight="1">
      <c r="A16" s="59">
        <v>8</v>
      </c>
      <c r="B16" s="93" t="str">
        <f>'C. FILIACION'!B15</f>
        <v>LOPEZ PACO FABRICIO ANDRE</v>
      </c>
      <c r="C16" s="31">
        <v>10</v>
      </c>
      <c r="D16" s="94">
        <v>30</v>
      </c>
      <c r="E16" s="94">
        <v>25</v>
      </c>
      <c r="F16" s="94">
        <v>30</v>
      </c>
      <c r="G16" s="31"/>
      <c r="H16" s="31"/>
      <c r="I16" s="31"/>
      <c r="J16" s="31"/>
      <c r="K16" s="31"/>
      <c r="L16" s="31"/>
      <c r="M16" s="31"/>
      <c r="N16" s="31"/>
      <c r="O16" s="95">
        <f t="shared" si="0"/>
        <v>28</v>
      </c>
      <c r="P16" s="94">
        <v>30</v>
      </c>
      <c r="Q16" s="94">
        <v>25</v>
      </c>
      <c r="R16" s="94">
        <v>30</v>
      </c>
      <c r="S16" s="31"/>
      <c r="T16" s="31"/>
      <c r="U16" s="31"/>
      <c r="V16" s="31"/>
      <c r="W16" s="31"/>
      <c r="X16" s="31"/>
      <c r="Y16" s="31"/>
      <c r="Z16" s="31"/>
      <c r="AA16" s="31">
        <v>10</v>
      </c>
      <c r="AB16" s="95">
        <f t="shared" si="1"/>
        <v>28</v>
      </c>
      <c r="AC16" s="31">
        <v>5</v>
      </c>
      <c r="AD16" s="31">
        <v>5</v>
      </c>
      <c r="AE16" s="95">
        <f t="shared" si="2"/>
        <v>10</v>
      </c>
      <c r="AF16" s="96" t="str">
        <f t="shared" si="3"/>
        <v>DP</v>
      </c>
      <c r="AG16" s="95">
        <f t="shared" si="4"/>
        <v>86</v>
      </c>
      <c r="AH16" s="266" t="str">
        <f t="shared" si="5"/>
        <v>APROBADO</v>
      </c>
      <c r="AI16" s="267"/>
      <c r="AJ16" s="267"/>
      <c r="AK16" s="267"/>
      <c r="AL16" s="267"/>
      <c r="AM16" s="268"/>
      <c r="AN16" s="98"/>
      <c r="AO16" s="98"/>
      <c r="AP16" s="98"/>
      <c r="AQ16" s="98"/>
      <c r="AR16" s="98"/>
    </row>
    <row r="17" spans="1:44" ht="12" customHeight="1">
      <c r="A17" s="59">
        <v>9</v>
      </c>
      <c r="B17" s="93" t="str">
        <f>'C. FILIACION'!B16</f>
        <v>NINA PANIAGUA DEYVID GABRIEL</v>
      </c>
      <c r="C17" s="31">
        <v>10</v>
      </c>
      <c r="D17" s="94">
        <v>30</v>
      </c>
      <c r="E17" s="94">
        <v>30</v>
      </c>
      <c r="F17" s="94">
        <v>30</v>
      </c>
      <c r="G17" s="31"/>
      <c r="H17" s="31"/>
      <c r="I17" s="31"/>
      <c r="J17" s="31"/>
      <c r="K17" s="31"/>
      <c r="L17" s="31"/>
      <c r="M17" s="31"/>
      <c r="N17" s="31"/>
      <c r="O17" s="95">
        <f t="shared" si="0"/>
        <v>30</v>
      </c>
      <c r="P17" s="94">
        <v>30</v>
      </c>
      <c r="Q17" s="94">
        <v>30</v>
      </c>
      <c r="R17" s="94">
        <v>30</v>
      </c>
      <c r="S17" s="31"/>
      <c r="T17" s="31"/>
      <c r="U17" s="31"/>
      <c r="V17" s="31"/>
      <c r="W17" s="31"/>
      <c r="X17" s="31"/>
      <c r="Y17" s="31"/>
      <c r="Z17" s="31"/>
      <c r="AA17" s="31">
        <v>10</v>
      </c>
      <c r="AB17" s="95">
        <f t="shared" si="1"/>
        <v>30</v>
      </c>
      <c r="AC17" s="31">
        <v>5</v>
      </c>
      <c r="AD17" s="31">
        <v>5</v>
      </c>
      <c r="AE17" s="95">
        <f t="shared" si="2"/>
        <v>10</v>
      </c>
      <c r="AF17" s="96" t="str">
        <f t="shared" si="3"/>
        <v>DP</v>
      </c>
      <c r="AG17" s="95">
        <f t="shared" si="4"/>
        <v>90</v>
      </c>
      <c r="AH17" s="266" t="str">
        <f t="shared" si="5"/>
        <v>APROBADO</v>
      </c>
      <c r="AI17" s="267"/>
      <c r="AJ17" s="267"/>
      <c r="AK17" s="267"/>
      <c r="AL17" s="267"/>
      <c r="AM17" s="268"/>
      <c r="AN17" s="98"/>
      <c r="AO17" s="98"/>
      <c r="AP17" s="98"/>
      <c r="AQ17" s="98"/>
      <c r="AR17" s="98"/>
    </row>
    <row r="18" spans="1:44" ht="12" customHeight="1">
      <c r="A18" s="59">
        <v>10</v>
      </c>
      <c r="B18" s="93" t="str">
        <f>'C. FILIACION'!B17</f>
        <v>PASTOR CONDARCO STEVE DAVID</v>
      </c>
      <c r="C18" s="31">
        <v>10</v>
      </c>
      <c r="D18" s="94">
        <v>30</v>
      </c>
      <c r="E18" s="94">
        <v>25</v>
      </c>
      <c r="F18" s="94">
        <v>25</v>
      </c>
      <c r="G18" s="31"/>
      <c r="H18" s="31"/>
      <c r="I18" s="31"/>
      <c r="J18" s="31"/>
      <c r="K18" s="31"/>
      <c r="L18" s="31"/>
      <c r="M18" s="31"/>
      <c r="N18" s="31"/>
      <c r="O18" s="95">
        <f t="shared" si="0"/>
        <v>27</v>
      </c>
      <c r="P18" s="94">
        <v>30</v>
      </c>
      <c r="Q18" s="94">
        <v>25</v>
      </c>
      <c r="R18" s="94">
        <v>25</v>
      </c>
      <c r="S18" s="31"/>
      <c r="T18" s="31"/>
      <c r="U18" s="31"/>
      <c r="V18" s="31"/>
      <c r="W18" s="31"/>
      <c r="X18" s="31"/>
      <c r="Y18" s="31"/>
      <c r="Z18" s="31"/>
      <c r="AA18" s="31">
        <v>10</v>
      </c>
      <c r="AB18" s="95">
        <f t="shared" si="1"/>
        <v>27</v>
      </c>
      <c r="AC18" s="31">
        <v>5</v>
      </c>
      <c r="AD18" s="31">
        <v>5</v>
      </c>
      <c r="AE18" s="95">
        <f t="shared" si="2"/>
        <v>10</v>
      </c>
      <c r="AF18" s="96" t="str">
        <f t="shared" si="3"/>
        <v>DO</v>
      </c>
      <c r="AG18" s="95">
        <f t="shared" si="4"/>
        <v>84</v>
      </c>
      <c r="AH18" s="266" t="str">
        <f t="shared" si="5"/>
        <v>APROBADO</v>
      </c>
      <c r="AI18" s="267"/>
      <c r="AJ18" s="267"/>
      <c r="AK18" s="267"/>
      <c r="AL18" s="267"/>
      <c r="AM18" s="268"/>
      <c r="AN18" s="98"/>
      <c r="AO18" s="98"/>
      <c r="AP18" s="98"/>
      <c r="AQ18" s="98"/>
      <c r="AR18" s="98"/>
    </row>
    <row r="19" spans="1:44" ht="12" customHeight="1">
      <c r="A19" s="59">
        <v>11</v>
      </c>
      <c r="B19" s="93" t="str">
        <f>'C. FILIACION'!B18</f>
        <v>ROJAS MAMANI JERUSALEN LOURDES</v>
      </c>
      <c r="C19" s="31">
        <v>10</v>
      </c>
      <c r="D19" s="94">
        <v>30</v>
      </c>
      <c r="E19" s="94">
        <v>30</v>
      </c>
      <c r="F19" s="94">
        <v>30</v>
      </c>
      <c r="G19" s="31"/>
      <c r="H19" s="31"/>
      <c r="I19" s="31"/>
      <c r="J19" s="31"/>
      <c r="K19" s="31"/>
      <c r="L19" s="31"/>
      <c r="M19" s="31"/>
      <c r="N19" s="31"/>
      <c r="O19" s="95">
        <f t="shared" si="0"/>
        <v>30</v>
      </c>
      <c r="P19" s="94">
        <v>30</v>
      </c>
      <c r="Q19" s="94">
        <v>30</v>
      </c>
      <c r="R19" s="94">
        <v>30</v>
      </c>
      <c r="S19" s="31"/>
      <c r="T19" s="31"/>
      <c r="U19" s="31"/>
      <c r="V19" s="31"/>
      <c r="W19" s="31"/>
      <c r="X19" s="31"/>
      <c r="Y19" s="31"/>
      <c r="Z19" s="31"/>
      <c r="AA19" s="31">
        <v>10</v>
      </c>
      <c r="AB19" s="95">
        <f t="shared" si="1"/>
        <v>30</v>
      </c>
      <c r="AC19" s="31">
        <v>5</v>
      </c>
      <c r="AD19" s="31">
        <v>5</v>
      </c>
      <c r="AE19" s="95">
        <f t="shared" si="2"/>
        <v>10</v>
      </c>
      <c r="AF19" s="96" t="str">
        <f t="shared" si="3"/>
        <v>DP</v>
      </c>
      <c r="AG19" s="95">
        <f t="shared" si="4"/>
        <v>90</v>
      </c>
      <c r="AH19" s="266" t="str">
        <f t="shared" si="5"/>
        <v>APROBADO</v>
      </c>
      <c r="AI19" s="267"/>
      <c r="AJ19" s="267"/>
      <c r="AK19" s="267"/>
      <c r="AL19" s="267"/>
      <c r="AM19" s="268"/>
      <c r="AN19" s="98"/>
      <c r="AO19" s="98"/>
      <c r="AP19" s="98"/>
      <c r="AQ19" s="98"/>
      <c r="AR19" s="98"/>
    </row>
    <row r="20" spans="1:44" ht="12" customHeight="1">
      <c r="A20" s="59">
        <v>12</v>
      </c>
      <c r="B20" s="93" t="str">
        <f>'C. FILIACION'!B19</f>
        <v>SALAS ROJAS LUCIANA ANTONELLA</v>
      </c>
      <c r="C20" s="31">
        <v>10</v>
      </c>
      <c r="D20" s="94">
        <v>20</v>
      </c>
      <c r="E20" s="94">
        <v>5</v>
      </c>
      <c r="F20" s="94">
        <v>5</v>
      </c>
      <c r="G20" s="31"/>
      <c r="H20" s="31"/>
      <c r="I20" s="31"/>
      <c r="J20" s="31"/>
      <c r="K20" s="31"/>
      <c r="L20" s="31"/>
      <c r="M20" s="31"/>
      <c r="N20" s="31"/>
      <c r="O20" s="95">
        <f t="shared" si="0"/>
        <v>10</v>
      </c>
      <c r="P20" s="94">
        <v>20</v>
      </c>
      <c r="Q20" s="94">
        <v>5</v>
      </c>
      <c r="R20" s="94">
        <v>5</v>
      </c>
      <c r="S20" s="31"/>
      <c r="T20" s="31"/>
      <c r="U20" s="31"/>
      <c r="V20" s="31"/>
      <c r="W20" s="31"/>
      <c r="X20" s="31"/>
      <c r="Y20" s="31"/>
      <c r="Z20" s="31"/>
      <c r="AA20" s="31">
        <v>10</v>
      </c>
      <c r="AB20" s="95">
        <f t="shared" si="1"/>
        <v>10</v>
      </c>
      <c r="AC20" s="31">
        <v>5</v>
      </c>
      <c r="AD20" s="31">
        <v>5</v>
      </c>
      <c r="AE20" s="95">
        <f t="shared" si="2"/>
        <v>10</v>
      </c>
      <c r="AF20" s="96" t="str">
        <f t="shared" si="3"/>
        <v>ED</v>
      </c>
      <c r="AG20" s="95">
        <f t="shared" si="4"/>
        <v>50</v>
      </c>
      <c r="AH20" s="266" t="str">
        <f t="shared" si="5"/>
        <v>REPROBADO</v>
      </c>
      <c r="AI20" s="267"/>
      <c r="AJ20" s="267"/>
      <c r="AK20" s="267"/>
      <c r="AL20" s="267"/>
      <c r="AM20" s="268"/>
      <c r="AN20" s="98"/>
      <c r="AO20" s="98"/>
      <c r="AP20" s="98"/>
      <c r="AQ20" s="98"/>
      <c r="AR20" s="98"/>
    </row>
    <row r="21" spans="1:44" ht="12" customHeight="1">
      <c r="A21" s="59">
        <v>13</v>
      </c>
      <c r="B21" s="93" t="str">
        <f>'C. FILIACION'!B20</f>
        <v>SANTOS CRUZ ROYER JOEL</v>
      </c>
      <c r="C21" s="31">
        <v>10</v>
      </c>
      <c r="D21" s="94">
        <v>20</v>
      </c>
      <c r="E21" s="94">
        <v>5</v>
      </c>
      <c r="F21" s="94">
        <v>5</v>
      </c>
      <c r="G21" s="31"/>
      <c r="H21" s="31"/>
      <c r="I21" s="31"/>
      <c r="J21" s="31"/>
      <c r="K21" s="31"/>
      <c r="L21" s="31"/>
      <c r="M21" s="31"/>
      <c r="N21" s="31"/>
      <c r="O21" s="95">
        <f t="shared" si="0"/>
        <v>10</v>
      </c>
      <c r="P21" s="94">
        <v>20</v>
      </c>
      <c r="Q21" s="94">
        <v>5</v>
      </c>
      <c r="R21" s="94">
        <v>5</v>
      </c>
      <c r="S21" s="31"/>
      <c r="T21" s="31"/>
      <c r="U21" s="31"/>
      <c r="V21" s="31"/>
      <c r="W21" s="31"/>
      <c r="X21" s="31"/>
      <c r="Y21" s="31"/>
      <c r="Z21" s="31"/>
      <c r="AA21" s="31">
        <v>10</v>
      </c>
      <c r="AB21" s="95">
        <f t="shared" si="1"/>
        <v>10</v>
      </c>
      <c r="AC21" s="31">
        <v>5</v>
      </c>
      <c r="AD21" s="31">
        <v>5</v>
      </c>
      <c r="AE21" s="95">
        <f t="shared" si="2"/>
        <v>10</v>
      </c>
      <c r="AF21" s="96" t="str">
        <f t="shared" si="3"/>
        <v>ED</v>
      </c>
      <c r="AG21" s="95">
        <f t="shared" si="4"/>
        <v>50</v>
      </c>
      <c r="AH21" s="266" t="str">
        <f t="shared" si="5"/>
        <v>REPROBADO</v>
      </c>
      <c r="AI21" s="267"/>
      <c r="AJ21" s="267"/>
      <c r="AK21" s="267"/>
      <c r="AL21" s="267"/>
      <c r="AM21" s="268"/>
      <c r="AN21" s="98"/>
      <c r="AO21" s="98"/>
      <c r="AP21" s="98"/>
      <c r="AQ21" s="98"/>
      <c r="AR21" s="98"/>
    </row>
    <row r="22" spans="1:44" ht="12" customHeight="1">
      <c r="A22" s="59">
        <v>14</v>
      </c>
      <c r="B22" s="93" t="str">
        <f>'C. FILIACION'!B21</f>
        <v>TICONA LOAYZA ARIADNE VALERIA</v>
      </c>
      <c r="C22" s="31">
        <v>10</v>
      </c>
      <c r="D22" s="94">
        <v>30</v>
      </c>
      <c r="E22" s="94">
        <v>30</v>
      </c>
      <c r="F22" s="94">
        <v>30</v>
      </c>
      <c r="G22" s="31"/>
      <c r="H22" s="31"/>
      <c r="I22" s="31"/>
      <c r="J22" s="31"/>
      <c r="K22" s="31"/>
      <c r="L22" s="31"/>
      <c r="M22" s="31"/>
      <c r="N22" s="31"/>
      <c r="O22" s="95">
        <f t="shared" si="0"/>
        <v>30</v>
      </c>
      <c r="P22" s="94">
        <v>30</v>
      </c>
      <c r="Q22" s="94">
        <v>30</v>
      </c>
      <c r="R22" s="94">
        <v>30</v>
      </c>
      <c r="S22" s="31"/>
      <c r="T22" s="31"/>
      <c r="U22" s="31"/>
      <c r="V22" s="31"/>
      <c r="W22" s="31"/>
      <c r="X22" s="31"/>
      <c r="Y22" s="31"/>
      <c r="Z22" s="31"/>
      <c r="AA22" s="31">
        <v>10</v>
      </c>
      <c r="AB22" s="95">
        <f t="shared" si="1"/>
        <v>30</v>
      </c>
      <c r="AC22" s="31">
        <v>5</v>
      </c>
      <c r="AD22" s="31">
        <v>5</v>
      </c>
      <c r="AE22" s="95">
        <f t="shared" si="2"/>
        <v>10</v>
      </c>
      <c r="AF22" s="96" t="str">
        <f t="shared" si="3"/>
        <v>DP</v>
      </c>
      <c r="AG22" s="95">
        <f t="shared" si="4"/>
        <v>90</v>
      </c>
      <c r="AH22" s="266" t="str">
        <f t="shared" si="5"/>
        <v>APROBADO</v>
      </c>
      <c r="AI22" s="267"/>
      <c r="AJ22" s="267"/>
      <c r="AK22" s="267"/>
      <c r="AL22" s="267"/>
      <c r="AM22" s="268"/>
      <c r="AN22" s="98"/>
      <c r="AO22" s="98"/>
      <c r="AP22" s="98"/>
      <c r="AQ22" s="98"/>
      <c r="AR22" s="98"/>
    </row>
    <row r="23" spans="1:44" ht="12" customHeight="1">
      <c r="A23" s="59">
        <v>15</v>
      </c>
      <c r="B23" s="93" t="str">
        <f>'C. FILIACION'!B22</f>
        <v>ZEBALLOS DEL CARPIO AMIRA MERCEDES</v>
      </c>
      <c r="C23" s="31">
        <v>10</v>
      </c>
      <c r="D23" s="94">
        <v>30</v>
      </c>
      <c r="E23" s="94">
        <v>30</v>
      </c>
      <c r="F23" s="94">
        <v>30</v>
      </c>
      <c r="G23" s="31"/>
      <c r="H23" s="31"/>
      <c r="I23" s="31"/>
      <c r="J23" s="31"/>
      <c r="K23" s="31"/>
      <c r="L23" s="31"/>
      <c r="M23" s="31"/>
      <c r="N23" s="31"/>
      <c r="O23" s="95">
        <f t="shared" si="0"/>
        <v>30</v>
      </c>
      <c r="P23" s="94">
        <v>30</v>
      </c>
      <c r="Q23" s="94">
        <v>30</v>
      </c>
      <c r="R23" s="94">
        <v>30</v>
      </c>
      <c r="S23" s="31"/>
      <c r="T23" s="31"/>
      <c r="U23" s="31"/>
      <c r="V23" s="31"/>
      <c r="W23" s="31"/>
      <c r="X23" s="31"/>
      <c r="Y23" s="31"/>
      <c r="Z23" s="31"/>
      <c r="AA23" s="31">
        <v>10</v>
      </c>
      <c r="AB23" s="95">
        <f t="shared" si="1"/>
        <v>30</v>
      </c>
      <c r="AC23" s="31">
        <v>5</v>
      </c>
      <c r="AD23" s="31">
        <v>5</v>
      </c>
      <c r="AE23" s="95">
        <f t="shared" si="2"/>
        <v>10</v>
      </c>
      <c r="AF23" s="96" t="str">
        <f t="shared" si="3"/>
        <v>DP</v>
      </c>
      <c r="AG23" s="95">
        <f t="shared" si="4"/>
        <v>90</v>
      </c>
      <c r="AH23" s="266" t="str">
        <f t="shared" si="5"/>
        <v>APROBADO</v>
      </c>
      <c r="AI23" s="267"/>
      <c r="AJ23" s="267"/>
      <c r="AK23" s="267"/>
      <c r="AL23" s="267"/>
      <c r="AM23" s="268"/>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66" t="str">
        <f t="shared" si="5"/>
        <v>APROBADO</v>
      </c>
      <c r="AI24" s="267"/>
      <c r="AJ24" s="267"/>
      <c r="AK24" s="267"/>
      <c r="AL24" s="267"/>
      <c r="AM24" s="268"/>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66" t="str">
        <f t="shared" si="5"/>
        <v>APROBADO</v>
      </c>
      <c r="AI25" s="267"/>
      <c r="AJ25" s="267"/>
      <c r="AK25" s="267"/>
      <c r="AL25" s="267"/>
      <c r="AM25" s="268"/>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66" t="str">
        <f t="shared" si="5"/>
        <v>APROBADO</v>
      </c>
      <c r="AI26" s="267"/>
      <c r="AJ26" s="267"/>
      <c r="AK26" s="267"/>
      <c r="AL26" s="267"/>
      <c r="AM26" s="268"/>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66" t="str">
        <f t="shared" si="5"/>
        <v>APROBADO</v>
      </c>
      <c r="AI27" s="267"/>
      <c r="AJ27" s="267"/>
      <c r="AK27" s="267"/>
      <c r="AL27" s="267"/>
      <c r="AM27" s="268"/>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66" t="str">
        <f t="shared" si="5"/>
        <v>APROBADO</v>
      </c>
      <c r="AI28" s="267"/>
      <c r="AJ28" s="267"/>
      <c r="AK28" s="267"/>
      <c r="AL28" s="267"/>
      <c r="AM28" s="268"/>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66" t="str">
        <f t="shared" si="5"/>
        <v>APROBADO</v>
      </c>
      <c r="AI29" s="267"/>
      <c r="AJ29" s="267"/>
      <c r="AK29" s="267"/>
      <c r="AL29" s="267"/>
      <c r="AM29" s="268"/>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66" t="str">
        <f t="shared" si="5"/>
        <v>APROBADO</v>
      </c>
      <c r="AI30" s="267"/>
      <c r="AJ30" s="267"/>
      <c r="AK30" s="267"/>
      <c r="AL30" s="267"/>
      <c r="AM30" s="268"/>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66" t="str">
        <f t="shared" si="5"/>
        <v>APROBADO</v>
      </c>
      <c r="AI31" s="267"/>
      <c r="AJ31" s="267"/>
      <c r="AK31" s="267"/>
      <c r="AL31" s="267"/>
      <c r="AM31" s="268"/>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66" t="str">
        <f t="shared" si="5"/>
        <v>APROBADO</v>
      </c>
      <c r="AI32" s="267"/>
      <c r="AJ32" s="267"/>
      <c r="AK32" s="267"/>
      <c r="AL32" s="267"/>
      <c r="AM32" s="268"/>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66" t="str">
        <f t="shared" si="5"/>
        <v>APROBADO</v>
      </c>
      <c r="AI33" s="267"/>
      <c r="AJ33" s="267"/>
      <c r="AK33" s="267"/>
      <c r="AL33" s="267"/>
      <c r="AM33" s="268"/>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66" t="str">
        <f t="shared" si="5"/>
        <v>APROBADO</v>
      </c>
      <c r="AI34" s="267"/>
      <c r="AJ34" s="267"/>
      <c r="AK34" s="267"/>
      <c r="AL34" s="267"/>
      <c r="AM34" s="268"/>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66" t="str">
        <f t="shared" si="5"/>
        <v>APROBADO</v>
      </c>
      <c r="AI35" s="267"/>
      <c r="AJ35" s="267"/>
      <c r="AK35" s="267"/>
      <c r="AL35" s="267"/>
      <c r="AM35" s="268"/>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66" t="str">
        <f t="shared" si="5"/>
        <v>APROBADO</v>
      </c>
      <c r="AI36" s="267"/>
      <c r="AJ36" s="267"/>
      <c r="AK36" s="267"/>
      <c r="AL36" s="267"/>
      <c r="AM36" s="268"/>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66" t="str">
        <f t="shared" si="5"/>
        <v>APROBADO</v>
      </c>
      <c r="AI37" s="267"/>
      <c r="AJ37" s="267"/>
      <c r="AK37" s="267"/>
      <c r="AL37" s="267"/>
      <c r="AM37" s="268"/>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66" t="str">
        <f t="shared" si="5"/>
        <v>APROBADO</v>
      </c>
      <c r="AI38" s="267"/>
      <c r="AJ38" s="267"/>
      <c r="AK38" s="267"/>
      <c r="AL38" s="267"/>
      <c r="AM38" s="268"/>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66" t="str">
        <f t="shared" si="5"/>
        <v>APROBADO</v>
      </c>
      <c r="AI39" s="267"/>
      <c r="AJ39" s="267"/>
      <c r="AK39" s="267"/>
      <c r="AL39" s="267"/>
      <c r="AM39" s="268"/>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66" t="str">
        <f t="shared" si="5"/>
        <v>APROBADO</v>
      </c>
      <c r="AI40" s="267"/>
      <c r="AJ40" s="267"/>
      <c r="AK40" s="267"/>
      <c r="AL40" s="267"/>
      <c r="AM40" s="268"/>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66" t="str">
        <f t="shared" si="5"/>
        <v>APROBADO</v>
      </c>
      <c r="AI41" s="267"/>
      <c r="AJ41" s="267"/>
      <c r="AK41" s="267"/>
      <c r="AL41" s="267"/>
      <c r="AM41" s="268"/>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66" t="str">
        <f t="shared" si="5"/>
        <v>APROBADO</v>
      </c>
      <c r="AI42" s="267"/>
      <c r="AJ42" s="267"/>
      <c r="AK42" s="267"/>
      <c r="AL42" s="267"/>
      <c r="AM42" s="268"/>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66" t="str">
        <f t="shared" si="5"/>
        <v>APROBADO</v>
      </c>
      <c r="AI43" s="267"/>
      <c r="AJ43" s="267"/>
      <c r="AK43" s="267"/>
      <c r="AL43" s="267"/>
      <c r="AM43" s="268"/>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66" t="str">
        <f t="shared" si="5"/>
        <v>APROBADO</v>
      </c>
      <c r="AI44" s="267"/>
      <c r="AJ44" s="267"/>
      <c r="AK44" s="267"/>
      <c r="AL44" s="267"/>
      <c r="AM44" s="268"/>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23" sqref="B23"/>
    </sheetView>
  </sheetViews>
  <sheetFormatPr baseColWidth="10" defaultColWidth="9.265625" defaultRowHeight="15" customHeight="1"/>
  <cols>
    <col min="1" max="1" width="1.6640625" customWidth="1"/>
    <col min="2" max="2" width="19.6640625" customWidth="1"/>
    <col min="3" max="3" width="1.863281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1" t="s">
        <v>96</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7"/>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69" t="s">
        <v>48</v>
      </c>
      <c r="AD3" s="267"/>
      <c r="AE3" s="267"/>
      <c r="AF3" s="267"/>
      <c r="AG3" s="267"/>
      <c r="AH3" s="268"/>
      <c r="AI3" s="233">
        <f>CARÁTULA!$H$19</f>
        <v>44326</v>
      </c>
      <c r="AJ3" s="215"/>
      <c r="AK3" s="215"/>
      <c r="AL3" s="215"/>
      <c r="AM3" s="215"/>
      <c r="AN3" s="272" t="s">
        <v>49</v>
      </c>
      <c r="AO3" s="206"/>
      <c r="AP3" s="206"/>
      <c r="AQ3" s="206"/>
      <c r="AR3" s="207"/>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69" t="s">
        <v>51</v>
      </c>
      <c r="AD4" s="267"/>
      <c r="AE4" s="267"/>
      <c r="AF4" s="267"/>
      <c r="AG4" s="267"/>
      <c r="AH4" s="268"/>
      <c r="AI4" s="233">
        <f>CARÁTULA!$J$19</f>
        <v>44439</v>
      </c>
      <c r="AJ4" s="215"/>
      <c r="AK4" s="215"/>
      <c r="AL4" s="215"/>
      <c r="AM4" s="215"/>
      <c r="AN4" s="235">
        <f ca="1">AI4-AI5</f>
        <v>-58</v>
      </c>
      <c r="AO4" s="225"/>
      <c r="AP4" s="225"/>
      <c r="AQ4" s="225"/>
      <c r="AR4" s="226"/>
    </row>
    <row r="5" spans="1:48" ht="12.75" customHeight="1">
      <c r="A5" s="71"/>
      <c r="B5" s="74" t="s">
        <v>22</v>
      </c>
      <c r="C5" s="75" t="str">
        <f>CARÁTULA!$C$23</f>
        <v>1ro de Secundaria</v>
      </c>
      <c r="D5" s="76"/>
      <c r="E5" s="76"/>
      <c r="F5" s="76"/>
      <c r="G5" s="74"/>
      <c r="H5" s="74"/>
      <c r="I5" s="74"/>
      <c r="J5" s="74"/>
      <c r="K5" s="74"/>
      <c r="L5" s="74"/>
      <c r="M5" s="74"/>
      <c r="N5" s="74"/>
      <c r="O5" s="74" t="s">
        <v>23</v>
      </c>
      <c r="P5" s="79"/>
      <c r="Q5" s="79"/>
      <c r="R5" s="79"/>
      <c r="S5" s="277">
        <f ca="1">TODAY()</f>
        <v>44497</v>
      </c>
      <c r="T5" s="206"/>
      <c r="U5" s="206"/>
      <c r="V5" s="206"/>
      <c r="W5" s="206"/>
      <c r="X5" s="206"/>
      <c r="Y5" s="206"/>
      <c r="Z5" s="206"/>
      <c r="AA5" s="207"/>
      <c r="AB5" s="76"/>
      <c r="AC5" s="270" t="s">
        <v>52</v>
      </c>
      <c r="AD5" s="267"/>
      <c r="AE5" s="267"/>
      <c r="AF5" s="267"/>
      <c r="AG5" s="267"/>
      <c r="AH5" s="268"/>
      <c r="AI5" s="273">
        <f ca="1">TODAY()</f>
        <v>44497</v>
      </c>
      <c r="AJ5" s="215"/>
      <c r="AK5" s="215"/>
      <c r="AL5" s="215"/>
      <c r="AM5" s="215"/>
      <c r="AN5" s="227"/>
      <c r="AO5" s="228"/>
      <c r="AP5" s="228"/>
      <c r="AQ5" s="228"/>
      <c r="AR5" s="229"/>
    </row>
    <row r="6" spans="1:48" ht="12.75" customHeight="1">
      <c r="A6" s="71"/>
      <c r="B6" s="74"/>
      <c r="C6" s="221" t="s">
        <v>74</v>
      </c>
      <c r="D6" s="222"/>
      <c r="E6" s="222"/>
      <c r="F6" s="222"/>
      <c r="G6" s="222"/>
      <c r="H6" s="222"/>
      <c r="I6" s="222"/>
      <c r="J6" s="222"/>
      <c r="K6" s="222"/>
      <c r="L6" s="222"/>
      <c r="M6" s="222"/>
      <c r="N6" s="222"/>
      <c r="O6" s="222"/>
      <c r="P6" s="222"/>
      <c r="Q6" s="222"/>
      <c r="R6" s="222"/>
      <c r="S6" s="222"/>
      <c r="T6" s="222"/>
      <c r="U6" s="222"/>
      <c r="V6" s="222"/>
      <c r="W6" s="222"/>
      <c r="X6" s="222"/>
      <c r="Y6" s="222"/>
      <c r="Z6" s="222"/>
      <c r="AA6" s="223"/>
      <c r="AB6" s="278" t="s">
        <v>75</v>
      </c>
      <c r="AC6" s="267"/>
      <c r="AD6" s="267"/>
      <c r="AE6" s="268"/>
      <c r="AF6" s="80"/>
      <c r="AG6" s="81"/>
      <c r="AH6" s="81"/>
      <c r="AI6" s="82"/>
      <c r="AJ6" s="83"/>
      <c r="AK6" s="83"/>
      <c r="AL6" s="83"/>
      <c r="AM6" s="83"/>
      <c r="AN6" s="84"/>
      <c r="AO6" s="84"/>
      <c r="AP6" s="84"/>
      <c r="AQ6" s="84"/>
      <c r="AR6" s="84"/>
    </row>
    <row r="7" spans="1:48" ht="12" customHeight="1">
      <c r="A7" s="71"/>
      <c r="B7" s="85"/>
      <c r="C7" s="279" t="s">
        <v>76</v>
      </c>
      <c r="D7" s="280" t="s">
        <v>77</v>
      </c>
      <c r="E7" s="267"/>
      <c r="F7" s="267"/>
      <c r="G7" s="267"/>
      <c r="H7" s="267"/>
      <c r="I7" s="267"/>
      <c r="J7" s="267"/>
      <c r="K7" s="267"/>
      <c r="L7" s="267"/>
      <c r="M7" s="267"/>
      <c r="N7" s="267"/>
      <c r="O7" s="276" t="s">
        <v>78</v>
      </c>
      <c r="P7" s="280" t="s">
        <v>79</v>
      </c>
      <c r="Q7" s="267"/>
      <c r="R7" s="267"/>
      <c r="S7" s="267"/>
      <c r="T7" s="267"/>
      <c r="U7" s="267"/>
      <c r="V7" s="267"/>
      <c r="W7" s="267"/>
      <c r="X7" s="267"/>
      <c r="Y7" s="267"/>
      <c r="Z7" s="267"/>
      <c r="AA7" s="274" t="s">
        <v>80</v>
      </c>
      <c r="AB7" s="276" t="s">
        <v>78</v>
      </c>
      <c r="AC7" s="274" t="s">
        <v>81</v>
      </c>
      <c r="AD7" s="274" t="s">
        <v>82</v>
      </c>
      <c r="AE7" s="276" t="s">
        <v>78</v>
      </c>
      <c r="AF7" s="281" t="s">
        <v>83</v>
      </c>
      <c r="AG7" s="282" t="s">
        <v>84</v>
      </c>
      <c r="AH7" s="283" t="s">
        <v>85</v>
      </c>
      <c r="AI7" s="222"/>
      <c r="AJ7" s="222"/>
      <c r="AK7" s="222"/>
      <c r="AL7" s="222"/>
      <c r="AM7" s="223"/>
      <c r="AN7" s="86"/>
      <c r="AO7" s="76"/>
      <c r="AP7" s="76"/>
      <c r="AQ7" s="76"/>
      <c r="AR7" s="71"/>
    </row>
    <row r="8" spans="1:48" ht="67.5" customHeight="1">
      <c r="A8" s="49" t="s">
        <v>53</v>
      </c>
      <c r="B8" s="50" t="s">
        <v>54</v>
      </c>
      <c r="C8" s="275"/>
      <c r="D8" s="52" t="s">
        <v>169</v>
      </c>
      <c r="E8" s="54" t="s">
        <v>172</v>
      </c>
      <c r="F8" s="54" t="s">
        <v>171</v>
      </c>
      <c r="G8" s="54" t="s">
        <v>206</v>
      </c>
      <c r="H8" s="54" t="s">
        <v>208</v>
      </c>
      <c r="I8" s="54" t="s">
        <v>213</v>
      </c>
      <c r="J8" s="54"/>
      <c r="K8" s="54"/>
      <c r="L8" s="54"/>
      <c r="M8" s="54"/>
      <c r="N8" s="55"/>
      <c r="O8" s="275"/>
      <c r="P8" s="99"/>
      <c r="Q8" s="54" t="s">
        <v>167</v>
      </c>
      <c r="R8" s="52" t="s">
        <v>168</v>
      </c>
      <c r="S8" s="52" t="s">
        <v>170</v>
      </c>
      <c r="T8" s="54" t="s">
        <v>210</v>
      </c>
      <c r="U8" s="54"/>
      <c r="V8" s="54"/>
      <c r="W8" s="54"/>
      <c r="X8" s="54"/>
      <c r="Y8" s="54"/>
      <c r="Z8" s="54"/>
      <c r="AA8" s="275"/>
      <c r="AB8" s="275"/>
      <c r="AC8" s="275"/>
      <c r="AD8" s="275"/>
      <c r="AE8" s="275"/>
      <c r="AF8" s="275"/>
      <c r="AG8" s="275"/>
      <c r="AH8" s="284"/>
      <c r="AI8" s="285"/>
      <c r="AJ8" s="285"/>
      <c r="AK8" s="285"/>
      <c r="AL8" s="285"/>
      <c r="AM8" s="286"/>
      <c r="AN8" s="91"/>
      <c r="AO8" s="91"/>
      <c r="AP8" s="91"/>
      <c r="AQ8" s="91"/>
      <c r="AR8" s="92"/>
    </row>
    <row r="9" spans="1:48" ht="12" customHeight="1">
      <c r="A9" s="59">
        <v>1</v>
      </c>
      <c r="B9" s="93" t="str">
        <f>'C. FILIACION'!B8</f>
        <v>ARANCIBIA ARRAYA LUIS ANDRES</v>
      </c>
      <c r="C9" s="192">
        <v>10</v>
      </c>
      <c r="D9" s="31">
        <v>27</v>
      </c>
      <c r="E9" s="31">
        <v>27</v>
      </c>
      <c r="F9" s="62">
        <v>30</v>
      </c>
      <c r="G9" s="31">
        <v>30</v>
      </c>
      <c r="H9" s="31">
        <v>18</v>
      </c>
      <c r="I9" s="31">
        <v>18</v>
      </c>
      <c r="J9" s="31"/>
      <c r="K9" s="31"/>
      <c r="L9" s="31"/>
      <c r="M9" s="31"/>
      <c r="N9" s="31"/>
      <c r="O9" s="95">
        <f t="shared" ref="O9:O44" si="0">IFERROR(ROUND(AVERAGE(D9:N9),0),"")</f>
        <v>25</v>
      </c>
      <c r="P9" s="31"/>
      <c r="Q9" s="31">
        <v>15</v>
      </c>
      <c r="R9" s="31">
        <v>20</v>
      </c>
      <c r="S9" s="31">
        <v>18</v>
      </c>
      <c r="T9" s="31">
        <v>20</v>
      </c>
      <c r="U9" s="31"/>
      <c r="V9" s="31"/>
      <c r="W9" s="31"/>
      <c r="X9" s="31"/>
      <c r="Y9" s="31"/>
      <c r="Z9" s="31"/>
      <c r="AA9" s="31">
        <v>10</v>
      </c>
      <c r="AB9" s="95">
        <f t="shared" ref="AB9:AB44" si="1">IFERROR(ROUND(AVERAGE(P9:Z9),0),"")</f>
        <v>18</v>
      </c>
      <c r="AC9" s="31">
        <v>3</v>
      </c>
      <c r="AD9" s="31">
        <v>3</v>
      </c>
      <c r="AE9" s="95">
        <f t="shared" ref="AE9:AE44" si="2">IFERROR((SUM(AC9,AD9)),"")</f>
        <v>6</v>
      </c>
      <c r="AF9" s="96" t="str">
        <f t="shared" ref="AF9:AF44" si="3">IF(AG9&lt;51,"ED",IF(AG9&lt;67,"DA",IF(AG9&lt;85,"DO","DP")))</f>
        <v>DO</v>
      </c>
      <c r="AG9" s="199">
        <f t="shared" ref="AG9:AG23" si="4">IFERROR((SUM(C10,O9,AA9,AB9,AE9)),"")</f>
        <v>68.230769230769226</v>
      </c>
      <c r="AH9" s="266" t="str">
        <f t="shared" ref="AH9:AH44" si="5">IF(AG9="","",(IF(AND(AG9&gt;=1,AG9&lt;=50.499),"REPROBADO",IF(AND(AG9&gt;=50.5,AG9&lt;=100),"APROBADO"))))</f>
        <v>APROBADO</v>
      </c>
      <c r="AI9" s="267"/>
      <c r="AJ9" s="267"/>
      <c r="AK9" s="267"/>
      <c r="AL9" s="267"/>
      <c r="AM9" s="268"/>
      <c r="AN9" s="97" t="s">
        <v>92</v>
      </c>
      <c r="AO9" s="287">
        <f>COUNTIF(AF9:AF44,"ED")</f>
        <v>1</v>
      </c>
      <c r="AP9" s="268"/>
      <c r="AQ9" s="98"/>
      <c r="AR9" s="98"/>
    </row>
    <row r="10" spans="1:48" ht="12" customHeight="1">
      <c r="A10" s="59">
        <v>2</v>
      </c>
      <c r="B10" s="93" t="str">
        <f>'C. FILIACION'!B9</f>
        <v>ARIVIRI ALEXIS JHONATAN</v>
      </c>
      <c r="C10" s="191">
        <v>9.2307692307692299</v>
      </c>
      <c r="D10" s="31">
        <v>18</v>
      </c>
      <c r="E10" s="31">
        <v>28</v>
      </c>
      <c r="F10" s="62">
        <v>17</v>
      </c>
      <c r="G10" s="31">
        <v>18</v>
      </c>
      <c r="H10" s="31">
        <v>5</v>
      </c>
      <c r="I10" s="31">
        <v>5</v>
      </c>
      <c r="J10" s="31"/>
      <c r="K10" s="31"/>
      <c r="L10" s="31"/>
      <c r="M10" s="31"/>
      <c r="N10" s="31"/>
      <c r="O10" s="95">
        <f t="shared" si="0"/>
        <v>15</v>
      </c>
      <c r="P10" s="31"/>
      <c r="Q10" s="31">
        <v>18</v>
      </c>
      <c r="R10" s="31">
        <v>15</v>
      </c>
      <c r="S10" s="31">
        <v>20</v>
      </c>
      <c r="T10" s="31">
        <v>10</v>
      </c>
      <c r="U10" s="31"/>
      <c r="V10" s="31"/>
      <c r="W10" s="31"/>
      <c r="X10" s="31"/>
      <c r="Y10" s="31"/>
      <c r="Z10" s="31"/>
      <c r="AA10" s="31">
        <v>8</v>
      </c>
      <c r="AB10" s="95">
        <f t="shared" si="1"/>
        <v>16</v>
      </c>
      <c r="AC10" s="94">
        <v>3</v>
      </c>
      <c r="AD10" s="94">
        <v>3</v>
      </c>
      <c r="AE10" s="95">
        <f t="shared" si="2"/>
        <v>6</v>
      </c>
      <c r="AF10" s="96" t="str">
        <f t="shared" si="3"/>
        <v>DA</v>
      </c>
      <c r="AG10" s="199">
        <f t="shared" si="4"/>
        <v>53.333333333333336</v>
      </c>
      <c r="AH10" s="266" t="str">
        <f t="shared" si="5"/>
        <v>APROBADO</v>
      </c>
      <c r="AI10" s="267"/>
      <c r="AJ10" s="267"/>
      <c r="AK10" s="267"/>
      <c r="AL10" s="267"/>
      <c r="AM10" s="268"/>
      <c r="AN10" s="49" t="s">
        <v>93</v>
      </c>
      <c r="AO10" s="287">
        <f>COUNTIF(AF9:AF44,"DA")</f>
        <v>4</v>
      </c>
      <c r="AP10" s="268"/>
      <c r="AQ10" s="98"/>
      <c r="AR10" s="98"/>
    </row>
    <row r="11" spans="1:48" ht="12" customHeight="1">
      <c r="A11" s="59">
        <v>3</v>
      </c>
      <c r="B11" s="93" t="str">
        <f>'C. FILIACION'!B10</f>
        <v>BASCOPE LOPEZ JHYMMY ANGHELO</v>
      </c>
      <c r="C11" s="191">
        <v>8.3333333333333339</v>
      </c>
      <c r="D11" s="31">
        <v>21</v>
      </c>
      <c r="E11" s="31">
        <v>26</v>
      </c>
      <c r="F11" s="62">
        <v>17</v>
      </c>
      <c r="G11" s="31">
        <v>25</v>
      </c>
      <c r="H11" s="31">
        <v>20</v>
      </c>
      <c r="I11" s="31">
        <v>23</v>
      </c>
      <c r="J11" s="31"/>
      <c r="K11" s="31"/>
      <c r="L11" s="31"/>
      <c r="M11" s="31"/>
      <c r="N11" s="31"/>
      <c r="O11" s="95">
        <f t="shared" si="0"/>
        <v>22</v>
      </c>
      <c r="P11" s="31"/>
      <c r="Q11" s="31">
        <v>20</v>
      </c>
      <c r="R11" s="31">
        <v>18</v>
      </c>
      <c r="S11" s="31">
        <v>18</v>
      </c>
      <c r="T11" s="31">
        <v>35</v>
      </c>
      <c r="U11" s="31"/>
      <c r="V11" s="31"/>
      <c r="W11" s="31"/>
      <c r="X11" s="31"/>
      <c r="Y11" s="31"/>
      <c r="Z11" s="31"/>
      <c r="AA11" s="31">
        <v>10</v>
      </c>
      <c r="AB11" s="95">
        <f t="shared" si="1"/>
        <v>23</v>
      </c>
      <c r="AC11" s="94">
        <v>3</v>
      </c>
      <c r="AD11" s="94">
        <v>3</v>
      </c>
      <c r="AE11" s="95">
        <f t="shared" si="2"/>
        <v>6</v>
      </c>
      <c r="AF11" s="96" t="str">
        <f t="shared" si="3"/>
        <v>DO</v>
      </c>
      <c r="AG11" s="199">
        <f t="shared" si="4"/>
        <v>71</v>
      </c>
      <c r="AH11" s="266" t="str">
        <f t="shared" si="5"/>
        <v>APROBADO</v>
      </c>
      <c r="AI11" s="267"/>
      <c r="AJ11" s="267"/>
      <c r="AK11" s="267"/>
      <c r="AL11" s="267"/>
      <c r="AM11" s="268"/>
      <c r="AN11" s="49" t="s">
        <v>94</v>
      </c>
      <c r="AO11" s="287">
        <f>COUNTIF(AF9:AF44,"DO")</f>
        <v>7</v>
      </c>
      <c r="AP11" s="268"/>
      <c r="AQ11" s="98"/>
      <c r="AR11" s="98"/>
    </row>
    <row r="12" spans="1:48" ht="12" customHeight="1">
      <c r="A12" s="59">
        <v>4</v>
      </c>
      <c r="B12" s="93" t="str">
        <f>'C. FILIACION'!B11</f>
        <v>BLANCO SALVATIERRA DANIELA MARGARITA</v>
      </c>
      <c r="C12" s="191">
        <v>10</v>
      </c>
      <c r="D12" s="31">
        <v>29</v>
      </c>
      <c r="E12" s="31">
        <v>30</v>
      </c>
      <c r="F12" s="62">
        <v>35</v>
      </c>
      <c r="G12" s="31">
        <v>30</v>
      </c>
      <c r="H12" s="31">
        <v>18</v>
      </c>
      <c r="I12" s="31">
        <v>23</v>
      </c>
      <c r="J12" s="31"/>
      <c r="K12" s="31"/>
      <c r="L12" s="31"/>
      <c r="M12" s="31"/>
      <c r="N12" s="31"/>
      <c r="O12" s="95">
        <f t="shared" si="0"/>
        <v>28</v>
      </c>
      <c r="P12" s="31"/>
      <c r="Q12" s="31">
        <v>15</v>
      </c>
      <c r="R12" s="31">
        <v>20</v>
      </c>
      <c r="S12" s="31">
        <v>17</v>
      </c>
      <c r="T12" s="31">
        <v>35</v>
      </c>
      <c r="U12" s="31"/>
      <c r="V12" s="31"/>
      <c r="W12" s="31"/>
      <c r="X12" s="31"/>
      <c r="Y12" s="31"/>
      <c r="Z12" s="31"/>
      <c r="AA12" s="31">
        <v>10</v>
      </c>
      <c r="AB12" s="95">
        <f t="shared" si="1"/>
        <v>22</v>
      </c>
      <c r="AC12" s="94">
        <v>3</v>
      </c>
      <c r="AD12" s="94">
        <v>3</v>
      </c>
      <c r="AE12" s="95">
        <f t="shared" si="2"/>
        <v>6</v>
      </c>
      <c r="AF12" s="96" t="str">
        <f t="shared" si="3"/>
        <v>DO</v>
      </c>
      <c r="AG12" s="199">
        <f t="shared" si="4"/>
        <v>69.333333333333329</v>
      </c>
      <c r="AH12" s="266" t="str">
        <f t="shared" si="5"/>
        <v>APROBADO</v>
      </c>
      <c r="AI12" s="267"/>
      <c r="AJ12" s="267"/>
      <c r="AK12" s="267"/>
      <c r="AL12" s="267"/>
      <c r="AM12" s="268"/>
      <c r="AN12" s="49" t="s">
        <v>95</v>
      </c>
      <c r="AO12" s="287">
        <f>COUNTIF(AF9:AF44,"DP")</f>
        <v>24</v>
      </c>
      <c r="AP12" s="268"/>
      <c r="AQ12" s="98"/>
      <c r="AR12" s="98"/>
    </row>
    <row r="13" spans="1:48" ht="12" customHeight="1">
      <c r="A13" s="59">
        <v>5</v>
      </c>
      <c r="B13" s="193" t="str">
        <f>'C. FILIACION'!B12</f>
        <v>DAVILA LAPACA DIEGO LEONEL</v>
      </c>
      <c r="C13" s="194">
        <v>3.3333333333333335</v>
      </c>
      <c r="D13" s="195">
        <v>10</v>
      </c>
      <c r="E13" s="195">
        <v>10</v>
      </c>
      <c r="F13" s="196">
        <v>10</v>
      </c>
      <c r="G13" s="195">
        <v>10</v>
      </c>
      <c r="H13" s="195">
        <v>10</v>
      </c>
      <c r="I13" s="195">
        <v>10</v>
      </c>
      <c r="J13" s="195"/>
      <c r="K13" s="195"/>
      <c r="L13" s="195"/>
      <c r="M13" s="195"/>
      <c r="N13" s="195"/>
      <c r="O13" s="197">
        <f t="shared" si="0"/>
        <v>10</v>
      </c>
      <c r="P13" s="195"/>
      <c r="Q13" s="195">
        <v>10</v>
      </c>
      <c r="R13" s="195">
        <v>0</v>
      </c>
      <c r="S13" s="195">
        <v>0</v>
      </c>
      <c r="T13" s="195">
        <v>0</v>
      </c>
      <c r="U13" s="195"/>
      <c r="V13" s="195"/>
      <c r="W13" s="195"/>
      <c r="X13" s="195"/>
      <c r="Y13" s="195"/>
      <c r="Z13" s="195"/>
      <c r="AA13" s="195">
        <v>3</v>
      </c>
      <c r="AB13" s="197">
        <f t="shared" si="1"/>
        <v>3</v>
      </c>
      <c r="AC13" s="195">
        <v>2</v>
      </c>
      <c r="AD13" s="195">
        <v>3</v>
      </c>
      <c r="AE13" s="197">
        <f t="shared" si="2"/>
        <v>5</v>
      </c>
      <c r="AF13" s="198" t="str">
        <f t="shared" si="3"/>
        <v>ED</v>
      </c>
      <c r="AG13" s="200">
        <f t="shared" si="4"/>
        <v>31</v>
      </c>
      <c r="AH13" s="288" t="str">
        <f t="shared" si="5"/>
        <v>REPROBADO</v>
      </c>
      <c r="AI13" s="289"/>
      <c r="AJ13" s="289"/>
      <c r="AK13" s="289"/>
      <c r="AL13" s="289"/>
      <c r="AM13" s="290"/>
      <c r="AN13" s="98"/>
      <c r="AO13" s="98"/>
      <c r="AP13" s="98"/>
      <c r="AQ13" s="98"/>
      <c r="AR13" s="98"/>
    </row>
    <row r="14" spans="1:48" ht="12" customHeight="1">
      <c r="A14" s="59">
        <v>6</v>
      </c>
      <c r="B14" s="93" t="str">
        <f>'C. FILIACION'!B13</f>
        <v>ESCOBAR LAZO JHOSELIN MARCELA</v>
      </c>
      <c r="C14" s="191">
        <v>10</v>
      </c>
      <c r="D14" s="31">
        <v>31</v>
      </c>
      <c r="E14" s="31">
        <v>30</v>
      </c>
      <c r="F14" s="62">
        <v>35</v>
      </c>
      <c r="G14" s="31">
        <v>18</v>
      </c>
      <c r="H14" s="31">
        <v>15</v>
      </c>
      <c r="I14" s="31">
        <v>34</v>
      </c>
      <c r="J14" s="31"/>
      <c r="K14" s="31"/>
      <c r="L14" s="31"/>
      <c r="M14" s="31"/>
      <c r="N14" s="31"/>
      <c r="O14" s="95">
        <f t="shared" si="0"/>
        <v>27</v>
      </c>
      <c r="P14" s="31"/>
      <c r="Q14" s="31">
        <v>35</v>
      </c>
      <c r="R14" s="31">
        <v>33</v>
      </c>
      <c r="S14" s="31">
        <v>32</v>
      </c>
      <c r="T14" s="31">
        <v>35</v>
      </c>
      <c r="U14" s="31"/>
      <c r="V14" s="31"/>
      <c r="W14" s="31"/>
      <c r="X14" s="31"/>
      <c r="Y14" s="31"/>
      <c r="Z14" s="31"/>
      <c r="AA14" s="31">
        <v>10</v>
      </c>
      <c r="AB14" s="95">
        <f t="shared" si="1"/>
        <v>34</v>
      </c>
      <c r="AC14" s="94">
        <v>4</v>
      </c>
      <c r="AD14" s="94">
        <v>5</v>
      </c>
      <c r="AE14" s="95">
        <f t="shared" si="2"/>
        <v>9</v>
      </c>
      <c r="AF14" s="96" t="str">
        <f t="shared" si="3"/>
        <v>DP</v>
      </c>
      <c r="AG14" s="199">
        <f t="shared" si="4"/>
        <v>90</v>
      </c>
      <c r="AH14" s="266" t="str">
        <f t="shared" si="5"/>
        <v>APROBADO</v>
      </c>
      <c r="AI14" s="267"/>
      <c r="AJ14" s="267"/>
      <c r="AK14" s="267"/>
      <c r="AL14" s="267"/>
      <c r="AM14" s="268"/>
      <c r="AN14" s="98"/>
      <c r="AO14" s="98"/>
      <c r="AP14" s="98"/>
      <c r="AQ14" s="98"/>
      <c r="AR14" s="98"/>
    </row>
    <row r="15" spans="1:48" ht="12" customHeight="1">
      <c r="A15" s="59">
        <v>7</v>
      </c>
      <c r="B15" s="93" t="str">
        <f>'C. FILIACION'!B14</f>
        <v>GUTIERREZ PEREZ ARIEL FERNANDO</v>
      </c>
      <c r="C15" s="191">
        <v>10</v>
      </c>
      <c r="D15" s="31">
        <v>28</v>
      </c>
      <c r="E15" s="31">
        <v>29</v>
      </c>
      <c r="F15" s="62">
        <v>18</v>
      </c>
      <c r="G15" s="31">
        <v>18</v>
      </c>
      <c r="H15" s="31">
        <v>18</v>
      </c>
      <c r="I15" s="31">
        <v>0</v>
      </c>
      <c r="J15" s="31"/>
      <c r="K15" s="31"/>
      <c r="L15" s="31"/>
      <c r="M15" s="31"/>
      <c r="N15" s="31"/>
      <c r="O15" s="95">
        <f t="shared" si="0"/>
        <v>19</v>
      </c>
      <c r="P15" s="31"/>
      <c r="Q15" s="31">
        <v>20</v>
      </c>
      <c r="R15" s="31">
        <v>15</v>
      </c>
      <c r="S15" s="31">
        <v>18</v>
      </c>
      <c r="T15" s="31">
        <v>0</v>
      </c>
      <c r="U15" s="31"/>
      <c r="V15" s="31"/>
      <c r="W15" s="31"/>
      <c r="X15" s="31"/>
      <c r="Y15" s="31"/>
      <c r="Z15" s="31"/>
      <c r="AA15" s="31">
        <v>8</v>
      </c>
      <c r="AB15" s="95">
        <f t="shared" si="1"/>
        <v>13</v>
      </c>
      <c r="AC15" s="94">
        <v>3</v>
      </c>
      <c r="AD15" s="94">
        <v>3</v>
      </c>
      <c r="AE15" s="95">
        <f t="shared" si="2"/>
        <v>6</v>
      </c>
      <c r="AF15" s="96" t="str">
        <f t="shared" si="3"/>
        <v>DA</v>
      </c>
      <c r="AG15" s="199">
        <f t="shared" si="4"/>
        <v>53.5</v>
      </c>
      <c r="AH15" s="266" t="str">
        <f t="shared" si="5"/>
        <v>APROBADO</v>
      </c>
      <c r="AI15" s="267"/>
      <c r="AJ15" s="267"/>
      <c r="AK15" s="267"/>
      <c r="AL15" s="267"/>
      <c r="AM15" s="268"/>
      <c r="AN15" s="98"/>
      <c r="AO15" s="98"/>
      <c r="AP15" s="98"/>
      <c r="AQ15" s="98"/>
      <c r="AR15" s="98"/>
    </row>
    <row r="16" spans="1:48" ht="12" customHeight="1">
      <c r="A16" s="59">
        <v>8</v>
      </c>
      <c r="B16" s="93" t="str">
        <f>'C. FILIACION'!B15</f>
        <v>LOPEZ PACO FABRICIO ANDRE</v>
      </c>
      <c r="C16" s="191">
        <v>7.5</v>
      </c>
      <c r="D16" s="31">
        <v>18</v>
      </c>
      <c r="E16" s="31">
        <v>20</v>
      </c>
      <c r="F16" s="62">
        <v>18</v>
      </c>
      <c r="G16" s="31">
        <v>18</v>
      </c>
      <c r="H16" s="31">
        <v>30</v>
      </c>
      <c r="I16" s="31">
        <v>30</v>
      </c>
      <c r="J16" s="31"/>
      <c r="K16" s="31"/>
      <c r="L16" s="31"/>
      <c r="M16" s="31"/>
      <c r="N16" s="31"/>
      <c r="O16" s="95">
        <f t="shared" si="0"/>
        <v>22</v>
      </c>
      <c r="P16" s="31"/>
      <c r="Q16" s="31">
        <v>10</v>
      </c>
      <c r="R16" s="31">
        <v>10</v>
      </c>
      <c r="S16" s="31">
        <v>25</v>
      </c>
      <c r="T16" s="31">
        <v>10</v>
      </c>
      <c r="U16" s="31"/>
      <c r="V16" s="31"/>
      <c r="W16" s="31"/>
      <c r="X16" s="31"/>
      <c r="Y16" s="31"/>
      <c r="Z16" s="31"/>
      <c r="AA16" s="31">
        <v>5</v>
      </c>
      <c r="AB16" s="95">
        <f t="shared" si="1"/>
        <v>14</v>
      </c>
      <c r="AC16" s="94">
        <v>3</v>
      </c>
      <c r="AD16" s="94">
        <v>3</v>
      </c>
      <c r="AE16" s="95">
        <f t="shared" si="2"/>
        <v>6</v>
      </c>
      <c r="AF16" s="96" t="str">
        <f t="shared" si="3"/>
        <v>DA</v>
      </c>
      <c r="AG16" s="199">
        <f t="shared" si="4"/>
        <v>54.5</v>
      </c>
      <c r="AH16" s="266" t="str">
        <f t="shared" si="5"/>
        <v>APROBADO</v>
      </c>
      <c r="AI16" s="267"/>
      <c r="AJ16" s="267"/>
      <c r="AK16" s="267"/>
      <c r="AL16" s="267"/>
      <c r="AM16" s="268"/>
      <c r="AN16" s="98"/>
      <c r="AO16" s="98"/>
      <c r="AP16" s="98"/>
      <c r="AQ16" s="98"/>
      <c r="AR16" s="98"/>
    </row>
    <row r="17" spans="1:44" ht="12" customHeight="1">
      <c r="A17" s="59">
        <v>9</v>
      </c>
      <c r="B17" s="93" t="str">
        <f>'C. FILIACION'!B16</f>
        <v>NINA PANIAGUA DEYVID GABRIEL</v>
      </c>
      <c r="C17" s="191">
        <v>7.5</v>
      </c>
      <c r="D17" s="31">
        <v>24</v>
      </c>
      <c r="E17" s="31">
        <v>25</v>
      </c>
      <c r="F17" s="62">
        <v>35</v>
      </c>
      <c r="G17" s="31">
        <v>35</v>
      </c>
      <c r="H17" s="31">
        <v>18</v>
      </c>
      <c r="I17" s="31">
        <v>31</v>
      </c>
      <c r="J17" s="31"/>
      <c r="K17" s="31"/>
      <c r="L17" s="31"/>
      <c r="M17" s="31"/>
      <c r="N17" s="31"/>
      <c r="O17" s="95">
        <f t="shared" si="0"/>
        <v>28</v>
      </c>
      <c r="P17" s="31"/>
      <c r="Q17" s="31">
        <v>20</v>
      </c>
      <c r="R17" s="31">
        <v>18</v>
      </c>
      <c r="S17" s="31">
        <v>30</v>
      </c>
      <c r="T17" s="31">
        <v>35</v>
      </c>
      <c r="U17" s="31"/>
      <c r="V17" s="31"/>
      <c r="W17" s="31"/>
      <c r="X17" s="31"/>
      <c r="Y17" s="31"/>
      <c r="Z17" s="31"/>
      <c r="AA17" s="31">
        <v>10</v>
      </c>
      <c r="AB17" s="95">
        <f t="shared" si="1"/>
        <v>26</v>
      </c>
      <c r="AC17" s="94">
        <v>3</v>
      </c>
      <c r="AD17" s="94">
        <v>3</v>
      </c>
      <c r="AE17" s="95">
        <f t="shared" si="2"/>
        <v>6</v>
      </c>
      <c r="AF17" s="96" t="str">
        <f t="shared" si="3"/>
        <v>DO</v>
      </c>
      <c r="AG17" s="199">
        <f t="shared" si="4"/>
        <v>80</v>
      </c>
      <c r="AH17" s="266" t="str">
        <f t="shared" si="5"/>
        <v>APROBADO</v>
      </c>
      <c r="AI17" s="267"/>
      <c r="AJ17" s="267"/>
      <c r="AK17" s="267"/>
      <c r="AL17" s="267"/>
      <c r="AM17" s="268"/>
      <c r="AN17" s="98"/>
      <c r="AO17" s="98"/>
      <c r="AP17" s="98"/>
      <c r="AQ17" s="98"/>
      <c r="AR17" s="98"/>
    </row>
    <row r="18" spans="1:44" ht="12" customHeight="1">
      <c r="A18" s="59">
        <v>10</v>
      </c>
      <c r="B18" s="93" t="str">
        <f>'C. FILIACION'!B17</f>
        <v>PASTOR CONDARCO STEVE DAVID</v>
      </c>
      <c r="C18" s="191">
        <v>10</v>
      </c>
      <c r="D18" s="31">
        <v>0</v>
      </c>
      <c r="E18" s="31">
        <v>25</v>
      </c>
      <c r="F18" s="62">
        <v>35</v>
      </c>
      <c r="G18" s="31">
        <v>35</v>
      </c>
      <c r="H18" s="31">
        <v>20</v>
      </c>
      <c r="I18" s="31">
        <v>32</v>
      </c>
      <c r="J18" s="31"/>
      <c r="K18" s="31"/>
      <c r="L18" s="31"/>
      <c r="M18" s="31"/>
      <c r="N18" s="31"/>
      <c r="O18" s="95">
        <f t="shared" si="0"/>
        <v>25</v>
      </c>
      <c r="P18" s="31"/>
      <c r="Q18" s="31">
        <v>17</v>
      </c>
      <c r="R18" s="31">
        <v>15</v>
      </c>
      <c r="S18" s="31">
        <v>18</v>
      </c>
      <c r="T18" s="31">
        <v>25</v>
      </c>
      <c r="U18" s="31"/>
      <c r="V18" s="31"/>
      <c r="W18" s="31"/>
      <c r="X18" s="31"/>
      <c r="Y18" s="31"/>
      <c r="Z18" s="31"/>
      <c r="AA18" s="31">
        <v>10</v>
      </c>
      <c r="AB18" s="95">
        <f t="shared" si="1"/>
        <v>19</v>
      </c>
      <c r="AC18" s="94">
        <v>3</v>
      </c>
      <c r="AD18" s="94">
        <v>3</v>
      </c>
      <c r="AE18" s="95">
        <f t="shared" si="2"/>
        <v>6</v>
      </c>
      <c r="AF18" s="96" t="str">
        <f t="shared" si="3"/>
        <v>DO</v>
      </c>
      <c r="AG18" s="199">
        <f>IFERROR((SUM(C19,O18,AA18,AB18,AE18)),"")</f>
        <v>70</v>
      </c>
      <c r="AH18" s="266" t="str">
        <f t="shared" si="5"/>
        <v>APROBADO</v>
      </c>
      <c r="AI18" s="267"/>
      <c r="AJ18" s="267"/>
      <c r="AK18" s="267"/>
      <c r="AL18" s="267"/>
      <c r="AM18" s="268"/>
      <c r="AN18" s="98"/>
      <c r="AO18" s="98"/>
      <c r="AP18" s="98"/>
      <c r="AQ18" s="98"/>
      <c r="AR18" s="98"/>
    </row>
    <row r="19" spans="1:44" ht="12" customHeight="1">
      <c r="A19" s="59">
        <v>11</v>
      </c>
      <c r="B19" s="93" t="str">
        <f>'C. FILIACION'!B18</f>
        <v>ROJAS MAMANI JERUSALEN LOURDES</v>
      </c>
      <c r="C19" s="191">
        <v>10</v>
      </c>
      <c r="D19" s="31">
        <v>33</v>
      </c>
      <c r="E19" s="31">
        <v>30</v>
      </c>
      <c r="F19" s="62">
        <v>30</v>
      </c>
      <c r="G19" s="31">
        <v>35</v>
      </c>
      <c r="H19" s="31">
        <v>18</v>
      </c>
      <c r="I19" s="31">
        <v>18</v>
      </c>
      <c r="J19" s="31"/>
      <c r="K19" s="31"/>
      <c r="L19" s="31"/>
      <c r="M19" s="31"/>
      <c r="N19" s="31"/>
      <c r="O19" s="95">
        <f t="shared" si="0"/>
        <v>27</v>
      </c>
      <c r="P19" s="31"/>
      <c r="Q19" s="31">
        <v>35</v>
      </c>
      <c r="R19" s="31">
        <v>33</v>
      </c>
      <c r="S19" s="31">
        <v>25</v>
      </c>
      <c r="T19" s="31">
        <v>35</v>
      </c>
      <c r="U19" s="31"/>
      <c r="V19" s="31"/>
      <c r="W19" s="31"/>
      <c r="X19" s="31"/>
      <c r="Y19" s="31"/>
      <c r="Z19" s="31"/>
      <c r="AA19" s="31">
        <v>10</v>
      </c>
      <c r="AB19" s="95">
        <f t="shared" si="1"/>
        <v>32</v>
      </c>
      <c r="AC19" s="94">
        <v>5</v>
      </c>
      <c r="AD19" s="94">
        <v>5</v>
      </c>
      <c r="AE19" s="95">
        <f t="shared" si="2"/>
        <v>10</v>
      </c>
      <c r="AF19" s="96" t="str">
        <f t="shared" si="3"/>
        <v>DP</v>
      </c>
      <c r="AG19" s="199">
        <f t="shared" si="4"/>
        <v>89</v>
      </c>
      <c r="AH19" s="266" t="str">
        <f t="shared" si="5"/>
        <v>APROBADO</v>
      </c>
      <c r="AI19" s="267"/>
      <c r="AJ19" s="267"/>
      <c r="AK19" s="267"/>
      <c r="AL19" s="267"/>
      <c r="AM19" s="268"/>
      <c r="AN19" s="98"/>
      <c r="AO19" s="98"/>
      <c r="AP19" s="98"/>
      <c r="AQ19" s="98"/>
      <c r="AR19" s="98"/>
    </row>
    <row r="20" spans="1:44" ht="12" customHeight="1">
      <c r="A20" s="59">
        <v>12</v>
      </c>
      <c r="B20" s="93" t="str">
        <f>'C. FILIACION'!B19</f>
        <v>SALAS ROJAS LUCIANA ANTONELLA</v>
      </c>
      <c r="C20" s="191">
        <v>10</v>
      </c>
      <c r="D20" s="31">
        <v>18</v>
      </c>
      <c r="E20" s="31">
        <v>18</v>
      </c>
      <c r="F20" s="62">
        <v>18</v>
      </c>
      <c r="G20" s="31">
        <v>18</v>
      </c>
      <c r="H20" s="31">
        <v>18</v>
      </c>
      <c r="I20" s="31">
        <v>18</v>
      </c>
      <c r="J20" s="31"/>
      <c r="K20" s="31"/>
      <c r="L20" s="31"/>
      <c r="M20" s="31"/>
      <c r="N20" s="31"/>
      <c r="O20" s="95">
        <f t="shared" si="0"/>
        <v>18</v>
      </c>
      <c r="P20" s="31"/>
      <c r="Q20" s="31">
        <v>18</v>
      </c>
      <c r="R20" s="31">
        <v>18</v>
      </c>
      <c r="S20" s="31">
        <v>18</v>
      </c>
      <c r="T20" s="31">
        <v>18</v>
      </c>
      <c r="U20" s="31"/>
      <c r="V20" s="31"/>
      <c r="W20" s="31"/>
      <c r="X20" s="31"/>
      <c r="Y20" s="31"/>
      <c r="Z20" s="31"/>
      <c r="AA20" s="31">
        <v>7</v>
      </c>
      <c r="AB20" s="95">
        <f t="shared" si="1"/>
        <v>18</v>
      </c>
      <c r="AC20" s="94">
        <v>3</v>
      </c>
      <c r="AD20" s="94">
        <v>4</v>
      </c>
      <c r="AE20" s="95">
        <f t="shared" si="2"/>
        <v>7</v>
      </c>
      <c r="AF20" s="96" t="str">
        <f t="shared" si="3"/>
        <v>DA</v>
      </c>
      <c r="AG20" s="199">
        <f t="shared" si="4"/>
        <v>60</v>
      </c>
      <c r="AH20" s="266" t="str">
        <f t="shared" si="5"/>
        <v>APROBADO</v>
      </c>
      <c r="AI20" s="267"/>
      <c r="AJ20" s="267"/>
      <c r="AK20" s="267"/>
      <c r="AL20" s="267"/>
      <c r="AM20" s="268"/>
      <c r="AN20" s="98"/>
      <c r="AO20" s="98"/>
      <c r="AP20" s="98"/>
      <c r="AQ20" s="98"/>
      <c r="AR20" s="98"/>
    </row>
    <row r="21" spans="1:44" ht="12" customHeight="1">
      <c r="A21" s="59">
        <v>13</v>
      </c>
      <c r="B21" s="93" t="str">
        <f>'C. FILIACION'!B20</f>
        <v>SANTOS CRUZ ROYER JOEL</v>
      </c>
      <c r="C21" s="191">
        <v>10</v>
      </c>
      <c r="D21" s="31">
        <v>22</v>
      </c>
      <c r="E21" s="31">
        <v>25</v>
      </c>
      <c r="F21" s="62">
        <v>35</v>
      </c>
      <c r="G21" s="31">
        <v>35</v>
      </c>
      <c r="H21" s="31">
        <v>20</v>
      </c>
      <c r="I21" s="31">
        <v>22</v>
      </c>
      <c r="J21" s="31"/>
      <c r="K21" s="31"/>
      <c r="L21" s="31"/>
      <c r="M21" s="31"/>
      <c r="N21" s="31"/>
      <c r="O21" s="95">
        <f t="shared" si="0"/>
        <v>27</v>
      </c>
      <c r="P21" s="31"/>
      <c r="Q21" s="31">
        <v>15</v>
      </c>
      <c r="R21" s="31">
        <v>15</v>
      </c>
      <c r="S21" s="31">
        <v>25</v>
      </c>
      <c r="T21" s="31">
        <v>30</v>
      </c>
      <c r="U21" s="31"/>
      <c r="V21" s="31"/>
      <c r="W21" s="31"/>
      <c r="X21" s="31"/>
      <c r="Y21" s="31"/>
      <c r="Z21" s="31"/>
      <c r="AA21" s="31">
        <v>6</v>
      </c>
      <c r="AB21" s="95">
        <f t="shared" si="1"/>
        <v>21</v>
      </c>
      <c r="AC21" s="94">
        <v>5</v>
      </c>
      <c r="AD21" s="94">
        <v>5</v>
      </c>
      <c r="AE21" s="95">
        <f t="shared" si="2"/>
        <v>10</v>
      </c>
      <c r="AF21" s="96" t="str">
        <f t="shared" si="3"/>
        <v>DO</v>
      </c>
      <c r="AG21" s="199">
        <f t="shared" si="4"/>
        <v>74</v>
      </c>
      <c r="AH21" s="266" t="str">
        <f t="shared" si="5"/>
        <v>APROBADO</v>
      </c>
      <c r="AI21" s="267"/>
      <c r="AJ21" s="267"/>
      <c r="AK21" s="267"/>
      <c r="AL21" s="267"/>
      <c r="AM21" s="268"/>
      <c r="AN21" s="98"/>
      <c r="AO21" s="98"/>
      <c r="AP21" s="98"/>
      <c r="AQ21" s="98"/>
      <c r="AR21" s="98"/>
    </row>
    <row r="22" spans="1:44" ht="12" customHeight="1">
      <c r="A22" s="59">
        <v>14</v>
      </c>
      <c r="B22" s="93" t="str">
        <f>'C. FILIACION'!B21</f>
        <v>TICONA LOAYZA ARIADNE VALERIA</v>
      </c>
      <c r="C22" s="191">
        <v>10</v>
      </c>
      <c r="D22" s="31">
        <v>21</v>
      </c>
      <c r="E22" s="31">
        <v>30</v>
      </c>
      <c r="F22" s="62">
        <v>30</v>
      </c>
      <c r="G22" s="31">
        <v>18</v>
      </c>
      <c r="H22" s="31">
        <v>0</v>
      </c>
      <c r="I22" s="31">
        <v>27</v>
      </c>
      <c r="J22" s="31"/>
      <c r="K22" s="31"/>
      <c r="L22" s="31"/>
      <c r="M22" s="31"/>
      <c r="N22" s="31"/>
      <c r="O22" s="95">
        <f t="shared" si="0"/>
        <v>21</v>
      </c>
      <c r="P22" s="31"/>
      <c r="Q22" s="31">
        <v>25</v>
      </c>
      <c r="R22" s="31">
        <v>24</v>
      </c>
      <c r="S22" s="31">
        <v>18</v>
      </c>
      <c r="T22" s="31">
        <v>35</v>
      </c>
      <c r="U22" s="31"/>
      <c r="V22" s="31"/>
      <c r="W22" s="31"/>
      <c r="X22" s="31"/>
      <c r="Y22" s="31"/>
      <c r="Z22" s="31"/>
      <c r="AA22" s="31">
        <v>7</v>
      </c>
      <c r="AB22" s="95">
        <f t="shared" si="1"/>
        <v>26</v>
      </c>
      <c r="AC22" s="94">
        <v>3</v>
      </c>
      <c r="AD22" s="94">
        <v>3</v>
      </c>
      <c r="AE22" s="95">
        <f t="shared" si="2"/>
        <v>6</v>
      </c>
      <c r="AF22" s="96" t="str">
        <f t="shared" si="3"/>
        <v>DO</v>
      </c>
      <c r="AG22" s="199">
        <f t="shared" si="4"/>
        <v>70</v>
      </c>
      <c r="AH22" s="266" t="str">
        <f t="shared" si="5"/>
        <v>APROBADO</v>
      </c>
      <c r="AI22" s="267"/>
      <c r="AJ22" s="267"/>
      <c r="AK22" s="267"/>
      <c r="AL22" s="267"/>
      <c r="AM22" s="268"/>
      <c r="AN22" s="98"/>
      <c r="AO22" s="98"/>
      <c r="AP22" s="98"/>
      <c r="AQ22" s="98"/>
      <c r="AR22" s="98"/>
    </row>
    <row r="23" spans="1:44" ht="12" customHeight="1">
      <c r="A23" s="59">
        <v>15</v>
      </c>
      <c r="B23" s="93" t="str">
        <f>'C. FILIACION'!B22</f>
        <v>ZEBALLOS DEL CARPIO AMIRA MERCEDES</v>
      </c>
      <c r="C23" s="191">
        <v>10</v>
      </c>
      <c r="D23" s="31">
        <v>32</v>
      </c>
      <c r="E23" s="31">
        <v>30</v>
      </c>
      <c r="F23" s="62">
        <v>35</v>
      </c>
      <c r="G23" s="31">
        <v>25</v>
      </c>
      <c r="H23" s="31">
        <v>35</v>
      </c>
      <c r="I23" s="31">
        <v>34</v>
      </c>
      <c r="J23" s="31"/>
      <c r="K23" s="31"/>
      <c r="L23" s="31"/>
      <c r="M23" s="31"/>
      <c r="N23" s="31"/>
      <c r="O23" s="95">
        <f t="shared" si="0"/>
        <v>32</v>
      </c>
      <c r="P23" s="31"/>
      <c r="Q23" s="31">
        <v>35</v>
      </c>
      <c r="R23" s="31">
        <v>34</v>
      </c>
      <c r="S23" s="31">
        <v>34</v>
      </c>
      <c r="T23" s="31">
        <v>35</v>
      </c>
      <c r="U23" s="31"/>
      <c r="V23" s="31"/>
      <c r="W23" s="31"/>
      <c r="X23" s="31"/>
      <c r="Y23" s="31"/>
      <c r="Z23" s="31"/>
      <c r="AA23" s="31">
        <v>10</v>
      </c>
      <c r="AB23" s="95">
        <f t="shared" si="1"/>
        <v>35</v>
      </c>
      <c r="AC23" s="94">
        <v>3</v>
      </c>
      <c r="AD23" s="94">
        <v>4</v>
      </c>
      <c r="AE23" s="95">
        <f t="shared" si="2"/>
        <v>7</v>
      </c>
      <c r="AF23" s="96" t="str">
        <f t="shared" si="3"/>
        <v>DP</v>
      </c>
      <c r="AG23" s="199">
        <f t="shared" si="4"/>
        <v>94</v>
      </c>
      <c r="AH23" s="266" t="str">
        <f t="shared" si="5"/>
        <v>APROBADO</v>
      </c>
      <c r="AI23" s="267"/>
      <c r="AJ23" s="267"/>
      <c r="AK23" s="267"/>
      <c r="AL23" s="267"/>
      <c r="AM23" s="268"/>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ref="AG24:AG44" si="6">IFERROR((SUM(C24,O24,AA24,AB24,AE24)),"")</f>
        <v>100</v>
      </c>
      <c r="AH24" s="266" t="str">
        <f t="shared" si="5"/>
        <v>APROBADO</v>
      </c>
      <c r="AI24" s="267"/>
      <c r="AJ24" s="267"/>
      <c r="AK24" s="267"/>
      <c r="AL24" s="267"/>
      <c r="AM24" s="268"/>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6"/>
        <v>100</v>
      </c>
      <c r="AH25" s="266" t="str">
        <f t="shared" si="5"/>
        <v>APROBADO</v>
      </c>
      <c r="AI25" s="267"/>
      <c r="AJ25" s="267"/>
      <c r="AK25" s="267"/>
      <c r="AL25" s="267"/>
      <c r="AM25" s="268"/>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6"/>
        <v>100</v>
      </c>
      <c r="AH26" s="266" t="str">
        <f t="shared" si="5"/>
        <v>APROBADO</v>
      </c>
      <c r="AI26" s="267"/>
      <c r="AJ26" s="267"/>
      <c r="AK26" s="267"/>
      <c r="AL26" s="267"/>
      <c r="AM26" s="268"/>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6"/>
        <v>100</v>
      </c>
      <c r="AH27" s="266" t="str">
        <f t="shared" si="5"/>
        <v>APROBADO</v>
      </c>
      <c r="AI27" s="267"/>
      <c r="AJ27" s="267"/>
      <c r="AK27" s="267"/>
      <c r="AL27" s="267"/>
      <c r="AM27" s="268"/>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6"/>
        <v>100</v>
      </c>
      <c r="AH28" s="266" t="str">
        <f t="shared" si="5"/>
        <v>APROBADO</v>
      </c>
      <c r="AI28" s="267"/>
      <c r="AJ28" s="267"/>
      <c r="AK28" s="267"/>
      <c r="AL28" s="267"/>
      <c r="AM28" s="268"/>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6"/>
        <v>100</v>
      </c>
      <c r="AH29" s="266" t="str">
        <f t="shared" si="5"/>
        <v>APROBADO</v>
      </c>
      <c r="AI29" s="267"/>
      <c r="AJ29" s="267"/>
      <c r="AK29" s="267"/>
      <c r="AL29" s="267"/>
      <c r="AM29" s="268"/>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6"/>
        <v>100</v>
      </c>
      <c r="AH30" s="266" t="str">
        <f t="shared" si="5"/>
        <v>APROBADO</v>
      </c>
      <c r="AI30" s="267"/>
      <c r="AJ30" s="267"/>
      <c r="AK30" s="267"/>
      <c r="AL30" s="267"/>
      <c r="AM30" s="268"/>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6"/>
        <v>100</v>
      </c>
      <c r="AH31" s="266" t="str">
        <f t="shared" si="5"/>
        <v>APROBADO</v>
      </c>
      <c r="AI31" s="267"/>
      <c r="AJ31" s="267"/>
      <c r="AK31" s="267"/>
      <c r="AL31" s="267"/>
      <c r="AM31" s="268"/>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6"/>
        <v>100</v>
      </c>
      <c r="AH32" s="266" t="str">
        <f t="shared" si="5"/>
        <v>APROBADO</v>
      </c>
      <c r="AI32" s="267"/>
      <c r="AJ32" s="267"/>
      <c r="AK32" s="267"/>
      <c r="AL32" s="267"/>
      <c r="AM32" s="268"/>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6"/>
        <v>100</v>
      </c>
      <c r="AH33" s="266" t="str">
        <f t="shared" si="5"/>
        <v>APROBADO</v>
      </c>
      <c r="AI33" s="267"/>
      <c r="AJ33" s="267"/>
      <c r="AK33" s="267"/>
      <c r="AL33" s="267"/>
      <c r="AM33" s="268"/>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6"/>
        <v>100</v>
      </c>
      <c r="AH34" s="266" t="str">
        <f t="shared" si="5"/>
        <v>APROBADO</v>
      </c>
      <c r="AI34" s="267"/>
      <c r="AJ34" s="267"/>
      <c r="AK34" s="267"/>
      <c r="AL34" s="267"/>
      <c r="AM34" s="268"/>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6"/>
        <v>100</v>
      </c>
      <c r="AH35" s="266" t="str">
        <f t="shared" si="5"/>
        <v>APROBADO</v>
      </c>
      <c r="AI35" s="267"/>
      <c r="AJ35" s="267"/>
      <c r="AK35" s="267"/>
      <c r="AL35" s="267"/>
      <c r="AM35" s="268"/>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6"/>
        <v>100</v>
      </c>
      <c r="AH36" s="266" t="str">
        <f t="shared" si="5"/>
        <v>APROBADO</v>
      </c>
      <c r="AI36" s="267"/>
      <c r="AJ36" s="267"/>
      <c r="AK36" s="267"/>
      <c r="AL36" s="267"/>
      <c r="AM36" s="268"/>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6"/>
        <v>100</v>
      </c>
      <c r="AH37" s="266" t="str">
        <f t="shared" si="5"/>
        <v>APROBADO</v>
      </c>
      <c r="AI37" s="267"/>
      <c r="AJ37" s="267"/>
      <c r="AK37" s="267"/>
      <c r="AL37" s="267"/>
      <c r="AM37" s="268"/>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6"/>
        <v>100</v>
      </c>
      <c r="AH38" s="266" t="str">
        <f t="shared" si="5"/>
        <v>APROBADO</v>
      </c>
      <c r="AI38" s="267"/>
      <c r="AJ38" s="267"/>
      <c r="AK38" s="267"/>
      <c r="AL38" s="267"/>
      <c r="AM38" s="268"/>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6"/>
        <v>100</v>
      </c>
      <c r="AH39" s="266" t="str">
        <f t="shared" si="5"/>
        <v>APROBADO</v>
      </c>
      <c r="AI39" s="267"/>
      <c r="AJ39" s="267"/>
      <c r="AK39" s="267"/>
      <c r="AL39" s="267"/>
      <c r="AM39" s="268"/>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6"/>
        <v>100</v>
      </c>
      <c r="AH40" s="266" t="str">
        <f t="shared" si="5"/>
        <v>APROBADO</v>
      </c>
      <c r="AI40" s="267"/>
      <c r="AJ40" s="267"/>
      <c r="AK40" s="267"/>
      <c r="AL40" s="267"/>
      <c r="AM40" s="268"/>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6"/>
        <v>100</v>
      </c>
      <c r="AH41" s="266" t="str">
        <f t="shared" si="5"/>
        <v>APROBADO</v>
      </c>
      <c r="AI41" s="267"/>
      <c r="AJ41" s="267"/>
      <c r="AK41" s="267"/>
      <c r="AL41" s="267"/>
      <c r="AM41" s="268"/>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6"/>
        <v>100</v>
      </c>
      <c r="AH42" s="266" t="str">
        <f t="shared" si="5"/>
        <v>APROBADO</v>
      </c>
      <c r="AI42" s="267"/>
      <c r="AJ42" s="267"/>
      <c r="AK42" s="267"/>
      <c r="AL42" s="267"/>
      <c r="AM42" s="268"/>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6"/>
        <v>100</v>
      </c>
      <c r="AH43" s="266" t="str">
        <f t="shared" si="5"/>
        <v>APROBADO</v>
      </c>
      <c r="AI43" s="267"/>
      <c r="AJ43" s="267"/>
      <c r="AK43" s="267"/>
      <c r="AL43" s="267"/>
      <c r="AM43" s="268"/>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6"/>
        <v>100</v>
      </c>
      <c r="AH44" s="266" t="str">
        <f t="shared" si="5"/>
        <v>APROBADO</v>
      </c>
      <c r="AI44" s="267"/>
      <c r="AJ44" s="267"/>
      <c r="AK44" s="267"/>
      <c r="AL44" s="267"/>
      <c r="AM44" s="268"/>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AA9:AA44 C10:C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65625" defaultRowHeight="15" customHeight="1"/>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1" t="s">
        <v>97</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7"/>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69" t="s">
        <v>48</v>
      </c>
      <c r="AD3" s="267"/>
      <c r="AE3" s="267"/>
      <c r="AF3" s="267"/>
      <c r="AG3" s="267"/>
      <c r="AH3" s="268"/>
      <c r="AI3" s="233">
        <f>CARÁTULA!$H$24</f>
        <v>44440</v>
      </c>
      <c r="AJ3" s="215"/>
      <c r="AK3" s="215"/>
      <c r="AL3" s="215"/>
      <c r="AM3" s="215"/>
      <c r="AN3" s="272" t="s">
        <v>49</v>
      </c>
      <c r="AO3" s="206"/>
      <c r="AP3" s="206"/>
      <c r="AQ3" s="206"/>
      <c r="AR3" s="207"/>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69" t="s">
        <v>51</v>
      </c>
      <c r="AD4" s="267"/>
      <c r="AE4" s="267"/>
      <c r="AF4" s="267"/>
      <c r="AG4" s="267"/>
      <c r="AH4" s="268"/>
      <c r="AI4" s="233">
        <f>CARÁTULA!$J$24</f>
        <v>44531</v>
      </c>
      <c r="AJ4" s="215"/>
      <c r="AK4" s="215"/>
      <c r="AL4" s="215"/>
      <c r="AM4" s="215"/>
      <c r="AN4" s="235">
        <f ca="1">AI4-AI5</f>
        <v>34</v>
      </c>
      <c r="AO4" s="225"/>
      <c r="AP4" s="225"/>
      <c r="AQ4" s="225"/>
      <c r="AR4" s="226"/>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77">
        <f ca="1">TODAY()</f>
        <v>44497</v>
      </c>
      <c r="T5" s="206"/>
      <c r="U5" s="206"/>
      <c r="V5" s="206"/>
      <c r="W5" s="206"/>
      <c r="X5" s="206"/>
      <c r="Y5" s="206"/>
      <c r="Z5" s="206"/>
      <c r="AA5" s="207"/>
      <c r="AB5" s="76"/>
      <c r="AC5" s="270" t="s">
        <v>52</v>
      </c>
      <c r="AD5" s="267"/>
      <c r="AE5" s="267"/>
      <c r="AF5" s="267"/>
      <c r="AG5" s="267"/>
      <c r="AH5" s="268"/>
      <c r="AI5" s="273">
        <f ca="1">TODAY()</f>
        <v>44497</v>
      </c>
      <c r="AJ5" s="215"/>
      <c r="AK5" s="215"/>
      <c r="AL5" s="215"/>
      <c r="AM5" s="215"/>
      <c r="AN5" s="227"/>
      <c r="AO5" s="228"/>
      <c r="AP5" s="228"/>
      <c r="AQ5" s="228"/>
      <c r="AR5" s="229"/>
    </row>
    <row r="6" spans="1:48" ht="12.75" customHeight="1">
      <c r="A6" s="71"/>
      <c r="B6" s="74"/>
      <c r="C6" s="221" t="s">
        <v>74</v>
      </c>
      <c r="D6" s="222"/>
      <c r="E6" s="222"/>
      <c r="F6" s="222"/>
      <c r="G6" s="222"/>
      <c r="H6" s="222"/>
      <c r="I6" s="222"/>
      <c r="J6" s="222"/>
      <c r="K6" s="222"/>
      <c r="L6" s="222"/>
      <c r="M6" s="222"/>
      <c r="N6" s="222"/>
      <c r="O6" s="222"/>
      <c r="P6" s="222"/>
      <c r="Q6" s="222"/>
      <c r="R6" s="222"/>
      <c r="S6" s="222"/>
      <c r="T6" s="222"/>
      <c r="U6" s="222"/>
      <c r="V6" s="222"/>
      <c r="W6" s="222"/>
      <c r="X6" s="222"/>
      <c r="Y6" s="222"/>
      <c r="Z6" s="222"/>
      <c r="AA6" s="223"/>
      <c r="AB6" s="278" t="s">
        <v>75</v>
      </c>
      <c r="AC6" s="267"/>
      <c r="AD6" s="267"/>
      <c r="AE6" s="268"/>
      <c r="AF6" s="80"/>
      <c r="AG6" s="81"/>
      <c r="AH6" s="81"/>
      <c r="AI6" s="82"/>
      <c r="AJ6" s="83"/>
      <c r="AK6" s="83"/>
      <c r="AL6" s="83"/>
      <c r="AM6" s="83"/>
      <c r="AN6" s="84"/>
      <c r="AO6" s="84"/>
      <c r="AP6" s="84"/>
      <c r="AQ6" s="84"/>
      <c r="AR6" s="84"/>
    </row>
    <row r="7" spans="1:48" ht="12" customHeight="1">
      <c r="A7" s="71"/>
      <c r="B7" s="85"/>
      <c r="C7" s="279" t="s">
        <v>76</v>
      </c>
      <c r="D7" s="280" t="s">
        <v>77</v>
      </c>
      <c r="E7" s="267"/>
      <c r="F7" s="267"/>
      <c r="G7" s="267"/>
      <c r="H7" s="267"/>
      <c r="I7" s="267"/>
      <c r="J7" s="267"/>
      <c r="K7" s="267"/>
      <c r="L7" s="267"/>
      <c r="M7" s="267"/>
      <c r="N7" s="267"/>
      <c r="O7" s="276" t="s">
        <v>78</v>
      </c>
      <c r="P7" s="280" t="s">
        <v>79</v>
      </c>
      <c r="Q7" s="267"/>
      <c r="R7" s="267"/>
      <c r="S7" s="267"/>
      <c r="T7" s="267"/>
      <c r="U7" s="267"/>
      <c r="V7" s="267"/>
      <c r="W7" s="267"/>
      <c r="X7" s="267"/>
      <c r="Y7" s="267"/>
      <c r="Z7" s="267"/>
      <c r="AA7" s="274" t="s">
        <v>80</v>
      </c>
      <c r="AB7" s="276" t="s">
        <v>78</v>
      </c>
      <c r="AC7" s="274" t="s">
        <v>81</v>
      </c>
      <c r="AD7" s="274" t="s">
        <v>82</v>
      </c>
      <c r="AE7" s="276" t="s">
        <v>78</v>
      </c>
      <c r="AF7" s="281" t="s">
        <v>83</v>
      </c>
      <c r="AG7" s="282" t="s">
        <v>84</v>
      </c>
      <c r="AH7" s="283" t="s">
        <v>85</v>
      </c>
      <c r="AI7" s="222"/>
      <c r="AJ7" s="222"/>
      <c r="AK7" s="222"/>
      <c r="AL7" s="222"/>
      <c r="AM7" s="223"/>
      <c r="AN7" s="86"/>
      <c r="AO7" s="76"/>
      <c r="AP7" s="76"/>
      <c r="AQ7" s="76"/>
      <c r="AR7" s="71"/>
    </row>
    <row r="8" spans="1:48" ht="67.5" customHeight="1">
      <c r="A8" s="49" t="s">
        <v>53</v>
      </c>
      <c r="B8" s="50" t="s">
        <v>54</v>
      </c>
      <c r="C8" s="275"/>
      <c r="D8" s="54"/>
      <c r="E8" s="54"/>
      <c r="F8" s="54"/>
      <c r="G8" s="54"/>
      <c r="H8" s="54"/>
      <c r="I8" s="54"/>
      <c r="J8" s="54"/>
      <c r="K8" s="54"/>
      <c r="L8" s="54"/>
      <c r="M8" s="54"/>
      <c r="N8" s="55"/>
      <c r="O8" s="275"/>
      <c r="P8" s="99"/>
      <c r="Q8" s="54"/>
      <c r="R8" s="54"/>
      <c r="S8" s="54"/>
      <c r="T8" s="54"/>
      <c r="U8" s="54"/>
      <c r="V8" s="54"/>
      <c r="W8" s="54"/>
      <c r="X8" s="54"/>
      <c r="Y8" s="54"/>
      <c r="Z8" s="54"/>
      <c r="AA8" s="275"/>
      <c r="AB8" s="275"/>
      <c r="AC8" s="275"/>
      <c r="AD8" s="275"/>
      <c r="AE8" s="275"/>
      <c r="AF8" s="275"/>
      <c r="AG8" s="275"/>
      <c r="AH8" s="284"/>
      <c r="AI8" s="285"/>
      <c r="AJ8" s="285"/>
      <c r="AK8" s="285"/>
      <c r="AL8" s="285"/>
      <c r="AM8" s="286"/>
      <c r="AN8" s="91"/>
      <c r="AO8" s="91"/>
      <c r="AP8" s="91"/>
      <c r="AQ8" s="91"/>
      <c r="AR8" s="92"/>
    </row>
    <row r="9" spans="1:48" ht="12" customHeight="1">
      <c r="A9" s="59">
        <v>1</v>
      </c>
      <c r="B9" s="93" t="str">
        <f>'C. FILIACION'!B8</f>
        <v>ARANCIBIA ARRAYA LUIS ANDRES</v>
      </c>
      <c r="C9" s="31">
        <v>10</v>
      </c>
      <c r="D9" s="31">
        <v>35</v>
      </c>
      <c r="E9" s="31">
        <v>35</v>
      </c>
      <c r="F9" s="31">
        <v>35</v>
      </c>
      <c r="G9" s="31">
        <v>35</v>
      </c>
      <c r="H9" s="31">
        <v>35</v>
      </c>
      <c r="I9" s="31">
        <v>35</v>
      </c>
      <c r="J9" s="31">
        <v>35</v>
      </c>
      <c r="K9" s="31">
        <v>35</v>
      </c>
      <c r="L9" s="31">
        <v>35</v>
      </c>
      <c r="M9" s="31">
        <v>35</v>
      </c>
      <c r="N9" s="31">
        <v>35</v>
      </c>
      <c r="O9" s="95">
        <f t="shared" ref="O9:O44" si="0">IFERROR(ROUND(AVERAGE(D9:N9),0),"")</f>
        <v>35</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100</v>
      </c>
      <c r="AH9" s="266" t="str">
        <f t="shared" ref="AH9:AH44" si="5">IF(AG9="","",(IF(AND(AG9&gt;=1,AG9&lt;=50.499),"REPROBADO",IF(AND(AG9&gt;=50.5,AG9&lt;=100),"APROBADO"))))</f>
        <v>APROBADO</v>
      </c>
      <c r="AI9" s="267"/>
      <c r="AJ9" s="267"/>
      <c r="AK9" s="267"/>
      <c r="AL9" s="267"/>
      <c r="AM9" s="268"/>
      <c r="AN9" s="97" t="s">
        <v>92</v>
      </c>
      <c r="AO9" s="287">
        <f>COUNTIF(AF9:AF44,"ED")</f>
        <v>0</v>
      </c>
      <c r="AP9" s="268"/>
      <c r="AQ9" s="98"/>
      <c r="AR9" s="98"/>
    </row>
    <row r="10" spans="1:48" ht="12" customHeight="1">
      <c r="A10" s="59">
        <v>2</v>
      </c>
      <c r="B10" s="93" t="str">
        <f>'C. FILIACION'!B9</f>
        <v>ARIVIRI ALEXIS JHONATAN</v>
      </c>
      <c r="C10" s="31">
        <v>10</v>
      </c>
      <c r="D10" s="31">
        <v>35</v>
      </c>
      <c r="E10" s="31">
        <v>35</v>
      </c>
      <c r="F10" s="31">
        <v>35</v>
      </c>
      <c r="G10" s="31">
        <v>35</v>
      </c>
      <c r="H10" s="31">
        <v>35</v>
      </c>
      <c r="I10" s="31">
        <v>35</v>
      </c>
      <c r="J10" s="31">
        <v>35</v>
      </c>
      <c r="K10" s="31">
        <v>35</v>
      </c>
      <c r="L10" s="31">
        <v>35</v>
      </c>
      <c r="M10" s="31">
        <v>35</v>
      </c>
      <c r="N10" s="31">
        <v>35</v>
      </c>
      <c r="O10" s="95">
        <f t="shared" si="0"/>
        <v>35</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DP</v>
      </c>
      <c r="AG10" s="95">
        <f t="shared" si="4"/>
        <v>100</v>
      </c>
      <c r="AH10" s="266" t="str">
        <f t="shared" si="5"/>
        <v>APROBADO</v>
      </c>
      <c r="AI10" s="267"/>
      <c r="AJ10" s="267"/>
      <c r="AK10" s="267"/>
      <c r="AL10" s="267"/>
      <c r="AM10" s="268"/>
      <c r="AN10" s="49" t="s">
        <v>93</v>
      </c>
      <c r="AO10" s="287">
        <f>COUNTIF(AF9:AF44,"DA")</f>
        <v>0</v>
      </c>
      <c r="AP10" s="268"/>
      <c r="AQ10" s="98"/>
      <c r="AR10" s="98"/>
    </row>
    <row r="11" spans="1:48" ht="12" customHeight="1">
      <c r="A11" s="59">
        <v>3</v>
      </c>
      <c r="B11" s="93" t="str">
        <f>'C. FILIACION'!B10</f>
        <v>BASCOPE LOPEZ JHYMMY ANGHELO</v>
      </c>
      <c r="C11" s="31">
        <v>10</v>
      </c>
      <c r="D11" s="31">
        <v>35</v>
      </c>
      <c r="E11" s="31">
        <v>35</v>
      </c>
      <c r="F11" s="31">
        <v>35</v>
      </c>
      <c r="G11" s="31">
        <v>35</v>
      </c>
      <c r="H11" s="31">
        <v>35</v>
      </c>
      <c r="I11" s="31">
        <v>35</v>
      </c>
      <c r="J11" s="31">
        <v>35</v>
      </c>
      <c r="K11" s="31">
        <v>35</v>
      </c>
      <c r="L11" s="31">
        <v>35</v>
      </c>
      <c r="M11" s="31">
        <v>35</v>
      </c>
      <c r="N11" s="31">
        <v>35</v>
      </c>
      <c r="O11" s="95">
        <f t="shared" si="0"/>
        <v>35</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100</v>
      </c>
      <c r="AH11" s="266" t="str">
        <f t="shared" si="5"/>
        <v>APROBADO</v>
      </c>
      <c r="AI11" s="267"/>
      <c r="AJ11" s="267"/>
      <c r="AK11" s="267"/>
      <c r="AL11" s="267"/>
      <c r="AM11" s="268"/>
      <c r="AN11" s="49" t="s">
        <v>94</v>
      </c>
      <c r="AO11" s="287">
        <f>COUNTIF(AF9:AF44,"DO")</f>
        <v>0</v>
      </c>
      <c r="AP11" s="268"/>
      <c r="AQ11" s="98"/>
      <c r="AR11" s="98"/>
    </row>
    <row r="12" spans="1:48" ht="12" customHeight="1">
      <c r="A12" s="59">
        <v>4</v>
      </c>
      <c r="B12" s="93" t="str">
        <f>'C. FILIACION'!B11</f>
        <v>BLANCO SALVATIERRA DANIELA MARGARITA</v>
      </c>
      <c r="C12" s="31">
        <v>10</v>
      </c>
      <c r="D12" s="31">
        <v>35</v>
      </c>
      <c r="E12" s="31">
        <v>35</v>
      </c>
      <c r="F12" s="31">
        <v>35</v>
      </c>
      <c r="G12" s="31">
        <v>35</v>
      </c>
      <c r="H12" s="31">
        <v>35</v>
      </c>
      <c r="I12" s="31">
        <v>35</v>
      </c>
      <c r="J12" s="31">
        <v>35</v>
      </c>
      <c r="K12" s="31">
        <v>35</v>
      </c>
      <c r="L12" s="31">
        <v>35</v>
      </c>
      <c r="M12" s="31">
        <v>35</v>
      </c>
      <c r="N12" s="31">
        <v>35</v>
      </c>
      <c r="O12" s="95">
        <f t="shared" si="0"/>
        <v>35</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100</v>
      </c>
      <c r="AH12" s="266" t="str">
        <f t="shared" si="5"/>
        <v>APROBADO</v>
      </c>
      <c r="AI12" s="267"/>
      <c r="AJ12" s="267"/>
      <c r="AK12" s="267"/>
      <c r="AL12" s="267"/>
      <c r="AM12" s="268"/>
      <c r="AN12" s="49" t="s">
        <v>95</v>
      </c>
      <c r="AO12" s="287">
        <f>COUNTIF(AF9:AF44,"DP")</f>
        <v>36</v>
      </c>
      <c r="AP12" s="268"/>
      <c r="AQ12" s="98"/>
      <c r="AR12" s="98"/>
    </row>
    <row r="13" spans="1:48" ht="12" customHeight="1">
      <c r="A13" s="59">
        <v>5</v>
      </c>
      <c r="B13" s="93" t="str">
        <f>'C. FILIACION'!B12</f>
        <v>DAVILA LAPACA DIEGO LEONEL</v>
      </c>
      <c r="C13" s="31">
        <v>10</v>
      </c>
      <c r="D13" s="31">
        <v>35</v>
      </c>
      <c r="E13" s="31">
        <v>35</v>
      </c>
      <c r="F13" s="31">
        <v>35</v>
      </c>
      <c r="G13" s="31">
        <v>35</v>
      </c>
      <c r="H13" s="31">
        <v>35</v>
      </c>
      <c r="I13" s="31">
        <v>35</v>
      </c>
      <c r="J13" s="31">
        <v>35</v>
      </c>
      <c r="K13" s="31">
        <v>35</v>
      </c>
      <c r="L13" s="31">
        <v>35</v>
      </c>
      <c r="M13" s="31">
        <v>35</v>
      </c>
      <c r="N13" s="31">
        <v>35</v>
      </c>
      <c r="O13" s="95">
        <f t="shared" si="0"/>
        <v>35</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DP</v>
      </c>
      <c r="AG13" s="95">
        <f t="shared" si="4"/>
        <v>100</v>
      </c>
      <c r="AH13" s="266" t="str">
        <f t="shared" si="5"/>
        <v>APROBADO</v>
      </c>
      <c r="AI13" s="267"/>
      <c r="AJ13" s="267"/>
      <c r="AK13" s="267"/>
      <c r="AL13" s="267"/>
      <c r="AM13" s="268"/>
      <c r="AN13" s="98"/>
      <c r="AO13" s="98"/>
      <c r="AP13" s="98"/>
      <c r="AQ13" s="98"/>
      <c r="AR13" s="98"/>
    </row>
    <row r="14" spans="1:48" ht="12" customHeight="1">
      <c r="A14" s="59">
        <v>6</v>
      </c>
      <c r="B14" s="93" t="str">
        <f>'C. FILIACION'!B13</f>
        <v>ESCOBAR LAZO JHOSELIN MARCELA</v>
      </c>
      <c r="C14" s="31">
        <v>10</v>
      </c>
      <c r="D14" s="31">
        <v>35</v>
      </c>
      <c r="E14" s="31">
        <v>35</v>
      </c>
      <c r="F14" s="31">
        <v>35</v>
      </c>
      <c r="G14" s="31">
        <v>35</v>
      </c>
      <c r="H14" s="31">
        <v>35</v>
      </c>
      <c r="I14" s="31">
        <v>35</v>
      </c>
      <c r="J14" s="31">
        <v>35</v>
      </c>
      <c r="K14" s="31">
        <v>35</v>
      </c>
      <c r="L14" s="31">
        <v>35</v>
      </c>
      <c r="M14" s="31">
        <v>35</v>
      </c>
      <c r="N14" s="31">
        <v>35</v>
      </c>
      <c r="O14" s="95">
        <f t="shared" si="0"/>
        <v>35</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100</v>
      </c>
      <c r="AH14" s="266" t="str">
        <f t="shared" si="5"/>
        <v>APROBADO</v>
      </c>
      <c r="AI14" s="267"/>
      <c r="AJ14" s="267"/>
      <c r="AK14" s="267"/>
      <c r="AL14" s="267"/>
      <c r="AM14" s="268"/>
      <c r="AN14" s="98"/>
      <c r="AO14" s="98"/>
      <c r="AP14" s="98"/>
      <c r="AQ14" s="98"/>
      <c r="AR14" s="98"/>
    </row>
    <row r="15" spans="1:48" ht="12" customHeight="1">
      <c r="A15" s="59">
        <v>7</v>
      </c>
      <c r="B15" s="93" t="str">
        <f>'C. FILIACION'!B14</f>
        <v>GUTIERREZ PEREZ ARIEL FERNANDO</v>
      </c>
      <c r="C15" s="31">
        <v>10</v>
      </c>
      <c r="D15" s="31">
        <v>35</v>
      </c>
      <c r="E15" s="31">
        <v>35</v>
      </c>
      <c r="F15" s="31">
        <v>35</v>
      </c>
      <c r="G15" s="31">
        <v>35</v>
      </c>
      <c r="H15" s="31">
        <v>35</v>
      </c>
      <c r="I15" s="31">
        <v>35</v>
      </c>
      <c r="J15" s="31">
        <v>35</v>
      </c>
      <c r="K15" s="31">
        <v>35</v>
      </c>
      <c r="L15" s="31">
        <v>35</v>
      </c>
      <c r="M15" s="31">
        <v>35</v>
      </c>
      <c r="N15" s="31">
        <v>35</v>
      </c>
      <c r="O15" s="95">
        <f t="shared" si="0"/>
        <v>35</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100</v>
      </c>
      <c r="AH15" s="266" t="str">
        <f t="shared" si="5"/>
        <v>APROBADO</v>
      </c>
      <c r="AI15" s="267"/>
      <c r="AJ15" s="267"/>
      <c r="AK15" s="267"/>
      <c r="AL15" s="267"/>
      <c r="AM15" s="268"/>
      <c r="AN15" s="98"/>
      <c r="AO15" s="98"/>
      <c r="AP15" s="98"/>
      <c r="AQ15" s="98"/>
      <c r="AR15" s="98"/>
    </row>
    <row r="16" spans="1:48" ht="12" customHeight="1">
      <c r="A16" s="59">
        <v>8</v>
      </c>
      <c r="B16" s="93" t="str">
        <f>'C. FILIACION'!B15</f>
        <v>LOPEZ PACO FABRICIO ANDRE</v>
      </c>
      <c r="C16" s="31">
        <v>10</v>
      </c>
      <c r="D16" s="31">
        <v>35</v>
      </c>
      <c r="E16" s="31">
        <v>35</v>
      </c>
      <c r="F16" s="31">
        <v>35</v>
      </c>
      <c r="G16" s="31">
        <v>35</v>
      </c>
      <c r="H16" s="31">
        <v>35</v>
      </c>
      <c r="I16" s="31">
        <v>35</v>
      </c>
      <c r="J16" s="31">
        <v>35</v>
      </c>
      <c r="K16" s="31">
        <v>35</v>
      </c>
      <c r="L16" s="31">
        <v>35</v>
      </c>
      <c r="M16" s="31">
        <v>35</v>
      </c>
      <c r="N16" s="31">
        <v>35</v>
      </c>
      <c r="O16" s="95">
        <f t="shared" si="0"/>
        <v>35</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DP</v>
      </c>
      <c r="AG16" s="95">
        <f t="shared" si="4"/>
        <v>100</v>
      </c>
      <c r="AH16" s="266" t="str">
        <f t="shared" si="5"/>
        <v>APROBADO</v>
      </c>
      <c r="AI16" s="267"/>
      <c r="AJ16" s="267"/>
      <c r="AK16" s="267"/>
      <c r="AL16" s="267"/>
      <c r="AM16" s="268"/>
      <c r="AN16" s="98"/>
      <c r="AO16" s="98"/>
      <c r="AP16" s="98"/>
      <c r="AQ16" s="98"/>
      <c r="AR16" s="98"/>
    </row>
    <row r="17" spans="1:44" ht="12" customHeight="1">
      <c r="A17" s="59">
        <v>9</v>
      </c>
      <c r="B17" s="93" t="str">
        <f>'C. FILIACION'!B16</f>
        <v>NINA PANIAGUA DEYVID GABRIEL</v>
      </c>
      <c r="C17" s="31">
        <v>10</v>
      </c>
      <c r="D17" s="31">
        <v>35</v>
      </c>
      <c r="E17" s="31">
        <v>35</v>
      </c>
      <c r="F17" s="31">
        <v>35</v>
      </c>
      <c r="G17" s="31">
        <v>35</v>
      </c>
      <c r="H17" s="31">
        <v>35</v>
      </c>
      <c r="I17" s="31">
        <v>35</v>
      </c>
      <c r="J17" s="31">
        <v>35</v>
      </c>
      <c r="K17" s="31">
        <v>35</v>
      </c>
      <c r="L17" s="31">
        <v>35</v>
      </c>
      <c r="M17" s="31">
        <v>35</v>
      </c>
      <c r="N17" s="31">
        <v>35</v>
      </c>
      <c r="O17" s="95">
        <f t="shared" si="0"/>
        <v>35</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100</v>
      </c>
      <c r="AH17" s="266" t="str">
        <f t="shared" si="5"/>
        <v>APROBADO</v>
      </c>
      <c r="AI17" s="267"/>
      <c r="AJ17" s="267"/>
      <c r="AK17" s="267"/>
      <c r="AL17" s="267"/>
      <c r="AM17" s="268"/>
      <c r="AN17" s="98"/>
      <c r="AO17" s="98"/>
      <c r="AP17" s="98"/>
      <c r="AQ17" s="98"/>
      <c r="AR17" s="98"/>
    </row>
    <row r="18" spans="1:44" ht="12" customHeight="1">
      <c r="A18" s="59">
        <v>10</v>
      </c>
      <c r="B18" s="93" t="str">
        <f>'C. FILIACION'!B17</f>
        <v>PASTOR CONDARCO STEVE DAVID</v>
      </c>
      <c r="C18" s="31">
        <v>10</v>
      </c>
      <c r="D18" s="31">
        <v>35</v>
      </c>
      <c r="E18" s="31">
        <v>35</v>
      </c>
      <c r="F18" s="31">
        <v>35</v>
      </c>
      <c r="G18" s="31">
        <v>35</v>
      </c>
      <c r="H18" s="31">
        <v>35</v>
      </c>
      <c r="I18" s="31">
        <v>35</v>
      </c>
      <c r="J18" s="31">
        <v>35</v>
      </c>
      <c r="K18" s="31">
        <v>35</v>
      </c>
      <c r="L18" s="31">
        <v>35</v>
      </c>
      <c r="M18" s="31">
        <v>35</v>
      </c>
      <c r="N18" s="31">
        <v>35</v>
      </c>
      <c r="O18" s="95">
        <f t="shared" si="0"/>
        <v>35</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DP</v>
      </c>
      <c r="AG18" s="95">
        <f t="shared" si="4"/>
        <v>100</v>
      </c>
      <c r="AH18" s="266" t="str">
        <f t="shared" si="5"/>
        <v>APROBADO</v>
      </c>
      <c r="AI18" s="267"/>
      <c r="AJ18" s="267"/>
      <c r="AK18" s="267"/>
      <c r="AL18" s="267"/>
      <c r="AM18" s="268"/>
      <c r="AN18" s="98"/>
      <c r="AO18" s="98"/>
      <c r="AP18" s="98"/>
      <c r="AQ18" s="98"/>
      <c r="AR18" s="98"/>
    </row>
    <row r="19" spans="1:44" ht="12" customHeight="1">
      <c r="A19" s="59">
        <v>11</v>
      </c>
      <c r="B19" s="93" t="str">
        <f>'C. FILIACION'!B18</f>
        <v>ROJAS MAMANI JERUSALEN LOURDES</v>
      </c>
      <c r="C19" s="31">
        <v>10</v>
      </c>
      <c r="D19" s="31">
        <v>35</v>
      </c>
      <c r="E19" s="31">
        <v>35</v>
      </c>
      <c r="F19" s="31">
        <v>35</v>
      </c>
      <c r="G19" s="31">
        <v>35</v>
      </c>
      <c r="H19" s="31">
        <v>35</v>
      </c>
      <c r="I19" s="31">
        <v>35</v>
      </c>
      <c r="J19" s="31">
        <v>35</v>
      </c>
      <c r="K19" s="31">
        <v>35</v>
      </c>
      <c r="L19" s="31">
        <v>35</v>
      </c>
      <c r="M19" s="31">
        <v>35</v>
      </c>
      <c r="N19" s="31">
        <v>35</v>
      </c>
      <c r="O19" s="95">
        <f t="shared" si="0"/>
        <v>35</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100</v>
      </c>
      <c r="AH19" s="266" t="str">
        <f t="shared" si="5"/>
        <v>APROBADO</v>
      </c>
      <c r="AI19" s="267"/>
      <c r="AJ19" s="267"/>
      <c r="AK19" s="267"/>
      <c r="AL19" s="267"/>
      <c r="AM19" s="268"/>
      <c r="AN19" s="98"/>
      <c r="AO19" s="98"/>
      <c r="AP19" s="98"/>
      <c r="AQ19" s="98"/>
      <c r="AR19" s="98"/>
    </row>
    <row r="20" spans="1:44" ht="12" customHeight="1">
      <c r="A20" s="59">
        <v>12</v>
      </c>
      <c r="B20" s="93" t="str">
        <f>'C. FILIACION'!B19</f>
        <v>SALAS ROJAS LUCIANA ANTONELLA</v>
      </c>
      <c r="C20" s="31">
        <v>10</v>
      </c>
      <c r="D20" s="31">
        <v>35</v>
      </c>
      <c r="E20" s="31">
        <v>35</v>
      </c>
      <c r="F20" s="31">
        <v>35</v>
      </c>
      <c r="G20" s="31">
        <v>35</v>
      </c>
      <c r="H20" s="31">
        <v>35</v>
      </c>
      <c r="I20" s="31">
        <v>35</v>
      </c>
      <c r="J20" s="31">
        <v>35</v>
      </c>
      <c r="K20" s="31">
        <v>35</v>
      </c>
      <c r="L20" s="31">
        <v>35</v>
      </c>
      <c r="M20" s="31">
        <v>35</v>
      </c>
      <c r="N20" s="31">
        <v>35</v>
      </c>
      <c r="O20" s="95">
        <f t="shared" si="0"/>
        <v>35</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DP</v>
      </c>
      <c r="AG20" s="95">
        <f t="shared" si="4"/>
        <v>100</v>
      </c>
      <c r="AH20" s="266" t="str">
        <f t="shared" si="5"/>
        <v>APROBADO</v>
      </c>
      <c r="AI20" s="267"/>
      <c r="AJ20" s="267"/>
      <c r="AK20" s="267"/>
      <c r="AL20" s="267"/>
      <c r="AM20" s="268"/>
      <c r="AN20" s="98"/>
      <c r="AO20" s="98"/>
      <c r="AP20" s="98"/>
      <c r="AQ20" s="98"/>
      <c r="AR20" s="98"/>
    </row>
    <row r="21" spans="1:44" ht="12" customHeight="1">
      <c r="A21" s="59">
        <v>13</v>
      </c>
      <c r="B21" s="93" t="str">
        <f>'C. FILIACION'!B20</f>
        <v>SANTOS CRUZ ROYER JOEL</v>
      </c>
      <c r="C21" s="31">
        <v>10</v>
      </c>
      <c r="D21" s="31">
        <v>35</v>
      </c>
      <c r="E21" s="31">
        <v>35</v>
      </c>
      <c r="F21" s="31">
        <v>35</v>
      </c>
      <c r="G21" s="31">
        <v>35</v>
      </c>
      <c r="H21" s="31">
        <v>35</v>
      </c>
      <c r="I21" s="31">
        <v>35</v>
      </c>
      <c r="J21" s="31">
        <v>35</v>
      </c>
      <c r="K21" s="31">
        <v>35</v>
      </c>
      <c r="L21" s="31">
        <v>35</v>
      </c>
      <c r="M21" s="31">
        <v>35</v>
      </c>
      <c r="N21" s="31">
        <v>35</v>
      </c>
      <c r="O21" s="95">
        <f t="shared" si="0"/>
        <v>35</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100</v>
      </c>
      <c r="AH21" s="266" t="str">
        <f t="shared" si="5"/>
        <v>APROBADO</v>
      </c>
      <c r="AI21" s="267"/>
      <c r="AJ21" s="267"/>
      <c r="AK21" s="267"/>
      <c r="AL21" s="267"/>
      <c r="AM21" s="268"/>
      <c r="AN21" s="98"/>
      <c r="AO21" s="98"/>
      <c r="AP21" s="98"/>
      <c r="AQ21" s="98"/>
      <c r="AR21" s="98"/>
    </row>
    <row r="22" spans="1:44" ht="12" customHeight="1">
      <c r="A22" s="59">
        <v>14</v>
      </c>
      <c r="B22" s="93" t="str">
        <f>'C. FILIACION'!B21</f>
        <v>TICONA LOAYZA ARIADNE VALERIA</v>
      </c>
      <c r="C22" s="31">
        <v>10</v>
      </c>
      <c r="D22" s="31">
        <v>35</v>
      </c>
      <c r="E22" s="31">
        <v>35</v>
      </c>
      <c r="F22" s="31">
        <v>35</v>
      </c>
      <c r="G22" s="31">
        <v>35</v>
      </c>
      <c r="H22" s="31">
        <v>35</v>
      </c>
      <c r="I22" s="31">
        <v>35</v>
      </c>
      <c r="J22" s="31">
        <v>35</v>
      </c>
      <c r="K22" s="31">
        <v>35</v>
      </c>
      <c r="L22" s="31">
        <v>35</v>
      </c>
      <c r="M22" s="31">
        <v>35</v>
      </c>
      <c r="N22" s="31">
        <v>35</v>
      </c>
      <c r="O22" s="95">
        <f t="shared" si="0"/>
        <v>35</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100</v>
      </c>
      <c r="AH22" s="266" t="str">
        <f t="shared" si="5"/>
        <v>APROBADO</v>
      </c>
      <c r="AI22" s="267"/>
      <c r="AJ22" s="267"/>
      <c r="AK22" s="267"/>
      <c r="AL22" s="267"/>
      <c r="AM22" s="268"/>
      <c r="AN22" s="98"/>
      <c r="AO22" s="98"/>
      <c r="AP22" s="98"/>
      <c r="AQ22" s="98"/>
      <c r="AR22" s="98"/>
    </row>
    <row r="23" spans="1:44" ht="12" customHeight="1">
      <c r="A23" s="59">
        <v>15</v>
      </c>
      <c r="B23" s="93" t="str">
        <f>'C. FILIACION'!B22</f>
        <v>ZEBALLOS DEL CARPIO AMIRA MERCEDES</v>
      </c>
      <c r="C23" s="31">
        <v>10</v>
      </c>
      <c r="D23" s="31">
        <v>35</v>
      </c>
      <c r="E23" s="31">
        <v>35</v>
      </c>
      <c r="F23" s="31">
        <v>35</v>
      </c>
      <c r="G23" s="31">
        <v>35</v>
      </c>
      <c r="H23" s="31">
        <v>35</v>
      </c>
      <c r="I23" s="31">
        <v>35</v>
      </c>
      <c r="J23" s="31">
        <v>35</v>
      </c>
      <c r="K23" s="31">
        <v>35</v>
      </c>
      <c r="L23" s="31">
        <v>35</v>
      </c>
      <c r="M23" s="31">
        <v>35</v>
      </c>
      <c r="N23" s="31">
        <v>35</v>
      </c>
      <c r="O23" s="95">
        <f t="shared" si="0"/>
        <v>35</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100</v>
      </c>
      <c r="AH23" s="266" t="str">
        <f t="shared" si="5"/>
        <v>APROBADO</v>
      </c>
      <c r="AI23" s="267"/>
      <c r="AJ23" s="267"/>
      <c r="AK23" s="267"/>
      <c r="AL23" s="267"/>
      <c r="AM23" s="268"/>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66" t="str">
        <f t="shared" si="5"/>
        <v>APROBADO</v>
      </c>
      <c r="AI24" s="267"/>
      <c r="AJ24" s="267"/>
      <c r="AK24" s="267"/>
      <c r="AL24" s="267"/>
      <c r="AM24" s="268"/>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66" t="str">
        <f t="shared" si="5"/>
        <v>APROBADO</v>
      </c>
      <c r="AI25" s="267"/>
      <c r="AJ25" s="267"/>
      <c r="AK25" s="267"/>
      <c r="AL25" s="267"/>
      <c r="AM25" s="268"/>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66" t="str">
        <f t="shared" si="5"/>
        <v>APROBADO</v>
      </c>
      <c r="AI26" s="267"/>
      <c r="AJ26" s="267"/>
      <c r="AK26" s="267"/>
      <c r="AL26" s="267"/>
      <c r="AM26" s="268"/>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66" t="str">
        <f t="shared" si="5"/>
        <v>APROBADO</v>
      </c>
      <c r="AI27" s="267"/>
      <c r="AJ27" s="267"/>
      <c r="AK27" s="267"/>
      <c r="AL27" s="267"/>
      <c r="AM27" s="268"/>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66" t="str">
        <f t="shared" si="5"/>
        <v>APROBADO</v>
      </c>
      <c r="AI28" s="267"/>
      <c r="AJ28" s="267"/>
      <c r="AK28" s="267"/>
      <c r="AL28" s="267"/>
      <c r="AM28" s="268"/>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66" t="str">
        <f t="shared" si="5"/>
        <v>APROBADO</v>
      </c>
      <c r="AI29" s="267"/>
      <c r="AJ29" s="267"/>
      <c r="AK29" s="267"/>
      <c r="AL29" s="267"/>
      <c r="AM29" s="268"/>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66" t="str">
        <f t="shared" si="5"/>
        <v>APROBADO</v>
      </c>
      <c r="AI30" s="267"/>
      <c r="AJ30" s="267"/>
      <c r="AK30" s="267"/>
      <c r="AL30" s="267"/>
      <c r="AM30" s="268"/>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66" t="str">
        <f t="shared" si="5"/>
        <v>APROBADO</v>
      </c>
      <c r="AI31" s="267"/>
      <c r="AJ31" s="267"/>
      <c r="AK31" s="267"/>
      <c r="AL31" s="267"/>
      <c r="AM31" s="268"/>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66" t="str">
        <f t="shared" si="5"/>
        <v>APROBADO</v>
      </c>
      <c r="AI32" s="267"/>
      <c r="AJ32" s="267"/>
      <c r="AK32" s="267"/>
      <c r="AL32" s="267"/>
      <c r="AM32" s="268"/>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66" t="str">
        <f t="shared" si="5"/>
        <v>APROBADO</v>
      </c>
      <c r="AI33" s="267"/>
      <c r="AJ33" s="267"/>
      <c r="AK33" s="267"/>
      <c r="AL33" s="267"/>
      <c r="AM33" s="268"/>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66" t="str">
        <f t="shared" si="5"/>
        <v>APROBADO</v>
      </c>
      <c r="AI34" s="267"/>
      <c r="AJ34" s="267"/>
      <c r="AK34" s="267"/>
      <c r="AL34" s="267"/>
      <c r="AM34" s="268"/>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66" t="str">
        <f t="shared" si="5"/>
        <v>APROBADO</v>
      </c>
      <c r="AI35" s="267"/>
      <c r="AJ35" s="267"/>
      <c r="AK35" s="267"/>
      <c r="AL35" s="267"/>
      <c r="AM35" s="268"/>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66" t="str">
        <f t="shared" si="5"/>
        <v>APROBADO</v>
      </c>
      <c r="AI36" s="267"/>
      <c r="AJ36" s="267"/>
      <c r="AK36" s="267"/>
      <c r="AL36" s="267"/>
      <c r="AM36" s="268"/>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66" t="str">
        <f t="shared" si="5"/>
        <v>APROBADO</v>
      </c>
      <c r="AI37" s="267"/>
      <c r="AJ37" s="267"/>
      <c r="AK37" s="267"/>
      <c r="AL37" s="267"/>
      <c r="AM37" s="268"/>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66" t="str">
        <f t="shared" si="5"/>
        <v>APROBADO</v>
      </c>
      <c r="AI38" s="267"/>
      <c r="AJ38" s="267"/>
      <c r="AK38" s="267"/>
      <c r="AL38" s="267"/>
      <c r="AM38" s="268"/>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66" t="str">
        <f t="shared" si="5"/>
        <v>APROBADO</v>
      </c>
      <c r="AI39" s="267"/>
      <c r="AJ39" s="267"/>
      <c r="AK39" s="267"/>
      <c r="AL39" s="267"/>
      <c r="AM39" s="268"/>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66" t="str">
        <f t="shared" si="5"/>
        <v>APROBADO</v>
      </c>
      <c r="AI40" s="267"/>
      <c r="AJ40" s="267"/>
      <c r="AK40" s="267"/>
      <c r="AL40" s="267"/>
      <c r="AM40" s="268"/>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66" t="str">
        <f t="shared" si="5"/>
        <v>APROBADO</v>
      </c>
      <c r="AI41" s="267"/>
      <c r="AJ41" s="267"/>
      <c r="AK41" s="267"/>
      <c r="AL41" s="267"/>
      <c r="AM41" s="268"/>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66" t="str">
        <f t="shared" si="5"/>
        <v>APROBADO</v>
      </c>
      <c r="AI42" s="267"/>
      <c r="AJ42" s="267"/>
      <c r="AK42" s="267"/>
      <c r="AL42" s="267"/>
      <c r="AM42" s="268"/>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66" t="str">
        <f t="shared" si="5"/>
        <v>APROBADO</v>
      </c>
      <c r="AI43" s="267"/>
      <c r="AJ43" s="267"/>
      <c r="AK43" s="267"/>
      <c r="AL43" s="267"/>
      <c r="AM43" s="268"/>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66" t="str">
        <f t="shared" si="5"/>
        <v>APROBADO</v>
      </c>
      <c r="AI44" s="267"/>
      <c r="AJ44" s="267"/>
      <c r="AK44" s="267"/>
      <c r="AL44" s="267"/>
      <c r="AM44" s="268"/>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65625" defaultRowHeight="15" customHeight="1"/>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row r="2" spans="1:28" ht="12.75" customHeight="1">
      <c r="B2" s="219" t="s">
        <v>98</v>
      </c>
      <c r="C2" s="215"/>
      <c r="D2" s="215"/>
      <c r="E2" s="215"/>
      <c r="F2" s="215"/>
      <c r="G2" s="215"/>
      <c r="H2" s="215"/>
      <c r="I2" s="215"/>
      <c r="J2" s="215"/>
      <c r="K2" s="215"/>
      <c r="L2" s="215"/>
      <c r="M2" s="215"/>
      <c r="N2" s="215"/>
      <c r="O2" s="215"/>
      <c r="P2" s="215"/>
      <c r="Q2" s="215"/>
      <c r="R2" s="215"/>
      <c r="S2" s="215"/>
      <c r="T2" s="215"/>
      <c r="U2" s="215"/>
      <c r="V2" s="215"/>
      <c r="W2" s="215"/>
      <c r="X2" s="215"/>
      <c r="Y2" s="73"/>
      <c r="Z2" s="73"/>
      <c r="AA2" s="73"/>
      <c r="AB2" s="73"/>
    </row>
    <row r="3" spans="1:28" ht="12.75" customHeight="1">
      <c r="B3" s="39" t="s">
        <v>8</v>
      </c>
      <c r="C3" s="40" t="str">
        <f>CARÁTULA!$C$15</f>
        <v>Instituto Tecnico Humanistico Jauzel Arrieta</v>
      </c>
      <c r="D3" s="41"/>
      <c r="E3" s="41"/>
      <c r="F3" s="41"/>
      <c r="G3" s="41"/>
      <c r="H3" s="41"/>
      <c r="I3" s="41"/>
      <c r="J3" s="41"/>
      <c r="K3" s="41"/>
      <c r="L3" s="41"/>
      <c r="M3" s="41"/>
      <c r="N3" s="42"/>
      <c r="O3" s="42"/>
      <c r="P3" s="42"/>
      <c r="Q3" s="42"/>
      <c r="R3" s="42" t="s">
        <v>19</v>
      </c>
      <c r="S3" s="43"/>
      <c r="T3" s="43"/>
      <c r="U3" s="43" t="str">
        <f>CARÁTULA!$C$25</f>
        <v>Tecnica Tecnologica (Programacion)</v>
      </c>
      <c r="V3" s="43"/>
      <c r="W3" s="43"/>
      <c r="X3" s="43"/>
    </row>
    <row r="4" spans="1:28" ht="12.75" customHeight="1">
      <c r="B4" s="39" t="s">
        <v>14</v>
      </c>
      <c r="C4" s="40" t="str">
        <f>CARÁTULA!$C$21</f>
        <v>Secundaria</v>
      </c>
      <c r="D4" s="41"/>
      <c r="E4" s="41"/>
      <c r="F4" s="41"/>
      <c r="G4" s="41"/>
      <c r="H4" s="41"/>
      <c r="I4" s="41"/>
      <c r="J4" s="41"/>
      <c r="K4" s="41"/>
      <c r="L4" s="41"/>
      <c r="M4" s="41"/>
      <c r="N4" s="42"/>
      <c r="O4" s="42"/>
      <c r="P4" s="42"/>
      <c r="Q4" s="42"/>
      <c r="R4" s="42" t="s">
        <v>50</v>
      </c>
      <c r="S4" s="43"/>
      <c r="T4" s="41"/>
      <c r="U4" s="40" t="str">
        <f>CARÁTULA!$C$19</f>
        <v>JOSE COAQUIRA COPA</v>
      </c>
      <c r="V4" s="41"/>
      <c r="W4" s="41"/>
      <c r="X4" s="41"/>
    </row>
    <row r="5" spans="1:28" ht="12.75" customHeight="1">
      <c r="B5" s="39" t="s">
        <v>22</v>
      </c>
      <c r="C5" s="100" t="str">
        <f>CARÁTULA!$C$23</f>
        <v>1ro de Secundaria</v>
      </c>
      <c r="D5" s="41"/>
      <c r="E5" s="41"/>
      <c r="F5" s="41"/>
      <c r="G5" s="41"/>
      <c r="H5" s="41"/>
      <c r="I5" s="41"/>
      <c r="J5" s="41"/>
      <c r="K5" s="41"/>
      <c r="L5" s="41"/>
      <c r="M5" s="41"/>
      <c r="N5" s="39"/>
      <c r="O5" s="39"/>
      <c r="P5" s="39"/>
      <c r="Q5" s="39"/>
      <c r="R5" s="44" t="s">
        <v>23</v>
      </c>
      <c r="S5" s="45"/>
      <c r="T5" s="45"/>
      <c r="U5" s="233">
        <f ca="1">TODAY()</f>
        <v>44497</v>
      </c>
      <c r="V5" s="215"/>
      <c r="W5" s="215"/>
      <c r="X5" s="215"/>
    </row>
    <row r="6" spans="1:28" ht="12.75" customHeight="1">
      <c r="B6" s="39"/>
      <c r="C6" s="291" t="s">
        <v>4</v>
      </c>
      <c r="D6" s="267"/>
      <c r="E6" s="267"/>
      <c r="F6" s="267"/>
      <c r="G6" s="267"/>
      <c r="H6" s="268"/>
      <c r="I6" s="291" t="s">
        <v>10</v>
      </c>
      <c r="J6" s="267"/>
      <c r="K6" s="267"/>
      <c r="L6" s="267"/>
      <c r="M6" s="267"/>
      <c r="N6" s="268"/>
      <c r="O6" s="291" t="s">
        <v>16</v>
      </c>
      <c r="P6" s="267"/>
      <c r="Q6" s="267"/>
      <c r="R6" s="267"/>
      <c r="S6" s="267"/>
      <c r="T6" s="268"/>
      <c r="U6" s="296" t="s">
        <v>99</v>
      </c>
      <c r="V6" s="292" t="s">
        <v>100</v>
      </c>
      <c r="W6" s="68"/>
      <c r="X6" s="68"/>
    </row>
    <row r="7" spans="1:28" ht="12" customHeight="1">
      <c r="B7" s="48"/>
      <c r="C7" s="294"/>
      <c r="D7" s="267"/>
      <c r="E7" s="267"/>
      <c r="F7" s="267"/>
      <c r="G7" s="268"/>
      <c r="H7" s="295" t="s">
        <v>101</v>
      </c>
      <c r="I7" s="294"/>
      <c r="J7" s="267"/>
      <c r="K7" s="267"/>
      <c r="L7" s="267"/>
      <c r="M7" s="268"/>
      <c r="N7" s="295" t="s">
        <v>101</v>
      </c>
      <c r="O7" s="294"/>
      <c r="P7" s="267"/>
      <c r="Q7" s="267"/>
      <c r="R7" s="267"/>
      <c r="S7" s="268"/>
      <c r="T7" s="279" t="s">
        <v>101</v>
      </c>
      <c r="U7" s="293"/>
      <c r="V7" s="293"/>
      <c r="W7" s="41"/>
      <c r="X7" s="41"/>
    </row>
    <row r="8" spans="1:28" ht="67.5" customHeight="1">
      <c r="A8" s="49" t="s">
        <v>53</v>
      </c>
      <c r="B8" s="50" t="s">
        <v>54</v>
      </c>
      <c r="C8" s="101" t="s">
        <v>76</v>
      </c>
      <c r="D8" s="102" t="s">
        <v>77</v>
      </c>
      <c r="E8" s="102" t="s">
        <v>79</v>
      </c>
      <c r="F8" s="102" t="s">
        <v>80</v>
      </c>
      <c r="G8" s="102" t="s">
        <v>102</v>
      </c>
      <c r="H8" s="275"/>
      <c r="I8" s="101" t="s">
        <v>76</v>
      </c>
      <c r="J8" s="102" t="s">
        <v>77</v>
      </c>
      <c r="K8" s="102" t="s">
        <v>79</v>
      </c>
      <c r="L8" s="102" t="s">
        <v>80</v>
      </c>
      <c r="M8" s="102" t="s">
        <v>102</v>
      </c>
      <c r="N8" s="275"/>
      <c r="O8" s="101" t="s">
        <v>76</v>
      </c>
      <c r="P8" s="102" t="s">
        <v>77</v>
      </c>
      <c r="Q8" s="102" t="s">
        <v>79</v>
      </c>
      <c r="R8" s="102" t="s">
        <v>80</v>
      </c>
      <c r="S8" s="102" t="s">
        <v>102</v>
      </c>
      <c r="T8" s="275"/>
      <c r="U8" s="275"/>
      <c r="V8" s="275"/>
      <c r="W8" s="103"/>
      <c r="X8" s="103"/>
    </row>
    <row r="9" spans="1:28" ht="12" customHeight="1">
      <c r="A9" s="59">
        <v>1</v>
      </c>
      <c r="B9" s="60" t="str">
        <f>'C. FILIACION'!B8</f>
        <v>ARANCIBIA ARRAYA LUIS ANDRES</v>
      </c>
      <c r="C9" s="31">
        <f>'VAL 1 TRIM '!C9</f>
        <v>10</v>
      </c>
      <c r="D9" s="31">
        <f>'VAL 1 TRIM '!O9</f>
        <v>23</v>
      </c>
      <c r="E9" s="31">
        <f>'VAL 1 TRIM '!AB9</f>
        <v>23</v>
      </c>
      <c r="F9" s="31">
        <f>'VAL 1 TRIM '!AE9</f>
        <v>10</v>
      </c>
      <c r="G9" s="31">
        <f>'VAL 1 TRIM '!AE9</f>
        <v>10</v>
      </c>
      <c r="H9" s="104">
        <f>'VAL 1 TRIM '!AG9</f>
        <v>76</v>
      </c>
      <c r="I9" s="31">
        <f>'VAL 2 TRIM'!C10</f>
        <v>9.2307692307692299</v>
      </c>
      <c r="J9" s="31">
        <f>'VAL 2 TRIM'!O9</f>
        <v>25</v>
      </c>
      <c r="K9" s="31">
        <f>'VAL 2 TRIM'!AB9</f>
        <v>18</v>
      </c>
      <c r="L9" s="31">
        <f>'VAL 2 TRIM'!AA9</f>
        <v>10</v>
      </c>
      <c r="M9" s="31">
        <f>'VAL 2 TRIM'!AE9</f>
        <v>6</v>
      </c>
      <c r="N9" s="104">
        <f>'VAL 2 TRIM'!AG9</f>
        <v>68.230769230769226</v>
      </c>
      <c r="O9" s="31">
        <f>'VAL 3 TRIM'!C9</f>
        <v>10</v>
      </c>
      <c r="P9" s="31">
        <f>'VAL 3 TRIM'!O9</f>
        <v>35</v>
      </c>
      <c r="Q9" s="31">
        <f>'VAL 3 TRIM'!AB9</f>
        <v>35</v>
      </c>
      <c r="R9" s="31">
        <f>'VAL 3 TRIM'!AA9</f>
        <v>10</v>
      </c>
      <c r="S9" s="31">
        <f>'VAL 3 TRIM'!AE9</f>
        <v>10</v>
      </c>
      <c r="T9" s="104">
        <f>'VAL 3 TRIM'!AG9</f>
        <v>100</v>
      </c>
      <c r="U9" s="105">
        <f t="shared" ref="U9:U44" si="0">AVERAGE(H9,N9,T9)</f>
        <v>81.410256410256409</v>
      </c>
      <c r="V9" s="106" t="str">
        <f t="shared" ref="V9:V44" si="1">IF(U9="","",(IF(AND(U9&gt;=1,U9&lt;=50.499),"REPROBADO",IF(AND(U9&gt;=50.5,U9&lt;=100),"APROBADO"))))</f>
        <v>APROBADO</v>
      </c>
      <c r="W9" s="107"/>
      <c r="X9" s="107"/>
    </row>
    <row r="10" spans="1:28" ht="12" customHeight="1">
      <c r="A10" s="59">
        <v>2</v>
      </c>
      <c r="B10" s="60" t="str">
        <f>'C. FILIACION'!B9</f>
        <v>ARIVIRI ALEXIS JHONATAN</v>
      </c>
      <c r="C10" s="49">
        <f>'VAL 1 TRIM '!C10</f>
        <v>10</v>
      </c>
      <c r="D10" s="49">
        <f>'VAL 1 TRIM '!O10</f>
        <v>10</v>
      </c>
      <c r="E10" s="49">
        <f>'VAL 1 TRIM '!AB10</f>
        <v>10</v>
      </c>
      <c r="F10" s="49">
        <f>'VAL 1 TRIM '!AE10</f>
        <v>10</v>
      </c>
      <c r="G10" s="49">
        <f>'VAL 1 TRIM '!AE10</f>
        <v>10</v>
      </c>
      <c r="H10" s="104">
        <f>'VAL 1 TRIM '!AG10</f>
        <v>50</v>
      </c>
      <c r="I10" s="31">
        <f>'VAL 2 TRIM'!C11</f>
        <v>8.3333333333333339</v>
      </c>
      <c r="J10" s="31">
        <f>'VAL 2 TRIM'!O10</f>
        <v>15</v>
      </c>
      <c r="K10" s="31">
        <f>'VAL 2 TRIM'!AB10</f>
        <v>16</v>
      </c>
      <c r="L10" s="31">
        <f>'VAL 2 TRIM'!AA10</f>
        <v>8</v>
      </c>
      <c r="M10" s="31">
        <f>'VAL 2 TRIM'!AE10</f>
        <v>6</v>
      </c>
      <c r="N10" s="104">
        <f>'VAL 2 TRIM'!AG10</f>
        <v>53.333333333333336</v>
      </c>
      <c r="O10" s="31">
        <f>'VAL 3 TRIM'!C10</f>
        <v>10</v>
      </c>
      <c r="P10" s="31">
        <f>'VAL 3 TRIM'!O10</f>
        <v>35</v>
      </c>
      <c r="Q10" s="31">
        <f>'VAL 3 TRIM'!AB10</f>
        <v>35</v>
      </c>
      <c r="R10" s="31">
        <f>'VAL 3 TRIM'!AA10</f>
        <v>10</v>
      </c>
      <c r="S10" s="49">
        <f>'VAL 3 TRIM'!AE10</f>
        <v>10</v>
      </c>
      <c r="T10" s="104">
        <f>'VAL 3 TRIM'!AG10</f>
        <v>100</v>
      </c>
      <c r="U10" s="105">
        <f t="shared" si="0"/>
        <v>67.777777777777786</v>
      </c>
      <c r="V10" s="106" t="str">
        <f t="shared" si="1"/>
        <v>APROBADO</v>
      </c>
      <c r="W10" s="107"/>
      <c r="X10" s="107"/>
    </row>
    <row r="11" spans="1:28" ht="12" customHeight="1">
      <c r="A11" s="59">
        <v>3</v>
      </c>
      <c r="B11" s="60" t="str">
        <f>'C. FILIACION'!B10</f>
        <v>BASCOPE LOPEZ JHYMMY ANGHELO</v>
      </c>
      <c r="C11" s="49">
        <f>'VAL 1 TRIM '!C11</f>
        <v>10</v>
      </c>
      <c r="D11" s="49">
        <f>'VAL 1 TRIM '!O11</f>
        <v>17</v>
      </c>
      <c r="E11" s="49">
        <f>'VAL 1 TRIM '!AB11</f>
        <v>17</v>
      </c>
      <c r="F11" s="49">
        <f>'VAL 1 TRIM '!AE11</f>
        <v>10</v>
      </c>
      <c r="G11" s="49">
        <f>'VAL 1 TRIM '!AE11</f>
        <v>10</v>
      </c>
      <c r="H11" s="104">
        <f>'VAL 1 TRIM '!AG11</f>
        <v>64</v>
      </c>
      <c r="I11" s="31">
        <f>'VAL 2 TRIM'!C12</f>
        <v>10</v>
      </c>
      <c r="J11" s="31">
        <f>'VAL 2 TRIM'!O11</f>
        <v>22</v>
      </c>
      <c r="K11" s="31">
        <f>'VAL 2 TRIM'!AB11</f>
        <v>23</v>
      </c>
      <c r="L11" s="31">
        <f>'VAL 2 TRIM'!AA11</f>
        <v>10</v>
      </c>
      <c r="M11" s="31">
        <f>'VAL 2 TRIM'!AE11</f>
        <v>6</v>
      </c>
      <c r="N11" s="104">
        <f>'VAL 2 TRIM'!AG11</f>
        <v>71</v>
      </c>
      <c r="O11" s="31">
        <f>'VAL 3 TRIM'!C11</f>
        <v>10</v>
      </c>
      <c r="P11" s="31">
        <f>'VAL 3 TRIM'!O11</f>
        <v>35</v>
      </c>
      <c r="Q11" s="31">
        <f>'VAL 3 TRIM'!AB11</f>
        <v>35</v>
      </c>
      <c r="R11" s="31">
        <f>'VAL 3 TRIM'!AA11</f>
        <v>10</v>
      </c>
      <c r="S11" s="49">
        <f>'VAL 3 TRIM'!AE11</f>
        <v>10</v>
      </c>
      <c r="T11" s="104">
        <f>'VAL 3 TRIM'!AG11</f>
        <v>100</v>
      </c>
      <c r="U11" s="105">
        <f t="shared" si="0"/>
        <v>78.333333333333329</v>
      </c>
      <c r="V11" s="106" t="str">
        <f t="shared" si="1"/>
        <v>APROBADO</v>
      </c>
      <c r="W11" s="107"/>
      <c r="X11" s="107"/>
    </row>
    <row r="12" spans="1:28" ht="12" customHeight="1">
      <c r="A12" s="59">
        <v>4</v>
      </c>
      <c r="B12" s="60" t="str">
        <f>'C. FILIACION'!B11</f>
        <v>BLANCO SALVATIERRA DANIELA MARGARITA</v>
      </c>
      <c r="C12" s="49">
        <f>'VAL 1 TRIM '!C12</f>
        <v>10</v>
      </c>
      <c r="D12" s="49">
        <f>'VAL 1 TRIM '!O12</f>
        <v>30</v>
      </c>
      <c r="E12" s="49">
        <f>'VAL 1 TRIM '!AB12</f>
        <v>30</v>
      </c>
      <c r="F12" s="49">
        <f>'VAL 1 TRIM '!AE12</f>
        <v>10</v>
      </c>
      <c r="G12" s="49">
        <f>'VAL 1 TRIM '!AE12</f>
        <v>10</v>
      </c>
      <c r="H12" s="104">
        <f>'VAL 1 TRIM '!AG12</f>
        <v>90</v>
      </c>
      <c r="I12" s="31">
        <f>'VAL 2 TRIM'!C13</f>
        <v>3.3333333333333335</v>
      </c>
      <c r="J12" s="31">
        <f>'VAL 2 TRIM'!O12</f>
        <v>28</v>
      </c>
      <c r="K12" s="31">
        <f>'VAL 2 TRIM'!AB12</f>
        <v>22</v>
      </c>
      <c r="L12" s="31">
        <f>'VAL 2 TRIM'!AA12</f>
        <v>10</v>
      </c>
      <c r="M12" s="31">
        <f>'VAL 2 TRIM'!AE12</f>
        <v>6</v>
      </c>
      <c r="N12" s="104">
        <f>'VAL 2 TRIM'!AG12</f>
        <v>69.333333333333329</v>
      </c>
      <c r="O12" s="31">
        <f>'VAL 3 TRIM'!C12</f>
        <v>10</v>
      </c>
      <c r="P12" s="31">
        <f>'VAL 3 TRIM'!O12</f>
        <v>35</v>
      </c>
      <c r="Q12" s="31">
        <f>'VAL 3 TRIM'!AB12</f>
        <v>35</v>
      </c>
      <c r="R12" s="31">
        <f>'VAL 3 TRIM'!AA12</f>
        <v>10</v>
      </c>
      <c r="S12" s="49">
        <f>'VAL 3 TRIM'!AE12</f>
        <v>10</v>
      </c>
      <c r="T12" s="104">
        <f>'VAL 3 TRIM'!AG12</f>
        <v>100</v>
      </c>
      <c r="U12" s="105">
        <f t="shared" si="0"/>
        <v>86.444444444444443</v>
      </c>
      <c r="V12" s="106" t="str">
        <f t="shared" si="1"/>
        <v>APROBADO</v>
      </c>
      <c r="W12" s="107"/>
      <c r="X12" s="107"/>
    </row>
    <row r="13" spans="1:28" ht="12" customHeight="1">
      <c r="A13" s="59">
        <v>5</v>
      </c>
      <c r="B13" s="60" t="str">
        <f>'C. FILIACION'!B12</f>
        <v>DAVILA LAPACA DIEGO LEONEL</v>
      </c>
      <c r="C13" s="49">
        <f>'VAL 1 TRIM '!C13</f>
        <v>10</v>
      </c>
      <c r="D13" s="49">
        <f>'VAL 1 TRIM '!O13</f>
        <v>10</v>
      </c>
      <c r="E13" s="49">
        <f>'VAL 1 TRIM '!AB13</f>
        <v>10</v>
      </c>
      <c r="F13" s="49">
        <f>'VAL 1 TRIM '!AE13</f>
        <v>10</v>
      </c>
      <c r="G13" s="49">
        <f>'VAL 1 TRIM '!AE13</f>
        <v>10</v>
      </c>
      <c r="H13" s="104">
        <f>'VAL 1 TRIM '!AG13</f>
        <v>50</v>
      </c>
      <c r="I13" s="31">
        <f>'VAL 2 TRIM'!C14</f>
        <v>10</v>
      </c>
      <c r="J13" s="31">
        <f>'VAL 2 TRIM'!O13</f>
        <v>10</v>
      </c>
      <c r="K13" s="31">
        <f>'VAL 2 TRIM'!AB13</f>
        <v>3</v>
      </c>
      <c r="L13" s="31">
        <f>'VAL 2 TRIM'!AA13</f>
        <v>3</v>
      </c>
      <c r="M13" s="31">
        <f>'VAL 2 TRIM'!AE13</f>
        <v>5</v>
      </c>
      <c r="N13" s="104">
        <f>'VAL 2 TRIM'!AG13</f>
        <v>31</v>
      </c>
      <c r="O13" s="31">
        <f>'VAL 3 TRIM'!C13</f>
        <v>10</v>
      </c>
      <c r="P13" s="31">
        <f>'VAL 3 TRIM'!O13</f>
        <v>35</v>
      </c>
      <c r="Q13" s="31">
        <f>'VAL 3 TRIM'!AB13</f>
        <v>35</v>
      </c>
      <c r="R13" s="31">
        <f>'VAL 3 TRIM'!AA13</f>
        <v>10</v>
      </c>
      <c r="S13" s="49">
        <f>'VAL 3 TRIM'!AE13</f>
        <v>10</v>
      </c>
      <c r="T13" s="104">
        <f>'VAL 3 TRIM'!AG13</f>
        <v>100</v>
      </c>
      <c r="U13" s="105">
        <f t="shared" si="0"/>
        <v>60.333333333333336</v>
      </c>
      <c r="V13" s="106" t="str">
        <f t="shared" si="1"/>
        <v>APROBADO</v>
      </c>
      <c r="W13" s="107"/>
      <c r="X13" s="107"/>
    </row>
    <row r="14" spans="1:28" ht="12" customHeight="1">
      <c r="A14" s="59">
        <v>6</v>
      </c>
      <c r="B14" s="60" t="str">
        <f>'C. FILIACION'!B13</f>
        <v>ESCOBAR LAZO JHOSELIN MARCELA</v>
      </c>
      <c r="C14" s="49">
        <f>'VAL 1 TRIM '!C14</f>
        <v>10</v>
      </c>
      <c r="D14" s="49">
        <f>'VAL 1 TRIM '!O14</f>
        <v>30</v>
      </c>
      <c r="E14" s="49">
        <f>'VAL 1 TRIM '!AB14</f>
        <v>30</v>
      </c>
      <c r="F14" s="49">
        <f>'VAL 1 TRIM '!AE14</f>
        <v>10</v>
      </c>
      <c r="G14" s="49">
        <f>'VAL 1 TRIM '!AE14</f>
        <v>10</v>
      </c>
      <c r="H14" s="104">
        <f>'VAL 1 TRIM '!AG14</f>
        <v>90</v>
      </c>
      <c r="I14" s="31">
        <f>'VAL 2 TRIM'!C15</f>
        <v>10</v>
      </c>
      <c r="J14" s="31">
        <f>'VAL 2 TRIM'!O14</f>
        <v>27</v>
      </c>
      <c r="K14" s="31">
        <f>'VAL 2 TRIM'!AB14</f>
        <v>34</v>
      </c>
      <c r="L14" s="31">
        <f>'VAL 2 TRIM'!AA14</f>
        <v>10</v>
      </c>
      <c r="M14" s="31">
        <f>'VAL 2 TRIM'!AE14</f>
        <v>9</v>
      </c>
      <c r="N14" s="104">
        <f>'VAL 2 TRIM'!AG14</f>
        <v>90</v>
      </c>
      <c r="O14" s="31">
        <f>'VAL 3 TRIM'!C14</f>
        <v>10</v>
      </c>
      <c r="P14" s="31">
        <f>'VAL 3 TRIM'!O14</f>
        <v>35</v>
      </c>
      <c r="Q14" s="31">
        <f>'VAL 3 TRIM'!AB14</f>
        <v>35</v>
      </c>
      <c r="R14" s="31">
        <f>'VAL 3 TRIM'!AA14</f>
        <v>10</v>
      </c>
      <c r="S14" s="49">
        <f>'VAL 3 TRIM'!AE14</f>
        <v>10</v>
      </c>
      <c r="T14" s="104">
        <f>'VAL 3 TRIM'!AG14</f>
        <v>100</v>
      </c>
      <c r="U14" s="105">
        <f t="shared" si="0"/>
        <v>93.333333333333329</v>
      </c>
      <c r="V14" s="106" t="str">
        <f t="shared" si="1"/>
        <v>APROBADO</v>
      </c>
      <c r="W14" s="107"/>
      <c r="X14" s="107"/>
    </row>
    <row r="15" spans="1:28" ht="12" customHeight="1">
      <c r="A15" s="59">
        <v>7</v>
      </c>
      <c r="B15" s="60" t="str">
        <f>'C. FILIACION'!B14</f>
        <v>GUTIERREZ PEREZ ARIEL FERNANDO</v>
      </c>
      <c r="C15" s="49">
        <f>'VAL 1 TRIM '!C15</f>
        <v>10</v>
      </c>
      <c r="D15" s="49">
        <f>'VAL 1 TRIM '!O15</f>
        <v>10</v>
      </c>
      <c r="E15" s="49">
        <f>'VAL 1 TRIM '!AB15</f>
        <v>10</v>
      </c>
      <c r="F15" s="49">
        <f>'VAL 1 TRIM '!AE15</f>
        <v>10</v>
      </c>
      <c r="G15" s="49">
        <f>'VAL 1 TRIM '!AE15</f>
        <v>10</v>
      </c>
      <c r="H15" s="104">
        <f>'VAL 1 TRIM '!AG15</f>
        <v>50</v>
      </c>
      <c r="I15" s="31">
        <f>'VAL 2 TRIM'!C16</f>
        <v>7.5</v>
      </c>
      <c r="J15" s="31">
        <f>'VAL 2 TRIM'!O15</f>
        <v>19</v>
      </c>
      <c r="K15" s="31">
        <f>'VAL 2 TRIM'!AB15</f>
        <v>13</v>
      </c>
      <c r="L15" s="31">
        <f>'VAL 2 TRIM'!AA15</f>
        <v>8</v>
      </c>
      <c r="M15" s="31">
        <f>'VAL 2 TRIM'!AE15</f>
        <v>6</v>
      </c>
      <c r="N15" s="104">
        <f>'VAL 2 TRIM'!AG15</f>
        <v>53.5</v>
      </c>
      <c r="O15" s="31">
        <f>'VAL 3 TRIM'!C15</f>
        <v>10</v>
      </c>
      <c r="P15" s="31">
        <f>'VAL 3 TRIM'!O15</f>
        <v>35</v>
      </c>
      <c r="Q15" s="31">
        <f>'VAL 3 TRIM'!AB15</f>
        <v>35</v>
      </c>
      <c r="R15" s="31">
        <f>'VAL 3 TRIM'!AA15</f>
        <v>10</v>
      </c>
      <c r="S15" s="49">
        <f>'VAL 3 TRIM'!AE15</f>
        <v>10</v>
      </c>
      <c r="T15" s="104">
        <f>'VAL 3 TRIM'!AG15</f>
        <v>100</v>
      </c>
      <c r="U15" s="105">
        <f t="shared" si="0"/>
        <v>67.833333333333329</v>
      </c>
      <c r="V15" s="106" t="str">
        <f t="shared" si="1"/>
        <v>APROBADO</v>
      </c>
      <c r="W15" s="107"/>
      <c r="X15" s="107"/>
    </row>
    <row r="16" spans="1:28" ht="12" customHeight="1">
      <c r="A16" s="59">
        <v>8</v>
      </c>
      <c r="B16" s="60" t="str">
        <f>'C. FILIACION'!B15</f>
        <v>LOPEZ PACO FABRICIO ANDRE</v>
      </c>
      <c r="C16" s="49">
        <f>'VAL 1 TRIM '!C16</f>
        <v>10</v>
      </c>
      <c r="D16" s="49">
        <f>'VAL 1 TRIM '!O16</f>
        <v>28</v>
      </c>
      <c r="E16" s="49">
        <f>'VAL 1 TRIM '!AB16</f>
        <v>28</v>
      </c>
      <c r="F16" s="49">
        <f>'VAL 1 TRIM '!AE16</f>
        <v>10</v>
      </c>
      <c r="G16" s="49">
        <f>'VAL 1 TRIM '!AE16</f>
        <v>10</v>
      </c>
      <c r="H16" s="104">
        <f>'VAL 1 TRIM '!AG16</f>
        <v>86</v>
      </c>
      <c r="I16" s="31">
        <f>'VAL 2 TRIM'!C17</f>
        <v>7.5</v>
      </c>
      <c r="J16" s="31">
        <f>'VAL 2 TRIM'!O16</f>
        <v>22</v>
      </c>
      <c r="K16" s="31">
        <f>'VAL 2 TRIM'!AB16</f>
        <v>14</v>
      </c>
      <c r="L16" s="31">
        <f>'VAL 2 TRIM'!AA16</f>
        <v>5</v>
      </c>
      <c r="M16" s="31">
        <f>'VAL 2 TRIM'!AE16</f>
        <v>6</v>
      </c>
      <c r="N16" s="104">
        <f>'VAL 2 TRIM'!AG16</f>
        <v>54.5</v>
      </c>
      <c r="O16" s="31">
        <f>'VAL 3 TRIM'!C16</f>
        <v>10</v>
      </c>
      <c r="P16" s="31">
        <f>'VAL 3 TRIM'!O16</f>
        <v>35</v>
      </c>
      <c r="Q16" s="31">
        <f>'VAL 3 TRIM'!AB16</f>
        <v>35</v>
      </c>
      <c r="R16" s="31">
        <f>'VAL 3 TRIM'!AA16</f>
        <v>10</v>
      </c>
      <c r="S16" s="49">
        <f>'VAL 3 TRIM'!AE16</f>
        <v>10</v>
      </c>
      <c r="T16" s="104">
        <f>'VAL 3 TRIM'!AG16</f>
        <v>100</v>
      </c>
      <c r="U16" s="105">
        <f t="shared" si="0"/>
        <v>80.166666666666671</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30</v>
      </c>
      <c r="F17" s="49">
        <f>'VAL 1 TRIM '!AE17</f>
        <v>10</v>
      </c>
      <c r="G17" s="49">
        <f>'VAL 1 TRIM '!AE17</f>
        <v>10</v>
      </c>
      <c r="H17" s="104">
        <f>'VAL 1 TRIM '!AG17</f>
        <v>90</v>
      </c>
      <c r="I17" s="31">
        <f>'VAL 2 TRIM'!C18</f>
        <v>10</v>
      </c>
      <c r="J17" s="31">
        <f>'VAL 2 TRIM'!O17</f>
        <v>28</v>
      </c>
      <c r="K17" s="31">
        <f>'VAL 2 TRIM'!AB17</f>
        <v>26</v>
      </c>
      <c r="L17" s="31">
        <f>'VAL 2 TRIM'!AA17</f>
        <v>10</v>
      </c>
      <c r="M17" s="31">
        <f>'VAL 2 TRIM'!AE17</f>
        <v>6</v>
      </c>
      <c r="N17" s="104">
        <f>'VAL 2 TRIM'!AG17</f>
        <v>80</v>
      </c>
      <c r="O17" s="31">
        <f>'VAL 3 TRIM'!C17</f>
        <v>10</v>
      </c>
      <c r="P17" s="31">
        <f>'VAL 3 TRIM'!O17</f>
        <v>35</v>
      </c>
      <c r="Q17" s="31">
        <f>'VAL 3 TRIM'!AB17</f>
        <v>35</v>
      </c>
      <c r="R17" s="31">
        <f>'VAL 3 TRIM'!AA17</f>
        <v>10</v>
      </c>
      <c r="S17" s="49">
        <f>'VAL 3 TRIM'!AE17</f>
        <v>10</v>
      </c>
      <c r="T17" s="104">
        <f>'VAL 3 TRIM'!AG17</f>
        <v>100</v>
      </c>
      <c r="U17" s="105">
        <f t="shared" si="0"/>
        <v>90</v>
      </c>
      <c r="V17" s="106" t="str">
        <f t="shared" si="1"/>
        <v>APROBADO</v>
      </c>
      <c r="W17" s="107"/>
      <c r="X17" s="107"/>
    </row>
    <row r="18" spans="1:24" ht="12" customHeight="1">
      <c r="A18" s="59">
        <v>10</v>
      </c>
      <c r="B18" s="60" t="str">
        <f>'C. FILIACION'!B17</f>
        <v>PASTOR CONDARCO STEVE DAVID</v>
      </c>
      <c r="C18" s="49">
        <f>'VAL 1 TRIM '!C18</f>
        <v>10</v>
      </c>
      <c r="D18" s="49">
        <f>'VAL 1 TRIM '!O18</f>
        <v>27</v>
      </c>
      <c r="E18" s="49">
        <f>'VAL 1 TRIM '!AB18</f>
        <v>27</v>
      </c>
      <c r="F18" s="49">
        <f>'VAL 1 TRIM '!AE18</f>
        <v>10</v>
      </c>
      <c r="G18" s="49">
        <f>'VAL 1 TRIM '!AE18</f>
        <v>10</v>
      </c>
      <c r="H18" s="104">
        <f>'VAL 1 TRIM '!AG18</f>
        <v>84</v>
      </c>
      <c r="I18" s="31">
        <f>'VAL 2 TRIM'!C19</f>
        <v>10</v>
      </c>
      <c r="J18" s="31">
        <f>'VAL 2 TRIM'!O18</f>
        <v>25</v>
      </c>
      <c r="K18" s="31">
        <f>'VAL 2 TRIM'!AB18</f>
        <v>19</v>
      </c>
      <c r="L18" s="31">
        <f>'VAL 2 TRIM'!AA18</f>
        <v>10</v>
      </c>
      <c r="M18" s="31">
        <f>'VAL 2 TRIM'!AE18</f>
        <v>6</v>
      </c>
      <c r="N18" s="104">
        <f>'VAL 2 TRIM'!AG18</f>
        <v>70</v>
      </c>
      <c r="O18" s="31">
        <f>'VAL 3 TRIM'!C18</f>
        <v>10</v>
      </c>
      <c r="P18" s="31">
        <f>'VAL 3 TRIM'!O18</f>
        <v>35</v>
      </c>
      <c r="Q18" s="31">
        <f>'VAL 3 TRIM'!AB18</f>
        <v>35</v>
      </c>
      <c r="R18" s="31">
        <f>'VAL 3 TRIM'!AA18</f>
        <v>10</v>
      </c>
      <c r="S18" s="49">
        <f>'VAL 3 TRIM'!AE18</f>
        <v>10</v>
      </c>
      <c r="T18" s="104">
        <f>'VAL 3 TRIM'!AG18</f>
        <v>100</v>
      </c>
      <c r="U18" s="105">
        <f t="shared" si="0"/>
        <v>84.666666666666671</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30</v>
      </c>
      <c r="F19" s="49">
        <f>'VAL 1 TRIM '!AE19</f>
        <v>10</v>
      </c>
      <c r="G19" s="49">
        <f>'VAL 1 TRIM '!AE19</f>
        <v>10</v>
      </c>
      <c r="H19" s="104">
        <f>'VAL 1 TRIM '!AG19</f>
        <v>90</v>
      </c>
      <c r="I19" s="31">
        <f>'VAL 2 TRIM'!C20</f>
        <v>10</v>
      </c>
      <c r="J19" s="31">
        <f>'VAL 2 TRIM'!O19</f>
        <v>27</v>
      </c>
      <c r="K19" s="31">
        <f>'VAL 2 TRIM'!AB19</f>
        <v>32</v>
      </c>
      <c r="L19" s="31">
        <f>'VAL 2 TRIM'!AA19</f>
        <v>10</v>
      </c>
      <c r="M19" s="31">
        <f>'VAL 2 TRIM'!AE19</f>
        <v>10</v>
      </c>
      <c r="N19" s="104">
        <f>'VAL 2 TRIM'!AG19</f>
        <v>89</v>
      </c>
      <c r="O19" s="31">
        <f>'VAL 3 TRIM'!C19</f>
        <v>10</v>
      </c>
      <c r="P19" s="31">
        <f>'VAL 3 TRIM'!O19</f>
        <v>35</v>
      </c>
      <c r="Q19" s="31">
        <f>'VAL 3 TRIM'!AB19</f>
        <v>35</v>
      </c>
      <c r="R19" s="31">
        <f>'VAL 3 TRIM'!AA19</f>
        <v>10</v>
      </c>
      <c r="S19" s="49">
        <f>'VAL 3 TRIM'!AE19</f>
        <v>10</v>
      </c>
      <c r="T19" s="104">
        <f>'VAL 3 TRIM'!AG19</f>
        <v>100</v>
      </c>
      <c r="U19" s="105">
        <f t="shared" si="0"/>
        <v>93</v>
      </c>
      <c r="V19" s="106" t="str">
        <f t="shared" si="1"/>
        <v>APROBADO</v>
      </c>
      <c r="W19" s="107"/>
      <c r="X19" s="107"/>
    </row>
    <row r="20" spans="1:24" ht="12" customHeight="1">
      <c r="A20" s="59">
        <v>12</v>
      </c>
      <c r="B20" s="60" t="str">
        <f>'C. FILIACION'!B19</f>
        <v>SALAS ROJAS LUCIANA ANTONELLA</v>
      </c>
      <c r="C20" s="49">
        <f>'VAL 1 TRIM '!C20</f>
        <v>10</v>
      </c>
      <c r="D20" s="49">
        <f>'VAL 1 TRIM '!O20</f>
        <v>10</v>
      </c>
      <c r="E20" s="49">
        <f>'VAL 1 TRIM '!AB20</f>
        <v>10</v>
      </c>
      <c r="F20" s="49">
        <f>'VAL 1 TRIM '!AE20</f>
        <v>10</v>
      </c>
      <c r="G20" s="49">
        <f>'VAL 1 TRIM '!AE20</f>
        <v>10</v>
      </c>
      <c r="H20" s="104">
        <f>'VAL 1 TRIM '!AG20</f>
        <v>50</v>
      </c>
      <c r="I20" s="31">
        <f>'VAL 2 TRIM'!C21</f>
        <v>10</v>
      </c>
      <c r="J20" s="31">
        <f>'VAL 2 TRIM'!O20</f>
        <v>18</v>
      </c>
      <c r="K20" s="31">
        <f>'VAL 2 TRIM'!AB20</f>
        <v>18</v>
      </c>
      <c r="L20" s="31">
        <f>'VAL 2 TRIM'!AA20</f>
        <v>7</v>
      </c>
      <c r="M20" s="31">
        <f>'VAL 2 TRIM'!AE20</f>
        <v>7</v>
      </c>
      <c r="N20" s="104">
        <f>'VAL 2 TRIM'!AG20</f>
        <v>60</v>
      </c>
      <c r="O20" s="31">
        <f>'VAL 3 TRIM'!C20</f>
        <v>10</v>
      </c>
      <c r="P20" s="31">
        <f>'VAL 3 TRIM'!O20</f>
        <v>35</v>
      </c>
      <c r="Q20" s="31">
        <f>'VAL 3 TRIM'!AB20</f>
        <v>35</v>
      </c>
      <c r="R20" s="31">
        <f>'VAL 3 TRIM'!AA20</f>
        <v>10</v>
      </c>
      <c r="S20" s="49">
        <f>'VAL 3 TRIM'!AE20</f>
        <v>10</v>
      </c>
      <c r="T20" s="104">
        <f>'VAL 3 TRIM'!AG20</f>
        <v>100</v>
      </c>
      <c r="U20" s="105">
        <f t="shared" si="0"/>
        <v>70</v>
      </c>
      <c r="V20" s="106" t="str">
        <f t="shared" si="1"/>
        <v>APROBADO</v>
      </c>
      <c r="W20" s="107"/>
      <c r="X20" s="107"/>
    </row>
    <row r="21" spans="1:24" ht="12" customHeight="1">
      <c r="A21" s="59">
        <v>13</v>
      </c>
      <c r="B21" s="60" t="str">
        <f>'C. FILIACION'!B20</f>
        <v>SANTOS CRUZ ROYER JOEL</v>
      </c>
      <c r="C21" s="49">
        <f>'VAL 1 TRIM '!C21</f>
        <v>10</v>
      </c>
      <c r="D21" s="49">
        <f>'VAL 1 TRIM '!O21</f>
        <v>10</v>
      </c>
      <c r="E21" s="49">
        <f>'VAL 1 TRIM '!AB21</f>
        <v>10</v>
      </c>
      <c r="F21" s="49">
        <f>'VAL 1 TRIM '!AE21</f>
        <v>10</v>
      </c>
      <c r="G21" s="49">
        <f>'VAL 1 TRIM '!AE21</f>
        <v>10</v>
      </c>
      <c r="H21" s="104">
        <f>'VAL 1 TRIM '!AG21</f>
        <v>50</v>
      </c>
      <c r="I21" s="31">
        <f>'VAL 2 TRIM'!C22</f>
        <v>10</v>
      </c>
      <c r="J21" s="31">
        <f>'VAL 2 TRIM'!O21</f>
        <v>27</v>
      </c>
      <c r="K21" s="31">
        <f>'VAL 2 TRIM'!AB21</f>
        <v>21</v>
      </c>
      <c r="L21" s="31">
        <f>'VAL 2 TRIM'!AA21</f>
        <v>6</v>
      </c>
      <c r="M21" s="31">
        <f>'VAL 2 TRIM'!AE21</f>
        <v>10</v>
      </c>
      <c r="N21" s="104">
        <f>'VAL 2 TRIM'!AG21</f>
        <v>74</v>
      </c>
      <c r="O21" s="31">
        <f>'VAL 3 TRIM'!C21</f>
        <v>10</v>
      </c>
      <c r="P21" s="31">
        <f>'VAL 3 TRIM'!O21</f>
        <v>35</v>
      </c>
      <c r="Q21" s="31">
        <f>'VAL 3 TRIM'!AB21</f>
        <v>35</v>
      </c>
      <c r="R21" s="31">
        <f>'VAL 3 TRIM'!AA21</f>
        <v>10</v>
      </c>
      <c r="S21" s="49">
        <f>'VAL 3 TRIM'!AE21</f>
        <v>10</v>
      </c>
      <c r="T21" s="104">
        <f>'VAL 3 TRIM'!AG21</f>
        <v>100</v>
      </c>
      <c r="U21" s="105">
        <f t="shared" si="0"/>
        <v>74.666666666666671</v>
      </c>
      <c r="V21" s="106" t="str">
        <f t="shared" si="1"/>
        <v>APROBADO</v>
      </c>
      <c r="W21" s="107"/>
      <c r="X21" s="107"/>
    </row>
    <row r="22" spans="1:24" ht="12" customHeight="1">
      <c r="A22" s="59">
        <v>14</v>
      </c>
      <c r="B22" s="60" t="str">
        <f>'C. FILIACION'!B21</f>
        <v>TICONA LOAYZA ARIADNE VALERIA</v>
      </c>
      <c r="C22" s="49">
        <f>'VAL 1 TRIM '!C22</f>
        <v>10</v>
      </c>
      <c r="D22" s="49">
        <f>'VAL 1 TRIM '!O22</f>
        <v>30</v>
      </c>
      <c r="E22" s="49">
        <f>'VAL 1 TRIM '!AB22</f>
        <v>30</v>
      </c>
      <c r="F22" s="49">
        <f>'VAL 1 TRIM '!AE22</f>
        <v>10</v>
      </c>
      <c r="G22" s="49">
        <f>'VAL 1 TRIM '!AE22</f>
        <v>10</v>
      </c>
      <c r="H22" s="104">
        <f>'VAL 1 TRIM '!AG22</f>
        <v>90</v>
      </c>
      <c r="I22" s="31">
        <f>'VAL 2 TRIM'!C23</f>
        <v>10</v>
      </c>
      <c r="J22" s="31">
        <f>'VAL 2 TRIM'!O22</f>
        <v>21</v>
      </c>
      <c r="K22" s="31">
        <f>'VAL 2 TRIM'!AB22</f>
        <v>26</v>
      </c>
      <c r="L22" s="31">
        <f>'VAL 2 TRIM'!AA22</f>
        <v>7</v>
      </c>
      <c r="M22" s="31">
        <f>'VAL 2 TRIM'!AE22</f>
        <v>6</v>
      </c>
      <c r="N22" s="104">
        <f>'VAL 2 TRIM'!AG22</f>
        <v>70</v>
      </c>
      <c r="O22" s="31">
        <f>'VAL 3 TRIM'!C22</f>
        <v>10</v>
      </c>
      <c r="P22" s="31">
        <f>'VAL 3 TRIM'!O22</f>
        <v>35</v>
      </c>
      <c r="Q22" s="31">
        <f>'VAL 3 TRIM'!AB22</f>
        <v>35</v>
      </c>
      <c r="R22" s="31">
        <f>'VAL 3 TRIM'!AA22</f>
        <v>10</v>
      </c>
      <c r="S22" s="49">
        <f>'VAL 3 TRIM'!AE22</f>
        <v>10</v>
      </c>
      <c r="T22" s="104">
        <f>'VAL 3 TRIM'!AG22</f>
        <v>100</v>
      </c>
      <c r="U22" s="105">
        <f t="shared" si="0"/>
        <v>86.666666666666671</v>
      </c>
      <c r="V22" s="106" t="str">
        <f t="shared" si="1"/>
        <v>APROBADO</v>
      </c>
      <c r="W22" s="107"/>
      <c r="X22" s="107"/>
    </row>
    <row r="23" spans="1:24" ht="12" customHeight="1">
      <c r="A23" s="59">
        <v>15</v>
      </c>
      <c r="B23" s="60" t="str">
        <f>'C. FILIACION'!B22</f>
        <v>ZEBALLOS DEL CARPIO AMIRA MERCEDES</v>
      </c>
      <c r="C23" s="49">
        <f>'VAL 1 TRIM '!C23</f>
        <v>10</v>
      </c>
      <c r="D23" s="49">
        <f>'VAL 1 TRIM '!O23</f>
        <v>30</v>
      </c>
      <c r="E23" s="49">
        <f>'VAL 1 TRIM '!AB23</f>
        <v>30</v>
      </c>
      <c r="F23" s="49">
        <f>'VAL 1 TRIM '!AE23</f>
        <v>10</v>
      </c>
      <c r="G23" s="49">
        <f>'VAL 1 TRIM '!AE23</f>
        <v>10</v>
      </c>
      <c r="H23" s="104">
        <f>'VAL 1 TRIM '!AG23</f>
        <v>90</v>
      </c>
      <c r="I23" s="31" t="e">
        <f>'VAL 2 TRIM'!#REF!</f>
        <v>#REF!</v>
      </c>
      <c r="J23" s="31">
        <f>'VAL 2 TRIM'!O23</f>
        <v>32</v>
      </c>
      <c r="K23" s="31">
        <f>'VAL 2 TRIM'!AB23</f>
        <v>35</v>
      </c>
      <c r="L23" s="31">
        <f>'VAL 2 TRIM'!AA23</f>
        <v>10</v>
      </c>
      <c r="M23" s="31">
        <f>'VAL 2 TRIM'!AE23</f>
        <v>7</v>
      </c>
      <c r="N23" s="104">
        <f>'VAL 2 TRIM'!AG23</f>
        <v>94</v>
      </c>
      <c r="O23" s="31">
        <f>'VAL 3 TRIM'!C23</f>
        <v>10</v>
      </c>
      <c r="P23" s="31">
        <f>'VAL 3 TRIM'!O23</f>
        <v>35</v>
      </c>
      <c r="Q23" s="31">
        <f>'VAL 3 TRIM'!AB23</f>
        <v>35</v>
      </c>
      <c r="R23" s="31">
        <f>'VAL 3 TRIM'!AA23</f>
        <v>10</v>
      </c>
      <c r="S23" s="49">
        <f>'VAL 3 TRIM'!AE23</f>
        <v>10</v>
      </c>
      <c r="T23" s="104">
        <f>'VAL 3 TRIM'!AG23</f>
        <v>100</v>
      </c>
      <c r="U23" s="105">
        <f t="shared" si="0"/>
        <v>94.666666666666671</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65625" defaultRowHeight="15" customHeight="1"/>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row r="2" spans="1:13" ht="12.75" customHeight="1">
      <c r="B2" s="219" t="s">
        <v>98</v>
      </c>
      <c r="C2" s="215"/>
      <c r="D2" s="215"/>
      <c r="E2" s="215"/>
      <c r="F2" s="215"/>
      <c r="G2" s="215"/>
      <c r="H2" s="215"/>
      <c r="I2" s="73"/>
      <c r="J2" s="73"/>
      <c r="K2" s="73"/>
      <c r="L2" s="73"/>
      <c r="M2" s="73"/>
    </row>
    <row r="3" spans="1:13" ht="12.75" customHeight="1">
      <c r="B3" s="39" t="s">
        <v>8</v>
      </c>
      <c r="C3" s="40" t="str">
        <f>CARÁTULA!$C$15</f>
        <v>Instituto Tecnico Humanistico Jauzel Arrieta</v>
      </c>
      <c r="D3" s="42"/>
      <c r="E3" s="43"/>
      <c r="F3" s="43"/>
      <c r="G3" s="43"/>
      <c r="H3" s="43"/>
      <c r="I3" s="43"/>
      <c r="J3" s="39" t="s">
        <v>19</v>
      </c>
      <c r="K3" s="109"/>
      <c r="L3" s="40" t="str">
        <f>CARÁTULA!$C$25</f>
        <v>Tecnica Tecnologica (Programacion)</v>
      </c>
      <c r="M3" s="109"/>
    </row>
    <row r="4" spans="1:13" ht="12.75" customHeight="1">
      <c r="B4" s="39" t="s">
        <v>14</v>
      </c>
      <c r="C4" s="40" t="str">
        <f>CARÁTULA!$C$21</f>
        <v>Secundaria</v>
      </c>
      <c r="D4" s="42"/>
      <c r="E4" s="41"/>
      <c r="F4" s="40"/>
      <c r="G4" s="41"/>
      <c r="H4" s="41"/>
      <c r="I4" s="41"/>
      <c r="J4" s="39" t="s">
        <v>50</v>
      </c>
      <c r="K4" s="109"/>
      <c r="L4" s="40" t="str">
        <f>CARÁTULA!$C$19</f>
        <v>JOSE COAQUIRA COPA</v>
      </c>
      <c r="M4" s="109"/>
    </row>
    <row r="5" spans="1:13" ht="12.75" customHeight="1">
      <c r="B5" s="39" t="s">
        <v>22</v>
      </c>
      <c r="C5" s="40" t="str">
        <f>CARÁTULA!$C$23</f>
        <v>1ro de Secundaria</v>
      </c>
      <c r="D5" s="39"/>
      <c r="E5" s="45"/>
      <c r="F5" s="299"/>
      <c r="G5" s="285"/>
      <c r="H5" s="45"/>
      <c r="I5" s="45"/>
      <c r="J5" s="39" t="s">
        <v>23</v>
      </c>
      <c r="K5" s="109"/>
      <c r="L5" s="233">
        <f ca="1">TODAY()</f>
        <v>44497</v>
      </c>
      <c r="M5" s="215"/>
    </row>
    <row r="6" spans="1:13" ht="12.75" customHeight="1">
      <c r="B6" s="39"/>
      <c r="C6" s="300" t="s">
        <v>103</v>
      </c>
      <c r="D6" s="267"/>
      <c r="E6" s="268"/>
      <c r="F6" s="296" t="s">
        <v>99</v>
      </c>
      <c r="G6" s="292" t="s">
        <v>100</v>
      </c>
      <c r="H6" s="68"/>
      <c r="I6" s="68"/>
    </row>
    <row r="7" spans="1:13" ht="12" customHeight="1">
      <c r="B7" s="48"/>
      <c r="C7" s="297" t="s">
        <v>4</v>
      </c>
      <c r="D7" s="297" t="s">
        <v>104</v>
      </c>
      <c r="E7" s="298" t="s">
        <v>16</v>
      </c>
      <c r="F7" s="293"/>
      <c r="G7" s="293"/>
      <c r="H7" s="41"/>
      <c r="I7" s="41"/>
    </row>
    <row r="8" spans="1:13" ht="67.5" customHeight="1">
      <c r="A8" s="49" t="s">
        <v>53</v>
      </c>
      <c r="B8" s="50" t="s">
        <v>54</v>
      </c>
      <c r="C8" s="275"/>
      <c r="D8" s="275"/>
      <c r="E8" s="275"/>
      <c r="F8" s="275"/>
      <c r="G8" s="275"/>
      <c r="H8" s="103"/>
      <c r="I8" s="103" t="s">
        <v>105</v>
      </c>
      <c r="J8" s="103" t="s">
        <v>106</v>
      </c>
      <c r="K8" s="103" t="s">
        <v>107</v>
      </c>
    </row>
    <row r="9" spans="1:13" ht="12" customHeight="1">
      <c r="A9" s="59">
        <v>1</v>
      </c>
      <c r="B9" s="60" t="str">
        <f>'C. FILIACION'!B8</f>
        <v>ARANCIBIA ARRAYA LUIS ANDRES</v>
      </c>
      <c r="C9" s="104">
        <f>'VAL 1 TRIM '!AG9</f>
        <v>76</v>
      </c>
      <c r="D9" s="104">
        <f>'VAL 2 TRIM'!AG9</f>
        <v>68.230769230769226</v>
      </c>
      <c r="E9" s="104">
        <f>'VAL 3 TRIM'!AG9</f>
        <v>100</v>
      </c>
      <c r="F9" s="105">
        <f>'CENTRAL 1'!U9</f>
        <v>81.410256410256409</v>
      </c>
      <c r="G9" s="106" t="str">
        <f t="shared" ref="G9:G44" si="0">IF(F9="","",(IF(AND(F9&gt;=1,F9&lt;=50.499),"REPROBADO",IF(AND(F9&gt;=50.5,F9&lt;=100),"APROBADO"))))</f>
        <v>APROBADO</v>
      </c>
      <c r="H9" s="107"/>
      <c r="I9" s="31">
        <f t="shared" ref="I9:K9" si="1">COUNTIF(C9:C44,"&gt;=51")</f>
        <v>31</v>
      </c>
      <c r="J9" s="110">
        <f t="shared" si="1"/>
        <v>35</v>
      </c>
      <c r="K9" s="110">
        <f t="shared" si="1"/>
        <v>36</v>
      </c>
    </row>
    <row r="10" spans="1:13" ht="12" customHeight="1">
      <c r="A10" s="59">
        <v>2</v>
      </c>
      <c r="B10" s="60" t="str">
        <f>'C. FILIACION'!B9</f>
        <v>ARIVIRI ALEXIS JHONATAN</v>
      </c>
      <c r="C10" s="104">
        <f>'VAL 1 TRIM '!AG10</f>
        <v>50</v>
      </c>
      <c r="D10" s="104">
        <f>'VAL 2 TRIM'!AG10</f>
        <v>53.333333333333336</v>
      </c>
      <c r="E10" s="104">
        <f>'VAL 3 TRIM'!AG10</f>
        <v>100</v>
      </c>
      <c r="F10" s="105">
        <f>'CENTRAL 1'!U10</f>
        <v>67.777777777777786</v>
      </c>
      <c r="G10" s="106" t="str">
        <f t="shared" si="0"/>
        <v>APROBADO</v>
      </c>
      <c r="H10" s="107"/>
      <c r="I10" s="111" t="s">
        <v>108</v>
      </c>
      <c r="J10" s="112"/>
    </row>
    <row r="11" spans="1:13" ht="12" customHeight="1">
      <c r="A11" s="59">
        <v>3</v>
      </c>
      <c r="B11" s="60" t="str">
        <f>'C. FILIACION'!B10</f>
        <v>BASCOPE LOPEZ JHYMMY ANGHELO</v>
      </c>
      <c r="C11" s="104">
        <f>'VAL 1 TRIM '!AG11</f>
        <v>64</v>
      </c>
      <c r="D11" s="104">
        <f>'VAL 2 TRIM'!AG11</f>
        <v>71</v>
      </c>
      <c r="E11" s="104">
        <f>'VAL 3 TRIM'!AG11</f>
        <v>100</v>
      </c>
      <c r="F11" s="105">
        <f>'CENTRAL 1'!U11</f>
        <v>78.333333333333329</v>
      </c>
      <c r="G11" s="106" t="str">
        <f t="shared" si="0"/>
        <v>APROBADO</v>
      </c>
      <c r="H11" s="107"/>
      <c r="I11" s="107"/>
    </row>
    <row r="12" spans="1:13" ht="12" customHeight="1">
      <c r="A12" s="59">
        <v>4</v>
      </c>
      <c r="B12" s="60" t="str">
        <f>'C. FILIACION'!B11</f>
        <v>BLANCO SALVATIERRA DANIELA MARGARITA</v>
      </c>
      <c r="C12" s="104">
        <f>'VAL 1 TRIM '!AG12</f>
        <v>90</v>
      </c>
      <c r="D12" s="104">
        <f>'VAL 2 TRIM'!AG12</f>
        <v>69.333333333333329</v>
      </c>
      <c r="E12" s="104">
        <f>'VAL 3 TRIM'!AG12</f>
        <v>100</v>
      </c>
      <c r="F12" s="105">
        <f>'CENTRAL 1'!U12</f>
        <v>86.444444444444443</v>
      </c>
      <c r="G12" s="106" t="str">
        <f t="shared" si="0"/>
        <v>APROBADO</v>
      </c>
      <c r="H12" s="107"/>
      <c r="I12" s="107"/>
    </row>
    <row r="13" spans="1:13" ht="12" customHeight="1">
      <c r="A13" s="59">
        <v>5</v>
      </c>
      <c r="B13" s="60" t="str">
        <f>'C. FILIACION'!B12</f>
        <v>DAVILA LAPACA DIEGO LEONEL</v>
      </c>
      <c r="C13" s="104">
        <f>'VAL 1 TRIM '!AG13</f>
        <v>50</v>
      </c>
      <c r="D13" s="104">
        <f>'VAL 2 TRIM'!AG13</f>
        <v>31</v>
      </c>
      <c r="E13" s="104">
        <f>'VAL 3 TRIM'!AG13</f>
        <v>100</v>
      </c>
      <c r="F13" s="105">
        <f>'CENTRAL 1'!U13</f>
        <v>60.333333333333336</v>
      </c>
      <c r="G13" s="106" t="str">
        <f t="shared" si="0"/>
        <v>APROBADO</v>
      </c>
      <c r="H13" s="107"/>
      <c r="I13" s="110">
        <f t="shared" ref="I13:K13" si="2">COUNTIF(C9:C44,"&lt;=51")</f>
        <v>5</v>
      </c>
      <c r="J13" s="110">
        <f t="shared" si="2"/>
        <v>1</v>
      </c>
      <c r="K13" s="110">
        <f t="shared" si="2"/>
        <v>0</v>
      </c>
    </row>
    <row r="14" spans="1:13" ht="12" customHeight="1">
      <c r="A14" s="59">
        <v>6</v>
      </c>
      <c r="B14" s="60" t="str">
        <f>'C. FILIACION'!B13</f>
        <v>ESCOBAR LAZO JHOSELIN MARCELA</v>
      </c>
      <c r="C14" s="104">
        <f>'VAL 1 TRIM '!AG14</f>
        <v>90</v>
      </c>
      <c r="D14" s="104">
        <f>'VAL 2 TRIM'!AG14</f>
        <v>90</v>
      </c>
      <c r="E14" s="104">
        <f>'VAL 3 TRIM'!AG14</f>
        <v>100</v>
      </c>
      <c r="F14" s="105">
        <f>'CENTRAL 1'!U14</f>
        <v>93.333333333333329</v>
      </c>
      <c r="G14" s="106" t="str">
        <f t="shared" si="0"/>
        <v>APROBADO</v>
      </c>
      <c r="H14" s="107"/>
      <c r="I14" s="111" t="s">
        <v>109</v>
      </c>
    </row>
    <row r="15" spans="1:13" ht="12" customHeight="1">
      <c r="A15" s="59">
        <v>7</v>
      </c>
      <c r="B15" s="60" t="str">
        <f>'C. FILIACION'!B14</f>
        <v>GUTIERREZ PEREZ ARIEL FERNANDO</v>
      </c>
      <c r="C15" s="104">
        <f>'VAL 1 TRIM '!AG15</f>
        <v>50</v>
      </c>
      <c r="D15" s="104">
        <f>'VAL 2 TRIM'!AG15</f>
        <v>53.5</v>
      </c>
      <c r="E15" s="104">
        <f>'VAL 3 TRIM'!AG15</f>
        <v>100</v>
      </c>
      <c r="F15" s="105">
        <f>'CENTRAL 1'!U15</f>
        <v>67.833333333333329</v>
      </c>
      <c r="G15" s="106" t="str">
        <f t="shared" si="0"/>
        <v>APROBADO</v>
      </c>
      <c r="H15" s="107"/>
      <c r="I15" s="107"/>
    </row>
    <row r="16" spans="1:13" ht="12" customHeight="1">
      <c r="A16" s="59">
        <v>8</v>
      </c>
      <c r="B16" s="60" t="str">
        <f>'C. FILIACION'!B15</f>
        <v>LOPEZ PACO FABRICIO ANDRE</v>
      </c>
      <c r="C16" s="104">
        <f>'VAL 1 TRIM '!AG16</f>
        <v>86</v>
      </c>
      <c r="D16" s="104">
        <f>'VAL 2 TRIM'!AG16</f>
        <v>54.5</v>
      </c>
      <c r="E16" s="104">
        <f>'VAL 3 TRIM'!AG16</f>
        <v>100</v>
      </c>
      <c r="F16" s="105">
        <f>'CENTRAL 1'!U16</f>
        <v>80.166666666666671</v>
      </c>
      <c r="G16" s="106" t="str">
        <f t="shared" si="0"/>
        <v>APROBADO</v>
      </c>
      <c r="H16" s="107"/>
      <c r="I16" s="107"/>
    </row>
    <row r="17" spans="1:9" ht="12" customHeight="1">
      <c r="A17" s="59">
        <v>9</v>
      </c>
      <c r="B17" s="60" t="str">
        <f>'C. FILIACION'!B16</f>
        <v>NINA PANIAGUA DEYVID GABRIEL</v>
      </c>
      <c r="C17" s="104">
        <f>'VAL 1 TRIM '!AG17</f>
        <v>90</v>
      </c>
      <c r="D17" s="104">
        <f>'VAL 2 TRIM'!AG17</f>
        <v>80</v>
      </c>
      <c r="E17" s="104">
        <f>'VAL 3 TRIM'!AG17</f>
        <v>100</v>
      </c>
      <c r="F17" s="105">
        <f>'CENTRAL 1'!U17</f>
        <v>90</v>
      </c>
      <c r="G17" s="106" t="str">
        <f t="shared" si="0"/>
        <v>APROBADO</v>
      </c>
      <c r="H17" s="107"/>
      <c r="I17" s="107"/>
    </row>
    <row r="18" spans="1:9" ht="12" customHeight="1">
      <c r="A18" s="59">
        <v>10</v>
      </c>
      <c r="B18" s="60" t="str">
        <f>'C. FILIACION'!B17</f>
        <v>PASTOR CONDARCO STEVE DAVID</v>
      </c>
      <c r="C18" s="104">
        <f>'VAL 1 TRIM '!AG18</f>
        <v>84</v>
      </c>
      <c r="D18" s="104">
        <f>'VAL 2 TRIM'!AG18</f>
        <v>70</v>
      </c>
      <c r="E18" s="104">
        <f>'VAL 3 TRIM'!AG18</f>
        <v>100</v>
      </c>
      <c r="F18" s="105">
        <f>'CENTRAL 1'!U18</f>
        <v>84.666666666666671</v>
      </c>
      <c r="G18" s="106" t="str">
        <f t="shared" si="0"/>
        <v>APROBADO</v>
      </c>
      <c r="H18" s="107"/>
      <c r="I18" s="107"/>
    </row>
    <row r="19" spans="1:9" ht="12" customHeight="1">
      <c r="A19" s="59">
        <v>11</v>
      </c>
      <c r="B19" s="60" t="str">
        <f>'C. FILIACION'!B18</f>
        <v>ROJAS MAMANI JERUSALEN LOURDES</v>
      </c>
      <c r="C19" s="104">
        <f>'VAL 1 TRIM '!AG19</f>
        <v>90</v>
      </c>
      <c r="D19" s="104">
        <f>'VAL 2 TRIM'!AG19</f>
        <v>89</v>
      </c>
      <c r="E19" s="104">
        <f>'VAL 3 TRIM'!AG19</f>
        <v>100</v>
      </c>
      <c r="F19" s="105">
        <f>'CENTRAL 1'!U19</f>
        <v>93</v>
      </c>
      <c r="G19" s="106" t="str">
        <f t="shared" si="0"/>
        <v>APROBADO</v>
      </c>
      <c r="H19" s="107"/>
      <c r="I19" s="107"/>
    </row>
    <row r="20" spans="1:9" ht="12" customHeight="1">
      <c r="A20" s="59">
        <v>12</v>
      </c>
      <c r="B20" s="60" t="str">
        <f>'C. FILIACION'!B19</f>
        <v>SALAS ROJAS LUCIANA ANTONELLA</v>
      </c>
      <c r="C20" s="104">
        <f>'VAL 1 TRIM '!AG20</f>
        <v>50</v>
      </c>
      <c r="D20" s="104">
        <f>'VAL 2 TRIM'!AG20</f>
        <v>60</v>
      </c>
      <c r="E20" s="104">
        <f>'VAL 3 TRIM'!AG20</f>
        <v>100</v>
      </c>
      <c r="F20" s="105">
        <f>'CENTRAL 1'!U20</f>
        <v>70</v>
      </c>
      <c r="G20" s="106" t="str">
        <f t="shared" si="0"/>
        <v>APROBADO</v>
      </c>
      <c r="H20" s="107"/>
      <c r="I20" s="107"/>
    </row>
    <row r="21" spans="1:9" ht="12" customHeight="1">
      <c r="A21" s="59">
        <v>13</v>
      </c>
      <c r="B21" s="60" t="str">
        <f>'C. FILIACION'!B20</f>
        <v>SANTOS CRUZ ROYER JOEL</v>
      </c>
      <c r="C21" s="104">
        <f>'VAL 1 TRIM '!AG21</f>
        <v>50</v>
      </c>
      <c r="D21" s="104">
        <f>'VAL 2 TRIM'!AG21</f>
        <v>74</v>
      </c>
      <c r="E21" s="104">
        <f>'VAL 3 TRIM'!AG21</f>
        <v>100</v>
      </c>
      <c r="F21" s="105">
        <f>'CENTRAL 1'!U21</f>
        <v>74.666666666666671</v>
      </c>
      <c r="G21" s="106" t="str">
        <f t="shared" si="0"/>
        <v>APROBADO</v>
      </c>
      <c r="H21" s="107"/>
      <c r="I21" s="107"/>
    </row>
    <row r="22" spans="1:9" ht="12" customHeight="1">
      <c r="A22" s="59">
        <v>14</v>
      </c>
      <c r="B22" s="60" t="str">
        <f>'C. FILIACION'!B21</f>
        <v>TICONA LOAYZA ARIADNE VALERIA</v>
      </c>
      <c r="C22" s="104">
        <f>'VAL 1 TRIM '!AG22</f>
        <v>90</v>
      </c>
      <c r="D22" s="104">
        <f>'VAL 2 TRIM'!AG22</f>
        <v>70</v>
      </c>
      <c r="E22" s="104">
        <f>'VAL 3 TRIM'!AG22</f>
        <v>100</v>
      </c>
      <c r="F22" s="105">
        <f>'CENTRAL 1'!U22</f>
        <v>86.666666666666671</v>
      </c>
      <c r="G22" s="106" t="str">
        <f t="shared" si="0"/>
        <v>APROBADO</v>
      </c>
      <c r="H22" s="107"/>
      <c r="I22" s="107"/>
    </row>
    <row r="23" spans="1:9" ht="12" customHeight="1">
      <c r="A23" s="59">
        <v>15</v>
      </c>
      <c r="B23" s="60" t="str">
        <f>'C. FILIACION'!B22</f>
        <v>ZEBALLOS DEL CARPIO AMIRA MERCEDES</v>
      </c>
      <c r="C23" s="104">
        <f>'VAL 1 TRIM '!AG23</f>
        <v>90</v>
      </c>
      <c r="D23" s="104">
        <f>'VAL 2 TRIM'!AG23</f>
        <v>94</v>
      </c>
      <c r="E23" s="104">
        <f>'VAL 3 TRIM'!AG23</f>
        <v>100</v>
      </c>
      <c r="F23" s="105">
        <f>'CENTRAL 1'!U23</f>
        <v>94.666666666666671</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65625" defaultRowHeight="15" customHeight="1"/>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304" t="s">
        <v>110</v>
      </c>
      <c r="C2" s="215"/>
      <c r="D2" s="215"/>
      <c r="E2" s="215"/>
      <c r="F2" s="215"/>
      <c r="G2" s="215"/>
      <c r="H2" s="215"/>
      <c r="I2" s="215"/>
      <c r="J2" s="215"/>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44497</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111</v>
      </c>
      <c r="J6" s="113"/>
      <c r="K6" s="113"/>
      <c r="L6" s="113"/>
      <c r="M6" s="113"/>
      <c r="N6" s="113"/>
      <c r="O6" s="113"/>
      <c r="P6" s="113"/>
      <c r="Q6" s="113"/>
      <c r="R6" s="113"/>
      <c r="S6" s="113"/>
      <c r="T6" s="113"/>
      <c r="U6" s="113"/>
      <c r="V6" s="113"/>
      <c r="W6" s="113"/>
      <c r="X6" s="113"/>
      <c r="Y6" s="113"/>
      <c r="Z6" s="113"/>
    </row>
    <row r="7" spans="1:26" ht="20.399999999999999">
      <c r="A7" s="113"/>
      <c r="B7" s="118" t="s">
        <v>92</v>
      </c>
      <c r="C7" s="117" t="s">
        <v>112</v>
      </c>
      <c r="D7" s="118" t="s">
        <v>113</v>
      </c>
      <c r="E7" s="119" t="s">
        <v>114</v>
      </c>
      <c r="F7" s="113"/>
      <c r="G7" s="120" t="s">
        <v>115</v>
      </c>
      <c r="H7" s="118">
        <f>'VAL 1 TRIM '!$AO$9</f>
        <v>5</v>
      </c>
      <c r="I7" s="121">
        <f>H7/H11</f>
        <v>0.1388888888888889</v>
      </c>
      <c r="J7" s="113"/>
      <c r="K7" s="113"/>
      <c r="L7" s="113"/>
      <c r="M7" s="113"/>
      <c r="N7" s="113"/>
      <c r="O7" s="113"/>
      <c r="P7" s="113"/>
      <c r="Q7" s="113"/>
      <c r="R7" s="113"/>
      <c r="S7" s="113"/>
      <c r="T7" s="113"/>
      <c r="U7" s="113"/>
      <c r="V7" s="113"/>
      <c r="W7" s="113"/>
      <c r="X7" s="113"/>
      <c r="Y7" s="113"/>
      <c r="Z7" s="113"/>
    </row>
    <row r="8" spans="1:26" ht="20.399999999999999">
      <c r="A8" s="113"/>
      <c r="B8" s="118" t="s">
        <v>93</v>
      </c>
      <c r="C8" s="117" t="s">
        <v>116</v>
      </c>
      <c r="D8" s="118" t="s">
        <v>117</v>
      </c>
      <c r="E8" s="119" t="s">
        <v>118</v>
      </c>
      <c r="F8" s="113"/>
      <c r="G8" s="120" t="s">
        <v>119</v>
      </c>
      <c r="H8" s="118">
        <f>'VAL 1 TRIM '!$AO$10</f>
        <v>1</v>
      </c>
      <c r="I8" s="121">
        <f>H8/H11</f>
        <v>2.7777777777777776E-2</v>
      </c>
      <c r="J8" s="113"/>
      <c r="K8" s="113"/>
      <c r="L8" s="113"/>
      <c r="M8" s="113"/>
      <c r="N8" s="113"/>
      <c r="O8" s="113"/>
      <c r="P8" s="113"/>
      <c r="Q8" s="113"/>
      <c r="R8" s="113"/>
      <c r="S8" s="113"/>
      <c r="T8" s="113"/>
      <c r="U8" s="113"/>
      <c r="V8" s="113"/>
      <c r="W8" s="113"/>
      <c r="X8" s="113"/>
      <c r="Y8" s="113"/>
      <c r="Z8" s="113"/>
    </row>
    <row r="9" spans="1:26" ht="20.399999999999999">
      <c r="A9" s="113"/>
      <c r="B9" s="118" t="s">
        <v>94</v>
      </c>
      <c r="C9" s="117" t="s">
        <v>120</v>
      </c>
      <c r="D9" s="118" t="s">
        <v>121</v>
      </c>
      <c r="E9" s="119" t="s">
        <v>118</v>
      </c>
      <c r="F9" s="113"/>
      <c r="G9" s="122" t="s">
        <v>122</v>
      </c>
      <c r="H9" s="118">
        <f>'VAL 1 TRIM '!$AO$11</f>
        <v>2</v>
      </c>
      <c r="I9" s="121">
        <f>H9/H11</f>
        <v>5.5555555555555552E-2</v>
      </c>
      <c r="J9" s="113"/>
      <c r="K9" s="113"/>
      <c r="L9" s="113"/>
      <c r="M9" s="113"/>
      <c r="N9" s="113"/>
      <c r="O9" s="113"/>
      <c r="P9" s="113"/>
      <c r="Q9" s="113"/>
      <c r="R9" s="113"/>
      <c r="S9" s="113"/>
      <c r="T9" s="113"/>
      <c r="U9" s="113"/>
      <c r="V9" s="113"/>
      <c r="W9" s="113"/>
      <c r="X9" s="113"/>
      <c r="Y9" s="113"/>
      <c r="Z9" s="113"/>
    </row>
    <row r="10" spans="1:26" ht="20.399999999999999">
      <c r="A10" s="113"/>
      <c r="B10" s="118" t="s">
        <v>95</v>
      </c>
      <c r="C10" s="117" t="s">
        <v>123</v>
      </c>
      <c r="D10" s="118" t="s">
        <v>124</v>
      </c>
      <c r="E10" s="119" t="s">
        <v>118</v>
      </c>
      <c r="F10" s="113"/>
      <c r="G10" s="122" t="s">
        <v>125</v>
      </c>
      <c r="H10" s="118">
        <f>'VAL 1 TRIM '!$AO$12</f>
        <v>28</v>
      </c>
      <c r="I10" s="121">
        <f>H10/H11</f>
        <v>0.77777777777777779</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126</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305" t="s">
        <v>127</v>
      </c>
      <c r="C13" s="215"/>
      <c r="D13" s="215"/>
      <c r="E13" s="215"/>
      <c r="F13" s="215"/>
      <c r="G13" s="215"/>
      <c r="H13" s="215"/>
      <c r="I13" s="215"/>
      <c r="J13" s="215"/>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301" t="s">
        <v>128</v>
      </c>
      <c r="C15" s="222"/>
      <c r="D15" s="222"/>
      <c r="E15" s="222"/>
      <c r="F15" s="222"/>
      <c r="G15" s="222"/>
      <c r="H15" s="222"/>
      <c r="I15" s="222"/>
      <c r="J15" s="223"/>
      <c r="K15" s="113"/>
      <c r="L15" s="113"/>
      <c r="M15" s="113"/>
      <c r="N15" s="113"/>
      <c r="O15" s="113"/>
      <c r="P15" s="113"/>
      <c r="Q15" s="113"/>
      <c r="R15" s="113"/>
      <c r="S15" s="113"/>
      <c r="T15" s="113"/>
      <c r="U15" s="113"/>
      <c r="V15" s="113"/>
      <c r="W15" s="113"/>
      <c r="X15" s="113"/>
      <c r="Y15" s="113"/>
      <c r="Z15" s="113"/>
    </row>
    <row r="16" spans="1:26" ht="16.5" customHeight="1">
      <c r="A16" s="113"/>
      <c r="B16" s="302"/>
      <c r="C16" s="215"/>
      <c r="D16" s="215"/>
      <c r="E16" s="215"/>
      <c r="F16" s="215"/>
      <c r="G16" s="215"/>
      <c r="H16" s="215"/>
      <c r="I16" s="215"/>
      <c r="J16" s="303"/>
      <c r="K16" s="113"/>
      <c r="L16" s="113"/>
      <c r="M16" s="113"/>
      <c r="N16" s="113"/>
      <c r="O16" s="113"/>
      <c r="P16" s="113"/>
      <c r="Q16" s="113"/>
      <c r="R16" s="113"/>
      <c r="S16" s="113"/>
      <c r="T16" s="113"/>
      <c r="U16" s="113"/>
      <c r="V16" s="113"/>
      <c r="W16" s="113"/>
      <c r="X16" s="113"/>
      <c r="Y16" s="113"/>
      <c r="Z16" s="113"/>
    </row>
    <row r="17" spans="1:26" ht="16.5" customHeight="1">
      <c r="A17" s="113"/>
      <c r="B17" s="284"/>
      <c r="C17" s="285"/>
      <c r="D17" s="285"/>
      <c r="E17" s="285"/>
      <c r="F17" s="285"/>
      <c r="G17" s="285"/>
      <c r="H17" s="285"/>
      <c r="I17" s="285"/>
      <c r="J17" s="286"/>
      <c r="K17" s="113"/>
      <c r="L17" s="113"/>
      <c r="M17" s="113"/>
      <c r="N17" s="113"/>
      <c r="O17" s="113"/>
      <c r="P17" s="113"/>
      <c r="Q17" s="113"/>
      <c r="R17" s="113"/>
      <c r="S17" s="113"/>
      <c r="T17" s="113"/>
      <c r="U17" s="113"/>
      <c r="V17" s="113"/>
      <c r="W17" s="113"/>
      <c r="X17" s="113"/>
      <c r="Y17" s="113"/>
      <c r="Z17" s="113"/>
    </row>
    <row r="18" spans="1:26" ht="16.5" customHeight="1">
      <c r="A18" s="113"/>
      <c r="B18" s="301" t="s">
        <v>129</v>
      </c>
      <c r="C18" s="222"/>
      <c r="D18" s="222"/>
      <c r="E18" s="222"/>
      <c r="F18" s="222"/>
      <c r="G18" s="222"/>
      <c r="H18" s="222"/>
      <c r="I18" s="222"/>
      <c r="J18" s="223"/>
      <c r="K18" s="113"/>
      <c r="L18" s="113"/>
      <c r="M18" s="113"/>
      <c r="N18" s="113"/>
      <c r="O18" s="113"/>
      <c r="P18" s="113"/>
      <c r="Q18" s="113"/>
      <c r="R18" s="113"/>
      <c r="S18" s="113"/>
      <c r="T18" s="113"/>
      <c r="U18" s="113"/>
      <c r="V18" s="113"/>
      <c r="W18" s="113"/>
      <c r="X18" s="113"/>
      <c r="Y18" s="113"/>
      <c r="Z18" s="113"/>
    </row>
    <row r="19" spans="1:26" ht="16.5" customHeight="1">
      <c r="A19" s="113"/>
      <c r="B19" s="302"/>
      <c r="C19" s="215"/>
      <c r="D19" s="215"/>
      <c r="E19" s="215"/>
      <c r="F19" s="215"/>
      <c r="G19" s="215"/>
      <c r="H19" s="215"/>
      <c r="I19" s="215"/>
      <c r="J19" s="303"/>
      <c r="K19" s="113"/>
      <c r="L19" s="113"/>
      <c r="M19" s="113"/>
      <c r="N19" s="113"/>
      <c r="O19" s="113"/>
      <c r="P19" s="113"/>
      <c r="Q19" s="113"/>
      <c r="R19" s="113"/>
      <c r="S19" s="113"/>
      <c r="T19" s="113"/>
      <c r="U19" s="113"/>
      <c r="V19" s="113"/>
      <c r="W19" s="113"/>
      <c r="X19" s="113"/>
      <c r="Y19" s="113"/>
      <c r="Z19" s="113"/>
    </row>
    <row r="20" spans="1:26" ht="16.5" customHeight="1">
      <c r="A20" s="113"/>
      <c r="B20" s="284"/>
      <c r="C20" s="285"/>
      <c r="D20" s="285"/>
      <c r="E20" s="285"/>
      <c r="F20" s="285"/>
      <c r="G20" s="285"/>
      <c r="H20" s="285"/>
      <c r="I20" s="285"/>
      <c r="J20" s="286"/>
      <c r="K20" s="113"/>
      <c r="L20" s="113"/>
      <c r="M20" s="113"/>
      <c r="N20" s="113"/>
      <c r="O20" s="113"/>
      <c r="P20" s="113"/>
      <c r="Q20" s="113"/>
      <c r="R20" s="113"/>
      <c r="S20" s="113"/>
      <c r="T20" s="113"/>
      <c r="U20" s="113"/>
      <c r="V20" s="113"/>
      <c r="W20" s="113"/>
      <c r="X20" s="113"/>
      <c r="Y20" s="113"/>
      <c r="Z20" s="113"/>
    </row>
    <row r="21" spans="1:26" ht="16.5" customHeight="1">
      <c r="A21" s="113"/>
      <c r="B21" s="301" t="s">
        <v>130</v>
      </c>
      <c r="C21" s="222"/>
      <c r="D21" s="222"/>
      <c r="E21" s="222"/>
      <c r="F21" s="222"/>
      <c r="G21" s="222"/>
      <c r="H21" s="222"/>
      <c r="I21" s="222"/>
      <c r="J21" s="223"/>
      <c r="K21" s="113"/>
      <c r="L21" s="113"/>
      <c r="M21" s="113"/>
      <c r="N21" s="113"/>
      <c r="O21" s="113"/>
      <c r="P21" s="113"/>
      <c r="Q21" s="113"/>
      <c r="R21" s="113"/>
      <c r="S21" s="113"/>
      <c r="T21" s="113"/>
      <c r="U21" s="113"/>
      <c r="V21" s="113"/>
      <c r="W21" s="113"/>
      <c r="X21" s="113"/>
      <c r="Y21" s="113"/>
      <c r="Z21" s="113"/>
    </row>
    <row r="22" spans="1:26" ht="16.5" customHeight="1">
      <c r="A22" s="113"/>
      <c r="B22" s="302"/>
      <c r="C22" s="215"/>
      <c r="D22" s="215"/>
      <c r="E22" s="215"/>
      <c r="F22" s="215"/>
      <c r="G22" s="215"/>
      <c r="H22" s="215"/>
      <c r="I22" s="215"/>
      <c r="J22" s="303"/>
      <c r="K22" s="113"/>
      <c r="L22" s="113"/>
      <c r="M22" s="113"/>
      <c r="N22" s="113"/>
      <c r="O22" s="113"/>
      <c r="P22" s="113"/>
      <c r="Q22" s="113"/>
      <c r="R22" s="113"/>
      <c r="S22" s="113"/>
      <c r="T22" s="113"/>
      <c r="U22" s="113"/>
      <c r="V22" s="113"/>
      <c r="W22" s="113"/>
      <c r="X22" s="113"/>
      <c r="Y22" s="113"/>
      <c r="Z22" s="113"/>
    </row>
    <row r="23" spans="1:26" ht="16.5" customHeight="1">
      <c r="A23" s="113"/>
      <c r="B23" s="284"/>
      <c r="C23" s="285"/>
      <c r="D23" s="285"/>
      <c r="E23" s="285"/>
      <c r="F23" s="285"/>
      <c r="G23" s="285"/>
      <c r="H23" s="285"/>
      <c r="I23" s="285"/>
      <c r="J23" s="286"/>
      <c r="K23" s="113"/>
      <c r="L23" s="113"/>
      <c r="M23" s="113"/>
      <c r="N23" s="113"/>
      <c r="O23" s="113"/>
      <c r="P23" s="113"/>
      <c r="Q23" s="113"/>
      <c r="R23" s="113"/>
      <c r="S23" s="113"/>
      <c r="T23" s="113"/>
      <c r="U23" s="113"/>
      <c r="V23" s="113"/>
      <c r="W23" s="113"/>
      <c r="X23" s="113"/>
      <c r="Y23" s="113"/>
      <c r="Z23" s="113"/>
    </row>
    <row r="24" spans="1:26" ht="16.5" customHeight="1">
      <c r="A24" s="113"/>
      <c r="B24" s="301" t="s">
        <v>131</v>
      </c>
      <c r="C24" s="222"/>
      <c r="D24" s="222"/>
      <c r="E24" s="222"/>
      <c r="F24" s="222"/>
      <c r="G24" s="222"/>
      <c r="H24" s="222"/>
      <c r="I24" s="222"/>
      <c r="J24" s="223"/>
      <c r="K24" s="113"/>
      <c r="L24" s="113"/>
      <c r="M24" s="113"/>
      <c r="N24" s="113"/>
      <c r="O24" s="113"/>
      <c r="P24" s="113"/>
      <c r="Q24" s="113"/>
      <c r="R24" s="113"/>
      <c r="S24" s="113"/>
      <c r="T24" s="113"/>
      <c r="U24" s="113"/>
      <c r="V24" s="113"/>
      <c r="W24" s="113"/>
      <c r="X24" s="113"/>
      <c r="Y24" s="113"/>
      <c r="Z24" s="113"/>
    </row>
    <row r="25" spans="1:26" ht="16.5" customHeight="1">
      <c r="A25" s="113"/>
      <c r="B25" s="302"/>
      <c r="C25" s="215"/>
      <c r="D25" s="215"/>
      <c r="E25" s="215"/>
      <c r="F25" s="215"/>
      <c r="G25" s="215"/>
      <c r="H25" s="215"/>
      <c r="I25" s="215"/>
      <c r="J25" s="303"/>
      <c r="K25" s="113"/>
      <c r="L25" s="113"/>
      <c r="M25" s="113"/>
      <c r="N25" s="113"/>
      <c r="O25" s="113"/>
      <c r="P25" s="113"/>
      <c r="Q25" s="113"/>
      <c r="R25" s="113"/>
      <c r="S25" s="113"/>
      <c r="T25" s="113"/>
      <c r="U25" s="113"/>
      <c r="V25" s="113"/>
      <c r="W25" s="113"/>
      <c r="X25" s="113"/>
      <c r="Y25" s="113"/>
      <c r="Z25" s="113"/>
    </row>
    <row r="26" spans="1:26" ht="16.5" customHeight="1">
      <c r="A26" s="113"/>
      <c r="B26" s="284"/>
      <c r="C26" s="285"/>
      <c r="D26" s="285"/>
      <c r="E26" s="285"/>
      <c r="F26" s="285"/>
      <c r="G26" s="285"/>
      <c r="H26" s="285"/>
      <c r="I26" s="285"/>
      <c r="J26" s="286"/>
      <c r="K26" s="113"/>
      <c r="L26" s="113"/>
      <c r="M26" s="113"/>
      <c r="N26" s="113"/>
      <c r="O26" s="113"/>
      <c r="P26" s="113"/>
      <c r="Q26" s="113"/>
      <c r="R26" s="113"/>
      <c r="S26" s="113"/>
      <c r="T26" s="113"/>
      <c r="U26" s="113"/>
      <c r="V26" s="113"/>
      <c r="W26" s="113"/>
      <c r="X26" s="113"/>
      <c r="Y26" s="113"/>
      <c r="Z26" s="113"/>
    </row>
    <row r="27" spans="1:26" ht="16.5" customHeight="1">
      <c r="A27" s="113"/>
      <c r="B27" s="301" t="s">
        <v>132</v>
      </c>
      <c r="C27" s="222"/>
      <c r="D27" s="222"/>
      <c r="E27" s="222"/>
      <c r="F27" s="222"/>
      <c r="G27" s="222"/>
      <c r="H27" s="222"/>
      <c r="I27" s="222"/>
      <c r="J27" s="223"/>
      <c r="K27" s="113"/>
      <c r="L27" s="113"/>
      <c r="M27" s="113"/>
      <c r="N27" s="113"/>
      <c r="O27" s="113"/>
      <c r="P27" s="113"/>
      <c r="Q27" s="113"/>
      <c r="R27" s="113"/>
      <c r="S27" s="113"/>
      <c r="T27" s="113"/>
      <c r="U27" s="113"/>
      <c r="V27" s="113"/>
      <c r="W27" s="113"/>
      <c r="X27" s="113"/>
      <c r="Y27" s="113"/>
      <c r="Z27" s="113"/>
    </row>
    <row r="28" spans="1:26" ht="16.5" customHeight="1">
      <c r="A28" s="113"/>
      <c r="B28" s="302"/>
      <c r="C28" s="215"/>
      <c r="D28" s="215"/>
      <c r="E28" s="215"/>
      <c r="F28" s="215"/>
      <c r="G28" s="215"/>
      <c r="H28" s="215"/>
      <c r="I28" s="215"/>
      <c r="J28" s="303"/>
      <c r="K28" s="113"/>
      <c r="L28" s="113"/>
      <c r="M28" s="113"/>
      <c r="N28" s="113"/>
      <c r="O28" s="113"/>
      <c r="P28" s="113"/>
      <c r="Q28" s="113"/>
      <c r="R28" s="113"/>
      <c r="S28" s="113"/>
      <c r="T28" s="113"/>
      <c r="U28" s="113"/>
      <c r="V28" s="113"/>
      <c r="W28" s="113"/>
      <c r="X28" s="113"/>
      <c r="Y28" s="113"/>
      <c r="Z28" s="113"/>
    </row>
    <row r="29" spans="1:26" ht="16.5" customHeight="1">
      <c r="A29" s="113"/>
      <c r="B29" s="284"/>
      <c r="C29" s="285"/>
      <c r="D29" s="285"/>
      <c r="E29" s="285"/>
      <c r="F29" s="285"/>
      <c r="G29" s="285"/>
      <c r="H29" s="285"/>
      <c r="I29" s="285"/>
      <c r="J29" s="286"/>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133</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65625" defaultRowHeight="15" customHeight="1"/>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304" t="s">
        <v>134</v>
      </c>
      <c r="C2" s="215"/>
      <c r="D2" s="215"/>
      <c r="E2" s="215"/>
      <c r="F2" s="215"/>
      <c r="G2" s="215"/>
      <c r="H2" s="215"/>
      <c r="I2" s="215"/>
      <c r="J2" s="215"/>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44497</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111</v>
      </c>
      <c r="J6" s="113"/>
      <c r="K6" s="113"/>
      <c r="L6" s="113"/>
      <c r="M6" s="113"/>
      <c r="N6" s="113"/>
      <c r="O6" s="113"/>
      <c r="P6" s="113"/>
      <c r="Q6" s="113"/>
      <c r="R6" s="113"/>
      <c r="S6" s="113"/>
      <c r="T6" s="113"/>
      <c r="U6" s="113"/>
      <c r="V6" s="113"/>
      <c r="W6" s="113"/>
      <c r="X6" s="113"/>
      <c r="Y6" s="113"/>
      <c r="Z6" s="113"/>
    </row>
    <row r="7" spans="1:26" ht="20.399999999999999">
      <c r="A7" s="113"/>
      <c r="B7" s="118" t="s">
        <v>92</v>
      </c>
      <c r="C7" s="117" t="s">
        <v>112</v>
      </c>
      <c r="D7" s="118" t="s">
        <v>113</v>
      </c>
      <c r="E7" s="119" t="s">
        <v>114</v>
      </c>
      <c r="F7" s="113"/>
      <c r="G7" s="120" t="s">
        <v>115</v>
      </c>
      <c r="H7" s="118">
        <f>'VAL 2 TRIM'!$AO$9</f>
        <v>1</v>
      </c>
      <c r="I7" s="121">
        <f>H7/H11</f>
        <v>2.7777777777777776E-2</v>
      </c>
      <c r="J7" s="113"/>
      <c r="K7" s="113"/>
      <c r="L7" s="113"/>
      <c r="M7" s="113"/>
      <c r="N7" s="113"/>
      <c r="O7" s="113"/>
      <c r="P7" s="113"/>
      <c r="Q7" s="113"/>
      <c r="R7" s="113"/>
      <c r="S7" s="113"/>
      <c r="T7" s="113"/>
      <c r="U7" s="113"/>
      <c r="V7" s="113"/>
      <c r="W7" s="113"/>
      <c r="X7" s="113"/>
      <c r="Y7" s="113"/>
      <c r="Z7" s="113"/>
    </row>
    <row r="8" spans="1:26" ht="20.399999999999999">
      <c r="A8" s="113"/>
      <c r="B8" s="118" t="s">
        <v>93</v>
      </c>
      <c r="C8" s="117" t="s">
        <v>116</v>
      </c>
      <c r="D8" s="118" t="s">
        <v>117</v>
      </c>
      <c r="E8" s="119" t="s">
        <v>118</v>
      </c>
      <c r="F8" s="113"/>
      <c r="G8" s="120" t="s">
        <v>119</v>
      </c>
      <c r="H8" s="118">
        <f>'VAL 2 TRIM'!$AO$10</f>
        <v>4</v>
      </c>
      <c r="I8" s="121">
        <f>H8/H11</f>
        <v>0.1111111111111111</v>
      </c>
      <c r="J8" s="113"/>
      <c r="K8" s="113"/>
      <c r="L8" s="113"/>
      <c r="M8" s="113"/>
      <c r="N8" s="113"/>
      <c r="O8" s="113"/>
      <c r="P8" s="113"/>
      <c r="Q8" s="113"/>
      <c r="R8" s="113"/>
      <c r="S8" s="113"/>
      <c r="T8" s="113"/>
      <c r="U8" s="113"/>
      <c r="V8" s="113"/>
      <c r="W8" s="113"/>
      <c r="X8" s="113"/>
      <c r="Y8" s="113"/>
      <c r="Z8" s="113"/>
    </row>
    <row r="9" spans="1:26" ht="20.399999999999999">
      <c r="A9" s="113"/>
      <c r="B9" s="118" t="s">
        <v>94</v>
      </c>
      <c r="C9" s="117" t="s">
        <v>120</v>
      </c>
      <c r="D9" s="118" t="s">
        <v>121</v>
      </c>
      <c r="E9" s="119" t="s">
        <v>118</v>
      </c>
      <c r="F9" s="113"/>
      <c r="G9" s="122" t="s">
        <v>122</v>
      </c>
      <c r="H9" s="118">
        <f>'VAL 2 TRIM'!$AO$11</f>
        <v>7</v>
      </c>
      <c r="I9" s="121">
        <f>H9/H11</f>
        <v>0.19444444444444445</v>
      </c>
      <c r="J9" s="113"/>
      <c r="K9" s="113"/>
      <c r="L9" s="113"/>
      <c r="M9" s="113"/>
      <c r="N9" s="113"/>
      <c r="O9" s="113"/>
      <c r="P9" s="113"/>
      <c r="Q9" s="113"/>
      <c r="R9" s="113"/>
      <c r="S9" s="113"/>
      <c r="T9" s="113"/>
      <c r="U9" s="113"/>
      <c r="V9" s="113"/>
      <c r="W9" s="113"/>
      <c r="X9" s="113"/>
      <c r="Y9" s="113"/>
      <c r="Z9" s="113"/>
    </row>
    <row r="10" spans="1:26" ht="20.399999999999999">
      <c r="A10" s="113"/>
      <c r="B10" s="118" t="s">
        <v>95</v>
      </c>
      <c r="C10" s="117" t="s">
        <v>123</v>
      </c>
      <c r="D10" s="118" t="s">
        <v>124</v>
      </c>
      <c r="E10" s="119" t="s">
        <v>118</v>
      </c>
      <c r="F10" s="113"/>
      <c r="G10" s="122" t="s">
        <v>125</v>
      </c>
      <c r="H10" s="118">
        <f>'VAL 2 TRIM'!$AO$12</f>
        <v>24</v>
      </c>
      <c r="I10" s="121">
        <f>H10/H11</f>
        <v>0.66666666666666663</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126</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305" t="s">
        <v>127</v>
      </c>
      <c r="C13" s="215"/>
      <c r="D13" s="215"/>
      <c r="E13" s="215"/>
      <c r="F13" s="215"/>
      <c r="G13" s="215"/>
      <c r="H13" s="215"/>
      <c r="I13" s="215"/>
      <c r="J13" s="215"/>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301" t="s">
        <v>128</v>
      </c>
      <c r="C15" s="222"/>
      <c r="D15" s="222"/>
      <c r="E15" s="222"/>
      <c r="F15" s="222"/>
      <c r="G15" s="222"/>
      <c r="H15" s="222"/>
      <c r="I15" s="222"/>
      <c r="J15" s="223"/>
      <c r="K15" s="113"/>
      <c r="L15" s="113"/>
      <c r="M15" s="113"/>
      <c r="N15" s="113"/>
      <c r="O15" s="113"/>
      <c r="P15" s="113"/>
      <c r="Q15" s="113"/>
      <c r="R15" s="113"/>
      <c r="S15" s="113"/>
      <c r="T15" s="113"/>
      <c r="U15" s="113"/>
      <c r="V15" s="113"/>
      <c r="W15" s="113"/>
      <c r="X15" s="113"/>
      <c r="Y15" s="113"/>
      <c r="Z15" s="113"/>
    </row>
    <row r="16" spans="1:26" ht="16.5" customHeight="1">
      <c r="A16" s="113"/>
      <c r="B16" s="302"/>
      <c r="C16" s="215"/>
      <c r="D16" s="215"/>
      <c r="E16" s="215"/>
      <c r="F16" s="215"/>
      <c r="G16" s="215"/>
      <c r="H16" s="215"/>
      <c r="I16" s="215"/>
      <c r="J16" s="303"/>
      <c r="K16" s="113"/>
      <c r="L16" s="113"/>
      <c r="M16" s="113"/>
      <c r="N16" s="113"/>
      <c r="O16" s="113"/>
      <c r="P16" s="113"/>
      <c r="Q16" s="113"/>
      <c r="R16" s="113"/>
      <c r="S16" s="113"/>
      <c r="T16" s="113"/>
      <c r="U16" s="113"/>
      <c r="V16" s="113"/>
      <c r="W16" s="113"/>
      <c r="X16" s="113"/>
      <c r="Y16" s="113"/>
      <c r="Z16" s="113"/>
    </row>
    <row r="17" spans="1:26" ht="16.5" customHeight="1">
      <c r="A17" s="113"/>
      <c r="B17" s="284"/>
      <c r="C17" s="285"/>
      <c r="D17" s="285"/>
      <c r="E17" s="285"/>
      <c r="F17" s="285"/>
      <c r="G17" s="285"/>
      <c r="H17" s="285"/>
      <c r="I17" s="285"/>
      <c r="J17" s="286"/>
      <c r="K17" s="113"/>
      <c r="L17" s="113"/>
      <c r="M17" s="113"/>
      <c r="N17" s="113"/>
      <c r="O17" s="113"/>
      <c r="P17" s="113"/>
      <c r="Q17" s="113"/>
      <c r="R17" s="113"/>
      <c r="S17" s="113"/>
      <c r="T17" s="113"/>
      <c r="U17" s="113"/>
      <c r="V17" s="113"/>
      <c r="W17" s="113"/>
      <c r="X17" s="113"/>
      <c r="Y17" s="113"/>
      <c r="Z17" s="113"/>
    </row>
    <row r="18" spans="1:26" ht="16.5" customHeight="1">
      <c r="A18" s="113"/>
      <c r="B18" s="301" t="s">
        <v>129</v>
      </c>
      <c r="C18" s="222"/>
      <c r="D18" s="222"/>
      <c r="E18" s="222"/>
      <c r="F18" s="222"/>
      <c r="G18" s="222"/>
      <c r="H18" s="222"/>
      <c r="I18" s="222"/>
      <c r="J18" s="223"/>
      <c r="K18" s="113"/>
      <c r="L18" s="113"/>
      <c r="M18" s="113"/>
      <c r="N18" s="113"/>
      <c r="O18" s="113"/>
      <c r="P18" s="113"/>
      <c r="Q18" s="113"/>
      <c r="R18" s="113"/>
      <c r="S18" s="113"/>
      <c r="T18" s="113"/>
      <c r="U18" s="113"/>
      <c r="V18" s="113"/>
      <c r="W18" s="113"/>
      <c r="X18" s="113"/>
      <c r="Y18" s="113"/>
      <c r="Z18" s="113"/>
    </row>
    <row r="19" spans="1:26" ht="16.5" customHeight="1">
      <c r="A19" s="113"/>
      <c r="B19" s="302"/>
      <c r="C19" s="215"/>
      <c r="D19" s="215"/>
      <c r="E19" s="215"/>
      <c r="F19" s="215"/>
      <c r="G19" s="215"/>
      <c r="H19" s="215"/>
      <c r="I19" s="215"/>
      <c r="J19" s="303"/>
      <c r="K19" s="113"/>
      <c r="L19" s="113"/>
      <c r="M19" s="113"/>
      <c r="N19" s="113"/>
      <c r="O19" s="113"/>
      <c r="P19" s="113"/>
      <c r="Q19" s="113"/>
      <c r="R19" s="113"/>
      <c r="S19" s="113"/>
      <c r="T19" s="113"/>
      <c r="U19" s="113"/>
      <c r="V19" s="113"/>
      <c r="W19" s="113"/>
      <c r="X19" s="113"/>
      <c r="Y19" s="113"/>
      <c r="Z19" s="113"/>
    </row>
    <row r="20" spans="1:26" ht="16.5" customHeight="1">
      <c r="A20" s="113"/>
      <c r="B20" s="284"/>
      <c r="C20" s="285"/>
      <c r="D20" s="285"/>
      <c r="E20" s="285"/>
      <c r="F20" s="285"/>
      <c r="G20" s="285"/>
      <c r="H20" s="285"/>
      <c r="I20" s="285"/>
      <c r="J20" s="286"/>
      <c r="K20" s="113"/>
      <c r="L20" s="113"/>
      <c r="M20" s="113"/>
      <c r="N20" s="113"/>
      <c r="O20" s="113"/>
      <c r="P20" s="113"/>
      <c r="Q20" s="113"/>
      <c r="R20" s="113"/>
      <c r="S20" s="113"/>
      <c r="T20" s="113"/>
      <c r="U20" s="113"/>
      <c r="V20" s="113"/>
      <c r="W20" s="113"/>
      <c r="X20" s="113"/>
      <c r="Y20" s="113"/>
      <c r="Z20" s="113"/>
    </row>
    <row r="21" spans="1:26" ht="16.5" customHeight="1">
      <c r="A21" s="113"/>
      <c r="B21" s="301" t="s">
        <v>130</v>
      </c>
      <c r="C21" s="222"/>
      <c r="D21" s="222"/>
      <c r="E21" s="222"/>
      <c r="F21" s="222"/>
      <c r="G21" s="222"/>
      <c r="H21" s="222"/>
      <c r="I21" s="222"/>
      <c r="J21" s="223"/>
      <c r="K21" s="113"/>
      <c r="L21" s="113"/>
      <c r="M21" s="113"/>
      <c r="N21" s="113"/>
      <c r="O21" s="113"/>
      <c r="P21" s="113"/>
      <c r="Q21" s="113"/>
      <c r="R21" s="113"/>
      <c r="S21" s="113"/>
      <c r="T21" s="113"/>
      <c r="U21" s="113"/>
      <c r="V21" s="113"/>
      <c r="W21" s="113"/>
      <c r="X21" s="113"/>
      <c r="Y21" s="113"/>
      <c r="Z21" s="113"/>
    </row>
    <row r="22" spans="1:26" ht="16.5" customHeight="1">
      <c r="A22" s="113"/>
      <c r="B22" s="302"/>
      <c r="C22" s="215"/>
      <c r="D22" s="215"/>
      <c r="E22" s="215"/>
      <c r="F22" s="215"/>
      <c r="G22" s="215"/>
      <c r="H22" s="215"/>
      <c r="I22" s="215"/>
      <c r="J22" s="303"/>
      <c r="K22" s="113"/>
      <c r="L22" s="113"/>
      <c r="M22" s="113"/>
      <c r="N22" s="113"/>
      <c r="O22" s="113"/>
      <c r="P22" s="113"/>
      <c r="Q22" s="113"/>
      <c r="R22" s="113"/>
      <c r="S22" s="113"/>
      <c r="T22" s="113"/>
      <c r="U22" s="113"/>
      <c r="V22" s="113"/>
      <c r="W22" s="113"/>
      <c r="X22" s="113"/>
      <c r="Y22" s="113"/>
      <c r="Z22" s="113"/>
    </row>
    <row r="23" spans="1:26" ht="16.5" customHeight="1">
      <c r="A23" s="113"/>
      <c r="B23" s="284"/>
      <c r="C23" s="285"/>
      <c r="D23" s="285"/>
      <c r="E23" s="285"/>
      <c r="F23" s="285"/>
      <c r="G23" s="285"/>
      <c r="H23" s="285"/>
      <c r="I23" s="285"/>
      <c r="J23" s="286"/>
      <c r="K23" s="113"/>
      <c r="L23" s="113"/>
      <c r="M23" s="113"/>
      <c r="N23" s="113"/>
      <c r="O23" s="113"/>
      <c r="P23" s="113"/>
      <c r="Q23" s="113"/>
      <c r="R23" s="113"/>
      <c r="S23" s="113"/>
      <c r="T23" s="113"/>
      <c r="U23" s="113"/>
      <c r="V23" s="113"/>
      <c r="W23" s="113"/>
      <c r="X23" s="113"/>
      <c r="Y23" s="113"/>
      <c r="Z23" s="113"/>
    </row>
    <row r="24" spans="1:26" ht="16.5" customHeight="1">
      <c r="A24" s="113"/>
      <c r="B24" s="301" t="s">
        <v>131</v>
      </c>
      <c r="C24" s="222"/>
      <c r="D24" s="222"/>
      <c r="E24" s="222"/>
      <c r="F24" s="222"/>
      <c r="G24" s="222"/>
      <c r="H24" s="222"/>
      <c r="I24" s="222"/>
      <c r="J24" s="223"/>
      <c r="K24" s="113"/>
      <c r="L24" s="113"/>
      <c r="M24" s="113"/>
      <c r="N24" s="113"/>
      <c r="O24" s="113"/>
      <c r="P24" s="113"/>
      <c r="Q24" s="113"/>
      <c r="R24" s="113"/>
      <c r="S24" s="113"/>
      <c r="T24" s="113"/>
      <c r="U24" s="113"/>
      <c r="V24" s="113"/>
      <c r="W24" s="113"/>
      <c r="X24" s="113"/>
      <c r="Y24" s="113"/>
      <c r="Z24" s="113"/>
    </row>
    <row r="25" spans="1:26" ht="16.5" customHeight="1">
      <c r="A25" s="113"/>
      <c r="B25" s="302"/>
      <c r="C25" s="215"/>
      <c r="D25" s="215"/>
      <c r="E25" s="215"/>
      <c r="F25" s="215"/>
      <c r="G25" s="215"/>
      <c r="H25" s="215"/>
      <c r="I25" s="215"/>
      <c r="J25" s="303"/>
      <c r="K25" s="113"/>
      <c r="L25" s="113"/>
      <c r="M25" s="113"/>
      <c r="N25" s="113"/>
      <c r="O25" s="113"/>
      <c r="P25" s="113"/>
      <c r="Q25" s="113"/>
      <c r="R25" s="113"/>
      <c r="S25" s="113"/>
      <c r="T25" s="113"/>
      <c r="U25" s="113"/>
      <c r="V25" s="113"/>
      <c r="W25" s="113"/>
      <c r="X25" s="113"/>
      <c r="Y25" s="113"/>
      <c r="Z25" s="113"/>
    </row>
    <row r="26" spans="1:26" ht="16.5" customHeight="1">
      <c r="A26" s="113"/>
      <c r="B26" s="284"/>
      <c r="C26" s="285"/>
      <c r="D26" s="285"/>
      <c r="E26" s="285"/>
      <c r="F26" s="285"/>
      <c r="G26" s="285"/>
      <c r="H26" s="285"/>
      <c r="I26" s="285"/>
      <c r="J26" s="286"/>
      <c r="K26" s="113"/>
      <c r="L26" s="113"/>
      <c r="M26" s="113"/>
      <c r="N26" s="113"/>
      <c r="O26" s="113"/>
      <c r="P26" s="113"/>
      <c r="Q26" s="113"/>
      <c r="R26" s="113"/>
      <c r="S26" s="113"/>
      <c r="T26" s="113"/>
      <c r="U26" s="113"/>
      <c r="V26" s="113"/>
      <c r="W26" s="113"/>
      <c r="X26" s="113"/>
      <c r="Y26" s="113"/>
      <c r="Z26" s="113"/>
    </row>
    <row r="27" spans="1:26" ht="16.5" customHeight="1">
      <c r="A27" s="113"/>
      <c r="B27" s="301" t="s">
        <v>132</v>
      </c>
      <c r="C27" s="222"/>
      <c r="D27" s="222"/>
      <c r="E27" s="222"/>
      <c r="F27" s="222"/>
      <c r="G27" s="222"/>
      <c r="H27" s="222"/>
      <c r="I27" s="222"/>
      <c r="J27" s="223"/>
      <c r="K27" s="113"/>
      <c r="L27" s="113"/>
      <c r="M27" s="113"/>
      <c r="N27" s="113"/>
      <c r="O27" s="113"/>
      <c r="P27" s="113"/>
      <c r="Q27" s="113"/>
      <c r="R27" s="113"/>
      <c r="S27" s="113"/>
      <c r="T27" s="113"/>
      <c r="U27" s="113"/>
      <c r="V27" s="113"/>
      <c r="W27" s="113"/>
      <c r="X27" s="113"/>
      <c r="Y27" s="113"/>
      <c r="Z27" s="113"/>
    </row>
    <row r="28" spans="1:26" ht="16.5" customHeight="1">
      <c r="A28" s="113"/>
      <c r="B28" s="302"/>
      <c r="C28" s="215"/>
      <c r="D28" s="215"/>
      <c r="E28" s="215"/>
      <c r="F28" s="215"/>
      <c r="G28" s="215"/>
      <c r="H28" s="215"/>
      <c r="I28" s="215"/>
      <c r="J28" s="303"/>
      <c r="K28" s="113"/>
      <c r="L28" s="113"/>
      <c r="M28" s="113"/>
      <c r="N28" s="113"/>
      <c r="O28" s="113"/>
      <c r="P28" s="113"/>
      <c r="Q28" s="113"/>
      <c r="R28" s="113"/>
      <c r="S28" s="113"/>
      <c r="T28" s="113"/>
      <c r="U28" s="113"/>
      <c r="V28" s="113"/>
      <c r="W28" s="113"/>
      <c r="X28" s="113"/>
      <c r="Y28" s="113"/>
      <c r="Z28" s="113"/>
    </row>
    <row r="29" spans="1:26" ht="16.5" customHeight="1">
      <c r="A29" s="113"/>
      <c r="B29" s="284"/>
      <c r="C29" s="285"/>
      <c r="D29" s="285"/>
      <c r="E29" s="285"/>
      <c r="F29" s="285"/>
      <c r="G29" s="285"/>
      <c r="H29" s="285"/>
      <c r="I29" s="285"/>
      <c r="J29" s="286"/>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133</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65625" defaultRowHeight="15" customHeight="1"/>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304" t="s">
        <v>135</v>
      </c>
      <c r="C2" s="215"/>
      <c r="D2" s="215"/>
      <c r="E2" s="215"/>
      <c r="F2" s="215"/>
      <c r="G2" s="215"/>
      <c r="H2" s="215"/>
      <c r="I2" s="215"/>
      <c r="J2" s="215"/>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44497</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111</v>
      </c>
      <c r="J6" s="113"/>
      <c r="K6" s="113"/>
      <c r="L6" s="113"/>
      <c r="M6" s="113"/>
      <c r="N6" s="113"/>
      <c r="O6" s="113"/>
      <c r="P6" s="113"/>
      <c r="Q6" s="113"/>
      <c r="R6" s="113"/>
      <c r="S6" s="113"/>
      <c r="T6" s="113"/>
      <c r="U6" s="113"/>
      <c r="V6" s="113"/>
      <c r="W6" s="113"/>
      <c r="X6" s="113"/>
      <c r="Y6" s="113"/>
      <c r="Z6" s="113"/>
    </row>
    <row r="7" spans="1:26" ht="20.399999999999999">
      <c r="A7" s="113"/>
      <c r="B7" s="118" t="s">
        <v>92</v>
      </c>
      <c r="C7" s="117" t="s">
        <v>112</v>
      </c>
      <c r="D7" s="118" t="s">
        <v>113</v>
      </c>
      <c r="E7" s="119" t="s">
        <v>114</v>
      </c>
      <c r="F7" s="113"/>
      <c r="G7" s="120" t="s">
        <v>115</v>
      </c>
      <c r="H7" s="118">
        <f>'VAL 3 TRIM'!$AO$9</f>
        <v>0</v>
      </c>
      <c r="I7" s="121">
        <f>H7/H11</f>
        <v>0</v>
      </c>
      <c r="J7" s="113"/>
      <c r="K7" s="113"/>
      <c r="L7" s="113"/>
      <c r="M7" s="113"/>
      <c r="N7" s="113"/>
      <c r="O7" s="113"/>
      <c r="P7" s="113"/>
      <c r="Q7" s="113"/>
      <c r="R7" s="113"/>
      <c r="S7" s="113"/>
      <c r="T7" s="113"/>
      <c r="U7" s="113"/>
      <c r="V7" s="113"/>
      <c r="W7" s="113"/>
      <c r="X7" s="113"/>
      <c r="Y7" s="113"/>
      <c r="Z7" s="113"/>
    </row>
    <row r="8" spans="1:26" ht="20.399999999999999">
      <c r="A8" s="113"/>
      <c r="B8" s="118" t="s">
        <v>93</v>
      </c>
      <c r="C8" s="117" t="s">
        <v>116</v>
      </c>
      <c r="D8" s="118" t="s">
        <v>117</v>
      </c>
      <c r="E8" s="119" t="s">
        <v>118</v>
      </c>
      <c r="F8" s="113"/>
      <c r="G8" s="120" t="s">
        <v>119</v>
      </c>
      <c r="H8" s="118">
        <f>'VAL 3 TRIM'!$AO$10</f>
        <v>0</v>
      </c>
      <c r="I8" s="121">
        <f>H8/H11</f>
        <v>0</v>
      </c>
      <c r="J8" s="113"/>
      <c r="K8" s="113"/>
      <c r="L8" s="113"/>
      <c r="M8" s="113"/>
      <c r="N8" s="113"/>
      <c r="O8" s="113"/>
      <c r="P8" s="113"/>
      <c r="Q8" s="113"/>
      <c r="R8" s="113"/>
      <c r="S8" s="113"/>
      <c r="T8" s="113"/>
      <c r="U8" s="113"/>
      <c r="V8" s="113"/>
      <c r="W8" s="113"/>
      <c r="X8" s="113"/>
      <c r="Y8" s="113"/>
      <c r="Z8" s="113"/>
    </row>
    <row r="9" spans="1:26" ht="20.399999999999999">
      <c r="A9" s="113"/>
      <c r="B9" s="118" t="s">
        <v>94</v>
      </c>
      <c r="C9" s="117" t="s">
        <v>120</v>
      </c>
      <c r="D9" s="118" t="s">
        <v>121</v>
      </c>
      <c r="E9" s="119" t="s">
        <v>118</v>
      </c>
      <c r="F9" s="113"/>
      <c r="G9" s="122" t="s">
        <v>122</v>
      </c>
      <c r="H9" s="118">
        <f>'VAL 3 TRIM'!$AO$11</f>
        <v>0</v>
      </c>
      <c r="I9" s="121">
        <f>H9/H11</f>
        <v>0</v>
      </c>
      <c r="J9" s="113"/>
      <c r="K9" s="113"/>
      <c r="L9" s="113"/>
      <c r="M9" s="113"/>
      <c r="N9" s="113"/>
      <c r="O9" s="113"/>
      <c r="P9" s="113"/>
      <c r="Q9" s="113"/>
      <c r="R9" s="113"/>
      <c r="S9" s="113"/>
      <c r="T9" s="113"/>
      <c r="U9" s="113"/>
      <c r="V9" s="113"/>
      <c r="W9" s="113"/>
      <c r="X9" s="113"/>
      <c r="Y9" s="113"/>
      <c r="Z9" s="113"/>
    </row>
    <row r="10" spans="1:26" ht="20.399999999999999">
      <c r="A10" s="113"/>
      <c r="B10" s="118" t="s">
        <v>95</v>
      </c>
      <c r="C10" s="117" t="s">
        <v>123</v>
      </c>
      <c r="D10" s="118" t="s">
        <v>124</v>
      </c>
      <c r="E10" s="119" t="s">
        <v>118</v>
      </c>
      <c r="F10" s="113"/>
      <c r="G10" s="122" t="s">
        <v>125</v>
      </c>
      <c r="H10" s="118">
        <f>'VAL 3 TRIM'!$AO$12</f>
        <v>36</v>
      </c>
      <c r="I10" s="121">
        <f>H10/H11</f>
        <v>1</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126</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305" t="s">
        <v>127</v>
      </c>
      <c r="C13" s="215"/>
      <c r="D13" s="215"/>
      <c r="E13" s="215"/>
      <c r="F13" s="215"/>
      <c r="G13" s="215"/>
      <c r="H13" s="215"/>
      <c r="I13" s="215"/>
      <c r="J13" s="215"/>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301" t="s">
        <v>128</v>
      </c>
      <c r="C15" s="222"/>
      <c r="D15" s="222"/>
      <c r="E15" s="222"/>
      <c r="F15" s="222"/>
      <c r="G15" s="222"/>
      <c r="H15" s="222"/>
      <c r="I15" s="222"/>
      <c r="J15" s="223"/>
      <c r="K15" s="113"/>
      <c r="L15" s="113"/>
      <c r="M15" s="113"/>
      <c r="N15" s="113"/>
      <c r="O15" s="113"/>
      <c r="P15" s="113"/>
      <c r="Q15" s="113"/>
      <c r="R15" s="113"/>
      <c r="S15" s="113"/>
      <c r="T15" s="113"/>
      <c r="U15" s="113"/>
      <c r="V15" s="113"/>
      <c r="W15" s="113"/>
      <c r="X15" s="113"/>
      <c r="Y15" s="113"/>
      <c r="Z15" s="113"/>
    </row>
    <row r="16" spans="1:26" ht="16.5" customHeight="1">
      <c r="A16" s="113"/>
      <c r="B16" s="302"/>
      <c r="C16" s="215"/>
      <c r="D16" s="215"/>
      <c r="E16" s="215"/>
      <c r="F16" s="215"/>
      <c r="G16" s="215"/>
      <c r="H16" s="215"/>
      <c r="I16" s="215"/>
      <c r="J16" s="303"/>
      <c r="K16" s="113"/>
      <c r="L16" s="113"/>
      <c r="M16" s="113"/>
      <c r="N16" s="113"/>
      <c r="O16" s="113"/>
      <c r="P16" s="113"/>
      <c r="Q16" s="113"/>
      <c r="R16" s="113"/>
      <c r="S16" s="113"/>
      <c r="T16" s="113"/>
      <c r="U16" s="113"/>
      <c r="V16" s="113"/>
      <c r="W16" s="113"/>
      <c r="X16" s="113"/>
      <c r="Y16" s="113"/>
      <c r="Z16" s="113"/>
    </row>
    <row r="17" spans="1:26" ht="16.5" customHeight="1">
      <c r="A17" s="113"/>
      <c r="B17" s="284"/>
      <c r="C17" s="285"/>
      <c r="D17" s="285"/>
      <c r="E17" s="285"/>
      <c r="F17" s="285"/>
      <c r="G17" s="285"/>
      <c r="H17" s="285"/>
      <c r="I17" s="285"/>
      <c r="J17" s="286"/>
      <c r="K17" s="113"/>
      <c r="L17" s="113"/>
      <c r="M17" s="113"/>
      <c r="N17" s="113"/>
      <c r="O17" s="113"/>
      <c r="P17" s="113"/>
      <c r="Q17" s="113"/>
      <c r="R17" s="113"/>
      <c r="S17" s="113"/>
      <c r="T17" s="113"/>
      <c r="U17" s="113"/>
      <c r="V17" s="113"/>
      <c r="W17" s="113"/>
      <c r="X17" s="113"/>
      <c r="Y17" s="113"/>
      <c r="Z17" s="113"/>
    </row>
    <row r="18" spans="1:26" ht="16.5" customHeight="1">
      <c r="A18" s="113"/>
      <c r="B18" s="301" t="s">
        <v>129</v>
      </c>
      <c r="C18" s="222"/>
      <c r="D18" s="222"/>
      <c r="E18" s="222"/>
      <c r="F18" s="222"/>
      <c r="G18" s="222"/>
      <c r="H18" s="222"/>
      <c r="I18" s="222"/>
      <c r="J18" s="223"/>
      <c r="K18" s="113"/>
      <c r="L18" s="113"/>
      <c r="M18" s="113"/>
      <c r="N18" s="113"/>
      <c r="O18" s="113"/>
      <c r="P18" s="113"/>
      <c r="Q18" s="113"/>
      <c r="R18" s="113"/>
      <c r="S18" s="113"/>
      <c r="T18" s="113"/>
      <c r="U18" s="113"/>
      <c r="V18" s="113"/>
      <c r="W18" s="113"/>
      <c r="X18" s="113"/>
      <c r="Y18" s="113"/>
      <c r="Z18" s="113"/>
    </row>
    <row r="19" spans="1:26" ht="16.5" customHeight="1">
      <c r="A19" s="113"/>
      <c r="B19" s="302"/>
      <c r="C19" s="215"/>
      <c r="D19" s="215"/>
      <c r="E19" s="215"/>
      <c r="F19" s="215"/>
      <c r="G19" s="215"/>
      <c r="H19" s="215"/>
      <c r="I19" s="215"/>
      <c r="J19" s="303"/>
      <c r="K19" s="113"/>
      <c r="L19" s="113"/>
      <c r="M19" s="113"/>
      <c r="N19" s="113"/>
      <c r="O19" s="113"/>
      <c r="P19" s="113"/>
      <c r="Q19" s="113"/>
      <c r="R19" s="113"/>
      <c r="S19" s="113"/>
      <c r="T19" s="113"/>
      <c r="U19" s="113"/>
      <c r="V19" s="113"/>
      <c r="W19" s="113"/>
      <c r="X19" s="113"/>
      <c r="Y19" s="113"/>
      <c r="Z19" s="113"/>
    </row>
    <row r="20" spans="1:26" ht="16.5" customHeight="1">
      <c r="A20" s="113"/>
      <c r="B20" s="284"/>
      <c r="C20" s="285"/>
      <c r="D20" s="285"/>
      <c r="E20" s="285"/>
      <c r="F20" s="285"/>
      <c r="G20" s="285"/>
      <c r="H20" s="285"/>
      <c r="I20" s="285"/>
      <c r="J20" s="286"/>
      <c r="K20" s="113"/>
      <c r="L20" s="113"/>
      <c r="M20" s="113"/>
      <c r="N20" s="113"/>
      <c r="O20" s="113"/>
      <c r="P20" s="113"/>
      <c r="Q20" s="113"/>
      <c r="R20" s="113"/>
      <c r="S20" s="113"/>
      <c r="T20" s="113"/>
      <c r="U20" s="113"/>
      <c r="V20" s="113"/>
      <c r="W20" s="113"/>
      <c r="X20" s="113"/>
      <c r="Y20" s="113"/>
      <c r="Z20" s="113"/>
    </row>
    <row r="21" spans="1:26" ht="16.5" customHeight="1">
      <c r="A21" s="113"/>
      <c r="B21" s="301" t="s">
        <v>130</v>
      </c>
      <c r="C21" s="222"/>
      <c r="D21" s="222"/>
      <c r="E21" s="222"/>
      <c r="F21" s="222"/>
      <c r="G21" s="222"/>
      <c r="H21" s="222"/>
      <c r="I21" s="222"/>
      <c r="J21" s="223"/>
      <c r="K21" s="113"/>
      <c r="L21" s="113"/>
      <c r="M21" s="113"/>
      <c r="N21" s="113"/>
      <c r="O21" s="113"/>
      <c r="P21" s="113"/>
      <c r="Q21" s="113"/>
      <c r="R21" s="113"/>
      <c r="S21" s="113"/>
      <c r="T21" s="113"/>
      <c r="U21" s="113"/>
      <c r="V21" s="113"/>
      <c r="W21" s="113"/>
      <c r="X21" s="113"/>
      <c r="Y21" s="113"/>
      <c r="Z21" s="113"/>
    </row>
    <row r="22" spans="1:26" ht="16.5" customHeight="1">
      <c r="A22" s="113"/>
      <c r="B22" s="302"/>
      <c r="C22" s="215"/>
      <c r="D22" s="215"/>
      <c r="E22" s="215"/>
      <c r="F22" s="215"/>
      <c r="G22" s="215"/>
      <c r="H22" s="215"/>
      <c r="I22" s="215"/>
      <c r="J22" s="303"/>
      <c r="K22" s="113"/>
      <c r="L22" s="113"/>
      <c r="M22" s="113"/>
      <c r="N22" s="113"/>
      <c r="O22" s="113"/>
      <c r="P22" s="113"/>
      <c r="Q22" s="113"/>
      <c r="R22" s="113"/>
      <c r="S22" s="113"/>
      <c r="T22" s="113"/>
      <c r="U22" s="113"/>
      <c r="V22" s="113"/>
      <c r="W22" s="113"/>
      <c r="X22" s="113"/>
      <c r="Y22" s="113"/>
      <c r="Z22" s="113"/>
    </row>
    <row r="23" spans="1:26" ht="16.5" customHeight="1">
      <c r="A23" s="113"/>
      <c r="B23" s="284"/>
      <c r="C23" s="285"/>
      <c r="D23" s="285"/>
      <c r="E23" s="285"/>
      <c r="F23" s="285"/>
      <c r="G23" s="285"/>
      <c r="H23" s="285"/>
      <c r="I23" s="285"/>
      <c r="J23" s="286"/>
      <c r="K23" s="113"/>
      <c r="L23" s="113"/>
      <c r="M23" s="113"/>
      <c r="N23" s="113"/>
      <c r="O23" s="113"/>
      <c r="P23" s="113"/>
      <c r="Q23" s="113"/>
      <c r="R23" s="113"/>
      <c r="S23" s="113"/>
      <c r="T23" s="113"/>
      <c r="U23" s="113"/>
      <c r="V23" s="113"/>
      <c r="W23" s="113"/>
      <c r="X23" s="113"/>
      <c r="Y23" s="113"/>
      <c r="Z23" s="113"/>
    </row>
    <row r="24" spans="1:26" ht="16.5" customHeight="1">
      <c r="A24" s="113"/>
      <c r="B24" s="301" t="s">
        <v>131</v>
      </c>
      <c r="C24" s="222"/>
      <c r="D24" s="222"/>
      <c r="E24" s="222"/>
      <c r="F24" s="222"/>
      <c r="G24" s="222"/>
      <c r="H24" s="222"/>
      <c r="I24" s="222"/>
      <c r="J24" s="223"/>
      <c r="K24" s="113"/>
      <c r="L24" s="113"/>
      <c r="M24" s="113"/>
      <c r="N24" s="113"/>
      <c r="O24" s="113"/>
      <c r="P24" s="113"/>
      <c r="Q24" s="113"/>
      <c r="R24" s="113"/>
      <c r="S24" s="113"/>
      <c r="T24" s="113"/>
      <c r="U24" s="113"/>
      <c r="V24" s="113"/>
      <c r="W24" s="113"/>
      <c r="X24" s="113"/>
      <c r="Y24" s="113"/>
      <c r="Z24" s="113"/>
    </row>
    <row r="25" spans="1:26" ht="16.5" customHeight="1">
      <c r="A25" s="113"/>
      <c r="B25" s="302"/>
      <c r="C25" s="215"/>
      <c r="D25" s="215"/>
      <c r="E25" s="215"/>
      <c r="F25" s="215"/>
      <c r="G25" s="215"/>
      <c r="H25" s="215"/>
      <c r="I25" s="215"/>
      <c r="J25" s="303"/>
      <c r="K25" s="113"/>
      <c r="L25" s="113"/>
      <c r="M25" s="113"/>
      <c r="N25" s="113"/>
      <c r="O25" s="113"/>
      <c r="P25" s="113"/>
      <c r="Q25" s="113"/>
      <c r="R25" s="113"/>
      <c r="S25" s="113"/>
      <c r="T25" s="113"/>
      <c r="U25" s="113"/>
      <c r="V25" s="113"/>
      <c r="W25" s="113"/>
      <c r="X25" s="113"/>
      <c r="Y25" s="113"/>
      <c r="Z25" s="113"/>
    </row>
    <row r="26" spans="1:26" ht="16.5" customHeight="1">
      <c r="A26" s="113"/>
      <c r="B26" s="284"/>
      <c r="C26" s="285"/>
      <c r="D26" s="285"/>
      <c r="E26" s="285"/>
      <c r="F26" s="285"/>
      <c r="G26" s="285"/>
      <c r="H26" s="285"/>
      <c r="I26" s="285"/>
      <c r="J26" s="286"/>
      <c r="K26" s="113"/>
      <c r="L26" s="113"/>
      <c r="M26" s="113"/>
      <c r="N26" s="113"/>
      <c r="O26" s="113"/>
      <c r="P26" s="113"/>
      <c r="Q26" s="113"/>
      <c r="R26" s="113"/>
      <c r="S26" s="113"/>
      <c r="T26" s="113"/>
      <c r="U26" s="113"/>
      <c r="V26" s="113"/>
      <c r="W26" s="113"/>
      <c r="X26" s="113"/>
      <c r="Y26" s="113"/>
      <c r="Z26" s="113"/>
    </row>
    <row r="27" spans="1:26" ht="16.5" customHeight="1">
      <c r="A27" s="113"/>
      <c r="B27" s="301" t="s">
        <v>132</v>
      </c>
      <c r="C27" s="222"/>
      <c r="D27" s="222"/>
      <c r="E27" s="222"/>
      <c r="F27" s="222"/>
      <c r="G27" s="222"/>
      <c r="H27" s="222"/>
      <c r="I27" s="222"/>
      <c r="J27" s="223"/>
      <c r="K27" s="113"/>
      <c r="L27" s="113"/>
      <c r="M27" s="113"/>
      <c r="N27" s="113"/>
      <c r="O27" s="113"/>
      <c r="P27" s="113"/>
      <c r="Q27" s="113"/>
      <c r="R27" s="113"/>
      <c r="S27" s="113"/>
      <c r="T27" s="113"/>
      <c r="U27" s="113"/>
      <c r="V27" s="113"/>
      <c r="W27" s="113"/>
      <c r="X27" s="113"/>
      <c r="Y27" s="113"/>
      <c r="Z27" s="113"/>
    </row>
    <row r="28" spans="1:26" ht="16.5" customHeight="1">
      <c r="A28" s="113"/>
      <c r="B28" s="302"/>
      <c r="C28" s="215"/>
      <c r="D28" s="215"/>
      <c r="E28" s="215"/>
      <c r="F28" s="215"/>
      <c r="G28" s="215"/>
      <c r="H28" s="215"/>
      <c r="I28" s="215"/>
      <c r="J28" s="303"/>
      <c r="K28" s="113"/>
      <c r="L28" s="113"/>
      <c r="M28" s="113"/>
      <c r="N28" s="113"/>
      <c r="O28" s="113"/>
      <c r="P28" s="113"/>
      <c r="Q28" s="113"/>
      <c r="R28" s="113"/>
      <c r="S28" s="113"/>
      <c r="T28" s="113"/>
      <c r="U28" s="113"/>
      <c r="V28" s="113"/>
      <c r="W28" s="113"/>
      <c r="X28" s="113"/>
      <c r="Y28" s="113"/>
      <c r="Z28" s="113"/>
    </row>
    <row r="29" spans="1:26" ht="16.5" customHeight="1">
      <c r="A29" s="113"/>
      <c r="B29" s="284"/>
      <c r="C29" s="285"/>
      <c r="D29" s="285"/>
      <c r="E29" s="285"/>
      <c r="F29" s="285"/>
      <c r="G29" s="285"/>
      <c r="H29" s="285"/>
      <c r="I29" s="285"/>
      <c r="J29" s="286"/>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133</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65625" defaultRowHeight="15" customHeight="1"/>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219" t="s">
        <v>136</v>
      </c>
      <c r="D2" s="215"/>
      <c r="E2" s="215"/>
      <c r="F2" s="215"/>
      <c r="G2" s="215"/>
      <c r="H2" s="215"/>
      <c r="I2" s="215"/>
      <c r="J2" s="215"/>
      <c r="K2" s="215"/>
      <c r="L2" s="215"/>
      <c r="M2" s="215"/>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19</v>
      </c>
      <c r="K3" s="40" t="str">
        <f>CARÁTULA!$C$25</f>
        <v>Tecnica Tecnologica (Programacion)</v>
      </c>
      <c r="L3" s="40"/>
      <c r="M3" s="40"/>
      <c r="N3" s="40"/>
      <c r="O3" s="41"/>
      <c r="P3" s="41"/>
      <c r="Q3" s="41"/>
      <c r="R3" s="41"/>
      <c r="S3" s="41"/>
      <c r="T3" s="41"/>
      <c r="U3" s="41"/>
      <c r="V3" s="41"/>
      <c r="W3" s="41"/>
      <c r="X3" s="41"/>
      <c r="Y3" s="41"/>
      <c r="Z3" s="41"/>
    </row>
    <row r="4" spans="1:26" ht="13.5" customHeight="1">
      <c r="A4" s="41"/>
      <c r="B4" s="126" t="s">
        <v>14</v>
      </c>
      <c r="C4" s="41"/>
      <c r="D4" s="41"/>
      <c r="E4" s="41" t="str">
        <f>CARÁTULA!$C$21</f>
        <v>Secundaria</v>
      </c>
      <c r="F4" s="41"/>
      <c r="G4" s="41"/>
      <c r="H4" s="41"/>
      <c r="I4" s="41"/>
      <c r="J4" s="44" t="s">
        <v>50</v>
      </c>
      <c r="K4" s="40" t="str">
        <f>CARÁTULA!$C$19</f>
        <v>JOSE COAQUIRA COPA</v>
      </c>
      <c r="L4" s="40"/>
      <c r="M4" s="40"/>
      <c r="N4" s="40"/>
      <c r="O4" s="41"/>
      <c r="P4" s="41"/>
      <c r="Q4" s="41"/>
      <c r="R4" s="41"/>
      <c r="S4" s="41"/>
      <c r="T4" s="41"/>
      <c r="U4" s="41"/>
      <c r="V4" s="41"/>
      <c r="W4" s="41"/>
      <c r="X4" s="41"/>
      <c r="Y4" s="41"/>
      <c r="Z4" s="41"/>
    </row>
    <row r="5" spans="1:26" ht="13.5" customHeight="1">
      <c r="A5" s="41"/>
      <c r="B5" s="126" t="s">
        <v>22</v>
      </c>
      <c r="C5" s="41"/>
      <c r="D5" s="41"/>
      <c r="E5" s="41" t="str">
        <f>CARÁTULA!$C$23</f>
        <v>1ro de Secundaria</v>
      </c>
      <c r="F5" s="41"/>
      <c r="G5" s="41"/>
      <c r="H5" s="41"/>
      <c r="I5" s="41"/>
      <c r="J5" s="44" t="s">
        <v>23</v>
      </c>
      <c r="K5" s="68">
        <f ca="1">TODAY()</f>
        <v>44497</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234" t="s">
        <v>137</v>
      </c>
      <c r="D10" s="215"/>
      <c r="E10" s="127"/>
      <c r="F10" s="41"/>
      <c r="G10" s="44" t="s">
        <v>138</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139</v>
      </c>
      <c r="D11" s="41"/>
      <c r="E11" s="129">
        <f>'CENTRAL 2'!$I$9</f>
        <v>31</v>
      </c>
      <c r="F11" s="127"/>
      <c r="G11" s="130">
        <f t="shared" ref="G11:G12" si="0">E11/$E$13</f>
        <v>0.86111111111111116</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140</v>
      </c>
      <c r="D12" s="41"/>
      <c r="E12" s="132">
        <f>'CENTRAL 2'!$I$13</f>
        <v>5</v>
      </c>
      <c r="F12" s="127"/>
      <c r="G12" s="130">
        <f t="shared" si="0"/>
        <v>0.1388888888888889</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141</v>
      </c>
      <c r="D13" s="133"/>
      <c r="E13" s="134">
        <f>SUM(E11:E12)</f>
        <v>36</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234" t="s">
        <v>142</v>
      </c>
      <c r="D23" s="215"/>
      <c r="E23" s="41"/>
      <c r="F23" s="41"/>
      <c r="G23" s="44" t="s">
        <v>143</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139</v>
      </c>
      <c r="D24" s="41"/>
      <c r="E24" s="129">
        <f>'CENTRAL 2'!$J$9</f>
        <v>35</v>
      </c>
      <c r="F24" s="41"/>
      <c r="G24" s="130">
        <f t="shared" ref="G24:G25" si="1">E24/$E$26</f>
        <v>0.97222222222222221</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140</v>
      </c>
      <c r="D25" s="41"/>
      <c r="E25" s="132">
        <f>'CENTRAL 2'!$J$13</f>
        <v>1</v>
      </c>
      <c r="F25" s="41"/>
      <c r="G25" s="130">
        <f t="shared" si="1"/>
        <v>2.7777777777777776E-2</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141</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234" t="s">
        <v>144</v>
      </c>
      <c r="D35" s="215"/>
      <c r="E35" s="41"/>
      <c r="F35" s="41"/>
      <c r="G35" s="126" t="s">
        <v>145</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139</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140</v>
      </c>
      <c r="D37" s="41"/>
      <c r="E37" s="132">
        <f>'CENTRAL 2'!$K$13</f>
        <v>0</v>
      </c>
      <c r="F37" s="41"/>
      <c r="G37" s="130">
        <f t="shared" si="2"/>
        <v>0</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141</v>
      </c>
      <c r="D38" s="41"/>
      <c r="E38" s="134">
        <f>SUM(E36:E37)</f>
        <v>36</v>
      </c>
      <c r="F38" s="41"/>
      <c r="G38" s="130">
        <f>SUM(G36:G37)</f>
        <v>1</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65625" defaultRowHeight="15" customHeight="1"/>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307" t="s">
        <v>146</v>
      </c>
      <c r="D2" s="215"/>
      <c r="E2" s="215"/>
      <c r="F2" s="215"/>
      <c r="G2" s="215"/>
      <c r="H2" s="215"/>
      <c r="I2" s="215"/>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19</v>
      </c>
      <c r="H3" s="136" t="str">
        <f>CARÁTULA!$C$25</f>
        <v>Tecnica Tecnologica (Programacion)</v>
      </c>
      <c r="I3" s="136"/>
      <c r="J3" s="136"/>
      <c r="K3" s="131"/>
      <c r="L3" s="131"/>
      <c r="M3" s="131"/>
      <c r="N3" s="131"/>
      <c r="O3" s="131"/>
      <c r="P3" s="131"/>
      <c r="Q3" s="131"/>
      <c r="R3" s="131"/>
      <c r="S3" s="131"/>
      <c r="T3" s="131"/>
      <c r="U3" s="131"/>
      <c r="V3" s="131"/>
      <c r="W3" s="131"/>
      <c r="X3" s="131"/>
      <c r="Y3" s="131"/>
      <c r="Z3" s="131"/>
    </row>
    <row r="4" spans="1:26" ht="13.5" customHeight="1">
      <c r="A4" s="131"/>
      <c r="B4" s="135" t="s">
        <v>14</v>
      </c>
      <c r="C4" s="136"/>
      <c r="D4" s="136"/>
      <c r="E4" s="136" t="str">
        <f>CARÁTULA!$C$21</f>
        <v>Secundaria</v>
      </c>
      <c r="F4" s="136"/>
      <c r="G4" s="135" t="s">
        <v>50</v>
      </c>
      <c r="H4" s="136" t="str">
        <f>CARÁTULA!$C$19</f>
        <v>JOSE COAQUIRA COPA</v>
      </c>
      <c r="I4" s="136"/>
      <c r="J4" s="136"/>
      <c r="K4" s="131"/>
      <c r="L4" s="131"/>
      <c r="M4" s="131"/>
      <c r="N4" s="131"/>
      <c r="O4" s="131"/>
      <c r="P4" s="131"/>
      <c r="Q4" s="131"/>
      <c r="R4" s="131"/>
      <c r="S4" s="131"/>
      <c r="T4" s="131"/>
      <c r="U4" s="131"/>
      <c r="V4" s="131"/>
      <c r="W4" s="131"/>
      <c r="X4" s="131"/>
      <c r="Y4" s="131"/>
      <c r="Z4" s="131"/>
    </row>
    <row r="5" spans="1:26" ht="13.5" customHeight="1">
      <c r="A5" s="131"/>
      <c r="B5" s="135" t="s">
        <v>22</v>
      </c>
      <c r="C5" s="136"/>
      <c r="D5" s="136"/>
      <c r="E5" s="136" t="str">
        <f>CARÁTULA!$C$23</f>
        <v>1ro de Secundaria</v>
      </c>
      <c r="F5" s="136"/>
      <c r="G5" s="135" t="s">
        <v>23</v>
      </c>
      <c r="H5" s="137">
        <f ca="1">TODAY()</f>
        <v>44497</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138"/>
      <c r="D7" s="138"/>
      <c r="E7" s="138"/>
      <c r="F7" s="138"/>
      <c r="G7" s="138"/>
      <c r="H7" s="138"/>
      <c r="I7" s="138"/>
      <c r="J7" s="138"/>
      <c r="K7" s="131"/>
      <c r="L7" s="131"/>
      <c r="M7" s="131"/>
      <c r="N7" s="131"/>
      <c r="O7" s="131"/>
      <c r="P7" s="131"/>
      <c r="Q7" s="131"/>
      <c r="R7" s="131"/>
      <c r="S7" s="131"/>
      <c r="T7" s="131"/>
      <c r="U7" s="131"/>
      <c r="V7" s="131"/>
      <c r="W7" s="131"/>
      <c r="X7" s="131"/>
      <c r="Y7" s="131"/>
      <c r="Z7" s="131"/>
    </row>
    <row r="8" spans="1:26" ht="13.5" customHeight="1">
      <c r="A8" s="131"/>
      <c r="B8" s="131"/>
      <c r="C8" s="306" t="s">
        <v>147</v>
      </c>
      <c r="D8" s="139" t="s">
        <v>148</v>
      </c>
      <c r="E8" s="139" t="s">
        <v>149</v>
      </c>
      <c r="F8" s="140" t="s">
        <v>150</v>
      </c>
      <c r="G8" s="139" t="s">
        <v>151</v>
      </c>
      <c r="H8" s="139" t="s">
        <v>152</v>
      </c>
      <c r="I8" s="131"/>
      <c r="J8" s="131"/>
      <c r="K8" s="131"/>
      <c r="L8" s="131"/>
      <c r="M8" s="131"/>
      <c r="N8" s="131"/>
      <c r="O8" s="131"/>
      <c r="P8" s="131"/>
      <c r="Q8" s="131"/>
      <c r="R8" s="131"/>
      <c r="S8" s="131"/>
      <c r="T8" s="131"/>
      <c r="U8" s="131"/>
      <c r="V8" s="131"/>
      <c r="W8" s="131"/>
      <c r="X8" s="131"/>
      <c r="Y8" s="131"/>
      <c r="Z8" s="131"/>
    </row>
    <row r="9" spans="1:26" ht="13.5" customHeight="1">
      <c r="A9" s="131"/>
      <c r="B9" s="131"/>
      <c r="C9" s="293"/>
      <c r="D9" s="141" t="s">
        <v>153</v>
      </c>
      <c r="E9" s="118">
        <v>3</v>
      </c>
      <c r="F9" s="142">
        <v>20</v>
      </c>
      <c r="G9" s="142">
        <v>19</v>
      </c>
      <c r="H9" s="121">
        <f t="shared" ref="H9:H11" si="0">G9/$G$12</f>
        <v>0.43181818181818182</v>
      </c>
      <c r="I9" s="131"/>
      <c r="J9" s="131"/>
      <c r="K9" s="131"/>
      <c r="L9" s="131"/>
      <c r="M9" s="131"/>
      <c r="N9" s="131"/>
      <c r="O9" s="131"/>
      <c r="P9" s="131"/>
      <c r="Q9" s="131"/>
      <c r="R9" s="131"/>
      <c r="S9" s="131"/>
      <c r="T9" s="131"/>
      <c r="U9" s="131"/>
      <c r="V9" s="131"/>
      <c r="W9" s="131"/>
      <c r="X9" s="131"/>
      <c r="Y9" s="131"/>
      <c r="Z9" s="131"/>
    </row>
    <row r="10" spans="1:26" ht="13.5" customHeight="1">
      <c r="A10" s="131"/>
      <c r="B10" s="131"/>
      <c r="C10" s="293"/>
      <c r="D10" s="141" t="s">
        <v>154</v>
      </c>
      <c r="E10" s="118">
        <v>2</v>
      </c>
      <c r="F10" s="142">
        <v>13</v>
      </c>
      <c r="G10" s="142">
        <v>13</v>
      </c>
      <c r="H10" s="121">
        <f t="shared" si="0"/>
        <v>0.29545454545454547</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293"/>
      <c r="D11" s="141" t="s">
        <v>155</v>
      </c>
      <c r="E11" s="118">
        <v>2</v>
      </c>
      <c r="F11" s="142">
        <v>12</v>
      </c>
      <c r="G11" s="142">
        <v>12</v>
      </c>
      <c r="H11" s="121">
        <f t="shared" si="0"/>
        <v>0.27272727272727271</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275"/>
      <c r="D12" s="143"/>
      <c r="E12" s="144">
        <f t="shared" ref="E12:H12" si="1">SUM(E9:E11)</f>
        <v>7</v>
      </c>
      <c r="F12" s="145">
        <f t="shared" si="1"/>
        <v>45</v>
      </c>
      <c r="G12" s="144">
        <f t="shared" si="1"/>
        <v>44</v>
      </c>
      <c r="H12" s="130">
        <f t="shared" si="1"/>
        <v>1</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306" t="s">
        <v>156</v>
      </c>
      <c r="D15" s="139" t="s">
        <v>148</v>
      </c>
      <c r="E15" s="139" t="s">
        <v>149</v>
      </c>
      <c r="F15" s="140" t="s">
        <v>150</v>
      </c>
      <c r="G15" s="139" t="s">
        <v>151</v>
      </c>
      <c r="H15" s="139" t="s">
        <v>152</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293"/>
      <c r="D16" s="141" t="s">
        <v>153</v>
      </c>
      <c r="E16" s="118">
        <v>3</v>
      </c>
      <c r="F16" s="142">
        <v>12</v>
      </c>
      <c r="G16" s="142">
        <v>12</v>
      </c>
      <c r="H16" s="121">
        <f t="shared" ref="H16:H18" si="2">G16/$G$19</f>
        <v>0.33333333333333331</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293"/>
      <c r="D17" s="141" t="s">
        <v>154</v>
      </c>
      <c r="E17" s="118">
        <v>4</v>
      </c>
      <c r="F17" s="142">
        <v>11</v>
      </c>
      <c r="G17" s="142">
        <v>11</v>
      </c>
      <c r="H17" s="121">
        <f t="shared" si="2"/>
        <v>0.30555555555555558</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293"/>
      <c r="D18" s="141" t="s">
        <v>155</v>
      </c>
      <c r="E18" s="118">
        <v>5</v>
      </c>
      <c r="F18" s="142">
        <v>13</v>
      </c>
      <c r="G18" s="142">
        <v>13</v>
      </c>
      <c r="H18" s="121">
        <f t="shared" si="2"/>
        <v>0.3611111111111111</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275"/>
      <c r="D19" s="143"/>
      <c r="E19" s="144">
        <f t="shared" ref="E19:H19" si="3">SUM(E16:E18)</f>
        <v>12</v>
      </c>
      <c r="F19" s="145">
        <f t="shared" si="3"/>
        <v>36</v>
      </c>
      <c r="G19" s="144">
        <f t="shared" si="3"/>
        <v>36</v>
      </c>
      <c r="H19" s="130">
        <f t="shared" si="3"/>
        <v>1</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306" t="s">
        <v>157</v>
      </c>
      <c r="D22" s="139" t="s">
        <v>148</v>
      </c>
      <c r="E22" s="139" t="s">
        <v>149</v>
      </c>
      <c r="F22" s="140" t="s">
        <v>150</v>
      </c>
      <c r="G22" s="139" t="s">
        <v>151</v>
      </c>
      <c r="H22" s="139" t="s">
        <v>152</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293"/>
      <c r="D23" s="141" t="s">
        <v>153</v>
      </c>
      <c r="E23" s="118">
        <v>5</v>
      </c>
      <c r="F23" s="142">
        <v>10</v>
      </c>
      <c r="G23" s="142">
        <v>10</v>
      </c>
      <c r="H23" s="121">
        <f t="shared" ref="H23:H25" si="4">G23/$G$26</f>
        <v>0.25641025641025639</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293"/>
      <c r="D24" s="141" t="s">
        <v>154</v>
      </c>
      <c r="E24" s="118">
        <v>6</v>
      </c>
      <c r="F24" s="142">
        <v>14</v>
      </c>
      <c r="G24" s="142">
        <v>14</v>
      </c>
      <c r="H24" s="121">
        <f t="shared" si="4"/>
        <v>0.35897435897435898</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293"/>
      <c r="D25" s="141" t="s">
        <v>155</v>
      </c>
      <c r="E25" s="118">
        <v>4</v>
      </c>
      <c r="F25" s="142">
        <v>15</v>
      </c>
      <c r="G25" s="142">
        <v>15</v>
      </c>
      <c r="H25" s="121">
        <f t="shared" si="4"/>
        <v>0.38461538461538464</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275"/>
      <c r="D26" s="143"/>
      <c r="E26" s="144">
        <f t="shared" ref="E26:H26" si="5">SUM(E23:E25)</f>
        <v>15</v>
      </c>
      <c r="F26" s="145">
        <f t="shared" si="5"/>
        <v>39</v>
      </c>
      <c r="G26" s="144">
        <f t="shared" si="5"/>
        <v>39</v>
      </c>
      <c r="H26" s="130">
        <f t="shared" si="5"/>
        <v>1</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306" t="s">
        <v>158</v>
      </c>
      <c r="D29" s="139" t="s">
        <v>148</v>
      </c>
      <c r="E29" s="139" t="s">
        <v>149</v>
      </c>
      <c r="F29" s="140" t="s">
        <v>150</v>
      </c>
      <c r="G29" s="139" t="s">
        <v>151</v>
      </c>
      <c r="H29" s="139" t="s">
        <v>152</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293"/>
      <c r="D30" s="141" t="s">
        <v>153</v>
      </c>
      <c r="E30" s="118">
        <v>6</v>
      </c>
      <c r="F30" s="142">
        <v>9</v>
      </c>
      <c r="G30" s="142">
        <v>9</v>
      </c>
      <c r="H30" s="121">
        <f t="shared" ref="H30:H32" si="6">G30/$G$33</f>
        <v>0.28125</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293"/>
      <c r="D31" s="141" t="s">
        <v>154</v>
      </c>
      <c r="E31" s="118">
        <v>5</v>
      </c>
      <c r="F31" s="142">
        <v>11</v>
      </c>
      <c r="G31" s="142">
        <v>11</v>
      </c>
      <c r="H31" s="121">
        <f t="shared" si="6"/>
        <v>0.34375</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293"/>
      <c r="D32" s="141" t="s">
        <v>155</v>
      </c>
      <c r="E32" s="118">
        <v>3</v>
      </c>
      <c r="F32" s="142">
        <v>12</v>
      </c>
      <c r="G32" s="142">
        <v>12</v>
      </c>
      <c r="H32" s="121">
        <f t="shared" si="6"/>
        <v>0.375</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275"/>
      <c r="D33" s="143"/>
      <c r="E33" s="144">
        <f t="shared" ref="E33:H33" si="7">SUM(E30:E32)</f>
        <v>14</v>
      </c>
      <c r="F33" s="145">
        <f t="shared" si="7"/>
        <v>32</v>
      </c>
      <c r="G33" s="144">
        <f t="shared" si="7"/>
        <v>32</v>
      </c>
      <c r="H33" s="130">
        <f t="shared" si="7"/>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306" t="s">
        <v>159</v>
      </c>
      <c r="D36" s="139" t="s">
        <v>148</v>
      </c>
      <c r="E36" s="139" t="s">
        <v>149</v>
      </c>
      <c r="F36" s="140" t="s">
        <v>150</v>
      </c>
      <c r="G36" s="139" t="s">
        <v>151</v>
      </c>
      <c r="H36" s="139" t="s">
        <v>152</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293"/>
      <c r="D37" s="141" t="s">
        <v>153</v>
      </c>
      <c r="E37" s="118">
        <v>3</v>
      </c>
      <c r="F37" s="142">
        <v>18</v>
      </c>
      <c r="G37" s="142">
        <v>18</v>
      </c>
      <c r="H37" s="121">
        <f t="shared" ref="H37:H39" si="8">G37/$G$40</f>
        <v>0.33333333333333331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293"/>
      <c r="D38" s="141" t="s">
        <v>154</v>
      </c>
      <c r="E38" s="118">
        <v>3</v>
      </c>
      <c r="F38" s="142">
        <v>19</v>
      </c>
      <c r="G38" s="142">
        <v>19</v>
      </c>
      <c r="H38" s="121">
        <f t="shared" si="8"/>
        <v>0.35185185185185186</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293"/>
      <c r="D39" s="141" t="s">
        <v>155</v>
      </c>
      <c r="E39" s="118">
        <v>3</v>
      </c>
      <c r="F39" s="142">
        <v>17</v>
      </c>
      <c r="G39" s="142">
        <v>17</v>
      </c>
      <c r="H39" s="121">
        <f t="shared" si="8"/>
        <v>0.31481481481481483</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275"/>
      <c r="D40" s="143"/>
      <c r="E40" s="144">
        <f t="shared" ref="E40:H40" si="9">SUM(E37:E39)</f>
        <v>9</v>
      </c>
      <c r="F40" s="145">
        <f t="shared" si="9"/>
        <v>54</v>
      </c>
      <c r="G40" s="144">
        <f t="shared" si="9"/>
        <v>54</v>
      </c>
      <c r="H40" s="130">
        <f t="shared" si="9"/>
        <v>1</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306" t="s">
        <v>160</v>
      </c>
      <c r="D43" s="139" t="s">
        <v>148</v>
      </c>
      <c r="E43" s="139" t="s">
        <v>149</v>
      </c>
      <c r="F43" s="140" t="s">
        <v>150</v>
      </c>
      <c r="G43" s="139" t="s">
        <v>151</v>
      </c>
      <c r="H43" s="139" t="s">
        <v>152</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293"/>
      <c r="D44" s="141" t="s">
        <v>153</v>
      </c>
      <c r="E44" s="118">
        <v>2</v>
      </c>
      <c r="F44" s="142">
        <v>7</v>
      </c>
      <c r="G44" s="142">
        <v>7</v>
      </c>
      <c r="H44" s="121">
        <f t="shared" ref="H44:H46" si="10">G44/$G$47</f>
        <v>0.22580645161290322</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293"/>
      <c r="D45" s="141" t="s">
        <v>154</v>
      </c>
      <c r="E45" s="118">
        <v>4</v>
      </c>
      <c r="F45" s="142">
        <v>10</v>
      </c>
      <c r="G45" s="142">
        <v>10</v>
      </c>
      <c r="H45" s="121">
        <f t="shared" si="10"/>
        <v>0.32258064516129031</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293"/>
      <c r="D46" s="141" t="s">
        <v>155</v>
      </c>
      <c r="E46" s="118">
        <v>4</v>
      </c>
      <c r="F46" s="142">
        <v>14</v>
      </c>
      <c r="G46" s="142">
        <v>14</v>
      </c>
      <c r="H46" s="121">
        <f t="shared" si="10"/>
        <v>0.45161290322580644</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275"/>
      <c r="D47" s="143"/>
      <c r="E47" s="144">
        <f t="shared" ref="E47:H47" si="11">SUM(E44:E46)</f>
        <v>10</v>
      </c>
      <c r="F47" s="145">
        <f t="shared" si="11"/>
        <v>31</v>
      </c>
      <c r="G47" s="144">
        <f t="shared" si="11"/>
        <v>31</v>
      </c>
      <c r="H47" s="130">
        <f t="shared" si="11"/>
        <v>1</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65625" defaultRowHeight="15" customHeight="1"/>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308" t="s">
        <v>161</v>
      </c>
      <c r="F3" s="215"/>
      <c r="G3" s="215"/>
      <c r="H3" s="215"/>
      <c r="I3" s="215"/>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19</v>
      </c>
      <c r="I6" s="41" t="str">
        <f>CARÁTULA!$C$25</f>
        <v>Tecnica Tecnologica (Programacion)</v>
      </c>
      <c r="J6" s="146"/>
      <c r="K6" s="146"/>
      <c r="L6" s="146"/>
      <c r="M6" s="146"/>
      <c r="N6" s="146"/>
      <c r="O6" s="146"/>
      <c r="P6" s="146"/>
      <c r="Q6" s="146"/>
      <c r="R6" s="146"/>
      <c r="S6" s="146"/>
      <c r="T6" s="146"/>
      <c r="U6" s="146"/>
      <c r="V6" s="146"/>
      <c r="W6" s="146"/>
      <c r="X6" s="146"/>
      <c r="Y6" s="146"/>
      <c r="Z6" s="146"/>
    </row>
    <row r="7" spans="1:26" ht="12.75" customHeight="1">
      <c r="A7" s="146"/>
      <c r="B7" s="147" t="s">
        <v>14</v>
      </c>
      <c r="C7" s="19"/>
      <c r="D7" s="19"/>
      <c r="E7" s="19"/>
      <c r="F7" s="19"/>
      <c r="G7" s="41" t="str">
        <f>CARÁTULA!$C$21</f>
        <v>Secundaria</v>
      </c>
      <c r="H7" s="147" t="s">
        <v>50</v>
      </c>
      <c r="I7" s="19" t="str">
        <f>CARÁTULA!$C$19</f>
        <v>JOSE COAQUIRA COPA</v>
      </c>
      <c r="J7" s="146"/>
      <c r="K7" s="146"/>
      <c r="L7" s="146"/>
      <c r="M7" s="146"/>
      <c r="N7" s="146"/>
      <c r="O7" s="146"/>
      <c r="P7" s="146"/>
      <c r="Q7" s="146"/>
      <c r="R7" s="146"/>
      <c r="S7" s="146"/>
      <c r="T7" s="146"/>
      <c r="U7" s="146"/>
      <c r="V7" s="146"/>
      <c r="W7" s="146"/>
      <c r="X7" s="146"/>
      <c r="Y7" s="146"/>
      <c r="Z7" s="146"/>
    </row>
    <row r="8" spans="1:26" ht="12.75" customHeight="1">
      <c r="A8" s="146"/>
      <c r="B8" s="147" t="s">
        <v>22</v>
      </c>
      <c r="C8" s="19"/>
      <c r="D8" s="19"/>
      <c r="E8" s="19"/>
      <c r="F8" s="19"/>
      <c r="G8" s="41" t="str">
        <f>CARÁTULA!$C$23</f>
        <v>1ro de Secundaria</v>
      </c>
      <c r="H8" s="147" t="s">
        <v>23</v>
      </c>
      <c r="I8" s="137">
        <f ca="1">TODAY()</f>
        <v>44497</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309" t="s">
        <v>162</v>
      </c>
      <c r="F16" s="310"/>
      <c r="G16" s="149" t="s">
        <v>24</v>
      </c>
      <c r="H16" s="150" t="s">
        <v>163</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311"/>
      <c r="F17" s="268"/>
      <c r="G17" s="152" t="str">
        <f>'C. FILIACION'!B8</f>
        <v>ARANCIBIA ARRAYA LUIS ANDRES</v>
      </c>
      <c r="H17" s="153">
        <f>'CENTRAL 2'!F9</f>
        <v>81.410256410256409</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311"/>
      <c r="F18" s="268"/>
      <c r="G18" s="152" t="str">
        <f>'C. FILIACION'!B9</f>
        <v>ARIVIRI ALEXIS JHONATAN</v>
      </c>
      <c r="H18" s="153">
        <f>'CENTRAL 2'!F10</f>
        <v>67.777777777777786</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311"/>
      <c r="F19" s="268"/>
      <c r="G19" s="152" t="str">
        <f>'C. FILIACION'!B10</f>
        <v>BASCOPE LOPEZ JHYMMY ANGHELO</v>
      </c>
      <c r="H19" s="153">
        <f>'CENTRAL 2'!F11</f>
        <v>78.333333333333329</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311"/>
      <c r="F20" s="268"/>
      <c r="G20" s="152" t="str">
        <f>'C. FILIACION'!B11</f>
        <v>BLANCO SALVATIERRA DANIELA MARGARITA</v>
      </c>
      <c r="H20" s="153">
        <f>'CENTRAL 2'!F12</f>
        <v>86.444444444444443</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311"/>
      <c r="F21" s="268"/>
      <c r="G21" s="152" t="str">
        <f>'C. FILIACION'!B12</f>
        <v>DAVILA LAPACA DIEGO LEONEL</v>
      </c>
      <c r="H21" s="153">
        <f>'CENTRAL 2'!F13</f>
        <v>60.333333333333336</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311"/>
      <c r="F22" s="268"/>
      <c r="G22" s="152" t="str">
        <f>'C. FILIACION'!B13</f>
        <v>ESCOBAR LAZO JHOSELIN MARCELA</v>
      </c>
      <c r="H22" s="153">
        <f>'CENTRAL 2'!F14</f>
        <v>93.333333333333329</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311"/>
      <c r="F23" s="268"/>
      <c r="G23" s="152" t="str">
        <f>'C. FILIACION'!B14</f>
        <v>GUTIERREZ PEREZ ARIEL FERNANDO</v>
      </c>
      <c r="H23" s="153">
        <f>'CENTRAL 2'!F15</f>
        <v>67.833333333333329</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311"/>
      <c r="F24" s="268"/>
      <c r="G24" s="152" t="str">
        <f>'C. FILIACION'!B15</f>
        <v>LOPEZ PACO FABRICIO ANDRE</v>
      </c>
      <c r="H24" s="153">
        <f>'CENTRAL 2'!F16</f>
        <v>80.166666666666671</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311"/>
      <c r="F25" s="268"/>
      <c r="G25" s="152" t="str">
        <f>'C. FILIACION'!B16</f>
        <v>NINA PANIAGUA DEYVID GABRIEL</v>
      </c>
      <c r="H25" s="153">
        <f>'CENTRAL 2'!F17</f>
        <v>90</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311"/>
      <c r="F26" s="268"/>
      <c r="G26" s="152" t="str">
        <f>'C. FILIACION'!B17</f>
        <v>PASTOR CONDARCO STEVE DAVID</v>
      </c>
      <c r="H26" s="153">
        <f>'CENTRAL 2'!F18</f>
        <v>84.666666666666671</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311"/>
      <c r="F27" s="268"/>
      <c r="G27" s="152" t="str">
        <f>'C. FILIACION'!B18</f>
        <v>ROJAS MAMANI JERUSALEN LOURDES</v>
      </c>
      <c r="H27" s="153">
        <f>'CENTRAL 2'!F19</f>
        <v>93</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311"/>
      <c r="F28" s="268"/>
      <c r="G28" s="152" t="str">
        <f>'C. FILIACION'!B19</f>
        <v>SALAS ROJAS LUCIANA ANTONELLA</v>
      </c>
      <c r="H28" s="153">
        <f>'CENTRAL 2'!F20</f>
        <v>70</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311"/>
      <c r="F29" s="268"/>
      <c r="G29" s="152" t="str">
        <f>'C. FILIACION'!B20</f>
        <v>SANTOS CRUZ ROYER JOEL</v>
      </c>
      <c r="H29" s="153">
        <f>'CENTRAL 2'!F21</f>
        <v>74.666666666666671</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311"/>
      <c r="F30" s="268"/>
      <c r="G30" s="152" t="str">
        <f>'C. FILIACION'!B21</f>
        <v>TICONA LOAYZA ARIADNE VALERIA</v>
      </c>
      <c r="H30" s="153">
        <f>'CENTRAL 2'!F22</f>
        <v>86.666666666666671</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311"/>
      <c r="F31" s="268"/>
      <c r="G31" s="152" t="str">
        <f>'C. FILIACION'!B22</f>
        <v>ZEBALLOS DEL CARPIO AMIRA MERCEDES</v>
      </c>
      <c r="H31" s="153">
        <f>'CENTRAL 2'!F23</f>
        <v>94.666666666666671</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311"/>
      <c r="F32" s="268"/>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311"/>
      <c r="F33" s="268"/>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311"/>
      <c r="F34" s="268"/>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312"/>
      <c r="F35" s="268"/>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311"/>
      <c r="F36" s="268"/>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311"/>
      <c r="F37" s="268"/>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311"/>
      <c r="F38" s="268"/>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311"/>
      <c r="F39" s="268"/>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311"/>
      <c r="F40" s="268"/>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311"/>
      <c r="F41" s="268"/>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311"/>
      <c r="F42" s="268"/>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311"/>
      <c r="F43" s="268"/>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311"/>
      <c r="F44" s="268"/>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311"/>
      <c r="F45" s="268"/>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311"/>
      <c r="F46" s="268"/>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311"/>
      <c r="F47" s="268"/>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311"/>
      <c r="F48" s="268"/>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311"/>
      <c r="F49" s="268"/>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311"/>
      <c r="F50" s="268"/>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311"/>
      <c r="F51" s="268"/>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311"/>
      <c r="F52" s="268"/>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311"/>
      <c r="F53" s="268"/>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311"/>
      <c r="F54" s="268"/>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311"/>
      <c r="F55" s="268"/>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311"/>
      <c r="F56" s="268"/>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311"/>
      <c r="F57" s="268"/>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311"/>
      <c r="F58" s="268"/>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311"/>
      <c r="F59" s="268"/>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313"/>
      <c r="F60" s="314"/>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vt:i4>
      </vt:variant>
    </vt:vector>
  </HeadingPairs>
  <TitlesOfParts>
    <vt:vector size="18" baseType="lpstr">
      <vt:lpstr>CARÁTULA</vt:lpstr>
      <vt:lpstr>C. FILIACION</vt:lpstr>
      <vt:lpstr>ASIS 1 TRIM</vt:lpstr>
      <vt:lpstr>ASIS 2 TRIM</vt:lpstr>
      <vt:lpstr>ASIS 3 TRIM</vt:lpstr>
      <vt:lpstr>Rend_est_2doTrim</vt:lpstr>
      <vt:lpstr>VAL 1 TRIM </vt:lpstr>
      <vt:lpstr>VAL 2 TRIM</vt:lpstr>
      <vt:lpstr>VAL 3 TRIM</vt:lpstr>
      <vt:lpstr>CENTRAL 1</vt:lpstr>
      <vt:lpstr>CENTRAL 2</vt:lpstr>
      <vt:lpstr>DIMEN 1</vt:lpstr>
      <vt:lpstr>DIMEN 2</vt:lpstr>
      <vt:lpstr>DIMEN 3</vt:lpstr>
      <vt:lpstr>ESTADIST</vt:lpstr>
      <vt:lpstr>AVANCE</vt:lpstr>
      <vt:lpstr>EST_DEST</vt:lpstr>
      <vt:lpstr>'ASIS 2 TRIM'!Criterios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2021-09-15T20:18:48Z</cp:lastPrinted>
  <dcterms:created xsi:type="dcterms:W3CDTF">2020-01-23T13:58:13Z</dcterms:created>
  <dcterms:modified xsi:type="dcterms:W3CDTF">2021-10-28T13:33:18Z</dcterms:modified>
</cp:coreProperties>
</file>