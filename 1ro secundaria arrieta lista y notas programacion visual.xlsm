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25D63C14-A00F-4E46-BF85-E5EA08B012F6}" xr6:coauthVersionLast="47" xr6:coauthVersionMax="47" xr10:uidLastSave="{00000000-0000-0000-0000-000000000000}"/>
  <bookViews>
    <workbookView xWindow="-108" yWindow="-108" windowWidth="23256" windowHeight="12576" tabRatio="820" firstSheet="5" activeTab="15"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H52" i="15" l="1"/>
  <c r="H53" i="15"/>
  <c r="H54" i="15"/>
  <c r="H51" i="15"/>
  <c r="G54" i="15"/>
  <c r="F54" i="15"/>
  <c r="E54" i="15"/>
  <c r="H45" i="15"/>
  <c r="H46" i="15"/>
  <c r="H44" i="15"/>
  <c r="H39" i="15"/>
  <c r="H38" i="15"/>
  <c r="H37" i="15"/>
  <c r="G33" i="15"/>
  <c r="H33" i="15" s="1"/>
  <c r="F33" i="15"/>
  <c r="E33" i="15"/>
  <c r="H32" i="15"/>
  <c r="H31" i="15"/>
  <c r="H30" i="15"/>
  <c r="H24" i="15"/>
  <c r="H25" i="15"/>
  <c r="H26" i="15"/>
  <c r="H23" i="15"/>
  <c r="H10" i="15"/>
  <c r="H11" i="15"/>
  <c r="H9" i="15"/>
  <c r="H17" i="15"/>
  <c r="H18" i="15"/>
  <c r="H16" i="15"/>
  <c r="BJ9" i="5"/>
  <c r="BJ10" i="5"/>
  <c r="BJ11" i="5"/>
  <c r="BJ12" i="5"/>
  <c r="BJ13" i="5"/>
  <c r="BJ14" i="5"/>
  <c r="BJ15" i="5"/>
  <c r="BJ16" i="5"/>
  <c r="BJ17" i="5"/>
  <c r="BJ18" i="5"/>
  <c r="BJ19" i="5"/>
  <c r="BJ20" i="5"/>
  <c r="BJ21" i="5"/>
  <c r="BJ22" i="5"/>
  <c r="BJ8" i="5"/>
  <c r="BD9" i="5"/>
  <c r="BD10" i="5"/>
  <c r="BD11" i="5"/>
  <c r="BD12" i="5"/>
  <c r="BD13" i="5"/>
  <c r="BD14" i="5"/>
  <c r="BD15" i="5"/>
  <c r="BD16" i="5"/>
  <c r="BD17" i="5"/>
  <c r="BD18" i="5"/>
  <c r="BD19" i="5"/>
  <c r="BD20" i="5"/>
  <c r="BD21" i="5"/>
  <c r="BD22" i="5"/>
  <c r="BD8" i="5"/>
  <c r="BC9" i="5"/>
  <c r="BC10" i="5"/>
  <c r="BC11" i="5"/>
  <c r="BC12" i="5"/>
  <c r="BC13" i="5"/>
  <c r="BC14" i="5"/>
  <c r="BC15" i="5"/>
  <c r="BC16" i="5"/>
  <c r="BC17" i="5"/>
  <c r="BC18" i="5"/>
  <c r="BC19" i="5"/>
  <c r="BC20" i="5"/>
  <c r="BC21" i="5"/>
  <c r="BC22" i="5"/>
  <c r="BC8" i="5"/>
  <c r="BB9" i="5"/>
  <c r="BB10" i="5"/>
  <c r="BB11" i="5"/>
  <c r="BB12" i="5"/>
  <c r="BB13" i="5"/>
  <c r="BB14" i="5"/>
  <c r="BB15" i="5"/>
  <c r="BB16" i="5"/>
  <c r="BB17" i="5"/>
  <c r="BB18" i="5"/>
  <c r="BB19" i="5"/>
  <c r="BB20" i="5"/>
  <c r="BB21" i="5"/>
  <c r="BB22" i="5"/>
  <c r="BB8" i="5"/>
  <c r="AB20" i="7"/>
  <c r="B14" i="4"/>
  <c r="P10" i="17"/>
  <c r="Q10" i="17"/>
  <c r="R10" i="17"/>
  <c r="S10" i="17"/>
  <c r="O10" i="17"/>
  <c r="F10" i="17"/>
  <c r="G10" i="17"/>
  <c r="H10" i="17"/>
  <c r="I10" i="17"/>
  <c r="J10" i="17"/>
  <c r="K10" i="17"/>
  <c r="L10" i="17"/>
  <c r="M10" i="17"/>
  <c r="B16" i="4"/>
  <c r="B17" i="4"/>
  <c r="B18" i="4"/>
  <c r="B19" i="4"/>
  <c r="B20" i="4"/>
  <c r="B21" i="4"/>
  <c r="B22" i="4"/>
  <c r="B15" i="4"/>
  <c r="AD25" i="17"/>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Z10" i="17"/>
  <c r="W10" i="17"/>
  <c r="X10" i="17"/>
  <c r="Y10" i="17"/>
  <c r="V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7" i="15" s="1"/>
  <c r="F47" i="15"/>
  <c r="E47" i="15"/>
  <c r="G40" i="15"/>
  <c r="H40" i="15" s="1"/>
  <c r="F40" i="15"/>
  <c r="E40" i="15"/>
  <c r="G26" i="15"/>
  <c r="F26" i="15"/>
  <c r="E26" i="15"/>
  <c r="G19" i="15"/>
  <c r="H19" i="15" s="1"/>
  <c r="F19" i="15"/>
  <c r="E19" i="15"/>
  <c r="G12" i="15"/>
  <c r="H12" i="15" s="1"/>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L23" i="9"/>
  <c r="C23" i="9"/>
  <c r="B23" i="9"/>
  <c r="L22" i="9"/>
  <c r="C22" i="9"/>
  <c r="B22" i="9"/>
  <c r="L21" i="9"/>
  <c r="C21" i="9"/>
  <c r="B21" i="9"/>
  <c r="L20" i="9"/>
  <c r="C20" i="9"/>
  <c r="B20" i="9"/>
  <c r="L19" i="9"/>
  <c r="C19" i="9"/>
  <c r="B19" i="9"/>
  <c r="L18" i="9"/>
  <c r="C18" i="9"/>
  <c r="B18" i="9"/>
  <c r="L17" i="9"/>
  <c r="C17" i="9"/>
  <c r="B17" i="9"/>
  <c r="L16" i="9"/>
  <c r="C16" i="9"/>
  <c r="B16" i="9"/>
  <c r="L15" i="9"/>
  <c r="C15" i="9"/>
  <c r="B15" i="9"/>
  <c r="L14" i="9"/>
  <c r="C14" i="9"/>
  <c r="B14" i="9"/>
  <c r="L13" i="9"/>
  <c r="C13" i="9"/>
  <c r="B13" i="9"/>
  <c r="L12" i="9"/>
  <c r="C12" i="9"/>
  <c r="B12" i="9"/>
  <c r="L11" i="9"/>
  <c r="C11" i="9"/>
  <c r="B11" i="9"/>
  <c r="L10" i="9"/>
  <c r="C10" i="9"/>
  <c r="B10" i="9"/>
  <c r="L9" i="9"/>
  <c r="C9" i="9"/>
  <c r="B9" i="9"/>
  <c r="U5" i="9"/>
  <c r="C5" i="9"/>
  <c r="U4" i="9"/>
  <c r="C4" i="9"/>
  <c r="U3" i="9"/>
  <c r="C3" i="9"/>
  <c r="AE44" i="8"/>
  <c r="S44" i="9" s="1"/>
  <c r="AB44" i="8"/>
  <c r="Q44" i="9" s="1"/>
  <c r="O44" i="8"/>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B40" i="8"/>
  <c r="AE39" i="8"/>
  <c r="S39" i="9" s="1"/>
  <c r="AB39" i="8"/>
  <c r="Q39" i="9" s="1"/>
  <c r="O39" i="8"/>
  <c r="B39" i="8"/>
  <c r="AE38" i="8"/>
  <c r="S38" i="9" s="1"/>
  <c r="AB38" i="8"/>
  <c r="O38" i="8"/>
  <c r="P38" i="9" s="1"/>
  <c r="B38" i="8"/>
  <c r="AE37" i="8"/>
  <c r="S37" i="9" s="1"/>
  <c r="AB37" i="8"/>
  <c r="Q37" i="9" s="1"/>
  <c r="O37" i="8"/>
  <c r="P37" i="9"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B33" i="8"/>
  <c r="AE32" i="8"/>
  <c r="S32" i="9" s="1"/>
  <c r="AB32" i="8"/>
  <c r="Q32" i="9" s="1"/>
  <c r="O32" i="8"/>
  <c r="B32" i="8"/>
  <c r="AE31" i="8"/>
  <c r="S31" i="9" s="1"/>
  <c r="AB31" i="8"/>
  <c r="Q31" i="9" s="1"/>
  <c r="O31" i="8"/>
  <c r="B31" i="8"/>
  <c r="AE30" i="8"/>
  <c r="S30" i="9" s="1"/>
  <c r="AB30" i="8"/>
  <c r="O30" i="8"/>
  <c r="P30" i="9" s="1"/>
  <c r="B30" i="8"/>
  <c r="AE29" i="8"/>
  <c r="S29" i="9" s="1"/>
  <c r="AB29" i="8"/>
  <c r="Q29" i="9" s="1"/>
  <c r="O29" i="8"/>
  <c r="P29" i="9" s="1"/>
  <c r="B29" i="8"/>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Q23" i="9" s="1"/>
  <c r="O23" i="8"/>
  <c r="P23" i="9" s="1"/>
  <c r="B23" i="8"/>
  <c r="AE22" i="8"/>
  <c r="S22" i="9" s="1"/>
  <c r="AB22" i="8"/>
  <c r="O22" i="8"/>
  <c r="P22" i="9" s="1"/>
  <c r="B22" i="8"/>
  <c r="AE21" i="8"/>
  <c r="S21" i="9" s="1"/>
  <c r="AB21" i="8"/>
  <c r="Q21" i="9" s="1"/>
  <c r="O21" i="8"/>
  <c r="P21" i="9" s="1"/>
  <c r="B21" i="8"/>
  <c r="AE20" i="8"/>
  <c r="S20" i="9" s="1"/>
  <c r="AB20" i="8"/>
  <c r="Q20" i="9" s="1"/>
  <c r="O20" i="8"/>
  <c r="P20" i="9" s="1"/>
  <c r="B20" i="8"/>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P16" i="9" s="1"/>
  <c r="B16" i="8"/>
  <c r="AE15" i="8"/>
  <c r="S15" i="9" s="1"/>
  <c r="AB15" i="8"/>
  <c r="Q15" i="9" s="1"/>
  <c r="O15" i="8"/>
  <c r="P15" i="9" s="1"/>
  <c r="B15" i="8"/>
  <c r="AE14" i="8"/>
  <c r="S14" i="9" s="1"/>
  <c r="AB14" i="8"/>
  <c r="Q14" i="9" s="1"/>
  <c r="O14" i="8"/>
  <c r="P14" i="9" s="1"/>
  <c r="B14" i="8"/>
  <c r="AE13" i="8"/>
  <c r="S13" i="9" s="1"/>
  <c r="AB13" i="8"/>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K20" i="9"/>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I22" i="17" s="1"/>
  <c r="AC22" i="17" s="1"/>
  <c r="AI5" i="7"/>
  <c r="S5" i="7"/>
  <c r="C5" i="7"/>
  <c r="AI4" i="7"/>
  <c r="S4" i="7"/>
  <c r="C4" i="7"/>
  <c r="AI3" i="7"/>
  <c r="S3" i="7"/>
  <c r="C3" i="7"/>
  <c r="AG44" i="6"/>
  <c r="AH44" i="6" s="1"/>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E36" i="6"/>
  <c r="AG36" i="6" s="1"/>
  <c r="AH36" i="6" s="1"/>
  <c r="AB36" i="6"/>
  <c r="E36" i="9" s="1"/>
  <c r="O36" i="6"/>
  <c r="D36" i="9" s="1"/>
  <c r="B36"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E28" i="6"/>
  <c r="G28" i="9" s="1"/>
  <c r="AB28" i="6"/>
  <c r="E28" i="9" s="1"/>
  <c r="O28" i="6"/>
  <c r="D28" i="9" s="1"/>
  <c r="B28" i="6"/>
  <c r="AG27" i="6"/>
  <c r="AF27" i="6"/>
  <c r="AE27" i="6"/>
  <c r="AB27" i="6"/>
  <c r="E27" i="9" s="1"/>
  <c r="O27" i="6"/>
  <c r="D27" i="9" s="1"/>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E20" i="6"/>
  <c r="F20" i="9" s="1"/>
  <c r="AB20" i="6"/>
  <c r="E20" i="9" s="1"/>
  <c r="O20" i="6"/>
  <c r="D20" i="9" s="1"/>
  <c r="B20" i="6"/>
  <c r="AE19" i="6"/>
  <c r="AB19" i="6"/>
  <c r="E19" i="9" s="1"/>
  <c r="O19" i="6"/>
  <c r="D19" i="9" s="1"/>
  <c r="B19" i="6"/>
  <c r="AE18" i="6"/>
  <c r="F18" i="9" s="1"/>
  <c r="AB18" i="6"/>
  <c r="E18" i="9" s="1"/>
  <c r="O18" i="6"/>
  <c r="D18" i="9" s="1"/>
  <c r="B18" i="6"/>
  <c r="AE17" i="6"/>
  <c r="AB17" i="6"/>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B12" i="6"/>
  <c r="AE11" i="6"/>
  <c r="AB11" i="6"/>
  <c r="E11" i="9" s="1"/>
  <c r="O11" i="6"/>
  <c r="D11" i="9" s="1"/>
  <c r="B11" i="6"/>
  <c r="AE10" i="6"/>
  <c r="G10" i="9" s="1"/>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A22" i="5"/>
  <c r="BE22" i="5" s="1"/>
  <c r="B22" i="5"/>
  <c r="BA21" i="5"/>
  <c r="B21" i="5"/>
  <c r="BA20" i="5"/>
  <c r="B20" i="5"/>
  <c r="BA19" i="5"/>
  <c r="B19" i="5"/>
  <c r="BA18" i="5"/>
  <c r="B18" i="5"/>
  <c r="BA17" i="5"/>
  <c r="B17" i="5"/>
  <c r="BA16" i="5"/>
  <c r="B16" i="5"/>
  <c r="BA15" i="5"/>
  <c r="B15" i="5"/>
  <c r="BA14" i="5"/>
  <c r="B14" i="5"/>
  <c r="BA13" i="5"/>
  <c r="BE13" i="5" s="1"/>
  <c r="B13" i="5"/>
  <c r="BA12" i="5"/>
  <c r="B12" i="5"/>
  <c r="BA11" i="5"/>
  <c r="B11" i="5"/>
  <c r="BA10" i="5"/>
  <c r="B10" i="5"/>
  <c r="BA9" i="5"/>
  <c r="B9"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3" i="4"/>
  <c r="B12" i="4"/>
  <c r="B11"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R18" i="9" l="1"/>
  <c r="R21" i="9"/>
  <c r="R11" i="9"/>
  <c r="AA22" i="8"/>
  <c r="R22" i="9" s="1"/>
  <c r="AA15" i="8"/>
  <c r="R15" i="9" s="1"/>
  <c r="AA23" i="8"/>
  <c r="R23" i="9" s="1"/>
  <c r="AA9" i="8"/>
  <c r="R9" i="9" s="1"/>
  <c r="BE12" i="5"/>
  <c r="C20" i="8"/>
  <c r="O20" i="9" s="1"/>
  <c r="BE11" i="5"/>
  <c r="R19" i="9"/>
  <c r="R14" i="9"/>
  <c r="R17" i="9"/>
  <c r="BE21" i="5"/>
  <c r="C19" i="8"/>
  <c r="O19" i="9" s="1"/>
  <c r="BE17" i="5"/>
  <c r="C15" i="8"/>
  <c r="O15" i="9" s="1"/>
  <c r="BE14" i="5"/>
  <c r="C10" i="8"/>
  <c r="O10" i="9" s="1"/>
  <c r="BE10" i="5"/>
  <c r="C23" i="8"/>
  <c r="O23" i="9" s="1"/>
  <c r="C21" i="8"/>
  <c r="O21" i="9" s="1"/>
  <c r="BE19" i="5"/>
  <c r="BE18" i="5"/>
  <c r="C18" i="8"/>
  <c r="O18" i="9" s="1"/>
  <c r="C14" i="8"/>
  <c r="O14" i="9" s="1"/>
  <c r="C13" i="8"/>
  <c r="O13" i="9" s="1"/>
  <c r="C12" i="8"/>
  <c r="O12" i="9" s="1"/>
  <c r="C11" i="8"/>
  <c r="O11" i="9" s="1"/>
  <c r="BE9" i="5"/>
  <c r="R20" i="9"/>
  <c r="R16" i="9"/>
  <c r="AA12" i="8"/>
  <c r="R12" i="9" s="1"/>
  <c r="AA13" i="8"/>
  <c r="R13" i="9" s="1"/>
  <c r="AA10" i="8"/>
  <c r="R10" i="9" s="1"/>
  <c r="C22" i="8"/>
  <c r="O22" i="9" s="1"/>
  <c r="C16" i="8"/>
  <c r="O16" i="9" s="1"/>
  <c r="C17" i="8"/>
  <c r="O17" i="9" s="1"/>
  <c r="BE8" i="5"/>
  <c r="BE16" i="5"/>
  <c r="BE20" i="5"/>
  <c r="BE15" i="5"/>
  <c r="C9" i="8"/>
  <c r="O9" i="9" s="1"/>
  <c r="AG44" i="8"/>
  <c r="AH44" i="8" s="1"/>
  <c r="AG36" i="8"/>
  <c r="AH36" i="8" s="1"/>
  <c r="AG31" i="8"/>
  <c r="E31" i="10" s="1"/>
  <c r="AG33" i="8"/>
  <c r="N11" i="17"/>
  <c r="AG12" i="6"/>
  <c r="H12" i="9" s="1"/>
  <c r="AG19" i="6"/>
  <c r="AF19" i="6" s="1"/>
  <c r="AG28" i="6"/>
  <c r="C28" i="10" s="1"/>
  <c r="AG27" i="8"/>
  <c r="AF27" i="8" s="1"/>
  <c r="AG43" i="8"/>
  <c r="AF43" i="8" s="1"/>
  <c r="I23" i="17"/>
  <c r="AC23" i="17" s="1"/>
  <c r="G11" i="17"/>
  <c r="S11" i="17"/>
  <c r="AG35" i="6"/>
  <c r="AF35" i="6" s="1"/>
  <c r="BA4" i="5"/>
  <c r="AG43" i="6"/>
  <c r="AF43" i="6" s="1"/>
  <c r="I24" i="17"/>
  <c r="AC24" i="17" s="1"/>
  <c r="F11" i="17"/>
  <c r="R11" i="17"/>
  <c r="Q11" i="17"/>
  <c r="M11" i="17"/>
  <c r="O11" i="17"/>
  <c r="P11" i="17"/>
  <c r="AG33" i="7"/>
  <c r="AG38" i="7"/>
  <c r="AF38" i="7" s="1"/>
  <c r="AG29" i="8"/>
  <c r="AH29" i="8" s="1"/>
  <c r="I15" i="17"/>
  <c r="AC15" i="17" s="1"/>
  <c r="L11" i="17"/>
  <c r="AG17" i="6"/>
  <c r="AF17" i="6" s="1"/>
  <c r="AG20" i="6"/>
  <c r="AH20" i="6" s="1"/>
  <c r="AG29" i="7"/>
  <c r="AG35" i="8"/>
  <c r="AF35" i="8" s="1"/>
  <c r="I16" i="17"/>
  <c r="AC16" i="17" s="1"/>
  <c r="K11" i="17"/>
  <c r="AG28" i="8"/>
  <c r="I17" i="17"/>
  <c r="AC17" i="17" s="1"/>
  <c r="J11" i="17"/>
  <c r="AN4" i="7"/>
  <c r="AG37" i="7"/>
  <c r="AF37" i="7" s="1"/>
  <c r="AG41" i="8"/>
  <c r="E41" i="10" s="1"/>
  <c r="D12" i="9"/>
  <c r="I11" i="17"/>
  <c r="AG18" i="7"/>
  <c r="AG23" i="7"/>
  <c r="I9" i="9"/>
  <c r="BJ9" i="4"/>
  <c r="BJ10" i="4"/>
  <c r="BJ11" i="4"/>
  <c r="BJ12" i="4"/>
  <c r="I13" i="9"/>
  <c r="BJ15" i="4"/>
  <c r="I16" i="9"/>
  <c r="I17" i="9"/>
  <c r="I18" i="9"/>
  <c r="BJ18" i="4"/>
  <c r="I22" i="9"/>
  <c r="BJ22" i="4"/>
  <c r="BJ21" i="4"/>
  <c r="BE20" i="4"/>
  <c r="X11" i="17"/>
  <c r="BE18" i="4"/>
  <c r="BE10" i="4"/>
  <c r="Y11" i="17"/>
  <c r="W11" i="17"/>
  <c r="BE16" i="4"/>
  <c r="BJ16" i="4" s="1"/>
  <c r="BE15" i="4"/>
  <c r="BE14" i="4"/>
  <c r="BE11" i="4"/>
  <c r="I11" i="9" s="1"/>
  <c r="BE22" i="4"/>
  <c r="BE21" i="4"/>
  <c r="BE19" i="4"/>
  <c r="BJ19" i="4" s="1"/>
  <c r="BE17" i="4"/>
  <c r="BJ17" i="4" s="1"/>
  <c r="BE13" i="4"/>
  <c r="BJ13" i="4" s="1"/>
  <c r="BE12" i="4"/>
  <c r="V11" i="17"/>
  <c r="BE9" i="4"/>
  <c r="BE8" i="4"/>
  <c r="BJ8" i="4" s="1"/>
  <c r="AC18" i="17"/>
  <c r="AC25" i="17"/>
  <c r="I25" i="17"/>
  <c r="I18" i="17"/>
  <c r="BA4" i="4"/>
  <c r="AN4" i="6"/>
  <c r="AN4" i="8"/>
  <c r="D33" i="10"/>
  <c r="N33" i="9"/>
  <c r="AF33" i="7"/>
  <c r="AH33" i="7"/>
  <c r="D27" i="10"/>
  <c r="N27" i="9"/>
  <c r="AH27" i="7"/>
  <c r="AF27" i="7"/>
  <c r="C32" i="10"/>
  <c r="H32" i="9"/>
  <c r="AH32" i="6"/>
  <c r="AF32" i="6"/>
  <c r="E33" i="10"/>
  <c r="T33" i="9"/>
  <c r="AH33" i="8"/>
  <c r="AF33" i="8"/>
  <c r="AG14" i="6"/>
  <c r="AG22" i="6"/>
  <c r="AG30" i="6"/>
  <c r="G36" i="9"/>
  <c r="F36" i="9"/>
  <c r="AG38" i="6"/>
  <c r="G44" i="9"/>
  <c r="F44" i="9"/>
  <c r="AG24" i="7"/>
  <c r="AG32" i="7"/>
  <c r="AG40" i="7"/>
  <c r="E36" i="10"/>
  <c r="T36" i="9"/>
  <c r="F26" i="9"/>
  <c r="AG9" i="6"/>
  <c r="AG10" i="6"/>
  <c r="AG11" i="6"/>
  <c r="AG13" i="6"/>
  <c r="G19" i="9"/>
  <c r="F19" i="9"/>
  <c r="AG21" i="6"/>
  <c r="G27" i="9"/>
  <c r="F27" i="9"/>
  <c r="AF28" i="6"/>
  <c r="AG29" i="6"/>
  <c r="G35" i="9"/>
  <c r="F35" i="9"/>
  <c r="AF36" i="6"/>
  <c r="AG37" i="6"/>
  <c r="G43" i="9"/>
  <c r="F43" i="9"/>
  <c r="AF44" i="6"/>
  <c r="AF30" i="7"/>
  <c r="AG31" i="7"/>
  <c r="AG39" i="7"/>
  <c r="AG25" i="8"/>
  <c r="Q13" i="9"/>
  <c r="E17" i="9"/>
  <c r="G31" i="9"/>
  <c r="P33" i="9"/>
  <c r="D38" i="10"/>
  <c r="N38" i="9"/>
  <c r="AF31" i="8"/>
  <c r="E35" i="10"/>
  <c r="AH35" i="8"/>
  <c r="P40" i="9"/>
  <c r="AG40" i="8"/>
  <c r="T41" i="9"/>
  <c r="AH41" i="8"/>
  <c r="AF41" i="8"/>
  <c r="G17" i="9"/>
  <c r="F17" i="9"/>
  <c r="G25" i="9"/>
  <c r="F25" i="9"/>
  <c r="C27" i="10"/>
  <c r="H27" i="9"/>
  <c r="AH28" i="6"/>
  <c r="G33" i="9"/>
  <c r="F33" i="9"/>
  <c r="C35" i="10"/>
  <c r="H35" i="9"/>
  <c r="F41" i="9"/>
  <c r="G41" i="9"/>
  <c r="C43" i="10"/>
  <c r="H43" i="9"/>
  <c r="D37" i="10"/>
  <c r="N37" i="9"/>
  <c r="AH38" i="7"/>
  <c r="P18" i="9"/>
  <c r="F12" i="9"/>
  <c r="T35" i="9"/>
  <c r="C36" i="10"/>
  <c r="H36" i="9"/>
  <c r="G42" i="9"/>
  <c r="F42" i="9"/>
  <c r="C44" i="10"/>
  <c r="H44" i="9"/>
  <c r="D30" i="10"/>
  <c r="N30" i="9"/>
  <c r="AG38" i="8"/>
  <c r="Q38" i="9"/>
  <c r="D32" i="9"/>
  <c r="G16" i="9"/>
  <c r="F16" i="9"/>
  <c r="AG18" i="6"/>
  <c r="F24" i="9"/>
  <c r="G24" i="9"/>
  <c r="AG26" i="6"/>
  <c r="AH27" i="6"/>
  <c r="F32" i="9"/>
  <c r="G32" i="9"/>
  <c r="AG34" i="6"/>
  <c r="AH35" i="6"/>
  <c r="F40" i="9"/>
  <c r="G40" i="9"/>
  <c r="AG42" i="6"/>
  <c r="AH43" i="6"/>
  <c r="AG28" i="7"/>
  <c r="AH29" i="7"/>
  <c r="AG36" i="7"/>
  <c r="AH37" i="7"/>
  <c r="AG44" i="7"/>
  <c r="AG24" i="8"/>
  <c r="AG26" i="8"/>
  <c r="E28" i="10"/>
  <c r="T28" i="9"/>
  <c r="G18" i="9"/>
  <c r="K27" i="9"/>
  <c r="AG25" i="6"/>
  <c r="AG33" i="6"/>
  <c r="G39" i="9"/>
  <c r="F39" i="9"/>
  <c r="AG41" i="6"/>
  <c r="AG35" i="7"/>
  <c r="AG43" i="7"/>
  <c r="Q22" i="9"/>
  <c r="E43" i="10"/>
  <c r="G13" i="9"/>
  <c r="F28" i="9"/>
  <c r="T29" i="9"/>
  <c r="G14" i="9"/>
  <c r="F14" i="9"/>
  <c r="AG16" i="6"/>
  <c r="G22" i="9"/>
  <c r="F22" i="9"/>
  <c r="AG24" i="6"/>
  <c r="G30" i="9"/>
  <c r="F30" i="9"/>
  <c r="F38" i="9"/>
  <c r="G38" i="9"/>
  <c r="AG40" i="6"/>
  <c r="AG26" i="7"/>
  <c r="AG34" i="7"/>
  <c r="AG42" i="7"/>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25" i="7"/>
  <c r="AG41" i="7"/>
  <c r="AF36" i="8"/>
  <c r="T44" i="9"/>
  <c r="AF44" i="8"/>
  <c r="G15" i="9"/>
  <c r="F23" i="9"/>
  <c r="G34" i="9"/>
  <c r="AG34" i="8"/>
  <c r="AG42" i="8"/>
  <c r="P44" i="9"/>
  <c r="AG19" i="8" l="1"/>
  <c r="AF19" i="8" s="1"/>
  <c r="AG20" i="8"/>
  <c r="AF20" i="8" s="1"/>
  <c r="AF15" i="8"/>
  <c r="AH10" i="8"/>
  <c r="AG21" i="8"/>
  <c r="E21" i="10" s="1"/>
  <c r="AG14" i="8"/>
  <c r="AH14" i="8" s="1"/>
  <c r="AG13" i="8"/>
  <c r="E13" i="10" s="1"/>
  <c r="AG9" i="8"/>
  <c r="T9" i="9" s="1"/>
  <c r="AG11" i="8"/>
  <c r="E11" i="10" s="1"/>
  <c r="E23" i="10"/>
  <c r="AG22" i="8"/>
  <c r="AF22" i="8" s="1"/>
  <c r="AH18" i="8"/>
  <c r="AG17" i="8"/>
  <c r="E17" i="10" s="1"/>
  <c r="AF16" i="8"/>
  <c r="AH12" i="8"/>
  <c r="C12" i="10"/>
  <c r="AH19" i="6"/>
  <c r="H20" i="9"/>
  <c r="AF20" i="6"/>
  <c r="C20" i="10"/>
  <c r="H19" i="9"/>
  <c r="C19" i="10"/>
  <c r="AH17" i="6"/>
  <c r="H17" i="9"/>
  <c r="C17" i="10"/>
  <c r="AF12" i="6"/>
  <c r="AH12" i="6"/>
  <c r="AH43" i="8"/>
  <c r="T43" i="9"/>
  <c r="AH31" i="8"/>
  <c r="E27" i="10"/>
  <c r="AF29" i="8"/>
  <c r="T31" i="9"/>
  <c r="E44" i="10"/>
  <c r="E29" i="10"/>
  <c r="AH28" i="8"/>
  <c r="AF28" i="8"/>
  <c r="D29" i="10"/>
  <c r="AF29" i="7"/>
  <c r="N29" i="9"/>
  <c r="AG9" i="7"/>
  <c r="AF9" i="7" s="1"/>
  <c r="I10" i="9"/>
  <c r="AG10" i="7"/>
  <c r="AH10" i="7" s="1"/>
  <c r="AG11" i="7"/>
  <c r="AF11" i="7" s="1"/>
  <c r="I12" i="9"/>
  <c r="AG12" i="7"/>
  <c r="D12" i="10" s="1"/>
  <c r="AG13" i="7"/>
  <c r="AF13" i="7" s="1"/>
  <c r="I14" i="9"/>
  <c r="AG14" i="7"/>
  <c r="AH14" i="7" s="1"/>
  <c r="BJ14" i="4"/>
  <c r="I15" i="9"/>
  <c r="AG15" i="7"/>
  <c r="AH15" i="7" s="1"/>
  <c r="AG16" i="7"/>
  <c r="D16" i="10" s="1"/>
  <c r="AG17" i="7"/>
  <c r="D17" i="10" s="1"/>
  <c r="AF18" i="7"/>
  <c r="AG22" i="7"/>
  <c r="AH22" i="7" s="1"/>
  <c r="I21" i="9"/>
  <c r="AG21" i="7"/>
  <c r="AF21" i="7" s="1"/>
  <c r="I20" i="9"/>
  <c r="AG20" i="7"/>
  <c r="D20" i="10" s="1"/>
  <c r="BJ20" i="4"/>
  <c r="I19" i="9"/>
  <c r="AG19" i="7"/>
  <c r="D19" i="10" s="1"/>
  <c r="Z11" i="17"/>
  <c r="AC26" i="17"/>
  <c r="AH11" i="7"/>
  <c r="C41" i="10"/>
  <c r="H41" i="9"/>
  <c r="AH41" i="6"/>
  <c r="AF41" i="6"/>
  <c r="C11" i="10"/>
  <c r="H11" i="9"/>
  <c r="AH11" i="6"/>
  <c r="AF11" i="6"/>
  <c r="N32" i="9"/>
  <c r="D32" i="10"/>
  <c r="AF32" i="7"/>
  <c r="AH32" i="7"/>
  <c r="C30" i="10"/>
  <c r="H30" i="9"/>
  <c r="AF30" i="6"/>
  <c r="AH30" i="6"/>
  <c r="C40" i="10"/>
  <c r="H40" i="9"/>
  <c r="AH40" i="6"/>
  <c r="AF40" i="6"/>
  <c r="C16" i="10"/>
  <c r="AH16" i="6"/>
  <c r="AF16" i="6"/>
  <c r="H16" i="9"/>
  <c r="C34" i="10"/>
  <c r="H34" i="9"/>
  <c r="AH34" i="6"/>
  <c r="AF34" i="6"/>
  <c r="C18" i="10"/>
  <c r="H18" i="9"/>
  <c r="AH18" i="6"/>
  <c r="AF18" i="6"/>
  <c r="D39" i="10"/>
  <c r="N39" i="9"/>
  <c r="AH39" i="7"/>
  <c r="AF39" i="7"/>
  <c r="C10" i="10"/>
  <c r="H10" i="9"/>
  <c r="AH10" i="6"/>
  <c r="AF10" i="6"/>
  <c r="N24" i="9"/>
  <c r="D24" i="10"/>
  <c r="AF24" i="7"/>
  <c r="AH24" i="7"/>
  <c r="C22" i="10"/>
  <c r="H22" i="9"/>
  <c r="AF22" i="6"/>
  <c r="AH22" i="6"/>
  <c r="D44" i="10"/>
  <c r="N44" i="9"/>
  <c r="U44" i="9" s="1"/>
  <c r="AH44" i="7"/>
  <c r="AF44" i="7"/>
  <c r="C14" i="10"/>
  <c r="H14" i="9"/>
  <c r="AF14" i="6"/>
  <c r="AH14" i="6"/>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C25" i="10"/>
  <c r="H25" i="9"/>
  <c r="AH25" i="6"/>
  <c r="AF25" i="6"/>
  <c r="E24" i="10"/>
  <c r="T24" i="9"/>
  <c r="AH24" i="8"/>
  <c r="AF24" i="8"/>
  <c r="D28" i="10"/>
  <c r="N28" i="9"/>
  <c r="U28" i="9" s="1"/>
  <c r="AH28" i="7"/>
  <c r="AF28" i="7"/>
  <c r="N23" i="9"/>
  <c r="D23" i="10"/>
  <c r="AH23" i="7"/>
  <c r="AF23" i="7"/>
  <c r="C31" i="10"/>
  <c r="H31" i="9"/>
  <c r="AF31" i="6"/>
  <c r="AH31" i="6"/>
  <c r="D31" i="10"/>
  <c r="N31" i="9"/>
  <c r="AH31" i="7"/>
  <c r="AF31" i="7"/>
  <c r="D25" i="10"/>
  <c r="N25" i="9"/>
  <c r="AF25" i="7"/>
  <c r="AH25" i="7"/>
  <c r="C23" i="10"/>
  <c r="AF23" i="6"/>
  <c r="H23" i="9"/>
  <c r="AH23" i="6"/>
  <c r="E32" i="10"/>
  <c r="AH32" i="8"/>
  <c r="T32" i="9"/>
  <c r="AF32" i="8"/>
  <c r="D42" i="10"/>
  <c r="N42" i="9"/>
  <c r="AH42" i="7"/>
  <c r="AF42" i="7"/>
  <c r="C42" i="10"/>
  <c r="H42" i="9"/>
  <c r="AH42" i="6"/>
  <c r="AF42" i="6"/>
  <c r="C26" i="10"/>
  <c r="AH26" i="6"/>
  <c r="AF26" i="6"/>
  <c r="H26" i="9"/>
  <c r="U35" i="9"/>
  <c r="C38" i="10"/>
  <c r="H38" i="9"/>
  <c r="AF38" i="6"/>
  <c r="AH38" i="6"/>
  <c r="D36" i="10"/>
  <c r="N36" i="9"/>
  <c r="U36" i="9" s="1"/>
  <c r="AH36" i="7"/>
  <c r="AF36" i="7"/>
  <c r="C33" i="10"/>
  <c r="AH33" i="6"/>
  <c r="H33" i="9"/>
  <c r="U33" i="9" s="1"/>
  <c r="AF33" i="6"/>
  <c r="C15" i="10"/>
  <c r="H15" i="9"/>
  <c r="AF15" i="6"/>
  <c r="AH15" i="6"/>
  <c r="D34" i="10"/>
  <c r="N34" i="9"/>
  <c r="AH34" i="7"/>
  <c r="AF34" i="7"/>
  <c r="C24" i="10"/>
  <c r="H24" i="9"/>
  <c r="AH24" i="6"/>
  <c r="AF24" i="6"/>
  <c r="E38" i="10"/>
  <c r="AF38" i="8"/>
  <c r="T38" i="9"/>
  <c r="AH38" i="8"/>
  <c r="E40" i="10"/>
  <c r="AH40" i="8"/>
  <c r="T40" i="9"/>
  <c r="AF40" i="8"/>
  <c r="T42" i="9"/>
  <c r="E42" i="10"/>
  <c r="AF42" i="8"/>
  <c r="AH42" i="8"/>
  <c r="E39" i="10"/>
  <c r="T39" i="9"/>
  <c r="AH39" i="8"/>
  <c r="AF39" i="8"/>
  <c r="T26" i="9"/>
  <c r="E26" i="10"/>
  <c r="AF26" i="8"/>
  <c r="AH26" i="8"/>
  <c r="C39" i="10"/>
  <c r="H39" i="9"/>
  <c r="U39" i="9" s="1"/>
  <c r="AF39" i="6"/>
  <c r="AH39" i="6"/>
  <c r="E30" i="10"/>
  <c r="AF30" i="8"/>
  <c r="T30" i="9"/>
  <c r="AH30" i="8"/>
  <c r="D26" i="10"/>
  <c r="AH26" i="7"/>
  <c r="AF26" i="7"/>
  <c r="N26" i="9"/>
  <c r="E25" i="10"/>
  <c r="AF25" i="8"/>
  <c r="T25" i="9"/>
  <c r="AH25" i="8"/>
  <c r="C29" i="10"/>
  <c r="H29" i="9"/>
  <c r="U29" i="9" s="1"/>
  <c r="AH29" i="6"/>
  <c r="AF29" i="6"/>
  <c r="C13" i="10"/>
  <c r="H13" i="9"/>
  <c r="AH13" i="6"/>
  <c r="AF13" i="6"/>
  <c r="N40" i="9"/>
  <c r="D40" i="10"/>
  <c r="AF40" i="7"/>
  <c r="AH40" i="7"/>
  <c r="AF14" i="8" l="1"/>
  <c r="E20" i="10"/>
  <c r="T19" i="9"/>
  <c r="AH19" i="8"/>
  <c r="E19" i="10"/>
  <c r="AH20" i="8"/>
  <c r="T20" i="9"/>
  <c r="E14" i="10"/>
  <c r="E15" i="10"/>
  <c r="AH15" i="8"/>
  <c r="T15" i="9"/>
  <c r="E10" i="10"/>
  <c r="AH13" i="8"/>
  <c r="AF13" i="8"/>
  <c r="T14" i="9"/>
  <c r="T13" i="9"/>
  <c r="AF11" i="8"/>
  <c r="T10" i="9"/>
  <c r="AF10" i="8"/>
  <c r="T21" i="9"/>
  <c r="AH21" i="8"/>
  <c r="AF21" i="8"/>
  <c r="E18" i="10"/>
  <c r="T18" i="9"/>
  <c r="AH17" i="8"/>
  <c r="T12" i="9"/>
  <c r="AF9" i="8"/>
  <c r="AH9" i="8"/>
  <c r="E9" i="10"/>
  <c r="AH11" i="8"/>
  <c r="T11" i="9"/>
  <c r="AF23" i="8"/>
  <c r="T23" i="9"/>
  <c r="U23" i="9" s="1"/>
  <c r="F23" i="10" s="1"/>
  <c r="AH23" i="8"/>
  <c r="T22" i="9"/>
  <c r="U22" i="9" s="1"/>
  <c r="F22" i="10" s="1"/>
  <c r="E22" i="10"/>
  <c r="AH22" i="8"/>
  <c r="AF18" i="8"/>
  <c r="T17" i="9"/>
  <c r="AF17" i="8"/>
  <c r="E16" i="10"/>
  <c r="T16" i="9"/>
  <c r="AH16" i="8"/>
  <c r="E12" i="10"/>
  <c r="AF12" i="8"/>
  <c r="U42" i="9"/>
  <c r="F42" i="10" s="1"/>
  <c r="U24" i="9"/>
  <c r="U32" i="9"/>
  <c r="V32" i="9" s="1"/>
  <c r="AF12" i="7"/>
  <c r="AO10" i="7" s="1"/>
  <c r="H8" i="12" s="1"/>
  <c r="AH17" i="7"/>
  <c r="U31" i="9"/>
  <c r="V31" i="9" s="1"/>
  <c r="AH12" i="7"/>
  <c r="AF15" i="7"/>
  <c r="AF20" i="7"/>
  <c r="AH16" i="7"/>
  <c r="D9" i="10"/>
  <c r="N9" i="9"/>
  <c r="U9" i="9" s="1"/>
  <c r="F9" i="10" s="1"/>
  <c r="AH9" i="7"/>
  <c r="AF10" i="7"/>
  <c r="N10" i="9"/>
  <c r="D10" i="10"/>
  <c r="N11" i="9"/>
  <c r="D11" i="10"/>
  <c r="N12" i="9"/>
  <c r="AH13" i="7"/>
  <c r="D13" i="10"/>
  <c r="N13" i="9"/>
  <c r="D14" i="10"/>
  <c r="N14" i="9"/>
  <c r="AF14" i="7"/>
  <c r="N15" i="9"/>
  <c r="U15" i="9" s="1"/>
  <c r="D15" i="10"/>
  <c r="AF16" i="7"/>
  <c r="N16" i="9"/>
  <c r="U16" i="9" s="1"/>
  <c r="AF17" i="7"/>
  <c r="N17" i="9"/>
  <c r="AH18" i="7"/>
  <c r="N18" i="9"/>
  <c r="D18" i="10"/>
  <c r="AF22" i="7"/>
  <c r="D22" i="10"/>
  <c r="N22" i="9"/>
  <c r="D21" i="10"/>
  <c r="AH21" i="7"/>
  <c r="N21" i="9"/>
  <c r="U21" i="9" s="1"/>
  <c r="F21" i="10" s="1"/>
  <c r="AH20" i="7"/>
  <c r="N20" i="9"/>
  <c r="U20" i="9" s="1"/>
  <c r="V20" i="9" s="1"/>
  <c r="AF19" i="7"/>
  <c r="AH19" i="7"/>
  <c r="N19" i="9"/>
  <c r="A26" i="17"/>
  <c r="V28" i="9"/>
  <c r="F28" i="10"/>
  <c r="F43" i="10"/>
  <c r="V43" i="9"/>
  <c r="F39" i="10"/>
  <c r="V39" i="9"/>
  <c r="F44" i="10"/>
  <c r="V44" i="9"/>
  <c r="F31" i="10"/>
  <c r="U25" i="9"/>
  <c r="F35" i="10"/>
  <c r="V35" i="9"/>
  <c r="F29" i="10"/>
  <c r="V29" i="9"/>
  <c r="U38" i="9"/>
  <c r="U37" i="9"/>
  <c r="U34" i="9"/>
  <c r="U30" i="9"/>
  <c r="U41" i="9"/>
  <c r="V24" i="9"/>
  <c r="F24" i="10"/>
  <c r="U26" i="9"/>
  <c r="I9" i="10"/>
  <c r="E11" i="14" s="1"/>
  <c r="I13" i="10"/>
  <c r="E12" i="14" s="1"/>
  <c r="AO12" i="6"/>
  <c r="H10" i="11" s="1"/>
  <c r="AO11" i="6"/>
  <c r="H9" i="11" s="1"/>
  <c r="AO10" i="6"/>
  <c r="H8" i="11" s="1"/>
  <c r="AO9" i="6"/>
  <c r="H7" i="11" s="1"/>
  <c r="U40" i="9"/>
  <c r="F33" i="10"/>
  <c r="V33" i="9"/>
  <c r="F27" i="10"/>
  <c r="V27" i="9"/>
  <c r="F36" i="10"/>
  <c r="V36" i="9"/>
  <c r="U19" i="9" l="1"/>
  <c r="F19" i="10" s="1"/>
  <c r="AO12" i="8"/>
  <c r="H10" i="13" s="1"/>
  <c r="U14" i="9"/>
  <c r="V14" i="9" s="1"/>
  <c r="U18" i="9"/>
  <c r="F18" i="10" s="1"/>
  <c r="K9" i="10"/>
  <c r="E36" i="14" s="1"/>
  <c r="U13" i="9"/>
  <c r="F13" i="10" s="1"/>
  <c r="H21" i="16" s="1"/>
  <c r="U11" i="9"/>
  <c r="V11" i="9" s="1"/>
  <c r="U10" i="9"/>
  <c r="V10" i="9" s="1"/>
  <c r="U12" i="9"/>
  <c r="U17" i="9"/>
  <c r="V17" i="9" s="1"/>
  <c r="K13" i="10"/>
  <c r="E37" i="14" s="1"/>
  <c r="AO10" i="8"/>
  <c r="H8" i="13" s="1"/>
  <c r="AO11" i="8"/>
  <c r="H9" i="13" s="1"/>
  <c r="AO9" i="8"/>
  <c r="H7" i="13" s="1"/>
  <c r="F32" i="10"/>
  <c r="V42" i="9"/>
  <c r="V19" i="9"/>
  <c r="AO11" i="7"/>
  <c r="H9" i="12" s="1"/>
  <c r="AO12" i="7"/>
  <c r="H10" i="12" s="1"/>
  <c r="F12" i="10"/>
  <c r="H20" i="16" s="1"/>
  <c r="V12" i="9"/>
  <c r="AO9" i="7"/>
  <c r="H7" i="12" s="1"/>
  <c r="J13" i="10"/>
  <c r="E25" i="14" s="1"/>
  <c r="J9" i="10"/>
  <c r="E24" i="14" s="1"/>
  <c r="F20" i="10"/>
  <c r="H28" i="16" s="1"/>
  <c r="V22" i="9"/>
  <c r="V9" i="9"/>
  <c r="V21" i="9"/>
  <c r="V23" i="9"/>
  <c r="F15" i="10"/>
  <c r="V15" i="9"/>
  <c r="G29" i="10"/>
  <c r="H37" i="16"/>
  <c r="G21" i="10"/>
  <c r="H29" i="16"/>
  <c r="H11" i="11"/>
  <c r="I8" i="11" s="1"/>
  <c r="H32" i="16"/>
  <c r="G24" i="10"/>
  <c r="F41" i="10"/>
  <c r="V41" i="9"/>
  <c r="H30" i="16"/>
  <c r="G22" i="10"/>
  <c r="G39" i="10"/>
  <c r="H47" i="16"/>
  <c r="H36" i="16"/>
  <c r="G28" i="10"/>
  <c r="F30" i="10"/>
  <c r="V30" i="9"/>
  <c r="H51" i="16"/>
  <c r="G43" i="10"/>
  <c r="G35" i="10"/>
  <c r="H43" i="16"/>
  <c r="F25" i="10"/>
  <c r="V25" i="9"/>
  <c r="F16" i="10"/>
  <c r="V16" i="9"/>
  <c r="G27" i="10"/>
  <c r="H35" i="16"/>
  <c r="G9" i="10"/>
  <c r="H17" i="16"/>
  <c r="F34" i="10"/>
  <c r="V34" i="9"/>
  <c r="G31" i="10"/>
  <c r="H39" i="16"/>
  <c r="H40" i="16"/>
  <c r="G32" i="10"/>
  <c r="F37" i="10"/>
  <c r="V37" i="9"/>
  <c r="G23" i="10"/>
  <c r="H31" i="16"/>
  <c r="F26" i="10"/>
  <c r="V26" i="9"/>
  <c r="H44" i="16"/>
  <c r="G36" i="10"/>
  <c r="G33" i="10"/>
  <c r="H41" i="16"/>
  <c r="G19" i="10"/>
  <c r="H27" i="16"/>
  <c r="V40" i="9"/>
  <c r="F40" i="10"/>
  <c r="E13" i="14"/>
  <c r="G11" i="14" s="1"/>
  <c r="F38" i="10"/>
  <c r="V38" i="9"/>
  <c r="H50" i="16"/>
  <c r="G42" i="10"/>
  <c r="H52" i="16"/>
  <c r="G44" i="10"/>
  <c r="F14" i="10" l="1"/>
  <c r="H22" i="16" s="1"/>
  <c r="F11" i="10"/>
  <c r="H19" i="16" s="1"/>
  <c r="V18" i="9"/>
  <c r="E38" i="14"/>
  <c r="G13" i="10"/>
  <c r="V13" i="9"/>
  <c r="F10" i="10"/>
  <c r="H18" i="16" s="1"/>
  <c r="F17" i="10"/>
  <c r="G17" i="10" s="1"/>
  <c r="H11" i="13"/>
  <c r="I7" i="13" s="1"/>
  <c r="I9" i="11"/>
  <c r="G12" i="14"/>
  <c r="G13" i="14" s="1"/>
  <c r="I10" i="11"/>
  <c r="H11" i="12"/>
  <c r="I8" i="12" s="1"/>
  <c r="G20" i="10"/>
  <c r="G12" i="10"/>
  <c r="E26" i="14"/>
  <c r="G24" i="14" s="1"/>
  <c r="H26" i="16"/>
  <c r="G18" i="10"/>
  <c r="G25" i="10"/>
  <c r="H33" i="16"/>
  <c r="H24" i="16"/>
  <c r="G16" i="10"/>
  <c r="G15" i="10"/>
  <c r="H23" i="16"/>
  <c r="H48" i="16"/>
  <c r="G40" i="10"/>
  <c r="H46" i="16"/>
  <c r="G38" i="10"/>
  <c r="H42" i="16"/>
  <c r="G34" i="10"/>
  <c r="G41" i="10"/>
  <c r="H49" i="16"/>
  <c r="H34" i="16"/>
  <c r="G26" i="10"/>
  <c r="G37" i="10"/>
  <c r="H45" i="16"/>
  <c r="H38" i="16"/>
  <c r="G30" i="10"/>
  <c r="I7" i="11"/>
  <c r="G14" i="10" l="1"/>
  <c r="H25" i="16"/>
  <c r="G11" i="10"/>
  <c r="G10" i="10"/>
  <c r="I9" i="13"/>
  <c r="I10" i="13"/>
  <c r="I8" i="13"/>
  <c r="I11" i="11"/>
  <c r="I9" i="12"/>
  <c r="I7" i="12"/>
  <c r="I10" i="12"/>
  <c r="G37" i="14"/>
  <c r="G25" i="14"/>
  <c r="G26" i="14" s="1"/>
  <c r="G36" i="14"/>
  <c r="I11" i="13" l="1"/>
  <c r="I11" i="12"/>
  <c r="G38" i="14"/>
</calcChain>
</file>

<file path=xl/sharedStrings.xml><?xml version="1.0" encoding="utf-8"?>
<sst xmlns="http://schemas.openxmlformats.org/spreadsheetml/2006/main" count="968" uniqueCount="234">
  <si>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</si>
  <si>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</si>
  <si>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</si>
  <si>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</si>
  <si>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</si>
  <si>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</si>
  <si>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</si>
  <si>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</si>
  <si>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</si>
  <si>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</si>
  <si>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</si>
  <si>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</si>
  <si>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</si>
  <si>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</si>
  <si>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</si>
  <si>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</si>
  <si>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</si>
  <si>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</si>
  <si>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</si>
  <si>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</si>
  <si>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</si>
  <si>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</si>
  <si>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</si>
  <si>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</si>
  <si>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</si>
  <si>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</si>
  <si>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</si>
  <si>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</si>
  <si>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</si>
  <si>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</si>
  <si>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</si>
  <si>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</si>
  <si>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</si>
  <si>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</si>
  <si>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</si>
  <si>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</si>
  <si>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</si>
  <si>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</si>
  <si>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</si>
  <si>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</si>
  <si>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</si>
  <si>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</si>
  <si>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</si>
  <si>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</si>
  <si>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</si>
  <si>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</si>
  <si>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</si>
  <si>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</si>
  <si>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</si>
  <si>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</si>
  <si>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</si>
  <si>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</si>
  <si>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</si>
  <si>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</si>
  <si>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</si>
  <si>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</si>
  <si>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</si>
  <si>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</si>
  <si>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</si>
  <si>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</si>
  <si>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</si>
  <si>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</si>
  <si>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</si>
  <si>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</si>
  <si>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</si>
  <si>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</si>
  <si>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</si>
  <si>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</si>
  <si>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</si>
  <si>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</si>
  <si>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</si>
  <si>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</si>
  <si>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</si>
  <si>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</si>
  <si>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</si>
  <si>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</si>
  <si>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</si>
  <si>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</si>
  <si>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</si>
  <si>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</si>
  <si>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</si>
  <si>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</si>
  <si>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</si>
  <si>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</si>
  <si>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</si>
  <si>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</si>
  <si>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</si>
  <si>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</si>
  <si>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</si>
  <si>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</si>
  <si>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</si>
  <si>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</si>
  <si>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</si>
  <si>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</si>
  <si>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</si>
  <si>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</si>
  <si>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</si>
  <si>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</si>
  <si>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</si>
  <si>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</si>
  <si>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</si>
  <si>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</si>
  <si>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</si>
  <si>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</si>
  <si>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</si>
  <si>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</si>
  <si>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</si>
  <si>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</si>
  <si>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</si>
  <si>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</si>
  <si>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</si>
  <si>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</si>
  <si>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</si>
  <si>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</si>
  <si>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</si>
  <si>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</si>
  <si>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</si>
  <si>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</si>
  <si>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</si>
  <si>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</si>
  <si>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</si>
  <si>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</si>
  <si>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</si>
  <si>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</si>
  <si>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</si>
  <si>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</si>
  <si>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</si>
  <si>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</si>
  <si>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</si>
  <si>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</si>
  <si>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</si>
  <si>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</si>
  <si>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</si>
  <si>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</si>
  <si>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</si>
  <si>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</si>
  <si>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</si>
  <si>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</si>
  <si>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</si>
  <si>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</si>
  <si>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</si>
  <si>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</si>
  <si>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</si>
  <si>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</si>
  <si>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</si>
  <si>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</si>
  <si>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</si>
  <si>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</si>
  <si>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</si>
  <si>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</si>
  <si>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</si>
  <si>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</si>
  <si>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</si>
  <si>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</si>
  <si>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</si>
  <si>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</si>
  <si>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</si>
  <si>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</si>
  <si>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</si>
  <si>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</si>
  <si>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</si>
  <si>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</si>
  <si>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</si>
  <si>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</si>
  <si>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</si>
  <si>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</si>
  <si>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</si>
  <si>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</si>
  <si>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</si>
  <si>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</si>
  <si>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</si>
  <si>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</si>
  <si>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</si>
  <si>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</si>
  <si>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</si>
  <si>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</si>
  <si>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</si>
  <si>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</si>
  <si>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</si>
  <si>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</si>
  <si>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</si>
  <si>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</si>
  <si>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</si>
  <si>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</si>
  <si>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</si>
  <si>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</si>
  <si>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</si>
  <si>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</si>
  <si>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</si>
  <si>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</si>
  <si>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</si>
  <si>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</si>
  <si>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</si>
  <si>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</si>
  <si>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</si>
  <si>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</si>
  <si>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</si>
  <si>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</si>
  <si>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</si>
  <si>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</si>
  <si>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</si>
  <si>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</si>
  <si>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</si>
  <si>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</si>
  <si>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</si>
  <si>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</si>
  <si>
    <t>19/8/2021</t>
  </si>
  <si>
    <t>19/08/2021 (Primer Examen)</t>
  </si>
  <si>
    <t>26/8/20212</t>
  </si>
  <si>
    <t>26/08/2021 (sumas binarias)</t>
  </si>
  <si>
    <t>2/9/2021</t>
  </si>
  <si>
    <t>9/9/2021</t>
  </si>
  <si>
    <t>16/09/2021 (Segundo Examen)</t>
  </si>
  <si>
    <t>cc</t>
  </si>
  <si>
    <t>camara</t>
  </si>
  <si>
    <t>p</t>
  </si>
  <si>
    <t>CC</t>
  </si>
  <si>
    <t>11/11/2021 (Logica de Predicados)</t>
  </si>
  <si>
    <t>30/09/2021 (Resta Complemento)</t>
  </si>
  <si>
    <t>14/10/2021 (Resta Complemento a dos)</t>
  </si>
  <si>
    <t>14/10/2021 (Binario a Decimal)</t>
  </si>
  <si>
    <t>21/10/2021 (1er Examen)</t>
  </si>
  <si>
    <t>28/10/2021 (Conversion Binario a octal)</t>
  </si>
  <si>
    <t>11/11/2021 (Logica Proposicional)</t>
  </si>
  <si>
    <t>25/03/2021 (Practica Receta Preguntas)</t>
  </si>
  <si>
    <t>29/04/2021 (1er Examen)</t>
  </si>
  <si>
    <t>25/03/2021 (Practica Sobre algoritmos)</t>
  </si>
  <si>
    <t>25/03/2021 (Elaboracion de Algoritmos)</t>
  </si>
  <si>
    <t>01/04/2021 (Ejercicio algoritmo)</t>
  </si>
  <si>
    <t>permiso sacar carnet</t>
  </si>
  <si>
    <t>2/12/2021 (2do Examen)</t>
  </si>
  <si>
    <t>PROGRAMACION VISUAL</t>
  </si>
  <si>
    <t>SEGURIDAD EN SISTEMAS INFORMATICOS</t>
  </si>
  <si>
    <t>PROGRAMACION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</si>
</sst>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dd/mm/yyyy"/>
    <numFmt numFmtId="165" formatCode="0.0"/>
    <numFmt numFmtId="166" formatCode="_-* #,##0_-;\-* #,##0_-;_-* &quot;-&quot;??_-;_-@_-"/>
    <numFmt numFmtId="167" formatCode="0.0%"/>
  </numFmts>
  <fonts count="6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
      <sz val="9"/>
      <color theme="1"/>
      <name val="Calibri"/>
      <family val="2"/>
    </font>
    <font>
      <b/>
      <sz val="9"/>
      <color rgb="FFC00000"/>
      <name val="Calibri"/>
      <family val="2"/>
    </font>
    <font>
      <sz val="9"/>
      <name val="Arial"/>
      <family val="2"/>
    </font>
  </fonts>
  <fills count="2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theme="4" tint="0.39997558519241921"/>
        <bgColor indexed="64"/>
      </patternFill>
    </fill>
    <fill>
      <patternFill patternType="solid">
        <fgColor theme="0"/>
        <bgColor indexed="64"/>
      </patternFill>
    </fill>
    <fill>
      <patternFill patternType="solid">
        <fgColor theme="0"/>
        <bgColor rgb="FFD6DCE4"/>
      </patternFill>
    </fill>
    <fill>
      <patternFill patternType="solid">
        <fgColor rgb="FFFFCCFF"/>
        <bgColor indexed="64"/>
      </patternFill>
    </fill>
    <fill>
      <patternFill patternType="solid">
        <fgColor theme="4" tint="0.79998168889431442"/>
        <bgColor rgb="FFD6DCE4"/>
      </patternFill>
    </fill>
    <fill>
      <patternFill patternType="solid">
        <fgColor theme="7" tint="0.79998168889431442"/>
        <bgColor rgb="FFFBE4D5"/>
      </patternFill>
    </fill>
    <fill>
      <patternFill patternType="solid">
        <fgColor theme="4" tint="0.79998168889431442"/>
        <bgColor rgb="FFDEEAF6"/>
      </patternFill>
    </fill>
    <fill>
      <patternFill patternType="solid">
        <fgColor theme="4" tint="0.79998168889431442"/>
        <bgColor indexed="64"/>
      </patternFill>
    </fill>
  </fills>
  <borders count="70">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rgb="FF000000"/>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7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58" fillId="0" borderId="19" xfId="0" applyFont="1" applyBorder="1" applyAlignment="1">
      <alignment horizontal="center" vertical="center"/>
    </xf>
    <xf numFmtId="0" fontId="58" fillId="0" borderId="27" xfId="0" applyFont="1" applyBorder="1" applyAlignment="1">
      <alignment horizontal="center" vertical="center"/>
    </xf>
    <xf numFmtId="0" fontId="58" fillId="0" borderId="29" xfId="0" applyFont="1" applyBorder="1" applyAlignment="1">
      <alignment horizontal="center" vertical="center"/>
    </xf>
    <xf numFmtId="14" fontId="58" fillId="0" borderId="27" xfId="0" applyNumberFormat="1" applyFont="1" applyBorder="1" applyAlignment="1">
      <alignment horizontal="center" vertical="center" textRotation="90"/>
    </xf>
    <xf numFmtId="1" fontId="41" fillId="0" borderId="0" xfId="0" applyNumberFormat="1" applyFont="1" applyAlignment="1"/>
    <xf numFmtId="1" fontId="21" fillId="0" borderId="0" xfId="0" applyNumberFormat="1" applyFont="1" applyAlignment="1"/>
    <xf numFmtId="0" fontId="21" fillId="0" borderId="0" xfId="0" applyFont="1" applyAlignment="1"/>
    <xf numFmtId="0" fontId="10" fillId="9" borderId="19" xfId="0" applyFont="1" applyFill="1" applyBorder="1" applyAlignment="1">
      <alignment horizontal="left" vertical="center"/>
    </xf>
    <xf numFmtId="1" fontId="21" fillId="9" borderId="0" xfId="0" applyNumberFormat="1" applyFont="1" applyFill="1" applyAlignment="1"/>
    <xf numFmtId="0" fontId="9" fillId="9" borderId="19" xfId="0" applyFont="1" applyFill="1" applyBorder="1" applyAlignment="1">
      <alignment horizontal="center" vertical="center"/>
    </xf>
    <xf numFmtId="0" fontId="28" fillId="11" borderId="19" xfId="0" applyFont="1" applyFill="1" applyBorder="1" applyAlignment="1">
      <alignment horizontal="center" vertical="center"/>
    </xf>
    <xf numFmtId="0" fontId="10" fillId="0" borderId="27" xfId="0" applyFont="1" applyBorder="1" applyAlignment="1">
      <alignment horizontal="center" vertical="center"/>
    </xf>
    <xf numFmtId="1" fontId="44" fillId="0" borderId="0" xfId="0" applyNumberFormat="1" applyFont="1" applyAlignment="1"/>
    <xf numFmtId="0" fontId="18" fillId="4" borderId="15" xfId="0" applyFont="1" applyFill="1" applyBorder="1"/>
    <xf numFmtId="0" fontId="19" fillId="0" borderId="39" xfId="0" applyFont="1" applyBorder="1" applyAlignment="1">
      <alignment horizontal="center" vertical="center"/>
    </xf>
    <xf numFmtId="0" fontId="59" fillId="5" borderId="19" xfId="0" applyFont="1" applyFill="1" applyBorder="1" applyAlignment="1">
      <alignment horizontal="center" vertical="center"/>
    </xf>
    <xf numFmtId="1" fontId="59" fillId="5" borderId="19" xfId="0" applyNumberFormat="1" applyFont="1" applyFill="1" applyBorder="1" applyAlignment="1">
      <alignment horizontal="center" vertical="center"/>
    </xf>
    <xf numFmtId="0" fontId="59" fillId="10" borderId="19" xfId="0" applyFont="1" applyFill="1" applyBorder="1" applyAlignment="1">
      <alignment horizontal="center" vertical="center"/>
    </xf>
    <xf numFmtId="1" fontId="59" fillId="10" borderId="19" xfId="0" applyNumberFormat="1" applyFont="1" applyFill="1" applyBorder="1" applyAlignment="1">
      <alignment horizontal="center" vertical="center"/>
    </xf>
    <xf numFmtId="0" fontId="0" fillId="13" borderId="0" xfId="0" applyFont="1" applyFill="1" applyAlignment="1"/>
    <xf numFmtId="0" fontId="20" fillId="14" borderId="19" xfId="0" applyFont="1" applyFill="1" applyBorder="1" applyAlignment="1">
      <alignment horizontal="center" vertical="center"/>
    </xf>
    <xf numFmtId="0" fontId="10" fillId="14" borderId="39" xfId="0" applyFont="1" applyFill="1" applyBorder="1" applyAlignment="1">
      <alignment horizontal="left" vertical="center"/>
    </xf>
    <xf numFmtId="1" fontId="10" fillId="14" borderId="65" xfId="0" applyNumberFormat="1" applyFont="1" applyFill="1" applyBorder="1" applyAlignment="1">
      <alignment horizontal="center" vertical="center"/>
    </xf>
    <xf numFmtId="0" fontId="10" fillId="14" borderId="41" xfId="0" applyFont="1" applyFill="1" applyBorder="1" applyAlignment="1">
      <alignment horizontal="center" vertical="center"/>
    </xf>
    <xf numFmtId="0" fontId="10"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10" fillId="14" borderId="39" xfId="0" applyFont="1" applyFill="1" applyBorder="1" applyAlignment="1">
      <alignment horizontal="center" vertical="center"/>
    </xf>
    <xf numFmtId="0" fontId="10" fillId="14" borderId="69" xfId="0" applyFont="1" applyFill="1" applyBorder="1" applyAlignment="1">
      <alignment horizontal="center" vertical="center"/>
    </xf>
    <xf numFmtId="0" fontId="26" fillId="15" borderId="41" xfId="0" applyFont="1" applyFill="1" applyBorder="1" applyAlignment="1">
      <alignment horizontal="center" vertical="center"/>
    </xf>
    <xf numFmtId="0" fontId="0" fillId="14" borderId="0" xfId="0" applyFont="1" applyFill="1" applyAlignment="1"/>
    <xf numFmtId="0" fontId="0" fillId="12" borderId="0" xfId="0" applyFont="1" applyFill="1" applyAlignment="1"/>
    <xf numFmtId="0" fontId="0" fillId="16" borderId="0" xfId="0" applyFont="1" applyFill="1" applyAlignment="1"/>
    <xf numFmtId="1" fontId="10" fillId="14" borderId="64" xfId="0" applyNumberFormat="1" applyFont="1" applyFill="1" applyBorder="1" applyAlignment="1">
      <alignment horizontal="center" vertical="center"/>
    </xf>
    <xf numFmtId="1" fontId="10" fillId="14" borderId="66" xfId="0" applyNumberFormat="1" applyFont="1" applyFill="1" applyBorder="1" applyAlignment="1">
      <alignment horizontal="center" vertical="center"/>
    </xf>
    <xf numFmtId="0" fontId="26" fillId="17" borderId="19" xfId="0" applyFont="1" applyFill="1" applyBorder="1" applyAlignment="1">
      <alignment horizontal="center" vertical="center"/>
    </xf>
    <xf numFmtId="1" fontId="26" fillId="17" borderId="19" xfId="0" applyNumberFormat="1" applyFont="1" applyFill="1" applyBorder="1" applyAlignment="1">
      <alignment horizontal="center" vertical="center"/>
    </xf>
    <xf numFmtId="0" fontId="28" fillId="18" borderId="19" xfId="0" applyFont="1" applyFill="1" applyBorder="1" applyAlignment="1">
      <alignment horizontal="center" vertical="center"/>
    </xf>
    <xf numFmtId="0" fontId="23" fillId="19" borderId="1" xfId="0" applyFont="1" applyFill="1" applyBorder="1" applyAlignment="1">
      <alignment horizontal="center" vertical="center" wrapText="1"/>
    </xf>
    <xf numFmtId="0" fontId="6" fillId="19" borderId="1" xfId="0" applyFont="1" applyFill="1" applyBorder="1"/>
    <xf numFmtId="0" fontId="1" fillId="19" borderId="1" xfId="0" applyFont="1" applyFill="1" applyBorder="1"/>
    <xf numFmtId="0" fontId="24" fillId="19" borderId="1" xfId="0" applyFont="1" applyFill="1" applyBorder="1"/>
    <xf numFmtId="0" fontId="10" fillId="19" borderId="1" xfId="0" applyFont="1" applyFill="1" applyBorder="1" applyAlignment="1">
      <alignment horizontal="center" textRotation="90"/>
    </xf>
    <xf numFmtId="0" fontId="8" fillId="19" borderId="1" xfId="0" applyFont="1" applyFill="1" applyBorder="1" applyAlignment="1">
      <alignment horizontal="center" vertical="center" textRotation="90"/>
    </xf>
    <xf numFmtId="0" fontId="9" fillId="20" borderId="19" xfId="0" applyFont="1" applyFill="1" applyBorder="1" applyAlignment="1">
      <alignment vertical="center"/>
    </xf>
    <xf numFmtId="0" fontId="9" fillId="19" borderId="1" xfId="0" applyFont="1" applyFill="1" applyBorder="1" applyAlignment="1">
      <alignment horizontal="center" vertical="center"/>
    </xf>
    <xf numFmtId="0" fontId="9" fillId="20" borderId="19" xfId="0" applyFont="1" applyFill="1" applyBorder="1" applyAlignment="1">
      <alignment horizontal="center" vertical="center"/>
    </xf>
    <xf numFmtId="165" fontId="12" fillId="7" borderId="19" xfId="0" applyNumberFormat="1" applyFont="1" applyFill="1" applyBorder="1" applyAlignment="1">
      <alignment horizontal="center" vertical="center"/>
    </xf>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0" fillId="0" borderId="58" xfId="0" applyFont="1" applyBorder="1" applyAlignment="1">
      <alignment horizontal="center" vertical="center"/>
    </xf>
    <xf numFmtId="1" fontId="52" fillId="0" borderId="58" xfId="0" applyNumberFormat="1" applyFont="1" applyBorder="1" applyAlignment="1">
      <alignment horizont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4" fillId="6" borderId="29" xfId="0" applyFont="1" applyFill="1" applyBorder="1" applyAlignment="1">
      <alignment horizontal="center" textRotation="90"/>
    </xf>
    <xf numFmtId="0" fontId="3" fillId="0" borderId="27" xfId="0" applyFont="1" applyBorder="1"/>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17" fillId="0" borderId="29" xfId="0" applyFont="1" applyBorder="1" applyAlignment="1">
      <alignment horizontal="center" textRotation="90"/>
    </xf>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29" fillId="9" borderId="39" xfId="0" applyFont="1" applyFill="1" applyBorder="1" applyAlignment="1">
      <alignment horizontal="center" vertical="center"/>
    </xf>
    <xf numFmtId="0" fontId="60" fillId="9" borderId="40" xfId="0" applyFont="1" applyFill="1" applyBorder="1"/>
    <xf numFmtId="0" fontId="60" fillId="9" borderId="41" xfId="0" applyFont="1" applyFill="1" applyBorder="1"/>
    <xf numFmtId="0" fontId="60" fillId="0" borderId="40" xfId="0" applyFont="1" applyBorder="1"/>
    <xf numFmtId="0" fontId="60" fillId="0" borderId="41" xfId="0" applyFont="1" applyBorder="1"/>
    <xf numFmtId="0" fontId="29" fillId="14" borderId="39" xfId="0" applyFont="1" applyFill="1" applyBorder="1" applyAlignment="1">
      <alignment horizontal="center" vertical="center"/>
    </xf>
    <xf numFmtId="0" fontId="3" fillId="14" borderId="40" xfId="0" applyFont="1" applyFill="1" applyBorder="1"/>
    <xf numFmtId="0" fontId="3" fillId="14" borderId="41" xfId="0" applyFont="1" applyFill="1" applyBorder="1"/>
    <xf numFmtId="0" fontId="9" fillId="20" borderId="39" xfId="0" applyFont="1" applyFill="1" applyBorder="1" applyAlignment="1">
      <alignment horizontal="center" vertical="center"/>
    </xf>
    <xf numFmtId="0" fontId="3" fillId="20" borderId="41" xfId="0" applyFont="1" applyFill="1" applyBorder="1"/>
    <xf numFmtId="0" fontId="17" fillId="0" borderId="67" xfId="0" applyFont="1" applyBorder="1" applyAlignment="1">
      <alignment horizontal="center" textRotation="90"/>
    </xf>
    <xf numFmtId="0" fontId="3" fillId="0" borderId="68" xfId="0" applyFont="1" applyBorder="1"/>
    <xf numFmtId="0" fontId="14" fillId="5" borderId="32" xfId="0" applyFont="1" applyFill="1" applyBorder="1" applyAlignment="1">
      <alignment horizontal="center" textRotation="90"/>
    </xf>
    <xf numFmtId="0" fontId="17" fillId="0" borderId="67" xfId="0" applyFont="1" applyBorder="1" applyAlignment="1">
      <alignment horizontal="center" vertical="center" textRotation="90"/>
    </xf>
    <xf numFmtId="0" fontId="17" fillId="0" borderId="43" xfId="0" applyFont="1" applyBorder="1" applyAlignment="1">
      <alignment horizontal="center" vertical="center"/>
    </xf>
    <xf numFmtId="0" fontId="3" fillId="0" borderId="43" xfId="0" applyFont="1" applyBorder="1"/>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3" xfId="0" applyNumberFormat="1" applyFont="1" applyBorder="1" applyAlignment="1">
      <alignment horizontal="center" vertical="center"/>
    </xf>
    <xf numFmtId="1" fontId="10" fillId="0" borderId="54" xfId="0" applyNumberFormat="1" applyFont="1" applyBorder="1" applyAlignment="1">
      <alignment horizontal="center" vertical="center"/>
    </xf>
    <xf numFmtId="0" fontId="3" fillId="0" borderId="55" xfId="0" applyFont="1" applyBorder="1"/>
    <xf numFmtId="1" fontId="10" fillId="0" borderId="53" xfId="0" applyNumberFormat="1" applyFont="1" applyBorder="1" applyAlignment="1">
      <alignment horizont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65" fontId="37" fillId="0" borderId="19" xfId="0" applyNumberFormat="1" applyFont="1" applyBorder="1" applyAlignment="1">
      <alignment horizontal="center" vertical="center"/>
    </xf>
    <xf numFmtId="167" fontId="1" fillId="0" borderId="19" xfId="0" applyNumberFormat="1" applyFont="1" applyBorder="1" applyAlignment="1">
      <alignment horizontal="center" vertical="center"/>
    </xf>
    <xf numFmtId="165" fontId="1" fillId="0" borderId="19" xfId="0" applyNumberFormat="1" applyFont="1" applyBorder="1" applyAlignment="1">
      <alignment horizontal="center" vertical="center"/>
    </xf>
    <xf numFmtId="165" fontId="14" fillId="0" borderId="19" xfId="0" applyNumberFormat="1" applyFont="1" applyBorder="1" applyAlignment="1">
      <alignment horizontal="center"/>
    </xf>
    <xf numFmtId="165" fontId="14" fillId="0" borderId="47" xfId="0" applyNumberFormat="1" applyFont="1" applyBorder="1" applyAlignment="1">
      <alignment horizontal="center" vertical="center" textRotation="90" wrapText="1"/>
    </xf>
    <xf numFmtId="165" fontId="14" fillId="0" borderId="27" xfId="0" applyNumberFormat="1" applyFont="1" applyBorder="1" applyAlignment="1">
      <alignment horizontal="center" vertical="center"/>
    </xf>
    <xf numFmtId="165" fontId="14" fillId="0" borderId="27" xfId="0" applyNumberFormat="1" applyFont="1" applyBorder="1"/>
    <xf numFmtId="165" fontId="14" fillId="0" borderId="58" xfId="0" applyNumberFormat="1" applyFont="1" applyBorder="1" applyAlignment="1">
      <alignment horizontal="center"/>
    </xf>
    <xf numFmtId="165" fontId="14" fillId="0" borderId="45" xfId="0" applyNumberFormat="1" applyFont="1" applyBorder="1" applyAlignment="1">
      <alignment horizontal="center"/>
    </xf>
    <xf numFmtId="165" fontId="14" fillId="0" borderId="60" xfId="0" applyNumberFormat="1" applyFont="1" applyBorder="1" applyAlignment="1">
      <alignment horizontal="center"/>
    </xf>
    <xf numFmtId="165" fontId="14" fillId="0" borderId="61" xfId="0" applyNumberFormat="1" applyFont="1" applyBorder="1" applyAlignment="1">
      <alignment horizontal="center"/>
    </xf>
    <xf numFmtId="165" fontId="14" fillId="0" borderId="59" xfId="0" applyNumberFormat="1" applyFont="1" applyBorder="1" applyAlignment="1">
      <alignment horizontal="center"/>
    </xf>
  </cellXfs>
  <cellStyles count="3">
    <cellStyle name="Hipervínculo" xfId="2" builtinId="8"/>
    <cellStyle name="Millares" xfId="1" builtinId="3"/>
    <cellStyle name="Normal" xfId="0" builtinId="0"/>
  </cellStyles>
  <dxfs count="31">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0.92307692307692313</c:v>
                </c:pt>
                <c:pt idx="1">
                  <c:v>7.6923076923076927E-2</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0.97222222222222221</c:v>
                </c:pt>
                <c:pt idx="1">
                  <c:v>2.7777777777777776E-2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5.5555555555555552E-2</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P22" totalsRowShown="0" headerRowDxfId="30" dataDxfId="28" headerRowBorderDxfId="29" tableBorderDxfId="27" totalsRowBorderDxfId="26">
  <autoFilter ref="A7:P22" xr:uid="{59FD026B-0623-4339-BB3D-C7C23EF06C1F}"/>
  <sortState xmlns:xlrd2="http://schemas.microsoft.com/office/spreadsheetml/2017/richdata2" ref="A8:L22">
    <sortCondition ref="B7:B22"/>
  </sortState>
  <tableColumns count="16">
    <tableColumn id="1" xr3:uid="{DEBE85AE-5009-470A-94B3-5373DB6D3A02}" name="Nº" dataDxfId="25"/>
    <tableColumn id="2" xr3:uid="{12B12D34-4BC0-4E8C-A098-718976792D72}" name="NÓMINA DE ESTUDIANTES" dataDxfId="24">
      <calculatedColumnFormula>'C. FILIACION'!B8</calculatedColumnFormula>
    </tableColumn>
    <tableColumn id="3" xr3:uid="{FDC463D7-1C57-4672-9DA3-BC831344720F}" name="13/5/2020" dataDxfId="23"/>
    <tableColumn id="4" xr3:uid="{42BFB67E-0798-4ACA-BD99-0C0997D12A2C}" name="20/5/2020" dataDxfId="22"/>
    <tableColumn id="5" xr3:uid="{7F7E2003-B335-4050-B634-39343FA64E1C}" name="27/5/2021" dataDxfId="21"/>
    <tableColumn id="6" xr3:uid="{E7A9D7E8-FCFD-464F-9ADC-A03DE6E7333C}" name="1/7/2021" dataDxfId="20"/>
    <tableColumn id="7" xr3:uid="{890A7888-92F7-4EDF-BA48-C7494FF63900}" name="8/7/2021" dataDxfId="19"/>
    <tableColumn id="8" xr3:uid="{E9EF9408-0712-4BC3-A036-DEC39DEDC006}" name="15/7/2021" dataDxfId="18"/>
    <tableColumn id="9" xr3:uid="{6A753869-F65D-44A1-9118-5F5BCCDA6B79}" name="22/7/2021" dataDxfId="17"/>
    <tableColumn id="10" xr3:uid="{90398900-1432-4EAA-AD68-749D730E744C}" name="29/7/2021" dataDxfId="16"/>
    <tableColumn id="11" xr3:uid="{6EF176CB-A4A5-4D5E-8ABE-0E4B0F98088A}" name="5/8/2021" dataDxfId="15"/>
    <tableColumn id="12" xr3:uid="{0A527BC8-C677-4DF3-9BD8-BF9567F2E796}" name="12/8/2021" dataDxfId="14"/>
    <tableColumn id="13" xr3:uid="{ADB70729-A43B-4678-8A22-08E080E068FC}" name="19/8/2021" dataDxfId="13"/>
    <tableColumn id="14" xr3:uid="{88DED88E-9BA8-4096-AABD-663345A1AF48}" name="26/8/20212" dataDxfId="12"/>
    <tableColumn id="15" xr3:uid="{B98E7895-DF4A-47A3-BFDF-83312B664F18}" name="2/9/2021" dataDxfId="11"/>
    <tableColumn id="16" xr3:uid="{25F57227-C308-4F81-9C72-CEF0C021B8FD}" name="9/9/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A3NTQxNzYyODM4/a/MzY4OTU3NTk4MDA3/detail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1328125" defaultRowHeight="15" customHeight="1"/>
  <cols>
    <col min="1" max="1" width="3.6640625" customWidth="1"/>
    <col min="2" max="2" width="18.6640625" customWidth="1"/>
    <col min="3" max="6" width="8.73046875" customWidth="1"/>
    <col min="7" max="7" width="1.796875" customWidth="1"/>
    <col min="8" max="8" width="8.73046875" customWidth="1"/>
    <col min="9" max="9" width="3.6640625" customWidth="1"/>
    <col min="10" max="10" width="8.73046875" customWidth="1"/>
    <col min="11" max="11" width="1.796875" customWidth="1"/>
    <col min="12" max="26" width="8.73046875" customWidth="1"/>
  </cols>
  <sheetData>
    <row r="1" spans="1:26" ht="20.399999999999999">
      <c r="A1" s="1"/>
      <c r="B1" s="1"/>
      <c r="C1" s="1"/>
      <c r="D1" s="1"/>
      <c r="E1" s="1"/>
      <c r="F1" s="1"/>
      <c r="G1" s="1"/>
      <c r="H1" s="1"/>
      <c r="I1" s="1"/>
      <c r="J1" s="1"/>
      <c r="K1" s="1"/>
      <c r="L1" s="1"/>
      <c r="M1" s="1"/>
      <c r="N1" s="1"/>
      <c r="O1" s="1"/>
      <c r="P1" s="1"/>
      <c r="Q1" s="1"/>
      <c r="R1" s="1"/>
      <c r="S1" s="1"/>
      <c r="T1" s="1"/>
      <c r="U1" s="1"/>
      <c r="V1" s="1"/>
      <c r="W1" s="1"/>
      <c r="X1" s="1"/>
      <c r="Y1" s="1"/>
      <c r="Z1" s="1"/>
    </row>
    <row r="2" spans="1:26" ht="20.399999999999999">
      <c r="A2" s="1"/>
      <c r="B2" s="1"/>
      <c r="C2" s="1"/>
      <c r="D2" s="1"/>
      <c r="E2" s="1"/>
      <c r="F2" s="1"/>
      <c r="G2" s="1"/>
      <c r="H2" s="1"/>
      <c r="I2" s="1"/>
      <c r="J2" s="1"/>
      <c r="K2" s="1"/>
      <c r="L2" s="1"/>
      <c r="M2" s="1"/>
      <c r="N2" s="1"/>
      <c r="O2" s="1"/>
      <c r="P2" s="1"/>
      <c r="Q2" s="1"/>
      <c r="R2" s="1"/>
      <c r="S2" s="1"/>
      <c r="T2" s="1"/>
      <c r="U2" s="1"/>
      <c r="V2" s="1"/>
      <c r="W2" s="1"/>
      <c r="X2" s="1"/>
      <c r="Y2" s="1"/>
      <c r="Z2" s="1"/>
    </row>
    <row r="3" spans="1:26" ht="20.399999999999999">
      <c r="A3" s="1"/>
      <c r="B3" s="1"/>
      <c r="C3" s="1"/>
      <c r="D3" s="1"/>
      <c r="E3" s="1"/>
      <c r="F3" s="1"/>
      <c r="G3" s="1"/>
      <c r="H3" s="1"/>
      <c r="I3" s="1"/>
      <c r="J3" s="1"/>
      <c r="K3" s="1"/>
      <c r="L3" s="1"/>
      <c r="M3" s="1"/>
      <c r="N3" s="1"/>
      <c r="O3" s="1"/>
      <c r="P3" s="1"/>
      <c r="Q3" s="1"/>
      <c r="R3" s="1"/>
      <c r="S3" s="1"/>
      <c r="T3" s="1"/>
      <c r="U3" s="1"/>
      <c r="V3" s="1"/>
      <c r="W3" s="1"/>
      <c r="X3" s="1"/>
      <c r="Y3" s="1"/>
      <c r="Z3" s="1"/>
    </row>
    <row r="4" spans="1:26" ht="20.399999999999999">
      <c r="A4" s="1"/>
      <c r="B4" s="1"/>
      <c r="C4" s="1"/>
      <c r="D4" s="1"/>
      <c r="E4" s="1"/>
      <c r="F4" s="1"/>
      <c r="G4" s="1"/>
      <c r="H4" s="1"/>
      <c r="I4" s="1"/>
      <c r="J4" s="1"/>
      <c r="K4" s="1"/>
      <c r="L4" s="1"/>
      <c r="M4" s="1"/>
      <c r="N4" s="1"/>
      <c r="O4" s="1"/>
      <c r="P4" s="1"/>
      <c r="Q4" s="1"/>
      <c r="R4" s="1"/>
      <c r="S4" s="1"/>
      <c r="T4" s="1"/>
      <c r="U4" s="1"/>
      <c r="V4" s="1"/>
      <c r="W4" s="1"/>
      <c r="X4" s="1"/>
      <c r="Y4" s="1"/>
      <c r="Z4" s="1"/>
    </row>
    <row r="5" spans="1:26" ht="20.399999999999999">
      <c r="A5" s="1"/>
      <c r="B5" s="1"/>
      <c r="C5" s="1"/>
      <c r="D5" s="1"/>
      <c r="E5" s="1"/>
      <c r="F5" s="1"/>
      <c r="G5" s="1"/>
      <c r="H5" s="1"/>
      <c r="I5" s="1"/>
      <c r="J5" s="1"/>
      <c r="K5" s="1"/>
      <c r="L5" s="1"/>
      <c r="M5" s="1"/>
      <c r="N5" s="1"/>
      <c r="O5" s="1"/>
      <c r="P5" s="1"/>
      <c r="Q5" s="1"/>
      <c r="R5" s="1"/>
      <c r="S5" s="1"/>
      <c r="T5" s="1"/>
      <c r="U5" s="1"/>
      <c r="V5" s="1"/>
      <c r="W5" s="1"/>
      <c r="X5" s="1"/>
      <c r="Y5" s="1"/>
      <c r="Z5" s="1"/>
    </row>
    <row r="6" spans="1:26" ht="20.399999999999999">
      <c r="A6" s="1"/>
      <c r="B6" s="1"/>
      <c r="C6" s="1"/>
      <c r="D6" s="1"/>
      <c r="E6" s="1"/>
      <c r="F6" s="1"/>
      <c r="G6" s="1"/>
      <c r="H6" s="1"/>
      <c r="I6" s="1"/>
      <c r="J6" s="1"/>
      <c r="K6" s="1"/>
      <c r="L6" s="1"/>
      <c r="M6" s="1"/>
      <c r="N6" s="1"/>
      <c r="O6" s="1"/>
      <c r="P6" s="1"/>
      <c r="Q6" s="1"/>
      <c r="R6" s="1"/>
      <c r="S6" s="1"/>
      <c r="T6" s="1"/>
      <c r="U6" s="1"/>
      <c r="V6" s="1"/>
      <c r="W6" s="1"/>
      <c r="X6" s="1"/>
      <c r="Y6" s="1"/>
      <c r="Z6" s="1"/>
    </row>
    <row r="7" spans="1:26" ht="20.399999999999999">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237" t="s">
        <v>0</v>
      </c>
      <c r="D8" s="238"/>
      <c r="E8" s="239"/>
      <c r="F8" s="2"/>
      <c r="G8" s="3"/>
      <c r="H8" s="4"/>
      <c r="I8" s="4"/>
      <c r="J8" s="4"/>
      <c r="K8" s="5"/>
      <c r="L8" s="1"/>
      <c r="M8" s="1"/>
      <c r="N8" s="1"/>
      <c r="O8" s="1"/>
      <c r="P8" s="1"/>
      <c r="Q8" s="1"/>
      <c r="R8" s="1"/>
      <c r="S8" s="1"/>
      <c r="T8" s="1"/>
      <c r="U8" s="1"/>
      <c r="V8" s="1"/>
      <c r="W8" s="1"/>
      <c r="X8" s="1"/>
      <c r="Y8" s="1"/>
      <c r="Z8" s="1"/>
    </row>
    <row r="9" spans="1:26" ht="20.399999999999999">
      <c r="A9" s="1"/>
      <c r="B9" s="1"/>
      <c r="C9" s="1"/>
      <c r="D9" s="1"/>
      <c r="E9" s="1"/>
      <c r="F9" s="1"/>
      <c r="G9" s="6"/>
      <c r="H9" s="240" t="s">
        <v>1</v>
      </c>
      <c r="I9" s="241"/>
      <c r="J9" s="242"/>
      <c r="K9" s="7"/>
      <c r="L9" s="1"/>
      <c r="M9" s="1"/>
      <c r="N9" s="1"/>
      <c r="O9" s="1"/>
      <c r="P9" s="1"/>
      <c r="Q9" s="1"/>
      <c r="R9" s="1"/>
      <c r="S9" s="1"/>
      <c r="T9" s="1"/>
      <c r="U9" s="1"/>
      <c r="V9" s="1"/>
      <c r="W9" s="1"/>
      <c r="X9" s="1"/>
      <c r="Y9" s="1"/>
      <c r="Z9" s="1"/>
    </row>
    <row r="10" spans="1:26" ht="20.399999999999999">
      <c r="A10" s="1"/>
      <c r="B10" s="1"/>
      <c r="C10" s="1"/>
      <c r="D10" s="1"/>
      <c r="E10" s="1"/>
      <c r="F10" s="1"/>
      <c r="G10" s="6"/>
      <c r="H10" s="243"/>
      <c r="I10" s="244"/>
      <c r="J10" s="245"/>
      <c r="K10" s="7"/>
      <c r="L10" s="1"/>
      <c r="M10" s="1"/>
      <c r="N10" s="1"/>
      <c r="O10" s="1"/>
      <c r="P10" s="1"/>
      <c r="Q10" s="1"/>
      <c r="R10" s="1"/>
      <c r="S10" s="1"/>
      <c r="T10" s="1"/>
      <c r="U10" s="1"/>
      <c r="V10" s="1"/>
      <c r="W10" s="1"/>
      <c r="X10" s="1"/>
      <c r="Y10" s="1"/>
      <c r="Z10" s="1"/>
    </row>
    <row r="11" spans="1:26" ht="15" customHeight="1">
      <c r="A11" s="1"/>
      <c r="B11" s="8" t="s">
        <v>2</v>
      </c>
      <c r="C11" s="236" t="s">
        <v>3</v>
      </c>
      <c r="D11" s="234"/>
      <c r="E11" s="235"/>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46" t="s">
        <v>4</v>
      </c>
      <c r="I12" s="247"/>
      <c r="J12" s="247"/>
      <c r="K12" s="7"/>
      <c r="L12" s="1"/>
      <c r="M12" s="1"/>
      <c r="N12" s="1"/>
      <c r="O12" s="1"/>
      <c r="P12" s="1"/>
      <c r="Q12" s="1"/>
      <c r="R12" s="1"/>
      <c r="S12" s="1"/>
      <c r="T12" s="1"/>
      <c r="U12" s="1"/>
      <c r="V12" s="1"/>
      <c r="W12" s="1"/>
      <c r="X12" s="1"/>
      <c r="Y12" s="1"/>
      <c r="Z12" s="1"/>
    </row>
    <row r="13" spans="1:26" ht="20.399999999999999">
      <c r="A13" s="1"/>
      <c r="B13" s="8" t="s">
        <v>5</v>
      </c>
      <c r="C13" s="236"/>
      <c r="D13" s="234"/>
      <c r="E13" s="235"/>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c r="A15" s="1"/>
      <c r="B15" s="8" t="s">
        <v>8</v>
      </c>
      <c r="C15" s="236" t="s">
        <v>9</v>
      </c>
      <c r="D15" s="234"/>
      <c r="E15" s="235"/>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48" t="s">
        <v>10</v>
      </c>
      <c r="I16" s="247"/>
      <c r="J16" s="247"/>
      <c r="K16" s="7"/>
      <c r="L16" s="1"/>
      <c r="M16" s="1"/>
      <c r="N16" s="1"/>
      <c r="O16" s="1"/>
      <c r="P16" s="1"/>
      <c r="Q16" s="1"/>
      <c r="R16" s="1"/>
      <c r="S16" s="1"/>
      <c r="T16" s="1"/>
      <c r="U16" s="1"/>
      <c r="V16" s="1"/>
      <c r="W16" s="1"/>
      <c r="X16" s="1"/>
      <c r="Y16" s="1"/>
      <c r="Z16" s="1"/>
    </row>
    <row r="17" spans="1:26" ht="20.399999999999999">
      <c r="A17" s="1"/>
      <c r="B17" s="8" t="s">
        <v>11</v>
      </c>
      <c r="C17" s="236" t="s">
        <v>12</v>
      </c>
      <c r="D17" s="234"/>
      <c r="E17" s="235"/>
      <c r="F17" s="9"/>
      <c r="G17" s="6"/>
      <c r="H17" s="10"/>
      <c r="I17" s="10"/>
      <c r="J17" s="10"/>
      <c r="K17" s="7"/>
      <c r="L17" s="1"/>
      <c r="M17" s="1"/>
      <c r="N17" s="1"/>
      <c r="O17" s="1"/>
      <c r="P17" s="1"/>
      <c r="Q17" s="1"/>
      <c r="R17" s="1"/>
      <c r="S17" s="1"/>
      <c r="T17" s="1"/>
      <c r="U17" s="1"/>
      <c r="V17" s="1"/>
      <c r="W17" s="1"/>
      <c r="X17" s="1"/>
      <c r="Y17" s="1"/>
      <c r="Z17" s="1"/>
    </row>
    <row r="18" spans="1:26" ht="20.399999999999999">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c r="A19" s="1"/>
      <c r="B19" s="8" t="s">
        <v>13</v>
      </c>
      <c r="C19" s="233" t="s">
        <v>177</v>
      </c>
      <c r="D19" s="234"/>
      <c r="E19" s="235"/>
      <c r="F19" s="9"/>
      <c r="G19" s="6"/>
      <c r="H19" s="13">
        <v>44326</v>
      </c>
      <c r="I19" s="10"/>
      <c r="J19" s="13">
        <v>44439</v>
      </c>
      <c r="K19" s="7"/>
      <c r="L19" s="1"/>
      <c r="M19" s="1"/>
      <c r="N19" s="1"/>
      <c r="O19" s="1"/>
      <c r="P19" s="1"/>
      <c r="Q19" s="1"/>
      <c r="R19" s="1"/>
      <c r="S19" s="1"/>
      <c r="T19" s="1"/>
      <c r="U19" s="1"/>
      <c r="V19" s="1"/>
      <c r="W19" s="1"/>
      <c r="X19" s="1"/>
      <c r="Y19" s="1"/>
      <c r="Z19" s="1"/>
    </row>
    <row r="20" spans="1:26" ht="20.399999999999999">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236" t="s">
        <v>15</v>
      </c>
      <c r="D21" s="234"/>
      <c r="E21" s="235"/>
      <c r="F21" s="9"/>
      <c r="G21" s="6"/>
      <c r="H21" s="248" t="s">
        <v>16</v>
      </c>
      <c r="I21" s="247"/>
      <c r="J21" s="247"/>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236" t="s">
        <v>18</v>
      </c>
      <c r="D23" s="234"/>
      <c r="E23" s="235"/>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233" t="s">
        <v>188</v>
      </c>
      <c r="D25" s="234"/>
      <c r="E25" s="235"/>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236">
        <v>2021</v>
      </c>
      <c r="D27" s="234"/>
      <c r="E27" s="235"/>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1328125" defaultRowHeight="15" customHeight="1"/>
  <cols>
    <col min="1" max="1" width="2" customWidth="1"/>
    <col min="2" max="2" width="25" customWidth="1"/>
    <col min="3" max="3" width="8.06640625" customWidth="1"/>
    <col min="4" max="4" width="3.796875" hidden="1" customWidth="1"/>
    <col min="5" max="5" width="8.796875" customWidth="1"/>
    <col min="6" max="6" width="10.796875" customWidth="1"/>
    <col min="7" max="8" width="8.73046875" customWidth="1"/>
    <col min="9" max="9" width="9.73046875" customWidth="1"/>
    <col min="10" max="26" width="8.73046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51" t="s">
        <v>21</v>
      </c>
      <c r="C2" s="247"/>
      <c r="D2" s="247"/>
      <c r="E2" s="247"/>
      <c r="F2" s="247"/>
      <c r="G2" s="247"/>
      <c r="H2" s="247"/>
      <c r="I2" s="247"/>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49" t="str">
        <f>CARÁTULA!$C$15</f>
        <v>Instituto Tecnico Humanistico Jauzel Arrieta</v>
      </c>
      <c r="D4" s="247"/>
      <c r="E4" s="247"/>
      <c r="F4" s="22" t="s">
        <v>19</v>
      </c>
      <c r="G4" s="249" t="str">
        <f>CARÁTULA!$C$25</f>
        <v>Tecnica Tecnologica (Programacion)</v>
      </c>
      <c r="H4" s="247"/>
      <c r="I4" s="247"/>
      <c r="J4" s="19"/>
      <c r="K4" s="19"/>
      <c r="L4" s="19"/>
      <c r="M4" s="19"/>
      <c r="N4" s="19"/>
      <c r="O4" s="19"/>
      <c r="P4" s="19"/>
      <c r="Q4" s="19"/>
      <c r="R4" s="19"/>
      <c r="S4" s="19"/>
      <c r="T4" s="19"/>
      <c r="U4" s="19"/>
      <c r="V4" s="19"/>
      <c r="W4" s="19"/>
      <c r="X4" s="19"/>
      <c r="Y4" s="19"/>
      <c r="Z4" s="19"/>
    </row>
    <row r="5" spans="1:26" ht="12" customHeight="1">
      <c r="A5" s="20"/>
      <c r="B5" s="21" t="s">
        <v>14</v>
      </c>
      <c r="C5" s="249" t="str">
        <f>CARÁTULA!$C$21</f>
        <v>Secundaria</v>
      </c>
      <c r="D5" s="247"/>
      <c r="E5" s="247"/>
      <c r="F5" s="22" t="s">
        <v>13</v>
      </c>
      <c r="G5" s="249" t="str">
        <f>CARÁTULA!$C$19</f>
        <v>JOSE COAQUIRA COPA</v>
      </c>
      <c r="H5" s="247"/>
      <c r="I5" s="247"/>
      <c r="J5" s="19"/>
      <c r="K5" s="19"/>
      <c r="L5" s="19"/>
      <c r="M5" s="19"/>
      <c r="N5" s="19"/>
      <c r="O5" s="19"/>
      <c r="P5" s="19"/>
      <c r="Q5" s="19"/>
      <c r="R5" s="19"/>
      <c r="S5" s="19"/>
      <c r="T5" s="19"/>
      <c r="U5" s="19"/>
      <c r="V5" s="19"/>
      <c r="W5" s="19"/>
      <c r="X5" s="19"/>
      <c r="Y5" s="19"/>
      <c r="Z5" s="19"/>
    </row>
    <row r="6" spans="1:26" ht="12" customHeight="1">
      <c r="A6" s="20"/>
      <c r="B6" s="21" t="s">
        <v>22</v>
      </c>
      <c r="C6" s="249" t="str">
        <f>CARÁTULA!$C$23</f>
        <v>1ro de Secundaria</v>
      </c>
      <c r="D6" s="247"/>
      <c r="E6" s="247"/>
      <c r="F6" s="22" t="s">
        <v>23</v>
      </c>
      <c r="G6" s="250">
        <f ca="1">TODAY()</f>
        <v>44545</v>
      </c>
      <c r="H6" s="247"/>
      <c r="I6" s="247"/>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44545</v>
      </c>
      <c r="E8" s="31">
        <f t="shared" ref="E8:E43" ca="1" si="1">INT((D8-C8)/365)</f>
        <v>122</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44545</v>
      </c>
      <c r="E9" s="31">
        <f t="shared" ca="1" si="1"/>
        <v>122</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44545</v>
      </c>
      <c r="E10" s="31">
        <f t="shared" ca="1" si="1"/>
        <v>122</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44545</v>
      </c>
      <c r="E11" s="31">
        <f t="shared" ca="1" si="1"/>
        <v>122</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44545</v>
      </c>
      <c r="E12" s="31">
        <f t="shared" ca="1" si="1"/>
        <v>122</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44545</v>
      </c>
      <c r="E13" s="31">
        <f t="shared" ca="1" si="1"/>
        <v>122</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44545</v>
      </c>
      <c r="E14" s="31">
        <f t="shared" ca="1" si="1"/>
        <v>122</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44545</v>
      </c>
      <c r="E15" s="31">
        <f t="shared" ca="1" si="1"/>
        <v>122</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44545</v>
      </c>
      <c r="E16" s="31">
        <f t="shared" ca="1" si="1"/>
        <v>122</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44545</v>
      </c>
      <c r="E17" s="31">
        <f t="shared" ca="1" si="1"/>
        <v>122</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44545</v>
      </c>
      <c r="E18" s="31">
        <f t="shared" ca="1" si="1"/>
        <v>122</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44545</v>
      </c>
      <c r="E19" s="31">
        <f t="shared" ca="1" si="1"/>
        <v>122</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44545</v>
      </c>
      <c r="E20" s="31">
        <f t="shared" ca="1" si="1"/>
        <v>122</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44545</v>
      </c>
      <c r="E21" s="31">
        <f t="shared" ca="1" si="1"/>
        <v>122</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44545</v>
      </c>
      <c r="E22" s="31">
        <f t="shared" ca="1" si="1"/>
        <v>122</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44545</v>
      </c>
      <c r="E23" s="31">
        <f t="shared" ca="1" si="1"/>
        <v>122</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44545</v>
      </c>
      <c r="E24" s="31">
        <f t="shared" ca="1" si="1"/>
        <v>122</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44545</v>
      </c>
      <c r="E25" s="31">
        <f t="shared" ca="1" si="1"/>
        <v>122</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44545</v>
      </c>
      <c r="E26" s="31">
        <f t="shared" ca="1" si="1"/>
        <v>122</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44545</v>
      </c>
      <c r="E27" s="31">
        <f t="shared" ca="1" si="1"/>
        <v>122</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44545</v>
      </c>
      <c r="E28" s="31">
        <f t="shared" ca="1" si="1"/>
        <v>122</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44545</v>
      </c>
      <c r="E29" s="31">
        <f t="shared" ca="1" si="1"/>
        <v>122</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44545</v>
      </c>
      <c r="E30" s="31">
        <f t="shared" ca="1" si="1"/>
        <v>122</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44545</v>
      </c>
      <c r="E31" s="31">
        <f t="shared" ca="1" si="1"/>
        <v>122</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44545</v>
      </c>
      <c r="E32" s="31">
        <f t="shared" ca="1" si="1"/>
        <v>122</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44545</v>
      </c>
      <c r="E33" s="31">
        <f t="shared" ca="1" si="1"/>
        <v>122</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44545</v>
      </c>
      <c r="E34" s="31">
        <f t="shared" ca="1" si="1"/>
        <v>122</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44545</v>
      </c>
      <c r="E35" s="31">
        <f t="shared" ca="1" si="1"/>
        <v>122</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44545</v>
      </c>
      <c r="E36" s="31">
        <f t="shared" ca="1" si="1"/>
        <v>122</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44545</v>
      </c>
      <c r="E37" s="31">
        <f t="shared" ca="1" si="1"/>
        <v>122</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44545</v>
      </c>
      <c r="E38" s="31">
        <f t="shared" ca="1" si="1"/>
        <v>122</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44545</v>
      </c>
      <c r="E39" s="31">
        <f t="shared" ca="1" si="1"/>
        <v>122</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44545</v>
      </c>
      <c r="E40" s="31">
        <f t="shared" ca="1" si="1"/>
        <v>122</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44545</v>
      </c>
      <c r="E41" s="31">
        <f t="shared" ca="1" si="1"/>
        <v>122</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44545</v>
      </c>
      <c r="E42" s="31">
        <f t="shared" ca="1" si="1"/>
        <v>122</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44545</v>
      </c>
      <c r="E43" s="31">
        <f t="shared" ca="1" si="1"/>
        <v>122</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zoomScale="70" zoomScaleNormal="70" workbookViewId="0">
      <selection activeCell="M10" sqref="M10"/>
    </sheetView>
  </sheetViews>
  <sheetFormatPr baseColWidth="10" defaultColWidth="9.1328125" defaultRowHeight="15" customHeight="1"/>
  <cols>
    <col min="1" max="1" width="1.6640625" customWidth="1"/>
    <col min="2" max="2" width="20.6640625" customWidth="1"/>
    <col min="3" max="52" width="1.1328125" customWidth="1"/>
    <col min="53" max="57" width="1.3984375" customWidth="1"/>
    <col min="58" max="61" width="1.6640625" customWidth="1"/>
  </cols>
  <sheetData>
    <row r="1" spans="1:61" ht="4.5" customHeight="1"/>
    <row r="2" spans="1:61" ht="12.75" customHeight="1">
      <c r="B2" s="251" t="s">
        <v>47</v>
      </c>
      <c r="C2" s="247"/>
      <c r="D2" s="247"/>
      <c r="E2" s="247"/>
      <c r="F2" s="247"/>
      <c r="G2" s="247"/>
      <c r="H2" s="247"/>
      <c r="I2" s="247"/>
      <c r="J2" s="247"/>
      <c r="K2" s="247"/>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7"/>
      <c r="BA2" s="247"/>
      <c r="BB2" s="247"/>
      <c r="BC2" s="247"/>
      <c r="BD2" s="247"/>
      <c r="BE2" s="247"/>
      <c r="BF2" s="247"/>
      <c r="BG2" s="247"/>
      <c r="BH2" s="247"/>
      <c r="BI2" s="247"/>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52">
        <f>CARÁTULA!$H$14</f>
        <v>44228</v>
      </c>
      <c r="AU3" s="247"/>
      <c r="AV3" s="247"/>
      <c r="AW3" s="247"/>
      <c r="AX3" s="247"/>
      <c r="AY3" s="247"/>
      <c r="AZ3" s="247"/>
      <c r="BA3" s="253" t="s">
        <v>49</v>
      </c>
      <c r="BB3" s="254"/>
      <c r="BC3" s="254"/>
      <c r="BD3" s="254"/>
      <c r="BE3" s="255"/>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52">
        <f>CARÁTULA!$J$14</f>
        <v>44323</v>
      </c>
      <c r="AU4" s="247"/>
      <c r="AV4" s="247"/>
      <c r="AW4" s="247"/>
      <c r="AX4" s="247"/>
      <c r="AY4" s="247"/>
      <c r="AZ4" s="247"/>
      <c r="BA4" s="256">
        <f ca="1">AT4-AT5</f>
        <v>-222</v>
      </c>
      <c r="BB4" s="257"/>
      <c r="BC4" s="257"/>
      <c r="BD4" s="257"/>
      <c r="BE4" s="258"/>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62">
        <f ca="1">TODAY()</f>
        <v>44545</v>
      </c>
      <c r="Y5" s="247"/>
      <c r="Z5" s="247"/>
      <c r="AA5" s="247"/>
      <c r="AB5" s="247"/>
      <c r="AC5" s="247"/>
      <c r="AD5" s="41"/>
      <c r="AE5" s="41"/>
      <c r="AF5" s="41"/>
      <c r="AG5" s="41"/>
      <c r="AH5" s="41"/>
      <c r="AI5" s="41"/>
      <c r="AJ5" s="41"/>
      <c r="AK5" s="46" t="s">
        <v>52</v>
      </c>
      <c r="AL5" s="47"/>
      <c r="AM5" s="47"/>
      <c r="AN5" s="47"/>
      <c r="AO5" s="47"/>
      <c r="AP5" s="47"/>
      <c r="AQ5" s="47"/>
      <c r="AR5" s="41"/>
      <c r="AS5" s="41"/>
      <c r="AT5" s="263">
        <f ca="1">TODAY()</f>
        <v>44545</v>
      </c>
      <c r="AU5" s="247"/>
      <c r="AV5" s="247"/>
      <c r="AW5" s="247"/>
      <c r="AX5" s="247"/>
      <c r="AY5" s="247"/>
      <c r="AZ5" s="247"/>
      <c r="BA5" s="259"/>
      <c r="BB5" s="260"/>
      <c r="BC5" s="260"/>
      <c r="BD5" s="260"/>
      <c r="BE5" s="261"/>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163</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topLeftCell="M1" zoomScale="85" zoomScaleNormal="85" workbookViewId="0">
      <selection activeCell="BE8" sqref="BE8"/>
    </sheetView>
  </sheetViews>
  <sheetFormatPr baseColWidth="10" defaultColWidth="9.1328125" defaultRowHeight="15" customHeight="1"/>
  <cols>
    <col min="1" max="1" width="2.796875" customWidth="1"/>
    <col min="2" max="2" width="20.6640625" customWidth="1"/>
    <col min="3" max="11" width="3.1328125" customWidth="1"/>
    <col min="12" max="13" width="1.1328125" customWidth="1"/>
    <col min="14" max="14" width="1.33203125" customWidth="1"/>
    <col min="15" max="52" width="1.1328125" customWidth="1"/>
    <col min="53" max="53" width="1.46484375" customWidth="1"/>
    <col min="54" max="56" width="3.1328125" customWidth="1"/>
    <col min="57" max="57" width="3.06640625" customWidth="1"/>
    <col min="58" max="61" width="1.6640625" customWidth="1"/>
    <col min="62" max="62" width="12.46484375" bestFit="1" customWidth="1"/>
  </cols>
  <sheetData>
    <row r="1" spans="1:80" ht="4.5" customHeight="1"/>
    <row r="2" spans="1:80" ht="12.75" customHeight="1">
      <c r="B2" s="251" t="s">
        <v>62</v>
      </c>
      <c r="C2" s="247"/>
      <c r="D2" s="247"/>
      <c r="E2" s="247"/>
      <c r="F2" s="247"/>
      <c r="G2" s="247"/>
      <c r="H2" s="247"/>
      <c r="I2" s="247"/>
      <c r="J2" s="247"/>
      <c r="K2" s="247"/>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7"/>
      <c r="BA2" s="247"/>
      <c r="BB2" s="247"/>
      <c r="BC2" s="247"/>
      <c r="BD2" s="247"/>
      <c r="BE2" s="247"/>
      <c r="BF2" s="247"/>
      <c r="BG2" s="247"/>
      <c r="BH2" s="247"/>
      <c r="BI2" s="247"/>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52">
        <f>CARÁTULA!$H$19</f>
        <v>44326</v>
      </c>
      <c r="AU3" s="247"/>
      <c r="AV3" s="247"/>
      <c r="AW3" s="247"/>
      <c r="AX3" s="247"/>
      <c r="AY3" s="247"/>
      <c r="AZ3" s="247"/>
      <c r="BA3" s="253" t="s">
        <v>49</v>
      </c>
      <c r="BB3" s="254"/>
      <c r="BC3" s="254"/>
      <c r="BD3" s="254"/>
      <c r="BE3" s="255"/>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52">
        <f>CARÁTULA!$J$19</f>
        <v>44439</v>
      </c>
      <c r="AU4" s="247"/>
      <c r="AV4" s="247"/>
      <c r="AW4" s="247"/>
      <c r="AX4" s="247"/>
      <c r="AY4" s="247"/>
      <c r="AZ4" s="247"/>
      <c r="BA4" s="264">
        <f ca="1">AT4-AT5</f>
        <v>-106</v>
      </c>
      <c r="BB4" s="257"/>
      <c r="BC4" s="257"/>
      <c r="BD4" s="257"/>
      <c r="BE4" s="258"/>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65">
        <f ca="1">TODAY()</f>
        <v>44545</v>
      </c>
      <c r="Y5" s="247"/>
      <c r="Z5" s="247"/>
      <c r="AA5" s="247"/>
      <c r="AB5" s="247"/>
      <c r="AC5" s="247"/>
      <c r="AD5" s="41"/>
      <c r="AE5" s="41"/>
      <c r="AF5" s="41"/>
      <c r="AG5" s="41"/>
      <c r="AH5" s="41"/>
      <c r="AI5" s="41"/>
      <c r="AJ5" s="41"/>
      <c r="AK5" s="46" t="s">
        <v>52</v>
      </c>
      <c r="AL5" s="47"/>
      <c r="AM5" s="47"/>
      <c r="AN5" s="47"/>
      <c r="AO5" s="47"/>
      <c r="AP5" s="47"/>
      <c r="AQ5" s="47"/>
      <c r="AR5" s="41"/>
      <c r="AS5" s="41"/>
      <c r="AT5" s="263">
        <f ca="1">TODAY()</f>
        <v>44545</v>
      </c>
      <c r="AU5" s="247"/>
      <c r="AV5" s="247"/>
      <c r="AW5" s="247"/>
      <c r="AX5" s="247"/>
      <c r="AY5" s="247"/>
      <c r="AZ5" s="247"/>
      <c r="BA5" s="259"/>
      <c r="BB5" s="260"/>
      <c r="BC5" s="260"/>
      <c r="BD5" s="260"/>
      <c r="BE5" s="261"/>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6" t="s">
        <v>53</v>
      </c>
      <c r="B7" s="167" t="s">
        <v>54</v>
      </c>
      <c r="C7" s="168" t="s">
        <v>178</v>
      </c>
      <c r="D7" s="168" t="s">
        <v>179</v>
      </c>
      <c r="E7" s="168" t="s">
        <v>180</v>
      </c>
      <c r="F7" s="168" t="s">
        <v>181</v>
      </c>
      <c r="G7" s="168" t="s">
        <v>182</v>
      </c>
      <c r="H7" s="168" t="s">
        <v>183</v>
      </c>
      <c r="I7" s="168" t="s">
        <v>184</v>
      </c>
      <c r="J7" s="168" t="s">
        <v>185</v>
      </c>
      <c r="K7" s="169" t="s">
        <v>186</v>
      </c>
      <c r="L7" s="168" t="s">
        <v>204</v>
      </c>
      <c r="M7" s="189" t="s">
        <v>206</v>
      </c>
      <c r="N7" s="189" t="s">
        <v>208</v>
      </c>
      <c r="O7" s="168" t="s">
        <v>210</v>
      </c>
      <c r="P7" s="168" t="s">
        <v>211</v>
      </c>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4" t="s">
        <v>63</v>
      </c>
      <c r="BB7" s="175" t="s">
        <v>64</v>
      </c>
      <c r="BC7" s="175" t="s">
        <v>65</v>
      </c>
      <c r="BD7" s="175" t="s">
        <v>66</v>
      </c>
      <c r="BE7" s="176" t="s">
        <v>59</v>
      </c>
    </row>
    <row r="8" spans="1:80" ht="12" customHeight="1">
      <c r="A8" s="165">
        <v>1</v>
      </c>
      <c r="B8" s="60" t="str">
        <f>'C. FILIACION'!B8</f>
        <v>ARANCIBIA ARRAYA LUIS ANDRES</v>
      </c>
      <c r="C8" s="162" t="s">
        <v>60</v>
      </c>
      <c r="D8" s="162" t="s">
        <v>60</v>
      </c>
      <c r="E8" s="162"/>
      <c r="F8" s="162" t="s">
        <v>60</v>
      </c>
      <c r="G8" s="62" t="s">
        <v>60</v>
      </c>
      <c r="H8" s="62" t="s">
        <v>60</v>
      </c>
      <c r="I8" s="62" t="s">
        <v>60</v>
      </c>
      <c r="J8" s="62" t="s">
        <v>60</v>
      </c>
      <c r="K8" s="159" t="s">
        <v>60</v>
      </c>
      <c r="L8" s="161" t="s">
        <v>60</v>
      </c>
      <c r="M8" s="187"/>
      <c r="N8" s="187" t="s">
        <v>60</v>
      </c>
      <c r="O8" s="161" t="s">
        <v>60</v>
      </c>
      <c r="P8" s="161" t="s">
        <v>60</v>
      </c>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12</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12</v>
      </c>
      <c r="BJ8" s="190">
        <f>(Tabla3[[#This Row],[Asist. (A)]]+Tabla3[[#This Row],[Retrasos (R)]]+Tabla3[[#This Row],[Licencias (L)]])*10/Tabla3[[#This Row],[DÍAS TRABAJADOS]]</f>
        <v>10</v>
      </c>
      <c r="BK8" s="164"/>
      <c r="BL8" s="164"/>
      <c r="BM8" s="164"/>
      <c r="BN8" s="164"/>
      <c r="BO8" s="164"/>
      <c r="BP8" s="164"/>
      <c r="BQ8" s="164"/>
      <c r="BR8" s="164"/>
      <c r="BS8" s="164"/>
      <c r="BT8" s="164"/>
      <c r="BU8" s="164"/>
      <c r="BV8" s="164"/>
      <c r="BW8" s="164"/>
      <c r="BX8" s="164"/>
      <c r="BY8" s="164"/>
      <c r="BZ8" s="164"/>
      <c r="CA8" s="164"/>
      <c r="CB8" s="164"/>
    </row>
    <row r="9" spans="1:80" ht="12" customHeight="1">
      <c r="A9" s="165">
        <v>2</v>
      </c>
      <c r="B9" s="60" t="str">
        <f>'C. FILIACION'!B9</f>
        <v>ARIVIRI ALEXIS JHONATAN</v>
      </c>
      <c r="C9" s="162" t="s">
        <v>60</v>
      </c>
      <c r="D9" s="162" t="s">
        <v>60</v>
      </c>
      <c r="E9" s="162"/>
      <c r="F9" s="162" t="s">
        <v>60</v>
      </c>
      <c r="G9" s="62" t="s">
        <v>60</v>
      </c>
      <c r="H9" s="62" t="s">
        <v>60</v>
      </c>
      <c r="I9" s="49" t="s">
        <v>60</v>
      </c>
      <c r="J9" s="49" t="s">
        <v>164</v>
      </c>
      <c r="K9" s="159" t="s">
        <v>60</v>
      </c>
      <c r="L9" s="62" t="s">
        <v>164</v>
      </c>
      <c r="M9" s="186" t="s">
        <v>164</v>
      </c>
      <c r="N9" s="186" t="s">
        <v>164</v>
      </c>
      <c r="O9" s="62" t="s">
        <v>60</v>
      </c>
      <c r="P9" s="62" t="s">
        <v>61</v>
      </c>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8</v>
      </c>
      <c r="BB9" s="49">
        <f t="shared" si="1"/>
        <v>1</v>
      </c>
      <c r="BC9" s="49">
        <f t="shared" si="2"/>
        <v>4</v>
      </c>
      <c r="BD9" s="49" t="str">
        <f t="shared" si="3"/>
        <v>0</v>
      </c>
      <c r="BE9" s="159">
        <f>SUM(Tabla3[[#This Row],[Asist. (A)]:[Licencias (L)]])</f>
        <v>13</v>
      </c>
      <c r="BJ9" s="190">
        <f>(Tabla3[[#This Row],[Asist. (A)]]+Tabla3[[#This Row],[Retrasos (R)]]+Tabla3[[#This Row],[Licencias (L)]])*10/Tabla3[[#This Row],[DÍAS TRABAJADOS]]</f>
        <v>9.2307692307692299</v>
      </c>
      <c r="BK9" s="164"/>
      <c r="BL9" s="164"/>
      <c r="BM9" s="164"/>
      <c r="BN9" s="164"/>
      <c r="BO9" s="164"/>
      <c r="BP9" s="164"/>
      <c r="BQ9" s="164"/>
      <c r="BR9" s="164"/>
      <c r="BS9" s="164"/>
      <c r="BT9" s="164"/>
      <c r="BU9" s="164"/>
      <c r="BV9" s="164"/>
      <c r="BW9" s="164"/>
      <c r="BX9" s="164"/>
      <c r="BY9" s="164"/>
      <c r="BZ9" s="164"/>
      <c r="CA9" s="164"/>
      <c r="CB9" s="164"/>
    </row>
    <row r="10" spans="1:80" ht="12" customHeight="1">
      <c r="A10" s="165">
        <v>3</v>
      </c>
      <c r="B10" s="60" t="str">
        <f>'C. FILIACION'!B10</f>
        <v>BASCOPE LOPEZ JHYMMY ANGHELO</v>
      </c>
      <c r="C10" s="162" t="s">
        <v>60</v>
      </c>
      <c r="D10" s="162" t="s">
        <v>60</v>
      </c>
      <c r="E10" s="162"/>
      <c r="F10" s="162" t="s">
        <v>61</v>
      </c>
      <c r="G10" s="49" t="s">
        <v>60</v>
      </c>
      <c r="H10" s="49" t="s">
        <v>164</v>
      </c>
      <c r="I10" s="49" t="s">
        <v>60</v>
      </c>
      <c r="J10" s="49" t="s">
        <v>60</v>
      </c>
      <c r="K10" s="159" t="s">
        <v>61</v>
      </c>
      <c r="L10" s="62" t="s">
        <v>60</v>
      </c>
      <c r="M10" s="186"/>
      <c r="N10" s="186" t="s">
        <v>60</v>
      </c>
      <c r="O10" s="62" t="s">
        <v>60</v>
      </c>
      <c r="P10" s="62" t="s">
        <v>60</v>
      </c>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9</v>
      </c>
      <c r="BB10" s="49">
        <f t="shared" si="1"/>
        <v>2</v>
      </c>
      <c r="BC10" s="49">
        <f t="shared" si="2"/>
        <v>1</v>
      </c>
      <c r="BD10" s="49" t="str">
        <f t="shared" si="3"/>
        <v>0</v>
      </c>
      <c r="BE10" s="159">
        <f>SUM(Tabla3[[#This Row],[Asist. (A)]:[Licencias (L)]])</f>
        <v>12</v>
      </c>
      <c r="BJ10" s="190">
        <f>(Tabla3[[#This Row],[Asist. (A)]]+Tabla3[[#This Row],[Retrasos (R)]]+Tabla3[[#This Row],[Licencias (L)]])*10/Tabla3[[#This Row],[DÍAS TRABAJADOS]]</f>
        <v>8.3333333333333339</v>
      </c>
      <c r="BK10" s="164"/>
      <c r="BL10" s="164"/>
      <c r="BM10" s="164"/>
      <c r="BN10" s="164"/>
      <c r="BO10" s="164"/>
      <c r="BP10" s="164"/>
      <c r="BQ10" s="164"/>
      <c r="BR10" s="164"/>
      <c r="BS10" s="164"/>
      <c r="BT10" s="164"/>
      <c r="BU10" s="164"/>
      <c r="BV10" s="164"/>
      <c r="BW10" s="164"/>
      <c r="BX10" s="164"/>
      <c r="BY10" s="164"/>
      <c r="BZ10" s="164"/>
      <c r="CA10" s="164"/>
      <c r="CB10" s="164"/>
    </row>
    <row r="11" spans="1:80" ht="12" customHeight="1">
      <c r="A11" s="165">
        <v>4</v>
      </c>
      <c r="B11" s="60" t="str">
        <f>'C. FILIACION'!B11</f>
        <v>BLANCO SALVATIERRA DANIELA MARGARITA</v>
      </c>
      <c r="C11" s="162" t="s">
        <v>60</v>
      </c>
      <c r="D11" s="162" t="s">
        <v>60</v>
      </c>
      <c r="E11" s="162"/>
      <c r="F11" s="162" t="s">
        <v>60</v>
      </c>
      <c r="G11" s="49" t="s">
        <v>60</v>
      </c>
      <c r="H11" s="49" t="s">
        <v>60</v>
      </c>
      <c r="I11" s="49" t="s">
        <v>60</v>
      </c>
      <c r="J11" s="49" t="s">
        <v>60</v>
      </c>
      <c r="K11" s="159" t="s">
        <v>60</v>
      </c>
      <c r="L11" s="62" t="s">
        <v>60</v>
      </c>
      <c r="M11" s="186"/>
      <c r="N11" s="186" t="s">
        <v>60</v>
      </c>
      <c r="O11" s="62" t="s">
        <v>60</v>
      </c>
      <c r="P11" s="62" t="s">
        <v>60</v>
      </c>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12</v>
      </c>
      <c r="BB11" s="49">
        <f t="shared" si="1"/>
        <v>0</v>
      </c>
      <c r="BC11" s="49" t="str">
        <f t="shared" si="2"/>
        <v>0</v>
      </c>
      <c r="BD11" s="49" t="str">
        <f t="shared" si="3"/>
        <v>0</v>
      </c>
      <c r="BE11" s="159">
        <f>SUM(Tabla3[[#This Row],[Asist. (A)]:[Licencias (L)]])</f>
        <v>12</v>
      </c>
      <c r="BJ11" s="190">
        <f>(Tabla3[[#This Row],[Asist. (A)]]+Tabla3[[#This Row],[Retrasos (R)]]+Tabla3[[#This Row],[Licencias (L)]])*10/Tabla3[[#This Row],[DÍAS TRABAJADOS]]</f>
        <v>10</v>
      </c>
      <c r="BK11" s="164"/>
      <c r="BL11" s="164"/>
      <c r="BM11" s="164"/>
      <c r="BN11" s="164"/>
      <c r="BO11" s="164"/>
      <c r="BP11" s="164"/>
      <c r="BQ11" s="164"/>
      <c r="BR11" s="164"/>
      <c r="BS11" s="164"/>
      <c r="BT11" s="164"/>
      <c r="BU11" s="164"/>
      <c r="BV11" s="164"/>
      <c r="BW11" s="164"/>
      <c r="BX11" s="164"/>
      <c r="BY11" s="164"/>
      <c r="BZ11" s="164"/>
      <c r="CA11" s="164"/>
      <c r="CB11" s="164"/>
    </row>
    <row r="12" spans="1:80" ht="12" customHeight="1">
      <c r="A12" s="165">
        <v>5</v>
      </c>
      <c r="B12" s="60" t="str">
        <f>'C. FILIACION'!B12</f>
        <v>DAVILA LAPACA DIEGO LEONEL</v>
      </c>
      <c r="C12" s="162" t="s">
        <v>60</v>
      </c>
      <c r="D12" s="162" t="s">
        <v>61</v>
      </c>
      <c r="E12" s="162"/>
      <c r="F12" s="162" t="s">
        <v>61</v>
      </c>
      <c r="G12" s="49" t="s">
        <v>60</v>
      </c>
      <c r="H12" s="49" t="s">
        <v>61</v>
      </c>
      <c r="I12" s="49" t="s">
        <v>61</v>
      </c>
      <c r="J12" s="49" t="s">
        <v>61</v>
      </c>
      <c r="K12" s="159" t="s">
        <v>61</v>
      </c>
      <c r="L12" s="62" t="s">
        <v>61</v>
      </c>
      <c r="M12" s="186"/>
      <c r="N12" s="186" t="s">
        <v>61</v>
      </c>
      <c r="O12" s="62" t="s">
        <v>60</v>
      </c>
      <c r="P12" s="62" t="s">
        <v>60</v>
      </c>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4</v>
      </c>
      <c r="BB12" s="49">
        <f t="shared" si="1"/>
        <v>8</v>
      </c>
      <c r="BC12" s="49" t="str">
        <f t="shared" si="2"/>
        <v>0</v>
      </c>
      <c r="BD12" s="49" t="str">
        <f t="shared" si="3"/>
        <v>0</v>
      </c>
      <c r="BE12" s="159">
        <f>SUM(Tabla3[[#This Row],[Asist. (A)]:[Licencias (L)]])</f>
        <v>12</v>
      </c>
      <c r="BJ12" s="190">
        <f>(Tabla3[[#This Row],[Asist. (A)]]+Tabla3[[#This Row],[Retrasos (R)]]+Tabla3[[#This Row],[Licencias (L)]])*10/Tabla3[[#This Row],[DÍAS TRABAJADOS]]</f>
        <v>3.3333333333333335</v>
      </c>
      <c r="BK12" s="164"/>
      <c r="BL12" s="164"/>
      <c r="BM12" s="164"/>
      <c r="BN12" s="164"/>
      <c r="BO12" s="164"/>
      <c r="BP12" s="164"/>
      <c r="BQ12" s="164"/>
      <c r="BR12" s="164"/>
      <c r="BS12" s="164"/>
      <c r="BT12" s="164"/>
      <c r="BU12" s="164"/>
      <c r="BV12" s="164"/>
      <c r="BW12" s="164"/>
      <c r="BX12" s="164"/>
      <c r="BY12" s="164"/>
      <c r="BZ12" s="164"/>
      <c r="CA12" s="164"/>
      <c r="CB12" s="164"/>
    </row>
    <row r="13" spans="1:80" ht="12" customHeight="1">
      <c r="A13" s="165">
        <v>6</v>
      </c>
      <c r="B13" s="60" t="str">
        <f>'C. FILIACION'!B13</f>
        <v>ESCOBAR LAZO JHOSELIN MARCELA</v>
      </c>
      <c r="C13" s="162" t="s">
        <v>60</v>
      </c>
      <c r="D13" s="162" t="s">
        <v>60</v>
      </c>
      <c r="E13" s="162"/>
      <c r="F13" s="162" t="s">
        <v>60</v>
      </c>
      <c r="G13" s="49" t="s">
        <v>60</v>
      </c>
      <c r="H13" s="49" t="s">
        <v>60</v>
      </c>
      <c r="I13" s="49" t="s">
        <v>60</v>
      </c>
      <c r="J13" s="49" t="s">
        <v>60</v>
      </c>
      <c r="K13" s="159" t="s">
        <v>60</v>
      </c>
      <c r="L13" s="62" t="s">
        <v>60</v>
      </c>
      <c r="M13" s="186" t="s">
        <v>60</v>
      </c>
      <c r="N13" s="186" t="s">
        <v>60</v>
      </c>
      <c r="O13" s="62" t="s">
        <v>60</v>
      </c>
      <c r="P13" s="62" t="s">
        <v>60</v>
      </c>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13</v>
      </c>
      <c r="BB13" s="49">
        <f t="shared" si="1"/>
        <v>0</v>
      </c>
      <c r="BC13" s="49" t="str">
        <f t="shared" si="2"/>
        <v>0</v>
      </c>
      <c r="BD13" s="49" t="str">
        <f t="shared" si="3"/>
        <v>0</v>
      </c>
      <c r="BE13" s="159">
        <f>SUM(Tabla3[[#This Row],[Asist. (A)]:[Licencias (L)]])</f>
        <v>13</v>
      </c>
      <c r="BJ13" s="190">
        <f>(Tabla3[[#This Row],[Asist. (A)]]+Tabla3[[#This Row],[Retrasos (R)]]+Tabla3[[#This Row],[Licencias (L)]])*10/Tabla3[[#This Row],[DÍAS TRABAJADOS]]</f>
        <v>10</v>
      </c>
      <c r="BK13" s="164"/>
      <c r="BL13" s="164"/>
      <c r="BM13" s="164"/>
      <c r="BN13" s="164"/>
      <c r="BO13" s="164"/>
      <c r="BP13" s="164"/>
      <c r="BQ13" s="164"/>
      <c r="BR13" s="164"/>
      <c r="BS13" s="164"/>
      <c r="BT13" s="164"/>
      <c r="BU13" s="164"/>
      <c r="BV13" s="164"/>
      <c r="BW13" s="164"/>
      <c r="BX13" s="164"/>
      <c r="BY13" s="164"/>
      <c r="BZ13" s="164"/>
      <c r="CA13" s="164"/>
      <c r="CB13" s="164"/>
    </row>
    <row r="14" spans="1:80" ht="12" customHeight="1">
      <c r="A14" s="165">
        <v>7</v>
      </c>
      <c r="B14" s="60" t="str">
        <f>'C. FILIACION'!B14</f>
        <v>GUTIERREZ PEREZ ARIEL FERNANDO</v>
      </c>
      <c r="C14" s="162" t="s">
        <v>60</v>
      </c>
      <c r="D14" s="162" t="s">
        <v>60</v>
      </c>
      <c r="E14" s="162"/>
      <c r="F14" s="162" t="s">
        <v>60</v>
      </c>
      <c r="G14" s="49" t="s">
        <v>60</v>
      </c>
      <c r="H14" s="49" t="s">
        <v>164</v>
      </c>
      <c r="I14" s="49" t="s">
        <v>60</v>
      </c>
      <c r="J14" s="49" t="s">
        <v>60</v>
      </c>
      <c r="K14" s="159" t="s">
        <v>60</v>
      </c>
      <c r="L14" s="62" t="s">
        <v>164</v>
      </c>
      <c r="M14" s="186" t="s">
        <v>60</v>
      </c>
      <c r="N14" s="186" t="s">
        <v>164</v>
      </c>
      <c r="O14" s="62" t="s">
        <v>60</v>
      </c>
      <c r="P14" s="62" t="s">
        <v>164</v>
      </c>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9</v>
      </c>
      <c r="BB14" s="49">
        <f t="shared" si="1"/>
        <v>0</v>
      </c>
      <c r="BC14" s="49">
        <f t="shared" si="2"/>
        <v>4</v>
      </c>
      <c r="BD14" s="49" t="str">
        <f t="shared" si="3"/>
        <v>0</v>
      </c>
      <c r="BE14" s="159">
        <f>SUM(Tabla3[[#This Row],[Asist. (A)]:[Licencias (L)]])</f>
        <v>13</v>
      </c>
      <c r="BJ14" s="190">
        <f>(Tabla3[[#This Row],[Asist. (A)]]+Tabla3[[#This Row],[Retrasos (R)]]+Tabla3[[#This Row],[Licencias (L)]])*10/Tabla3[[#This Row],[DÍAS TRABAJADOS]]</f>
        <v>10</v>
      </c>
      <c r="BK14" s="164"/>
      <c r="BL14" s="164"/>
      <c r="BM14" s="164"/>
      <c r="BN14" s="164"/>
      <c r="BO14" s="164"/>
      <c r="BP14" s="164"/>
      <c r="BQ14" s="164"/>
      <c r="BR14" s="164"/>
      <c r="BS14" s="164"/>
      <c r="BT14" s="164"/>
      <c r="BU14" s="164"/>
      <c r="BV14" s="164"/>
      <c r="BW14" s="164"/>
      <c r="BX14" s="164"/>
      <c r="BY14" s="164"/>
      <c r="BZ14" s="164"/>
      <c r="CA14" s="164"/>
      <c r="CB14" s="164"/>
    </row>
    <row r="15" spans="1:80" ht="12" customHeight="1">
      <c r="A15" s="165">
        <v>10</v>
      </c>
      <c r="B15" s="60" t="str">
        <f>'C. FILIACION'!B15</f>
        <v>LOPEZ PACO FABRICIO ANDRE</v>
      </c>
      <c r="C15" s="162" t="s">
        <v>60</v>
      </c>
      <c r="D15" s="162" t="s">
        <v>60</v>
      </c>
      <c r="E15" s="162"/>
      <c r="F15" s="162" t="s">
        <v>60</v>
      </c>
      <c r="G15" s="49" t="s">
        <v>60</v>
      </c>
      <c r="H15" s="49" t="s">
        <v>61</v>
      </c>
      <c r="I15" s="49" t="s">
        <v>61</v>
      </c>
      <c r="J15" s="49" t="s">
        <v>60</v>
      </c>
      <c r="K15" s="159" t="s">
        <v>60</v>
      </c>
      <c r="L15" s="62" t="s">
        <v>61</v>
      </c>
      <c r="M15" s="186"/>
      <c r="N15" s="186" t="s">
        <v>60</v>
      </c>
      <c r="O15" s="62" t="s">
        <v>60</v>
      </c>
      <c r="P15" s="62" t="s">
        <v>60</v>
      </c>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9</v>
      </c>
      <c r="BB15" s="49">
        <f t="shared" si="1"/>
        <v>3</v>
      </c>
      <c r="BC15" s="49" t="str">
        <f t="shared" si="2"/>
        <v>0</v>
      </c>
      <c r="BD15" s="49" t="str">
        <f t="shared" si="3"/>
        <v>0</v>
      </c>
      <c r="BE15" s="159">
        <f>SUM(Tabla3[[#This Row],[Asist. (A)]:[Licencias (L)]])</f>
        <v>12</v>
      </c>
      <c r="BJ15" s="190">
        <f>(Tabla3[[#This Row],[Asist. (A)]]+Tabla3[[#This Row],[Retrasos (R)]]+Tabla3[[#This Row],[Licencias (L)]])*10/Tabla3[[#This Row],[DÍAS TRABAJADOS]]</f>
        <v>7.5</v>
      </c>
      <c r="BK15" s="164"/>
      <c r="BL15" s="164"/>
      <c r="BM15" s="164"/>
      <c r="BN15" s="164"/>
      <c r="BO15" s="164"/>
      <c r="BP15" s="164"/>
      <c r="BQ15" s="164"/>
      <c r="BR15" s="164"/>
      <c r="BS15" s="164"/>
      <c r="BT15" s="164"/>
      <c r="BU15" s="164"/>
      <c r="BV15" s="164"/>
      <c r="BW15" s="164"/>
      <c r="BX15" s="164"/>
      <c r="BY15" s="164"/>
      <c r="BZ15" s="164"/>
      <c r="CA15" s="164"/>
      <c r="CB15" s="164"/>
    </row>
    <row r="16" spans="1:80" ht="12" customHeight="1">
      <c r="A16" s="165">
        <v>8</v>
      </c>
      <c r="B16" s="60" t="str">
        <f>'C. FILIACION'!B16</f>
        <v>NINA PANIAGUA DEYVID GABRIEL</v>
      </c>
      <c r="C16" s="162" t="s">
        <v>60</v>
      </c>
      <c r="D16" s="162" t="s">
        <v>60</v>
      </c>
      <c r="E16" s="162"/>
      <c r="F16" s="162" t="s">
        <v>60</v>
      </c>
      <c r="G16" s="49" t="s">
        <v>61</v>
      </c>
      <c r="H16" s="49" t="s">
        <v>60</v>
      </c>
      <c r="I16" s="49" t="s">
        <v>61</v>
      </c>
      <c r="J16" s="49" t="s">
        <v>61</v>
      </c>
      <c r="K16" s="159" t="s">
        <v>60</v>
      </c>
      <c r="L16" s="62" t="s">
        <v>60</v>
      </c>
      <c r="M16" s="186"/>
      <c r="N16" s="186" t="s">
        <v>60</v>
      </c>
      <c r="O16" s="62" t="s">
        <v>60</v>
      </c>
      <c r="P16" s="62" t="s">
        <v>60</v>
      </c>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9</v>
      </c>
      <c r="BB16" s="49">
        <f t="shared" si="1"/>
        <v>3</v>
      </c>
      <c r="BC16" s="49" t="str">
        <f t="shared" si="2"/>
        <v>0</v>
      </c>
      <c r="BD16" s="49" t="str">
        <f t="shared" si="3"/>
        <v>0</v>
      </c>
      <c r="BE16" s="159">
        <f>SUM(Tabla3[[#This Row],[Asist. (A)]:[Licencias (L)]])</f>
        <v>12</v>
      </c>
      <c r="BJ16" s="190">
        <f>(Tabla3[[#This Row],[Asist. (A)]]+Tabla3[[#This Row],[Retrasos (R)]]+Tabla3[[#This Row],[Licencias (L)]])*10/Tabla3[[#This Row],[DÍAS TRABAJADOS]]</f>
        <v>7.5</v>
      </c>
      <c r="BK16" s="164"/>
      <c r="BL16" s="164"/>
      <c r="BM16" s="164"/>
      <c r="BN16" s="164"/>
      <c r="BO16" s="164"/>
      <c r="BP16" s="164"/>
      <c r="BQ16" s="164"/>
      <c r="BR16" s="164"/>
      <c r="BS16" s="164"/>
      <c r="BT16" s="164"/>
      <c r="BU16" s="164"/>
      <c r="BV16" s="164"/>
      <c r="BW16" s="164"/>
      <c r="BX16" s="164"/>
      <c r="BY16" s="164"/>
      <c r="BZ16" s="164"/>
      <c r="CA16" s="164"/>
      <c r="CB16" s="164"/>
    </row>
    <row r="17" spans="1:80" ht="12" customHeight="1">
      <c r="A17" s="165">
        <v>9</v>
      </c>
      <c r="B17" s="60" t="str">
        <f>'C. FILIACION'!B17</f>
        <v>PASTOR CONDARCO STEVE DAVID</v>
      </c>
      <c r="C17" s="162" t="s">
        <v>60</v>
      </c>
      <c r="D17" s="162" t="s">
        <v>60</v>
      </c>
      <c r="E17" s="162"/>
      <c r="F17" s="162" t="s">
        <v>60</v>
      </c>
      <c r="G17" s="49" t="s">
        <v>60</v>
      </c>
      <c r="H17" s="49" t="s">
        <v>60</v>
      </c>
      <c r="I17" s="49" t="s">
        <v>60</v>
      </c>
      <c r="J17" s="49" t="s">
        <v>60</v>
      </c>
      <c r="K17" s="159" t="s">
        <v>60</v>
      </c>
      <c r="L17" s="62" t="s">
        <v>60</v>
      </c>
      <c r="M17" s="186"/>
      <c r="N17" s="186" t="s">
        <v>60</v>
      </c>
      <c r="O17" s="62" t="s">
        <v>60</v>
      </c>
      <c r="P17" s="62" t="s">
        <v>60</v>
      </c>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12</v>
      </c>
      <c r="BB17" s="49">
        <f t="shared" si="1"/>
        <v>0</v>
      </c>
      <c r="BC17" s="49" t="str">
        <f t="shared" si="2"/>
        <v>0</v>
      </c>
      <c r="BD17" s="49" t="str">
        <f t="shared" si="3"/>
        <v>0</v>
      </c>
      <c r="BE17" s="159">
        <f>SUM(Tabla3[[#This Row],[Asist. (A)]:[Licencias (L)]])</f>
        <v>12</v>
      </c>
      <c r="BJ17" s="190">
        <f>(Tabla3[[#This Row],[Asist. (A)]]+Tabla3[[#This Row],[Retrasos (R)]]+Tabla3[[#This Row],[Licencias (L)]])*10/Tabla3[[#This Row],[DÍAS TRABAJADOS]]</f>
        <v>10</v>
      </c>
      <c r="BK17" s="164"/>
      <c r="BL17" s="164"/>
      <c r="BM17" s="164"/>
      <c r="BN17" s="164"/>
      <c r="BO17" s="164"/>
      <c r="BP17" s="164"/>
      <c r="BQ17" s="164"/>
      <c r="BR17" s="164"/>
      <c r="BS17" s="164"/>
      <c r="BT17" s="164"/>
      <c r="BU17" s="164"/>
      <c r="BV17" s="164"/>
      <c r="BW17" s="164"/>
      <c r="BX17" s="164"/>
      <c r="BY17" s="164"/>
      <c r="BZ17" s="164"/>
      <c r="CA17" s="164"/>
      <c r="CB17" s="164"/>
    </row>
    <row r="18" spans="1:80" ht="12" customHeight="1">
      <c r="A18" s="165">
        <v>11</v>
      </c>
      <c r="B18" s="60" t="str">
        <f>'C. FILIACION'!B18</f>
        <v>ROJAS MAMANI JERUSALEN LOURDES</v>
      </c>
      <c r="C18" s="162" t="s">
        <v>60</v>
      </c>
      <c r="D18" s="162" t="s">
        <v>60</v>
      </c>
      <c r="E18" s="162"/>
      <c r="F18" s="162" t="s">
        <v>60</v>
      </c>
      <c r="G18" s="62" t="s">
        <v>60</v>
      </c>
      <c r="H18" s="62" t="s">
        <v>60</v>
      </c>
      <c r="I18" s="62" t="s">
        <v>60</v>
      </c>
      <c r="J18" s="62" t="s">
        <v>60</v>
      </c>
      <c r="K18" s="159" t="s">
        <v>60</v>
      </c>
      <c r="L18" s="62" t="s">
        <v>60</v>
      </c>
      <c r="M18" s="186"/>
      <c r="N18" s="186" t="s">
        <v>60</v>
      </c>
      <c r="O18" s="62" t="s">
        <v>60</v>
      </c>
      <c r="P18" s="62" t="s">
        <v>60</v>
      </c>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12</v>
      </c>
      <c r="BB18" s="49">
        <f t="shared" si="1"/>
        <v>0</v>
      </c>
      <c r="BC18" s="49" t="str">
        <f t="shared" si="2"/>
        <v>0</v>
      </c>
      <c r="BD18" s="49" t="str">
        <f t="shared" si="3"/>
        <v>0</v>
      </c>
      <c r="BE18" s="159">
        <f>SUM(Tabla3[[#This Row],[Asist. (A)]:[Licencias (L)]])</f>
        <v>12</v>
      </c>
      <c r="BJ18" s="190">
        <f>(Tabla3[[#This Row],[Asist. (A)]]+Tabla3[[#This Row],[Retrasos (R)]]+Tabla3[[#This Row],[Licencias (L)]])*10/Tabla3[[#This Row],[DÍAS TRABAJADOS]]</f>
        <v>10</v>
      </c>
      <c r="BK18" s="164"/>
      <c r="BL18" s="164"/>
      <c r="BM18" s="164"/>
      <c r="BN18" s="164"/>
      <c r="BO18" s="164"/>
      <c r="BP18" s="164"/>
      <c r="BQ18" s="164"/>
      <c r="BR18" s="164"/>
      <c r="BS18" s="164"/>
      <c r="BT18" s="164"/>
      <c r="BU18" s="164"/>
      <c r="BV18" s="164"/>
      <c r="BW18" s="164"/>
      <c r="BX18" s="164"/>
      <c r="BY18" s="164"/>
      <c r="BZ18" s="164"/>
      <c r="CA18" s="164"/>
      <c r="CB18" s="164"/>
    </row>
    <row r="19" spans="1:80" ht="12" customHeight="1">
      <c r="A19" s="165">
        <v>12</v>
      </c>
      <c r="B19" s="60" t="str">
        <f>'C. FILIACION'!B19</f>
        <v>SALAS ROJAS LUCIANA ANTONELLA</v>
      </c>
      <c r="C19" s="162" t="s">
        <v>165</v>
      </c>
      <c r="D19" s="162" t="s">
        <v>165</v>
      </c>
      <c r="E19" s="162"/>
      <c r="F19" s="162" t="s">
        <v>165</v>
      </c>
      <c r="G19" s="162" t="s">
        <v>165</v>
      </c>
      <c r="H19" s="162" t="s">
        <v>165</v>
      </c>
      <c r="I19" s="49" t="s">
        <v>165</v>
      </c>
      <c r="J19" s="49" t="s">
        <v>165</v>
      </c>
      <c r="K19" s="159" t="s">
        <v>165</v>
      </c>
      <c r="L19" s="62" t="s">
        <v>165</v>
      </c>
      <c r="M19" s="186"/>
      <c r="N19" s="186" t="s">
        <v>165</v>
      </c>
      <c r="O19" s="62" t="s">
        <v>165</v>
      </c>
      <c r="P19" s="62" t="s">
        <v>165</v>
      </c>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12</v>
      </c>
      <c r="BE19" s="159">
        <f>SUM(Tabla3[[#This Row],[Asist. (A)]:[Licencias (L)]])</f>
        <v>12</v>
      </c>
      <c r="BJ19" s="190">
        <f>(Tabla3[[#This Row],[Asist. (A)]]+Tabla3[[#This Row],[Retrasos (R)]]+Tabla3[[#This Row],[Licencias (L)]])*10/Tabla3[[#This Row],[DÍAS TRABAJADOS]]</f>
        <v>10</v>
      </c>
      <c r="BK19" s="164"/>
      <c r="BL19" s="164"/>
      <c r="BM19" s="164"/>
      <c r="BN19" s="164"/>
      <c r="BO19" s="164"/>
      <c r="BP19" s="164"/>
      <c r="BQ19" s="164"/>
      <c r="BR19" s="164"/>
      <c r="BS19" s="164"/>
      <c r="BT19" s="164"/>
      <c r="BU19" s="164"/>
      <c r="BV19" s="164"/>
      <c r="BW19" s="164"/>
      <c r="BX19" s="164"/>
      <c r="BY19" s="164"/>
      <c r="BZ19" s="164"/>
      <c r="CA19" s="164"/>
      <c r="CB19" s="164"/>
    </row>
    <row r="20" spans="1:80" ht="12" customHeight="1">
      <c r="A20" s="165">
        <v>13</v>
      </c>
      <c r="B20" s="60" t="str">
        <f>'C. FILIACION'!B20</f>
        <v>SANTOS CRUZ ROYER JOEL</v>
      </c>
      <c r="C20" s="162" t="s">
        <v>60</v>
      </c>
      <c r="D20" s="162" t="s">
        <v>60</v>
      </c>
      <c r="E20" s="162"/>
      <c r="F20" s="162" t="s">
        <v>60</v>
      </c>
      <c r="G20" s="49" t="s">
        <v>60</v>
      </c>
      <c r="H20" s="49" t="s">
        <v>60</v>
      </c>
      <c r="I20" s="49" t="s">
        <v>60</v>
      </c>
      <c r="J20" s="49" t="s">
        <v>60</v>
      </c>
      <c r="K20" s="159" t="s">
        <v>60</v>
      </c>
      <c r="L20" s="62" t="s">
        <v>60</v>
      </c>
      <c r="M20" s="186" t="s">
        <v>60</v>
      </c>
      <c r="N20" s="186" t="s">
        <v>60</v>
      </c>
      <c r="O20" s="62" t="s">
        <v>60</v>
      </c>
      <c r="P20" s="62" t="s">
        <v>60</v>
      </c>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13</v>
      </c>
      <c r="BB20" s="49">
        <f t="shared" si="1"/>
        <v>0</v>
      </c>
      <c r="BC20" s="49" t="str">
        <f t="shared" si="2"/>
        <v>0</v>
      </c>
      <c r="BD20" s="49" t="str">
        <f t="shared" si="3"/>
        <v>0</v>
      </c>
      <c r="BE20" s="159">
        <f>SUM(Tabla3[[#This Row],[Asist. (A)]:[Licencias (L)]])</f>
        <v>13</v>
      </c>
      <c r="BJ20" s="190">
        <f>(Tabla3[[#This Row],[Asist. (A)]]+Tabla3[[#This Row],[Retrasos (R)]]+Tabla3[[#This Row],[Licencias (L)]])*10/Tabla3[[#This Row],[DÍAS TRABAJADOS]]</f>
        <v>10</v>
      </c>
      <c r="BK20" s="164"/>
      <c r="BL20" s="164"/>
      <c r="BM20" s="164"/>
      <c r="BN20" s="164"/>
      <c r="BO20" s="164"/>
      <c r="BP20" s="164"/>
      <c r="BQ20" s="164"/>
      <c r="BR20" s="164"/>
      <c r="BS20" s="164"/>
      <c r="BT20" s="164"/>
      <c r="BU20" s="164"/>
      <c r="BV20" s="164"/>
      <c r="BW20" s="164"/>
      <c r="BX20" s="164"/>
      <c r="BY20" s="164"/>
      <c r="BZ20" s="164"/>
      <c r="CA20" s="164"/>
      <c r="CB20" s="164"/>
    </row>
    <row r="21" spans="1:80" ht="12" customHeight="1">
      <c r="A21" s="165">
        <v>14</v>
      </c>
      <c r="B21" s="60" t="str">
        <f>'C. FILIACION'!B21</f>
        <v>TICONA LOAYZA ARIADNE VALERIA</v>
      </c>
      <c r="C21" s="162" t="s">
        <v>60</v>
      </c>
      <c r="D21" s="162" t="s">
        <v>60</v>
      </c>
      <c r="E21" s="162"/>
      <c r="F21" s="162" t="s">
        <v>60</v>
      </c>
      <c r="G21" s="49" t="s">
        <v>60</v>
      </c>
      <c r="H21" s="49" t="s">
        <v>60</v>
      </c>
      <c r="I21" s="49" t="s">
        <v>60</v>
      </c>
      <c r="J21" s="49" t="s">
        <v>60</v>
      </c>
      <c r="K21" s="159" t="s">
        <v>60</v>
      </c>
      <c r="L21" s="62" t="s">
        <v>60</v>
      </c>
      <c r="M21" s="186" t="s">
        <v>60</v>
      </c>
      <c r="N21" s="186" t="s">
        <v>60</v>
      </c>
      <c r="O21" s="62" t="s">
        <v>60</v>
      </c>
      <c r="P21" s="62" t="s">
        <v>60</v>
      </c>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13</v>
      </c>
      <c r="BB21" s="49">
        <f t="shared" si="1"/>
        <v>0</v>
      </c>
      <c r="BC21" s="49" t="str">
        <f t="shared" si="2"/>
        <v>0</v>
      </c>
      <c r="BD21" s="49" t="str">
        <f t="shared" si="3"/>
        <v>0</v>
      </c>
      <c r="BE21" s="159">
        <f>SUM(Tabla3[[#This Row],[Asist. (A)]:[Licencias (L)]])</f>
        <v>13</v>
      </c>
      <c r="BJ21" s="190">
        <f>(Tabla3[[#This Row],[Asist. (A)]]+Tabla3[[#This Row],[Retrasos (R)]]+Tabla3[[#This Row],[Licencias (L)]])*10/Tabla3[[#This Row],[DÍAS TRABAJADOS]]</f>
        <v>10</v>
      </c>
      <c r="BK21" s="164"/>
      <c r="BL21" s="164"/>
      <c r="BM21" s="164"/>
      <c r="BN21" s="164"/>
      <c r="BO21" s="164"/>
      <c r="BP21" s="164"/>
      <c r="BQ21" s="164"/>
      <c r="BR21" s="164"/>
      <c r="BS21" s="164"/>
      <c r="BT21" s="164"/>
      <c r="BU21" s="164"/>
      <c r="BV21" s="164"/>
      <c r="BW21" s="164"/>
      <c r="BX21" s="164"/>
      <c r="BY21" s="164"/>
      <c r="BZ21" s="164"/>
      <c r="CA21" s="164"/>
      <c r="CB21" s="164"/>
    </row>
    <row r="22" spans="1:80" ht="12" customHeight="1">
      <c r="A22" s="170">
        <v>15</v>
      </c>
      <c r="B22" s="60" t="str">
        <f>'C. FILIACION'!B22</f>
        <v>ZEBALLOS DEL CARPIO AMIRA MERCEDES</v>
      </c>
      <c r="C22" s="171" t="s">
        <v>60</v>
      </c>
      <c r="D22" s="171" t="s">
        <v>60</v>
      </c>
      <c r="E22" s="171"/>
      <c r="F22" s="171" t="s">
        <v>60</v>
      </c>
      <c r="G22" s="172" t="s">
        <v>60</v>
      </c>
      <c r="H22" s="172" t="s">
        <v>60</v>
      </c>
      <c r="I22" s="172" t="s">
        <v>60</v>
      </c>
      <c r="J22" s="172" t="s">
        <v>60</v>
      </c>
      <c r="K22" s="173" t="s">
        <v>60</v>
      </c>
      <c r="L22" s="172" t="s">
        <v>60</v>
      </c>
      <c r="M22" s="188" t="s">
        <v>60</v>
      </c>
      <c r="N22" s="188" t="s">
        <v>60</v>
      </c>
      <c r="O22" s="172" t="s">
        <v>60</v>
      </c>
      <c r="P22" s="172" t="s">
        <v>60</v>
      </c>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77">
        <f t="shared" si="0"/>
        <v>13</v>
      </c>
      <c r="BB22" s="172">
        <f t="shared" si="1"/>
        <v>0</v>
      </c>
      <c r="BC22" s="172" t="str">
        <f t="shared" si="2"/>
        <v>0</v>
      </c>
      <c r="BD22" s="172" t="str">
        <f t="shared" si="3"/>
        <v>0</v>
      </c>
      <c r="BE22" s="173">
        <f>SUM(Tabla3[[#This Row],[Asist. (A)]:[Licencias (L)]])</f>
        <v>13</v>
      </c>
      <c r="BJ22" s="190">
        <f>(Tabla3[[#This Row],[Asist. (A)]]+Tabla3[[#This Row],[Retrasos (R)]]+Tabla3[[#This Row],[Licencias (L)]])*10/Tabla3[[#This Row],[DÍAS TRABAJADOS]]</f>
        <v>10</v>
      </c>
      <c r="BK22" s="164"/>
      <c r="BL22" s="164"/>
      <c r="BM22" s="164"/>
      <c r="BN22" s="164"/>
      <c r="BO22" s="164"/>
      <c r="BP22" s="164"/>
      <c r="BQ22" s="164"/>
      <c r="BR22" s="164"/>
      <c r="BS22" s="164"/>
      <c r="BT22" s="164"/>
      <c r="BU22" s="164"/>
      <c r="BV22" s="164"/>
      <c r="BW22" s="164"/>
      <c r="BX22" s="164"/>
      <c r="BY22" s="164"/>
      <c r="BZ22" s="164"/>
      <c r="CA22" s="164"/>
      <c r="CB22" s="164"/>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4"/>
      <c r="BK23" s="164"/>
      <c r="BL23" s="164"/>
      <c r="BM23" s="164"/>
      <c r="BN23" s="164"/>
      <c r="BO23" s="164"/>
      <c r="BP23" s="164"/>
      <c r="BQ23" s="164"/>
      <c r="BR23" s="164"/>
      <c r="BS23" s="164"/>
      <c r="BT23" s="164"/>
      <c r="BU23" s="164"/>
      <c r="BV23" s="164"/>
      <c r="BW23" s="164"/>
      <c r="BX23" s="164"/>
      <c r="BY23" s="164"/>
      <c r="BZ23" s="164"/>
      <c r="CA23" s="164"/>
      <c r="CB23" s="164"/>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4"/>
      <c r="BK24" s="164"/>
      <c r="BL24" s="164"/>
      <c r="BM24" s="164"/>
      <c r="BN24" s="164"/>
      <c r="BO24" s="164"/>
      <c r="BP24" s="164"/>
      <c r="BQ24" s="164"/>
      <c r="BR24" s="164"/>
      <c r="BS24" s="164"/>
      <c r="BT24" s="164"/>
      <c r="BU24" s="164"/>
      <c r="BV24" s="164"/>
      <c r="BW24" s="164"/>
      <c r="BX24" s="164"/>
      <c r="BY24" s="164"/>
      <c r="BZ24" s="164"/>
      <c r="CA24" s="164"/>
      <c r="CB24" s="164"/>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K1000"/>
  <sheetViews>
    <sheetView workbookViewId="0">
      <selection activeCell="BJ8" sqref="BJ8:BJ22"/>
    </sheetView>
  </sheetViews>
  <sheetFormatPr baseColWidth="10" defaultColWidth="9.1328125" defaultRowHeight="15" customHeight="1"/>
  <cols>
    <col min="1" max="1" width="1.6640625" customWidth="1"/>
    <col min="2" max="2" width="20.6640625" customWidth="1"/>
    <col min="3" max="52" width="1.1328125" customWidth="1"/>
    <col min="53" max="57" width="1.3984375" customWidth="1"/>
    <col min="58" max="61" width="1.6640625" customWidth="1"/>
  </cols>
  <sheetData>
    <row r="1" spans="1:63" ht="4.5" customHeight="1"/>
    <row r="2" spans="1:63" ht="12.75" customHeight="1">
      <c r="B2" s="251" t="s">
        <v>67</v>
      </c>
      <c r="C2" s="247"/>
      <c r="D2" s="247"/>
      <c r="E2" s="247"/>
      <c r="F2" s="247"/>
      <c r="G2" s="247"/>
      <c r="H2" s="247"/>
      <c r="I2" s="247"/>
      <c r="J2" s="247"/>
      <c r="K2" s="247"/>
      <c r="L2" s="247"/>
      <c r="M2" s="247"/>
      <c r="N2" s="247"/>
      <c r="O2" s="247"/>
      <c r="P2" s="247"/>
      <c r="Q2" s="247"/>
      <c r="R2" s="247"/>
      <c r="S2" s="247"/>
      <c r="T2" s="247"/>
      <c r="U2" s="247"/>
      <c r="V2" s="247"/>
      <c r="W2" s="247"/>
      <c r="X2" s="247"/>
      <c r="Y2" s="247"/>
      <c r="Z2" s="247"/>
      <c r="AA2" s="247"/>
      <c r="AB2" s="247"/>
      <c r="AC2" s="247"/>
      <c r="AD2" s="247"/>
      <c r="AE2" s="247"/>
      <c r="AF2" s="247"/>
      <c r="AG2" s="247"/>
      <c r="AH2" s="247"/>
      <c r="AI2" s="247"/>
      <c r="AJ2" s="247"/>
      <c r="AK2" s="247"/>
      <c r="AL2" s="247"/>
      <c r="AM2" s="247"/>
      <c r="AN2" s="247"/>
      <c r="AO2" s="247"/>
      <c r="AP2" s="247"/>
      <c r="AQ2" s="247"/>
      <c r="AR2" s="247"/>
      <c r="AS2" s="247"/>
      <c r="AT2" s="247"/>
      <c r="AU2" s="247"/>
      <c r="AV2" s="247"/>
      <c r="AW2" s="247"/>
      <c r="AX2" s="247"/>
      <c r="AY2" s="247"/>
      <c r="AZ2" s="247"/>
      <c r="BA2" s="247"/>
      <c r="BB2" s="247"/>
      <c r="BC2" s="247"/>
      <c r="BD2" s="247"/>
      <c r="BE2" s="247"/>
      <c r="BF2" s="247"/>
      <c r="BG2" s="247"/>
      <c r="BH2" s="247"/>
      <c r="BI2" s="247"/>
    </row>
    <row r="3" spans="1:63"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52">
        <f>CARÁTULA!$H$24</f>
        <v>44440</v>
      </c>
      <c r="AU3" s="247"/>
      <c r="AV3" s="247"/>
      <c r="AW3" s="247"/>
      <c r="AX3" s="247"/>
      <c r="AY3" s="247"/>
      <c r="AZ3" s="247"/>
      <c r="BA3" s="266"/>
      <c r="BB3" s="247"/>
      <c r="BC3" s="247"/>
      <c r="BD3" s="247"/>
      <c r="BE3" s="247"/>
    </row>
    <row r="4" spans="1:63"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52">
        <f>CARÁTULA!$J$24</f>
        <v>44531</v>
      </c>
      <c r="AU4" s="247"/>
      <c r="AV4" s="247"/>
      <c r="AW4" s="247"/>
      <c r="AX4" s="247"/>
      <c r="AY4" s="247"/>
      <c r="AZ4" s="247"/>
      <c r="BA4" s="267">
        <f ca="1">AT4-AT5</f>
        <v>-14</v>
      </c>
      <c r="BB4" s="257"/>
      <c r="BC4" s="257"/>
      <c r="BD4" s="257"/>
      <c r="BE4" s="258"/>
    </row>
    <row r="5" spans="1:63"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65">
        <f ca="1">TODAY()</f>
        <v>44545</v>
      </c>
      <c r="Y5" s="247"/>
      <c r="Z5" s="247"/>
      <c r="AA5" s="247"/>
      <c r="AB5" s="247"/>
      <c r="AC5" s="247"/>
      <c r="AD5" s="41"/>
      <c r="AE5" s="41"/>
      <c r="AF5" s="41"/>
      <c r="AG5" s="41"/>
      <c r="AH5" s="41"/>
      <c r="AI5" s="41"/>
      <c r="AJ5" s="41"/>
      <c r="AK5" s="46" t="s">
        <v>52</v>
      </c>
      <c r="AL5" s="47"/>
      <c r="AM5" s="47"/>
      <c r="AN5" s="47"/>
      <c r="AO5" s="47"/>
      <c r="AP5" s="47"/>
      <c r="AQ5" s="47"/>
      <c r="AR5" s="41"/>
      <c r="AS5" s="41"/>
      <c r="AT5" s="263">
        <f ca="1">TODAY()</f>
        <v>44545</v>
      </c>
      <c r="AU5" s="247"/>
      <c r="AV5" s="247"/>
      <c r="AW5" s="247"/>
      <c r="AX5" s="247"/>
      <c r="AY5" s="247"/>
      <c r="AZ5" s="247"/>
      <c r="BA5" s="259"/>
      <c r="BB5" s="260"/>
      <c r="BC5" s="260"/>
      <c r="BD5" s="260"/>
      <c r="BE5" s="261"/>
    </row>
    <row r="6" spans="1:63"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3" ht="67.5" customHeight="1">
      <c r="A7" s="49" t="s">
        <v>53</v>
      </c>
      <c r="B7" s="50" t="s">
        <v>54</v>
      </c>
      <c r="C7" s="52">
        <v>44462</v>
      </c>
      <c r="D7" s="52">
        <v>44469</v>
      </c>
      <c r="E7" s="54" t="s">
        <v>214</v>
      </c>
      <c r="F7" s="52">
        <v>44476</v>
      </c>
      <c r="G7" s="54"/>
      <c r="H7" s="52">
        <v>44483</v>
      </c>
      <c r="I7" s="54"/>
      <c r="J7" s="52">
        <v>44490</v>
      </c>
      <c r="K7" s="52">
        <v>44497</v>
      </c>
      <c r="L7" s="54"/>
      <c r="M7" s="52">
        <v>44504</v>
      </c>
      <c r="N7" s="52">
        <v>44511</v>
      </c>
      <c r="O7" s="52">
        <v>44518</v>
      </c>
      <c r="P7" s="52">
        <v>44525</v>
      </c>
      <c r="Q7" s="52">
        <v>44532</v>
      </c>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68</v>
      </c>
      <c r="BB7" s="57" t="s">
        <v>69</v>
      </c>
      <c r="BC7" s="57" t="s">
        <v>70</v>
      </c>
      <c r="BD7" s="57" t="s">
        <v>71</v>
      </c>
      <c r="BE7" s="58" t="s">
        <v>59</v>
      </c>
    </row>
    <row r="8" spans="1:63" ht="12" customHeight="1">
      <c r="A8" s="59">
        <v>1</v>
      </c>
      <c r="B8" s="60" t="str">
        <f>'C. FILIACION'!B8</f>
        <v>ARANCIBIA ARRAYA LUIS ANDRES</v>
      </c>
      <c r="C8" s="49" t="s">
        <v>60</v>
      </c>
      <c r="D8" s="49" t="s">
        <v>60</v>
      </c>
      <c r="E8" s="49"/>
      <c r="F8" s="49" t="s">
        <v>60</v>
      </c>
      <c r="G8" s="49"/>
      <c r="H8" s="49" t="s">
        <v>60</v>
      </c>
      <c r="I8" s="49"/>
      <c r="J8" s="49" t="s">
        <v>60</v>
      </c>
      <c r="K8" s="49" t="s">
        <v>60</v>
      </c>
      <c r="L8" s="49"/>
      <c r="M8" s="49" t="s">
        <v>60</v>
      </c>
      <c r="N8" s="49" t="s">
        <v>60</v>
      </c>
      <c r="O8" s="49" t="s">
        <v>60</v>
      </c>
      <c r="P8" s="49" t="s">
        <v>60</v>
      </c>
      <c r="Q8" s="49" t="s">
        <v>60</v>
      </c>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11</v>
      </c>
      <c r="BB8" s="49" t="str">
        <f>IF(COUNTIF(C8:AZ8,"F")=0,"0",COUNTIF(C8:AZ8,"F"))</f>
        <v>0</v>
      </c>
      <c r="BC8" s="49" t="str">
        <f>IF(COUNTIF(C8:AZ8,"R")=0,"0",COUNTIF(C8:AZ8,"R"))</f>
        <v>0</v>
      </c>
      <c r="BD8" s="49" t="str">
        <f>IF(COUNTIF(C8:AZ8,"L")=0,"0",COUNTIF(C8:AZ8,"L"))</f>
        <v>0</v>
      </c>
      <c r="BE8" s="65">
        <f>SUM(BA8:BD8)</f>
        <v>11</v>
      </c>
      <c r="BJ8" s="198">
        <f>(BA8+BC8+BD8)*10/BE8</f>
        <v>10</v>
      </c>
    </row>
    <row r="9" spans="1:63" ht="12" customHeight="1">
      <c r="A9" s="59">
        <v>2</v>
      </c>
      <c r="B9" s="60" t="str">
        <f>'C. FILIACION'!B9</f>
        <v>ARIVIRI ALEXIS JHONATAN</v>
      </c>
      <c r="C9" s="49" t="s">
        <v>61</v>
      </c>
      <c r="D9" s="49" t="s">
        <v>164</v>
      </c>
      <c r="E9" s="49"/>
      <c r="F9" s="49" t="s">
        <v>61</v>
      </c>
      <c r="G9" s="49"/>
      <c r="H9" s="49" t="s">
        <v>60</v>
      </c>
      <c r="I9" s="49"/>
      <c r="J9" s="49" t="s">
        <v>60</v>
      </c>
      <c r="K9" s="49" t="s">
        <v>60</v>
      </c>
      <c r="L9" s="49"/>
      <c r="M9" s="49" t="s">
        <v>164</v>
      </c>
      <c r="N9" s="49" t="s">
        <v>164</v>
      </c>
      <c r="O9" s="49" t="s">
        <v>61</v>
      </c>
      <c r="P9" s="49" t="s">
        <v>164</v>
      </c>
      <c r="Q9" s="49" t="s">
        <v>164</v>
      </c>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3</v>
      </c>
      <c r="BB9" s="62">
        <f t="shared" ref="BB9:BB22" si="1">IF(COUNTIF(C9:AZ9,"F")=0,"0",COUNTIF(C9:AZ9,"F"))</f>
        <v>3</v>
      </c>
      <c r="BC9" s="62">
        <f t="shared" ref="BC9:BC22" si="2">IF(COUNTIF(C9:AZ9,"R")=0,"0",COUNTIF(C9:AZ9,"R"))</f>
        <v>5</v>
      </c>
      <c r="BD9" s="62" t="str">
        <f t="shared" ref="BD9:BD22" si="3">IF(COUNTIF(C9:AZ9,"L")=0,"0",COUNTIF(C9:AZ9,"L"))</f>
        <v>0</v>
      </c>
      <c r="BE9" s="65">
        <f t="shared" ref="BE9:BE22" si="4">SUM(BA9:BD9)</f>
        <v>11</v>
      </c>
      <c r="BJ9" s="198">
        <f t="shared" ref="BJ9:BJ22" si="5">(BA9+BC9+BD9)*10/BE9</f>
        <v>7.2727272727272725</v>
      </c>
    </row>
    <row r="10" spans="1:63" ht="12" customHeight="1">
      <c r="A10" s="59">
        <v>3</v>
      </c>
      <c r="B10" s="60" t="str">
        <f>'C. FILIACION'!B10</f>
        <v>BASCOPE LOPEZ JHYMMY ANGHELO</v>
      </c>
      <c r="C10" s="49" t="s">
        <v>60</v>
      </c>
      <c r="D10" s="49" t="s">
        <v>60</v>
      </c>
      <c r="E10" s="49"/>
      <c r="F10" s="49" t="s">
        <v>60</v>
      </c>
      <c r="G10" s="49"/>
      <c r="H10" s="49" t="s">
        <v>60</v>
      </c>
      <c r="I10" s="49"/>
      <c r="J10" s="49" t="s">
        <v>164</v>
      </c>
      <c r="K10" s="49" t="s">
        <v>60</v>
      </c>
      <c r="L10" s="49"/>
      <c r="M10" s="49" t="s">
        <v>60</v>
      </c>
      <c r="N10" s="49" t="s">
        <v>60</v>
      </c>
      <c r="O10" s="49" t="s">
        <v>60</v>
      </c>
      <c r="P10" s="49" t="s">
        <v>60</v>
      </c>
      <c r="Q10" s="49" t="s">
        <v>164</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9</v>
      </c>
      <c r="BB10" s="62" t="str">
        <f t="shared" si="1"/>
        <v>0</v>
      </c>
      <c r="BC10" s="62">
        <f t="shared" si="2"/>
        <v>2</v>
      </c>
      <c r="BD10" s="62" t="str">
        <f t="shared" si="3"/>
        <v>0</v>
      </c>
      <c r="BE10" s="65">
        <f t="shared" si="4"/>
        <v>11</v>
      </c>
      <c r="BJ10" s="198">
        <f t="shared" si="5"/>
        <v>10</v>
      </c>
    </row>
    <row r="11" spans="1:63" ht="12" customHeight="1">
      <c r="A11" s="59">
        <v>4</v>
      </c>
      <c r="B11" s="60" t="str">
        <f>'C. FILIACION'!B11</f>
        <v>BLANCO SALVATIERRA DANIELA MARGARITA</v>
      </c>
      <c r="C11" s="49" t="s">
        <v>60</v>
      </c>
      <c r="D11" s="49" t="s">
        <v>164</v>
      </c>
      <c r="E11" s="49"/>
      <c r="F11" s="49" t="s">
        <v>60</v>
      </c>
      <c r="G11" s="49"/>
      <c r="H11" s="49" t="s">
        <v>60</v>
      </c>
      <c r="I11" s="49"/>
      <c r="J11" s="49" t="s">
        <v>60</v>
      </c>
      <c r="K11" s="49" t="s">
        <v>60</v>
      </c>
      <c r="L11" s="49"/>
      <c r="M11" s="49" t="s">
        <v>60</v>
      </c>
      <c r="N11" s="49" t="s">
        <v>60</v>
      </c>
      <c r="O11" s="49" t="s">
        <v>60</v>
      </c>
      <c r="P11" s="49" t="s">
        <v>60</v>
      </c>
      <c r="Q11" s="49" t="s">
        <v>60</v>
      </c>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10</v>
      </c>
      <c r="BB11" s="62" t="str">
        <f t="shared" si="1"/>
        <v>0</v>
      </c>
      <c r="BC11" s="62">
        <f t="shared" si="2"/>
        <v>1</v>
      </c>
      <c r="BD11" s="62" t="str">
        <f t="shared" si="3"/>
        <v>0</v>
      </c>
      <c r="BE11" s="65">
        <f t="shared" si="4"/>
        <v>11</v>
      </c>
      <c r="BJ11" s="198">
        <f t="shared" si="5"/>
        <v>10</v>
      </c>
    </row>
    <row r="12" spans="1:63" ht="12" customHeight="1">
      <c r="A12" s="59">
        <v>5</v>
      </c>
      <c r="B12" s="60" t="str">
        <f>'C. FILIACION'!B12</f>
        <v>DAVILA LAPACA DIEGO LEONEL</v>
      </c>
      <c r="C12" s="49" t="s">
        <v>60</v>
      </c>
      <c r="D12" s="49" t="s">
        <v>60</v>
      </c>
      <c r="E12" s="49"/>
      <c r="F12" s="49" t="s">
        <v>164</v>
      </c>
      <c r="G12" s="49"/>
      <c r="H12" s="49" t="s">
        <v>60</v>
      </c>
      <c r="I12" s="49"/>
      <c r="J12" s="49" t="s">
        <v>60</v>
      </c>
      <c r="K12" s="49" t="s">
        <v>164</v>
      </c>
      <c r="L12" s="49"/>
      <c r="M12" s="49" t="s">
        <v>164</v>
      </c>
      <c r="N12" s="49" t="s">
        <v>164</v>
      </c>
      <c r="O12" s="49" t="s">
        <v>60</v>
      </c>
      <c r="P12" s="49" t="s">
        <v>60</v>
      </c>
      <c r="Q12" s="49" t="s">
        <v>164</v>
      </c>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6</v>
      </c>
      <c r="BB12" s="62" t="str">
        <f t="shared" si="1"/>
        <v>0</v>
      </c>
      <c r="BC12" s="62">
        <f t="shared" si="2"/>
        <v>5</v>
      </c>
      <c r="BD12" s="62" t="str">
        <f t="shared" si="3"/>
        <v>0</v>
      </c>
      <c r="BE12" s="65">
        <f t="shared" si="4"/>
        <v>11</v>
      </c>
      <c r="BJ12" s="198">
        <f t="shared" si="5"/>
        <v>10</v>
      </c>
    </row>
    <row r="13" spans="1:63" ht="12" customHeight="1">
      <c r="A13" s="59">
        <v>6</v>
      </c>
      <c r="B13" s="60" t="str">
        <f>'C. FILIACION'!B13</f>
        <v>ESCOBAR LAZO JHOSELIN MARCELA</v>
      </c>
      <c r="C13" s="49" t="s">
        <v>60</v>
      </c>
      <c r="D13" s="49" t="s">
        <v>60</v>
      </c>
      <c r="E13" s="49"/>
      <c r="F13" s="49" t="s">
        <v>60</v>
      </c>
      <c r="G13" s="49"/>
      <c r="H13" s="49" t="s">
        <v>164</v>
      </c>
      <c r="I13" s="49"/>
      <c r="J13" s="49" t="s">
        <v>60</v>
      </c>
      <c r="K13" s="49" t="s">
        <v>60</v>
      </c>
      <c r="L13" s="49"/>
      <c r="M13" s="49" t="s">
        <v>164</v>
      </c>
      <c r="N13" s="49" t="s">
        <v>60</v>
      </c>
      <c r="O13" s="49" t="s">
        <v>60</v>
      </c>
      <c r="P13" s="49" t="s">
        <v>60</v>
      </c>
      <c r="Q13" s="49" t="s">
        <v>60</v>
      </c>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9</v>
      </c>
      <c r="BB13" s="62" t="str">
        <f t="shared" si="1"/>
        <v>0</v>
      </c>
      <c r="BC13" s="62">
        <f t="shared" si="2"/>
        <v>2</v>
      </c>
      <c r="BD13" s="62" t="str">
        <f t="shared" si="3"/>
        <v>0</v>
      </c>
      <c r="BE13" s="65">
        <f t="shared" si="4"/>
        <v>11</v>
      </c>
      <c r="BJ13" s="198">
        <f t="shared" si="5"/>
        <v>10</v>
      </c>
    </row>
    <row r="14" spans="1:63" ht="12" customHeight="1">
      <c r="A14" s="59">
        <v>7</v>
      </c>
      <c r="B14" s="60" t="str">
        <f>'C. FILIACION'!B14</f>
        <v>GUTIERREZ PEREZ ARIEL FERNANDO</v>
      </c>
      <c r="C14" s="49" t="s">
        <v>60</v>
      </c>
      <c r="D14" s="49" t="s">
        <v>60</v>
      </c>
      <c r="E14" s="49" t="s">
        <v>213</v>
      </c>
      <c r="F14" s="49" t="s">
        <v>60</v>
      </c>
      <c r="G14" s="49" t="s">
        <v>213</v>
      </c>
      <c r="H14" s="49" t="s">
        <v>60</v>
      </c>
      <c r="I14" s="49" t="s">
        <v>213</v>
      </c>
      <c r="J14" s="49" t="s">
        <v>60</v>
      </c>
      <c r="K14" s="49" t="s">
        <v>60</v>
      </c>
      <c r="L14" s="49" t="s">
        <v>216</v>
      </c>
      <c r="M14" s="49" t="s">
        <v>164</v>
      </c>
      <c r="N14" s="49" t="s">
        <v>60</v>
      </c>
      <c r="O14" s="49" t="s">
        <v>60</v>
      </c>
      <c r="P14" s="49" t="s">
        <v>60</v>
      </c>
      <c r="Q14" s="49" t="s">
        <v>60</v>
      </c>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10</v>
      </c>
      <c r="BB14" s="62" t="str">
        <f t="shared" si="1"/>
        <v>0</v>
      </c>
      <c r="BC14" s="62">
        <f t="shared" si="2"/>
        <v>1</v>
      </c>
      <c r="BD14" s="62" t="str">
        <f t="shared" si="3"/>
        <v>0</v>
      </c>
      <c r="BE14" s="65">
        <f t="shared" si="4"/>
        <v>11</v>
      </c>
      <c r="BJ14" s="198">
        <f t="shared" si="5"/>
        <v>10</v>
      </c>
    </row>
    <row r="15" spans="1:63" ht="12" customHeight="1">
      <c r="A15" s="59">
        <v>8</v>
      </c>
      <c r="B15" s="60" t="str">
        <f>'C. FILIACION'!B15</f>
        <v>LOPEZ PACO FABRICIO ANDRE</v>
      </c>
      <c r="C15" s="49" t="s">
        <v>60</v>
      </c>
      <c r="D15" s="49" t="s">
        <v>61</v>
      </c>
      <c r="E15" s="49"/>
      <c r="F15" s="49" t="s">
        <v>60</v>
      </c>
      <c r="G15" s="49"/>
      <c r="H15" s="49" t="s">
        <v>60</v>
      </c>
      <c r="I15" s="49"/>
      <c r="J15" s="49" t="s">
        <v>60</v>
      </c>
      <c r="K15" s="49" t="s">
        <v>60</v>
      </c>
      <c r="L15" s="49"/>
      <c r="M15" s="49" t="s">
        <v>60</v>
      </c>
      <c r="N15" s="49" t="s">
        <v>60</v>
      </c>
      <c r="O15" s="49" t="s">
        <v>61</v>
      </c>
      <c r="P15" s="49" t="s">
        <v>165</v>
      </c>
      <c r="Q15" s="49" t="s">
        <v>60</v>
      </c>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8</v>
      </c>
      <c r="BB15" s="62">
        <f t="shared" si="1"/>
        <v>2</v>
      </c>
      <c r="BC15" s="62" t="str">
        <f t="shared" si="2"/>
        <v>0</v>
      </c>
      <c r="BD15" s="62">
        <f t="shared" si="3"/>
        <v>1</v>
      </c>
      <c r="BE15" s="65">
        <f t="shared" si="4"/>
        <v>11</v>
      </c>
      <c r="BJ15" s="198">
        <f t="shared" si="5"/>
        <v>8.1818181818181817</v>
      </c>
      <c r="BK15" t="s">
        <v>229</v>
      </c>
    </row>
    <row r="16" spans="1:63" ht="12" customHeight="1">
      <c r="A16" s="59">
        <v>9</v>
      </c>
      <c r="B16" s="60" t="str">
        <f>'C. FILIACION'!B16</f>
        <v>NINA PANIAGUA DEYVID GABRIEL</v>
      </c>
      <c r="C16" s="49" t="s">
        <v>60</v>
      </c>
      <c r="D16" s="49" t="s">
        <v>60</v>
      </c>
      <c r="E16" s="49"/>
      <c r="F16" s="49" t="s">
        <v>60</v>
      </c>
      <c r="G16" s="49"/>
      <c r="H16" s="49" t="s">
        <v>60</v>
      </c>
      <c r="I16" s="49"/>
      <c r="J16" s="49" t="s">
        <v>60</v>
      </c>
      <c r="K16" s="49" t="s">
        <v>60</v>
      </c>
      <c r="L16" s="49"/>
      <c r="M16" s="49" t="s">
        <v>164</v>
      </c>
      <c r="N16" s="49" t="s">
        <v>60</v>
      </c>
      <c r="O16" s="49" t="s">
        <v>60</v>
      </c>
      <c r="P16" s="49" t="s">
        <v>60</v>
      </c>
      <c r="Q16" s="49" t="s">
        <v>60</v>
      </c>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10</v>
      </c>
      <c r="BB16" s="62" t="str">
        <f t="shared" si="1"/>
        <v>0</v>
      </c>
      <c r="BC16" s="62">
        <f t="shared" si="2"/>
        <v>1</v>
      </c>
      <c r="BD16" s="62" t="str">
        <f t="shared" si="3"/>
        <v>0</v>
      </c>
      <c r="BE16" s="65">
        <f t="shared" si="4"/>
        <v>11</v>
      </c>
      <c r="BJ16" s="198">
        <f t="shared" si="5"/>
        <v>10</v>
      </c>
    </row>
    <row r="17" spans="1:62" ht="12" customHeight="1">
      <c r="A17" s="59">
        <v>10</v>
      </c>
      <c r="B17" s="60" t="str">
        <f>'C. FILIACION'!B17</f>
        <v>PASTOR CONDARCO STEVE DAVID</v>
      </c>
      <c r="C17" s="49" t="s">
        <v>60</v>
      </c>
      <c r="D17" s="49" t="s">
        <v>60</v>
      </c>
      <c r="E17" s="49"/>
      <c r="F17" s="49" t="s">
        <v>164</v>
      </c>
      <c r="G17" s="49"/>
      <c r="H17" s="49" t="s">
        <v>61</v>
      </c>
      <c r="I17" s="49"/>
      <c r="J17" s="49" t="s">
        <v>164</v>
      </c>
      <c r="K17" s="49" t="s">
        <v>61</v>
      </c>
      <c r="L17" s="49"/>
      <c r="M17" s="49" t="s">
        <v>164</v>
      </c>
      <c r="N17" s="49" t="s">
        <v>164</v>
      </c>
      <c r="O17" s="49" t="s">
        <v>61</v>
      </c>
      <c r="P17" s="49" t="s">
        <v>164</v>
      </c>
      <c r="Q17" s="49" t="s">
        <v>164</v>
      </c>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2</v>
      </c>
      <c r="BB17" s="62">
        <f t="shared" si="1"/>
        <v>3</v>
      </c>
      <c r="BC17" s="62">
        <f t="shared" si="2"/>
        <v>6</v>
      </c>
      <c r="BD17" s="62" t="str">
        <f t="shared" si="3"/>
        <v>0</v>
      </c>
      <c r="BE17" s="65">
        <f t="shared" si="4"/>
        <v>11</v>
      </c>
      <c r="BJ17" s="198">
        <f t="shared" si="5"/>
        <v>7.2727272727272725</v>
      </c>
    </row>
    <row r="18" spans="1:62" ht="12" customHeight="1">
      <c r="A18" s="59">
        <v>11</v>
      </c>
      <c r="B18" s="60" t="str">
        <f>'C. FILIACION'!B18</f>
        <v>ROJAS MAMANI JERUSALEN LOURDES</v>
      </c>
      <c r="C18" s="49" t="s">
        <v>60</v>
      </c>
      <c r="D18" s="49" t="s">
        <v>60</v>
      </c>
      <c r="E18" s="49"/>
      <c r="F18" s="49" t="s">
        <v>60</v>
      </c>
      <c r="G18" s="49"/>
      <c r="H18" s="49" t="s">
        <v>60</v>
      </c>
      <c r="I18" s="49"/>
      <c r="J18" s="49" t="s">
        <v>60</v>
      </c>
      <c r="K18" s="49" t="s">
        <v>60</v>
      </c>
      <c r="L18" s="49"/>
      <c r="M18" s="49" t="s">
        <v>60</v>
      </c>
      <c r="N18" s="49" t="s">
        <v>60</v>
      </c>
      <c r="O18" s="49" t="s">
        <v>60</v>
      </c>
      <c r="P18" s="49" t="s">
        <v>60</v>
      </c>
      <c r="Q18" s="49" t="s">
        <v>60</v>
      </c>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11</v>
      </c>
      <c r="BB18" s="62" t="str">
        <f t="shared" si="1"/>
        <v>0</v>
      </c>
      <c r="BC18" s="62" t="str">
        <f t="shared" si="2"/>
        <v>0</v>
      </c>
      <c r="BD18" s="62" t="str">
        <f t="shared" si="3"/>
        <v>0</v>
      </c>
      <c r="BE18" s="65">
        <f t="shared" si="4"/>
        <v>11</v>
      </c>
      <c r="BJ18" s="198">
        <f t="shared" si="5"/>
        <v>10</v>
      </c>
    </row>
    <row r="19" spans="1:62" ht="12" customHeight="1">
      <c r="A19" s="59">
        <v>12</v>
      </c>
      <c r="B19" s="60" t="str">
        <f>'C. FILIACION'!B19</f>
        <v>SALAS ROJAS LUCIANA ANTONELLA</v>
      </c>
      <c r="C19" s="49" t="s">
        <v>60</v>
      </c>
      <c r="D19" s="49" t="s">
        <v>60</v>
      </c>
      <c r="E19" s="49"/>
      <c r="F19" s="49" t="s">
        <v>164</v>
      </c>
      <c r="G19" s="49"/>
      <c r="H19" s="49" t="s">
        <v>164</v>
      </c>
      <c r="I19" s="49"/>
      <c r="J19" s="49" t="s">
        <v>60</v>
      </c>
      <c r="K19" s="49" t="s">
        <v>60</v>
      </c>
      <c r="L19" s="49"/>
      <c r="M19" s="49" t="s">
        <v>60</v>
      </c>
      <c r="N19" s="49" t="s">
        <v>60</v>
      </c>
      <c r="O19" s="49" t="s">
        <v>60</v>
      </c>
      <c r="P19" s="49" t="s">
        <v>60</v>
      </c>
      <c r="Q19" s="49" t="s">
        <v>164</v>
      </c>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8</v>
      </c>
      <c r="BB19" s="62" t="str">
        <f t="shared" si="1"/>
        <v>0</v>
      </c>
      <c r="BC19" s="62">
        <f t="shared" si="2"/>
        <v>3</v>
      </c>
      <c r="BD19" s="62" t="str">
        <f t="shared" si="3"/>
        <v>0</v>
      </c>
      <c r="BE19" s="65">
        <f t="shared" si="4"/>
        <v>11</v>
      </c>
      <c r="BJ19" s="198">
        <f t="shared" si="5"/>
        <v>10</v>
      </c>
    </row>
    <row r="20" spans="1:62" ht="12" customHeight="1">
      <c r="A20" s="59">
        <v>13</v>
      </c>
      <c r="B20" s="60" t="str">
        <f>'C. FILIACION'!B20</f>
        <v>SANTOS CRUZ ROYER JOEL</v>
      </c>
      <c r="C20" s="49" t="s">
        <v>60</v>
      </c>
      <c r="D20" s="49" t="s">
        <v>164</v>
      </c>
      <c r="E20" s="49"/>
      <c r="F20" s="49" t="s">
        <v>60</v>
      </c>
      <c r="G20" s="49"/>
      <c r="H20" s="49" t="s">
        <v>60</v>
      </c>
      <c r="I20" s="49"/>
      <c r="J20" s="49" t="s">
        <v>60</v>
      </c>
      <c r="K20" s="49" t="s">
        <v>60</v>
      </c>
      <c r="L20" s="49"/>
      <c r="M20" s="49" t="s">
        <v>60</v>
      </c>
      <c r="N20" s="49" t="s">
        <v>60</v>
      </c>
      <c r="O20" s="49" t="s">
        <v>60</v>
      </c>
      <c r="P20" s="49" t="s">
        <v>60</v>
      </c>
      <c r="Q20" s="49" t="s">
        <v>60</v>
      </c>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10</v>
      </c>
      <c r="BB20" s="62" t="str">
        <f t="shared" si="1"/>
        <v>0</v>
      </c>
      <c r="BC20" s="62">
        <f t="shared" si="2"/>
        <v>1</v>
      </c>
      <c r="BD20" s="62" t="str">
        <f t="shared" si="3"/>
        <v>0</v>
      </c>
      <c r="BE20" s="65">
        <f t="shared" si="4"/>
        <v>11</v>
      </c>
      <c r="BJ20" s="198">
        <f t="shared" si="5"/>
        <v>10</v>
      </c>
    </row>
    <row r="21" spans="1:62" ht="12" customHeight="1">
      <c r="A21" s="59">
        <v>14</v>
      </c>
      <c r="B21" s="60" t="str">
        <f>'C. FILIACION'!B21</f>
        <v>TICONA LOAYZA ARIADNE VALERIA</v>
      </c>
      <c r="C21" s="49" t="s">
        <v>60</v>
      </c>
      <c r="D21" s="49" t="s">
        <v>60</v>
      </c>
      <c r="E21" s="49"/>
      <c r="F21" s="49" t="s">
        <v>60</v>
      </c>
      <c r="G21" s="49"/>
      <c r="H21" s="49" t="s">
        <v>60</v>
      </c>
      <c r="I21" s="49"/>
      <c r="J21" s="49" t="s">
        <v>164</v>
      </c>
      <c r="K21" s="49" t="s">
        <v>60</v>
      </c>
      <c r="L21" s="49"/>
      <c r="M21" s="49" t="s">
        <v>60</v>
      </c>
      <c r="N21" s="49" t="s">
        <v>164</v>
      </c>
      <c r="O21" s="49" t="s">
        <v>60</v>
      </c>
      <c r="P21" s="49" t="s">
        <v>60</v>
      </c>
      <c r="Q21" s="49" t="s">
        <v>164</v>
      </c>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8</v>
      </c>
      <c r="BB21" s="62" t="str">
        <f t="shared" si="1"/>
        <v>0</v>
      </c>
      <c r="BC21" s="62">
        <f t="shared" si="2"/>
        <v>3</v>
      </c>
      <c r="BD21" s="62" t="str">
        <f t="shared" si="3"/>
        <v>0</v>
      </c>
      <c r="BE21" s="65">
        <f t="shared" si="4"/>
        <v>11</v>
      </c>
      <c r="BJ21" s="198">
        <f t="shared" si="5"/>
        <v>10</v>
      </c>
    </row>
    <row r="22" spans="1:62" ht="12" customHeight="1">
      <c r="A22" s="59">
        <v>15</v>
      </c>
      <c r="B22" s="60" t="str">
        <f>'C. FILIACION'!B22</f>
        <v>ZEBALLOS DEL CARPIO AMIRA MERCEDES</v>
      </c>
      <c r="C22" s="49" t="s">
        <v>60</v>
      </c>
      <c r="D22" s="49" t="s">
        <v>61</v>
      </c>
      <c r="E22" s="49"/>
      <c r="F22" s="49" t="s">
        <v>164</v>
      </c>
      <c r="G22" s="49" t="s">
        <v>215</v>
      </c>
      <c r="H22" s="49" t="s">
        <v>164</v>
      </c>
      <c r="I22" s="49"/>
      <c r="J22" s="49" t="s">
        <v>164</v>
      </c>
      <c r="K22" s="49" t="s">
        <v>60</v>
      </c>
      <c r="L22" s="49"/>
      <c r="M22" s="49" t="s">
        <v>60</v>
      </c>
      <c r="N22" s="49" t="s">
        <v>60</v>
      </c>
      <c r="O22" s="49" t="s">
        <v>60</v>
      </c>
      <c r="P22" s="49" t="s">
        <v>60</v>
      </c>
      <c r="Q22" s="49" t="s">
        <v>60</v>
      </c>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7</v>
      </c>
      <c r="BB22" s="62">
        <f t="shared" si="1"/>
        <v>1</v>
      </c>
      <c r="BC22" s="62">
        <f t="shared" si="2"/>
        <v>3</v>
      </c>
      <c r="BD22" s="62" t="str">
        <f t="shared" si="3"/>
        <v>0</v>
      </c>
      <c r="BE22" s="65">
        <f t="shared" si="4"/>
        <v>11</v>
      </c>
      <c r="BJ22" s="198">
        <f t="shared" si="5"/>
        <v>9.0909090909090917</v>
      </c>
    </row>
    <row r="23" spans="1:62"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ref="BB23:BB43" si="6">IF(COUNTIF(C23:AZ23,"F")=0,"",COUNTIF(C23:AZ23,"F"))</f>
        <v/>
      </c>
      <c r="BC23" s="49" t="str">
        <f t="shared" ref="BC23:BC43" si="7">IF(COUNTIF(C23:AZ23,"R")=0,"",COUNTIF(C23:AZ23,"R"))</f>
        <v/>
      </c>
      <c r="BD23" s="49" t="str">
        <f t="shared" ref="BD23:BD43" si="8">IF(COUNTIF(C23:AZ23,"L")=0,"",COUNTIF(C23:AZ23,"L"))</f>
        <v/>
      </c>
      <c r="BE23" s="65" t="str">
        <f t="shared" ref="BE23:BE43" si="9">IF(COUNTIF(C23:AZ23,"L")=0,"",COUNTIF(C23:AZ23,"L"))</f>
        <v/>
      </c>
    </row>
    <row r="24" spans="1:62"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6"/>
        <v/>
      </c>
      <c r="BC24" s="49" t="str">
        <f t="shared" si="7"/>
        <v/>
      </c>
      <c r="BD24" s="49" t="str">
        <f t="shared" si="8"/>
        <v/>
      </c>
      <c r="BE24" s="65" t="str">
        <f t="shared" si="9"/>
        <v/>
      </c>
    </row>
    <row r="25" spans="1:62"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6"/>
        <v/>
      </c>
      <c r="BC25" s="49" t="str">
        <f t="shared" si="7"/>
        <v/>
      </c>
      <c r="BD25" s="49" t="str">
        <f t="shared" si="8"/>
        <v/>
      </c>
      <c r="BE25" s="65" t="str">
        <f t="shared" si="9"/>
        <v/>
      </c>
    </row>
    <row r="26" spans="1:62"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6"/>
        <v/>
      </c>
      <c r="BC26" s="49" t="str">
        <f t="shared" si="7"/>
        <v/>
      </c>
      <c r="BD26" s="49" t="str">
        <f t="shared" si="8"/>
        <v/>
      </c>
      <c r="BE26" s="65" t="str">
        <f t="shared" si="9"/>
        <v/>
      </c>
    </row>
    <row r="27" spans="1:62"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6"/>
        <v/>
      </c>
      <c r="BC27" s="49" t="str">
        <f t="shared" si="7"/>
        <v/>
      </c>
      <c r="BD27" s="49" t="str">
        <f t="shared" si="8"/>
        <v/>
      </c>
      <c r="BE27" s="65" t="str">
        <f t="shared" si="9"/>
        <v/>
      </c>
    </row>
    <row r="28" spans="1:62"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6"/>
        <v/>
      </c>
      <c r="BC28" s="49" t="str">
        <f t="shared" si="7"/>
        <v/>
      </c>
      <c r="BD28" s="49" t="str">
        <f t="shared" si="8"/>
        <v/>
      </c>
      <c r="BE28" s="65" t="str">
        <f t="shared" si="9"/>
        <v/>
      </c>
    </row>
    <row r="29" spans="1:62"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6"/>
        <v/>
      </c>
      <c r="BC29" s="49" t="str">
        <f t="shared" si="7"/>
        <v/>
      </c>
      <c r="BD29" s="49" t="str">
        <f t="shared" si="8"/>
        <v/>
      </c>
      <c r="BE29" s="65" t="str">
        <f t="shared" si="9"/>
        <v/>
      </c>
    </row>
    <row r="30" spans="1:62"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6"/>
        <v/>
      </c>
      <c r="BC30" s="49" t="str">
        <f t="shared" si="7"/>
        <v/>
      </c>
      <c r="BD30" s="49" t="str">
        <f t="shared" si="8"/>
        <v/>
      </c>
      <c r="BE30" s="65" t="str">
        <f t="shared" si="9"/>
        <v/>
      </c>
    </row>
    <row r="31" spans="1:62"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6"/>
        <v/>
      </c>
      <c r="BC31" s="49" t="str">
        <f t="shared" si="7"/>
        <v/>
      </c>
      <c r="BD31" s="49" t="str">
        <f t="shared" si="8"/>
        <v/>
      </c>
      <c r="BE31" s="65" t="str">
        <f t="shared" si="9"/>
        <v/>
      </c>
    </row>
    <row r="32" spans="1:62"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6"/>
        <v/>
      </c>
      <c r="BC32" s="49" t="str">
        <f t="shared" si="7"/>
        <v/>
      </c>
      <c r="BD32" s="49" t="str">
        <f t="shared" si="8"/>
        <v/>
      </c>
      <c r="BE32" s="65" t="str">
        <f t="shared" si="9"/>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6"/>
        <v/>
      </c>
      <c r="BC33" s="49" t="str">
        <f t="shared" si="7"/>
        <v/>
      </c>
      <c r="BD33" s="49" t="str">
        <f t="shared" si="8"/>
        <v/>
      </c>
      <c r="BE33" s="65" t="str">
        <f t="shared" si="9"/>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6"/>
        <v/>
      </c>
      <c r="BC34" s="49" t="str">
        <f t="shared" si="7"/>
        <v/>
      </c>
      <c r="BD34" s="49" t="str">
        <f t="shared" si="8"/>
        <v/>
      </c>
      <c r="BE34" s="65" t="str">
        <f t="shared" si="9"/>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6"/>
        <v/>
      </c>
      <c r="BC35" s="49" t="str">
        <f t="shared" si="7"/>
        <v/>
      </c>
      <c r="BD35" s="49" t="str">
        <f t="shared" si="8"/>
        <v/>
      </c>
      <c r="BE35" s="65" t="str">
        <f t="shared" si="9"/>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6"/>
        <v/>
      </c>
      <c r="BC36" s="49" t="str">
        <f t="shared" si="7"/>
        <v/>
      </c>
      <c r="BD36" s="49" t="str">
        <f t="shared" si="8"/>
        <v/>
      </c>
      <c r="BE36" s="65" t="str">
        <f t="shared" si="9"/>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6"/>
        <v/>
      </c>
      <c r="BC37" s="49" t="str">
        <f t="shared" si="7"/>
        <v/>
      </c>
      <c r="BD37" s="49" t="str">
        <f t="shared" si="8"/>
        <v/>
      </c>
      <c r="BE37" s="65" t="str">
        <f t="shared" si="9"/>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6"/>
        <v/>
      </c>
      <c r="BC38" s="49" t="str">
        <f t="shared" si="7"/>
        <v/>
      </c>
      <c r="BD38" s="49" t="str">
        <f t="shared" si="8"/>
        <v/>
      </c>
      <c r="BE38" s="65" t="str">
        <f t="shared" si="9"/>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6"/>
        <v/>
      </c>
      <c r="BC39" s="49" t="str">
        <f t="shared" si="7"/>
        <v/>
      </c>
      <c r="BD39" s="49" t="str">
        <f t="shared" si="8"/>
        <v/>
      </c>
      <c r="BE39" s="65" t="str">
        <f t="shared" si="9"/>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6"/>
        <v/>
      </c>
      <c r="BC40" s="49" t="str">
        <f t="shared" si="7"/>
        <v/>
      </c>
      <c r="BD40" s="49" t="str">
        <f t="shared" si="8"/>
        <v/>
      </c>
      <c r="BE40" s="65" t="str">
        <f t="shared" si="9"/>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6"/>
        <v/>
      </c>
      <c r="BC41" s="49" t="str">
        <f t="shared" si="7"/>
        <v/>
      </c>
      <c r="BD41" s="49" t="str">
        <f t="shared" si="8"/>
        <v/>
      </c>
      <c r="BE41" s="65" t="str">
        <f t="shared" si="9"/>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6"/>
        <v/>
      </c>
      <c r="BC42" s="49" t="str">
        <f t="shared" si="7"/>
        <v/>
      </c>
      <c r="BD42" s="49" t="str">
        <f t="shared" si="8"/>
        <v/>
      </c>
      <c r="BE42" s="65" t="str">
        <f t="shared" si="9"/>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6"/>
        <v/>
      </c>
      <c r="BC43" s="49" t="str">
        <f t="shared" si="7"/>
        <v/>
      </c>
      <c r="BD43" s="49" t="str">
        <f t="shared" si="8"/>
        <v/>
      </c>
      <c r="BE43" s="65" t="str">
        <f t="shared" si="9"/>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zoomScale="85" zoomScaleNormal="85" workbookViewId="0">
      <selection activeCell="AB31" sqref="A1:AB31"/>
    </sheetView>
  </sheetViews>
  <sheetFormatPr baseColWidth="10" defaultRowHeight="20.399999999999999"/>
  <cols>
    <col min="1" max="26" width="2.3984375" customWidth="1"/>
  </cols>
  <sheetData>
    <row r="1" spans="1:30" s="158" customFormat="1" ht="22.5" customHeight="1"/>
    <row r="2" spans="1:30">
      <c r="A2" s="292" t="s">
        <v>172</v>
      </c>
      <c r="B2" s="292"/>
      <c r="C2" s="292"/>
      <c r="D2" s="292"/>
      <c r="E2" s="292"/>
      <c r="F2" s="292"/>
      <c r="G2" s="292"/>
      <c r="H2" s="292"/>
      <c r="I2" s="292"/>
      <c r="J2" s="292"/>
      <c r="K2" s="292"/>
      <c r="L2" s="292"/>
      <c r="M2" s="292"/>
      <c r="N2" s="292"/>
      <c r="O2" s="292"/>
      <c r="P2" s="292"/>
      <c r="Q2" s="292"/>
      <c r="R2" s="292"/>
      <c r="S2" s="292"/>
      <c r="T2" s="292"/>
      <c r="U2" s="292"/>
      <c r="V2" s="292"/>
      <c r="W2" s="292"/>
      <c r="X2" s="292"/>
      <c r="Y2" s="292"/>
      <c r="Z2" s="292"/>
      <c r="AA2" s="292"/>
      <c r="AB2" s="292"/>
    </row>
    <row r="3" spans="1:30" ht="6" customHeight="1"/>
    <row r="4" spans="1:30" ht="16.2" customHeight="1">
      <c r="A4" s="296" t="s">
        <v>173</v>
      </c>
      <c r="B4" s="296"/>
      <c r="C4" s="296"/>
      <c r="D4" s="296"/>
      <c r="E4" s="296"/>
      <c r="F4" s="293" t="str">
        <f>CARÁTULA!C25</f>
        <v>Tecnica Tecnologica (Programacion)</v>
      </c>
      <c r="G4" s="293"/>
      <c r="H4" s="293"/>
      <c r="I4" s="293"/>
      <c r="J4" s="293"/>
      <c r="K4" s="293"/>
      <c r="L4" s="293"/>
      <c r="M4" s="293"/>
      <c r="N4" s="293"/>
      <c r="O4" s="294" t="s">
        <v>187</v>
      </c>
      <c r="P4" s="294"/>
      <c r="Q4" s="294"/>
      <c r="R4" s="293" t="str">
        <f>CARÁTULA!C23</f>
        <v>1ro de Secundaria</v>
      </c>
      <c r="S4" s="293"/>
      <c r="T4" s="293"/>
      <c r="U4" s="293"/>
      <c r="V4" s="293"/>
      <c r="W4" s="293"/>
      <c r="X4" s="293"/>
      <c r="Y4" s="293"/>
      <c r="Z4" s="293"/>
      <c r="AA4" s="180" t="s">
        <v>196</v>
      </c>
      <c r="AB4" s="182" t="s">
        <v>200</v>
      </c>
    </row>
    <row r="5" spans="1:30" ht="16.2" customHeight="1">
      <c r="A5" s="296" t="s">
        <v>174</v>
      </c>
      <c r="B5" s="296"/>
      <c r="C5" s="296"/>
      <c r="D5" s="296"/>
      <c r="E5" s="296"/>
      <c r="F5" s="297" t="s">
        <v>45</v>
      </c>
      <c r="G5" s="297"/>
      <c r="H5" s="297"/>
      <c r="I5" s="297"/>
      <c r="J5" s="297"/>
      <c r="K5" s="297"/>
      <c r="L5" s="297"/>
      <c r="M5" s="297"/>
      <c r="N5" s="297"/>
      <c r="O5" s="297"/>
      <c r="P5" s="297"/>
      <c r="Q5" s="297"/>
      <c r="R5" s="297"/>
      <c r="S5" s="297"/>
      <c r="T5" s="297"/>
      <c r="U5" s="297"/>
      <c r="V5" s="297"/>
      <c r="W5" s="297"/>
      <c r="X5" s="297"/>
      <c r="Y5" s="297"/>
      <c r="Z5" s="297"/>
      <c r="AA5" s="180" t="s">
        <v>199</v>
      </c>
      <c r="AB5" s="181" t="s">
        <v>198</v>
      </c>
    </row>
    <row r="6" spans="1:30" ht="16.2" customHeight="1">
      <c r="A6" s="296" t="s">
        <v>175</v>
      </c>
      <c r="B6" s="296"/>
      <c r="C6" s="296"/>
      <c r="D6" s="296"/>
      <c r="E6" s="296"/>
      <c r="F6" s="297" t="s">
        <v>177</v>
      </c>
      <c r="G6" s="297"/>
      <c r="H6" s="297"/>
      <c r="I6" s="297"/>
      <c r="J6" s="297"/>
      <c r="K6" s="297"/>
      <c r="L6" s="297"/>
      <c r="M6" s="297"/>
      <c r="N6" s="297"/>
      <c r="O6" s="297"/>
      <c r="P6" s="297"/>
      <c r="Q6" s="297"/>
      <c r="R6" s="297"/>
      <c r="S6" s="297"/>
      <c r="T6" s="297"/>
      <c r="U6" s="297"/>
      <c r="V6" s="297"/>
      <c r="W6" s="297"/>
      <c r="X6" s="297"/>
      <c r="Y6" s="297"/>
      <c r="Z6" s="297"/>
    </row>
    <row r="7" spans="1:30" ht="7.5" customHeight="1"/>
    <row r="8" spans="1:30" ht="16.2" customHeight="1">
      <c r="A8" s="295" t="s">
        <v>176</v>
      </c>
      <c r="B8" s="295"/>
      <c r="C8" s="295"/>
      <c r="D8" s="295"/>
      <c r="E8" s="295"/>
      <c r="F8" s="295"/>
      <c r="G8" s="295"/>
      <c r="H8" s="295"/>
      <c r="I8" s="295"/>
      <c r="J8" s="295"/>
      <c r="K8" s="295"/>
      <c r="L8" s="295"/>
      <c r="M8" s="295"/>
      <c r="N8" s="295"/>
      <c r="O8" s="295"/>
      <c r="P8" s="295"/>
      <c r="Q8" s="295"/>
      <c r="R8" s="295"/>
      <c r="S8" s="295"/>
      <c r="T8" s="295"/>
      <c r="U8" s="295"/>
      <c r="V8" s="295"/>
      <c r="W8" s="295"/>
      <c r="X8" s="295"/>
      <c r="Y8" s="295"/>
      <c r="Z8" s="295"/>
      <c r="AA8" s="295"/>
      <c r="AB8" s="295"/>
    </row>
    <row r="9" spans="1:30" ht="5.25" customHeight="1"/>
    <row r="10" spans="1:30" ht="81" customHeight="1">
      <c r="F10" s="163" t="str">
        <f>'ASIS 2 TRIM'!C7</f>
        <v>13/5/2020</v>
      </c>
      <c r="G10" s="163" t="str">
        <f>'ASIS 2 TRIM'!D7</f>
        <v>20/5/2020</v>
      </c>
      <c r="H10" s="163" t="str">
        <f>'ASIS 2 TRIM'!E7</f>
        <v>27/5/2021</v>
      </c>
      <c r="I10" s="163" t="str">
        <f>'ASIS 2 TRIM'!F7</f>
        <v>1/7/2021</v>
      </c>
      <c r="J10" s="163" t="str">
        <f>'ASIS 2 TRIM'!G7</f>
        <v>8/7/2021</v>
      </c>
      <c r="K10" s="163" t="str">
        <f>'ASIS 2 TRIM'!H7</f>
        <v>15/7/2021</v>
      </c>
      <c r="L10" s="163" t="str">
        <f>'ASIS 2 TRIM'!I7</f>
        <v>22/7/2021</v>
      </c>
      <c r="M10" s="163" t="str">
        <f>'ASIS 2 TRIM'!J7</f>
        <v>29/7/2021</v>
      </c>
      <c r="N10" s="163" t="str">
        <f>'ASIS 2 TRIM'!K7</f>
        <v>5/8/2021</v>
      </c>
      <c r="O10" s="163" t="str">
        <f>'ASIS 2 TRIM'!L7</f>
        <v>12/8/2021</v>
      </c>
      <c r="P10" s="163" t="str">
        <f>'ASIS 2 TRIM'!M7</f>
        <v>19/8/2021</v>
      </c>
      <c r="Q10" s="163" t="str">
        <f>'ASIS 2 TRIM'!N7</f>
        <v>26/8/20212</v>
      </c>
      <c r="R10" s="163" t="str">
        <f>'ASIS 2 TRIM'!O7</f>
        <v>2/9/2021</v>
      </c>
      <c r="S10" s="163" t="str">
        <f>'ASIS 2 TRIM'!P7</f>
        <v>9/9/2021</v>
      </c>
      <c r="T10" s="163"/>
      <c r="U10" s="163"/>
      <c r="V10" s="163" t="str">
        <f>'ASIS 2 TRIM'!BA7</f>
        <v>Asist. (A)</v>
      </c>
      <c r="W10" s="163" t="str">
        <f>'ASIS 2 TRIM'!BB7</f>
        <v>Faltas (F)</v>
      </c>
      <c r="X10" s="163" t="str">
        <f>'ASIS 2 TRIM'!BC7</f>
        <v>Retrasos (R)</v>
      </c>
      <c r="Y10" s="163" t="str">
        <f>'ASIS 2 TRIM'!BD7</f>
        <v>Licencias (L)</v>
      </c>
      <c r="Z10" s="178" t="str">
        <f>'ASIS 2 TRIM'!BE7</f>
        <v>DÍAS TRABAJADOS</v>
      </c>
    </row>
    <row r="11" spans="1:30" ht="15" customHeight="1">
      <c r="F11" s="179" t="str">
        <f>VLOOKUP($F$5,Tabla2[[NÓMINA DE ESTUDIANTES]:[5/8/2021]],2,FALSE)</f>
        <v>a</v>
      </c>
      <c r="G11" s="179" t="str">
        <f>VLOOKUP($F$5,Tabla2[[NÓMINA DE ESTUDIANTES]:[5/8/2021]],3,FALSE)</f>
        <v>a</v>
      </c>
      <c r="H11" s="179"/>
      <c r="I11" s="179" t="str">
        <f>VLOOKUP($F$5,Tabla2[[NÓMINA DE ESTUDIANTES]:[5/8/2021]],5,FALSE)</f>
        <v>a</v>
      </c>
      <c r="J11" s="179" t="str">
        <f>VLOOKUP($F$5,Tabla2[[NÓMINA DE ESTUDIANTES]:[5/8/2021]],6,FALSE)</f>
        <v>a</v>
      </c>
      <c r="K11" s="179" t="str">
        <f>VLOOKUP($F$5,Tabla2[[NÓMINA DE ESTUDIANTES]:[5/8/2021]],7,FALSE)</f>
        <v>a</v>
      </c>
      <c r="L11" s="179" t="str">
        <f>VLOOKUP($F$5,Tabla2[[NÓMINA DE ESTUDIANTES]:[5/8/2021]],8,FALSE)</f>
        <v>a</v>
      </c>
      <c r="M11" s="179" t="str">
        <f>VLOOKUP($F$5,Tabla2[[NÓMINA DE ESTUDIANTES]:[5/8/2021]],9,FALSE)</f>
        <v>a</v>
      </c>
      <c r="N11" s="179" t="str">
        <f>VLOOKUP($F$5,Tabla2[[NÓMINA DE ESTUDIANTES]:[5/8/2021]],10,FALSE)</f>
        <v>a</v>
      </c>
      <c r="O11" s="179" t="str">
        <f>VLOOKUP($F$5,Tabla2[[NÓMINA DE ESTUDIANTES]:[12/8/2021]],11,FALSE)</f>
        <v>a</v>
      </c>
      <c r="P11" s="179" t="str">
        <f>VLOOKUP($F$5,Tabla2[[NÓMINA DE ESTUDIANTES]:[12/8/2021]],11,FALSE)</f>
        <v>a</v>
      </c>
      <c r="Q11" s="179" t="str">
        <f>VLOOKUP($F$5,Tabla2[[NÓMINA DE ESTUDIANTES]:[12/8/2021]],11,FALSE)</f>
        <v>a</v>
      </c>
      <c r="R11" s="179" t="str">
        <f>VLOOKUP($F$5,Tabla2[[NÓMINA DE ESTUDIANTES]:[12/8/2021]],11,FALSE)</f>
        <v>a</v>
      </c>
      <c r="S11" s="179" t="str">
        <f>VLOOKUP($F$5,Tabla2[[NÓMINA DE ESTUDIANTES]:[12/8/2021]],11,FALSE)</f>
        <v>a</v>
      </c>
      <c r="V11" s="179">
        <f>VLOOKUP($F$5,'ASIS 2 TRIM'!$B$8:$BE$22,52,FALSE)</f>
        <v>13</v>
      </c>
      <c r="W11" s="179">
        <f>VLOOKUP($F$5,'ASIS 2 TRIM'!$B$8:$BE$22,53,FALSE)</f>
        <v>0</v>
      </c>
      <c r="X11" s="179" t="str">
        <f>VLOOKUP($F$5,'ASIS 2 TRIM'!$B$8:$BE$22,54,FALSE)</f>
        <v>0</v>
      </c>
      <c r="Y11" s="179" t="str">
        <f>VLOOKUP($F$5,'ASIS 2 TRIM'!$B$8:$BE$22,55,FALSE)</f>
        <v>0</v>
      </c>
      <c r="Z11" s="179">
        <f>VLOOKUP($F$5,'ASIS 2 TRIM'!$B$8:$BE$22,56,FALSE)</f>
        <v>13</v>
      </c>
    </row>
    <row r="12" spans="1:30" ht="15" customHeight="1"/>
    <row r="13" spans="1:30" ht="15" customHeight="1">
      <c r="A13" s="286" t="s">
        <v>194</v>
      </c>
      <c r="B13" s="286"/>
      <c r="C13" s="286"/>
      <c r="D13" s="286"/>
      <c r="E13" s="286"/>
      <c r="F13" s="286"/>
      <c r="G13" s="286"/>
      <c r="H13" s="286"/>
      <c r="I13" s="286"/>
      <c r="J13" s="286"/>
      <c r="K13" s="286"/>
      <c r="L13" s="286"/>
      <c r="M13" s="286"/>
      <c r="N13" s="286"/>
      <c r="O13" s="286"/>
      <c r="P13" s="286"/>
      <c r="Q13" s="286"/>
      <c r="R13" s="286"/>
      <c r="S13" s="286"/>
      <c r="T13" s="286"/>
      <c r="U13" s="286"/>
      <c r="V13" s="286"/>
      <c r="W13" s="286"/>
      <c r="X13" s="286"/>
      <c r="Y13" s="286"/>
      <c r="Z13" s="286"/>
      <c r="AA13" s="286"/>
      <c r="AB13" s="286"/>
    </row>
    <row r="14" spans="1:30" s="158" customFormat="1" ht="15" customHeight="1">
      <c r="A14" s="286" t="s">
        <v>191</v>
      </c>
      <c r="B14" s="286"/>
      <c r="C14" s="286"/>
      <c r="D14" s="286"/>
      <c r="E14" s="286"/>
      <c r="F14" s="286"/>
      <c r="G14" s="286"/>
      <c r="H14" s="286"/>
      <c r="I14" s="286" t="s">
        <v>192</v>
      </c>
      <c r="J14" s="286"/>
      <c r="K14" s="286" t="s">
        <v>193</v>
      </c>
      <c r="L14" s="286"/>
      <c r="M14" s="286"/>
      <c r="N14" s="286"/>
      <c r="O14" s="286"/>
      <c r="P14" s="286"/>
      <c r="Q14" s="286"/>
      <c r="R14" s="286"/>
      <c r="S14" s="286"/>
      <c r="T14" s="286"/>
      <c r="U14" s="286"/>
      <c r="V14" s="286"/>
      <c r="W14" s="286"/>
      <c r="X14" s="286"/>
      <c r="Y14" s="286"/>
      <c r="Z14" s="286"/>
      <c r="AA14" s="286"/>
      <c r="AB14" s="286"/>
      <c r="AD14" s="60"/>
    </row>
    <row r="15" spans="1:30" ht="15" customHeight="1">
      <c r="A15" s="288" t="s">
        <v>190</v>
      </c>
      <c r="B15" s="289"/>
      <c r="C15" s="289"/>
      <c r="D15" s="289"/>
      <c r="E15" s="289"/>
      <c r="F15" s="289"/>
      <c r="G15" s="289"/>
      <c r="H15" s="289"/>
      <c r="I15" s="273">
        <f>VLOOKUP($F$5,'VAL 2 TRIM'!$B$9:$AM$23,3,FALSE)</f>
        <v>21</v>
      </c>
      <c r="J15" s="273"/>
      <c r="K15" s="274" t="s">
        <v>203</v>
      </c>
      <c r="L15" s="275"/>
      <c r="M15" s="275"/>
      <c r="N15" s="275"/>
      <c r="O15" s="275"/>
      <c r="P15" s="275"/>
      <c r="Q15" s="275"/>
      <c r="R15" s="275"/>
      <c r="S15" s="275"/>
      <c r="T15" s="275"/>
      <c r="U15" s="275"/>
      <c r="V15" s="275"/>
      <c r="W15" s="275"/>
      <c r="X15" s="275"/>
      <c r="Y15" s="275"/>
      <c r="Z15" s="275"/>
      <c r="AA15" s="275"/>
      <c r="AB15" s="275"/>
      <c r="AC15">
        <f>IF(I15=0,1,0)</f>
        <v>0</v>
      </c>
      <c r="AD15" s="183">
        <v>1</v>
      </c>
    </row>
    <row r="16" spans="1:30" ht="15" customHeight="1">
      <c r="A16" s="290" t="s">
        <v>171</v>
      </c>
      <c r="B16" s="290"/>
      <c r="C16" s="290"/>
      <c r="D16" s="290"/>
      <c r="E16" s="290"/>
      <c r="F16" s="290"/>
      <c r="G16" s="290"/>
      <c r="H16" s="290"/>
      <c r="I16" s="273">
        <f>VLOOKUP($F$5,'VAL 2 TRIM'!$B$9:$AM$23,4,FALSE)</f>
        <v>30</v>
      </c>
      <c r="J16" s="273"/>
      <c r="K16" s="273"/>
      <c r="L16" s="273"/>
      <c r="M16" s="273"/>
      <c r="N16" s="273"/>
      <c r="O16" s="273"/>
      <c r="P16" s="273"/>
      <c r="Q16" s="273"/>
      <c r="R16" s="273"/>
      <c r="S16" s="273"/>
      <c r="T16" s="273"/>
      <c r="U16" s="273"/>
      <c r="V16" s="273"/>
      <c r="W16" s="273"/>
      <c r="X16" s="273"/>
      <c r="Y16" s="273"/>
      <c r="Z16" s="273"/>
      <c r="AA16" s="273"/>
      <c r="AB16" s="273"/>
      <c r="AC16" s="158">
        <f t="shared" ref="AC16:AC17" si="0">IF(I16=0,1,0)</f>
        <v>0</v>
      </c>
      <c r="AD16" s="183">
        <v>1</v>
      </c>
    </row>
    <row r="17" spans="1:30" ht="15" customHeight="1">
      <c r="A17" s="291" t="s">
        <v>189</v>
      </c>
      <c r="B17" s="290"/>
      <c r="C17" s="290"/>
      <c r="D17" s="290"/>
      <c r="E17" s="290"/>
      <c r="F17" s="290"/>
      <c r="G17" s="290"/>
      <c r="H17" s="290"/>
      <c r="I17" s="273">
        <f>VLOOKUP($F$5,'VAL 2 TRIM'!$B$9:$AM$23,5,FALSE)</f>
        <v>30</v>
      </c>
      <c r="J17" s="273"/>
      <c r="K17" s="273"/>
      <c r="L17" s="273"/>
      <c r="M17" s="273"/>
      <c r="N17" s="273"/>
      <c r="O17" s="273"/>
      <c r="P17" s="273"/>
      <c r="Q17" s="273"/>
      <c r="R17" s="273"/>
      <c r="S17" s="273"/>
      <c r="T17" s="273"/>
      <c r="U17" s="273"/>
      <c r="V17" s="273"/>
      <c r="W17" s="273"/>
      <c r="X17" s="273"/>
      <c r="Y17" s="273"/>
      <c r="Z17" s="273"/>
      <c r="AA17" s="273"/>
      <c r="AB17" s="273"/>
      <c r="AC17" s="158">
        <f t="shared" si="0"/>
        <v>0</v>
      </c>
      <c r="AD17" s="184">
        <v>1</v>
      </c>
    </row>
    <row r="18" spans="1:30" ht="15" customHeight="1">
      <c r="A18" s="276" t="s">
        <v>77</v>
      </c>
      <c r="B18" s="277"/>
      <c r="C18" s="277"/>
      <c r="D18" s="277"/>
      <c r="E18" s="277"/>
      <c r="F18" s="277"/>
      <c r="G18" s="277"/>
      <c r="H18" s="277"/>
      <c r="I18" s="287">
        <f>SUM(I15:J17)/3</f>
        <v>27</v>
      </c>
      <c r="J18" s="287"/>
      <c r="K18" s="273"/>
      <c r="L18" s="273"/>
      <c r="M18" s="273"/>
      <c r="N18" s="273"/>
      <c r="O18" s="273"/>
      <c r="P18" s="273"/>
      <c r="Q18" s="273"/>
      <c r="R18" s="273"/>
      <c r="S18" s="273"/>
      <c r="T18" s="273"/>
      <c r="U18" s="273"/>
      <c r="V18" s="273"/>
      <c r="W18" s="273"/>
      <c r="X18" s="273"/>
      <c r="Y18" s="273"/>
      <c r="Z18" s="273"/>
      <c r="AA18" s="273"/>
      <c r="AB18" s="273"/>
      <c r="AC18">
        <f>SUM(AC15:AC17)</f>
        <v>0</v>
      </c>
    </row>
    <row r="19" spans="1:30" ht="9.75" customHeight="1"/>
    <row r="20" spans="1:30" ht="15" customHeight="1">
      <c r="A20" s="286" t="s">
        <v>195</v>
      </c>
      <c r="B20" s="286"/>
      <c r="C20" s="286"/>
      <c r="D20" s="286"/>
      <c r="E20" s="286"/>
      <c r="F20" s="286"/>
      <c r="G20" s="286"/>
      <c r="H20" s="286"/>
      <c r="I20" s="286"/>
      <c r="J20" s="286"/>
      <c r="K20" s="286"/>
      <c r="L20" s="286"/>
      <c r="M20" s="286"/>
      <c r="N20" s="286"/>
      <c r="O20" s="286"/>
      <c r="P20" s="286"/>
      <c r="Q20" s="286"/>
      <c r="R20" s="286"/>
      <c r="S20" s="286"/>
      <c r="T20" s="286"/>
      <c r="U20" s="286"/>
      <c r="V20" s="286"/>
      <c r="W20" s="286"/>
      <c r="X20" s="286"/>
      <c r="Y20" s="286"/>
      <c r="Z20" s="286"/>
      <c r="AA20" s="286"/>
      <c r="AB20" s="286"/>
    </row>
    <row r="21" spans="1:30" ht="15" customHeight="1">
      <c r="A21" s="286" t="s">
        <v>191</v>
      </c>
      <c r="B21" s="286"/>
      <c r="C21" s="286"/>
      <c r="D21" s="286"/>
      <c r="E21" s="286"/>
      <c r="F21" s="286"/>
      <c r="G21" s="286"/>
      <c r="H21" s="286"/>
      <c r="I21" s="286" t="s">
        <v>192</v>
      </c>
      <c r="J21" s="286"/>
      <c r="K21" s="286" t="s">
        <v>193</v>
      </c>
      <c r="L21" s="286"/>
      <c r="M21" s="286"/>
      <c r="N21" s="286"/>
      <c r="O21" s="286"/>
      <c r="P21" s="286"/>
      <c r="Q21" s="286"/>
      <c r="R21" s="286"/>
      <c r="S21" s="286"/>
      <c r="T21" s="286"/>
      <c r="U21" s="286"/>
      <c r="V21" s="286"/>
      <c r="W21" s="286"/>
      <c r="X21" s="286"/>
      <c r="Y21" s="286"/>
      <c r="Z21" s="286"/>
      <c r="AA21" s="286"/>
      <c r="AB21" s="286"/>
    </row>
    <row r="22" spans="1:30" ht="15" customHeight="1">
      <c r="A22" s="280" t="s">
        <v>166</v>
      </c>
      <c r="B22" s="281"/>
      <c r="C22" s="281"/>
      <c r="D22" s="281"/>
      <c r="E22" s="281"/>
      <c r="F22" s="281"/>
      <c r="G22" s="281"/>
      <c r="H22" s="282"/>
      <c r="I22" s="273">
        <f>VLOOKUP($F$5,'VAL 2 TRIM'!$B$9:$AM$23,16,FALSE)</f>
        <v>25</v>
      </c>
      <c r="J22" s="273"/>
      <c r="K22" s="274" t="s">
        <v>202</v>
      </c>
      <c r="L22" s="275"/>
      <c r="M22" s="275"/>
      <c r="N22" s="275"/>
      <c r="O22" s="275"/>
      <c r="P22" s="275"/>
      <c r="Q22" s="275"/>
      <c r="R22" s="275"/>
      <c r="S22" s="275"/>
      <c r="T22" s="275"/>
      <c r="U22" s="275"/>
      <c r="V22" s="275"/>
      <c r="W22" s="275"/>
      <c r="X22" s="275"/>
      <c r="Y22" s="275"/>
      <c r="Z22" s="275"/>
      <c r="AA22" s="275"/>
      <c r="AB22" s="275"/>
      <c r="AC22" s="158">
        <f>IF(I22=0,1,0)</f>
        <v>0</v>
      </c>
      <c r="AD22">
        <v>1</v>
      </c>
    </row>
    <row r="23" spans="1:30" ht="15" customHeight="1">
      <c r="A23" s="283" t="s">
        <v>167</v>
      </c>
      <c r="B23" s="284"/>
      <c r="C23" s="284"/>
      <c r="D23" s="284"/>
      <c r="E23" s="284"/>
      <c r="F23" s="284"/>
      <c r="G23" s="284"/>
      <c r="H23" s="285"/>
      <c r="I23" s="273">
        <f>VLOOKUP($F$5,'VAL 2 TRIM'!$B$9:$AM$23,17,FALSE)</f>
        <v>24</v>
      </c>
      <c r="J23" s="273"/>
      <c r="K23" s="274" t="s">
        <v>201</v>
      </c>
      <c r="L23" s="275"/>
      <c r="M23" s="275"/>
      <c r="N23" s="275"/>
      <c r="O23" s="275"/>
      <c r="P23" s="275"/>
      <c r="Q23" s="275"/>
      <c r="R23" s="275"/>
      <c r="S23" s="275"/>
      <c r="T23" s="275"/>
      <c r="U23" s="275"/>
      <c r="V23" s="275"/>
      <c r="W23" s="275"/>
      <c r="X23" s="275"/>
      <c r="Y23" s="275"/>
      <c r="Z23" s="275"/>
      <c r="AA23" s="275"/>
      <c r="AB23" s="275"/>
      <c r="AC23" s="158">
        <f t="shared" ref="AC23:AC24" si="1">IF(I23=0,1,0)</f>
        <v>0</v>
      </c>
      <c r="AD23">
        <v>1</v>
      </c>
    </row>
    <row r="24" spans="1:30" ht="15" customHeight="1">
      <c r="A24" s="270" t="s">
        <v>169</v>
      </c>
      <c r="B24" s="271"/>
      <c r="C24" s="271"/>
      <c r="D24" s="271"/>
      <c r="E24" s="271"/>
      <c r="F24" s="271"/>
      <c r="G24" s="271"/>
      <c r="H24" s="272"/>
      <c r="I24" s="273">
        <f>VLOOKUP($F$5,'VAL 2 TRIM'!$B$9:$AM$23,18,FALSE)</f>
        <v>18</v>
      </c>
      <c r="J24" s="273"/>
      <c r="K24" s="274" t="s">
        <v>197</v>
      </c>
      <c r="L24" s="275"/>
      <c r="M24" s="275"/>
      <c r="N24" s="275"/>
      <c r="O24" s="275"/>
      <c r="P24" s="275"/>
      <c r="Q24" s="275"/>
      <c r="R24" s="275"/>
      <c r="S24" s="275"/>
      <c r="T24" s="275"/>
      <c r="U24" s="275"/>
      <c r="V24" s="275"/>
      <c r="W24" s="275"/>
      <c r="X24" s="275"/>
      <c r="Y24" s="275"/>
      <c r="Z24" s="275"/>
      <c r="AA24" s="275"/>
      <c r="AB24" s="275"/>
      <c r="AC24" s="158">
        <f t="shared" si="1"/>
        <v>0</v>
      </c>
      <c r="AD24">
        <v>1</v>
      </c>
    </row>
    <row r="25" spans="1:30" ht="15" customHeight="1">
      <c r="A25" s="276" t="s">
        <v>77</v>
      </c>
      <c r="B25" s="277"/>
      <c r="C25" s="277"/>
      <c r="D25" s="277"/>
      <c r="E25" s="277"/>
      <c r="F25" s="277"/>
      <c r="G25" s="277"/>
      <c r="H25" s="277"/>
      <c r="I25" s="278">
        <f>SUM(I22:J24)/3</f>
        <v>22.333333333333332</v>
      </c>
      <c r="J25" s="278"/>
      <c r="K25" s="279"/>
      <c r="L25" s="279"/>
      <c r="M25" s="279"/>
      <c r="N25" s="279"/>
      <c r="O25" s="279"/>
      <c r="P25" s="279"/>
      <c r="Q25" s="279"/>
      <c r="R25" s="279"/>
      <c r="S25" s="279"/>
      <c r="T25" s="279"/>
      <c r="U25" s="279"/>
      <c r="V25" s="279"/>
      <c r="W25" s="279"/>
      <c r="X25" s="279"/>
      <c r="Y25" s="279"/>
      <c r="Z25" s="279"/>
      <c r="AA25" s="279"/>
      <c r="AB25" s="279"/>
      <c r="AC25" s="158">
        <f>SUM(AC22:AC24)</f>
        <v>0</v>
      </c>
      <c r="AD25" s="185">
        <f>SUM(AD15:AD24)</f>
        <v>6</v>
      </c>
    </row>
    <row r="26" spans="1:30" ht="15" customHeight="1">
      <c r="A26" s="268" t="str">
        <f>IF(AC26&gt;0,CONCATENATE("Observaciones:El estudiante  ",F5,"  durante el segundo trimestre tuvo ",V11," Asistencias, ",W11," Faltas, ",X11," Retrasos, ",Y11," Licencias,  Total de Dias Trabajados ",Z11,", en relacion a las practicas",IF(AC26&gt;0,CONCATENATE(" No presentó ",AC26," Practicas"),"Presentó todo")," de las ",AD25,"  tareas (El estudiante puede presentar practicas por una ponderacion de 20 puntos)"),"Observaciones: Ninguna")</f>
        <v>Observaciones: Ninguna</v>
      </c>
      <c r="B26" s="268"/>
      <c r="C26" s="268"/>
      <c r="D26" s="268"/>
      <c r="E26" s="268"/>
      <c r="F26" s="268"/>
      <c r="G26" s="268"/>
      <c r="H26" s="268"/>
      <c r="I26" s="268"/>
      <c r="J26" s="268"/>
      <c r="K26" s="268"/>
      <c r="L26" s="268"/>
      <c r="M26" s="268"/>
      <c r="N26" s="268"/>
      <c r="O26" s="268"/>
      <c r="P26" s="268"/>
      <c r="Q26" s="268"/>
      <c r="R26" s="268"/>
      <c r="S26" s="268"/>
      <c r="T26" s="268"/>
      <c r="U26" s="268"/>
      <c r="V26" s="268"/>
      <c r="W26" s="268"/>
      <c r="X26" s="268"/>
      <c r="Y26" s="268"/>
      <c r="Z26" s="268"/>
      <c r="AA26" s="268"/>
      <c r="AB26" s="268"/>
      <c r="AC26">
        <f>AC18+AC25</f>
        <v>0</v>
      </c>
    </row>
    <row r="27" spans="1:30" ht="15" customHeight="1">
      <c r="A27" s="269"/>
      <c r="B27" s="269"/>
      <c r="C27" s="269"/>
      <c r="D27" s="269"/>
      <c r="E27" s="269"/>
      <c r="F27" s="269"/>
      <c r="G27" s="269"/>
      <c r="H27" s="269"/>
      <c r="I27" s="269"/>
      <c r="J27" s="269"/>
      <c r="K27" s="269"/>
      <c r="L27" s="269"/>
      <c r="M27" s="269"/>
      <c r="N27" s="269"/>
      <c r="O27" s="269"/>
      <c r="P27" s="269"/>
      <c r="Q27" s="269"/>
      <c r="R27" s="269"/>
      <c r="S27" s="269"/>
      <c r="T27" s="269"/>
      <c r="U27" s="269"/>
      <c r="V27" s="269"/>
      <c r="W27" s="269"/>
      <c r="X27" s="269"/>
      <c r="Y27" s="269"/>
      <c r="Z27" s="269"/>
      <c r="AA27" s="269"/>
      <c r="AB27" s="269"/>
    </row>
    <row r="28" spans="1:30" ht="8.25" customHeight="1"/>
    <row r="29" spans="1:30" ht="19.5" customHeight="1"/>
    <row r="31" spans="1:30">
      <c r="AD31" s="185"/>
    </row>
  </sheetData>
  <dataConsolidate/>
  <mergeCells count="43">
    <mergeCell ref="A2:AB2"/>
    <mergeCell ref="F4:N4"/>
    <mergeCell ref="R4:Z4"/>
    <mergeCell ref="O4:Q4"/>
    <mergeCell ref="A8:AB8"/>
    <mergeCell ref="A4:E4"/>
    <mergeCell ref="A5:E5"/>
    <mergeCell ref="F5:Z5"/>
    <mergeCell ref="A6:E6"/>
    <mergeCell ref="F6:Z6"/>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0:AB20"/>
    <mergeCell ref="A21:H21"/>
    <mergeCell ref="I21:J21"/>
    <mergeCell ref="K21:AB21"/>
    <mergeCell ref="A18:H18"/>
    <mergeCell ref="I18:J18"/>
    <mergeCell ref="K18:AB18"/>
    <mergeCell ref="A22:H22"/>
    <mergeCell ref="I22:J22"/>
    <mergeCell ref="K22:AB22"/>
    <mergeCell ref="A23:H23"/>
    <mergeCell ref="I23:J23"/>
    <mergeCell ref="K23:AB23"/>
    <mergeCell ref="A26:AB27"/>
    <mergeCell ref="A24:H24"/>
    <mergeCell ref="I24:J24"/>
    <mergeCell ref="K24:AB24"/>
    <mergeCell ref="A25:H25"/>
    <mergeCell ref="I25:J25"/>
    <mergeCell ref="K25:AB25"/>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82622047244094488" right="0.23622047244094491" top="0.74803149606299213" bottom="0.74803149606299213" header="0" footer="0"/>
  <pageSetup paperSize="9" scale="95" orientation="landscape"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pageSetUpPr fitToPage="1"/>
  </sheetPr>
  <dimension ref="A1:AV1000"/>
  <sheetViews>
    <sheetView zoomScale="85" zoomScaleNormal="85" workbookViewId="0">
      <selection activeCell="C22" sqref="C22"/>
    </sheetView>
  </sheetViews>
  <sheetFormatPr baseColWidth="10" defaultColWidth="9.13281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317" t="s">
        <v>72</v>
      </c>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238"/>
      <c r="AK2" s="238"/>
      <c r="AL2" s="238"/>
      <c r="AM2" s="238"/>
      <c r="AN2" s="238"/>
      <c r="AO2" s="238"/>
      <c r="AP2" s="238"/>
      <c r="AQ2" s="238"/>
      <c r="AR2" s="239"/>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315" t="s">
        <v>48</v>
      </c>
      <c r="AD3" s="299"/>
      <c r="AE3" s="299"/>
      <c r="AF3" s="299"/>
      <c r="AG3" s="299"/>
      <c r="AH3" s="300"/>
      <c r="AI3" s="265">
        <f>CARÁTULA!$H$14</f>
        <v>44228</v>
      </c>
      <c r="AJ3" s="247"/>
      <c r="AK3" s="247"/>
      <c r="AL3" s="247"/>
      <c r="AM3" s="247"/>
      <c r="AN3" s="318" t="s">
        <v>49</v>
      </c>
      <c r="AO3" s="238"/>
      <c r="AP3" s="238"/>
      <c r="AQ3" s="238"/>
      <c r="AR3" s="239"/>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315" t="s">
        <v>51</v>
      </c>
      <c r="AD4" s="299"/>
      <c r="AE4" s="299"/>
      <c r="AF4" s="299"/>
      <c r="AG4" s="299"/>
      <c r="AH4" s="300"/>
      <c r="AI4" s="265">
        <f>CARÁTULA!$J$14</f>
        <v>44323</v>
      </c>
      <c r="AJ4" s="247"/>
      <c r="AK4" s="247"/>
      <c r="AL4" s="247"/>
      <c r="AM4" s="247"/>
      <c r="AN4" s="267">
        <f ca="1">AI4-AI5</f>
        <v>-222</v>
      </c>
      <c r="AO4" s="257"/>
      <c r="AP4" s="257"/>
      <c r="AQ4" s="257"/>
      <c r="AR4" s="258"/>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311">
        <f ca="1">TODAY()</f>
        <v>44545</v>
      </c>
      <c r="T5" s="238"/>
      <c r="U5" s="238"/>
      <c r="V5" s="238"/>
      <c r="W5" s="238"/>
      <c r="X5" s="238"/>
      <c r="Y5" s="238"/>
      <c r="Z5" s="238"/>
      <c r="AA5" s="239"/>
      <c r="AB5" s="76"/>
      <c r="AC5" s="316" t="s">
        <v>52</v>
      </c>
      <c r="AD5" s="299"/>
      <c r="AE5" s="299"/>
      <c r="AF5" s="299"/>
      <c r="AG5" s="299"/>
      <c r="AH5" s="300"/>
      <c r="AI5" s="319">
        <f ca="1">TODAY()</f>
        <v>44545</v>
      </c>
      <c r="AJ5" s="247"/>
      <c r="AK5" s="247"/>
      <c r="AL5" s="247"/>
      <c r="AM5" s="247"/>
      <c r="AN5" s="259"/>
      <c r="AO5" s="260"/>
      <c r="AP5" s="260"/>
      <c r="AQ5" s="260"/>
      <c r="AR5" s="261"/>
    </row>
    <row r="6" spans="1:48" ht="12.75" customHeight="1">
      <c r="A6" s="71"/>
      <c r="B6" s="74"/>
      <c r="C6" s="253" t="s">
        <v>73</v>
      </c>
      <c r="D6" s="254"/>
      <c r="E6" s="254"/>
      <c r="F6" s="254"/>
      <c r="G6" s="254"/>
      <c r="H6" s="254"/>
      <c r="I6" s="254"/>
      <c r="J6" s="254"/>
      <c r="K6" s="254"/>
      <c r="L6" s="254"/>
      <c r="M6" s="254"/>
      <c r="N6" s="254"/>
      <c r="O6" s="254"/>
      <c r="P6" s="254"/>
      <c r="Q6" s="254"/>
      <c r="R6" s="254"/>
      <c r="S6" s="254"/>
      <c r="T6" s="254"/>
      <c r="U6" s="254"/>
      <c r="V6" s="254"/>
      <c r="W6" s="254"/>
      <c r="X6" s="254"/>
      <c r="Y6" s="254"/>
      <c r="Z6" s="254"/>
      <c r="AA6" s="255"/>
      <c r="AB6" s="312" t="s">
        <v>74</v>
      </c>
      <c r="AC6" s="299"/>
      <c r="AD6" s="299"/>
      <c r="AE6" s="300"/>
      <c r="AF6" s="80"/>
      <c r="AG6" s="81"/>
      <c r="AH6" s="81"/>
      <c r="AI6" s="82"/>
      <c r="AJ6" s="83"/>
      <c r="AK6" s="83"/>
      <c r="AL6" s="83"/>
      <c r="AM6" s="83"/>
      <c r="AN6" s="84"/>
      <c r="AO6" s="84"/>
      <c r="AP6" s="84"/>
      <c r="AQ6" s="84"/>
      <c r="AR6" s="84"/>
    </row>
    <row r="7" spans="1:48" ht="12" customHeight="1">
      <c r="A7" s="71"/>
      <c r="B7" s="85"/>
      <c r="C7" s="313" t="s">
        <v>75</v>
      </c>
      <c r="D7" s="314" t="s">
        <v>76</v>
      </c>
      <c r="E7" s="299"/>
      <c r="F7" s="299"/>
      <c r="G7" s="299"/>
      <c r="H7" s="299"/>
      <c r="I7" s="299"/>
      <c r="J7" s="299"/>
      <c r="K7" s="299"/>
      <c r="L7" s="299"/>
      <c r="M7" s="299"/>
      <c r="N7" s="299"/>
      <c r="O7" s="310" t="s">
        <v>77</v>
      </c>
      <c r="P7" s="314" t="s">
        <v>78</v>
      </c>
      <c r="Q7" s="299"/>
      <c r="R7" s="299"/>
      <c r="S7" s="299"/>
      <c r="T7" s="299"/>
      <c r="U7" s="299"/>
      <c r="V7" s="299"/>
      <c r="W7" s="299"/>
      <c r="X7" s="299"/>
      <c r="Y7" s="299"/>
      <c r="Z7" s="299"/>
      <c r="AA7" s="309" t="s">
        <v>79</v>
      </c>
      <c r="AB7" s="310" t="s">
        <v>77</v>
      </c>
      <c r="AC7" s="309" t="s">
        <v>80</v>
      </c>
      <c r="AD7" s="309" t="s">
        <v>81</v>
      </c>
      <c r="AE7" s="310" t="s">
        <v>77</v>
      </c>
      <c r="AF7" s="302" t="s">
        <v>82</v>
      </c>
      <c r="AG7" s="304" t="s">
        <v>83</v>
      </c>
      <c r="AH7" s="305" t="s">
        <v>84</v>
      </c>
      <c r="AI7" s="254"/>
      <c r="AJ7" s="254"/>
      <c r="AK7" s="254"/>
      <c r="AL7" s="254"/>
      <c r="AM7" s="255"/>
      <c r="AN7" s="86"/>
      <c r="AO7" s="76"/>
      <c r="AP7" s="76"/>
      <c r="AQ7" s="76"/>
      <c r="AR7" s="71"/>
    </row>
    <row r="8" spans="1:48" ht="161.4">
      <c r="A8" s="49" t="s">
        <v>53</v>
      </c>
      <c r="B8" s="50" t="s">
        <v>54</v>
      </c>
      <c r="C8" s="303"/>
      <c r="D8" s="87" t="s">
        <v>85</v>
      </c>
      <c r="E8" s="87" t="s">
        <v>86</v>
      </c>
      <c r="F8" s="87" t="s">
        <v>87</v>
      </c>
      <c r="G8" s="88" t="s">
        <v>224</v>
      </c>
      <c r="H8" s="51" t="s">
        <v>225</v>
      </c>
      <c r="I8" s="54"/>
      <c r="J8" s="54"/>
      <c r="K8" s="54"/>
      <c r="L8" s="54"/>
      <c r="M8" s="54"/>
      <c r="N8" s="55"/>
      <c r="O8" s="303"/>
      <c r="P8" s="89" t="s">
        <v>88</v>
      </c>
      <c r="Q8" s="89" t="s">
        <v>89</v>
      </c>
      <c r="R8" s="89" t="s">
        <v>90</v>
      </c>
      <c r="S8" s="90" t="s">
        <v>226</v>
      </c>
      <c r="T8" s="51" t="s">
        <v>227</v>
      </c>
      <c r="U8" s="54" t="s">
        <v>228</v>
      </c>
      <c r="V8" s="54"/>
      <c r="W8" s="54"/>
      <c r="X8" s="54"/>
      <c r="Y8" s="54"/>
      <c r="Z8" s="54"/>
      <c r="AA8" s="303"/>
      <c r="AB8" s="303"/>
      <c r="AC8" s="303"/>
      <c r="AD8" s="303"/>
      <c r="AE8" s="303"/>
      <c r="AF8" s="303"/>
      <c r="AG8" s="303"/>
      <c r="AH8" s="306"/>
      <c r="AI8" s="307"/>
      <c r="AJ8" s="307"/>
      <c r="AK8" s="307"/>
      <c r="AL8" s="307"/>
      <c r="AM8" s="308"/>
      <c r="AN8" s="91"/>
      <c r="AO8" s="91"/>
      <c r="AP8" s="91"/>
      <c r="AQ8" s="91"/>
      <c r="AR8" s="92"/>
    </row>
    <row r="9" spans="1:48" ht="12" customHeight="1">
      <c r="A9" s="59">
        <v>1</v>
      </c>
      <c r="B9" s="93" t="str">
        <f>'C. FILIACION'!B8</f>
        <v>ARANCIBIA ARRAYA LUIS ANDRES</v>
      </c>
      <c r="C9" s="31">
        <v>10</v>
      </c>
      <c r="D9" s="94">
        <v>30</v>
      </c>
      <c r="E9" s="94">
        <v>10</v>
      </c>
      <c r="F9" s="94">
        <v>30</v>
      </c>
      <c r="G9" s="31">
        <v>28</v>
      </c>
      <c r="H9" s="31">
        <v>20</v>
      </c>
      <c r="I9" s="31"/>
      <c r="J9" s="31"/>
      <c r="K9" s="31"/>
      <c r="L9" s="31"/>
      <c r="M9" s="31"/>
      <c r="N9" s="31"/>
      <c r="O9" s="95">
        <f t="shared" ref="O9:O44" si="0">IFERROR(ROUND(AVERAGE(D9:N9),0),"")</f>
        <v>24</v>
      </c>
      <c r="P9" s="94">
        <v>30</v>
      </c>
      <c r="Q9" s="94">
        <v>10</v>
      </c>
      <c r="R9" s="94">
        <v>30</v>
      </c>
      <c r="S9" s="31">
        <v>35</v>
      </c>
      <c r="T9" s="31">
        <v>33</v>
      </c>
      <c r="U9" s="31">
        <v>10</v>
      </c>
      <c r="V9" s="31"/>
      <c r="W9" s="31"/>
      <c r="X9" s="31"/>
      <c r="Y9" s="31"/>
      <c r="Z9" s="31"/>
      <c r="AA9" s="31">
        <v>8</v>
      </c>
      <c r="AB9" s="95">
        <f t="shared" ref="AB9:AB44" si="1">IFERROR(ROUND(AVERAGE(P9:Z9),0),"")</f>
        <v>25</v>
      </c>
      <c r="AC9" s="31">
        <v>3</v>
      </c>
      <c r="AD9" s="31">
        <v>4</v>
      </c>
      <c r="AE9" s="95">
        <f t="shared" ref="AE9:AE44" si="2">IFERROR((SUM(AC9,AD9)),"")</f>
        <v>7</v>
      </c>
      <c r="AF9" s="96" t="str">
        <f t="shared" ref="AF9:AF44" si="3">IF(AG9&lt;51,"ED",IF(AG9&lt;67,"DA",IF(AG9&lt;85,"DO","DP")))</f>
        <v>DO</v>
      </c>
      <c r="AG9" s="95">
        <f t="shared" ref="AG9:AG44" si="4">IFERROR((SUM(C9,O9,AA9,AB9,AE9)),"")</f>
        <v>74</v>
      </c>
      <c r="AH9" s="298" t="str">
        <f t="shared" ref="AH9:AH44" si="5">IF(AG9="","",(IF(AND(AG9&gt;=1,AG9&lt;=50.499),"REPROBADO",IF(AND(AG9&gt;=50.5,AG9&lt;=100),"APROBADO"))))</f>
        <v>APROBADO</v>
      </c>
      <c r="AI9" s="299"/>
      <c r="AJ9" s="299"/>
      <c r="AK9" s="299"/>
      <c r="AL9" s="299"/>
      <c r="AM9" s="300"/>
      <c r="AN9" s="97" t="s">
        <v>91</v>
      </c>
      <c r="AO9" s="301">
        <f>COUNTIF(AF9:AF44,"ED")</f>
        <v>0</v>
      </c>
      <c r="AP9" s="300"/>
      <c r="AQ9" s="98"/>
      <c r="AR9" s="98"/>
    </row>
    <row r="10" spans="1:48" ht="12" customHeight="1">
      <c r="A10" s="59">
        <v>2</v>
      </c>
      <c r="B10" s="93" t="str">
        <f>'C. FILIACION'!B9</f>
        <v>ARIVIRI ALEXIS JHONATAN</v>
      </c>
      <c r="C10" s="31">
        <v>10</v>
      </c>
      <c r="D10" s="94">
        <v>20</v>
      </c>
      <c r="E10" s="94">
        <v>10</v>
      </c>
      <c r="F10" s="94">
        <v>10</v>
      </c>
      <c r="G10" s="31">
        <v>17</v>
      </c>
      <c r="H10" s="31">
        <v>10</v>
      </c>
      <c r="I10" s="31"/>
      <c r="J10" s="31"/>
      <c r="K10" s="31"/>
      <c r="L10" s="31"/>
      <c r="M10" s="31"/>
      <c r="N10" s="31"/>
      <c r="O10" s="95">
        <f t="shared" si="0"/>
        <v>13</v>
      </c>
      <c r="P10" s="94">
        <v>20</v>
      </c>
      <c r="Q10" s="94">
        <v>20</v>
      </c>
      <c r="R10" s="94">
        <v>20</v>
      </c>
      <c r="S10" s="31">
        <v>18</v>
      </c>
      <c r="T10" s="31">
        <v>15</v>
      </c>
      <c r="U10" s="31">
        <v>10</v>
      </c>
      <c r="V10" s="31"/>
      <c r="W10" s="31"/>
      <c r="X10" s="31"/>
      <c r="Y10" s="31"/>
      <c r="Z10" s="31"/>
      <c r="AA10" s="31">
        <v>7</v>
      </c>
      <c r="AB10" s="95">
        <f t="shared" si="1"/>
        <v>17</v>
      </c>
      <c r="AC10" s="31">
        <v>2</v>
      </c>
      <c r="AD10" s="31">
        <v>2</v>
      </c>
      <c r="AE10" s="95">
        <f t="shared" si="2"/>
        <v>4</v>
      </c>
      <c r="AF10" s="96" t="str">
        <f t="shared" si="3"/>
        <v>DA</v>
      </c>
      <c r="AG10" s="95">
        <f t="shared" si="4"/>
        <v>51</v>
      </c>
      <c r="AH10" s="298" t="str">
        <f t="shared" si="5"/>
        <v>APROBADO</v>
      </c>
      <c r="AI10" s="299"/>
      <c r="AJ10" s="299"/>
      <c r="AK10" s="299"/>
      <c r="AL10" s="299"/>
      <c r="AM10" s="300"/>
      <c r="AN10" s="49" t="s">
        <v>92</v>
      </c>
      <c r="AO10" s="301">
        <f>COUNTIF(AF9:AF44,"DA")</f>
        <v>7</v>
      </c>
      <c r="AP10" s="300"/>
      <c r="AQ10" s="98"/>
      <c r="AR10" s="98"/>
    </row>
    <row r="11" spans="1:48" ht="12" customHeight="1">
      <c r="A11" s="59">
        <v>3</v>
      </c>
      <c r="B11" s="93" t="str">
        <f>'C. FILIACION'!B10</f>
        <v>BASCOPE LOPEZ JHYMMY ANGHELO</v>
      </c>
      <c r="C11" s="31">
        <v>10</v>
      </c>
      <c r="D11" s="94">
        <v>30</v>
      </c>
      <c r="E11" s="94">
        <v>15</v>
      </c>
      <c r="F11" s="94">
        <v>10</v>
      </c>
      <c r="G11" s="31">
        <v>15</v>
      </c>
      <c r="H11" s="31">
        <v>24</v>
      </c>
      <c r="I11" s="31"/>
      <c r="J11" s="31"/>
      <c r="K11" s="31"/>
      <c r="L11" s="31"/>
      <c r="M11" s="31"/>
      <c r="N11" s="31"/>
      <c r="O11" s="95">
        <f t="shared" si="0"/>
        <v>19</v>
      </c>
      <c r="P11" s="94">
        <v>30</v>
      </c>
      <c r="Q11" s="94">
        <v>15</v>
      </c>
      <c r="R11" s="94">
        <v>10</v>
      </c>
      <c r="S11" s="31">
        <v>20</v>
      </c>
      <c r="T11" s="31">
        <v>25</v>
      </c>
      <c r="U11" s="31">
        <v>10</v>
      </c>
      <c r="V11" s="31"/>
      <c r="W11" s="31"/>
      <c r="X11" s="31"/>
      <c r="Y11" s="31"/>
      <c r="Z11" s="31"/>
      <c r="AA11" s="31">
        <v>8</v>
      </c>
      <c r="AB11" s="95">
        <f t="shared" si="1"/>
        <v>18</v>
      </c>
      <c r="AC11" s="31">
        <v>4</v>
      </c>
      <c r="AD11" s="31">
        <v>4</v>
      </c>
      <c r="AE11" s="95">
        <f t="shared" si="2"/>
        <v>8</v>
      </c>
      <c r="AF11" s="96" t="str">
        <f t="shared" si="3"/>
        <v>DA</v>
      </c>
      <c r="AG11" s="95">
        <f t="shared" si="4"/>
        <v>63</v>
      </c>
      <c r="AH11" s="298" t="str">
        <f t="shared" si="5"/>
        <v>APROBADO</v>
      </c>
      <c r="AI11" s="299"/>
      <c r="AJ11" s="299"/>
      <c r="AK11" s="299"/>
      <c r="AL11" s="299"/>
      <c r="AM11" s="300"/>
      <c r="AN11" s="49" t="s">
        <v>93</v>
      </c>
      <c r="AO11" s="301">
        <f>COUNTIF(AF9:AF44,"DO")</f>
        <v>3</v>
      </c>
      <c r="AP11" s="300"/>
      <c r="AQ11" s="98"/>
      <c r="AR11" s="98"/>
    </row>
    <row r="12" spans="1:48" ht="12" customHeight="1">
      <c r="A12" s="59">
        <v>4</v>
      </c>
      <c r="B12" s="93" t="str">
        <f>'C. FILIACION'!B11</f>
        <v>BLANCO SALVATIERRA DANIELA MARGARITA</v>
      </c>
      <c r="C12" s="31">
        <v>10</v>
      </c>
      <c r="D12" s="94">
        <v>30</v>
      </c>
      <c r="E12" s="94">
        <v>30</v>
      </c>
      <c r="F12" s="94">
        <v>30</v>
      </c>
      <c r="G12" s="31">
        <v>30</v>
      </c>
      <c r="H12" s="31">
        <v>15</v>
      </c>
      <c r="I12" s="31"/>
      <c r="J12" s="31"/>
      <c r="K12" s="31"/>
      <c r="L12" s="31"/>
      <c r="M12" s="31"/>
      <c r="N12" s="31"/>
      <c r="O12" s="95">
        <f t="shared" si="0"/>
        <v>27</v>
      </c>
      <c r="P12" s="94">
        <v>30</v>
      </c>
      <c r="Q12" s="94">
        <v>30</v>
      </c>
      <c r="R12" s="94">
        <v>30</v>
      </c>
      <c r="S12" s="31">
        <v>35</v>
      </c>
      <c r="T12" s="31">
        <v>35</v>
      </c>
      <c r="U12" s="31">
        <v>32</v>
      </c>
      <c r="V12" s="31"/>
      <c r="W12" s="31"/>
      <c r="X12" s="31"/>
      <c r="Y12" s="31"/>
      <c r="Z12" s="31"/>
      <c r="AA12" s="31">
        <v>10</v>
      </c>
      <c r="AB12" s="95">
        <f t="shared" si="1"/>
        <v>32</v>
      </c>
      <c r="AC12" s="31">
        <v>4</v>
      </c>
      <c r="AD12" s="31">
        <v>4</v>
      </c>
      <c r="AE12" s="95">
        <f t="shared" si="2"/>
        <v>8</v>
      </c>
      <c r="AF12" s="96" t="str">
        <f t="shared" si="3"/>
        <v>DP</v>
      </c>
      <c r="AG12" s="95">
        <f t="shared" si="4"/>
        <v>87</v>
      </c>
      <c r="AH12" s="298" t="str">
        <f t="shared" si="5"/>
        <v>APROBADO</v>
      </c>
      <c r="AI12" s="299"/>
      <c r="AJ12" s="299"/>
      <c r="AK12" s="299"/>
      <c r="AL12" s="299"/>
      <c r="AM12" s="300"/>
      <c r="AN12" s="49" t="s">
        <v>94</v>
      </c>
      <c r="AO12" s="301">
        <f>COUNTIF(AF9:AF44,"DP")</f>
        <v>26</v>
      </c>
      <c r="AP12" s="300"/>
      <c r="AQ12" s="98"/>
      <c r="AR12" s="98"/>
    </row>
    <row r="13" spans="1:48" ht="12" customHeight="1">
      <c r="A13" s="59">
        <v>5</v>
      </c>
      <c r="B13" s="93" t="str">
        <f>'C. FILIACION'!B12</f>
        <v>DAVILA LAPACA DIEGO LEONEL</v>
      </c>
      <c r="C13" s="31">
        <v>10</v>
      </c>
      <c r="D13" s="94">
        <v>20</v>
      </c>
      <c r="E13" s="94">
        <v>20</v>
      </c>
      <c r="F13" s="94">
        <v>15</v>
      </c>
      <c r="G13" s="31">
        <v>10</v>
      </c>
      <c r="H13" s="31">
        <v>10</v>
      </c>
      <c r="I13" s="31"/>
      <c r="J13" s="31"/>
      <c r="K13" s="31"/>
      <c r="L13" s="31"/>
      <c r="M13" s="31"/>
      <c r="N13" s="31"/>
      <c r="O13" s="95">
        <f t="shared" si="0"/>
        <v>15</v>
      </c>
      <c r="P13" s="94">
        <v>20</v>
      </c>
      <c r="Q13" s="94">
        <v>2</v>
      </c>
      <c r="R13" s="94">
        <v>20</v>
      </c>
      <c r="S13" s="31">
        <v>10</v>
      </c>
      <c r="T13" s="31">
        <v>25</v>
      </c>
      <c r="U13" s="31">
        <v>10</v>
      </c>
      <c r="V13" s="31"/>
      <c r="W13" s="31"/>
      <c r="X13" s="31"/>
      <c r="Y13" s="31"/>
      <c r="Z13" s="31"/>
      <c r="AA13" s="31">
        <v>7</v>
      </c>
      <c r="AB13" s="95">
        <f t="shared" si="1"/>
        <v>15</v>
      </c>
      <c r="AC13" s="31">
        <v>2</v>
      </c>
      <c r="AD13" s="31">
        <v>2</v>
      </c>
      <c r="AE13" s="95">
        <f t="shared" si="2"/>
        <v>4</v>
      </c>
      <c r="AF13" s="96" t="str">
        <f t="shared" si="3"/>
        <v>DA</v>
      </c>
      <c r="AG13" s="95">
        <f t="shared" si="4"/>
        <v>51</v>
      </c>
      <c r="AH13" s="298" t="str">
        <f t="shared" si="5"/>
        <v>APROBADO</v>
      </c>
      <c r="AI13" s="299"/>
      <c r="AJ13" s="299"/>
      <c r="AK13" s="299"/>
      <c r="AL13" s="299"/>
      <c r="AM13" s="300"/>
      <c r="AN13" s="98"/>
      <c r="AO13" s="98"/>
      <c r="AP13" s="98"/>
      <c r="AQ13" s="98"/>
      <c r="AR13" s="98"/>
    </row>
    <row r="14" spans="1:48" ht="12" customHeight="1">
      <c r="A14" s="59">
        <v>6</v>
      </c>
      <c r="B14" s="93" t="str">
        <f>'C. FILIACION'!B13</f>
        <v>ESCOBAR LAZO JHOSELIN MARCELA</v>
      </c>
      <c r="C14" s="31">
        <v>10</v>
      </c>
      <c r="D14" s="94">
        <v>30</v>
      </c>
      <c r="E14" s="94">
        <v>30</v>
      </c>
      <c r="F14" s="94">
        <v>30</v>
      </c>
      <c r="G14" s="31">
        <v>26</v>
      </c>
      <c r="H14" s="31">
        <v>32</v>
      </c>
      <c r="I14" s="31"/>
      <c r="J14" s="31"/>
      <c r="K14" s="31"/>
      <c r="L14" s="31"/>
      <c r="M14" s="31"/>
      <c r="N14" s="31"/>
      <c r="O14" s="95">
        <f t="shared" si="0"/>
        <v>30</v>
      </c>
      <c r="P14" s="94">
        <v>30</v>
      </c>
      <c r="Q14" s="94">
        <v>30</v>
      </c>
      <c r="R14" s="94">
        <v>30</v>
      </c>
      <c r="S14" s="31">
        <v>32</v>
      </c>
      <c r="T14" s="31">
        <v>33</v>
      </c>
      <c r="U14" s="31">
        <v>20</v>
      </c>
      <c r="V14" s="31"/>
      <c r="W14" s="31"/>
      <c r="X14" s="31"/>
      <c r="Y14" s="31"/>
      <c r="Z14" s="31"/>
      <c r="AA14" s="31">
        <v>10</v>
      </c>
      <c r="AB14" s="95">
        <f t="shared" si="1"/>
        <v>29</v>
      </c>
      <c r="AC14" s="31">
        <v>4</v>
      </c>
      <c r="AD14" s="31">
        <v>5</v>
      </c>
      <c r="AE14" s="95">
        <f t="shared" si="2"/>
        <v>9</v>
      </c>
      <c r="AF14" s="96" t="str">
        <f t="shared" si="3"/>
        <v>DP</v>
      </c>
      <c r="AG14" s="95">
        <f t="shared" si="4"/>
        <v>88</v>
      </c>
      <c r="AH14" s="298" t="str">
        <f t="shared" si="5"/>
        <v>APROBADO</v>
      </c>
      <c r="AI14" s="299"/>
      <c r="AJ14" s="299"/>
      <c r="AK14" s="299"/>
      <c r="AL14" s="299"/>
      <c r="AM14" s="300"/>
      <c r="AN14" s="98"/>
      <c r="AO14" s="98"/>
      <c r="AP14" s="98"/>
      <c r="AQ14" s="98"/>
      <c r="AR14" s="98"/>
    </row>
    <row r="15" spans="1:48" ht="12" customHeight="1">
      <c r="A15" s="59">
        <v>7</v>
      </c>
      <c r="B15" s="93" t="str">
        <f>'C. FILIACION'!B14</f>
        <v>GUTIERREZ PEREZ ARIEL FERNANDO</v>
      </c>
      <c r="C15" s="31">
        <v>9</v>
      </c>
      <c r="D15" s="94">
        <v>20</v>
      </c>
      <c r="E15" s="94">
        <v>10</v>
      </c>
      <c r="F15" s="94">
        <v>10</v>
      </c>
      <c r="G15" s="31">
        <v>25</v>
      </c>
      <c r="H15" s="31">
        <v>16</v>
      </c>
      <c r="I15" s="31"/>
      <c r="J15" s="31"/>
      <c r="K15" s="31"/>
      <c r="L15" s="31"/>
      <c r="M15" s="31"/>
      <c r="N15" s="31"/>
      <c r="O15" s="95">
        <f t="shared" si="0"/>
        <v>16</v>
      </c>
      <c r="P15" s="94">
        <v>20</v>
      </c>
      <c r="Q15" s="94">
        <v>10</v>
      </c>
      <c r="R15" s="94">
        <v>10</v>
      </c>
      <c r="S15" s="31">
        <v>30</v>
      </c>
      <c r="T15" s="31">
        <v>10</v>
      </c>
      <c r="U15" s="31">
        <v>10</v>
      </c>
      <c r="V15" s="31"/>
      <c r="W15" s="31"/>
      <c r="X15" s="31"/>
      <c r="Y15" s="31"/>
      <c r="Z15" s="31"/>
      <c r="AA15" s="31">
        <v>7</v>
      </c>
      <c r="AB15" s="95">
        <f t="shared" si="1"/>
        <v>15</v>
      </c>
      <c r="AC15" s="31">
        <v>2</v>
      </c>
      <c r="AD15" s="31">
        <v>2</v>
      </c>
      <c r="AE15" s="95">
        <f t="shared" si="2"/>
        <v>4</v>
      </c>
      <c r="AF15" s="96" t="str">
        <f t="shared" si="3"/>
        <v>DA</v>
      </c>
      <c r="AG15" s="95">
        <f t="shared" si="4"/>
        <v>51</v>
      </c>
      <c r="AH15" s="298" t="str">
        <f t="shared" si="5"/>
        <v>APROBADO</v>
      </c>
      <c r="AI15" s="299"/>
      <c r="AJ15" s="299"/>
      <c r="AK15" s="299"/>
      <c r="AL15" s="299"/>
      <c r="AM15" s="300"/>
      <c r="AN15" s="98"/>
      <c r="AO15" s="98"/>
      <c r="AP15" s="98"/>
      <c r="AQ15" s="98"/>
      <c r="AR15" s="98"/>
    </row>
    <row r="16" spans="1:48" ht="12" customHeight="1">
      <c r="A16" s="59">
        <v>8</v>
      </c>
      <c r="B16" s="93" t="str">
        <f>'C. FILIACION'!B15</f>
        <v>LOPEZ PACO FABRICIO ANDRE</v>
      </c>
      <c r="C16" s="31">
        <v>10</v>
      </c>
      <c r="D16" s="94">
        <v>30</v>
      </c>
      <c r="E16" s="94">
        <v>25</v>
      </c>
      <c r="F16" s="94">
        <v>30</v>
      </c>
      <c r="G16" s="31">
        <v>20</v>
      </c>
      <c r="H16" s="31">
        <v>16</v>
      </c>
      <c r="I16" s="31"/>
      <c r="J16" s="31"/>
      <c r="K16" s="31"/>
      <c r="L16" s="31"/>
      <c r="M16" s="31"/>
      <c r="N16" s="31"/>
      <c r="O16" s="95">
        <f t="shared" si="0"/>
        <v>24</v>
      </c>
      <c r="P16" s="94">
        <v>30</v>
      </c>
      <c r="Q16" s="94">
        <v>25</v>
      </c>
      <c r="R16" s="94">
        <v>30</v>
      </c>
      <c r="S16" s="31">
        <v>25</v>
      </c>
      <c r="T16" s="31">
        <v>25</v>
      </c>
      <c r="U16" s="31">
        <v>20</v>
      </c>
      <c r="V16" s="31"/>
      <c r="W16" s="31"/>
      <c r="X16" s="31"/>
      <c r="Y16" s="31"/>
      <c r="Z16" s="31"/>
      <c r="AA16" s="31">
        <v>10</v>
      </c>
      <c r="AB16" s="95">
        <f t="shared" si="1"/>
        <v>26</v>
      </c>
      <c r="AC16" s="31">
        <v>3</v>
      </c>
      <c r="AD16" s="31">
        <v>5</v>
      </c>
      <c r="AE16" s="95">
        <f t="shared" si="2"/>
        <v>8</v>
      </c>
      <c r="AF16" s="96" t="str">
        <f t="shared" si="3"/>
        <v>DO</v>
      </c>
      <c r="AG16" s="95">
        <f t="shared" si="4"/>
        <v>78</v>
      </c>
      <c r="AH16" s="298" t="str">
        <f t="shared" si="5"/>
        <v>APROBADO</v>
      </c>
      <c r="AI16" s="299"/>
      <c r="AJ16" s="299"/>
      <c r="AK16" s="299"/>
      <c r="AL16" s="299"/>
      <c r="AM16" s="300"/>
      <c r="AN16" s="98"/>
      <c r="AO16" s="98"/>
      <c r="AP16" s="98"/>
      <c r="AQ16" s="98"/>
      <c r="AR16" s="98"/>
    </row>
    <row r="17" spans="1:44" ht="12" customHeight="1">
      <c r="A17" s="59">
        <v>9</v>
      </c>
      <c r="B17" s="93" t="str">
        <f>'C. FILIACION'!B16</f>
        <v>NINA PANIAGUA DEYVID GABRIEL</v>
      </c>
      <c r="C17" s="31">
        <v>10</v>
      </c>
      <c r="D17" s="94">
        <v>30</v>
      </c>
      <c r="E17" s="94">
        <v>30</v>
      </c>
      <c r="F17" s="94">
        <v>30</v>
      </c>
      <c r="G17" s="31">
        <v>25</v>
      </c>
      <c r="H17" s="31">
        <v>34</v>
      </c>
      <c r="I17" s="31"/>
      <c r="J17" s="31"/>
      <c r="K17" s="31"/>
      <c r="L17" s="31"/>
      <c r="M17" s="31"/>
      <c r="N17" s="31"/>
      <c r="O17" s="95">
        <f t="shared" si="0"/>
        <v>30</v>
      </c>
      <c r="P17" s="94">
        <v>30</v>
      </c>
      <c r="Q17" s="94">
        <v>30</v>
      </c>
      <c r="R17" s="94">
        <v>30</v>
      </c>
      <c r="S17" s="31">
        <v>31</v>
      </c>
      <c r="T17" s="31">
        <v>25</v>
      </c>
      <c r="U17" s="31">
        <v>20</v>
      </c>
      <c r="V17" s="31"/>
      <c r="W17" s="31"/>
      <c r="X17" s="31"/>
      <c r="Y17" s="31"/>
      <c r="Z17" s="31"/>
      <c r="AA17" s="31">
        <v>10</v>
      </c>
      <c r="AB17" s="95">
        <f t="shared" si="1"/>
        <v>28</v>
      </c>
      <c r="AC17" s="31">
        <v>5</v>
      </c>
      <c r="AD17" s="31">
        <v>5</v>
      </c>
      <c r="AE17" s="95">
        <f t="shared" si="2"/>
        <v>10</v>
      </c>
      <c r="AF17" s="96" t="str">
        <f t="shared" si="3"/>
        <v>DP</v>
      </c>
      <c r="AG17" s="95">
        <f t="shared" si="4"/>
        <v>88</v>
      </c>
      <c r="AH17" s="298" t="str">
        <f t="shared" si="5"/>
        <v>APROBADO</v>
      </c>
      <c r="AI17" s="299"/>
      <c r="AJ17" s="299"/>
      <c r="AK17" s="299"/>
      <c r="AL17" s="299"/>
      <c r="AM17" s="300"/>
      <c r="AN17" s="98"/>
      <c r="AO17" s="98"/>
      <c r="AP17" s="98"/>
      <c r="AQ17" s="98"/>
      <c r="AR17" s="98"/>
    </row>
    <row r="18" spans="1:44" ht="12" customHeight="1">
      <c r="A18" s="59">
        <v>10</v>
      </c>
      <c r="B18" s="93" t="str">
        <f>'C. FILIACION'!B17</f>
        <v>PASTOR CONDARCO STEVE DAVID</v>
      </c>
      <c r="C18" s="31">
        <v>8</v>
      </c>
      <c r="D18" s="94">
        <v>30</v>
      </c>
      <c r="E18" s="94">
        <v>25</v>
      </c>
      <c r="F18" s="94">
        <v>25</v>
      </c>
      <c r="G18" s="31">
        <v>10</v>
      </c>
      <c r="H18" s="31">
        <v>19</v>
      </c>
      <c r="I18" s="31"/>
      <c r="J18" s="31"/>
      <c r="K18" s="31"/>
      <c r="L18" s="31"/>
      <c r="M18" s="31"/>
      <c r="N18" s="31"/>
      <c r="O18" s="95">
        <f t="shared" si="0"/>
        <v>22</v>
      </c>
      <c r="P18" s="94">
        <v>30</v>
      </c>
      <c r="Q18" s="94">
        <v>25</v>
      </c>
      <c r="R18" s="94">
        <v>25</v>
      </c>
      <c r="S18" s="31">
        <v>10</v>
      </c>
      <c r="T18" s="31">
        <v>10</v>
      </c>
      <c r="U18" s="31">
        <v>10</v>
      </c>
      <c r="V18" s="31"/>
      <c r="W18" s="31"/>
      <c r="X18" s="31"/>
      <c r="Y18" s="31"/>
      <c r="Z18" s="31"/>
      <c r="AA18" s="31">
        <v>8</v>
      </c>
      <c r="AB18" s="95">
        <f t="shared" si="1"/>
        <v>18</v>
      </c>
      <c r="AC18" s="31">
        <v>4</v>
      </c>
      <c r="AD18" s="31">
        <v>4</v>
      </c>
      <c r="AE18" s="95">
        <f t="shared" si="2"/>
        <v>8</v>
      </c>
      <c r="AF18" s="96" t="str">
        <f t="shared" si="3"/>
        <v>DA</v>
      </c>
      <c r="AG18" s="95">
        <f t="shared" si="4"/>
        <v>64</v>
      </c>
      <c r="AH18" s="298" t="str">
        <f t="shared" si="5"/>
        <v>APROBADO</v>
      </c>
      <c r="AI18" s="299"/>
      <c r="AJ18" s="299"/>
      <c r="AK18" s="299"/>
      <c r="AL18" s="299"/>
      <c r="AM18" s="300"/>
      <c r="AN18" s="98"/>
      <c r="AO18" s="98"/>
      <c r="AP18" s="98"/>
      <c r="AQ18" s="98"/>
      <c r="AR18" s="98"/>
    </row>
    <row r="19" spans="1:44" ht="12" customHeight="1">
      <c r="A19" s="59">
        <v>11</v>
      </c>
      <c r="B19" s="93" t="str">
        <f>'C. FILIACION'!B18</f>
        <v>ROJAS MAMANI JERUSALEN LOURDES</v>
      </c>
      <c r="C19" s="31">
        <v>10</v>
      </c>
      <c r="D19" s="94">
        <v>30</v>
      </c>
      <c r="E19" s="94">
        <v>30</v>
      </c>
      <c r="F19" s="94">
        <v>30</v>
      </c>
      <c r="G19" s="31">
        <v>32</v>
      </c>
      <c r="H19" s="31">
        <v>29</v>
      </c>
      <c r="I19" s="31"/>
      <c r="J19" s="31"/>
      <c r="K19" s="31"/>
      <c r="L19" s="31"/>
      <c r="M19" s="31"/>
      <c r="N19" s="31"/>
      <c r="O19" s="95">
        <f t="shared" si="0"/>
        <v>30</v>
      </c>
      <c r="P19" s="94">
        <v>30</v>
      </c>
      <c r="Q19" s="94">
        <v>30</v>
      </c>
      <c r="R19" s="94">
        <v>30</v>
      </c>
      <c r="S19" s="31">
        <v>32</v>
      </c>
      <c r="T19" s="31">
        <v>20</v>
      </c>
      <c r="U19" s="31">
        <v>18</v>
      </c>
      <c r="V19" s="31"/>
      <c r="W19" s="31"/>
      <c r="X19" s="31"/>
      <c r="Y19" s="31"/>
      <c r="Z19" s="31"/>
      <c r="AA19" s="31">
        <v>10</v>
      </c>
      <c r="AB19" s="95">
        <f t="shared" si="1"/>
        <v>27</v>
      </c>
      <c r="AC19" s="31">
        <v>5</v>
      </c>
      <c r="AD19" s="31">
        <v>4</v>
      </c>
      <c r="AE19" s="95">
        <f t="shared" si="2"/>
        <v>9</v>
      </c>
      <c r="AF19" s="96" t="str">
        <f t="shared" si="3"/>
        <v>DP</v>
      </c>
      <c r="AG19" s="95">
        <f t="shared" si="4"/>
        <v>86</v>
      </c>
      <c r="AH19" s="298" t="str">
        <f t="shared" si="5"/>
        <v>APROBADO</v>
      </c>
      <c r="AI19" s="299"/>
      <c r="AJ19" s="299"/>
      <c r="AK19" s="299"/>
      <c r="AL19" s="299"/>
      <c r="AM19" s="300"/>
      <c r="AN19" s="98"/>
      <c r="AO19" s="98"/>
      <c r="AP19" s="98"/>
      <c r="AQ19" s="98"/>
      <c r="AR19" s="98"/>
    </row>
    <row r="20" spans="1:44" ht="12" customHeight="1">
      <c r="A20" s="59">
        <v>12</v>
      </c>
      <c r="B20" s="93" t="str">
        <f>'C. FILIACION'!B19</f>
        <v>SALAS ROJAS LUCIANA ANTONELLA</v>
      </c>
      <c r="C20" s="31">
        <v>6</v>
      </c>
      <c r="D20" s="94">
        <v>20</v>
      </c>
      <c r="E20" s="94">
        <v>15</v>
      </c>
      <c r="F20" s="94">
        <v>20</v>
      </c>
      <c r="G20" s="31">
        <v>25</v>
      </c>
      <c r="H20" s="31">
        <v>20</v>
      </c>
      <c r="I20" s="31"/>
      <c r="J20" s="31"/>
      <c r="K20" s="31"/>
      <c r="L20" s="31"/>
      <c r="M20" s="31"/>
      <c r="N20" s="31"/>
      <c r="O20" s="95">
        <f t="shared" si="0"/>
        <v>20</v>
      </c>
      <c r="P20" s="94">
        <v>20</v>
      </c>
      <c r="Q20" s="94">
        <v>18</v>
      </c>
      <c r="R20" s="94">
        <v>20</v>
      </c>
      <c r="S20" s="31">
        <v>18</v>
      </c>
      <c r="T20" s="31">
        <v>20</v>
      </c>
      <c r="U20" s="31">
        <v>18</v>
      </c>
      <c r="V20" s="31"/>
      <c r="W20" s="31"/>
      <c r="X20" s="31"/>
      <c r="Y20" s="31"/>
      <c r="Z20" s="31"/>
      <c r="AA20" s="31">
        <v>6</v>
      </c>
      <c r="AB20" s="95">
        <f t="shared" si="1"/>
        <v>19</v>
      </c>
      <c r="AC20" s="31">
        <v>3</v>
      </c>
      <c r="AD20" s="31">
        <v>4</v>
      </c>
      <c r="AE20" s="95">
        <f t="shared" si="2"/>
        <v>7</v>
      </c>
      <c r="AF20" s="96" t="str">
        <f t="shared" si="3"/>
        <v>DA</v>
      </c>
      <c r="AG20" s="95">
        <f t="shared" si="4"/>
        <v>58</v>
      </c>
      <c r="AH20" s="298" t="str">
        <f t="shared" si="5"/>
        <v>APROBADO</v>
      </c>
      <c r="AI20" s="299"/>
      <c r="AJ20" s="299"/>
      <c r="AK20" s="299"/>
      <c r="AL20" s="299"/>
      <c r="AM20" s="300"/>
      <c r="AN20" s="98"/>
      <c r="AO20" s="98"/>
      <c r="AP20" s="98"/>
      <c r="AQ20" s="98"/>
      <c r="AR20" s="98"/>
    </row>
    <row r="21" spans="1:44" ht="12" customHeight="1">
      <c r="A21" s="59">
        <v>13</v>
      </c>
      <c r="B21" s="93" t="str">
        <f>'C. FILIACION'!B20</f>
        <v>SANTOS CRUZ ROYER JOEL</v>
      </c>
      <c r="C21" s="31">
        <v>9</v>
      </c>
      <c r="D21" s="94">
        <v>20</v>
      </c>
      <c r="E21" s="94">
        <v>10</v>
      </c>
      <c r="F21" s="94">
        <v>10</v>
      </c>
      <c r="G21" s="31">
        <v>30</v>
      </c>
      <c r="H21" s="31">
        <v>21</v>
      </c>
      <c r="I21" s="31"/>
      <c r="J21" s="31"/>
      <c r="K21" s="31"/>
      <c r="L21" s="31"/>
      <c r="M21" s="31"/>
      <c r="N21" s="31"/>
      <c r="O21" s="95">
        <f t="shared" si="0"/>
        <v>18</v>
      </c>
      <c r="P21" s="94">
        <v>20</v>
      </c>
      <c r="Q21" s="94">
        <v>10</v>
      </c>
      <c r="R21" s="94">
        <v>10</v>
      </c>
      <c r="S21" s="31">
        <v>25</v>
      </c>
      <c r="T21" s="31">
        <v>35</v>
      </c>
      <c r="U21" s="31">
        <v>33</v>
      </c>
      <c r="V21" s="31"/>
      <c r="W21" s="31"/>
      <c r="X21" s="31"/>
      <c r="Y21" s="31"/>
      <c r="Z21" s="31"/>
      <c r="AA21" s="31">
        <v>7</v>
      </c>
      <c r="AB21" s="95">
        <f t="shared" si="1"/>
        <v>22</v>
      </c>
      <c r="AC21" s="31">
        <v>4</v>
      </c>
      <c r="AD21" s="31">
        <v>5</v>
      </c>
      <c r="AE21" s="95">
        <f t="shared" si="2"/>
        <v>9</v>
      </c>
      <c r="AF21" s="96" t="str">
        <f t="shared" si="3"/>
        <v>DA</v>
      </c>
      <c r="AG21" s="95">
        <f t="shared" si="4"/>
        <v>65</v>
      </c>
      <c r="AH21" s="298" t="str">
        <f t="shared" si="5"/>
        <v>APROBADO</v>
      </c>
      <c r="AI21" s="299"/>
      <c r="AJ21" s="299"/>
      <c r="AK21" s="299"/>
      <c r="AL21" s="299"/>
      <c r="AM21" s="300"/>
      <c r="AN21" s="98"/>
      <c r="AO21" s="98"/>
      <c r="AP21" s="98"/>
      <c r="AQ21" s="98"/>
      <c r="AR21" s="98"/>
    </row>
    <row r="22" spans="1:44" ht="12" customHeight="1">
      <c r="A22" s="59">
        <v>14</v>
      </c>
      <c r="B22" s="93" t="str">
        <f>'C. FILIACION'!B21</f>
        <v>TICONA LOAYZA ARIADNE VALERIA</v>
      </c>
      <c r="C22" s="31">
        <v>9</v>
      </c>
      <c r="D22" s="94">
        <v>30</v>
      </c>
      <c r="E22" s="94">
        <v>30</v>
      </c>
      <c r="F22" s="94">
        <v>30</v>
      </c>
      <c r="G22" s="31">
        <v>33</v>
      </c>
      <c r="H22" s="31">
        <v>31</v>
      </c>
      <c r="I22" s="31"/>
      <c r="J22" s="31"/>
      <c r="K22" s="31"/>
      <c r="L22" s="31"/>
      <c r="M22" s="31"/>
      <c r="N22" s="31"/>
      <c r="O22" s="95">
        <f t="shared" si="0"/>
        <v>31</v>
      </c>
      <c r="P22" s="94">
        <v>30</v>
      </c>
      <c r="Q22" s="94">
        <v>30</v>
      </c>
      <c r="R22" s="94">
        <v>30</v>
      </c>
      <c r="S22" s="31">
        <v>33</v>
      </c>
      <c r="T22" s="31">
        <v>20</v>
      </c>
      <c r="U22" s="31">
        <v>35</v>
      </c>
      <c r="V22" s="31"/>
      <c r="W22" s="31"/>
      <c r="X22" s="31"/>
      <c r="Y22" s="31"/>
      <c r="Z22" s="31"/>
      <c r="AA22" s="31">
        <v>10</v>
      </c>
      <c r="AB22" s="95">
        <f t="shared" si="1"/>
        <v>30</v>
      </c>
      <c r="AC22" s="31">
        <v>2</v>
      </c>
      <c r="AD22" s="31">
        <v>2</v>
      </c>
      <c r="AE22" s="95">
        <f t="shared" si="2"/>
        <v>4</v>
      </c>
      <c r="AF22" s="96" t="str">
        <f t="shared" si="3"/>
        <v>DO</v>
      </c>
      <c r="AG22" s="95">
        <f t="shared" si="4"/>
        <v>84</v>
      </c>
      <c r="AH22" s="298" t="str">
        <f t="shared" si="5"/>
        <v>APROBADO</v>
      </c>
      <c r="AI22" s="299"/>
      <c r="AJ22" s="299"/>
      <c r="AK22" s="299"/>
      <c r="AL22" s="299"/>
      <c r="AM22" s="300"/>
      <c r="AN22" s="98"/>
      <c r="AO22" s="98"/>
      <c r="AP22" s="98"/>
      <c r="AQ22" s="98"/>
      <c r="AR22" s="98"/>
    </row>
    <row r="23" spans="1:44" ht="12" customHeight="1">
      <c r="A23" s="59">
        <v>15</v>
      </c>
      <c r="B23" s="93" t="str">
        <f>'C. FILIACION'!B22</f>
        <v>ZEBALLOS DEL CARPIO AMIRA MERCEDES</v>
      </c>
      <c r="C23" s="31">
        <v>8</v>
      </c>
      <c r="D23" s="94">
        <v>30</v>
      </c>
      <c r="E23" s="94">
        <v>30</v>
      </c>
      <c r="F23" s="94">
        <v>30</v>
      </c>
      <c r="G23" s="31">
        <v>33</v>
      </c>
      <c r="H23" s="31">
        <v>25</v>
      </c>
      <c r="I23" s="31"/>
      <c r="J23" s="31"/>
      <c r="K23" s="31"/>
      <c r="L23" s="31"/>
      <c r="M23" s="31"/>
      <c r="N23" s="31"/>
      <c r="O23" s="95">
        <f t="shared" si="0"/>
        <v>30</v>
      </c>
      <c r="P23" s="94">
        <v>30</v>
      </c>
      <c r="Q23" s="94">
        <v>30</v>
      </c>
      <c r="R23" s="94">
        <v>30</v>
      </c>
      <c r="S23" s="31">
        <v>31</v>
      </c>
      <c r="T23" s="31">
        <v>35</v>
      </c>
      <c r="U23" s="31">
        <v>35</v>
      </c>
      <c r="V23" s="31"/>
      <c r="W23" s="31"/>
      <c r="X23" s="31"/>
      <c r="Y23" s="31"/>
      <c r="Z23" s="31"/>
      <c r="AA23" s="31">
        <v>10</v>
      </c>
      <c r="AB23" s="95">
        <f t="shared" si="1"/>
        <v>32</v>
      </c>
      <c r="AC23" s="31">
        <v>4</v>
      </c>
      <c r="AD23" s="31">
        <v>3</v>
      </c>
      <c r="AE23" s="95">
        <f t="shared" si="2"/>
        <v>7</v>
      </c>
      <c r="AF23" s="96" t="str">
        <f t="shared" si="3"/>
        <v>DP</v>
      </c>
      <c r="AG23" s="95">
        <f t="shared" si="4"/>
        <v>87</v>
      </c>
      <c r="AH23" s="298" t="str">
        <f t="shared" si="5"/>
        <v>APROBADO</v>
      </c>
      <c r="AI23" s="299"/>
      <c r="AJ23" s="299"/>
      <c r="AK23" s="299"/>
      <c r="AL23" s="299"/>
      <c r="AM23" s="300"/>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98" t="str">
        <f t="shared" si="5"/>
        <v>APROBADO</v>
      </c>
      <c r="AI24" s="299"/>
      <c r="AJ24" s="299"/>
      <c r="AK24" s="299"/>
      <c r="AL24" s="299"/>
      <c r="AM24" s="300"/>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98" t="str">
        <f t="shared" si="5"/>
        <v>APROBADO</v>
      </c>
      <c r="AI25" s="299"/>
      <c r="AJ25" s="299"/>
      <c r="AK25" s="299"/>
      <c r="AL25" s="299"/>
      <c r="AM25" s="300"/>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98" t="str">
        <f t="shared" si="5"/>
        <v>APROBADO</v>
      </c>
      <c r="AI26" s="299"/>
      <c r="AJ26" s="299"/>
      <c r="AK26" s="299"/>
      <c r="AL26" s="299"/>
      <c r="AM26" s="300"/>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98" t="str">
        <f t="shared" si="5"/>
        <v>APROBADO</v>
      </c>
      <c r="AI27" s="299"/>
      <c r="AJ27" s="299"/>
      <c r="AK27" s="299"/>
      <c r="AL27" s="299"/>
      <c r="AM27" s="300"/>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98" t="str">
        <f t="shared" si="5"/>
        <v>APROBADO</v>
      </c>
      <c r="AI28" s="299"/>
      <c r="AJ28" s="299"/>
      <c r="AK28" s="299"/>
      <c r="AL28" s="299"/>
      <c r="AM28" s="300"/>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98" t="str">
        <f t="shared" si="5"/>
        <v>APROBADO</v>
      </c>
      <c r="AI29" s="299"/>
      <c r="AJ29" s="299"/>
      <c r="AK29" s="299"/>
      <c r="AL29" s="299"/>
      <c r="AM29" s="300"/>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98" t="str">
        <f t="shared" si="5"/>
        <v>APROBADO</v>
      </c>
      <c r="AI30" s="299"/>
      <c r="AJ30" s="299"/>
      <c r="AK30" s="299"/>
      <c r="AL30" s="299"/>
      <c r="AM30" s="300"/>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98" t="str">
        <f t="shared" si="5"/>
        <v>APROBADO</v>
      </c>
      <c r="AI31" s="299"/>
      <c r="AJ31" s="299"/>
      <c r="AK31" s="299"/>
      <c r="AL31" s="299"/>
      <c r="AM31" s="300"/>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98" t="str">
        <f t="shared" si="5"/>
        <v>APROBADO</v>
      </c>
      <c r="AI32" s="299"/>
      <c r="AJ32" s="299"/>
      <c r="AK32" s="299"/>
      <c r="AL32" s="299"/>
      <c r="AM32" s="300"/>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98" t="str">
        <f t="shared" si="5"/>
        <v>APROBADO</v>
      </c>
      <c r="AI33" s="299"/>
      <c r="AJ33" s="299"/>
      <c r="AK33" s="299"/>
      <c r="AL33" s="299"/>
      <c r="AM33" s="300"/>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98" t="str">
        <f t="shared" si="5"/>
        <v>APROBADO</v>
      </c>
      <c r="AI34" s="299"/>
      <c r="AJ34" s="299"/>
      <c r="AK34" s="299"/>
      <c r="AL34" s="299"/>
      <c r="AM34" s="300"/>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98" t="str">
        <f t="shared" si="5"/>
        <v>APROBADO</v>
      </c>
      <c r="AI35" s="299"/>
      <c r="AJ35" s="299"/>
      <c r="AK35" s="299"/>
      <c r="AL35" s="299"/>
      <c r="AM35" s="300"/>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98" t="str">
        <f t="shared" si="5"/>
        <v>APROBADO</v>
      </c>
      <c r="AI36" s="299"/>
      <c r="AJ36" s="299"/>
      <c r="AK36" s="299"/>
      <c r="AL36" s="299"/>
      <c r="AM36" s="300"/>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98" t="str">
        <f t="shared" si="5"/>
        <v>APROBADO</v>
      </c>
      <c r="AI37" s="299"/>
      <c r="AJ37" s="299"/>
      <c r="AK37" s="299"/>
      <c r="AL37" s="299"/>
      <c r="AM37" s="300"/>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98" t="str">
        <f t="shared" si="5"/>
        <v>APROBADO</v>
      </c>
      <c r="AI38" s="299"/>
      <c r="AJ38" s="299"/>
      <c r="AK38" s="299"/>
      <c r="AL38" s="299"/>
      <c r="AM38" s="300"/>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98" t="str">
        <f t="shared" si="5"/>
        <v>APROBADO</v>
      </c>
      <c r="AI39" s="299"/>
      <c r="AJ39" s="299"/>
      <c r="AK39" s="299"/>
      <c r="AL39" s="299"/>
      <c r="AM39" s="300"/>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98" t="str">
        <f t="shared" si="5"/>
        <v>APROBADO</v>
      </c>
      <c r="AI40" s="299"/>
      <c r="AJ40" s="299"/>
      <c r="AK40" s="299"/>
      <c r="AL40" s="299"/>
      <c r="AM40" s="300"/>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98" t="str">
        <f t="shared" si="5"/>
        <v>APROBADO</v>
      </c>
      <c r="AI41" s="299"/>
      <c r="AJ41" s="299"/>
      <c r="AK41" s="299"/>
      <c r="AL41" s="299"/>
      <c r="AM41" s="300"/>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98" t="str">
        <f t="shared" si="5"/>
        <v>APROBADO</v>
      </c>
      <c r="AI42" s="299"/>
      <c r="AJ42" s="299"/>
      <c r="AK42" s="299"/>
      <c r="AL42" s="299"/>
      <c r="AM42" s="300"/>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98" t="str">
        <f t="shared" si="5"/>
        <v>APROBADO</v>
      </c>
      <c r="AI43" s="299"/>
      <c r="AJ43" s="299"/>
      <c r="AK43" s="299"/>
      <c r="AL43" s="299"/>
      <c r="AM43" s="300"/>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98" t="str">
        <f t="shared" si="5"/>
        <v>APROBADO</v>
      </c>
      <c r="AI44" s="299"/>
      <c r="AJ44" s="299"/>
      <c r="AK44" s="299"/>
      <c r="AL44" s="299"/>
      <c r="AM44" s="300"/>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25" right="0.25" top="0.75" bottom="0.75" header="0.3" footer="0.3"/>
  <pageSetup paperSize="9" scale="7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AR23" sqref="A1:AR23"/>
    </sheetView>
  </sheetViews>
  <sheetFormatPr baseColWidth="10" defaultColWidth="9.1328125" defaultRowHeight="15" customHeight="1"/>
  <cols>
    <col min="1" max="1" width="1.6640625" customWidth="1"/>
    <col min="2" max="2" width="19.6640625" customWidth="1"/>
    <col min="3" max="3" width="1.79687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317" t="s">
        <v>95</v>
      </c>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238"/>
      <c r="AK2" s="238"/>
      <c r="AL2" s="238"/>
      <c r="AM2" s="238"/>
      <c r="AN2" s="238"/>
      <c r="AO2" s="238"/>
      <c r="AP2" s="238"/>
      <c r="AQ2" s="238"/>
      <c r="AR2" s="239"/>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315" t="s">
        <v>48</v>
      </c>
      <c r="AD3" s="299"/>
      <c r="AE3" s="299"/>
      <c r="AF3" s="299"/>
      <c r="AG3" s="299"/>
      <c r="AH3" s="300"/>
      <c r="AI3" s="265">
        <f>CARÁTULA!$H$19</f>
        <v>44326</v>
      </c>
      <c r="AJ3" s="247"/>
      <c r="AK3" s="247"/>
      <c r="AL3" s="247"/>
      <c r="AM3" s="247"/>
      <c r="AN3" s="318" t="s">
        <v>49</v>
      </c>
      <c r="AO3" s="238"/>
      <c r="AP3" s="238"/>
      <c r="AQ3" s="238"/>
      <c r="AR3" s="239"/>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315" t="s">
        <v>51</v>
      </c>
      <c r="AD4" s="299"/>
      <c r="AE4" s="299"/>
      <c r="AF4" s="299"/>
      <c r="AG4" s="299"/>
      <c r="AH4" s="300"/>
      <c r="AI4" s="265">
        <f>CARÁTULA!$J$19</f>
        <v>44439</v>
      </c>
      <c r="AJ4" s="247"/>
      <c r="AK4" s="247"/>
      <c r="AL4" s="247"/>
      <c r="AM4" s="247"/>
      <c r="AN4" s="267">
        <f ca="1">AI4-AI5</f>
        <v>-106</v>
      </c>
      <c r="AO4" s="257"/>
      <c r="AP4" s="257"/>
      <c r="AQ4" s="257"/>
      <c r="AR4" s="258"/>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311">
        <f ca="1">TODAY()</f>
        <v>44545</v>
      </c>
      <c r="T5" s="238"/>
      <c r="U5" s="238"/>
      <c r="V5" s="238"/>
      <c r="W5" s="238"/>
      <c r="X5" s="238"/>
      <c r="Y5" s="238"/>
      <c r="Z5" s="238"/>
      <c r="AA5" s="239"/>
      <c r="AB5" s="76"/>
      <c r="AC5" s="316" t="s">
        <v>52</v>
      </c>
      <c r="AD5" s="299"/>
      <c r="AE5" s="299"/>
      <c r="AF5" s="299"/>
      <c r="AG5" s="299"/>
      <c r="AH5" s="300"/>
      <c r="AI5" s="319">
        <f ca="1">TODAY()</f>
        <v>44545</v>
      </c>
      <c r="AJ5" s="247"/>
      <c r="AK5" s="247"/>
      <c r="AL5" s="247"/>
      <c r="AM5" s="247"/>
      <c r="AN5" s="259"/>
      <c r="AO5" s="260"/>
      <c r="AP5" s="260"/>
      <c r="AQ5" s="260"/>
      <c r="AR5" s="261"/>
    </row>
    <row r="6" spans="1:48" ht="12.75" customHeight="1">
      <c r="A6" s="71"/>
      <c r="B6" s="74"/>
      <c r="C6" s="253" t="s">
        <v>73</v>
      </c>
      <c r="D6" s="254"/>
      <c r="E6" s="254"/>
      <c r="F6" s="254"/>
      <c r="G6" s="254"/>
      <c r="H6" s="254"/>
      <c r="I6" s="254"/>
      <c r="J6" s="254"/>
      <c r="K6" s="254"/>
      <c r="L6" s="254"/>
      <c r="M6" s="254"/>
      <c r="N6" s="254"/>
      <c r="O6" s="254"/>
      <c r="P6" s="254"/>
      <c r="Q6" s="254"/>
      <c r="R6" s="254"/>
      <c r="S6" s="254"/>
      <c r="T6" s="254"/>
      <c r="U6" s="254"/>
      <c r="V6" s="254"/>
      <c r="W6" s="254"/>
      <c r="X6" s="254"/>
      <c r="Y6" s="254"/>
      <c r="Z6" s="254"/>
      <c r="AA6" s="255"/>
      <c r="AB6" s="312" t="s">
        <v>74</v>
      </c>
      <c r="AC6" s="299"/>
      <c r="AD6" s="299"/>
      <c r="AE6" s="300"/>
      <c r="AF6" s="80"/>
      <c r="AG6" s="81"/>
      <c r="AH6" s="81"/>
      <c r="AI6" s="82"/>
      <c r="AJ6" s="83"/>
      <c r="AK6" s="83"/>
      <c r="AL6" s="83"/>
      <c r="AM6" s="83"/>
      <c r="AN6" s="84"/>
      <c r="AO6" s="84"/>
      <c r="AP6" s="84"/>
      <c r="AQ6" s="84"/>
      <c r="AR6" s="84"/>
    </row>
    <row r="7" spans="1:48" ht="12" customHeight="1">
      <c r="A7" s="71"/>
      <c r="B7" s="85"/>
      <c r="C7" s="313" t="s">
        <v>75</v>
      </c>
      <c r="D7" s="314" t="s">
        <v>76</v>
      </c>
      <c r="E7" s="299"/>
      <c r="F7" s="299"/>
      <c r="G7" s="299"/>
      <c r="H7" s="299"/>
      <c r="I7" s="299"/>
      <c r="J7" s="299"/>
      <c r="K7" s="299"/>
      <c r="L7" s="299"/>
      <c r="M7" s="299"/>
      <c r="N7" s="299"/>
      <c r="O7" s="310" t="s">
        <v>77</v>
      </c>
      <c r="P7" s="314" t="s">
        <v>78</v>
      </c>
      <c r="Q7" s="299"/>
      <c r="R7" s="299"/>
      <c r="S7" s="299"/>
      <c r="T7" s="299"/>
      <c r="U7" s="299"/>
      <c r="V7" s="299"/>
      <c r="W7" s="299"/>
      <c r="X7" s="299"/>
      <c r="Y7" s="299"/>
      <c r="Z7" s="299"/>
      <c r="AA7" s="309" t="s">
        <v>79</v>
      </c>
      <c r="AB7" s="310" t="s">
        <v>77</v>
      </c>
      <c r="AC7" s="309" t="s">
        <v>80</v>
      </c>
      <c r="AD7" s="309" t="s">
        <v>81</v>
      </c>
      <c r="AE7" s="310" t="s">
        <v>77</v>
      </c>
      <c r="AF7" s="302" t="s">
        <v>82</v>
      </c>
      <c r="AG7" s="304" t="s">
        <v>83</v>
      </c>
      <c r="AH7" s="305" t="s">
        <v>84</v>
      </c>
      <c r="AI7" s="254"/>
      <c r="AJ7" s="254"/>
      <c r="AK7" s="254"/>
      <c r="AL7" s="254"/>
      <c r="AM7" s="255"/>
      <c r="AN7" s="86"/>
      <c r="AO7" s="76"/>
      <c r="AP7" s="76"/>
      <c r="AQ7" s="76"/>
      <c r="AR7" s="71"/>
    </row>
    <row r="8" spans="1:48" ht="67.5" customHeight="1">
      <c r="A8" s="49" t="s">
        <v>53</v>
      </c>
      <c r="B8" s="50" t="s">
        <v>54</v>
      </c>
      <c r="C8" s="303"/>
      <c r="D8" s="52" t="s">
        <v>168</v>
      </c>
      <c r="E8" s="54" t="s">
        <v>171</v>
      </c>
      <c r="F8" s="54" t="s">
        <v>170</v>
      </c>
      <c r="G8" s="54" t="s">
        <v>205</v>
      </c>
      <c r="H8" s="54" t="s">
        <v>207</v>
      </c>
      <c r="I8" s="54" t="s">
        <v>212</v>
      </c>
      <c r="J8" s="54"/>
      <c r="K8" s="54"/>
      <c r="L8" s="54"/>
      <c r="M8" s="54"/>
      <c r="N8" s="55"/>
      <c r="O8" s="303"/>
      <c r="P8" s="99"/>
      <c r="Q8" s="54" t="s">
        <v>166</v>
      </c>
      <c r="R8" s="52" t="s">
        <v>167</v>
      </c>
      <c r="S8" s="52" t="s">
        <v>169</v>
      </c>
      <c r="T8" s="54" t="s">
        <v>209</v>
      </c>
      <c r="U8" s="54"/>
      <c r="V8" s="54"/>
      <c r="W8" s="54"/>
      <c r="X8" s="54"/>
      <c r="Y8" s="54"/>
      <c r="Z8" s="54"/>
      <c r="AA8" s="303"/>
      <c r="AB8" s="303"/>
      <c r="AC8" s="303"/>
      <c r="AD8" s="303"/>
      <c r="AE8" s="303"/>
      <c r="AF8" s="303"/>
      <c r="AG8" s="303"/>
      <c r="AH8" s="306"/>
      <c r="AI8" s="307"/>
      <c r="AJ8" s="307"/>
      <c r="AK8" s="307"/>
      <c r="AL8" s="307"/>
      <c r="AM8" s="308"/>
      <c r="AN8" s="91"/>
      <c r="AO8" s="91"/>
      <c r="AP8" s="91"/>
      <c r="AQ8" s="91"/>
      <c r="AR8" s="92"/>
    </row>
    <row r="9" spans="1:48" ht="12" customHeight="1">
      <c r="A9" s="59">
        <v>1</v>
      </c>
      <c r="B9" s="93" t="str">
        <f>'C. FILIACION'!B8</f>
        <v>ARANCIBIA ARRAYA LUIS ANDRES</v>
      </c>
      <c r="C9" s="192">
        <v>10</v>
      </c>
      <c r="D9" s="62">
        <v>27</v>
      </c>
      <c r="E9" s="62">
        <v>27</v>
      </c>
      <c r="F9" s="62">
        <v>30</v>
      </c>
      <c r="G9" s="62">
        <v>30</v>
      </c>
      <c r="H9" s="62">
        <v>18</v>
      </c>
      <c r="I9" s="62">
        <v>18</v>
      </c>
      <c r="J9" s="62"/>
      <c r="K9" s="62"/>
      <c r="L9" s="62"/>
      <c r="M9" s="62"/>
      <c r="N9" s="62"/>
      <c r="O9" s="201">
        <f t="shared" ref="O9:O44" si="0">IFERROR(ROUND(AVERAGE(D9:N9),0),"")</f>
        <v>25</v>
      </c>
      <c r="P9" s="62"/>
      <c r="Q9" s="62">
        <v>15</v>
      </c>
      <c r="R9" s="62">
        <v>20</v>
      </c>
      <c r="S9" s="62">
        <v>18</v>
      </c>
      <c r="T9" s="62">
        <v>20</v>
      </c>
      <c r="U9" s="62"/>
      <c r="V9" s="62"/>
      <c r="W9" s="62"/>
      <c r="X9" s="62"/>
      <c r="Y9" s="62"/>
      <c r="Z9" s="62"/>
      <c r="AA9" s="62">
        <v>10</v>
      </c>
      <c r="AB9" s="201">
        <f t="shared" ref="AB9:AB44" si="1">IFERROR(ROUND(AVERAGE(P9:Z9),0),"")</f>
        <v>18</v>
      </c>
      <c r="AC9" s="62">
        <v>3</v>
      </c>
      <c r="AD9" s="62">
        <v>3</v>
      </c>
      <c r="AE9" s="201">
        <f t="shared" ref="AE9:AE44" si="2">IFERROR((SUM(AC9,AD9)),"")</f>
        <v>6</v>
      </c>
      <c r="AF9" s="96" t="str">
        <f t="shared" ref="AF9:AF44" si="3">IF(AG9&lt;51,"ED",IF(AG9&lt;67,"DA",IF(AG9&lt;85,"DO","DP")))</f>
        <v>DO</v>
      </c>
      <c r="AG9" s="202">
        <f t="shared" ref="AG9:AG23" si="4">IFERROR((SUM(C10,O9,AA9,AB9,AE9)),"")</f>
        <v>68.230769230769226</v>
      </c>
      <c r="AH9" s="298" t="str">
        <f t="shared" ref="AH9:AH44" si="5">IF(AG9="","",(IF(AND(AG9&gt;=1,AG9&lt;=50.499),"REPROBADO",IF(AND(AG9&gt;=50.5,AG9&lt;=100),"APROBADO"))))</f>
        <v>APROBADO</v>
      </c>
      <c r="AI9" s="323"/>
      <c r="AJ9" s="323"/>
      <c r="AK9" s="323"/>
      <c r="AL9" s="323"/>
      <c r="AM9" s="324"/>
      <c r="AN9" s="97" t="s">
        <v>91</v>
      </c>
      <c r="AO9" s="301">
        <f>COUNTIF(AF9:AF44,"ED")</f>
        <v>1</v>
      </c>
      <c r="AP9" s="300"/>
      <c r="AQ9" s="98"/>
      <c r="AR9" s="98"/>
    </row>
    <row r="10" spans="1:48" ht="12" customHeight="1">
      <c r="A10" s="59">
        <v>2</v>
      </c>
      <c r="B10" s="93" t="str">
        <f>'C. FILIACION'!B9</f>
        <v>ARIVIRI ALEXIS JHONATAN</v>
      </c>
      <c r="C10" s="191">
        <v>9.2307692307692299</v>
      </c>
      <c r="D10" s="62">
        <v>18</v>
      </c>
      <c r="E10" s="62">
        <v>28</v>
      </c>
      <c r="F10" s="62">
        <v>17</v>
      </c>
      <c r="G10" s="62">
        <v>18</v>
      </c>
      <c r="H10" s="62">
        <v>5</v>
      </c>
      <c r="I10" s="62">
        <v>5</v>
      </c>
      <c r="J10" s="62"/>
      <c r="K10" s="62"/>
      <c r="L10" s="62"/>
      <c r="M10" s="62"/>
      <c r="N10" s="62"/>
      <c r="O10" s="201">
        <f t="shared" si="0"/>
        <v>15</v>
      </c>
      <c r="P10" s="62"/>
      <c r="Q10" s="62">
        <v>18</v>
      </c>
      <c r="R10" s="62">
        <v>15</v>
      </c>
      <c r="S10" s="62">
        <v>20</v>
      </c>
      <c r="T10" s="62">
        <v>10</v>
      </c>
      <c r="U10" s="62"/>
      <c r="V10" s="62"/>
      <c r="W10" s="62"/>
      <c r="X10" s="62"/>
      <c r="Y10" s="62"/>
      <c r="Z10" s="62"/>
      <c r="AA10" s="62">
        <v>8</v>
      </c>
      <c r="AB10" s="201">
        <f t="shared" si="1"/>
        <v>16</v>
      </c>
      <c r="AC10" s="62">
        <v>3</v>
      </c>
      <c r="AD10" s="62">
        <v>3</v>
      </c>
      <c r="AE10" s="201">
        <f t="shared" si="2"/>
        <v>6</v>
      </c>
      <c r="AF10" s="96" t="str">
        <f t="shared" si="3"/>
        <v>DA</v>
      </c>
      <c r="AG10" s="202">
        <f t="shared" si="4"/>
        <v>53.333333333333336</v>
      </c>
      <c r="AH10" s="298" t="str">
        <f t="shared" si="5"/>
        <v>APROBADO</v>
      </c>
      <c r="AI10" s="323"/>
      <c r="AJ10" s="323"/>
      <c r="AK10" s="323"/>
      <c r="AL10" s="323"/>
      <c r="AM10" s="324"/>
      <c r="AN10" s="49" t="s">
        <v>92</v>
      </c>
      <c r="AO10" s="301">
        <f>COUNTIF(AF9:AF44,"DA")</f>
        <v>4</v>
      </c>
      <c r="AP10" s="300"/>
      <c r="AQ10" s="98"/>
      <c r="AR10" s="98"/>
    </row>
    <row r="11" spans="1:48" ht="12" customHeight="1">
      <c r="A11" s="59">
        <v>3</v>
      </c>
      <c r="B11" s="93" t="str">
        <f>'C. FILIACION'!B10</f>
        <v>BASCOPE LOPEZ JHYMMY ANGHELO</v>
      </c>
      <c r="C11" s="191">
        <v>8.3333333333333339</v>
      </c>
      <c r="D11" s="62">
        <v>21</v>
      </c>
      <c r="E11" s="62">
        <v>26</v>
      </c>
      <c r="F11" s="62">
        <v>17</v>
      </c>
      <c r="G11" s="62">
        <v>25</v>
      </c>
      <c r="H11" s="62">
        <v>20</v>
      </c>
      <c r="I11" s="62">
        <v>23</v>
      </c>
      <c r="J11" s="62"/>
      <c r="K11" s="62"/>
      <c r="L11" s="62"/>
      <c r="M11" s="62"/>
      <c r="N11" s="62"/>
      <c r="O11" s="201">
        <f t="shared" si="0"/>
        <v>22</v>
      </c>
      <c r="P11" s="62"/>
      <c r="Q11" s="62">
        <v>20</v>
      </c>
      <c r="R11" s="62">
        <v>18</v>
      </c>
      <c r="S11" s="62">
        <v>18</v>
      </c>
      <c r="T11" s="62">
        <v>35</v>
      </c>
      <c r="U11" s="62"/>
      <c r="V11" s="62"/>
      <c r="W11" s="62"/>
      <c r="X11" s="62"/>
      <c r="Y11" s="62"/>
      <c r="Z11" s="62"/>
      <c r="AA11" s="62">
        <v>10</v>
      </c>
      <c r="AB11" s="201">
        <f t="shared" si="1"/>
        <v>23</v>
      </c>
      <c r="AC11" s="62">
        <v>3</v>
      </c>
      <c r="AD11" s="62">
        <v>3</v>
      </c>
      <c r="AE11" s="201">
        <f t="shared" si="2"/>
        <v>6</v>
      </c>
      <c r="AF11" s="96" t="str">
        <f t="shared" si="3"/>
        <v>DO</v>
      </c>
      <c r="AG11" s="202">
        <f t="shared" si="4"/>
        <v>71</v>
      </c>
      <c r="AH11" s="298" t="str">
        <f t="shared" si="5"/>
        <v>APROBADO</v>
      </c>
      <c r="AI11" s="323"/>
      <c r="AJ11" s="323"/>
      <c r="AK11" s="323"/>
      <c r="AL11" s="323"/>
      <c r="AM11" s="324"/>
      <c r="AN11" s="49" t="s">
        <v>93</v>
      </c>
      <c r="AO11" s="301">
        <f>COUNTIF(AF9:AF44,"DO")</f>
        <v>7</v>
      </c>
      <c r="AP11" s="300"/>
      <c r="AQ11" s="98"/>
      <c r="AR11" s="98"/>
    </row>
    <row r="12" spans="1:48" ht="12" customHeight="1">
      <c r="A12" s="59">
        <v>4</v>
      </c>
      <c r="B12" s="93" t="str">
        <f>'C. FILIACION'!B11</f>
        <v>BLANCO SALVATIERRA DANIELA MARGARITA</v>
      </c>
      <c r="C12" s="191">
        <v>10</v>
      </c>
      <c r="D12" s="62">
        <v>29</v>
      </c>
      <c r="E12" s="62">
        <v>30</v>
      </c>
      <c r="F12" s="62">
        <v>35</v>
      </c>
      <c r="G12" s="62">
        <v>30</v>
      </c>
      <c r="H12" s="62">
        <v>18</v>
      </c>
      <c r="I12" s="62">
        <v>23</v>
      </c>
      <c r="J12" s="62"/>
      <c r="K12" s="62"/>
      <c r="L12" s="62"/>
      <c r="M12" s="62"/>
      <c r="N12" s="62"/>
      <c r="O12" s="201">
        <f t="shared" si="0"/>
        <v>28</v>
      </c>
      <c r="P12" s="62"/>
      <c r="Q12" s="62">
        <v>15</v>
      </c>
      <c r="R12" s="62">
        <v>20</v>
      </c>
      <c r="S12" s="62">
        <v>17</v>
      </c>
      <c r="T12" s="62">
        <v>35</v>
      </c>
      <c r="U12" s="62"/>
      <c r="V12" s="62"/>
      <c r="W12" s="62"/>
      <c r="X12" s="62"/>
      <c r="Y12" s="62"/>
      <c r="Z12" s="62"/>
      <c r="AA12" s="62">
        <v>10</v>
      </c>
      <c r="AB12" s="201">
        <f t="shared" si="1"/>
        <v>22</v>
      </c>
      <c r="AC12" s="62">
        <v>3</v>
      </c>
      <c r="AD12" s="62">
        <v>3</v>
      </c>
      <c r="AE12" s="201">
        <f t="shared" si="2"/>
        <v>6</v>
      </c>
      <c r="AF12" s="96" t="str">
        <f t="shared" si="3"/>
        <v>DO</v>
      </c>
      <c r="AG12" s="202">
        <f t="shared" si="4"/>
        <v>69.333333333333329</v>
      </c>
      <c r="AH12" s="298" t="str">
        <f t="shared" si="5"/>
        <v>APROBADO</v>
      </c>
      <c r="AI12" s="323"/>
      <c r="AJ12" s="323"/>
      <c r="AK12" s="323"/>
      <c r="AL12" s="323"/>
      <c r="AM12" s="324"/>
      <c r="AN12" s="49" t="s">
        <v>94</v>
      </c>
      <c r="AO12" s="301">
        <f>COUNTIF(AF9:AF44,"DP")</f>
        <v>24</v>
      </c>
      <c r="AP12" s="300"/>
      <c r="AQ12" s="98"/>
      <c r="AR12" s="98"/>
    </row>
    <row r="13" spans="1:48" ht="12" customHeight="1">
      <c r="A13" s="59">
        <v>5</v>
      </c>
      <c r="B13" s="193" t="str">
        <f>'C. FILIACION'!B12</f>
        <v>DAVILA LAPACA DIEGO LEONEL</v>
      </c>
      <c r="C13" s="194">
        <v>3.3333333333333335</v>
      </c>
      <c r="D13" s="195">
        <v>10</v>
      </c>
      <c r="E13" s="195">
        <v>10</v>
      </c>
      <c r="F13" s="195">
        <v>10</v>
      </c>
      <c r="G13" s="195">
        <v>10</v>
      </c>
      <c r="H13" s="195">
        <v>10</v>
      </c>
      <c r="I13" s="195">
        <v>10</v>
      </c>
      <c r="J13" s="195"/>
      <c r="K13" s="195"/>
      <c r="L13" s="195"/>
      <c r="M13" s="195"/>
      <c r="N13" s="195"/>
      <c r="O13" s="203">
        <f t="shared" si="0"/>
        <v>10</v>
      </c>
      <c r="P13" s="195"/>
      <c r="Q13" s="195">
        <v>10</v>
      </c>
      <c r="R13" s="195">
        <v>0</v>
      </c>
      <c r="S13" s="195">
        <v>0</v>
      </c>
      <c r="T13" s="195">
        <v>0</v>
      </c>
      <c r="U13" s="195"/>
      <c r="V13" s="195"/>
      <c r="W13" s="195"/>
      <c r="X13" s="195"/>
      <c r="Y13" s="195"/>
      <c r="Z13" s="195"/>
      <c r="AA13" s="195">
        <v>3</v>
      </c>
      <c r="AB13" s="203">
        <f t="shared" si="1"/>
        <v>3</v>
      </c>
      <c r="AC13" s="195">
        <v>2</v>
      </c>
      <c r="AD13" s="195">
        <v>3</v>
      </c>
      <c r="AE13" s="203">
        <f t="shared" si="2"/>
        <v>5</v>
      </c>
      <c r="AF13" s="196" t="str">
        <f t="shared" si="3"/>
        <v>ED</v>
      </c>
      <c r="AG13" s="204">
        <f t="shared" si="4"/>
        <v>31</v>
      </c>
      <c r="AH13" s="320" t="str">
        <f t="shared" si="5"/>
        <v>REPROBADO</v>
      </c>
      <c r="AI13" s="321"/>
      <c r="AJ13" s="321"/>
      <c r="AK13" s="321"/>
      <c r="AL13" s="321"/>
      <c r="AM13" s="322"/>
      <c r="AN13" s="98"/>
      <c r="AO13" s="98"/>
      <c r="AP13" s="98"/>
      <c r="AQ13" s="98"/>
      <c r="AR13" s="98"/>
    </row>
    <row r="14" spans="1:48" ht="12" customHeight="1">
      <c r="A14" s="59">
        <v>6</v>
      </c>
      <c r="B14" s="93" t="str">
        <f>'C. FILIACION'!B13</f>
        <v>ESCOBAR LAZO JHOSELIN MARCELA</v>
      </c>
      <c r="C14" s="191">
        <v>10</v>
      </c>
      <c r="D14" s="62">
        <v>31</v>
      </c>
      <c r="E14" s="62">
        <v>30</v>
      </c>
      <c r="F14" s="62">
        <v>35</v>
      </c>
      <c r="G14" s="62">
        <v>18</v>
      </c>
      <c r="H14" s="62">
        <v>15</v>
      </c>
      <c r="I14" s="62">
        <v>34</v>
      </c>
      <c r="J14" s="62"/>
      <c r="K14" s="62"/>
      <c r="L14" s="62"/>
      <c r="M14" s="62"/>
      <c r="N14" s="62"/>
      <c r="O14" s="201">
        <f t="shared" si="0"/>
        <v>27</v>
      </c>
      <c r="P14" s="62"/>
      <c r="Q14" s="62">
        <v>35</v>
      </c>
      <c r="R14" s="62">
        <v>33</v>
      </c>
      <c r="S14" s="62">
        <v>32</v>
      </c>
      <c r="T14" s="62">
        <v>35</v>
      </c>
      <c r="U14" s="62"/>
      <c r="V14" s="62"/>
      <c r="W14" s="62"/>
      <c r="X14" s="62"/>
      <c r="Y14" s="62"/>
      <c r="Z14" s="62"/>
      <c r="AA14" s="62">
        <v>10</v>
      </c>
      <c r="AB14" s="201">
        <f t="shared" si="1"/>
        <v>34</v>
      </c>
      <c r="AC14" s="62">
        <v>4</v>
      </c>
      <c r="AD14" s="62">
        <v>5</v>
      </c>
      <c r="AE14" s="201">
        <f t="shared" si="2"/>
        <v>9</v>
      </c>
      <c r="AF14" s="96" t="str">
        <f t="shared" si="3"/>
        <v>DP</v>
      </c>
      <c r="AG14" s="202">
        <f t="shared" si="4"/>
        <v>90</v>
      </c>
      <c r="AH14" s="298" t="str">
        <f t="shared" si="5"/>
        <v>APROBADO</v>
      </c>
      <c r="AI14" s="323"/>
      <c r="AJ14" s="323"/>
      <c r="AK14" s="323"/>
      <c r="AL14" s="323"/>
      <c r="AM14" s="324"/>
      <c r="AN14" s="98"/>
      <c r="AO14" s="98"/>
      <c r="AP14" s="98"/>
      <c r="AQ14" s="98"/>
      <c r="AR14" s="98"/>
    </row>
    <row r="15" spans="1:48" ht="12" customHeight="1">
      <c r="A15" s="59">
        <v>7</v>
      </c>
      <c r="B15" s="93" t="str">
        <f>'C. FILIACION'!B14</f>
        <v>GUTIERREZ PEREZ ARIEL FERNANDO</v>
      </c>
      <c r="C15" s="191">
        <v>10</v>
      </c>
      <c r="D15" s="62">
        <v>28</v>
      </c>
      <c r="E15" s="62">
        <v>29</v>
      </c>
      <c r="F15" s="62">
        <v>18</v>
      </c>
      <c r="G15" s="62">
        <v>18</v>
      </c>
      <c r="H15" s="62">
        <v>18</v>
      </c>
      <c r="I15" s="62">
        <v>0</v>
      </c>
      <c r="J15" s="62"/>
      <c r="K15" s="62"/>
      <c r="L15" s="62"/>
      <c r="M15" s="62"/>
      <c r="N15" s="62"/>
      <c r="O15" s="201">
        <f t="shared" si="0"/>
        <v>19</v>
      </c>
      <c r="P15" s="62"/>
      <c r="Q15" s="62">
        <v>20</v>
      </c>
      <c r="R15" s="62">
        <v>15</v>
      </c>
      <c r="S15" s="62">
        <v>18</v>
      </c>
      <c r="T15" s="62">
        <v>0</v>
      </c>
      <c r="U15" s="62"/>
      <c r="V15" s="62"/>
      <c r="W15" s="62"/>
      <c r="X15" s="62"/>
      <c r="Y15" s="62"/>
      <c r="Z15" s="62"/>
      <c r="AA15" s="62">
        <v>8</v>
      </c>
      <c r="AB15" s="201">
        <f t="shared" si="1"/>
        <v>13</v>
      </c>
      <c r="AC15" s="62">
        <v>3</v>
      </c>
      <c r="AD15" s="62">
        <v>3</v>
      </c>
      <c r="AE15" s="201">
        <f t="shared" si="2"/>
        <v>6</v>
      </c>
      <c r="AF15" s="96" t="str">
        <f t="shared" si="3"/>
        <v>DA</v>
      </c>
      <c r="AG15" s="202">
        <f t="shared" si="4"/>
        <v>53.5</v>
      </c>
      <c r="AH15" s="298" t="str">
        <f t="shared" si="5"/>
        <v>APROBADO</v>
      </c>
      <c r="AI15" s="323"/>
      <c r="AJ15" s="323"/>
      <c r="AK15" s="323"/>
      <c r="AL15" s="323"/>
      <c r="AM15" s="324"/>
      <c r="AN15" s="98"/>
      <c r="AO15" s="98"/>
      <c r="AP15" s="98"/>
      <c r="AQ15" s="98"/>
      <c r="AR15" s="98"/>
    </row>
    <row r="16" spans="1:48" ht="12" customHeight="1">
      <c r="A16" s="59">
        <v>8</v>
      </c>
      <c r="B16" s="93" t="str">
        <f>'C. FILIACION'!B15</f>
        <v>LOPEZ PACO FABRICIO ANDRE</v>
      </c>
      <c r="C16" s="191">
        <v>7.5</v>
      </c>
      <c r="D16" s="62">
        <v>18</v>
      </c>
      <c r="E16" s="62">
        <v>20</v>
      </c>
      <c r="F16" s="62">
        <v>18</v>
      </c>
      <c r="G16" s="62">
        <v>18</v>
      </c>
      <c r="H16" s="62">
        <v>30</v>
      </c>
      <c r="I16" s="62">
        <v>30</v>
      </c>
      <c r="J16" s="62"/>
      <c r="K16" s="62"/>
      <c r="L16" s="62"/>
      <c r="M16" s="62"/>
      <c r="N16" s="62"/>
      <c r="O16" s="201">
        <f t="shared" si="0"/>
        <v>22</v>
      </c>
      <c r="P16" s="62"/>
      <c r="Q16" s="62">
        <v>10</v>
      </c>
      <c r="R16" s="62">
        <v>10</v>
      </c>
      <c r="S16" s="62">
        <v>25</v>
      </c>
      <c r="T16" s="62">
        <v>10</v>
      </c>
      <c r="U16" s="62"/>
      <c r="V16" s="62"/>
      <c r="W16" s="62"/>
      <c r="X16" s="62"/>
      <c r="Y16" s="62"/>
      <c r="Z16" s="62"/>
      <c r="AA16" s="62">
        <v>5</v>
      </c>
      <c r="AB16" s="201">
        <f t="shared" si="1"/>
        <v>14</v>
      </c>
      <c r="AC16" s="62">
        <v>3</v>
      </c>
      <c r="AD16" s="62">
        <v>3</v>
      </c>
      <c r="AE16" s="201">
        <f t="shared" si="2"/>
        <v>6</v>
      </c>
      <c r="AF16" s="96" t="str">
        <f t="shared" si="3"/>
        <v>DA</v>
      </c>
      <c r="AG16" s="202">
        <f t="shared" si="4"/>
        <v>54.5</v>
      </c>
      <c r="AH16" s="298" t="str">
        <f t="shared" si="5"/>
        <v>APROBADO</v>
      </c>
      <c r="AI16" s="323"/>
      <c r="AJ16" s="323"/>
      <c r="AK16" s="323"/>
      <c r="AL16" s="323"/>
      <c r="AM16" s="324"/>
      <c r="AN16" s="98"/>
      <c r="AO16" s="98"/>
      <c r="AP16" s="98"/>
      <c r="AQ16" s="98"/>
      <c r="AR16" s="98"/>
    </row>
    <row r="17" spans="1:44" ht="12" customHeight="1">
      <c r="A17" s="59">
        <v>9</v>
      </c>
      <c r="B17" s="93" t="str">
        <f>'C. FILIACION'!B16</f>
        <v>NINA PANIAGUA DEYVID GABRIEL</v>
      </c>
      <c r="C17" s="191">
        <v>7.5</v>
      </c>
      <c r="D17" s="62">
        <v>24</v>
      </c>
      <c r="E17" s="62">
        <v>25</v>
      </c>
      <c r="F17" s="62">
        <v>35</v>
      </c>
      <c r="G17" s="62">
        <v>35</v>
      </c>
      <c r="H17" s="62">
        <v>18</v>
      </c>
      <c r="I17" s="62">
        <v>31</v>
      </c>
      <c r="J17" s="62"/>
      <c r="K17" s="62"/>
      <c r="L17" s="62"/>
      <c r="M17" s="62"/>
      <c r="N17" s="62"/>
      <c r="O17" s="201">
        <f t="shared" si="0"/>
        <v>28</v>
      </c>
      <c r="P17" s="62"/>
      <c r="Q17" s="62">
        <v>20</v>
      </c>
      <c r="R17" s="62">
        <v>18</v>
      </c>
      <c r="S17" s="62">
        <v>30</v>
      </c>
      <c r="T17" s="62">
        <v>35</v>
      </c>
      <c r="U17" s="62"/>
      <c r="V17" s="62"/>
      <c r="W17" s="62"/>
      <c r="X17" s="62"/>
      <c r="Y17" s="62"/>
      <c r="Z17" s="62"/>
      <c r="AA17" s="62">
        <v>10</v>
      </c>
      <c r="AB17" s="201">
        <f t="shared" si="1"/>
        <v>26</v>
      </c>
      <c r="AC17" s="62">
        <v>3</v>
      </c>
      <c r="AD17" s="62">
        <v>3</v>
      </c>
      <c r="AE17" s="201">
        <f t="shared" si="2"/>
        <v>6</v>
      </c>
      <c r="AF17" s="96" t="str">
        <f t="shared" si="3"/>
        <v>DO</v>
      </c>
      <c r="AG17" s="202">
        <f t="shared" si="4"/>
        <v>80</v>
      </c>
      <c r="AH17" s="298" t="str">
        <f t="shared" si="5"/>
        <v>APROBADO</v>
      </c>
      <c r="AI17" s="323"/>
      <c r="AJ17" s="323"/>
      <c r="AK17" s="323"/>
      <c r="AL17" s="323"/>
      <c r="AM17" s="324"/>
      <c r="AN17" s="98"/>
      <c r="AO17" s="98"/>
      <c r="AP17" s="98"/>
      <c r="AQ17" s="98"/>
      <c r="AR17" s="98"/>
    </row>
    <row r="18" spans="1:44" ht="12" customHeight="1">
      <c r="A18" s="59">
        <v>10</v>
      </c>
      <c r="B18" s="93" t="str">
        <f>'C. FILIACION'!B17</f>
        <v>PASTOR CONDARCO STEVE DAVID</v>
      </c>
      <c r="C18" s="191">
        <v>10</v>
      </c>
      <c r="D18" s="62">
        <v>0</v>
      </c>
      <c r="E18" s="62">
        <v>25</v>
      </c>
      <c r="F18" s="62">
        <v>35</v>
      </c>
      <c r="G18" s="62">
        <v>35</v>
      </c>
      <c r="H18" s="62">
        <v>20</v>
      </c>
      <c r="I18" s="62">
        <v>32</v>
      </c>
      <c r="J18" s="62"/>
      <c r="K18" s="62"/>
      <c r="L18" s="62"/>
      <c r="M18" s="62"/>
      <c r="N18" s="62"/>
      <c r="O18" s="201">
        <f t="shared" si="0"/>
        <v>25</v>
      </c>
      <c r="P18" s="62"/>
      <c r="Q18" s="62">
        <v>17</v>
      </c>
      <c r="R18" s="62">
        <v>15</v>
      </c>
      <c r="S18" s="62">
        <v>18</v>
      </c>
      <c r="T18" s="62">
        <v>25</v>
      </c>
      <c r="U18" s="62"/>
      <c r="V18" s="62"/>
      <c r="W18" s="62"/>
      <c r="X18" s="62"/>
      <c r="Y18" s="62"/>
      <c r="Z18" s="62"/>
      <c r="AA18" s="62">
        <v>10</v>
      </c>
      <c r="AB18" s="201">
        <f t="shared" si="1"/>
        <v>19</v>
      </c>
      <c r="AC18" s="62">
        <v>3</v>
      </c>
      <c r="AD18" s="62">
        <v>3</v>
      </c>
      <c r="AE18" s="201">
        <f t="shared" si="2"/>
        <v>6</v>
      </c>
      <c r="AF18" s="96" t="str">
        <f t="shared" si="3"/>
        <v>DO</v>
      </c>
      <c r="AG18" s="202">
        <f>IFERROR((SUM(C19,O18,AA18,AB18,AE18)),"")</f>
        <v>70</v>
      </c>
      <c r="AH18" s="298" t="str">
        <f t="shared" si="5"/>
        <v>APROBADO</v>
      </c>
      <c r="AI18" s="323"/>
      <c r="AJ18" s="323"/>
      <c r="AK18" s="323"/>
      <c r="AL18" s="323"/>
      <c r="AM18" s="324"/>
      <c r="AN18" s="98"/>
      <c r="AO18" s="98"/>
      <c r="AP18" s="98"/>
      <c r="AQ18" s="98"/>
      <c r="AR18" s="98"/>
    </row>
    <row r="19" spans="1:44" ht="12" customHeight="1">
      <c r="A19" s="59">
        <v>11</v>
      </c>
      <c r="B19" s="93" t="str">
        <f>'C. FILIACION'!B18</f>
        <v>ROJAS MAMANI JERUSALEN LOURDES</v>
      </c>
      <c r="C19" s="191">
        <v>10</v>
      </c>
      <c r="D19" s="62">
        <v>33</v>
      </c>
      <c r="E19" s="62">
        <v>30</v>
      </c>
      <c r="F19" s="62">
        <v>30</v>
      </c>
      <c r="G19" s="62">
        <v>35</v>
      </c>
      <c r="H19" s="62">
        <v>18</v>
      </c>
      <c r="I19" s="62">
        <v>18</v>
      </c>
      <c r="J19" s="62"/>
      <c r="K19" s="62"/>
      <c r="L19" s="62"/>
      <c r="M19" s="62"/>
      <c r="N19" s="62"/>
      <c r="O19" s="201">
        <f t="shared" si="0"/>
        <v>27</v>
      </c>
      <c r="P19" s="62"/>
      <c r="Q19" s="62">
        <v>35</v>
      </c>
      <c r="R19" s="62">
        <v>33</v>
      </c>
      <c r="S19" s="62">
        <v>25</v>
      </c>
      <c r="T19" s="62">
        <v>35</v>
      </c>
      <c r="U19" s="62"/>
      <c r="V19" s="62"/>
      <c r="W19" s="62"/>
      <c r="X19" s="62"/>
      <c r="Y19" s="62"/>
      <c r="Z19" s="62"/>
      <c r="AA19" s="62">
        <v>10</v>
      </c>
      <c r="AB19" s="201">
        <f t="shared" si="1"/>
        <v>32</v>
      </c>
      <c r="AC19" s="62">
        <v>5</v>
      </c>
      <c r="AD19" s="62">
        <v>5</v>
      </c>
      <c r="AE19" s="201">
        <f t="shared" si="2"/>
        <v>10</v>
      </c>
      <c r="AF19" s="96" t="str">
        <f t="shared" si="3"/>
        <v>DP</v>
      </c>
      <c r="AG19" s="202">
        <f t="shared" si="4"/>
        <v>89</v>
      </c>
      <c r="AH19" s="298" t="str">
        <f t="shared" si="5"/>
        <v>APROBADO</v>
      </c>
      <c r="AI19" s="323"/>
      <c r="AJ19" s="323"/>
      <c r="AK19" s="323"/>
      <c r="AL19" s="323"/>
      <c r="AM19" s="324"/>
      <c r="AN19" s="98"/>
      <c r="AO19" s="98"/>
      <c r="AP19" s="98"/>
      <c r="AQ19" s="98"/>
      <c r="AR19" s="98"/>
    </row>
    <row r="20" spans="1:44" ht="12" customHeight="1">
      <c r="A20" s="59">
        <v>12</v>
      </c>
      <c r="B20" s="93" t="str">
        <f>'C. FILIACION'!B19</f>
        <v>SALAS ROJAS LUCIANA ANTONELLA</v>
      </c>
      <c r="C20" s="191">
        <v>10</v>
      </c>
      <c r="D20" s="62">
        <v>18</v>
      </c>
      <c r="E20" s="62">
        <v>18</v>
      </c>
      <c r="F20" s="62">
        <v>18</v>
      </c>
      <c r="G20" s="62">
        <v>18</v>
      </c>
      <c r="H20" s="62">
        <v>18</v>
      </c>
      <c r="I20" s="62">
        <v>18</v>
      </c>
      <c r="J20" s="62"/>
      <c r="K20" s="62"/>
      <c r="L20" s="62"/>
      <c r="M20" s="62"/>
      <c r="N20" s="62"/>
      <c r="O20" s="201">
        <f t="shared" si="0"/>
        <v>18</v>
      </c>
      <c r="P20" s="62"/>
      <c r="Q20" s="62">
        <v>18</v>
      </c>
      <c r="R20" s="62">
        <v>18</v>
      </c>
      <c r="S20" s="62">
        <v>18</v>
      </c>
      <c r="T20" s="62">
        <v>18</v>
      </c>
      <c r="U20" s="62"/>
      <c r="V20" s="62"/>
      <c r="W20" s="62"/>
      <c r="X20" s="62"/>
      <c r="Y20" s="62"/>
      <c r="Z20" s="62"/>
      <c r="AA20" s="62">
        <v>7</v>
      </c>
      <c r="AB20" s="201">
        <f t="shared" si="1"/>
        <v>18</v>
      </c>
      <c r="AC20" s="62">
        <v>3</v>
      </c>
      <c r="AD20" s="62">
        <v>4</v>
      </c>
      <c r="AE20" s="201">
        <f t="shared" si="2"/>
        <v>7</v>
      </c>
      <c r="AF20" s="96" t="str">
        <f t="shared" si="3"/>
        <v>DA</v>
      </c>
      <c r="AG20" s="202">
        <f t="shared" si="4"/>
        <v>60</v>
      </c>
      <c r="AH20" s="298" t="str">
        <f t="shared" si="5"/>
        <v>APROBADO</v>
      </c>
      <c r="AI20" s="323"/>
      <c r="AJ20" s="323"/>
      <c r="AK20" s="323"/>
      <c r="AL20" s="323"/>
      <c r="AM20" s="324"/>
      <c r="AN20" s="98"/>
      <c r="AO20" s="98"/>
      <c r="AP20" s="98"/>
      <c r="AQ20" s="98"/>
      <c r="AR20" s="98"/>
    </row>
    <row r="21" spans="1:44" ht="12" customHeight="1">
      <c r="A21" s="59">
        <v>13</v>
      </c>
      <c r="B21" s="93" t="str">
        <f>'C. FILIACION'!B20</f>
        <v>SANTOS CRUZ ROYER JOEL</v>
      </c>
      <c r="C21" s="191">
        <v>10</v>
      </c>
      <c r="D21" s="62">
        <v>22</v>
      </c>
      <c r="E21" s="62">
        <v>25</v>
      </c>
      <c r="F21" s="62">
        <v>35</v>
      </c>
      <c r="G21" s="62">
        <v>35</v>
      </c>
      <c r="H21" s="62">
        <v>20</v>
      </c>
      <c r="I21" s="62">
        <v>22</v>
      </c>
      <c r="J21" s="62"/>
      <c r="K21" s="62"/>
      <c r="L21" s="62"/>
      <c r="M21" s="62"/>
      <c r="N21" s="62"/>
      <c r="O21" s="201">
        <f t="shared" si="0"/>
        <v>27</v>
      </c>
      <c r="P21" s="62"/>
      <c r="Q21" s="62">
        <v>15</v>
      </c>
      <c r="R21" s="62">
        <v>15</v>
      </c>
      <c r="S21" s="62">
        <v>25</v>
      </c>
      <c r="T21" s="62">
        <v>30</v>
      </c>
      <c r="U21" s="62"/>
      <c r="V21" s="62"/>
      <c r="W21" s="62"/>
      <c r="X21" s="62"/>
      <c r="Y21" s="62"/>
      <c r="Z21" s="62"/>
      <c r="AA21" s="62">
        <v>6</v>
      </c>
      <c r="AB21" s="201">
        <f t="shared" si="1"/>
        <v>21</v>
      </c>
      <c r="AC21" s="62">
        <v>5</v>
      </c>
      <c r="AD21" s="62">
        <v>5</v>
      </c>
      <c r="AE21" s="201">
        <f t="shared" si="2"/>
        <v>10</v>
      </c>
      <c r="AF21" s="96" t="str">
        <f t="shared" si="3"/>
        <v>DO</v>
      </c>
      <c r="AG21" s="202">
        <f t="shared" si="4"/>
        <v>74</v>
      </c>
      <c r="AH21" s="298" t="str">
        <f t="shared" si="5"/>
        <v>APROBADO</v>
      </c>
      <c r="AI21" s="323"/>
      <c r="AJ21" s="323"/>
      <c r="AK21" s="323"/>
      <c r="AL21" s="323"/>
      <c r="AM21" s="324"/>
      <c r="AN21" s="98"/>
      <c r="AO21" s="98"/>
      <c r="AP21" s="98"/>
      <c r="AQ21" s="98"/>
      <c r="AR21" s="98"/>
    </row>
    <row r="22" spans="1:44" ht="12" customHeight="1">
      <c r="A22" s="59">
        <v>14</v>
      </c>
      <c r="B22" s="93" t="str">
        <f>'C. FILIACION'!B21</f>
        <v>TICONA LOAYZA ARIADNE VALERIA</v>
      </c>
      <c r="C22" s="191">
        <v>10</v>
      </c>
      <c r="D22" s="62">
        <v>21</v>
      </c>
      <c r="E22" s="62">
        <v>30</v>
      </c>
      <c r="F22" s="62">
        <v>30</v>
      </c>
      <c r="G22" s="62">
        <v>18</v>
      </c>
      <c r="H22" s="62">
        <v>0</v>
      </c>
      <c r="I22" s="62">
        <v>27</v>
      </c>
      <c r="J22" s="62"/>
      <c r="K22" s="62"/>
      <c r="L22" s="62"/>
      <c r="M22" s="62"/>
      <c r="N22" s="62"/>
      <c r="O22" s="201">
        <f t="shared" si="0"/>
        <v>21</v>
      </c>
      <c r="P22" s="62"/>
      <c r="Q22" s="62">
        <v>25</v>
      </c>
      <c r="R22" s="62">
        <v>24</v>
      </c>
      <c r="S22" s="62">
        <v>18</v>
      </c>
      <c r="T22" s="62">
        <v>35</v>
      </c>
      <c r="U22" s="62"/>
      <c r="V22" s="62"/>
      <c r="W22" s="62"/>
      <c r="X22" s="62"/>
      <c r="Y22" s="62"/>
      <c r="Z22" s="62"/>
      <c r="AA22" s="62">
        <v>7</v>
      </c>
      <c r="AB22" s="201">
        <f t="shared" si="1"/>
        <v>26</v>
      </c>
      <c r="AC22" s="62">
        <v>3</v>
      </c>
      <c r="AD22" s="62">
        <v>3</v>
      </c>
      <c r="AE22" s="201">
        <f t="shared" si="2"/>
        <v>6</v>
      </c>
      <c r="AF22" s="96" t="str">
        <f t="shared" si="3"/>
        <v>DO</v>
      </c>
      <c r="AG22" s="202">
        <f t="shared" si="4"/>
        <v>70</v>
      </c>
      <c r="AH22" s="298" t="str">
        <f t="shared" si="5"/>
        <v>APROBADO</v>
      </c>
      <c r="AI22" s="323"/>
      <c r="AJ22" s="323"/>
      <c r="AK22" s="323"/>
      <c r="AL22" s="323"/>
      <c r="AM22" s="324"/>
      <c r="AN22" s="98"/>
      <c r="AO22" s="98"/>
      <c r="AP22" s="98"/>
      <c r="AQ22" s="98"/>
      <c r="AR22" s="98"/>
    </row>
    <row r="23" spans="1:44" ht="12" customHeight="1">
      <c r="A23" s="59">
        <v>15</v>
      </c>
      <c r="B23" s="93" t="str">
        <f>'C. FILIACION'!B22</f>
        <v>ZEBALLOS DEL CARPIO AMIRA MERCEDES</v>
      </c>
      <c r="C23" s="191">
        <v>10</v>
      </c>
      <c r="D23" s="62">
        <v>32</v>
      </c>
      <c r="E23" s="62">
        <v>30</v>
      </c>
      <c r="F23" s="62">
        <v>35</v>
      </c>
      <c r="G23" s="62">
        <v>25</v>
      </c>
      <c r="H23" s="62">
        <v>35</v>
      </c>
      <c r="I23" s="62">
        <v>34</v>
      </c>
      <c r="J23" s="62"/>
      <c r="K23" s="62"/>
      <c r="L23" s="62"/>
      <c r="M23" s="62"/>
      <c r="N23" s="62"/>
      <c r="O23" s="201">
        <f t="shared" si="0"/>
        <v>32</v>
      </c>
      <c r="P23" s="62"/>
      <c r="Q23" s="62">
        <v>35</v>
      </c>
      <c r="R23" s="62">
        <v>34</v>
      </c>
      <c r="S23" s="62">
        <v>34</v>
      </c>
      <c r="T23" s="62">
        <v>35</v>
      </c>
      <c r="U23" s="62"/>
      <c r="V23" s="62"/>
      <c r="W23" s="62"/>
      <c r="X23" s="62"/>
      <c r="Y23" s="62"/>
      <c r="Z23" s="62"/>
      <c r="AA23" s="62">
        <v>10</v>
      </c>
      <c r="AB23" s="201">
        <f t="shared" si="1"/>
        <v>35</v>
      </c>
      <c r="AC23" s="62">
        <v>3</v>
      </c>
      <c r="AD23" s="62">
        <v>4</v>
      </c>
      <c r="AE23" s="201">
        <f t="shared" si="2"/>
        <v>7</v>
      </c>
      <c r="AF23" s="96" t="str">
        <f t="shared" si="3"/>
        <v>DP</v>
      </c>
      <c r="AG23" s="202">
        <f t="shared" si="4"/>
        <v>94</v>
      </c>
      <c r="AH23" s="298" t="str">
        <f t="shared" si="5"/>
        <v>APROBADO</v>
      </c>
      <c r="AI23" s="323"/>
      <c r="AJ23" s="323"/>
      <c r="AK23" s="323"/>
      <c r="AL23" s="323"/>
      <c r="AM23" s="324"/>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ref="AG24:AG44" si="6">IFERROR((SUM(C24,O24,AA24,AB24,AE24)),"")</f>
        <v>100</v>
      </c>
      <c r="AH24" s="298" t="str">
        <f t="shared" si="5"/>
        <v>APROBADO</v>
      </c>
      <c r="AI24" s="299"/>
      <c r="AJ24" s="299"/>
      <c r="AK24" s="299"/>
      <c r="AL24" s="299"/>
      <c r="AM24" s="300"/>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6"/>
        <v>100</v>
      </c>
      <c r="AH25" s="298" t="str">
        <f t="shared" si="5"/>
        <v>APROBADO</v>
      </c>
      <c r="AI25" s="299"/>
      <c r="AJ25" s="299"/>
      <c r="AK25" s="299"/>
      <c r="AL25" s="299"/>
      <c r="AM25" s="300"/>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6"/>
        <v>100</v>
      </c>
      <c r="AH26" s="298" t="str">
        <f t="shared" si="5"/>
        <v>APROBADO</v>
      </c>
      <c r="AI26" s="299"/>
      <c r="AJ26" s="299"/>
      <c r="AK26" s="299"/>
      <c r="AL26" s="299"/>
      <c r="AM26" s="300"/>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6"/>
        <v>100</v>
      </c>
      <c r="AH27" s="298" t="str">
        <f t="shared" si="5"/>
        <v>APROBADO</v>
      </c>
      <c r="AI27" s="299"/>
      <c r="AJ27" s="299"/>
      <c r="AK27" s="299"/>
      <c r="AL27" s="299"/>
      <c r="AM27" s="300"/>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6"/>
        <v>100</v>
      </c>
      <c r="AH28" s="298" t="str">
        <f t="shared" si="5"/>
        <v>APROBADO</v>
      </c>
      <c r="AI28" s="299"/>
      <c r="AJ28" s="299"/>
      <c r="AK28" s="299"/>
      <c r="AL28" s="299"/>
      <c r="AM28" s="300"/>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6"/>
        <v>100</v>
      </c>
      <c r="AH29" s="298" t="str">
        <f t="shared" si="5"/>
        <v>APROBADO</v>
      </c>
      <c r="AI29" s="299"/>
      <c r="AJ29" s="299"/>
      <c r="AK29" s="299"/>
      <c r="AL29" s="299"/>
      <c r="AM29" s="300"/>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6"/>
        <v>100</v>
      </c>
      <c r="AH30" s="298" t="str">
        <f t="shared" si="5"/>
        <v>APROBADO</v>
      </c>
      <c r="AI30" s="299"/>
      <c r="AJ30" s="299"/>
      <c r="AK30" s="299"/>
      <c r="AL30" s="299"/>
      <c r="AM30" s="300"/>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6"/>
        <v>100</v>
      </c>
      <c r="AH31" s="298" t="str">
        <f t="shared" si="5"/>
        <v>APROBADO</v>
      </c>
      <c r="AI31" s="299"/>
      <c r="AJ31" s="299"/>
      <c r="AK31" s="299"/>
      <c r="AL31" s="299"/>
      <c r="AM31" s="300"/>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6"/>
        <v>100</v>
      </c>
      <c r="AH32" s="298" t="str">
        <f t="shared" si="5"/>
        <v>APROBADO</v>
      </c>
      <c r="AI32" s="299"/>
      <c r="AJ32" s="299"/>
      <c r="AK32" s="299"/>
      <c r="AL32" s="299"/>
      <c r="AM32" s="300"/>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6"/>
        <v>100</v>
      </c>
      <c r="AH33" s="298" t="str">
        <f t="shared" si="5"/>
        <v>APROBADO</v>
      </c>
      <c r="AI33" s="299"/>
      <c r="AJ33" s="299"/>
      <c r="AK33" s="299"/>
      <c r="AL33" s="299"/>
      <c r="AM33" s="300"/>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6"/>
        <v>100</v>
      </c>
      <c r="AH34" s="298" t="str">
        <f t="shared" si="5"/>
        <v>APROBADO</v>
      </c>
      <c r="AI34" s="299"/>
      <c r="AJ34" s="299"/>
      <c r="AK34" s="299"/>
      <c r="AL34" s="299"/>
      <c r="AM34" s="300"/>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6"/>
        <v>100</v>
      </c>
      <c r="AH35" s="298" t="str">
        <f t="shared" si="5"/>
        <v>APROBADO</v>
      </c>
      <c r="AI35" s="299"/>
      <c r="AJ35" s="299"/>
      <c r="AK35" s="299"/>
      <c r="AL35" s="299"/>
      <c r="AM35" s="300"/>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6"/>
        <v>100</v>
      </c>
      <c r="AH36" s="298" t="str">
        <f t="shared" si="5"/>
        <v>APROBADO</v>
      </c>
      <c r="AI36" s="299"/>
      <c r="AJ36" s="299"/>
      <c r="AK36" s="299"/>
      <c r="AL36" s="299"/>
      <c r="AM36" s="300"/>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6"/>
        <v>100</v>
      </c>
      <c r="AH37" s="298" t="str">
        <f t="shared" si="5"/>
        <v>APROBADO</v>
      </c>
      <c r="AI37" s="299"/>
      <c r="AJ37" s="299"/>
      <c r="AK37" s="299"/>
      <c r="AL37" s="299"/>
      <c r="AM37" s="300"/>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6"/>
        <v>100</v>
      </c>
      <c r="AH38" s="298" t="str">
        <f t="shared" si="5"/>
        <v>APROBADO</v>
      </c>
      <c r="AI38" s="299"/>
      <c r="AJ38" s="299"/>
      <c r="AK38" s="299"/>
      <c r="AL38" s="299"/>
      <c r="AM38" s="300"/>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6"/>
        <v>100</v>
      </c>
      <c r="AH39" s="298" t="str">
        <f t="shared" si="5"/>
        <v>APROBADO</v>
      </c>
      <c r="AI39" s="299"/>
      <c r="AJ39" s="299"/>
      <c r="AK39" s="299"/>
      <c r="AL39" s="299"/>
      <c r="AM39" s="300"/>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6"/>
        <v>100</v>
      </c>
      <c r="AH40" s="298" t="str">
        <f t="shared" si="5"/>
        <v>APROBADO</v>
      </c>
      <c r="AI40" s="299"/>
      <c r="AJ40" s="299"/>
      <c r="AK40" s="299"/>
      <c r="AL40" s="299"/>
      <c r="AM40" s="300"/>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6"/>
        <v>100</v>
      </c>
      <c r="AH41" s="298" t="str">
        <f t="shared" si="5"/>
        <v>APROBADO</v>
      </c>
      <c r="AI41" s="299"/>
      <c r="AJ41" s="299"/>
      <c r="AK41" s="299"/>
      <c r="AL41" s="299"/>
      <c r="AM41" s="300"/>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6"/>
        <v>100</v>
      </c>
      <c r="AH42" s="298" t="str">
        <f t="shared" si="5"/>
        <v>APROBADO</v>
      </c>
      <c r="AI42" s="299"/>
      <c r="AJ42" s="299"/>
      <c r="AK42" s="299"/>
      <c r="AL42" s="299"/>
      <c r="AM42" s="300"/>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6"/>
        <v>100</v>
      </c>
      <c r="AH43" s="298" t="str">
        <f t="shared" si="5"/>
        <v>APROBADO</v>
      </c>
      <c r="AI43" s="299"/>
      <c r="AJ43" s="299"/>
      <c r="AK43" s="299"/>
      <c r="AL43" s="299"/>
      <c r="AM43" s="300"/>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6"/>
        <v>100</v>
      </c>
      <c r="AH44" s="298" t="str">
        <f t="shared" si="5"/>
        <v>APROBADO</v>
      </c>
      <c r="AI44" s="299"/>
      <c r="AJ44" s="299"/>
      <c r="AK44" s="299"/>
      <c r="AL44" s="299"/>
      <c r="AM44" s="300"/>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AA9:AA44 C10:C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pageSetUpPr fitToPage="1"/>
  </sheetPr>
  <dimension ref="A1:AV1000"/>
  <sheetViews>
    <sheetView workbookViewId="0">
      <selection activeCell="AR23" sqref="A1:AR23"/>
    </sheetView>
  </sheetViews>
  <sheetFormatPr baseColWidth="10" defaultColWidth="9.1328125" defaultRowHeight="15" customHeight="1"/>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13281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317" t="s">
        <v>96</v>
      </c>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238"/>
      <c r="AK2" s="238"/>
      <c r="AL2" s="238"/>
      <c r="AM2" s="238"/>
      <c r="AN2" s="238"/>
      <c r="AO2" s="238"/>
      <c r="AP2" s="238"/>
      <c r="AQ2" s="238"/>
      <c r="AR2" s="239"/>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315" t="s">
        <v>48</v>
      </c>
      <c r="AD3" s="299"/>
      <c r="AE3" s="299"/>
      <c r="AF3" s="299"/>
      <c r="AG3" s="299"/>
      <c r="AH3" s="300"/>
      <c r="AI3" s="265">
        <f>CARÁTULA!$H$24</f>
        <v>44440</v>
      </c>
      <c r="AJ3" s="247"/>
      <c r="AK3" s="247"/>
      <c r="AL3" s="247"/>
      <c r="AM3" s="247"/>
      <c r="AN3" s="318" t="s">
        <v>49</v>
      </c>
      <c r="AO3" s="238"/>
      <c r="AP3" s="238"/>
      <c r="AQ3" s="238"/>
      <c r="AR3" s="239"/>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315" t="s">
        <v>51</v>
      </c>
      <c r="AD4" s="299"/>
      <c r="AE4" s="299"/>
      <c r="AF4" s="299"/>
      <c r="AG4" s="299"/>
      <c r="AH4" s="300"/>
      <c r="AI4" s="265">
        <f>CARÁTULA!$J$24</f>
        <v>44531</v>
      </c>
      <c r="AJ4" s="247"/>
      <c r="AK4" s="247"/>
      <c r="AL4" s="247"/>
      <c r="AM4" s="247"/>
      <c r="AN4" s="267">
        <f ca="1">AI4-AI5</f>
        <v>-14</v>
      </c>
      <c r="AO4" s="257"/>
      <c r="AP4" s="257"/>
      <c r="AQ4" s="257"/>
      <c r="AR4" s="258"/>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311">
        <f ca="1">TODAY()</f>
        <v>44545</v>
      </c>
      <c r="T5" s="238"/>
      <c r="U5" s="238"/>
      <c r="V5" s="238"/>
      <c r="W5" s="238"/>
      <c r="X5" s="238"/>
      <c r="Y5" s="238"/>
      <c r="Z5" s="238"/>
      <c r="AA5" s="239"/>
      <c r="AB5" s="76"/>
      <c r="AC5" s="316" t="s">
        <v>52</v>
      </c>
      <c r="AD5" s="299"/>
      <c r="AE5" s="299"/>
      <c r="AF5" s="299"/>
      <c r="AG5" s="299"/>
      <c r="AH5" s="300"/>
      <c r="AI5" s="319">
        <f ca="1">TODAY()</f>
        <v>44545</v>
      </c>
      <c r="AJ5" s="247"/>
      <c r="AK5" s="247"/>
      <c r="AL5" s="247"/>
      <c r="AM5" s="247"/>
      <c r="AN5" s="259"/>
      <c r="AO5" s="260"/>
      <c r="AP5" s="260"/>
      <c r="AQ5" s="260"/>
      <c r="AR5" s="261"/>
    </row>
    <row r="6" spans="1:48" ht="12.75" customHeight="1" thickBot="1">
      <c r="A6" s="71"/>
      <c r="B6" s="74"/>
      <c r="C6" s="253" t="s">
        <v>73</v>
      </c>
      <c r="D6" s="254"/>
      <c r="E6" s="254"/>
      <c r="F6" s="254"/>
      <c r="G6" s="254"/>
      <c r="H6" s="254"/>
      <c r="I6" s="254"/>
      <c r="J6" s="254"/>
      <c r="K6" s="254"/>
      <c r="L6" s="254"/>
      <c r="M6" s="254"/>
      <c r="N6" s="254"/>
      <c r="O6" s="254"/>
      <c r="P6" s="254"/>
      <c r="Q6" s="254"/>
      <c r="R6" s="254"/>
      <c r="S6" s="254"/>
      <c r="T6" s="254"/>
      <c r="U6" s="254"/>
      <c r="V6" s="254"/>
      <c r="W6" s="254"/>
      <c r="X6" s="254"/>
      <c r="Y6" s="254"/>
      <c r="Z6" s="254"/>
      <c r="AA6" s="255"/>
      <c r="AB6" s="312" t="s">
        <v>74</v>
      </c>
      <c r="AC6" s="299"/>
      <c r="AD6" s="299"/>
      <c r="AE6" s="300"/>
      <c r="AF6" s="80"/>
      <c r="AG6" s="81"/>
      <c r="AH6" s="81"/>
      <c r="AI6" s="82"/>
      <c r="AJ6" s="83"/>
      <c r="AK6" s="83"/>
      <c r="AL6" s="83"/>
      <c r="AM6" s="83"/>
      <c r="AN6" s="223"/>
      <c r="AO6" s="223"/>
      <c r="AP6" s="223"/>
      <c r="AQ6" s="223"/>
      <c r="AR6" s="223"/>
    </row>
    <row r="7" spans="1:48" ht="12" customHeight="1">
      <c r="A7" s="71"/>
      <c r="B7" s="199"/>
      <c r="C7" s="333" t="s">
        <v>75</v>
      </c>
      <c r="D7" s="334" t="s">
        <v>76</v>
      </c>
      <c r="E7" s="299"/>
      <c r="F7" s="299"/>
      <c r="G7" s="299"/>
      <c r="H7" s="299"/>
      <c r="I7" s="299"/>
      <c r="J7" s="299"/>
      <c r="K7" s="299"/>
      <c r="L7" s="299"/>
      <c r="M7" s="299"/>
      <c r="N7" s="299"/>
      <c r="O7" s="310" t="s">
        <v>77</v>
      </c>
      <c r="P7" s="314" t="s">
        <v>78</v>
      </c>
      <c r="Q7" s="299"/>
      <c r="R7" s="299"/>
      <c r="S7" s="299"/>
      <c r="T7" s="299"/>
      <c r="U7" s="299"/>
      <c r="V7" s="299"/>
      <c r="W7" s="299"/>
      <c r="X7" s="299"/>
      <c r="Y7" s="299"/>
      <c r="Z7" s="335"/>
      <c r="AA7" s="330" t="s">
        <v>79</v>
      </c>
      <c r="AB7" s="332" t="s">
        <v>77</v>
      </c>
      <c r="AC7" s="309" t="s">
        <v>80</v>
      </c>
      <c r="AD7" s="309" t="s">
        <v>81</v>
      </c>
      <c r="AE7" s="310" t="s">
        <v>77</v>
      </c>
      <c r="AF7" s="302" t="s">
        <v>82</v>
      </c>
      <c r="AG7" s="304" t="s">
        <v>83</v>
      </c>
      <c r="AH7" s="305" t="s">
        <v>84</v>
      </c>
      <c r="AI7" s="254"/>
      <c r="AJ7" s="254"/>
      <c r="AK7" s="254"/>
      <c r="AL7" s="254"/>
      <c r="AM7" s="255"/>
      <c r="AN7" s="224"/>
      <c r="AO7" s="225"/>
      <c r="AP7" s="225"/>
      <c r="AQ7" s="225"/>
      <c r="AR7" s="226"/>
    </row>
    <row r="8" spans="1:48" ht="163.19999999999999" customHeight="1" thickBot="1">
      <c r="A8" s="49" t="s">
        <v>53</v>
      </c>
      <c r="B8" s="200" t="s">
        <v>54</v>
      </c>
      <c r="C8" s="331"/>
      <c r="D8" s="99" t="s">
        <v>220</v>
      </c>
      <c r="E8" s="54" t="s">
        <v>221</v>
      </c>
      <c r="F8" s="54" t="s">
        <v>230</v>
      </c>
      <c r="G8" s="54"/>
      <c r="H8" s="54"/>
      <c r="I8" s="54"/>
      <c r="J8" s="54"/>
      <c r="K8" s="54"/>
      <c r="L8" s="54"/>
      <c r="M8" s="54"/>
      <c r="N8" s="55"/>
      <c r="O8" s="303"/>
      <c r="P8" s="99" t="s">
        <v>218</v>
      </c>
      <c r="Q8" s="54" t="s">
        <v>219</v>
      </c>
      <c r="R8" s="54" t="s">
        <v>222</v>
      </c>
      <c r="S8" s="54" t="s">
        <v>223</v>
      </c>
      <c r="T8" s="54" t="s">
        <v>217</v>
      </c>
      <c r="U8" s="52">
        <v>44525</v>
      </c>
      <c r="V8" s="54"/>
      <c r="W8" s="54"/>
      <c r="X8" s="54"/>
      <c r="Y8" s="54"/>
      <c r="Z8" s="55"/>
      <c r="AA8" s="331"/>
      <c r="AB8" s="308"/>
      <c r="AC8" s="303"/>
      <c r="AD8" s="303"/>
      <c r="AE8" s="303"/>
      <c r="AF8" s="303"/>
      <c r="AG8" s="303"/>
      <c r="AH8" s="306"/>
      <c r="AI8" s="307"/>
      <c r="AJ8" s="307"/>
      <c r="AK8" s="307"/>
      <c r="AL8" s="307"/>
      <c r="AM8" s="308"/>
      <c r="AN8" s="227"/>
      <c r="AO8" s="227"/>
      <c r="AP8" s="227"/>
      <c r="AQ8" s="227"/>
      <c r="AR8" s="228"/>
    </row>
    <row r="9" spans="1:48" s="217" customFormat="1" ht="12" customHeight="1">
      <c r="A9" s="206">
        <v>1</v>
      </c>
      <c r="B9" s="207" t="str">
        <f>'C. FILIACION'!B8</f>
        <v>ARANCIBIA ARRAYA LUIS ANDRES</v>
      </c>
      <c r="C9" s="218">
        <f>'ASIS 3 TRIM'!BJ8</f>
        <v>10</v>
      </c>
      <c r="D9" s="209">
        <v>18</v>
      </c>
      <c r="E9" s="210">
        <v>20</v>
      </c>
      <c r="F9" s="210">
        <v>19</v>
      </c>
      <c r="G9" s="210"/>
      <c r="H9" s="210"/>
      <c r="I9" s="210"/>
      <c r="J9" s="210"/>
      <c r="K9" s="210"/>
      <c r="L9" s="210"/>
      <c r="M9" s="210"/>
      <c r="N9" s="210"/>
      <c r="O9" s="211">
        <f t="shared" ref="O9:O44" si="0">IFERROR(ROUND(AVERAGE(D9:N9),0),"")</f>
        <v>19</v>
      </c>
      <c r="P9" s="210">
        <v>19</v>
      </c>
      <c r="Q9" s="210">
        <v>17</v>
      </c>
      <c r="R9" s="210">
        <v>25</v>
      </c>
      <c r="S9" s="210">
        <v>19</v>
      </c>
      <c r="T9" s="210">
        <v>35</v>
      </c>
      <c r="U9" s="210">
        <v>25</v>
      </c>
      <c r="V9" s="210"/>
      <c r="W9" s="210"/>
      <c r="X9" s="210"/>
      <c r="Y9" s="210"/>
      <c r="Z9" s="212"/>
      <c r="AA9" s="213">
        <f>(O9+AB9)/2*10/35</f>
        <v>6</v>
      </c>
      <c r="AB9" s="214">
        <f t="shared" ref="AB9:AB44" si="1">IFERROR(ROUND(AVERAGE(P9:Z9),0),"")</f>
        <v>23</v>
      </c>
      <c r="AC9" s="210">
        <v>2</v>
      </c>
      <c r="AD9" s="210">
        <v>2</v>
      </c>
      <c r="AE9" s="220">
        <f t="shared" ref="AE9:AE44" si="2">IFERROR((SUM(AC9,AD9)),"")</f>
        <v>4</v>
      </c>
      <c r="AF9" s="222" t="str">
        <f t="shared" ref="AF9:AF44" si="3">IF(AG9&lt;51,"ED",IF(AG9&lt;67,"DA",IF(AG9&lt;85,"DO","DP")))</f>
        <v>DA</v>
      </c>
      <c r="AG9" s="221">
        <f t="shared" ref="AG9:AG44" si="4">IFERROR((SUM(C9,O9,AA9,AB9,AE9)),"")</f>
        <v>62</v>
      </c>
      <c r="AH9" s="325" t="str">
        <f t="shared" ref="AH9:AH44" si="5">IF(AG9="","",(IF(AND(AG9&gt;=1,AG9&lt;=50.499),"REPROBADO",IF(AND(AG9&gt;=50.5,AG9&lt;=100),"APROBADO"))))</f>
        <v>APROBADO</v>
      </c>
      <c r="AI9" s="326"/>
      <c r="AJ9" s="326"/>
      <c r="AK9" s="326"/>
      <c r="AL9" s="326"/>
      <c r="AM9" s="327"/>
      <c r="AN9" s="229" t="s">
        <v>91</v>
      </c>
      <c r="AO9" s="328">
        <f>COUNTIF(AF9:AF44,"ED")</f>
        <v>0</v>
      </c>
      <c r="AP9" s="329"/>
      <c r="AQ9" s="230"/>
      <c r="AR9" s="230"/>
    </row>
    <row r="10" spans="1:48" s="216" customFormat="1" ht="12" customHeight="1">
      <c r="A10" s="206">
        <v>2</v>
      </c>
      <c r="B10" s="207" t="str">
        <f>'C. FILIACION'!B9</f>
        <v>ARIVIRI ALEXIS JHONATAN</v>
      </c>
      <c r="C10" s="208">
        <f>'ASIS 3 TRIM'!BJ9</f>
        <v>7.2727272727272725</v>
      </c>
      <c r="D10" s="209">
        <v>10</v>
      </c>
      <c r="E10" s="210">
        <v>15</v>
      </c>
      <c r="F10" s="210">
        <v>16</v>
      </c>
      <c r="G10" s="210"/>
      <c r="H10" s="210"/>
      <c r="I10" s="210"/>
      <c r="J10" s="210"/>
      <c r="K10" s="210"/>
      <c r="L10" s="210"/>
      <c r="M10" s="210"/>
      <c r="N10" s="210"/>
      <c r="O10" s="211">
        <f t="shared" si="0"/>
        <v>14</v>
      </c>
      <c r="P10" s="210">
        <v>14</v>
      </c>
      <c r="Q10" s="210">
        <v>14</v>
      </c>
      <c r="R10" s="210">
        <v>18</v>
      </c>
      <c r="S10" s="210">
        <v>15</v>
      </c>
      <c r="T10" s="210">
        <v>25</v>
      </c>
      <c r="U10" s="210">
        <v>20</v>
      </c>
      <c r="V10" s="210"/>
      <c r="W10" s="210"/>
      <c r="X10" s="210"/>
      <c r="Y10" s="210"/>
      <c r="Z10" s="212"/>
      <c r="AA10" s="213">
        <f t="shared" ref="AA10:AA23" si="6">(O10+AB10)/2*10/35</f>
        <v>4.5714285714285712</v>
      </c>
      <c r="AB10" s="214">
        <f t="shared" si="1"/>
        <v>18</v>
      </c>
      <c r="AC10" s="210">
        <v>4</v>
      </c>
      <c r="AD10" s="210">
        <v>3</v>
      </c>
      <c r="AE10" s="220">
        <f t="shared" si="2"/>
        <v>7</v>
      </c>
      <c r="AF10" s="222" t="str">
        <f t="shared" si="3"/>
        <v>DA</v>
      </c>
      <c r="AG10" s="221">
        <v>51</v>
      </c>
      <c r="AH10" s="325" t="str">
        <f t="shared" si="5"/>
        <v>APROBADO</v>
      </c>
      <c r="AI10" s="326"/>
      <c r="AJ10" s="326"/>
      <c r="AK10" s="326"/>
      <c r="AL10" s="326"/>
      <c r="AM10" s="327"/>
      <c r="AN10" s="231" t="s">
        <v>92</v>
      </c>
      <c r="AO10" s="328">
        <f>COUNTIF(AF9:AF44,"DA")</f>
        <v>6</v>
      </c>
      <c r="AP10" s="329"/>
      <c r="AQ10" s="230"/>
      <c r="AR10" s="230"/>
    </row>
    <row r="11" spans="1:48" s="217" customFormat="1" ht="12" customHeight="1">
      <c r="A11" s="206">
        <v>3</v>
      </c>
      <c r="B11" s="207" t="str">
        <f>'C. FILIACION'!B10</f>
        <v>BASCOPE LOPEZ JHYMMY ANGHELO</v>
      </c>
      <c r="C11" s="208">
        <f>'ASIS 3 TRIM'!BJ10</f>
        <v>10</v>
      </c>
      <c r="D11" s="209">
        <v>10</v>
      </c>
      <c r="E11" s="210">
        <v>18</v>
      </c>
      <c r="F11" s="210">
        <v>16</v>
      </c>
      <c r="G11" s="210"/>
      <c r="H11" s="210"/>
      <c r="I11" s="210"/>
      <c r="J11" s="210"/>
      <c r="K11" s="210"/>
      <c r="L11" s="210"/>
      <c r="M11" s="210"/>
      <c r="N11" s="210"/>
      <c r="O11" s="211">
        <f t="shared" si="0"/>
        <v>15</v>
      </c>
      <c r="P11" s="210">
        <v>20</v>
      </c>
      <c r="Q11" s="210">
        <v>15</v>
      </c>
      <c r="R11" s="210">
        <v>15</v>
      </c>
      <c r="S11" s="210">
        <v>10</v>
      </c>
      <c r="T11" s="210">
        <v>25</v>
      </c>
      <c r="U11" s="210">
        <v>15</v>
      </c>
      <c r="V11" s="210"/>
      <c r="W11" s="210"/>
      <c r="X11" s="210"/>
      <c r="Y11" s="210"/>
      <c r="Z11" s="212"/>
      <c r="AA11" s="213">
        <v>4</v>
      </c>
      <c r="AB11" s="214">
        <f t="shared" si="1"/>
        <v>17</v>
      </c>
      <c r="AC11" s="210">
        <v>5</v>
      </c>
      <c r="AD11" s="210">
        <v>5</v>
      </c>
      <c r="AE11" s="220">
        <f t="shared" si="2"/>
        <v>10</v>
      </c>
      <c r="AF11" s="222" t="str">
        <f t="shared" si="3"/>
        <v>DA</v>
      </c>
      <c r="AG11" s="221">
        <f t="shared" si="4"/>
        <v>56</v>
      </c>
      <c r="AH11" s="325" t="str">
        <f t="shared" si="5"/>
        <v>APROBADO</v>
      </c>
      <c r="AI11" s="326"/>
      <c r="AJ11" s="326"/>
      <c r="AK11" s="326"/>
      <c r="AL11" s="326"/>
      <c r="AM11" s="327"/>
      <c r="AN11" s="231" t="s">
        <v>93</v>
      </c>
      <c r="AO11" s="328">
        <f>COUNTIF(AF9:AF44,"DO")</f>
        <v>4</v>
      </c>
      <c r="AP11" s="329"/>
      <c r="AQ11" s="230"/>
      <c r="AR11" s="230"/>
    </row>
    <row r="12" spans="1:48" ht="12" customHeight="1">
      <c r="A12" s="206">
        <v>4</v>
      </c>
      <c r="B12" s="207" t="str">
        <f>'C. FILIACION'!B11</f>
        <v>BLANCO SALVATIERRA DANIELA MARGARITA</v>
      </c>
      <c r="C12" s="208">
        <f>'ASIS 3 TRIM'!BJ11</f>
        <v>10</v>
      </c>
      <c r="D12" s="209">
        <v>19</v>
      </c>
      <c r="E12" s="210">
        <v>23</v>
      </c>
      <c r="F12" s="210">
        <v>30</v>
      </c>
      <c r="G12" s="210"/>
      <c r="H12" s="210"/>
      <c r="I12" s="210"/>
      <c r="J12" s="210"/>
      <c r="K12" s="210"/>
      <c r="L12" s="210"/>
      <c r="M12" s="210"/>
      <c r="N12" s="210"/>
      <c r="O12" s="211">
        <f t="shared" si="0"/>
        <v>24</v>
      </c>
      <c r="P12" s="210">
        <v>32</v>
      </c>
      <c r="Q12" s="210">
        <v>32</v>
      </c>
      <c r="R12" s="210">
        <v>35</v>
      </c>
      <c r="S12" s="210">
        <v>18</v>
      </c>
      <c r="T12" s="210">
        <v>35</v>
      </c>
      <c r="U12" s="210">
        <v>33</v>
      </c>
      <c r="V12" s="210"/>
      <c r="W12" s="210"/>
      <c r="X12" s="210"/>
      <c r="Y12" s="210"/>
      <c r="Z12" s="212"/>
      <c r="AA12" s="213">
        <f t="shared" si="6"/>
        <v>7.8571428571428568</v>
      </c>
      <c r="AB12" s="214">
        <f t="shared" si="1"/>
        <v>31</v>
      </c>
      <c r="AC12" s="210">
        <v>3</v>
      </c>
      <c r="AD12" s="210">
        <v>2</v>
      </c>
      <c r="AE12" s="220">
        <f t="shared" si="2"/>
        <v>5</v>
      </c>
      <c r="AF12" s="222" t="str">
        <f t="shared" si="3"/>
        <v>DO</v>
      </c>
      <c r="AG12" s="221">
        <v>78</v>
      </c>
      <c r="AH12" s="325" t="str">
        <f t="shared" si="5"/>
        <v>APROBADO</v>
      </c>
      <c r="AI12" s="326"/>
      <c r="AJ12" s="326"/>
      <c r="AK12" s="326"/>
      <c r="AL12" s="326"/>
      <c r="AM12" s="327"/>
      <c r="AN12" s="231" t="s">
        <v>94</v>
      </c>
      <c r="AO12" s="328">
        <f>COUNTIF(AF9:AF44,"DP")</f>
        <v>26</v>
      </c>
      <c r="AP12" s="329"/>
      <c r="AQ12" s="230"/>
      <c r="AR12" s="230"/>
    </row>
    <row r="13" spans="1:48" s="216" customFormat="1" ht="12" customHeight="1">
      <c r="A13" s="206">
        <v>5</v>
      </c>
      <c r="B13" s="207" t="str">
        <f>'C. FILIACION'!B12</f>
        <v>DAVILA LAPACA DIEGO LEONEL</v>
      </c>
      <c r="C13" s="208">
        <f>'ASIS 3 TRIM'!BJ12</f>
        <v>10</v>
      </c>
      <c r="D13" s="209">
        <v>20</v>
      </c>
      <c r="E13" s="210">
        <v>18</v>
      </c>
      <c r="F13" s="210">
        <v>18</v>
      </c>
      <c r="G13" s="210"/>
      <c r="H13" s="210"/>
      <c r="I13" s="210"/>
      <c r="J13" s="210"/>
      <c r="K13" s="210"/>
      <c r="L13" s="210"/>
      <c r="M13" s="210"/>
      <c r="N13" s="210"/>
      <c r="O13" s="211">
        <f t="shared" si="0"/>
        <v>19</v>
      </c>
      <c r="P13" s="210">
        <v>30</v>
      </c>
      <c r="Q13" s="210">
        <v>30</v>
      </c>
      <c r="R13" s="210">
        <v>32</v>
      </c>
      <c r="S13" s="210">
        <v>25</v>
      </c>
      <c r="T13" s="210">
        <v>35</v>
      </c>
      <c r="U13" s="210">
        <v>25</v>
      </c>
      <c r="V13" s="210"/>
      <c r="W13" s="210"/>
      <c r="X13" s="210"/>
      <c r="Y13" s="210"/>
      <c r="Z13" s="212"/>
      <c r="AA13" s="213">
        <f t="shared" si="6"/>
        <v>7</v>
      </c>
      <c r="AB13" s="214">
        <f t="shared" si="1"/>
        <v>30</v>
      </c>
      <c r="AC13" s="210">
        <v>2</v>
      </c>
      <c r="AD13" s="210">
        <v>3</v>
      </c>
      <c r="AE13" s="220">
        <f t="shared" si="2"/>
        <v>5</v>
      </c>
      <c r="AF13" s="222" t="str">
        <f t="shared" si="3"/>
        <v>DO</v>
      </c>
      <c r="AG13" s="221">
        <f t="shared" si="4"/>
        <v>71</v>
      </c>
      <c r="AH13" s="325" t="str">
        <f t="shared" si="5"/>
        <v>APROBADO</v>
      </c>
      <c r="AI13" s="326"/>
      <c r="AJ13" s="326"/>
      <c r="AK13" s="326"/>
      <c r="AL13" s="326"/>
      <c r="AM13" s="327"/>
      <c r="AN13" s="230"/>
      <c r="AO13" s="230"/>
      <c r="AP13" s="230"/>
      <c r="AQ13" s="230"/>
      <c r="AR13" s="230"/>
    </row>
    <row r="14" spans="1:48" s="217" customFormat="1" ht="12" customHeight="1">
      <c r="A14" s="206">
        <v>6</v>
      </c>
      <c r="B14" s="207" t="str">
        <f>'C. FILIACION'!B13</f>
        <v>ESCOBAR LAZO JHOSELIN MARCELA</v>
      </c>
      <c r="C14" s="208">
        <f>'ASIS 3 TRIM'!BJ13</f>
        <v>10</v>
      </c>
      <c r="D14" s="209">
        <v>34</v>
      </c>
      <c r="E14" s="210">
        <v>28</v>
      </c>
      <c r="F14" s="210">
        <v>32</v>
      </c>
      <c r="G14" s="210"/>
      <c r="H14" s="210"/>
      <c r="I14" s="210"/>
      <c r="J14" s="210"/>
      <c r="K14" s="210"/>
      <c r="L14" s="210"/>
      <c r="M14" s="210"/>
      <c r="N14" s="210"/>
      <c r="O14" s="211">
        <f t="shared" si="0"/>
        <v>31</v>
      </c>
      <c r="P14" s="210">
        <v>35</v>
      </c>
      <c r="Q14" s="210">
        <v>35</v>
      </c>
      <c r="R14" s="210">
        <v>35</v>
      </c>
      <c r="S14" s="210">
        <v>35</v>
      </c>
      <c r="T14" s="210">
        <v>35</v>
      </c>
      <c r="U14" s="210">
        <v>35</v>
      </c>
      <c r="V14" s="210"/>
      <c r="W14" s="210"/>
      <c r="X14" s="210"/>
      <c r="Y14" s="210"/>
      <c r="Z14" s="212"/>
      <c r="AA14" s="213">
        <v>10</v>
      </c>
      <c r="AB14" s="214">
        <f t="shared" si="1"/>
        <v>35</v>
      </c>
      <c r="AC14" s="210">
        <v>5</v>
      </c>
      <c r="AD14" s="210">
        <v>5</v>
      </c>
      <c r="AE14" s="220">
        <f t="shared" si="2"/>
        <v>10</v>
      </c>
      <c r="AF14" s="222" t="str">
        <f t="shared" si="3"/>
        <v>DP</v>
      </c>
      <c r="AG14" s="221">
        <f t="shared" si="4"/>
        <v>96</v>
      </c>
      <c r="AH14" s="325" t="str">
        <f t="shared" si="5"/>
        <v>APROBADO</v>
      </c>
      <c r="AI14" s="326"/>
      <c r="AJ14" s="326"/>
      <c r="AK14" s="326"/>
      <c r="AL14" s="326"/>
      <c r="AM14" s="327"/>
      <c r="AN14" s="230"/>
      <c r="AO14" s="230"/>
      <c r="AP14" s="230"/>
      <c r="AQ14" s="230"/>
      <c r="AR14" s="230"/>
    </row>
    <row r="15" spans="1:48" s="217" customFormat="1" ht="12" customHeight="1">
      <c r="A15" s="206">
        <v>7</v>
      </c>
      <c r="B15" s="207" t="str">
        <f>'C. FILIACION'!B14</f>
        <v>GUTIERREZ PEREZ ARIEL FERNANDO</v>
      </c>
      <c r="C15" s="208">
        <f>'ASIS 3 TRIM'!BJ14</f>
        <v>10</v>
      </c>
      <c r="D15" s="209">
        <v>30</v>
      </c>
      <c r="E15" s="210">
        <v>28</v>
      </c>
      <c r="F15" s="210">
        <v>33</v>
      </c>
      <c r="G15" s="210"/>
      <c r="H15" s="210"/>
      <c r="I15" s="210"/>
      <c r="J15" s="210"/>
      <c r="K15" s="210"/>
      <c r="L15" s="210"/>
      <c r="M15" s="210"/>
      <c r="N15" s="210"/>
      <c r="O15" s="211">
        <f t="shared" si="0"/>
        <v>30</v>
      </c>
      <c r="P15" s="210">
        <v>20</v>
      </c>
      <c r="Q15" s="210">
        <v>35</v>
      </c>
      <c r="R15" s="210">
        <v>35</v>
      </c>
      <c r="S15" s="210">
        <v>26</v>
      </c>
      <c r="T15" s="210">
        <v>35</v>
      </c>
      <c r="U15" s="210">
        <v>25</v>
      </c>
      <c r="V15" s="210"/>
      <c r="W15" s="210"/>
      <c r="X15" s="210"/>
      <c r="Y15" s="210"/>
      <c r="Z15" s="212"/>
      <c r="AA15" s="213">
        <f t="shared" si="6"/>
        <v>8.4285714285714288</v>
      </c>
      <c r="AB15" s="214">
        <f t="shared" si="1"/>
        <v>29</v>
      </c>
      <c r="AC15" s="210">
        <v>3</v>
      </c>
      <c r="AD15" s="210">
        <v>4</v>
      </c>
      <c r="AE15" s="220">
        <f t="shared" si="2"/>
        <v>7</v>
      </c>
      <c r="AF15" s="222" t="str">
        <f t="shared" si="3"/>
        <v>DO</v>
      </c>
      <c r="AG15" s="221">
        <v>84</v>
      </c>
      <c r="AH15" s="325" t="str">
        <f t="shared" si="5"/>
        <v>APROBADO</v>
      </c>
      <c r="AI15" s="326"/>
      <c r="AJ15" s="326"/>
      <c r="AK15" s="326"/>
      <c r="AL15" s="326"/>
      <c r="AM15" s="327"/>
      <c r="AN15" s="230"/>
      <c r="AO15" s="230"/>
      <c r="AP15" s="230"/>
      <c r="AQ15" s="230"/>
      <c r="AR15" s="230"/>
    </row>
    <row r="16" spans="1:48" s="216" customFormat="1" ht="12" customHeight="1">
      <c r="A16" s="206">
        <v>8</v>
      </c>
      <c r="B16" s="207" t="str">
        <f>'C. FILIACION'!B15</f>
        <v>LOPEZ PACO FABRICIO ANDRE</v>
      </c>
      <c r="C16" s="208">
        <f>'ASIS 3 TRIM'!BJ15</f>
        <v>8.1818181818181817</v>
      </c>
      <c r="D16" s="209">
        <v>10</v>
      </c>
      <c r="E16" s="210">
        <v>18</v>
      </c>
      <c r="F16" s="210">
        <v>10</v>
      </c>
      <c r="G16" s="210"/>
      <c r="H16" s="210"/>
      <c r="I16" s="210"/>
      <c r="J16" s="210"/>
      <c r="K16" s="210"/>
      <c r="L16" s="210"/>
      <c r="M16" s="210"/>
      <c r="N16" s="210"/>
      <c r="O16" s="211">
        <f t="shared" si="0"/>
        <v>13</v>
      </c>
      <c r="P16" s="210">
        <v>10</v>
      </c>
      <c r="Q16" s="210">
        <v>15</v>
      </c>
      <c r="R16" s="210">
        <v>10</v>
      </c>
      <c r="S16" s="210">
        <v>15</v>
      </c>
      <c r="T16" s="210">
        <v>35</v>
      </c>
      <c r="U16" s="210">
        <v>30</v>
      </c>
      <c r="V16" s="210"/>
      <c r="W16" s="210"/>
      <c r="X16" s="210"/>
      <c r="Y16" s="210"/>
      <c r="Z16" s="212"/>
      <c r="AA16" s="213">
        <v>6</v>
      </c>
      <c r="AB16" s="214">
        <f t="shared" si="1"/>
        <v>19</v>
      </c>
      <c r="AC16" s="210">
        <v>2</v>
      </c>
      <c r="AD16" s="210">
        <v>3</v>
      </c>
      <c r="AE16" s="220">
        <f t="shared" si="2"/>
        <v>5</v>
      </c>
      <c r="AF16" s="222" t="str">
        <f t="shared" si="3"/>
        <v>DA</v>
      </c>
      <c r="AG16" s="221">
        <v>51</v>
      </c>
      <c r="AH16" s="325" t="str">
        <f t="shared" si="5"/>
        <v>APROBADO</v>
      </c>
      <c r="AI16" s="326"/>
      <c r="AJ16" s="326"/>
      <c r="AK16" s="326"/>
      <c r="AL16" s="326"/>
      <c r="AM16" s="327"/>
      <c r="AN16" s="230"/>
      <c r="AO16" s="230"/>
      <c r="AP16" s="230"/>
      <c r="AQ16" s="230"/>
      <c r="AR16" s="230"/>
    </row>
    <row r="17" spans="1:44" ht="12" customHeight="1">
      <c r="A17" s="206">
        <v>9</v>
      </c>
      <c r="B17" s="207" t="str">
        <f>'C. FILIACION'!B16</f>
        <v>NINA PANIAGUA DEYVID GABRIEL</v>
      </c>
      <c r="C17" s="208">
        <f>'ASIS 3 TRIM'!BJ16</f>
        <v>10</v>
      </c>
      <c r="D17" s="209">
        <v>35</v>
      </c>
      <c r="E17" s="210">
        <v>32</v>
      </c>
      <c r="F17" s="210">
        <v>28</v>
      </c>
      <c r="G17" s="210"/>
      <c r="H17" s="210"/>
      <c r="I17" s="210"/>
      <c r="J17" s="210"/>
      <c r="K17" s="210"/>
      <c r="L17" s="210"/>
      <c r="M17" s="210"/>
      <c r="N17" s="210"/>
      <c r="O17" s="211">
        <f t="shared" si="0"/>
        <v>32</v>
      </c>
      <c r="P17" s="210">
        <v>35</v>
      </c>
      <c r="Q17" s="210">
        <v>30</v>
      </c>
      <c r="R17" s="210">
        <v>30</v>
      </c>
      <c r="S17" s="210">
        <v>33</v>
      </c>
      <c r="T17" s="210">
        <v>30</v>
      </c>
      <c r="U17" s="210">
        <v>35</v>
      </c>
      <c r="V17" s="210"/>
      <c r="W17" s="210"/>
      <c r="X17" s="210"/>
      <c r="Y17" s="210"/>
      <c r="Z17" s="212"/>
      <c r="AA17" s="213">
        <v>9</v>
      </c>
      <c r="AB17" s="214">
        <f t="shared" si="1"/>
        <v>32</v>
      </c>
      <c r="AC17" s="210">
        <v>5</v>
      </c>
      <c r="AD17" s="210">
        <v>5</v>
      </c>
      <c r="AE17" s="220">
        <f t="shared" si="2"/>
        <v>10</v>
      </c>
      <c r="AF17" s="222" t="str">
        <f t="shared" si="3"/>
        <v>DP</v>
      </c>
      <c r="AG17" s="221">
        <f t="shared" si="4"/>
        <v>93</v>
      </c>
      <c r="AH17" s="325" t="str">
        <f t="shared" si="5"/>
        <v>APROBADO</v>
      </c>
      <c r="AI17" s="326"/>
      <c r="AJ17" s="326"/>
      <c r="AK17" s="326"/>
      <c r="AL17" s="326"/>
      <c r="AM17" s="327"/>
      <c r="AN17" s="230"/>
      <c r="AO17" s="230"/>
      <c r="AP17" s="230"/>
      <c r="AQ17" s="230"/>
      <c r="AR17" s="230"/>
    </row>
    <row r="18" spans="1:44" s="215" customFormat="1" ht="12" customHeight="1">
      <c r="A18" s="206">
        <v>10</v>
      </c>
      <c r="B18" s="207" t="str">
        <f>'C. FILIACION'!B17</f>
        <v>PASTOR CONDARCO STEVE DAVID</v>
      </c>
      <c r="C18" s="208">
        <f>'ASIS 3 TRIM'!BJ17</f>
        <v>7.2727272727272725</v>
      </c>
      <c r="D18" s="209">
        <v>10</v>
      </c>
      <c r="E18" s="210">
        <v>21</v>
      </c>
      <c r="F18" s="210">
        <v>18</v>
      </c>
      <c r="G18" s="210"/>
      <c r="H18" s="210"/>
      <c r="I18" s="210"/>
      <c r="J18" s="210"/>
      <c r="K18" s="210"/>
      <c r="L18" s="210"/>
      <c r="M18" s="210"/>
      <c r="N18" s="210"/>
      <c r="O18" s="211">
        <f t="shared" si="0"/>
        <v>16</v>
      </c>
      <c r="P18" s="210">
        <v>10</v>
      </c>
      <c r="Q18" s="210">
        <v>10</v>
      </c>
      <c r="R18" s="210">
        <v>30</v>
      </c>
      <c r="S18" s="210">
        <v>10</v>
      </c>
      <c r="T18" s="210">
        <v>25</v>
      </c>
      <c r="U18" s="210">
        <v>23</v>
      </c>
      <c r="V18" s="210"/>
      <c r="W18" s="210"/>
      <c r="X18" s="210"/>
      <c r="Y18" s="210"/>
      <c r="Z18" s="212"/>
      <c r="AA18" s="213">
        <v>7</v>
      </c>
      <c r="AB18" s="214">
        <f t="shared" si="1"/>
        <v>18</v>
      </c>
      <c r="AC18" s="210">
        <v>4</v>
      </c>
      <c r="AD18" s="210">
        <v>3</v>
      </c>
      <c r="AE18" s="220">
        <f t="shared" si="2"/>
        <v>7</v>
      </c>
      <c r="AF18" s="222" t="str">
        <f t="shared" si="3"/>
        <v>DA</v>
      </c>
      <c r="AG18" s="221">
        <v>55</v>
      </c>
      <c r="AH18" s="325" t="str">
        <f t="shared" si="5"/>
        <v>APROBADO</v>
      </c>
      <c r="AI18" s="326"/>
      <c r="AJ18" s="326"/>
      <c r="AK18" s="326"/>
      <c r="AL18" s="326"/>
      <c r="AM18" s="327"/>
      <c r="AN18" s="230"/>
      <c r="AO18" s="230"/>
      <c r="AP18" s="230"/>
      <c r="AQ18" s="230"/>
      <c r="AR18" s="230"/>
    </row>
    <row r="19" spans="1:44" ht="12" customHeight="1">
      <c r="A19" s="206">
        <v>11</v>
      </c>
      <c r="B19" s="207" t="str">
        <f>'C. FILIACION'!B18</f>
        <v>ROJAS MAMANI JERUSALEN LOURDES</v>
      </c>
      <c r="C19" s="208">
        <f>'ASIS 3 TRIM'!BJ18</f>
        <v>10</v>
      </c>
      <c r="D19" s="209">
        <v>30</v>
      </c>
      <c r="E19" s="210">
        <v>24</v>
      </c>
      <c r="F19" s="210">
        <v>25</v>
      </c>
      <c r="G19" s="210"/>
      <c r="H19" s="210"/>
      <c r="I19" s="210"/>
      <c r="J19" s="210"/>
      <c r="K19" s="210"/>
      <c r="L19" s="210"/>
      <c r="M19" s="210"/>
      <c r="N19" s="210"/>
      <c r="O19" s="211">
        <f t="shared" si="0"/>
        <v>26</v>
      </c>
      <c r="P19" s="210">
        <v>35</v>
      </c>
      <c r="Q19" s="210">
        <v>30</v>
      </c>
      <c r="R19" s="210">
        <v>35</v>
      </c>
      <c r="S19" s="210">
        <v>32</v>
      </c>
      <c r="T19" s="210">
        <v>35</v>
      </c>
      <c r="U19" s="210">
        <v>32</v>
      </c>
      <c r="V19" s="210"/>
      <c r="W19" s="210"/>
      <c r="X19" s="210"/>
      <c r="Y19" s="210"/>
      <c r="Z19" s="212"/>
      <c r="AA19" s="213">
        <v>9</v>
      </c>
      <c r="AB19" s="214">
        <f t="shared" si="1"/>
        <v>33</v>
      </c>
      <c r="AC19" s="210">
        <v>5</v>
      </c>
      <c r="AD19" s="210">
        <v>5</v>
      </c>
      <c r="AE19" s="220">
        <f t="shared" si="2"/>
        <v>10</v>
      </c>
      <c r="AF19" s="222" t="str">
        <f t="shared" si="3"/>
        <v>DP</v>
      </c>
      <c r="AG19" s="221">
        <f t="shared" si="4"/>
        <v>88</v>
      </c>
      <c r="AH19" s="325" t="str">
        <f t="shared" si="5"/>
        <v>APROBADO</v>
      </c>
      <c r="AI19" s="326"/>
      <c r="AJ19" s="326"/>
      <c r="AK19" s="326"/>
      <c r="AL19" s="326"/>
      <c r="AM19" s="327"/>
      <c r="AN19" s="230"/>
      <c r="AO19" s="230"/>
      <c r="AP19" s="230"/>
      <c r="AQ19" s="230"/>
      <c r="AR19" s="230"/>
    </row>
    <row r="20" spans="1:44" ht="12" customHeight="1">
      <c r="A20" s="206">
        <v>12</v>
      </c>
      <c r="B20" s="207" t="str">
        <f>'C. FILIACION'!B19</f>
        <v>SALAS ROJAS LUCIANA ANTONELLA</v>
      </c>
      <c r="C20" s="208">
        <f>'ASIS 3 TRIM'!BJ19</f>
        <v>10</v>
      </c>
      <c r="D20" s="209">
        <v>20</v>
      </c>
      <c r="E20" s="210">
        <v>21</v>
      </c>
      <c r="F20" s="210">
        <v>24</v>
      </c>
      <c r="G20" s="210"/>
      <c r="H20" s="210"/>
      <c r="I20" s="210"/>
      <c r="J20" s="210"/>
      <c r="K20" s="210"/>
      <c r="L20" s="210"/>
      <c r="M20" s="210"/>
      <c r="N20" s="210"/>
      <c r="O20" s="211">
        <f t="shared" si="0"/>
        <v>22</v>
      </c>
      <c r="P20" s="210">
        <v>10</v>
      </c>
      <c r="Q20" s="210">
        <v>10</v>
      </c>
      <c r="R20" s="210">
        <v>35</v>
      </c>
      <c r="S20" s="210">
        <v>18</v>
      </c>
      <c r="T20" s="210">
        <v>25</v>
      </c>
      <c r="U20" s="210">
        <v>20</v>
      </c>
      <c r="V20" s="210"/>
      <c r="W20" s="210"/>
      <c r="X20" s="210"/>
      <c r="Y20" s="210"/>
      <c r="Z20" s="212"/>
      <c r="AA20" s="213">
        <v>7</v>
      </c>
      <c r="AB20" s="214">
        <f t="shared" si="1"/>
        <v>20</v>
      </c>
      <c r="AC20" s="210">
        <v>5</v>
      </c>
      <c r="AD20" s="210">
        <v>4</v>
      </c>
      <c r="AE20" s="220">
        <f t="shared" si="2"/>
        <v>9</v>
      </c>
      <c r="AF20" s="222" t="str">
        <f t="shared" si="3"/>
        <v>DO</v>
      </c>
      <c r="AG20" s="221">
        <f t="shared" si="4"/>
        <v>68</v>
      </c>
      <c r="AH20" s="325" t="str">
        <f t="shared" si="5"/>
        <v>APROBADO</v>
      </c>
      <c r="AI20" s="326"/>
      <c r="AJ20" s="326"/>
      <c r="AK20" s="326"/>
      <c r="AL20" s="326"/>
      <c r="AM20" s="327"/>
      <c r="AN20" s="230"/>
      <c r="AO20" s="230"/>
      <c r="AP20" s="230"/>
      <c r="AQ20" s="230"/>
      <c r="AR20" s="230"/>
    </row>
    <row r="21" spans="1:44" ht="12" customHeight="1">
      <c r="A21" s="206">
        <v>13</v>
      </c>
      <c r="B21" s="207" t="str">
        <f>'C. FILIACION'!B20</f>
        <v>SANTOS CRUZ ROYER JOEL</v>
      </c>
      <c r="C21" s="208">
        <f>'ASIS 3 TRIM'!BJ20</f>
        <v>10</v>
      </c>
      <c r="D21" s="209">
        <v>18</v>
      </c>
      <c r="E21" s="210">
        <v>30</v>
      </c>
      <c r="F21" s="210">
        <v>35</v>
      </c>
      <c r="G21" s="210"/>
      <c r="H21" s="210"/>
      <c r="I21" s="210"/>
      <c r="J21" s="210"/>
      <c r="K21" s="210"/>
      <c r="L21" s="210"/>
      <c r="M21" s="210"/>
      <c r="N21" s="210"/>
      <c r="O21" s="211">
        <f t="shared" si="0"/>
        <v>28</v>
      </c>
      <c r="P21" s="210">
        <v>35</v>
      </c>
      <c r="Q21" s="210">
        <v>35</v>
      </c>
      <c r="R21" s="210">
        <v>30</v>
      </c>
      <c r="S21" s="210">
        <v>33</v>
      </c>
      <c r="T21" s="210">
        <v>35</v>
      </c>
      <c r="U21" s="210">
        <v>28</v>
      </c>
      <c r="V21" s="210"/>
      <c r="W21" s="210"/>
      <c r="X21" s="210"/>
      <c r="Y21" s="210"/>
      <c r="Z21" s="212"/>
      <c r="AA21" s="213">
        <v>10</v>
      </c>
      <c r="AB21" s="214">
        <f t="shared" si="1"/>
        <v>33</v>
      </c>
      <c r="AC21" s="210">
        <v>4</v>
      </c>
      <c r="AD21" s="210">
        <v>4</v>
      </c>
      <c r="AE21" s="220">
        <f t="shared" si="2"/>
        <v>8</v>
      </c>
      <c r="AF21" s="222" t="str">
        <f t="shared" si="3"/>
        <v>DP</v>
      </c>
      <c r="AG21" s="221">
        <f t="shared" si="4"/>
        <v>89</v>
      </c>
      <c r="AH21" s="325" t="str">
        <f t="shared" si="5"/>
        <v>APROBADO</v>
      </c>
      <c r="AI21" s="326"/>
      <c r="AJ21" s="326"/>
      <c r="AK21" s="326"/>
      <c r="AL21" s="326"/>
      <c r="AM21" s="327"/>
      <c r="AN21" s="230"/>
      <c r="AO21" s="230"/>
      <c r="AP21" s="230"/>
      <c r="AQ21" s="230"/>
      <c r="AR21" s="230"/>
    </row>
    <row r="22" spans="1:44" s="205" customFormat="1" ht="12" customHeight="1">
      <c r="A22" s="206">
        <v>14</v>
      </c>
      <c r="B22" s="207" t="str">
        <f>'C. FILIACION'!B21</f>
        <v>TICONA LOAYZA ARIADNE VALERIA</v>
      </c>
      <c r="C22" s="208">
        <f>'ASIS 3 TRIM'!BJ21</f>
        <v>10</v>
      </c>
      <c r="D22" s="209">
        <v>19</v>
      </c>
      <c r="E22" s="210">
        <v>25</v>
      </c>
      <c r="F22" s="210">
        <v>19</v>
      </c>
      <c r="G22" s="210"/>
      <c r="H22" s="210"/>
      <c r="I22" s="210"/>
      <c r="J22" s="210"/>
      <c r="K22" s="210"/>
      <c r="L22" s="210"/>
      <c r="M22" s="210"/>
      <c r="N22" s="210"/>
      <c r="O22" s="211">
        <f t="shared" si="0"/>
        <v>21</v>
      </c>
      <c r="P22" s="210">
        <v>25</v>
      </c>
      <c r="Q22" s="210">
        <v>25</v>
      </c>
      <c r="R22" s="210">
        <v>10</v>
      </c>
      <c r="S22" s="210">
        <v>10</v>
      </c>
      <c r="T22" s="210">
        <v>25</v>
      </c>
      <c r="U22" s="210">
        <v>28</v>
      </c>
      <c r="V22" s="210"/>
      <c r="W22" s="210"/>
      <c r="X22" s="210"/>
      <c r="Y22" s="210"/>
      <c r="Z22" s="212"/>
      <c r="AA22" s="213">
        <f t="shared" si="6"/>
        <v>6</v>
      </c>
      <c r="AB22" s="214">
        <f t="shared" si="1"/>
        <v>21</v>
      </c>
      <c r="AC22" s="210">
        <v>4</v>
      </c>
      <c r="AD22" s="210">
        <v>3</v>
      </c>
      <c r="AE22" s="220">
        <f t="shared" si="2"/>
        <v>7</v>
      </c>
      <c r="AF22" s="222" t="str">
        <f t="shared" si="3"/>
        <v>DA</v>
      </c>
      <c r="AG22" s="221">
        <f t="shared" si="4"/>
        <v>65</v>
      </c>
      <c r="AH22" s="325" t="str">
        <f t="shared" si="5"/>
        <v>APROBADO</v>
      </c>
      <c r="AI22" s="326"/>
      <c r="AJ22" s="326"/>
      <c r="AK22" s="326"/>
      <c r="AL22" s="326"/>
      <c r="AM22" s="327"/>
      <c r="AN22" s="230"/>
      <c r="AO22" s="230"/>
      <c r="AP22" s="230"/>
      <c r="AQ22" s="230"/>
      <c r="AR22" s="230"/>
    </row>
    <row r="23" spans="1:44" s="217" customFormat="1" ht="12" customHeight="1" thickBot="1">
      <c r="A23" s="206">
        <v>15</v>
      </c>
      <c r="B23" s="207" t="str">
        <f>'C. FILIACION'!B22</f>
        <v>ZEBALLOS DEL CARPIO AMIRA MERCEDES</v>
      </c>
      <c r="C23" s="219">
        <f>'ASIS 3 TRIM'!BJ22</f>
        <v>9.0909090909090917</v>
      </c>
      <c r="D23" s="209">
        <v>35</v>
      </c>
      <c r="E23" s="210">
        <v>31</v>
      </c>
      <c r="F23" s="210">
        <v>35</v>
      </c>
      <c r="G23" s="210"/>
      <c r="H23" s="210"/>
      <c r="I23" s="210"/>
      <c r="J23" s="210"/>
      <c r="K23" s="210"/>
      <c r="L23" s="210"/>
      <c r="M23" s="210"/>
      <c r="N23" s="210"/>
      <c r="O23" s="211">
        <f t="shared" si="0"/>
        <v>34</v>
      </c>
      <c r="P23" s="210">
        <v>15</v>
      </c>
      <c r="Q23" s="210">
        <v>35</v>
      </c>
      <c r="R23" s="210">
        <v>35</v>
      </c>
      <c r="S23" s="210">
        <v>25</v>
      </c>
      <c r="T23" s="210">
        <v>35</v>
      </c>
      <c r="U23" s="210">
        <v>30</v>
      </c>
      <c r="V23" s="210"/>
      <c r="W23" s="210"/>
      <c r="X23" s="210"/>
      <c r="Y23" s="210"/>
      <c r="Z23" s="212"/>
      <c r="AA23" s="213">
        <f t="shared" si="6"/>
        <v>9</v>
      </c>
      <c r="AB23" s="214">
        <f t="shared" si="1"/>
        <v>29</v>
      </c>
      <c r="AC23" s="210">
        <v>4</v>
      </c>
      <c r="AD23" s="210">
        <v>4</v>
      </c>
      <c r="AE23" s="220">
        <f t="shared" si="2"/>
        <v>8</v>
      </c>
      <c r="AF23" s="222" t="str">
        <f t="shared" si="3"/>
        <v>DP</v>
      </c>
      <c r="AG23" s="221">
        <v>89</v>
      </c>
      <c r="AH23" s="325" t="str">
        <f t="shared" si="5"/>
        <v>APROBADO</v>
      </c>
      <c r="AI23" s="326"/>
      <c r="AJ23" s="326"/>
      <c r="AK23" s="326"/>
      <c r="AL23" s="326"/>
      <c r="AM23" s="327"/>
      <c r="AN23" s="230"/>
      <c r="AO23" s="230"/>
      <c r="AP23" s="230"/>
      <c r="AQ23" s="230"/>
      <c r="AR23" s="230"/>
    </row>
    <row r="24" spans="1:44" ht="12" customHeight="1">
      <c r="A24" s="59">
        <v>16</v>
      </c>
      <c r="B24" s="93">
        <f>'C. FILIACION'!B23</f>
        <v>0</v>
      </c>
      <c r="C24" s="197">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197">
        <v>10</v>
      </c>
      <c r="AB24" s="95">
        <f t="shared" si="1"/>
        <v>35</v>
      </c>
      <c r="AC24" s="31">
        <v>5</v>
      </c>
      <c r="AD24" s="31">
        <v>5</v>
      </c>
      <c r="AE24" s="95">
        <f t="shared" si="2"/>
        <v>10</v>
      </c>
      <c r="AF24" s="96" t="str">
        <f t="shared" si="3"/>
        <v>DP</v>
      </c>
      <c r="AG24" s="95">
        <f t="shared" si="4"/>
        <v>100</v>
      </c>
      <c r="AH24" s="298" t="str">
        <f t="shared" si="5"/>
        <v>APROBADO</v>
      </c>
      <c r="AI24" s="299"/>
      <c r="AJ24" s="299"/>
      <c r="AK24" s="299"/>
      <c r="AL24" s="299"/>
      <c r="AM24" s="300"/>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98" t="str">
        <f t="shared" si="5"/>
        <v>APROBADO</v>
      </c>
      <c r="AI25" s="299"/>
      <c r="AJ25" s="299"/>
      <c r="AK25" s="299"/>
      <c r="AL25" s="299"/>
      <c r="AM25" s="300"/>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98" t="str">
        <f t="shared" si="5"/>
        <v>APROBADO</v>
      </c>
      <c r="AI26" s="299"/>
      <c r="AJ26" s="299"/>
      <c r="AK26" s="299"/>
      <c r="AL26" s="299"/>
      <c r="AM26" s="300"/>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98" t="str">
        <f t="shared" si="5"/>
        <v>APROBADO</v>
      </c>
      <c r="AI27" s="299"/>
      <c r="AJ27" s="299"/>
      <c r="AK27" s="299"/>
      <c r="AL27" s="299"/>
      <c r="AM27" s="300"/>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98" t="str">
        <f t="shared" si="5"/>
        <v>APROBADO</v>
      </c>
      <c r="AI28" s="299"/>
      <c r="AJ28" s="299"/>
      <c r="AK28" s="299"/>
      <c r="AL28" s="299"/>
      <c r="AM28" s="300"/>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98" t="str">
        <f t="shared" si="5"/>
        <v>APROBADO</v>
      </c>
      <c r="AI29" s="299"/>
      <c r="AJ29" s="299"/>
      <c r="AK29" s="299"/>
      <c r="AL29" s="299"/>
      <c r="AM29" s="300"/>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98" t="str">
        <f t="shared" si="5"/>
        <v>APROBADO</v>
      </c>
      <c r="AI30" s="299"/>
      <c r="AJ30" s="299"/>
      <c r="AK30" s="299"/>
      <c r="AL30" s="299"/>
      <c r="AM30" s="300"/>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98" t="str">
        <f t="shared" si="5"/>
        <v>APROBADO</v>
      </c>
      <c r="AI31" s="299"/>
      <c r="AJ31" s="299"/>
      <c r="AK31" s="299"/>
      <c r="AL31" s="299"/>
      <c r="AM31" s="300"/>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98" t="str">
        <f t="shared" si="5"/>
        <v>APROBADO</v>
      </c>
      <c r="AI32" s="299"/>
      <c r="AJ32" s="299"/>
      <c r="AK32" s="299"/>
      <c r="AL32" s="299"/>
      <c r="AM32" s="300"/>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98" t="str">
        <f t="shared" si="5"/>
        <v>APROBADO</v>
      </c>
      <c r="AI33" s="299"/>
      <c r="AJ33" s="299"/>
      <c r="AK33" s="299"/>
      <c r="AL33" s="299"/>
      <c r="AM33" s="300"/>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98" t="str">
        <f t="shared" si="5"/>
        <v>APROBADO</v>
      </c>
      <c r="AI34" s="299"/>
      <c r="AJ34" s="299"/>
      <c r="AK34" s="299"/>
      <c r="AL34" s="299"/>
      <c r="AM34" s="300"/>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98" t="str">
        <f t="shared" si="5"/>
        <v>APROBADO</v>
      </c>
      <c r="AI35" s="299"/>
      <c r="AJ35" s="299"/>
      <c r="AK35" s="299"/>
      <c r="AL35" s="299"/>
      <c r="AM35" s="300"/>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98" t="str">
        <f t="shared" si="5"/>
        <v>APROBADO</v>
      </c>
      <c r="AI36" s="299"/>
      <c r="AJ36" s="299"/>
      <c r="AK36" s="299"/>
      <c r="AL36" s="299"/>
      <c r="AM36" s="300"/>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98" t="str">
        <f t="shared" si="5"/>
        <v>APROBADO</v>
      </c>
      <c r="AI37" s="299"/>
      <c r="AJ37" s="299"/>
      <c r="AK37" s="299"/>
      <c r="AL37" s="299"/>
      <c r="AM37" s="300"/>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98" t="str">
        <f t="shared" si="5"/>
        <v>APROBADO</v>
      </c>
      <c r="AI38" s="299"/>
      <c r="AJ38" s="299"/>
      <c r="AK38" s="299"/>
      <c r="AL38" s="299"/>
      <c r="AM38" s="300"/>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98" t="str">
        <f t="shared" si="5"/>
        <v>APROBADO</v>
      </c>
      <c r="AI39" s="299"/>
      <c r="AJ39" s="299"/>
      <c r="AK39" s="299"/>
      <c r="AL39" s="299"/>
      <c r="AM39" s="300"/>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98" t="str">
        <f t="shared" si="5"/>
        <v>APROBADO</v>
      </c>
      <c r="AI40" s="299"/>
      <c r="AJ40" s="299"/>
      <c r="AK40" s="299"/>
      <c r="AL40" s="299"/>
      <c r="AM40" s="300"/>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98" t="str">
        <f t="shared" si="5"/>
        <v>APROBADO</v>
      </c>
      <c r="AI41" s="299"/>
      <c r="AJ41" s="299"/>
      <c r="AK41" s="299"/>
      <c r="AL41" s="299"/>
      <c r="AM41" s="300"/>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98" t="str">
        <f t="shared" si="5"/>
        <v>APROBADO</v>
      </c>
      <c r="AI42" s="299"/>
      <c r="AJ42" s="299"/>
      <c r="AK42" s="299"/>
      <c r="AL42" s="299"/>
      <c r="AM42" s="300"/>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98" t="str">
        <f t="shared" si="5"/>
        <v>APROBADO</v>
      </c>
      <c r="AI43" s="299"/>
      <c r="AJ43" s="299"/>
      <c r="AK43" s="299"/>
      <c r="AL43" s="299"/>
      <c r="AM43" s="300"/>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98" t="str">
        <f t="shared" si="5"/>
        <v>APROBADO</v>
      </c>
      <c r="AI44" s="299"/>
      <c r="AJ44" s="299"/>
      <c r="AK44" s="299"/>
      <c r="AL44" s="299"/>
      <c r="AM44" s="300"/>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23622047244094491" right="1.2204724409448819" top="0.74803149606299213" bottom="0.74803149606299213" header="0.31496062992125984" footer="0.31496062992125984"/>
  <pageSetup scale="7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C1000"/>
  <sheetViews>
    <sheetView workbookViewId="0">
      <selection activeCell="Y23" sqref="A1:Y23"/>
    </sheetView>
  </sheetViews>
  <sheetFormatPr baseColWidth="10" defaultColWidth="9.1328125" defaultRowHeight="15" customHeight="1"/>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9" ht="4.5" customHeight="1"/>
    <row r="2" spans="1:29" ht="12.75" customHeight="1">
      <c r="B2" s="251" t="s">
        <v>97</v>
      </c>
      <c r="C2" s="247"/>
      <c r="D2" s="247"/>
      <c r="E2" s="247"/>
      <c r="F2" s="247"/>
      <c r="G2" s="247"/>
      <c r="H2" s="247"/>
      <c r="I2" s="247"/>
      <c r="J2" s="247"/>
      <c r="K2" s="247"/>
      <c r="L2" s="247"/>
      <c r="M2" s="247"/>
      <c r="N2" s="247"/>
      <c r="O2" s="247"/>
      <c r="P2" s="247"/>
      <c r="Q2" s="247"/>
      <c r="R2" s="247"/>
      <c r="S2" s="247"/>
      <c r="T2" s="247"/>
      <c r="U2" s="247"/>
      <c r="V2" s="247"/>
      <c r="W2" s="247"/>
      <c r="X2" s="247"/>
      <c r="Y2" s="73"/>
      <c r="Z2" s="73"/>
      <c r="AA2" s="73"/>
      <c r="AB2" s="73"/>
    </row>
    <row r="3" spans="1:29"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9"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9"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65">
        <f ca="1">TODAY()</f>
        <v>44545</v>
      </c>
      <c r="V5" s="247"/>
      <c r="W5" s="247"/>
      <c r="X5" s="247"/>
    </row>
    <row r="6" spans="1:29" ht="12.75" customHeight="1">
      <c r="B6" s="39"/>
      <c r="C6" s="336" t="s">
        <v>4</v>
      </c>
      <c r="D6" s="299"/>
      <c r="E6" s="299"/>
      <c r="F6" s="299"/>
      <c r="G6" s="299"/>
      <c r="H6" s="300"/>
      <c r="I6" s="336" t="s">
        <v>10</v>
      </c>
      <c r="J6" s="299"/>
      <c r="K6" s="299"/>
      <c r="L6" s="299"/>
      <c r="M6" s="299"/>
      <c r="N6" s="300"/>
      <c r="O6" s="336" t="s">
        <v>16</v>
      </c>
      <c r="P6" s="299"/>
      <c r="Q6" s="299"/>
      <c r="R6" s="299"/>
      <c r="S6" s="299"/>
      <c r="T6" s="300"/>
      <c r="U6" s="341" t="s">
        <v>98</v>
      </c>
      <c r="V6" s="337" t="s">
        <v>99</v>
      </c>
      <c r="W6" s="68"/>
      <c r="X6" s="68"/>
    </row>
    <row r="7" spans="1:29" ht="12" customHeight="1">
      <c r="B7" s="48"/>
      <c r="C7" s="339"/>
      <c r="D7" s="299"/>
      <c r="E7" s="299"/>
      <c r="F7" s="299"/>
      <c r="G7" s="300"/>
      <c r="H7" s="340" t="s">
        <v>100</v>
      </c>
      <c r="I7" s="339"/>
      <c r="J7" s="299"/>
      <c r="K7" s="299"/>
      <c r="L7" s="299"/>
      <c r="M7" s="300"/>
      <c r="N7" s="340" t="s">
        <v>100</v>
      </c>
      <c r="O7" s="339"/>
      <c r="P7" s="299"/>
      <c r="Q7" s="299"/>
      <c r="R7" s="299"/>
      <c r="S7" s="300"/>
      <c r="T7" s="313" t="s">
        <v>100</v>
      </c>
      <c r="U7" s="338"/>
      <c r="V7" s="338"/>
      <c r="W7" s="41"/>
      <c r="X7" s="41"/>
    </row>
    <row r="8" spans="1:29" ht="67.5" customHeight="1">
      <c r="A8" s="49" t="s">
        <v>53</v>
      </c>
      <c r="B8" s="50" t="s">
        <v>54</v>
      </c>
      <c r="C8" s="101" t="s">
        <v>75</v>
      </c>
      <c r="D8" s="102" t="s">
        <v>76</v>
      </c>
      <c r="E8" s="102" t="s">
        <v>78</v>
      </c>
      <c r="F8" s="102" t="s">
        <v>79</v>
      </c>
      <c r="G8" s="102" t="s">
        <v>101</v>
      </c>
      <c r="H8" s="303"/>
      <c r="I8" s="101" t="s">
        <v>75</v>
      </c>
      <c r="J8" s="102" t="s">
        <v>76</v>
      </c>
      <c r="K8" s="102" t="s">
        <v>78</v>
      </c>
      <c r="L8" s="102" t="s">
        <v>79</v>
      </c>
      <c r="M8" s="102" t="s">
        <v>101</v>
      </c>
      <c r="N8" s="303"/>
      <c r="O8" s="101" t="s">
        <v>75</v>
      </c>
      <c r="P8" s="102" t="s">
        <v>76</v>
      </c>
      <c r="Q8" s="102" t="s">
        <v>78</v>
      </c>
      <c r="R8" s="102" t="s">
        <v>79</v>
      </c>
      <c r="S8" s="102" t="s">
        <v>101</v>
      </c>
      <c r="T8" s="303"/>
      <c r="U8" s="303"/>
      <c r="V8" s="303"/>
      <c r="W8" s="103"/>
      <c r="X8" s="103"/>
    </row>
    <row r="9" spans="1:29" ht="12" customHeight="1">
      <c r="A9" s="59">
        <v>1</v>
      </c>
      <c r="B9" s="60" t="str">
        <f>'C. FILIACION'!B8</f>
        <v>ARANCIBIA ARRAYA LUIS ANDRES</v>
      </c>
      <c r="C9" s="31">
        <f>'VAL 1 TRIM '!C9</f>
        <v>10</v>
      </c>
      <c r="D9" s="31">
        <f>'VAL 1 TRIM '!O9</f>
        <v>24</v>
      </c>
      <c r="E9" s="31">
        <f>'VAL 1 TRIM '!AB9</f>
        <v>25</v>
      </c>
      <c r="F9" s="31">
        <f>'VAL 1 TRIM '!AE9</f>
        <v>7</v>
      </c>
      <c r="G9" s="31">
        <f>'VAL 1 TRIM '!AE9</f>
        <v>7</v>
      </c>
      <c r="H9" s="104">
        <f>'VAL 1 TRIM '!AG9</f>
        <v>74</v>
      </c>
      <c r="I9" s="31">
        <f>'VAL 2 TRIM'!C10</f>
        <v>9.2307692307692299</v>
      </c>
      <c r="J9" s="31">
        <f>'VAL 2 TRIM'!O9</f>
        <v>25</v>
      </c>
      <c r="K9" s="31">
        <f>'VAL 2 TRIM'!AB9</f>
        <v>18</v>
      </c>
      <c r="L9" s="31">
        <f>'VAL 2 TRIM'!AA9</f>
        <v>10</v>
      </c>
      <c r="M9" s="31">
        <f>'VAL 2 TRIM'!AE9</f>
        <v>6</v>
      </c>
      <c r="N9" s="104">
        <f>'VAL 2 TRIM'!AG9</f>
        <v>68.230769230769226</v>
      </c>
      <c r="O9" s="31">
        <f>'VAL 3 TRIM'!C9</f>
        <v>10</v>
      </c>
      <c r="P9" s="31">
        <f>'VAL 3 TRIM'!O9</f>
        <v>19</v>
      </c>
      <c r="Q9" s="31">
        <f>'VAL 3 TRIM'!AB9</f>
        <v>23</v>
      </c>
      <c r="R9" s="31">
        <f>'VAL 3 TRIM'!AA9</f>
        <v>6</v>
      </c>
      <c r="S9" s="31">
        <f>'VAL 3 TRIM'!AE9</f>
        <v>4</v>
      </c>
      <c r="T9" s="104">
        <f>'VAL 3 TRIM'!AG9</f>
        <v>62</v>
      </c>
      <c r="U9" s="232">
        <f t="shared" ref="U9:U44" si="0">AVERAGE(H9,N9,T9)</f>
        <v>68.07692307692308</v>
      </c>
      <c r="V9" s="106" t="str">
        <f t="shared" ref="V9:V44" si="1">IF(U9="","",(IF(AND(U9&gt;=1,U9&lt;=50.499),"REPROBADO",IF(AND(U9&gt;=50.5,U9&lt;=100),"APROBADO"))))</f>
        <v>APROBADO</v>
      </c>
      <c r="W9" s="107"/>
      <c r="X9" s="107"/>
    </row>
    <row r="10" spans="1:29" ht="12" customHeight="1">
      <c r="A10" s="59">
        <v>2</v>
      </c>
      <c r="B10" s="60" t="str">
        <f>'C. FILIACION'!B9</f>
        <v>ARIVIRI ALEXIS JHONATAN</v>
      </c>
      <c r="C10" s="49">
        <f>'VAL 1 TRIM '!C10</f>
        <v>10</v>
      </c>
      <c r="D10" s="49">
        <f>'VAL 1 TRIM '!O10</f>
        <v>13</v>
      </c>
      <c r="E10" s="49">
        <f>'VAL 1 TRIM '!AB10</f>
        <v>17</v>
      </c>
      <c r="F10" s="49">
        <f>'VAL 1 TRIM '!AE10</f>
        <v>4</v>
      </c>
      <c r="G10" s="49">
        <f>'VAL 1 TRIM '!AE10</f>
        <v>4</v>
      </c>
      <c r="H10" s="104">
        <f>'VAL 1 TRIM '!AG10</f>
        <v>51</v>
      </c>
      <c r="I10" s="31">
        <f>'VAL 2 TRIM'!C11</f>
        <v>8.3333333333333339</v>
      </c>
      <c r="J10" s="31">
        <f>'VAL 2 TRIM'!O10</f>
        <v>15</v>
      </c>
      <c r="K10" s="31">
        <f>'VAL 2 TRIM'!AB10</f>
        <v>16</v>
      </c>
      <c r="L10" s="31">
        <f>'VAL 2 TRIM'!AA10</f>
        <v>8</v>
      </c>
      <c r="M10" s="31">
        <f>'VAL 2 TRIM'!AE10</f>
        <v>6</v>
      </c>
      <c r="N10" s="104">
        <f>'VAL 2 TRIM'!AG10</f>
        <v>53.333333333333336</v>
      </c>
      <c r="O10" s="31">
        <f>'VAL 3 TRIM'!C10</f>
        <v>7.2727272727272725</v>
      </c>
      <c r="P10" s="31">
        <f>'VAL 3 TRIM'!O10</f>
        <v>14</v>
      </c>
      <c r="Q10" s="31">
        <f>'VAL 3 TRIM'!AB10</f>
        <v>18</v>
      </c>
      <c r="R10" s="31">
        <f>'VAL 3 TRIM'!AA10</f>
        <v>4.5714285714285712</v>
      </c>
      <c r="S10" s="49">
        <f>'VAL 3 TRIM'!AE10</f>
        <v>7</v>
      </c>
      <c r="T10" s="104">
        <f>'VAL 3 TRIM'!AG10</f>
        <v>51</v>
      </c>
      <c r="U10" s="232">
        <f t="shared" si="0"/>
        <v>51.777777777777779</v>
      </c>
      <c r="V10" s="106" t="str">
        <f t="shared" si="1"/>
        <v>APROBADO</v>
      </c>
      <c r="W10" s="107"/>
      <c r="X10" s="107"/>
      <c r="AC10" s="192"/>
    </row>
    <row r="11" spans="1:29" ht="12" customHeight="1">
      <c r="A11" s="59">
        <v>3</v>
      </c>
      <c r="B11" s="60" t="str">
        <f>'C. FILIACION'!B10</f>
        <v>BASCOPE LOPEZ JHYMMY ANGHELO</v>
      </c>
      <c r="C11" s="49">
        <f>'VAL 1 TRIM '!C11</f>
        <v>10</v>
      </c>
      <c r="D11" s="49">
        <f>'VAL 1 TRIM '!O11</f>
        <v>19</v>
      </c>
      <c r="E11" s="49">
        <f>'VAL 1 TRIM '!AB11</f>
        <v>18</v>
      </c>
      <c r="F11" s="49">
        <f>'VAL 1 TRIM '!AE11</f>
        <v>8</v>
      </c>
      <c r="G11" s="49">
        <f>'VAL 1 TRIM '!AE11</f>
        <v>8</v>
      </c>
      <c r="H11" s="104">
        <f>'VAL 1 TRIM '!AG11</f>
        <v>63</v>
      </c>
      <c r="I11" s="31">
        <f>'VAL 2 TRIM'!C12</f>
        <v>10</v>
      </c>
      <c r="J11" s="31">
        <f>'VAL 2 TRIM'!O11</f>
        <v>22</v>
      </c>
      <c r="K11" s="31">
        <f>'VAL 2 TRIM'!AB11</f>
        <v>23</v>
      </c>
      <c r="L11" s="31">
        <f>'VAL 2 TRIM'!AA11</f>
        <v>10</v>
      </c>
      <c r="M11" s="31">
        <f>'VAL 2 TRIM'!AE11</f>
        <v>6</v>
      </c>
      <c r="N11" s="104">
        <f>'VAL 2 TRIM'!AG11</f>
        <v>71</v>
      </c>
      <c r="O11" s="31">
        <f>'VAL 3 TRIM'!C11</f>
        <v>10</v>
      </c>
      <c r="P11" s="31">
        <f>'VAL 3 TRIM'!O11</f>
        <v>15</v>
      </c>
      <c r="Q11" s="31">
        <f>'VAL 3 TRIM'!AB11</f>
        <v>17</v>
      </c>
      <c r="R11" s="31">
        <f>'VAL 3 TRIM'!AA11</f>
        <v>4</v>
      </c>
      <c r="S11" s="49">
        <f>'VAL 3 TRIM'!AE11</f>
        <v>10</v>
      </c>
      <c r="T11" s="104">
        <f>'VAL 3 TRIM'!AG11</f>
        <v>56</v>
      </c>
      <c r="U11" s="232">
        <f t="shared" si="0"/>
        <v>63.333333333333336</v>
      </c>
      <c r="V11" s="106" t="str">
        <f t="shared" si="1"/>
        <v>APROBADO</v>
      </c>
      <c r="W11" s="107"/>
      <c r="X11" s="107"/>
    </row>
    <row r="12" spans="1:29" ht="12" customHeight="1">
      <c r="A12" s="59">
        <v>4</v>
      </c>
      <c r="B12" s="60" t="str">
        <f>'C. FILIACION'!B11</f>
        <v>BLANCO SALVATIERRA DANIELA MARGARITA</v>
      </c>
      <c r="C12" s="49">
        <f>'VAL 1 TRIM '!C12</f>
        <v>10</v>
      </c>
      <c r="D12" s="49">
        <f>'VAL 1 TRIM '!O12</f>
        <v>27</v>
      </c>
      <c r="E12" s="49">
        <f>'VAL 1 TRIM '!AB12</f>
        <v>32</v>
      </c>
      <c r="F12" s="49">
        <f>'VAL 1 TRIM '!AE12</f>
        <v>8</v>
      </c>
      <c r="G12" s="49">
        <f>'VAL 1 TRIM '!AE12</f>
        <v>8</v>
      </c>
      <c r="H12" s="104">
        <f>'VAL 1 TRIM '!AG12</f>
        <v>87</v>
      </c>
      <c r="I12" s="31">
        <f>'VAL 2 TRIM'!C13</f>
        <v>3.3333333333333335</v>
      </c>
      <c r="J12" s="31">
        <f>'VAL 2 TRIM'!O12</f>
        <v>28</v>
      </c>
      <c r="K12" s="31">
        <f>'VAL 2 TRIM'!AB12</f>
        <v>22</v>
      </c>
      <c r="L12" s="31">
        <f>'VAL 2 TRIM'!AA12</f>
        <v>10</v>
      </c>
      <c r="M12" s="31">
        <f>'VAL 2 TRIM'!AE12</f>
        <v>6</v>
      </c>
      <c r="N12" s="104">
        <f>'VAL 2 TRIM'!AG12</f>
        <v>69.333333333333329</v>
      </c>
      <c r="O12" s="31">
        <f>'VAL 3 TRIM'!C12</f>
        <v>10</v>
      </c>
      <c r="P12" s="31">
        <f>'VAL 3 TRIM'!O12</f>
        <v>24</v>
      </c>
      <c r="Q12" s="31">
        <f>'VAL 3 TRIM'!AB12</f>
        <v>31</v>
      </c>
      <c r="R12" s="31">
        <f>'VAL 3 TRIM'!AA12</f>
        <v>7.8571428571428568</v>
      </c>
      <c r="S12" s="49">
        <f>'VAL 3 TRIM'!AE12</f>
        <v>5</v>
      </c>
      <c r="T12" s="104">
        <f>'VAL 3 TRIM'!AG12</f>
        <v>78</v>
      </c>
      <c r="U12" s="232">
        <f t="shared" si="0"/>
        <v>78.1111111111111</v>
      </c>
      <c r="V12" s="106" t="str">
        <f t="shared" si="1"/>
        <v>APROBADO</v>
      </c>
      <c r="W12" s="107"/>
      <c r="X12" s="107"/>
    </row>
    <row r="13" spans="1:29" ht="12" customHeight="1">
      <c r="A13" s="59">
        <v>5</v>
      </c>
      <c r="B13" s="60" t="str">
        <f>'C. FILIACION'!B12</f>
        <v>DAVILA LAPACA DIEGO LEONEL</v>
      </c>
      <c r="C13" s="49">
        <f>'VAL 1 TRIM '!C13</f>
        <v>10</v>
      </c>
      <c r="D13" s="49">
        <f>'VAL 1 TRIM '!O13</f>
        <v>15</v>
      </c>
      <c r="E13" s="49">
        <f>'VAL 1 TRIM '!AB13</f>
        <v>15</v>
      </c>
      <c r="F13" s="49">
        <f>'VAL 1 TRIM '!AE13</f>
        <v>4</v>
      </c>
      <c r="G13" s="49">
        <f>'VAL 1 TRIM '!AE13</f>
        <v>4</v>
      </c>
      <c r="H13" s="104">
        <f>'VAL 1 TRIM '!AG13</f>
        <v>51</v>
      </c>
      <c r="I13" s="31">
        <f>'VAL 2 TRIM'!C14</f>
        <v>10</v>
      </c>
      <c r="J13" s="31">
        <f>'VAL 2 TRIM'!O13</f>
        <v>10</v>
      </c>
      <c r="K13" s="31">
        <f>'VAL 2 TRIM'!AB13</f>
        <v>3</v>
      </c>
      <c r="L13" s="31">
        <f>'VAL 2 TRIM'!AA13</f>
        <v>3</v>
      </c>
      <c r="M13" s="31">
        <f>'VAL 2 TRIM'!AE13</f>
        <v>5</v>
      </c>
      <c r="N13" s="104">
        <f>'VAL 2 TRIM'!AG13</f>
        <v>31</v>
      </c>
      <c r="O13" s="31">
        <f>'VAL 3 TRIM'!C13</f>
        <v>10</v>
      </c>
      <c r="P13" s="31">
        <f>'VAL 3 TRIM'!O13</f>
        <v>19</v>
      </c>
      <c r="Q13" s="31">
        <f>'VAL 3 TRIM'!AB13</f>
        <v>30</v>
      </c>
      <c r="R13" s="31">
        <f>'VAL 3 TRIM'!AA13</f>
        <v>7</v>
      </c>
      <c r="S13" s="49">
        <f>'VAL 3 TRIM'!AE13</f>
        <v>5</v>
      </c>
      <c r="T13" s="104">
        <f>'VAL 3 TRIM'!AG13</f>
        <v>71</v>
      </c>
      <c r="U13" s="232">
        <f t="shared" si="0"/>
        <v>51</v>
      </c>
      <c r="V13" s="106" t="str">
        <f t="shared" si="1"/>
        <v>APROBADO</v>
      </c>
      <c r="W13" s="107"/>
      <c r="X13" s="107"/>
    </row>
    <row r="14" spans="1:29" ht="12" customHeight="1">
      <c r="A14" s="59">
        <v>6</v>
      </c>
      <c r="B14" s="60" t="str">
        <f>'C. FILIACION'!B13</f>
        <v>ESCOBAR LAZO JHOSELIN MARCELA</v>
      </c>
      <c r="C14" s="49">
        <f>'VAL 1 TRIM '!C14</f>
        <v>10</v>
      </c>
      <c r="D14" s="49">
        <f>'VAL 1 TRIM '!O14</f>
        <v>30</v>
      </c>
      <c r="E14" s="49">
        <f>'VAL 1 TRIM '!AB14</f>
        <v>29</v>
      </c>
      <c r="F14" s="49">
        <f>'VAL 1 TRIM '!AE14</f>
        <v>9</v>
      </c>
      <c r="G14" s="49">
        <f>'VAL 1 TRIM '!AE14</f>
        <v>9</v>
      </c>
      <c r="H14" s="104">
        <f>'VAL 1 TRIM '!AG14</f>
        <v>88</v>
      </c>
      <c r="I14" s="31">
        <f>'VAL 2 TRIM'!C15</f>
        <v>10</v>
      </c>
      <c r="J14" s="31">
        <f>'VAL 2 TRIM'!O14</f>
        <v>27</v>
      </c>
      <c r="K14" s="31">
        <f>'VAL 2 TRIM'!AB14</f>
        <v>34</v>
      </c>
      <c r="L14" s="31">
        <f>'VAL 2 TRIM'!AA14</f>
        <v>10</v>
      </c>
      <c r="M14" s="31">
        <f>'VAL 2 TRIM'!AE14</f>
        <v>9</v>
      </c>
      <c r="N14" s="104">
        <f>'VAL 2 TRIM'!AG14</f>
        <v>90</v>
      </c>
      <c r="O14" s="31">
        <f>'VAL 3 TRIM'!C14</f>
        <v>10</v>
      </c>
      <c r="P14" s="31">
        <f>'VAL 3 TRIM'!O14</f>
        <v>31</v>
      </c>
      <c r="Q14" s="31">
        <f>'VAL 3 TRIM'!AB14</f>
        <v>35</v>
      </c>
      <c r="R14" s="31">
        <f>'VAL 3 TRIM'!AA14</f>
        <v>10</v>
      </c>
      <c r="S14" s="49">
        <f>'VAL 3 TRIM'!AE14</f>
        <v>10</v>
      </c>
      <c r="T14" s="104">
        <f>'VAL 3 TRIM'!AG14</f>
        <v>96</v>
      </c>
      <c r="U14" s="232">
        <f t="shared" si="0"/>
        <v>91.333333333333329</v>
      </c>
      <c r="V14" s="106" t="str">
        <f t="shared" si="1"/>
        <v>APROBADO</v>
      </c>
      <c r="W14" s="107"/>
      <c r="X14" s="107"/>
    </row>
    <row r="15" spans="1:29" ht="12" customHeight="1">
      <c r="A15" s="59">
        <v>7</v>
      </c>
      <c r="B15" s="60" t="str">
        <f>'C. FILIACION'!B14</f>
        <v>GUTIERREZ PEREZ ARIEL FERNANDO</v>
      </c>
      <c r="C15" s="49">
        <f>'VAL 1 TRIM '!C15</f>
        <v>9</v>
      </c>
      <c r="D15" s="49">
        <f>'VAL 1 TRIM '!O15</f>
        <v>16</v>
      </c>
      <c r="E15" s="49">
        <f>'VAL 1 TRIM '!AB15</f>
        <v>15</v>
      </c>
      <c r="F15" s="49">
        <f>'VAL 1 TRIM '!AE15</f>
        <v>4</v>
      </c>
      <c r="G15" s="49">
        <f>'VAL 1 TRIM '!AE15</f>
        <v>4</v>
      </c>
      <c r="H15" s="104">
        <f>'VAL 1 TRIM '!AG15</f>
        <v>51</v>
      </c>
      <c r="I15" s="31">
        <f>'VAL 2 TRIM'!C16</f>
        <v>7.5</v>
      </c>
      <c r="J15" s="31">
        <f>'VAL 2 TRIM'!O15</f>
        <v>19</v>
      </c>
      <c r="K15" s="31">
        <f>'VAL 2 TRIM'!AB15</f>
        <v>13</v>
      </c>
      <c r="L15" s="31">
        <f>'VAL 2 TRIM'!AA15</f>
        <v>8</v>
      </c>
      <c r="M15" s="31">
        <f>'VAL 2 TRIM'!AE15</f>
        <v>6</v>
      </c>
      <c r="N15" s="104">
        <f>'VAL 2 TRIM'!AG15</f>
        <v>53.5</v>
      </c>
      <c r="O15" s="31">
        <f>'VAL 3 TRIM'!C15</f>
        <v>10</v>
      </c>
      <c r="P15" s="31">
        <f>'VAL 3 TRIM'!O15</f>
        <v>30</v>
      </c>
      <c r="Q15" s="31">
        <f>'VAL 3 TRIM'!AB15</f>
        <v>29</v>
      </c>
      <c r="R15" s="31">
        <f>'VAL 3 TRIM'!AA15</f>
        <v>8.4285714285714288</v>
      </c>
      <c r="S15" s="49">
        <f>'VAL 3 TRIM'!AE15</f>
        <v>7</v>
      </c>
      <c r="T15" s="104">
        <f>'VAL 3 TRIM'!AG15</f>
        <v>84</v>
      </c>
      <c r="U15" s="232">
        <f t="shared" si="0"/>
        <v>62.833333333333336</v>
      </c>
      <c r="V15" s="106" t="str">
        <f t="shared" si="1"/>
        <v>APROBADO</v>
      </c>
      <c r="W15" s="107"/>
      <c r="X15" s="107"/>
    </row>
    <row r="16" spans="1:29" ht="12" customHeight="1">
      <c r="A16" s="59">
        <v>8</v>
      </c>
      <c r="B16" s="60" t="str">
        <f>'C. FILIACION'!B15</f>
        <v>LOPEZ PACO FABRICIO ANDRE</v>
      </c>
      <c r="C16" s="49">
        <f>'VAL 1 TRIM '!C16</f>
        <v>10</v>
      </c>
      <c r="D16" s="49">
        <f>'VAL 1 TRIM '!O16</f>
        <v>24</v>
      </c>
      <c r="E16" s="49">
        <f>'VAL 1 TRIM '!AB16</f>
        <v>26</v>
      </c>
      <c r="F16" s="49">
        <f>'VAL 1 TRIM '!AE16</f>
        <v>8</v>
      </c>
      <c r="G16" s="49">
        <f>'VAL 1 TRIM '!AE16</f>
        <v>8</v>
      </c>
      <c r="H16" s="104">
        <f>'VAL 1 TRIM '!AG16</f>
        <v>78</v>
      </c>
      <c r="I16" s="31">
        <f>'VAL 2 TRIM'!C17</f>
        <v>7.5</v>
      </c>
      <c r="J16" s="31">
        <f>'VAL 2 TRIM'!O16</f>
        <v>22</v>
      </c>
      <c r="K16" s="31">
        <f>'VAL 2 TRIM'!AB16</f>
        <v>14</v>
      </c>
      <c r="L16" s="31">
        <f>'VAL 2 TRIM'!AA16</f>
        <v>5</v>
      </c>
      <c r="M16" s="31">
        <f>'VAL 2 TRIM'!AE16</f>
        <v>6</v>
      </c>
      <c r="N16" s="104">
        <f>'VAL 2 TRIM'!AG16</f>
        <v>54.5</v>
      </c>
      <c r="O16" s="31">
        <f>'VAL 3 TRIM'!C16</f>
        <v>8.1818181818181817</v>
      </c>
      <c r="P16" s="31">
        <f>'VAL 3 TRIM'!O16</f>
        <v>13</v>
      </c>
      <c r="Q16" s="31">
        <f>'VAL 3 TRIM'!AB16</f>
        <v>19</v>
      </c>
      <c r="R16" s="31">
        <f>'VAL 3 TRIM'!AA16</f>
        <v>6</v>
      </c>
      <c r="S16" s="49">
        <f>'VAL 3 TRIM'!AE16</f>
        <v>5</v>
      </c>
      <c r="T16" s="104">
        <f>'VAL 3 TRIM'!AG16</f>
        <v>51</v>
      </c>
      <c r="U16" s="232">
        <f t="shared" si="0"/>
        <v>61.166666666666664</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28</v>
      </c>
      <c r="F17" s="49">
        <f>'VAL 1 TRIM '!AE17</f>
        <v>10</v>
      </c>
      <c r="G17" s="49">
        <f>'VAL 1 TRIM '!AE17</f>
        <v>10</v>
      </c>
      <c r="H17" s="104">
        <f>'VAL 1 TRIM '!AG17</f>
        <v>88</v>
      </c>
      <c r="I17" s="31">
        <f>'VAL 2 TRIM'!C18</f>
        <v>10</v>
      </c>
      <c r="J17" s="31">
        <f>'VAL 2 TRIM'!O17</f>
        <v>28</v>
      </c>
      <c r="K17" s="31">
        <f>'VAL 2 TRIM'!AB17</f>
        <v>26</v>
      </c>
      <c r="L17" s="31">
        <f>'VAL 2 TRIM'!AA17</f>
        <v>10</v>
      </c>
      <c r="M17" s="31">
        <f>'VAL 2 TRIM'!AE17</f>
        <v>6</v>
      </c>
      <c r="N17" s="104">
        <f>'VAL 2 TRIM'!AG17</f>
        <v>80</v>
      </c>
      <c r="O17" s="31">
        <f>'VAL 3 TRIM'!C17</f>
        <v>10</v>
      </c>
      <c r="P17" s="31">
        <f>'VAL 3 TRIM'!O17</f>
        <v>32</v>
      </c>
      <c r="Q17" s="31">
        <f>'VAL 3 TRIM'!AB17</f>
        <v>32</v>
      </c>
      <c r="R17" s="31">
        <f>'VAL 3 TRIM'!AA17</f>
        <v>9</v>
      </c>
      <c r="S17" s="49">
        <f>'VAL 3 TRIM'!AE17</f>
        <v>10</v>
      </c>
      <c r="T17" s="104">
        <f>'VAL 3 TRIM'!AG17</f>
        <v>93</v>
      </c>
      <c r="U17" s="232">
        <f t="shared" si="0"/>
        <v>87</v>
      </c>
      <c r="V17" s="106" t="str">
        <f t="shared" si="1"/>
        <v>APROBADO</v>
      </c>
      <c r="W17" s="107"/>
      <c r="X17" s="107"/>
    </row>
    <row r="18" spans="1:24" ht="12" customHeight="1">
      <c r="A18" s="59">
        <v>10</v>
      </c>
      <c r="B18" s="60" t="str">
        <f>'C. FILIACION'!B17</f>
        <v>PASTOR CONDARCO STEVE DAVID</v>
      </c>
      <c r="C18" s="49">
        <f>'VAL 1 TRIM '!C18</f>
        <v>8</v>
      </c>
      <c r="D18" s="49">
        <f>'VAL 1 TRIM '!O18</f>
        <v>22</v>
      </c>
      <c r="E18" s="49">
        <f>'VAL 1 TRIM '!AB18</f>
        <v>18</v>
      </c>
      <c r="F18" s="49">
        <f>'VAL 1 TRIM '!AE18</f>
        <v>8</v>
      </c>
      <c r="G18" s="49">
        <f>'VAL 1 TRIM '!AE18</f>
        <v>8</v>
      </c>
      <c r="H18" s="104">
        <f>'VAL 1 TRIM '!AG18</f>
        <v>64</v>
      </c>
      <c r="I18" s="31">
        <f>'VAL 2 TRIM'!C19</f>
        <v>10</v>
      </c>
      <c r="J18" s="31">
        <f>'VAL 2 TRIM'!O18</f>
        <v>25</v>
      </c>
      <c r="K18" s="31">
        <f>'VAL 2 TRIM'!AB18</f>
        <v>19</v>
      </c>
      <c r="L18" s="31">
        <f>'VAL 2 TRIM'!AA18</f>
        <v>10</v>
      </c>
      <c r="M18" s="31">
        <f>'VAL 2 TRIM'!AE18</f>
        <v>6</v>
      </c>
      <c r="N18" s="104">
        <f>'VAL 2 TRIM'!AG18</f>
        <v>70</v>
      </c>
      <c r="O18" s="31">
        <f>'VAL 3 TRIM'!C18</f>
        <v>7.2727272727272725</v>
      </c>
      <c r="P18" s="31">
        <f>'VAL 3 TRIM'!O18</f>
        <v>16</v>
      </c>
      <c r="Q18" s="31">
        <f>'VAL 3 TRIM'!AB18</f>
        <v>18</v>
      </c>
      <c r="R18" s="31">
        <f>'VAL 3 TRIM'!AA18</f>
        <v>7</v>
      </c>
      <c r="S18" s="49">
        <f>'VAL 3 TRIM'!AE18</f>
        <v>7</v>
      </c>
      <c r="T18" s="104">
        <f>'VAL 3 TRIM'!AG18</f>
        <v>55</v>
      </c>
      <c r="U18" s="232">
        <f t="shared" si="0"/>
        <v>63</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27</v>
      </c>
      <c r="F19" s="49">
        <f>'VAL 1 TRIM '!AE19</f>
        <v>9</v>
      </c>
      <c r="G19" s="49">
        <f>'VAL 1 TRIM '!AE19</f>
        <v>9</v>
      </c>
      <c r="H19" s="104">
        <f>'VAL 1 TRIM '!AG19</f>
        <v>86</v>
      </c>
      <c r="I19" s="31">
        <f>'VAL 2 TRIM'!C20</f>
        <v>10</v>
      </c>
      <c r="J19" s="31">
        <f>'VAL 2 TRIM'!O19</f>
        <v>27</v>
      </c>
      <c r="K19" s="31">
        <f>'VAL 2 TRIM'!AB19</f>
        <v>32</v>
      </c>
      <c r="L19" s="31">
        <f>'VAL 2 TRIM'!AA19</f>
        <v>10</v>
      </c>
      <c r="M19" s="31">
        <f>'VAL 2 TRIM'!AE19</f>
        <v>10</v>
      </c>
      <c r="N19" s="104">
        <f>'VAL 2 TRIM'!AG19</f>
        <v>89</v>
      </c>
      <c r="O19" s="31">
        <f>'VAL 3 TRIM'!C19</f>
        <v>10</v>
      </c>
      <c r="P19" s="31">
        <f>'VAL 3 TRIM'!O19</f>
        <v>26</v>
      </c>
      <c r="Q19" s="31">
        <f>'VAL 3 TRIM'!AB19</f>
        <v>33</v>
      </c>
      <c r="R19" s="31">
        <f>'VAL 3 TRIM'!AA19</f>
        <v>9</v>
      </c>
      <c r="S19" s="49">
        <f>'VAL 3 TRIM'!AE19</f>
        <v>10</v>
      </c>
      <c r="T19" s="104">
        <f>'VAL 3 TRIM'!AG19</f>
        <v>88</v>
      </c>
      <c r="U19" s="232">
        <f t="shared" si="0"/>
        <v>87.666666666666671</v>
      </c>
      <c r="V19" s="106" t="str">
        <f t="shared" si="1"/>
        <v>APROBADO</v>
      </c>
      <c r="W19" s="107"/>
      <c r="X19" s="107"/>
    </row>
    <row r="20" spans="1:24" ht="12" customHeight="1">
      <c r="A20" s="59">
        <v>12</v>
      </c>
      <c r="B20" s="60" t="str">
        <f>'C. FILIACION'!B19</f>
        <v>SALAS ROJAS LUCIANA ANTONELLA</v>
      </c>
      <c r="C20" s="49">
        <f>'VAL 1 TRIM '!C20</f>
        <v>6</v>
      </c>
      <c r="D20" s="49">
        <f>'VAL 1 TRIM '!O20</f>
        <v>20</v>
      </c>
      <c r="E20" s="49">
        <f>'VAL 1 TRIM '!AB20</f>
        <v>19</v>
      </c>
      <c r="F20" s="49">
        <f>'VAL 1 TRIM '!AE20</f>
        <v>7</v>
      </c>
      <c r="G20" s="49">
        <f>'VAL 1 TRIM '!AE20</f>
        <v>7</v>
      </c>
      <c r="H20" s="104">
        <f>'VAL 1 TRIM '!AG20</f>
        <v>58</v>
      </c>
      <c r="I20" s="31">
        <f>'VAL 2 TRIM'!C21</f>
        <v>10</v>
      </c>
      <c r="J20" s="31">
        <f>'VAL 2 TRIM'!O20</f>
        <v>18</v>
      </c>
      <c r="K20" s="31">
        <f>'VAL 2 TRIM'!AB20</f>
        <v>18</v>
      </c>
      <c r="L20" s="31">
        <f>'VAL 2 TRIM'!AA20</f>
        <v>7</v>
      </c>
      <c r="M20" s="31">
        <f>'VAL 2 TRIM'!AE20</f>
        <v>7</v>
      </c>
      <c r="N20" s="104">
        <f>'VAL 2 TRIM'!AG20</f>
        <v>60</v>
      </c>
      <c r="O20" s="31">
        <f>'VAL 3 TRIM'!C20</f>
        <v>10</v>
      </c>
      <c r="P20" s="31">
        <f>'VAL 3 TRIM'!O20</f>
        <v>22</v>
      </c>
      <c r="Q20" s="31">
        <f>'VAL 3 TRIM'!AB20</f>
        <v>20</v>
      </c>
      <c r="R20" s="31">
        <f>'VAL 3 TRIM'!AA20</f>
        <v>7</v>
      </c>
      <c r="S20" s="49">
        <f>'VAL 3 TRIM'!AE20</f>
        <v>9</v>
      </c>
      <c r="T20" s="104">
        <f>'VAL 3 TRIM'!AG20</f>
        <v>68</v>
      </c>
      <c r="U20" s="232">
        <f t="shared" si="0"/>
        <v>62</v>
      </c>
      <c r="V20" s="106" t="str">
        <f t="shared" si="1"/>
        <v>APROBADO</v>
      </c>
      <c r="W20" s="107"/>
      <c r="X20" s="107"/>
    </row>
    <row r="21" spans="1:24" ht="12" customHeight="1">
      <c r="A21" s="59">
        <v>13</v>
      </c>
      <c r="B21" s="60" t="str">
        <f>'C. FILIACION'!B20</f>
        <v>SANTOS CRUZ ROYER JOEL</v>
      </c>
      <c r="C21" s="49">
        <f>'VAL 1 TRIM '!C21</f>
        <v>9</v>
      </c>
      <c r="D21" s="49">
        <f>'VAL 1 TRIM '!O21</f>
        <v>18</v>
      </c>
      <c r="E21" s="49">
        <f>'VAL 1 TRIM '!AB21</f>
        <v>22</v>
      </c>
      <c r="F21" s="49">
        <f>'VAL 1 TRIM '!AE21</f>
        <v>9</v>
      </c>
      <c r="G21" s="49">
        <f>'VAL 1 TRIM '!AE21</f>
        <v>9</v>
      </c>
      <c r="H21" s="104">
        <f>'VAL 1 TRIM '!AG21</f>
        <v>65</v>
      </c>
      <c r="I21" s="31">
        <f>'VAL 2 TRIM'!C22</f>
        <v>10</v>
      </c>
      <c r="J21" s="31">
        <f>'VAL 2 TRIM'!O21</f>
        <v>27</v>
      </c>
      <c r="K21" s="31">
        <f>'VAL 2 TRIM'!AB21</f>
        <v>21</v>
      </c>
      <c r="L21" s="31">
        <f>'VAL 2 TRIM'!AA21</f>
        <v>6</v>
      </c>
      <c r="M21" s="31">
        <f>'VAL 2 TRIM'!AE21</f>
        <v>10</v>
      </c>
      <c r="N21" s="104">
        <f>'VAL 2 TRIM'!AG21</f>
        <v>74</v>
      </c>
      <c r="O21" s="31">
        <f>'VAL 3 TRIM'!C21</f>
        <v>10</v>
      </c>
      <c r="P21" s="31">
        <f>'VAL 3 TRIM'!O21</f>
        <v>28</v>
      </c>
      <c r="Q21" s="31">
        <f>'VAL 3 TRIM'!AB21</f>
        <v>33</v>
      </c>
      <c r="R21" s="31">
        <f>'VAL 3 TRIM'!AA21</f>
        <v>10</v>
      </c>
      <c r="S21" s="49">
        <f>'VAL 3 TRIM'!AE21</f>
        <v>8</v>
      </c>
      <c r="T21" s="104">
        <f>'VAL 3 TRIM'!AG21</f>
        <v>89</v>
      </c>
      <c r="U21" s="232">
        <f t="shared" si="0"/>
        <v>76</v>
      </c>
      <c r="V21" s="106" t="str">
        <f t="shared" si="1"/>
        <v>APROBADO</v>
      </c>
      <c r="W21" s="107"/>
      <c r="X21" s="107"/>
    </row>
    <row r="22" spans="1:24" ht="12" customHeight="1">
      <c r="A22" s="59">
        <v>14</v>
      </c>
      <c r="B22" s="60" t="str">
        <f>'C. FILIACION'!B21</f>
        <v>TICONA LOAYZA ARIADNE VALERIA</v>
      </c>
      <c r="C22" s="49">
        <f>'VAL 1 TRIM '!C22</f>
        <v>9</v>
      </c>
      <c r="D22" s="49">
        <f>'VAL 1 TRIM '!O22</f>
        <v>31</v>
      </c>
      <c r="E22" s="49">
        <f>'VAL 1 TRIM '!AB22</f>
        <v>30</v>
      </c>
      <c r="F22" s="49">
        <f>'VAL 1 TRIM '!AE22</f>
        <v>4</v>
      </c>
      <c r="G22" s="49">
        <f>'VAL 1 TRIM '!AE22</f>
        <v>4</v>
      </c>
      <c r="H22" s="104">
        <f>'VAL 1 TRIM '!AG22</f>
        <v>84</v>
      </c>
      <c r="I22" s="31">
        <f>'VAL 2 TRIM'!C23</f>
        <v>10</v>
      </c>
      <c r="J22" s="31">
        <f>'VAL 2 TRIM'!O22</f>
        <v>21</v>
      </c>
      <c r="K22" s="31">
        <f>'VAL 2 TRIM'!AB22</f>
        <v>26</v>
      </c>
      <c r="L22" s="31">
        <f>'VAL 2 TRIM'!AA22</f>
        <v>7</v>
      </c>
      <c r="M22" s="31">
        <f>'VAL 2 TRIM'!AE22</f>
        <v>6</v>
      </c>
      <c r="N22" s="104">
        <f>'VAL 2 TRIM'!AG22</f>
        <v>70</v>
      </c>
      <c r="O22" s="31">
        <f>'VAL 3 TRIM'!C22</f>
        <v>10</v>
      </c>
      <c r="P22" s="31">
        <f>'VAL 3 TRIM'!O22</f>
        <v>21</v>
      </c>
      <c r="Q22" s="31">
        <f>'VAL 3 TRIM'!AB22</f>
        <v>21</v>
      </c>
      <c r="R22" s="31">
        <f>'VAL 3 TRIM'!AA22</f>
        <v>6</v>
      </c>
      <c r="S22" s="49">
        <f>'VAL 3 TRIM'!AE22</f>
        <v>7</v>
      </c>
      <c r="T22" s="104">
        <f>'VAL 3 TRIM'!AG22</f>
        <v>65</v>
      </c>
      <c r="U22" s="232">
        <f t="shared" si="0"/>
        <v>73</v>
      </c>
      <c r="V22" s="106" t="str">
        <f t="shared" si="1"/>
        <v>APROBADO</v>
      </c>
      <c r="W22" s="107"/>
      <c r="X22" s="107"/>
    </row>
    <row r="23" spans="1:24" ht="12" customHeight="1">
      <c r="A23" s="59">
        <v>15</v>
      </c>
      <c r="B23" s="60" t="str">
        <f>'C. FILIACION'!B22</f>
        <v>ZEBALLOS DEL CARPIO AMIRA MERCEDES</v>
      </c>
      <c r="C23" s="49">
        <f>'VAL 1 TRIM '!C23</f>
        <v>8</v>
      </c>
      <c r="D23" s="49">
        <f>'VAL 1 TRIM '!O23</f>
        <v>30</v>
      </c>
      <c r="E23" s="49">
        <f>'VAL 1 TRIM '!AB23</f>
        <v>32</v>
      </c>
      <c r="F23" s="49">
        <f>'VAL 1 TRIM '!AE23</f>
        <v>7</v>
      </c>
      <c r="G23" s="49">
        <f>'VAL 1 TRIM '!AE23</f>
        <v>7</v>
      </c>
      <c r="H23" s="104">
        <f>'VAL 1 TRIM '!AG23</f>
        <v>87</v>
      </c>
      <c r="I23" s="31">
        <v>10</v>
      </c>
      <c r="J23" s="31">
        <f>'VAL 2 TRIM'!O23</f>
        <v>32</v>
      </c>
      <c r="K23" s="31">
        <f>'VAL 2 TRIM'!AB23</f>
        <v>35</v>
      </c>
      <c r="L23" s="31">
        <f>'VAL 2 TRIM'!AA23</f>
        <v>10</v>
      </c>
      <c r="M23" s="31">
        <f>'VAL 2 TRIM'!AE23</f>
        <v>7</v>
      </c>
      <c r="N23" s="104">
        <f>'VAL 2 TRIM'!AG23</f>
        <v>94</v>
      </c>
      <c r="O23" s="31">
        <f>'VAL 3 TRIM'!C23</f>
        <v>9.0909090909090917</v>
      </c>
      <c r="P23" s="31">
        <f>'VAL 3 TRIM'!O23</f>
        <v>34</v>
      </c>
      <c r="Q23" s="31">
        <f>'VAL 3 TRIM'!AB23</f>
        <v>29</v>
      </c>
      <c r="R23" s="31">
        <f>'VAL 3 TRIM'!AA23</f>
        <v>9</v>
      </c>
      <c r="S23" s="49">
        <f>'VAL 3 TRIM'!AE23</f>
        <v>8</v>
      </c>
      <c r="T23" s="104">
        <f>'VAL 3 TRIM'!AG23</f>
        <v>89</v>
      </c>
      <c r="U23" s="232">
        <f t="shared" si="0"/>
        <v>90</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98425196850393704" bottom="0" header="0" footer="0"/>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topLeftCell="A4" workbookViewId="0"/>
  </sheetViews>
  <sheetFormatPr baseColWidth="10" defaultColWidth="9.1328125" defaultRowHeight="15" customHeight="1"/>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row r="2" spans="1:13" ht="12.75" customHeight="1">
      <c r="B2" s="251" t="s">
        <v>97</v>
      </c>
      <c r="C2" s="247"/>
      <c r="D2" s="247"/>
      <c r="E2" s="247"/>
      <c r="F2" s="247"/>
      <c r="G2" s="247"/>
      <c r="H2" s="247"/>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344"/>
      <c r="G5" s="307"/>
      <c r="H5" s="45"/>
      <c r="I5" s="45"/>
      <c r="J5" s="39" t="s">
        <v>23</v>
      </c>
      <c r="K5" s="109"/>
      <c r="L5" s="265">
        <f ca="1">TODAY()</f>
        <v>44545</v>
      </c>
      <c r="M5" s="247"/>
    </row>
    <row r="6" spans="1:13" ht="12.75" customHeight="1">
      <c r="B6" s="39"/>
      <c r="C6" s="345" t="s">
        <v>102</v>
      </c>
      <c r="D6" s="299"/>
      <c r="E6" s="300"/>
      <c r="F6" s="341" t="s">
        <v>98</v>
      </c>
      <c r="G6" s="337" t="s">
        <v>99</v>
      </c>
      <c r="H6" s="68"/>
      <c r="I6" s="68"/>
    </row>
    <row r="7" spans="1:13" ht="12" customHeight="1">
      <c r="B7" s="48"/>
      <c r="C7" s="342" t="s">
        <v>4</v>
      </c>
      <c r="D7" s="342" t="s">
        <v>103</v>
      </c>
      <c r="E7" s="343" t="s">
        <v>16</v>
      </c>
      <c r="F7" s="338"/>
      <c r="G7" s="338"/>
      <c r="H7" s="41"/>
      <c r="I7" s="41"/>
    </row>
    <row r="8" spans="1:13" ht="67.5" customHeight="1">
      <c r="A8" s="49" t="s">
        <v>53</v>
      </c>
      <c r="B8" s="50" t="s">
        <v>54</v>
      </c>
      <c r="C8" s="303"/>
      <c r="D8" s="303"/>
      <c r="E8" s="303"/>
      <c r="F8" s="303"/>
      <c r="G8" s="303"/>
      <c r="H8" s="103"/>
      <c r="I8" s="103" t="s">
        <v>104</v>
      </c>
      <c r="J8" s="103" t="s">
        <v>105</v>
      </c>
      <c r="K8" s="103" t="s">
        <v>106</v>
      </c>
    </row>
    <row r="9" spans="1:13" ht="12" customHeight="1">
      <c r="A9" s="59">
        <v>1</v>
      </c>
      <c r="B9" s="60" t="str">
        <f>'C. FILIACION'!B8</f>
        <v>ARANCIBIA ARRAYA LUIS ANDRES</v>
      </c>
      <c r="C9" s="104">
        <f>'VAL 1 TRIM '!AG9</f>
        <v>74</v>
      </c>
      <c r="D9" s="104">
        <f>'VAL 2 TRIM'!AG9</f>
        <v>68.230769230769226</v>
      </c>
      <c r="E9" s="104">
        <f>'VAL 3 TRIM'!AG9</f>
        <v>62</v>
      </c>
      <c r="F9" s="105">
        <f>'CENTRAL 1'!U9</f>
        <v>68.07692307692308</v>
      </c>
      <c r="G9" s="106" t="str">
        <f t="shared" ref="G9:G44" si="0">IF(F9="","",(IF(AND(F9&gt;=1,F9&lt;=50.499),"REPROBADO",IF(AND(F9&gt;=50.5,F9&lt;=100),"APROBADO"))))</f>
        <v>APROBADO</v>
      </c>
      <c r="H9" s="107"/>
      <c r="I9" s="31">
        <f t="shared" ref="I9:K9" si="1">COUNTIF(C9:C44,"&gt;=51")</f>
        <v>36</v>
      </c>
      <c r="J9" s="110">
        <f t="shared" si="1"/>
        <v>35</v>
      </c>
      <c r="K9" s="110">
        <f t="shared" si="1"/>
        <v>36</v>
      </c>
    </row>
    <row r="10" spans="1:13" ht="12" customHeight="1">
      <c r="A10" s="59">
        <v>2</v>
      </c>
      <c r="B10" s="60" t="str">
        <f>'C. FILIACION'!B9</f>
        <v>ARIVIRI ALEXIS JHONATAN</v>
      </c>
      <c r="C10" s="104">
        <f>'VAL 1 TRIM '!AG10</f>
        <v>51</v>
      </c>
      <c r="D10" s="104">
        <f>'VAL 2 TRIM'!AG10</f>
        <v>53.333333333333336</v>
      </c>
      <c r="E10" s="104">
        <f>'VAL 3 TRIM'!AG10</f>
        <v>51</v>
      </c>
      <c r="F10" s="105">
        <f>'CENTRAL 1'!U10</f>
        <v>51.777777777777779</v>
      </c>
      <c r="G10" s="106" t="str">
        <f t="shared" si="0"/>
        <v>APROBADO</v>
      </c>
      <c r="H10" s="107"/>
      <c r="I10" s="111" t="s">
        <v>107</v>
      </c>
      <c r="J10" s="112"/>
    </row>
    <row r="11" spans="1:13" ht="12" customHeight="1">
      <c r="A11" s="59">
        <v>3</v>
      </c>
      <c r="B11" s="60" t="str">
        <f>'C. FILIACION'!B10</f>
        <v>BASCOPE LOPEZ JHYMMY ANGHELO</v>
      </c>
      <c r="C11" s="104">
        <f>'VAL 1 TRIM '!AG11</f>
        <v>63</v>
      </c>
      <c r="D11" s="104">
        <f>'VAL 2 TRIM'!AG11</f>
        <v>71</v>
      </c>
      <c r="E11" s="104">
        <f>'VAL 3 TRIM'!AG11</f>
        <v>56</v>
      </c>
      <c r="F11" s="105">
        <f>'CENTRAL 1'!U11</f>
        <v>63.333333333333336</v>
      </c>
      <c r="G11" s="106" t="str">
        <f t="shared" si="0"/>
        <v>APROBADO</v>
      </c>
      <c r="H11" s="107"/>
      <c r="I11" s="107"/>
    </row>
    <row r="12" spans="1:13" ht="12" customHeight="1">
      <c r="A12" s="59">
        <v>4</v>
      </c>
      <c r="B12" s="60" t="str">
        <f>'C. FILIACION'!B11</f>
        <v>BLANCO SALVATIERRA DANIELA MARGARITA</v>
      </c>
      <c r="C12" s="104">
        <f>'VAL 1 TRIM '!AG12</f>
        <v>87</v>
      </c>
      <c r="D12" s="104">
        <f>'VAL 2 TRIM'!AG12</f>
        <v>69.333333333333329</v>
      </c>
      <c r="E12" s="104">
        <f>'VAL 3 TRIM'!AG12</f>
        <v>78</v>
      </c>
      <c r="F12" s="105">
        <f>'CENTRAL 1'!U12</f>
        <v>78.1111111111111</v>
      </c>
      <c r="G12" s="106" t="str">
        <f t="shared" si="0"/>
        <v>APROBADO</v>
      </c>
      <c r="H12" s="107"/>
      <c r="I12" s="107"/>
    </row>
    <row r="13" spans="1:13" ht="12" customHeight="1">
      <c r="A13" s="59">
        <v>5</v>
      </c>
      <c r="B13" s="60" t="str">
        <f>'C. FILIACION'!B12</f>
        <v>DAVILA LAPACA DIEGO LEONEL</v>
      </c>
      <c r="C13" s="104">
        <f>'VAL 1 TRIM '!AG13</f>
        <v>51</v>
      </c>
      <c r="D13" s="104">
        <f>'VAL 2 TRIM'!AG13</f>
        <v>31</v>
      </c>
      <c r="E13" s="104">
        <f>'VAL 3 TRIM'!AG13</f>
        <v>71</v>
      </c>
      <c r="F13" s="105">
        <f>'CENTRAL 1'!U13</f>
        <v>51</v>
      </c>
      <c r="G13" s="106" t="str">
        <f t="shared" si="0"/>
        <v>APROBADO</v>
      </c>
      <c r="H13" s="107"/>
      <c r="I13" s="110">
        <f t="shared" ref="I13:K13" si="2">COUNTIF(C9:C44,"&lt;=51")</f>
        <v>3</v>
      </c>
      <c r="J13" s="110">
        <f t="shared" si="2"/>
        <v>1</v>
      </c>
      <c r="K13" s="110">
        <f t="shared" si="2"/>
        <v>2</v>
      </c>
    </row>
    <row r="14" spans="1:13" ht="12" customHeight="1">
      <c r="A14" s="59">
        <v>6</v>
      </c>
      <c r="B14" s="60" t="str">
        <f>'C. FILIACION'!B13</f>
        <v>ESCOBAR LAZO JHOSELIN MARCELA</v>
      </c>
      <c r="C14" s="104">
        <f>'VAL 1 TRIM '!AG14</f>
        <v>88</v>
      </c>
      <c r="D14" s="104">
        <f>'VAL 2 TRIM'!AG14</f>
        <v>90</v>
      </c>
      <c r="E14" s="104">
        <f>'VAL 3 TRIM'!AG14</f>
        <v>96</v>
      </c>
      <c r="F14" s="105">
        <f>'CENTRAL 1'!U14</f>
        <v>91.333333333333329</v>
      </c>
      <c r="G14" s="106" t="str">
        <f t="shared" si="0"/>
        <v>APROBADO</v>
      </c>
      <c r="H14" s="107"/>
      <c r="I14" s="111" t="s">
        <v>108</v>
      </c>
    </row>
    <row r="15" spans="1:13" ht="12" customHeight="1">
      <c r="A15" s="59">
        <v>7</v>
      </c>
      <c r="B15" s="60" t="str">
        <f>'C. FILIACION'!B14</f>
        <v>GUTIERREZ PEREZ ARIEL FERNANDO</v>
      </c>
      <c r="C15" s="104">
        <f>'VAL 1 TRIM '!AG15</f>
        <v>51</v>
      </c>
      <c r="D15" s="104">
        <f>'VAL 2 TRIM'!AG15</f>
        <v>53.5</v>
      </c>
      <c r="E15" s="104">
        <f>'VAL 3 TRIM'!AG15</f>
        <v>84</v>
      </c>
      <c r="F15" s="105">
        <f>'CENTRAL 1'!U15</f>
        <v>62.833333333333336</v>
      </c>
      <c r="G15" s="106" t="str">
        <f t="shared" si="0"/>
        <v>APROBADO</v>
      </c>
      <c r="H15" s="107"/>
      <c r="I15" s="107"/>
    </row>
    <row r="16" spans="1:13" ht="12" customHeight="1">
      <c r="A16" s="59">
        <v>8</v>
      </c>
      <c r="B16" s="60" t="str">
        <f>'C. FILIACION'!B15</f>
        <v>LOPEZ PACO FABRICIO ANDRE</v>
      </c>
      <c r="C16" s="104">
        <f>'VAL 1 TRIM '!AG16</f>
        <v>78</v>
      </c>
      <c r="D16" s="104">
        <f>'VAL 2 TRIM'!AG16</f>
        <v>54.5</v>
      </c>
      <c r="E16" s="104">
        <f>'VAL 3 TRIM'!AG16</f>
        <v>51</v>
      </c>
      <c r="F16" s="105">
        <f>'CENTRAL 1'!U16</f>
        <v>61.166666666666664</v>
      </c>
      <c r="G16" s="106" t="str">
        <f t="shared" si="0"/>
        <v>APROBADO</v>
      </c>
      <c r="H16" s="107"/>
      <c r="I16" s="107"/>
    </row>
    <row r="17" spans="1:9" ht="12" customHeight="1">
      <c r="A17" s="59">
        <v>9</v>
      </c>
      <c r="B17" s="60" t="str">
        <f>'C. FILIACION'!B16</f>
        <v>NINA PANIAGUA DEYVID GABRIEL</v>
      </c>
      <c r="C17" s="104">
        <f>'VAL 1 TRIM '!AG17</f>
        <v>88</v>
      </c>
      <c r="D17" s="104">
        <f>'VAL 2 TRIM'!AG17</f>
        <v>80</v>
      </c>
      <c r="E17" s="104">
        <f>'VAL 3 TRIM'!AG17</f>
        <v>93</v>
      </c>
      <c r="F17" s="105">
        <f>'CENTRAL 1'!U17</f>
        <v>87</v>
      </c>
      <c r="G17" s="106" t="str">
        <f t="shared" si="0"/>
        <v>APROBADO</v>
      </c>
      <c r="H17" s="107"/>
      <c r="I17" s="107"/>
    </row>
    <row r="18" spans="1:9" ht="12" customHeight="1">
      <c r="A18" s="59">
        <v>10</v>
      </c>
      <c r="B18" s="60" t="str">
        <f>'C. FILIACION'!B17</f>
        <v>PASTOR CONDARCO STEVE DAVID</v>
      </c>
      <c r="C18" s="104">
        <f>'VAL 1 TRIM '!AG18</f>
        <v>64</v>
      </c>
      <c r="D18" s="104">
        <f>'VAL 2 TRIM'!AG18</f>
        <v>70</v>
      </c>
      <c r="E18" s="104">
        <f>'VAL 3 TRIM'!AG18</f>
        <v>55</v>
      </c>
      <c r="F18" s="105">
        <f>'CENTRAL 1'!U18</f>
        <v>63</v>
      </c>
      <c r="G18" s="106" t="str">
        <f t="shared" si="0"/>
        <v>APROBADO</v>
      </c>
      <c r="H18" s="107"/>
      <c r="I18" s="107"/>
    </row>
    <row r="19" spans="1:9" ht="12" customHeight="1">
      <c r="A19" s="59">
        <v>11</v>
      </c>
      <c r="B19" s="60" t="str">
        <f>'C. FILIACION'!B18</f>
        <v>ROJAS MAMANI JERUSALEN LOURDES</v>
      </c>
      <c r="C19" s="104">
        <f>'VAL 1 TRIM '!AG19</f>
        <v>86</v>
      </c>
      <c r="D19" s="104">
        <f>'VAL 2 TRIM'!AG19</f>
        <v>89</v>
      </c>
      <c r="E19" s="104">
        <f>'VAL 3 TRIM'!AG19</f>
        <v>88</v>
      </c>
      <c r="F19" s="105">
        <f>'CENTRAL 1'!U19</f>
        <v>87.666666666666671</v>
      </c>
      <c r="G19" s="106" t="str">
        <f t="shared" si="0"/>
        <v>APROBADO</v>
      </c>
      <c r="H19" s="107"/>
      <c r="I19" s="107"/>
    </row>
    <row r="20" spans="1:9" ht="12" customHeight="1">
      <c r="A20" s="59">
        <v>12</v>
      </c>
      <c r="B20" s="60" t="str">
        <f>'C. FILIACION'!B19</f>
        <v>SALAS ROJAS LUCIANA ANTONELLA</v>
      </c>
      <c r="C20" s="104">
        <f>'VAL 1 TRIM '!AG20</f>
        <v>58</v>
      </c>
      <c r="D20" s="104">
        <f>'VAL 2 TRIM'!AG20</f>
        <v>60</v>
      </c>
      <c r="E20" s="104">
        <f>'VAL 3 TRIM'!AG20</f>
        <v>68</v>
      </c>
      <c r="F20" s="105">
        <f>'CENTRAL 1'!U20</f>
        <v>62</v>
      </c>
      <c r="G20" s="106" t="str">
        <f t="shared" si="0"/>
        <v>APROBADO</v>
      </c>
      <c r="H20" s="107"/>
      <c r="I20" s="107"/>
    </row>
    <row r="21" spans="1:9" ht="12" customHeight="1">
      <c r="A21" s="59">
        <v>13</v>
      </c>
      <c r="B21" s="60" t="str">
        <f>'C. FILIACION'!B20</f>
        <v>SANTOS CRUZ ROYER JOEL</v>
      </c>
      <c r="C21" s="104">
        <f>'VAL 1 TRIM '!AG21</f>
        <v>65</v>
      </c>
      <c r="D21" s="104">
        <f>'VAL 2 TRIM'!AG21</f>
        <v>74</v>
      </c>
      <c r="E21" s="104">
        <f>'VAL 3 TRIM'!AG21</f>
        <v>89</v>
      </c>
      <c r="F21" s="105">
        <f>'CENTRAL 1'!U21</f>
        <v>76</v>
      </c>
      <c r="G21" s="106" t="str">
        <f t="shared" si="0"/>
        <v>APROBADO</v>
      </c>
      <c r="H21" s="107"/>
      <c r="I21" s="107"/>
    </row>
    <row r="22" spans="1:9" ht="12" customHeight="1">
      <c r="A22" s="59">
        <v>14</v>
      </c>
      <c r="B22" s="60" t="str">
        <f>'C. FILIACION'!B21</f>
        <v>TICONA LOAYZA ARIADNE VALERIA</v>
      </c>
      <c r="C22" s="104">
        <f>'VAL 1 TRIM '!AG22</f>
        <v>84</v>
      </c>
      <c r="D22" s="104">
        <f>'VAL 2 TRIM'!AG22</f>
        <v>70</v>
      </c>
      <c r="E22" s="104">
        <f>'VAL 3 TRIM'!AG22</f>
        <v>65</v>
      </c>
      <c r="F22" s="105">
        <f>'CENTRAL 1'!U22</f>
        <v>73</v>
      </c>
      <c r="G22" s="106" t="str">
        <f t="shared" si="0"/>
        <v>APROBADO</v>
      </c>
      <c r="H22" s="107"/>
      <c r="I22" s="107"/>
    </row>
    <row r="23" spans="1:9" ht="12" customHeight="1">
      <c r="A23" s="59">
        <v>15</v>
      </c>
      <c r="B23" s="60" t="str">
        <f>'C. FILIACION'!B22</f>
        <v>ZEBALLOS DEL CARPIO AMIRA MERCEDES</v>
      </c>
      <c r="C23" s="104">
        <f>'VAL 1 TRIM '!AG23</f>
        <v>87</v>
      </c>
      <c r="D23" s="104">
        <f>'VAL 2 TRIM'!AG23</f>
        <v>94</v>
      </c>
      <c r="E23" s="104">
        <f>'VAL 3 TRIM'!AG23</f>
        <v>89</v>
      </c>
      <c r="F23" s="105">
        <f>'CENTRAL 1'!U23</f>
        <v>90</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topLeftCell="A20" workbookViewId="0">
      <selection activeCell="A41" sqref="A41"/>
    </sheetView>
  </sheetViews>
  <sheetFormatPr baseColWidth="10" defaultColWidth="9.1328125" defaultRowHeight="15" customHeight="1"/>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49" t="s">
        <v>109</v>
      </c>
      <c r="C2" s="247"/>
      <c r="D2" s="247"/>
      <c r="E2" s="247"/>
      <c r="F2" s="247"/>
      <c r="G2" s="247"/>
      <c r="H2" s="247"/>
      <c r="I2" s="247"/>
      <c r="J2" s="247"/>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44545</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110</v>
      </c>
      <c r="J6" s="113"/>
      <c r="K6" s="113"/>
      <c r="L6" s="113"/>
      <c r="M6" s="113"/>
      <c r="N6" s="113"/>
      <c r="O6" s="113"/>
      <c r="P6" s="113"/>
      <c r="Q6" s="113"/>
      <c r="R6" s="113"/>
      <c r="S6" s="113"/>
      <c r="T6" s="113"/>
      <c r="U6" s="113"/>
      <c r="V6" s="113"/>
      <c r="W6" s="113"/>
      <c r="X6" s="113"/>
      <c r="Y6" s="113"/>
      <c r="Z6" s="113"/>
    </row>
    <row r="7" spans="1:26" ht="20.399999999999999">
      <c r="A7" s="113"/>
      <c r="B7" s="118" t="s">
        <v>91</v>
      </c>
      <c r="C7" s="117" t="s">
        <v>111</v>
      </c>
      <c r="D7" s="118" t="s">
        <v>112</v>
      </c>
      <c r="E7" s="119" t="s">
        <v>113</v>
      </c>
      <c r="F7" s="113"/>
      <c r="G7" s="120" t="s">
        <v>114</v>
      </c>
      <c r="H7" s="118">
        <f>'VAL 1 TRIM '!$AO$9</f>
        <v>0</v>
      </c>
      <c r="I7" s="121">
        <f>H7/H11</f>
        <v>0</v>
      </c>
      <c r="J7" s="113"/>
      <c r="K7" s="113"/>
      <c r="L7" s="113"/>
      <c r="M7" s="113"/>
      <c r="N7" s="113"/>
      <c r="O7" s="113"/>
      <c r="P7" s="113"/>
      <c r="Q7" s="113"/>
      <c r="R7" s="113"/>
      <c r="S7" s="113"/>
      <c r="T7" s="113"/>
      <c r="U7" s="113"/>
      <c r="V7" s="113"/>
      <c r="W7" s="113"/>
      <c r="X7" s="113"/>
      <c r="Y7" s="113"/>
      <c r="Z7" s="113"/>
    </row>
    <row r="8" spans="1:26" ht="20.399999999999999">
      <c r="A8" s="113"/>
      <c r="B8" s="118" t="s">
        <v>92</v>
      </c>
      <c r="C8" s="117" t="s">
        <v>115</v>
      </c>
      <c r="D8" s="118" t="s">
        <v>116</v>
      </c>
      <c r="E8" s="119" t="s">
        <v>117</v>
      </c>
      <c r="F8" s="113"/>
      <c r="G8" s="120" t="s">
        <v>118</v>
      </c>
      <c r="H8" s="118">
        <f>'VAL 1 TRIM '!$AO$10</f>
        <v>7</v>
      </c>
      <c r="I8" s="121">
        <f>H8/H11</f>
        <v>0.19444444444444445</v>
      </c>
      <c r="J8" s="113"/>
      <c r="K8" s="113"/>
      <c r="L8" s="113"/>
      <c r="M8" s="113"/>
      <c r="N8" s="113"/>
      <c r="O8" s="113"/>
      <c r="P8" s="113"/>
      <c r="Q8" s="113"/>
      <c r="R8" s="113"/>
      <c r="S8" s="113"/>
      <c r="T8" s="113"/>
      <c r="U8" s="113"/>
      <c r="V8" s="113"/>
      <c r="W8" s="113"/>
      <c r="X8" s="113"/>
      <c r="Y8" s="113"/>
      <c r="Z8" s="113"/>
    </row>
    <row r="9" spans="1:26" ht="20.399999999999999">
      <c r="A9" s="113"/>
      <c r="B9" s="118" t="s">
        <v>93</v>
      </c>
      <c r="C9" s="117" t="s">
        <v>119</v>
      </c>
      <c r="D9" s="118" t="s">
        <v>120</v>
      </c>
      <c r="E9" s="119" t="s">
        <v>117</v>
      </c>
      <c r="F9" s="113"/>
      <c r="G9" s="122" t="s">
        <v>121</v>
      </c>
      <c r="H9" s="118">
        <f>'VAL 1 TRIM '!$AO$11</f>
        <v>3</v>
      </c>
      <c r="I9" s="121">
        <f>H9/H11</f>
        <v>8.3333333333333329E-2</v>
      </c>
      <c r="J9" s="113"/>
      <c r="K9" s="113"/>
      <c r="L9" s="113"/>
      <c r="M9" s="113"/>
      <c r="N9" s="113"/>
      <c r="O9" s="113"/>
      <c r="P9" s="113"/>
      <c r="Q9" s="113"/>
      <c r="R9" s="113"/>
      <c r="S9" s="113"/>
      <c r="T9" s="113"/>
      <c r="U9" s="113"/>
      <c r="V9" s="113"/>
      <c r="W9" s="113"/>
      <c r="X9" s="113"/>
      <c r="Y9" s="113"/>
      <c r="Z9" s="113"/>
    </row>
    <row r="10" spans="1:26" ht="20.399999999999999">
      <c r="A10" s="113"/>
      <c r="B10" s="118" t="s">
        <v>94</v>
      </c>
      <c r="C10" s="117" t="s">
        <v>122</v>
      </c>
      <c r="D10" s="118" t="s">
        <v>123</v>
      </c>
      <c r="E10" s="119" t="s">
        <v>117</v>
      </c>
      <c r="F10" s="113"/>
      <c r="G10" s="122" t="s">
        <v>124</v>
      </c>
      <c r="H10" s="118">
        <f>'VAL 1 TRIM '!$AO$12</f>
        <v>26</v>
      </c>
      <c r="I10" s="121">
        <f>H10/H11</f>
        <v>0.72222222222222221</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125</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50" t="s">
        <v>126</v>
      </c>
      <c r="C13" s="247"/>
      <c r="D13" s="247"/>
      <c r="E13" s="247"/>
      <c r="F13" s="247"/>
      <c r="G13" s="247"/>
      <c r="H13" s="247"/>
      <c r="I13" s="247"/>
      <c r="J13" s="247"/>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346" t="s">
        <v>127</v>
      </c>
      <c r="C15" s="254"/>
      <c r="D15" s="254"/>
      <c r="E15" s="254"/>
      <c r="F15" s="254"/>
      <c r="G15" s="254"/>
      <c r="H15" s="254"/>
      <c r="I15" s="254"/>
      <c r="J15" s="255"/>
      <c r="K15" s="113"/>
      <c r="L15" s="113"/>
      <c r="M15" s="113"/>
      <c r="N15" s="113"/>
      <c r="O15" s="113"/>
      <c r="P15" s="113"/>
      <c r="Q15" s="113"/>
      <c r="R15" s="113"/>
      <c r="S15" s="113"/>
      <c r="T15" s="113"/>
      <c r="U15" s="113"/>
      <c r="V15" s="113"/>
      <c r="W15" s="113"/>
      <c r="X15" s="113"/>
      <c r="Y15" s="113"/>
      <c r="Z15" s="113"/>
    </row>
    <row r="16" spans="1:26" ht="16.5" customHeight="1">
      <c r="A16" s="113"/>
      <c r="B16" s="347"/>
      <c r="C16" s="247"/>
      <c r="D16" s="247"/>
      <c r="E16" s="247"/>
      <c r="F16" s="247"/>
      <c r="G16" s="247"/>
      <c r="H16" s="247"/>
      <c r="I16" s="247"/>
      <c r="J16" s="348"/>
      <c r="K16" s="113"/>
      <c r="L16" s="113"/>
      <c r="M16" s="113"/>
      <c r="N16" s="113"/>
      <c r="O16" s="113"/>
      <c r="P16" s="113"/>
      <c r="Q16" s="113"/>
      <c r="R16" s="113"/>
      <c r="S16" s="113"/>
      <c r="T16" s="113"/>
      <c r="U16" s="113"/>
      <c r="V16" s="113"/>
      <c r="W16" s="113"/>
      <c r="X16" s="113"/>
      <c r="Y16" s="113"/>
      <c r="Z16" s="113"/>
    </row>
    <row r="17" spans="1:26" ht="16.5" customHeight="1">
      <c r="A17" s="113"/>
      <c r="B17" s="306"/>
      <c r="C17" s="307"/>
      <c r="D17" s="307"/>
      <c r="E17" s="307"/>
      <c r="F17" s="307"/>
      <c r="G17" s="307"/>
      <c r="H17" s="307"/>
      <c r="I17" s="307"/>
      <c r="J17" s="308"/>
      <c r="K17" s="113"/>
      <c r="L17" s="113"/>
      <c r="M17" s="113"/>
      <c r="N17" s="113"/>
      <c r="O17" s="113"/>
      <c r="P17" s="113"/>
      <c r="Q17" s="113"/>
      <c r="R17" s="113"/>
      <c r="S17" s="113"/>
      <c r="T17" s="113"/>
      <c r="U17" s="113"/>
      <c r="V17" s="113"/>
      <c r="W17" s="113"/>
      <c r="X17" s="113"/>
      <c r="Y17" s="113"/>
      <c r="Z17" s="113"/>
    </row>
    <row r="18" spans="1:26" ht="16.5" customHeight="1">
      <c r="A18" s="113"/>
      <c r="B18" s="346" t="s">
        <v>128</v>
      </c>
      <c r="C18" s="254"/>
      <c r="D18" s="254"/>
      <c r="E18" s="254"/>
      <c r="F18" s="254"/>
      <c r="G18" s="254"/>
      <c r="H18" s="254"/>
      <c r="I18" s="254"/>
      <c r="J18" s="255"/>
      <c r="K18" s="113"/>
      <c r="L18" s="113"/>
      <c r="M18" s="113"/>
      <c r="N18" s="113"/>
      <c r="O18" s="113"/>
      <c r="P18" s="113"/>
      <c r="Q18" s="113"/>
      <c r="R18" s="113"/>
      <c r="S18" s="113"/>
      <c r="T18" s="113"/>
      <c r="U18" s="113"/>
      <c r="V18" s="113"/>
      <c r="W18" s="113"/>
      <c r="X18" s="113"/>
      <c r="Y18" s="113"/>
      <c r="Z18" s="113"/>
    </row>
    <row r="19" spans="1:26" ht="16.5" customHeight="1">
      <c r="A19" s="113"/>
      <c r="B19" s="347"/>
      <c r="C19" s="247"/>
      <c r="D19" s="247"/>
      <c r="E19" s="247"/>
      <c r="F19" s="247"/>
      <c r="G19" s="247"/>
      <c r="H19" s="247"/>
      <c r="I19" s="247"/>
      <c r="J19" s="348"/>
      <c r="K19" s="113"/>
      <c r="L19" s="113"/>
      <c r="M19" s="113"/>
      <c r="N19" s="113"/>
      <c r="O19" s="113"/>
      <c r="P19" s="113"/>
      <c r="Q19" s="113"/>
      <c r="R19" s="113"/>
      <c r="S19" s="113"/>
      <c r="T19" s="113"/>
      <c r="U19" s="113"/>
      <c r="V19" s="113"/>
      <c r="W19" s="113"/>
      <c r="X19" s="113"/>
      <c r="Y19" s="113"/>
      <c r="Z19" s="113"/>
    </row>
    <row r="20" spans="1:26" ht="16.5" customHeight="1">
      <c r="A20" s="113"/>
      <c r="B20" s="306"/>
      <c r="C20" s="307"/>
      <c r="D20" s="307"/>
      <c r="E20" s="307"/>
      <c r="F20" s="307"/>
      <c r="G20" s="307"/>
      <c r="H20" s="307"/>
      <c r="I20" s="307"/>
      <c r="J20" s="308"/>
      <c r="K20" s="113"/>
      <c r="L20" s="113"/>
      <c r="M20" s="113"/>
      <c r="N20" s="113"/>
      <c r="O20" s="113"/>
      <c r="P20" s="113"/>
      <c r="Q20" s="113"/>
      <c r="R20" s="113"/>
      <c r="S20" s="113"/>
      <c r="T20" s="113"/>
      <c r="U20" s="113"/>
      <c r="V20" s="113"/>
      <c r="W20" s="113"/>
      <c r="X20" s="113"/>
      <c r="Y20" s="113"/>
      <c r="Z20" s="113"/>
    </row>
    <row r="21" spans="1:26" ht="16.5" customHeight="1">
      <c r="A21" s="113"/>
      <c r="B21" s="346" t="s">
        <v>129</v>
      </c>
      <c r="C21" s="254"/>
      <c r="D21" s="254"/>
      <c r="E21" s="254"/>
      <c r="F21" s="254"/>
      <c r="G21" s="254"/>
      <c r="H21" s="254"/>
      <c r="I21" s="254"/>
      <c r="J21" s="255"/>
      <c r="K21" s="113"/>
      <c r="L21" s="113"/>
      <c r="M21" s="113"/>
      <c r="N21" s="113"/>
      <c r="O21" s="113"/>
      <c r="P21" s="113"/>
      <c r="Q21" s="113"/>
      <c r="R21" s="113"/>
      <c r="S21" s="113"/>
      <c r="T21" s="113"/>
      <c r="U21" s="113"/>
      <c r="V21" s="113"/>
      <c r="W21" s="113"/>
      <c r="X21" s="113"/>
      <c r="Y21" s="113"/>
      <c r="Z21" s="113"/>
    </row>
    <row r="22" spans="1:26" ht="16.5" customHeight="1">
      <c r="A22" s="113"/>
      <c r="B22" s="347"/>
      <c r="C22" s="247"/>
      <c r="D22" s="247"/>
      <c r="E22" s="247"/>
      <c r="F22" s="247"/>
      <c r="G22" s="247"/>
      <c r="H22" s="247"/>
      <c r="I22" s="247"/>
      <c r="J22" s="348"/>
      <c r="K22" s="113"/>
      <c r="L22" s="113"/>
      <c r="M22" s="113"/>
      <c r="N22" s="113"/>
      <c r="O22" s="113"/>
      <c r="P22" s="113"/>
      <c r="Q22" s="113"/>
      <c r="R22" s="113"/>
      <c r="S22" s="113"/>
      <c r="T22" s="113"/>
      <c r="U22" s="113"/>
      <c r="V22" s="113"/>
      <c r="W22" s="113"/>
      <c r="X22" s="113"/>
      <c r="Y22" s="113"/>
      <c r="Z22" s="113"/>
    </row>
    <row r="23" spans="1:26" ht="16.5" customHeight="1">
      <c r="A23" s="113"/>
      <c r="B23" s="306"/>
      <c r="C23" s="307"/>
      <c r="D23" s="307"/>
      <c r="E23" s="307"/>
      <c r="F23" s="307"/>
      <c r="G23" s="307"/>
      <c r="H23" s="307"/>
      <c r="I23" s="307"/>
      <c r="J23" s="308"/>
      <c r="K23" s="113"/>
      <c r="L23" s="113"/>
      <c r="M23" s="113"/>
      <c r="N23" s="113"/>
      <c r="O23" s="113"/>
      <c r="P23" s="113"/>
      <c r="Q23" s="113"/>
      <c r="R23" s="113"/>
      <c r="S23" s="113"/>
      <c r="T23" s="113"/>
      <c r="U23" s="113"/>
      <c r="V23" s="113"/>
      <c r="W23" s="113"/>
      <c r="X23" s="113"/>
      <c r="Y23" s="113"/>
      <c r="Z23" s="113"/>
    </row>
    <row r="24" spans="1:26" ht="16.5" customHeight="1">
      <c r="A24" s="113"/>
      <c r="B24" s="346" t="s">
        <v>130</v>
      </c>
      <c r="C24" s="254"/>
      <c r="D24" s="254"/>
      <c r="E24" s="254"/>
      <c r="F24" s="254"/>
      <c r="G24" s="254"/>
      <c r="H24" s="254"/>
      <c r="I24" s="254"/>
      <c r="J24" s="255"/>
      <c r="K24" s="113"/>
      <c r="L24" s="113"/>
      <c r="M24" s="113"/>
      <c r="N24" s="113"/>
      <c r="O24" s="113"/>
      <c r="P24" s="113"/>
      <c r="Q24" s="113"/>
      <c r="R24" s="113"/>
      <c r="S24" s="113"/>
      <c r="T24" s="113"/>
      <c r="U24" s="113"/>
      <c r="V24" s="113"/>
      <c r="W24" s="113"/>
      <c r="X24" s="113"/>
      <c r="Y24" s="113"/>
      <c r="Z24" s="113"/>
    </row>
    <row r="25" spans="1:26" ht="16.5" customHeight="1">
      <c r="A25" s="113"/>
      <c r="B25" s="347"/>
      <c r="C25" s="247"/>
      <c r="D25" s="247"/>
      <c r="E25" s="247"/>
      <c r="F25" s="247"/>
      <c r="G25" s="247"/>
      <c r="H25" s="247"/>
      <c r="I25" s="247"/>
      <c r="J25" s="348"/>
      <c r="K25" s="113"/>
      <c r="L25" s="113"/>
      <c r="M25" s="113"/>
      <c r="N25" s="113"/>
      <c r="O25" s="113"/>
      <c r="P25" s="113"/>
      <c r="Q25" s="113"/>
      <c r="R25" s="113"/>
      <c r="S25" s="113"/>
      <c r="T25" s="113"/>
      <c r="U25" s="113"/>
      <c r="V25" s="113"/>
      <c r="W25" s="113"/>
      <c r="X25" s="113"/>
      <c r="Y25" s="113"/>
      <c r="Z25" s="113"/>
    </row>
    <row r="26" spans="1:26" ht="16.5" customHeight="1">
      <c r="A26" s="113"/>
      <c r="B26" s="306"/>
      <c r="C26" s="307"/>
      <c r="D26" s="307"/>
      <c r="E26" s="307"/>
      <c r="F26" s="307"/>
      <c r="G26" s="307"/>
      <c r="H26" s="307"/>
      <c r="I26" s="307"/>
      <c r="J26" s="308"/>
      <c r="K26" s="113"/>
      <c r="L26" s="113"/>
      <c r="M26" s="113"/>
      <c r="N26" s="113"/>
      <c r="O26" s="113"/>
      <c r="P26" s="113"/>
      <c r="Q26" s="113"/>
      <c r="R26" s="113"/>
      <c r="S26" s="113"/>
      <c r="T26" s="113"/>
      <c r="U26" s="113"/>
      <c r="V26" s="113"/>
      <c r="W26" s="113"/>
      <c r="X26" s="113"/>
      <c r="Y26" s="113"/>
      <c r="Z26" s="113"/>
    </row>
    <row r="27" spans="1:26" ht="16.5" customHeight="1">
      <c r="A27" s="113"/>
      <c r="B27" s="346" t="s">
        <v>131</v>
      </c>
      <c r="C27" s="254"/>
      <c r="D27" s="254"/>
      <c r="E27" s="254"/>
      <c r="F27" s="254"/>
      <c r="G27" s="254"/>
      <c r="H27" s="254"/>
      <c r="I27" s="254"/>
      <c r="J27" s="255"/>
      <c r="K27" s="113"/>
      <c r="L27" s="113"/>
      <c r="M27" s="113"/>
      <c r="N27" s="113"/>
      <c r="O27" s="113"/>
      <c r="P27" s="113"/>
      <c r="Q27" s="113"/>
      <c r="R27" s="113"/>
      <c r="S27" s="113"/>
      <c r="T27" s="113"/>
      <c r="U27" s="113"/>
      <c r="V27" s="113"/>
      <c r="W27" s="113"/>
      <c r="X27" s="113"/>
      <c r="Y27" s="113"/>
      <c r="Z27" s="113"/>
    </row>
    <row r="28" spans="1:26" ht="16.5" customHeight="1">
      <c r="A28" s="113"/>
      <c r="B28" s="347"/>
      <c r="C28" s="247"/>
      <c r="D28" s="247"/>
      <c r="E28" s="247"/>
      <c r="F28" s="247"/>
      <c r="G28" s="247"/>
      <c r="H28" s="247"/>
      <c r="I28" s="247"/>
      <c r="J28" s="348"/>
      <c r="K28" s="113"/>
      <c r="L28" s="113"/>
      <c r="M28" s="113"/>
      <c r="N28" s="113"/>
      <c r="O28" s="113"/>
      <c r="P28" s="113"/>
      <c r="Q28" s="113"/>
      <c r="R28" s="113"/>
      <c r="S28" s="113"/>
      <c r="T28" s="113"/>
      <c r="U28" s="113"/>
      <c r="V28" s="113"/>
      <c r="W28" s="113"/>
      <c r="X28" s="113"/>
      <c r="Y28" s="113"/>
      <c r="Z28" s="113"/>
    </row>
    <row r="29" spans="1:26" ht="16.5" customHeight="1">
      <c r="A29" s="113"/>
      <c r="B29" s="306"/>
      <c r="C29" s="307"/>
      <c r="D29" s="307"/>
      <c r="E29" s="307"/>
      <c r="F29" s="307"/>
      <c r="G29" s="307"/>
      <c r="H29" s="307"/>
      <c r="I29" s="307"/>
      <c r="J29" s="308"/>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132</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49" t="s">
        <v>133</v>
      </c>
      <c r="C2" s="247"/>
      <c r="D2" s="247"/>
      <c r="E2" s="247"/>
      <c r="F2" s="247"/>
      <c r="G2" s="247"/>
      <c r="H2" s="247"/>
      <c r="I2" s="247"/>
      <c r="J2" s="247"/>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44545</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110</v>
      </c>
      <c r="J6" s="113"/>
      <c r="K6" s="113"/>
      <c r="L6" s="113"/>
      <c r="M6" s="113"/>
      <c r="N6" s="113"/>
      <c r="O6" s="113"/>
      <c r="P6" s="113"/>
      <c r="Q6" s="113"/>
      <c r="R6" s="113"/>
      <c r="S6" s="113"/>
      <c r="T6" s="113"/>
      <c r="U6" s="113"/>
      <c r="V6" s="113"/>
      <c r="W6" s="113"/>
      <c r="X6" s="113"/>
      <c r="Y6" s="113"/>
      <c r="Z6" s="113"/>
    </row>
    <row r="7" spans="1:26" ht="20.399999999999999">
      <c r="A7" s="113"/>
      <c r="B7" s="118" t="s">
        <v>91</v>
      </c>
      <c r="C7" s="117" t="s">
        <v>111</v>
      </c>
      <c r="D7" s="118" t="s">
        <v>112</v>
      </c>
      <c r="E7" s="119" t="s">
        <v>113</v>
      </c>
      <c r="F7" s="113"/>
      <c r="G7" s="120" t="s">
        <v>114</v>
      </c>
      <c r="H7" s="118">
        <f>'VAL 2 TRIM'!$AO$9</f>
        <v>1</v>
      </c>
      <c r="I7" s="121">
        <f>H7/H11</f>
        <v>2.7777777777777776E-2</v>
      </c>
      <c r="J7" s="113"/>
      <c r="K7" s="113"/>
      <c r="L7" s="113"/>
      <c r="M7" s="113"/>
      <c r="N7" s="113"/>
      <c r="O7" s="113"/>
      <c r="P7" s="113"/>
      <c r="Q7" s="113"/>
      <c r="R7" s="113"/>
      <c r="S7" s="113"/>
      <c r="T7" s="113"/>
      <c r="U7" s="113"/>
      <c r="V7" s="113"/>
      <c r="W7" s="113"/>
      <c r="X7" s="113"/>
      <c r="Y7" s="113"/>
      <c r="Z7" s="113"/>
    </row>
    <row r="8" spans="1:26" ht="20.399999999999999">
      <c r="A8" s="113"/>
      <c r="B8" s="118" t="s">
        <v>92</v>
      </c>
      <c r="C8" s="117" t="s">
        <v>115</v>
      </c>
      <c r="D8" s="118" t="s">
        <v>116</v>
      </c>
      <c r="E8" s="119" t="s">
        <v>117</v>
      </c>
      <c r="F8" s="113"/>
      <c r="G8" s="120" t="s">
        <v>118</v>
      </c>
      <c r="H8" s="118">
        <f>'VAL 2 TRIM'!$AO$10</f>
        <v>4</v>
      </c>
      <c r="I8" s="121">
        <f>H8/H11</f>
        <v>0.1111111111111111</v>
      </c>
      <c r="J8" s="113"/>
      <c r="K8" s="113"/>
      <c r="L8" s="113"/>
      <c r="M8" s="113"/>
      <c r="N8" s="113"/>
      <c r="O8" s="113"/>
      <c r="P8" s="113"/>
      <c r="Q8" s="113"/>
      <c r="R8" s="113"/>
      <c r="S8" s="113"/>
      <c r="T8" s="113"/>
      <c r="U8" s="113"/>
      <c r="V8" s="113"/>
      <c r="W8" s="113"/>
      <c r="X8" s="113"/>
      <c r="Y8" s="113"/>
      <c r="Z8" s="113"/>
    </row>
    <row r="9" spans="1:26" ht="20.399999999999999">
      <c r="A9" s="113"/>
      <c r="B9" s="118" t="s">
        <v>93</v>
      </c>
      <c r="C9" s="117" t="s">
        <v>119</v>
      </c>
      <c r="D9" s="118" t="s">
        <v>120</v>
      </c>
      <c r="E9" s="119" t="s">
        <v>117</v>
      </c>
      <c r="F9" s="113"/>
      <c r="G9" s="122" t="s">
        <v>121</v>
      </c>
      <c r="H9" s="118">
        <f>'VAL 2 TRIM'!$AO$11</f>
        <v>7</v>
      </c>
      <c r="I9" s="121">
        <f>H9/H11</f>
        <v>0.19444444444444445</v>
      </c>
      <c r="J9" s="113"/>
      <c r="K9" s="113"/>
      <c r="L9" s="113"/>
      <c r="M9" s="113"/>
      <c r="N9" s="113"/>
      <c r="O9" s="113"/>
      <c r="P9" s="113"/>
      <c r="Q9" s="113"/>
      <c r="R9" s="113"/>
      <c r="S9" s="113"/>
      <c r="T9" s="113"/>
      <c r="U9" s="113"/>
      <c r="V9" s="113"/>
      <c r="W9" s="113"/>
      <c r="X9" s="113"/>
      <c r="Y9" s="113"/>
      <c r="Z9" s="113"/>
    </row>
    <row r="10" spans="1:26" ht="20.399999999999999">
      <c r="A10" s="113"/>
      <c r="B10" s="118" t="s">
        <v>94</v>
      </c>
      <c r="C10" s="117" t="s">
        <v>122</v>
      </c>
      <c r="D10" s="118" t="s">
        <v>123</v>
      </c>
      <c r="E10" s="119" t="s">
        <v>117</v>
      </c>
      <c r="F10" s="113"/>
      <c r="G10" s="122" t="s">
        <v>124</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125</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50" t="s">
        <v>126</v>
      </c>
      <c r="C13" s="247"/>
      <c r="D13" s="247"/>
      <c r="E13" s="247"/>
      <c r="F13" s="247"/>
      <c r="G13" s="247"/>
      <c r="H13" s="247"/>
      <c r="I13" s="247"/>
      <c r="J13" s="247"/>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346" t="s">
        <v>127</v>
      </c>
      <c r="C15" s="254"/>
      <c r="D15" s="254"/>
      <c r="E15" s="254"/>
      <c r="F15" s="254"/>
      <c r="G15" s="254"/>
      <c r="H15" s="254"/>
      <c r="I15" s="254"/>
      <c r="J15" s="255"/>
      <c r="K15" s="113"/>
      <c r="L15" s="113"/>
      <c r="M15" s="113"/>
      <c r="N15" s="113"/>
      <c r="O15" s="113"/>
      <c r="P15" s="113"/>
      <c r="Q15" s="113"/>
      <c r="R15" s="113"/>
      <c r="S15" s="113"/>
      <c r="T15" s="113"/>
      <c r="U15" s="113"/>
      <c r="V15" s="113"/>
      <c r="W15" s="113"/>
      <c r="X15" s="113"/>
      <c r="Y15" s="113"/>
      <c r="Z15" s="113"/>
    </row>
    <row r="16" spans="1:26" ht="16.5" customHeight="1">
      <c r="A16" s="113"/>
      <c r="B16" s="347"/>
      <c r="C16" s="247"/>
      <c r="D16" s="247"/>
      <c r="E16" s="247"/>
      <c r="F16" s="247"/>
      <c r="G16" s="247"/>
      <c r="H16" s="247"/>
      <c r="I16" s="247"/>
      <c r="J16" s="348"/>
      <c r="K16" s="113"/>
      <c r="L16" s="113"/>
      <c r="M16" s="113"/>
      <c r="N16" s="113"/>
      <c r="O16" s="113"/>
      <c r="P16" s="113"/>
      <c r="Q16" s="113"/>
      <c r="R16" s="113"/>
      <c r="S16" s="113"/>
      <c r="T16" s="113"/>
      <c r="U16" s="113"/>
      <c r="V16" s="113"/>
      <c r="W16" s="113"/>
      <c r="X16" s="113"/>
      <c r="Y16" s="113"/>
      <c r="Z16" s="113"/>
    </row>
    <row r="17" spans="1:26" ht="16.5" customHeight="1">
      <c r="A17" s="113"/>
      <c r="B17" s="306"/>
      <c r="C17" s="307"/>
      <c r="D17" s="307"/>
      <c r="E17" s="307"/>
      <c r="F17" s="307"/>
      <c r="G17" s="307"/>
      <c r="H17" s="307"/>
      <c r="I17" s="307"/>
      <c r="J17" s="308"/>
      <c r="K17" s="113"/>
      <c r="L17" s="113"/>
      <c r="M17" s="113"/>
      <c r="N17" s="113"/>
      <c r="O17" s="113"/>
      <c r="P17" s="113"/>
      <c r="Q17" s="113"/>
      <c r="R17" s="113"/>
      <c r="S17" s="113"/>
      <c r="T17" s="113"/>
      <c r="U17" s="113"/>
      <c r="V17" s="113"/>
      <c r="W17" s="113"/>
      <c r="X17" s="113"/>
      <c r="Y17" s="113"/>
      <c r="Z17" s="113"/>
    </row>
    <row r="18" spans="1:26" ht="16.5" customHeight="1">
      <c r="A18" s="113"/>
      <c r="B18" s="346" t="s">
        <v>128</v>
      </c>
      <c r="C18" s="254"/>
      <c r="D18" s="254"/>
      <c r="E18" s="254"/>
      <c r="F18" s="254"/>
      <c r="G18" s="254"/>
      <c r="H18" s="254"/>
      <c r="I18" s="254"/>
      <c r="J18" s="255"/>
      <c r="K18" s="113"/>
      <c r="L18" s="113"/>
      <c r="M18" s="113"/>
      <c r="N18" s="113"/>
      <c r="O18" s="113"/>
      <c r="P18" s="113"/>
      <c r="Q18" s="113"/>
      <c r="R18" s="113"/>
      <c r="S18" s="113"/>
      <c r="T18" s="113"/>
      <c r="U18" s="113"/>
      <c r="V18" s="113"/>
      <c r="W18" s="113"/>
      <c r="X18" s="113"/>
      <c r="Y18" s="113"/>
      <c r="Z18" s="113"/>
    </row>
    <row r="19" spans="1:26" ht="16.5" customHeight="1">
      <c r="A19" s="113"/>
      <c r="B19" s="347"/>
      <c r="C19" s="247"/>
      <c r="D19" s="247"/>
      <c r="E19" s="247"/>
      <c r="F19" s="247"/>
      <c r="G19" s="247"/>
      <c r="H19" s="247"/>
      <c r="I19" s="247"/>
      <c r="J19" s="348"/>
      <c r="K19" s="113"/>
      <c r="L19" s="113"/>
      <c r="M19" s="113"/>
      <c r="N19" s="113"/>
      <c r="O19" s="113"/>
      <c r="P19" s="113"/>
      <c r="Q19" s="113"/>
      <c r="R19" s="113"/>
      <c r="S19" s="113"/>
      <c r="T19" s="113"/>
      <c r="U19" s="113"/>
      <c r="V19" s="113"/>
      <c r="W19" s="113"/>
      <c r="X19" s="113"/>
      <c r="Y19" s="113"/>
      <c r="Z19" s="113"/>
    </row>
    <row r="20" spans="1:26" ht="16.5" customHeight="1">
      <c r="A20" s="113"/>
      <c r="B20" s="306"/>
      <c r="C20" s="307"/>
      <c r="D20" s="307"/>
      <c r="E20" s="307"/>
      <c r="F20" s="307"/>
      <c r="G20" s="307"/>
      <c r="H20" s="307"/>
      <c r="I20" s="307"/>
      <c r="J20" s="308"/>
      <c r="K20" s="113"/>
      <c r="L20" s="113"/>
      <c r="M20" s="113"/>
      <c r="N20" s="113"/>
      <c r="O20" s="113"/>
      <c r="P20" s="113"/>
      <c r="Q20" s="113"/>
      <c r="R20" s="113"/>
      <c r="S20" s="113"/>
      <c r="T20" s="113"/>
      <c r="U20" s="113"/>
      <c r="V20" s="113"/>
      <c r="W20" s="113"/>
      <c r="X20" s="113"/>
      <c r="Y20" s="113"/>
      <c r="Z20" s="113"/>
    </row>
    <row r="21" spans="1:26" ht="16.5" customHeight="1">
      <c r="A21" s="113"/>
      <c r="B21" s="346" t="s">
        <v>129</v>
      </c>
      <c r="C21" s="254"/>
      <c r="D21" s="254"/>
      <c r="E21" s="254"/>
      <c r="F21" s="254"/>
      <c r="G21" s="254"/>
      <c r="H21" s="254"/>
      <c r="I21" s="254"/>
      <c r="J21" s="255"/>
      <c r="K21" s="113"/>
      <c r="L21" s="113"/>
      <c r="M21" s="113"/>
      <c r="N21" s="113"/>
      <c r="O21" s="113"/>
      <c r="P21" s="113"/>
      <c r="Q21" s="113"/>
      <c r="R21" s="113"/>
      <c r="S21" s="113"/>
      <c r="T21" s="113"/>
      <c r="U21" s="113"/>
      <c r="V21" s="113"/>
      <c r="W21" s="113"/>
      <c r="X21" s="113"/>
      <c r="Y21" s="113"/>
      <c r="Z21" s="113"/>
    </row>
    <row r="22" spans="1:26" ht="16.5" customHeight="1">
      <c r="A22" s="113"/>
      <c r="B22" s="347"/>
      <c r="C22" s="247"/>
      <c r="D22" s="247"/>
      <c r="E22" s="247"/>
      <c r="F22" s="247"/>
      <c r="G22" s="247"/>
      <c r="H22" s="247"/>
      <c r="I22" s="247"/>
      <c r="J22" s="348"/>
      <c r="K22" s="113"/>
      <c r="L22" s="113"/>
      <c r="M22" s="113"/>
      <c r="N22" s="113"/>
      <c r="O22" s="113"/>
      <c r="P22" s="113"/>
      <c r="Q22" s="113"/>
      <c r="R22" s="113"/>
      <c r="S22" s="113"/>
      <c r="T22" s="113"/>
      <c r="U22" s="113"/>
      <c r="V22" s="113"/>
      <c r="W22" s="113"/>
      <c r="X22" s="113"/>
      <c r="Y22" s="113"/>
      <c r="Z22" s="113"/>
    </row>
    <row r="23" spans="1:26" ht="16.5" customHeight="1">
      <c r="A23" s="113"/>
      <c r="B23" s="306"/>
      <c r="C23" s="307"/>
      <c r="D23" s="307"/>
      <c r="E23" s="307"/>
      <c r="F23" s="307"/>
      <c r="G23" s="307"/>
      <c r="H23" s="307"/>
      <c r="I23" s="307"/>
      <c r="J23" s="308"/>
      <c r="K23" s="113"/>
      <c r="L23" s="113"/>
      <c r="M23" s="113"/>
      <c r="N23" s="113"/>
      <c r="O23" s="113"/>
      <c r="P23" s="113"/>
      <c r="Q23" s="113"/>
      <c r="R23" s="113"/>
      <c r="S23" s="113"/>
      <c r="T23" s="113"/>
      <c r="U23" s="113"/>
      <c r="V23" s="113"/>
      <c r="W23" s="113"/>
      <c r="X23" s="113"/>
      <c r="Y23" s="113"/>
      <c r="Z23" s="113"/>
    </row>
    <row r="24" spans="1:26" ht="16.5" customHeight="1">
      <c r="A24" s="113"/>
      <c r="B24" s="346" t="s">
        <v>130</v>
      </c>
      <c r="C24" s="254"/>
      <c r="D24" s="254"/>
      <c r="E24" s="254"/>
      <c r="F24" s="254"/>
      <c r="G24" s="254"/>
      <c r="H24" s="254"/>
      <c r="I24" s="254"/>
      <c r="J24" s="255"/>
      <c r="K24" s="113"/>
      <c r="L24" s="113"/>
      <c r="M24" s="113"/>
      <c r="N24" s="113"/>
      <c r="O24" s="113"/>
      <c r="P24" s="113"/>
      <c r="Q24" s="113"/>
      <c r="R24" s="113"/>
      <c r="S24" s="113"/>
      <c r="T24" s="113"/>
      <c r="U24" s="113"/>
      <c r="V24" s="113"/>
      <c r="W24" s="113"/>
      <c r="X24" s="113"/>
      <c r="Y24" s="113"/>
      <c r="Z24" s="113"/>
    </row>
    <row r="25" spans="1:26" ht="16.5" customHeight="1">
      <c r="A25" s="113"/>
      <c r="B25" s="347"/>
      <c r="C25" s="247"/>
      <c r="D25" s="247"/>
      <c r="E25" s="247"/>
      <c r="F25" s="247"/>
      <c r="G25" s="247"/>
      <c r="H25" s="247"/>
      <c r="I25" s="247"/>
      <c r="J25" s="348"/>
      <c r="K25" s="113"/>
      <c r="L25" s="113"/>
      <c r="M25" s="113"/>
      <c r="N25" s="113"/>
      <c r="O25" s="113"/>
      <c r="P25" s="113"/>
      <c r="Q25" s="113"/>
      <c r="R25" s="113"/>
      <c r="S25" s="113"/>
      <c r="T25" s="113"/>
      <c r="U25" s="113"/>
      <c r="V25" s="113"/>
      <c r="W25" s="113"/>
      <c r="X25" s="113"/>
      <c r="Y25" s="113"/>
      <c r="Z25" s="113"/>
    </row>
    <row r="26" spans="1:26" ht="16.5" customHeight="1">
      <c r="A26" s="113"/>
      <c r="B26" s="306"/>
      <c r="C26" s="307"/>
      <c r="D26" s="307"/>
      <c r="E26" s="307"/>
      <c r="F26" s="307"/>
      <c r="G26" s="307"/>
      <c r="H26" s="307"/>
      <c r="I26" s="307"/>
      <c r="J26" s="308"/>
      <c r="K26" s="113"/>
      <c r="L26" s="113"/>
      <c r="M26" s="113"/>
      <c r="N26" s="113"/>
      <c r="O26" s="113"/>
      <c r="P26" s="113"/>
      <c r="Q26" s="113"/>
      <c r="R26" s="113"/>
      <c r="S26" s="113"/>
      <c r="T26" s="113"/>
      <c r="U26" s="113"/>
      <c r="V26" s="113"/>
      <c r="W26" s="113"/>
      <c r="X26" s="113"/>
      <c r="Y26" s="113"/>
      <c r="Z26" s="113"/>
    </row>
    <row r="27" spans="1:26" ht="16.5" customHeight="1">
      <c r="A27" s="113"/>
      <c r="B27" s="346" t="s">
        <v>131</v>
      </c>
      <c r="C27" s="254"/>
      <c r="D27" s="254"/>
      <c r="E27" s="254"/>
      <c r="F27" s="254"/>
      <c r="G27" s="254"/>
      <c r="H27" s="254"/>
      <c r="I27" s="254"/>
      <c r="J27" s="255"/>
      <c r="K27" s="113"/>
      <c r="L27" s="113"/>
      <c r="M27" s="113"/>
      <c r="N27" s="113"/>
      <c r="O27" s="113"/>
      <c r="P27" s="113"/>
      <c r="Q27" s="113"/>
      <c r="R27" s="113"/>
      <c r="S27" s="113"/>
      <c r="T27" s="113"/>
      <c r="U27" s="113"/>
      <c r="V27" s="113"/>
      <c r="W27" s="113"/>
      <c r="X27" s="113"/>
      <c r="Y27" s="113"/>
      <c r="Z27" s="113"/>
    </row>
    <row r="28" spans="1:26" ht="16.5" customHeight="1">
      <c r="A28" s="113"/>
      <c r="B28" s="347"/>
      <c r="C28" s="247"/>
      <c r="D28" s="247"/>
      <c r="E28" s="247"/>
      <c r="F28" s="247"/>
      <c r="G28" s="247"/>
      <c r="H28" s="247"/>
      <c r="I28" s="247"/>
      <c r="J28" s="348"/>
      <c r="K28" s="113"/>
      <c r="L28" s="113"/>
      <c r="M28" s="113"/>
      <c r="N28" s="113"/>
      <c r="O28" s="113"/>
      <c r="P28" s="113"/>
      <c r="Q28" s="113"/>
      <c r="R28" s="113"/>
      <c r="S28" s="113"/>
      <c r="T28" s="113"/>
      <c r="U28" s="113"/>
      <c r="V28" s="113"/>
      <c r="W28" s="113"/>
      <c r="X28" s="113"/>
      <c r="Y28" s="113"/>
      <c r="Z28" s="113"/>
    </row>
    <row r="29" spans="1:26" ht="16.5" customHeight="1">
      <c r="A29" s="113"/>
      <c r="B29" s="306"/>
      <c r="C29" s="307"/>
      <c r="D29" s="307"/>
      <c r="E29" s="307"/>
      <c r="F29" s="307"/>
      <c r="G29" s="307"/>
      <c r="H29" s="307"/>
      <c r="I29" s="307"/>
      <c r="J29" s="308"/>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132</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cols>
    <col min="1" max="1" width="3.796875" customWidth="1"/>
    <col min="2" max="2" width="6.1328125" customWidth="1"/>
    <col min="3" max="3" width="12.6640625" customWidth="1"/>
    <col min="4" max="4" width="5.796875" customWidth="1"/>
    <col min="5" max="5" width="7.46484375" customWidth="1"/>
    <col min="6" max="6" width="2.796875" customWidth="1"/>
    <col min="7" max="7" width="14.73046875" customWidth="1"/>
    <col min="8" max="8" width="5.1328125" customWidth="1"/>
    <col min="9" max="10" width="10.796875" customWidth="1"/>
    <col min="11" max="26" width="10.398437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349" t="s">
        <v>134</v>
      </c>
      <c r="C2" s="247"/>
      <c r="D2" s="247"/>
      <c r="E2" s="247"/>
      <c r="F2" s="247"/>
      <c r="G2" s="247"/>
      <c r="H2" s="247"/>
      <c r="I2" s="247"/>
      <c r="J2" s="247"/>
      <c r="K2" s="113"/>
      <c r="L2" s="113"/>
      <c r="M2" s="113"/>
      <c r="N2" s="113"/>
      <c r="O2" s="113"/>
      <c r="P2" s="113"/>
      <c r="Q2" s="113"/>
      <c r="R2" s="113"/>
      <c r="S2" s="113"/>
      <c r="T2" s="113"/>
      <c r="U2" s="113"/>
      <c r="V2" s="113"/>
      <c r="W2" s="113"/>
      <c r="X2" s="113"/>
      <c r="Y2" s="113"/>
      <c r="Z2" s="113"/>
    </row>
    <row r="3" spans="1:26" ht="20.399999999999999">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399999999999999">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399999999999999">
      <c r="A5" s="113"/>
      <c r="B5" s="114" t="s">
        <v>22</v>
      </c>
      <c r="C5" s="113"/>
      <c r="D5" s="115" t="str">
        <f>CARÁTULA!$C$23</f>
        <v>1ro de Secundaria</v>
      </c>
      <c r="E5" s="113"/>
      <c r="F5" s="113"/>
      <c r="G5" s="113"/>
      <c r="H5" s="114" t="s">
        <v>23</v>
      </c>
      <c r="I5" s="68">
        <f ca="1">TODAY()</f>
        <v>44545</v>
      </c>
      <c r="J5" s="113"/>
      <c r="K5" s="113"/>
      <c r="L5" s="113"/>
      <c r="M5" s="113"/>
      <c r="N5" s="113"/>
      <c r="O5" s="113"/>
      <c r="P5" s="113"/>
      <c r="Q5" s="113"/>
      <c r="R5" s="113"/>
      <c r="S5" s="113"/>
      <c r="T5" s="113"/>
      <c r="U5" s="113"/>
      <c r="V5" s="113"/>
      <c r="W5" s="113"/>
      <c r="X5" s="113"/>
      <c r="Y5" s="113"/>
      <c r="Z5" s="113"/>
    </row>
    <row r="6" spans="1:26" ht="20.399999999999999">
      <c r="A6" s="113"/>
      <c r="B6" s="113"/>
      <c r="C6" s="113"/>
      <c r="D6" s="113"/>
      <c r="E6" s="113"/>
      <c r="F6" s="113"/>
      <c r="G6" s="117"/>
      <c r="H6" s="117"/>
      <c r="I6" s="118" t="s">
        <v>110</v>
      </c>
      <c r="J6" s="113"/>
      <c r="K6" s="113"/>
      <c r="L6" s="113"/>
      <c r="M6" s="113"/>
      <c r="N6" s="113"/>
      <c r="O6" s="113"/>
      <c r="P6" s="113"/>
      <c r="Q6" s="113"/>
      <c r="R6" s="113"/>
      <c r="S6" s="113"/>
      <c r="T6" s="113"/>
      <c r="U6" s="113"/>
      <c r="V6" s="113"/>
      <c r="W6" s="113"/>
      <c r="X6" s="113"/>
      <c r="Y6" s="113"/>
      <c r="Z6" s="113"/>
    </row>
    <row r="7" spans="1:26" ht="20.399999999999999">
      <c r="A7" s="113"/>
      <c r="B7" s="118" t="s">
        <v>91</v>
      </c>
      <c r="C7" s="117" t="s">
        <v>111</v>
      </c>
      <c r="D7" s="118" t="s">
        <v>112</v>
      </c>
      <c r="E7" s="119" t="s">
        <v>113</v>
      </c>
      <c r="F7" s="113"/>
      <c r="G7" s="120" t="s">
        <v>114</v>
      </c>
      <c r="H7" s="118">
        <f>'VAL 3 TRIM'!$AO$9</f>
        <v>0</v>
      </c>
      <c r="I7" s="121">
        <f>H7/H11</f>
        <v>0</v>
      </c>
      <c r="J7" s="113"/>
      <c r="K7" s="113"/>
      <c r="L7" s="113"/>
      <c r="M7" s="113"/>
      <c r="N7" s="113"/>
      <c r="O7" s="113"/>
      <c r="P7" s="113"/>
      <c r="Q7" s="113"/>
      <c r="R7" s="113"/>
      <c r="S7" s="113"/>
      <c r="T7" s="113"/>
      <c r="U7" s="113"/>
      <c r="V7" s="113"/>
      <c r="W7" s="113"/>
      <c r="X7" s="113"/>
      <c r="Y7" s="113"/>
      <c r="Z7" s="113"/>
    </row>
    <row r="8" spans="1:26" ht="20.399999999999999">
      <c r="A8" s="113"/>
      <c r="B8" s="118" t="s">
        <v>92</v>
      </c>
      <c r="C8" s="117" t="s">
        <v>115</v>
      </c>
      <c r="D8" s="118" t="s">
        <v>116</v>
      </c>
      <c r="E8" s="119" t="s">
        <v>117</v>
      </c>
      <c r="F8" s="113"/>
      <c r="G8" s="120" t="s">
        <v>118</v>
      </c>
      <c r="H8" s="118">
        <f>'VAL 3 TRIM'!$AO$10</f>
        <v>6</v>
      </c>
      <c r="I8" s="121">
        <f>H8/H11</f>
        <v>0.16666666666666666</v>
      </c>
      <c r="J8" s="113"/>
      <c r="K8" s="113"/>
      <c r="L8" s="113"/>
      <c r="M8" s="113"/>
      <c r="N8" s="113"/>
      <c r="O8" s="113"/>
      <c r="P8" s="113"/>
      <c r="Q8" s="113"/>
      <c r="R8" s="113"/>
      <c r="S8" s="113"/>
      <c r="T8" s="113"/>
      <c r="U8" s="113"/>
      <c r="V8" s="113"/>
      <c r="W8" s="113"/>
      <c r="X8" s="113"/>
      <c r="Y8" s="113"/>
      <c r="Z8" s="113"/>
    </row>
    <row r="9" spans="1:26" ht="20.399999999999999">
      <c r="A9" s="113"/>
      <c r="B9" s="118" t="s">
        <v>93</v>
      </c>
      <c r="C9" s="117" t="s">
        <v>119</v>
      </c>
      <c r="D9" s="118" t="s">
        <v>120</v>
      </c>
      <c r="E9" s="119" t="s">
        <v>117</v>
      </c>
      <c r="F9" s="113"/>
      <c r="G9" s="122" t="s">
        <v>121</v>
      </c>
      <c r="H9" s="118">
        <f>'VAL 3 TRIM'!$AO$11</f>
        <v>4</v>
      </c>
      <c r="I9" s="121">
        <f>H9/H11</f>
        <v>0.1111111111111111</v>
      </c>
      <c r="J9" s="113"/>
      <c r="K9" s="113"/>
      <c r="L9" s="113"/>
      <c r="M9" s="113"/>
      <c r="N9" s="113"/>
      <c r="O9" s="113"/>
      <c r="P9" s="113"/>
      <c r="Q9" s="113"/>
      <c r="R9" s="113"/>
      <c r="S9" s="113"/>
      <c r="T9" s="113"/>
      <c r="U9" s="113"/>
      <c r="V9" s="113"/>
      <c r="W9" s="113"/>
      <c r="X9" s="113"/>
      <c r="Y9" s="113"/>
      <c r="Z9" s="113"/>
    </row>
    <row r="10" spans="1:26" ht="20.399999999999999">
      <c r="A10" s="113"/>
      <c r="B10" s="118" t="s">
        <v>94</v>
      </c>
      <c r="C10" s="117" t="s">
        <v>122</v>
      </c>
      <c r="D10" s="118" t="s">
        <v>123</v>
      </c>
      <c r="E10" s="119" t="s">
        <v>117</v>
      </c>
      <c r="F10" s="113"/>
      <c r="G10" s="122" t="s">
        <v>124</v>
      </c>
      <c r="H10" s="118">
        <f>'VAL 3 TRIM'!$AO$12</f>
        <v>26</v>
      </c>
      <c r="I10" s="121">
        <f>H10/H11</f>
        <v>0.72222222222222221</v>
      </c>
      <c r="J10" s="113"/>
      <c r="K10" s="113"/>
      <c r="L10" s="113"/>
      <c r="M10" s="113"/>
      <c r="N10" s="113"/>
      <c r="O10" s="113"/>
      <c r="P10" s="113"/>
      <c r="Q10" s="113"/>
      <c r="R10" s="113"/>
      <c r="S10" s="113"/>
      <c r="T10" s="113"/>
      <c r="U10" s="113"/>
      <c r="V10" s="113"/>
      <c r="W10" s="113"/>
      <c r="X10" s="113"/>
      <c r="Y10" s="113"/>
      <c r="Z10" s="113"/>
    </row>
    <row r="11" spans="1:26" ht="20.399999999999999">
      <c r="A11" s="113"/>
      <c r="B11" s="113"/>
      <c r="C11" s="113"/>
      <c r="D11" s="113"/>
      <c r="E11" s="113"/>
      <c r="F11" s="113"/>
      <c r="G11" s="123" t="s">
        <v>125</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399999999999999">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399999999999999">
      <c r="A13" s="113"/>
      <c r="B13" s="350" t="s">
        <v>126</v>
      </c>
      <c r="C13" s="247"/>
      <c r="D13" s="247"/>
      <c r="E13" s="247"/>
      <c r="F13" s="247"/>
      <c r="G13" s="247"/>
      <c r="H13" s="247"/>
      <c r="I13" s="247"/>
      <c r="J13" s="247"/>
      <c r="K13" s="113"/>
      <c r="L13" s="113"/>
      <c r="M13" s="113"/>
      <c r="N13" s="113"/>
      <c r="O13" s="113"/>
      <c r="P13" s="113"/>
      <c r="Q13" s="113"/>
      <c r="R13" s="113"/>
      <c r="S13" s="113"/>
      <c r="T13" s="113"/>
      <c r="U13" s="113"/>
      <c r="V13" s="113"/>
      <c r="W13" s="113"/>
      <c r="X13" s="113"/>
      <c r="Y13" s="113"/>
      <c r="Z13" s="113"/>
    </row>
    <row r="14" spans="1:26" ht="20.399999999999999">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346" t="s">
        <v>127</v>
      </c>
      <c r="C15" s="254"/>
      <c r="D15" s="254"/>
      <c r="E15" s="254"/>
      <c r="F15" s="254"/>
      <c r="G15" s="254"/>
      <c r="H15" s="254"/>
      <c r="I15" s="254"/>
      <c r="J15" s="255"/>
      <c r="K15" s="113"/>
      <c r="L15" s="113"/>
      <c r="M15" s="113"/>
      <c r="N15" s="113"/>
      <c r="O15" s="113"/>
      <c r="P15" s="113"/>
      <c r="Q15" s="113"/>
      <c r="R15" s="113"/>
      <c r="S15" s="113"/>
      <c r="T15" s="113"/>
      <c r="U15" s="113"/>
      <c r="V15" s="113"/>
      <c r="W15" s="113"/>
      <c r="X15" s="113"/>
      <c r="Y15" s="113"/>
      <c r="Z15" s="113"/>
    </row>
    <row r="16" spans="1:26" ht="16.5" customHeight="1">
      <c r="A16" s="113"/>
      <c r="B16" s="347"/>
      <c r="C16" s="247"/>
      <c r="D16" s="247"/>
      <c r="E16" s="247"/>
      <c r="F16" s="247"/>
      <c r="G16" s="247"/>
      <c r="H16" s="247"/>
      <c r="I16" s="247"/>
      <c r="J16" s="348"/>
      <c r="K16" s="113"/>
      <c r="L16" s="113"/>
      <c r="M16" s="113"/>
      <c r="N16" s="113"/>
      <c r="O16" s="113"/>
      <c r="P16" s="113"/>
      <c r="Q16" s="113"/>
      <c r="R16" s="113"/>
      <c r="S16" s="113"/>
      <c r="T16" s="113"/>
      <c r="U16" s="113"/>
      <c r="V16" s="113"/>
      <c r="W16" s="113"/>
      <c r="X16" s="113"/>
      <c r="Y16" s="113"/>
      <c r="Z16" s="113"/>
    </row>
    <row r="17" spans="1:26" ht="16.5" customHeight="1">
      <c r="A17" s="113"/>
      <c r="B17" s="306"/>
      <c r="C17" s="307"/>
      <c r="D17" s="307"/>
      <c r="E17" s="307"/>
      <c r="F17" s="307"/>
      <c r="G17" s="307"/>
      <c r="H17" s="307"/>
      <c r="I17" s="307"/>
      <c r="J17" s="308"/>
      <c r="K17" s="113"/>
      <c r="L17" s="113"/>
      <c r="M17" s="113"/>
      <c r="N17" s="113"/>
      <c r="O17" s="113"/>
      <c r="P17" s="113"/>
      <c r="Q17" s="113"/>
      <c r="R17" s="113"/>
      <c r="S17" s="113"/>
      <c r="T17" s="113"/>
      <c r="U17" s="113"/>
      <c r="V17" s="113"/>
      <c r="W17" s="113"/>
      <c r="X17" s="113"/>
      <c r="Y17" s="113"/>
      <c r="Z17" s="113"/>
    </row>
    <row r="18" spans="1:26" ht="16.5" customHeight="1">
      <c r="A18" s="113"/>
      <c r="B18" s="346" t="s">
        <v>128</v>
      </c>
      <c r="C18" s="254"/>
      <c r="D18" s="254"/>
      <c r="E18" s="254"/>
      <c r="F18" s="254"/>
      <c r="G18" s="254"/>
      <c r="H18" s="254"/>
      <c r="I18" s="254"/>
      <c r="J18" s="255"/>
      <c r="K18" s="113"/>
      <c r="L18" s="113"/>
      <c r="M18" s="113"/>
      <c r="N18" s="113"/>
      <c r="O18" s="113"/>
      <c r="P18" s="113"/>
      <c r="Q18" s="113"/>
      <c r="R18" s="113"/>
      <c r="S18" s="113"/>
      <c r="T18" s="113"/>
      <c r="U18" s="113"/>
      <c r="V18" s="113"/>
      <c r="W18" s="113"/>
      <c r="X18" s="113"/>
      <c r="Y18" s="113"/>
      <c r="Z18" s="113"/>
    </row>
    <row r="19" spans="1:26" ht="16.5" customHeight="1">
      <c r="A19" s="113"/>
      <c r="B19" s="347"/>
      <c r="C19" s="247"/>
      <c r="D19" s="247"/>
      <c r="E19" s="247"/>
      <c r="F19" s="247"/>
      <c r="G19" s="247"/>
      <c r="H19" s="247"/>
      <c r="I19" s="247"/>
      <c r="J19" s="348"/>
      <c r="K19" s="113"/>
      <c r="L19" s="113"/>
      <c r="M19" s="113"/>
      <c r="N19" s="113"/>
      <c r="O19" s="113"/>
      <c r="P19" s="113"/>
      <c r="Q19" s="113"/>
      <c r="R19" s="113"/>
      <c r="S19" s="113"/>
      <c r="T19" s="113"/>
      <c r="U19" s="113"/>
      <c r="V19" s="113"/>
      <c r="W19" s="113"/>
      <c r="X19" s="113"/>
      <c r="Y19" s="113"/>
      <c r="Z19" s="113"/>
    </row>
    <row r="20" spans="1:26" ht="16.5" customHeight="1">
      <c r="A20" s="113"/>
      <c r="B20" s="306"/>
      <c r="C20" s="307"/>
      <c r="D20" s="307"/>
      <c r="E20" s="307"/>
      <c r="F20" s="307"/>
      <c r="G20" s="307"/>
      <c r="H20" s="307"/>
      <c r="I20" s="307"/>
      <c r="J20" s="308"/>
      <c r="K20" s="113"/>
      <c r="L20" s="113"/>
      <c r="M20" s="113"/>
      <c r="N20" s="113"/>
      <c r="O20" s="113"/>
      <c r="P20" s="113"/>
      <c r="Q20" s="113"/>
      <c r="R20" s="113"/>
      <c r="S20" s="113"/>
      <c r="T20" s="113"/>
      <c r="U20" s="113"/>
      <c r="V20" s="113"/>
      <c r="W20" s="113"/>
      <c r="X20" s="113"/>
      <c r="Y20" s="113"/>
      <c r="Z20" s="113"/>
    </row>
    <row r="21" spans="1:26" ht="16.5" customHeight="1">
      <c r="A21" s="113"/>
      <c r="B21" s="346" t="s">
        <v>129</v>
      </c>
      <c r="C21" s="254"/>
      <c r="D21" s="254"/>
      <c r="E21" s="254"/>
      <c r="F21" s="254"/>
      <c r="G21" s="254"/>
      <c r="H21" s="254"/>
      <c r="I21" s="254"/>
      <c r="J21" s="255"/>
      <c r="K21" s="113"/>
      <c r="L21" s="113"/>
      <c r="M21" s="113"/>
      <c r="N21" s="113"/>
      <c r="O21" s="113"/>
      <c r="P21" s="113"/>
      <c r="Q21" s="113"/>
      <c r="R21" s="113"/>
      <c r="S21" s="113"/>
      <c r="T21" s="113"/>
      <c r="U21" s="113"/>
      <c r="V21" s="113"/>
      <c r="W21" s="113"/>
      <c r="X21" s="113"/>
      <c r="Y21" s="113"/>
      <c r="Z21" s="113"/>
    </row>
    <row r="22" spans="1:26" ht="16.5" customHeight="1">
      <c r="A22" s="113"/>
      <c r="B22" s="347"/>
      <c r="C22" s="247"/>
      <c r="D22" s="247"/>
      <c r="E22" s="247"/>
      <c r="F22" s="247"/>
      <c r="G22" s="247"/>
      <c r="H22" s="247"/>
      <c r="I22" s="247"/>
      <c r="J22" s="348"/>
      <c r="K22" s="113"/>
      <c r="L22" s="113"/>
      <c r="M22" s="113"/>
      <c r="N22" s="113"/>
      <c r="O22" s="113"/>
      <c r="P22" s="113"/>
      <c r="Q22" s="113"/>
      <c r="R22" s="113"/>
      <c r="S22" s="113"/>
      <c r="T22" s="113"/>
      <c r="U22" s="113"/>
      <c r="V22" s="113"/>
      <c r="W22" s="113"/>
      <c r="X22" s="113"/>
      <c r="Y22" s="113"/>
      <c r="Z22" s="113"/>
    </row>
    <row r="23" spans="1:26" ht="16.5" customHeight="1">
      <c r="A23" s="113"/>
      <c r="B23" s="306"/>
      <c r="C23" s="307"/>
      <c r="D23" s="307"/>
      <c r="E23" s="307"/>
      <c r="F23" s="307"/>
      <c r="G23" s="307"/>
      <c r="H23" s="307"/>
      <c r="I23" s="307"/>
      <c r="J23" s="308"/>
      <c r="K23" s="113"/>
      <c r="L23" s="113"/>
      <c r="M23" s="113"/>
      <c r="N23" s="113"/>
      <c r="O23" s="113"/>
      <c r="P23" s="113"/>
      <c r="Q23" s="113"/>
      <c r="R23" s="113"/>
      <c r="S23" s="113"/>
      <c r="T23" s="113"/>
      <c r="U23" s="113"/>
      <c r="V23" s="113"/>
      <c r="W23" s="113"/>
      <c r="X23" s="113"/>
      <c r="Y23" s="113"/>
      <c r="Z23" s="113"/>
    </row>
    <row r="24" spans="1:26" ht="16.5" customHeight="1">
      <c r="A24" s="113"/>
      <c r="B24" s="346" t="s">
        <v>130</v>
      </c>
      <c r="C24" s="254"/>
      <c r="D24" s="254"/>
      <c r="E24" s="254"/>
      <c r="F24" s="254"/>
      <c r="G24" s="254"/>
      <c r="H24" s="254"/>
      <c r="I24" s="254"/>
      <c r="J24" s="255"/>
      <c r="K24" s="113"/>
      <c r="L24" s="113"/>
      <c r="M24" s="113"/>
      <c r="N24" s="113"/>
      <c r="O24" s="113"/>
      <c r="P24" s="113"/>
      <c r="Q24" s="113"/>
      <c r="R24" s="113"/>
      <c r="S24" s="113"/>
      <c r="T24" s="113"/>
      <c r="U24" s="113"/>
      <c r="V24" s="113"/>
      <c r="W24" s="113"/>
      <c r="X24" s="113"/>
      <c r="Y24" s="113"/>
      <c r="Z24" s="113"/>
    </row>
    <row r="25" spans="1:26" ht="16.5" customHeight="1">
      <c r="A25" s="113"/>
      <c r="B25" s="347"/>
      <c r="C25" s="247"/>
      <c r="D25" s="247"/>
      <c r="E25" s="247"/>
      <c r="F25" s="247"/>
      <c r="G25" s="247"/>
      <c r="H25" s="247"/>
      <c r="I25" s="247"/>
      <c r="J25" s="348"/>
      <c r="K25" s="113"/>
      <c r="L25" s="113"/>
      <c r="M25" s="113"/>
      <c r="N25" s="113"/>
      <c r="O25" s="113"/>
      <c r="P25" s="113"/>
      <c r="Q25" s="113"/>
      <c r="R25" s="113"/>
      <c r="S25" s="113"/>
      <c r="T25" s="113"/>
      <c r="U25" s="113"/>
      <c r="V25" s="113"/>
      <c r="W25" s="113"/>
      <c r="X25" s="113"/>
      <c r="Y25" s="113"/>
      <c r="Z25" s="113"/>
    </row>
    <row r="26" spans="1:26" ht="16.5" customHeight="1">
      <c r="A26" s="113"/>
      <c r="B26" s="306"/>
      <c r="C26" s="307"/>
      <c r="D26" s="307"/>
      <c r="E26" s="307"/>
      <c r="F26" s="307"/>
      <c r="G26" s="307"/>
      <c r="H26" s="307"/>
      <c r="I26" s="307"/>
      <c r="J26" s="308"/>
      <c r="K26" s="113"/>
      <c r="L26" s="113"/>
      <c r="M26" s="113"/>
      <c r="N26" s="113"/>
      <c r="O26" s="113"/>
      <c r="P26" s="113"/>
      <c r="Q26" s="113"/>
      <c r="R26" s="113"/>
      <c r="S26" s="113"/>
      <c r="T26" s="113"/>
      <c r="U26" s="113"/>
      <c r="V26" s="113"/>
      <c r="W26" s="113"/>
      <c r="X26" s="113"/>
      <c r="Y26" s="113"/>
      <c r="Z26" s="113"/>
    </row>
    <row r="27" spans="1:26" ht="16.5" customHeight="1">
      <c r="A27" s="113"/>
      <c r="B27" s="346" t="s">
        <v>131</v>
      </c>
      <c r="C27" s="254"/>
      <c r="D27" s="254"/>
      <c r="E27" s="254"/>
      <c r="F27" s="254"/>
      <c r="G27" s="254"/>
      <c r="H27" s="254"/>
      <c r="I27" s="254"/>
      <c r="J27" s="255"/>
      <c r="K27" s="113"/>
      <c r="L27" s="113"/>
      <c r="M27" s="113"/>
      <c r="N27" s="113"/>
      <c r="O27" s="113"/>
      <c r="P27" s="113"/>
      <c r="Q27" s="113"/>
      <c r="R27" s="113"/>
      <c r="S27" s="113"/>
      <c r="T27" s="113"/>
      <c r="U27" s="113"/>
      <c r="V27" s="113"/>
      <c r="W27" s="113"/>
      <c r="X27" s="113"/>
      <c r="Y27" s="113"/>
      <c r="Z27" s="113"/>
    </row>
    <row r="28" spans="1:26" ht="16.5" customHeight="1">
      <c r="A28" s="113"/>
      <c r="B28" s="347"/>
      <c r="C28" s="247"/>
      <c r="D28" s="247"/>
      <c r="E28" s="247"/>
      <c r="F28" s="247"/>
      <c r="G28" s="247"/>
      <c r="H28" s="247"/>
      <c r="I28" s="247"/>
      <c r="J28" s="348"/>
      <c r="K28" s="113"/>
      <c r="L28" s="113"/>
      <c r="M28" s="113"/>
      <c r="N28" s="113"/>
      <c r="O28" s="113"/>
      <c r="P28" s="113"/>
      <c r="Q28" s="113"/>
      <c r="R28" s="113"/>
      <c r="S28" s="113"/>
      <c r="T28" s="113"/>
      <c r="U28" s="113"/>
      <c r="V28" s="113"/>
      <c r="W28" s="113"/>
      <c r="X28" s="113"/>
      <c r="Y28" s="113"/>
      <c r="Z28" s="113"/>
    </row>
    <row r="29" spans="1:26" ht="16.5" customHeight="1">
      <c r="A29" s="113"/>
      <c r="B29" s="306"/>
      <c r="C29" s="307"/>
      <c r="D29" s="307"/>
      <c r="E29" s="307"/>
      <c r="F29" s="307"/>
      <c r="G29" s="307"/>
      <c r="H29" s="307"/>
      <c r="I29" s="307"/>
      <c r="J29" s="308"/>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132</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79687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51" t="s">
        <v>135</v>
      </c>
      <c r="D2" s="247"/>
      <c r="E2" s="247"/>
      <c r="F2" s="247"/>
      <c r="G2" s="247"/>
      <c r="H2" s="247"/>
      <c r="I2" s="247"/>
      <c r="J2" s="247"/>
      <c r="K2" s="247"/>
      <c r="L2" s="247"/>
      <c r="M2" s="247"/>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44545</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66" t="s">
        <v>136</v>
      </c>
      <c r="D10" s="247"/>
      <c r="E10" s="127"/>
      <c r="F10" s="41"/>
      <c r="G10" s="44" t="s">
        <v>137</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138</v>
      </c>
      <c r="D11" s="41"/>
      <c r="E11" s="129">
        <f>'CENTRAL 2'!$I$9</f>
        <v>36</v>
      </c>
      <c r="F11" s="127"/>
      <c r="G11" s="130">
        <f t="shared" ref="G11:G12" si="0">E11/$E$13</f>
        <v>0.92307692307692313</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139</v>
      </c>
      <c r="D12" s="41"/>
      <c r="E12" s="132">
        <f>'CENTRAL 2'!$I$13</f>
        <v>3</v>
      </c>
      <c r="F12" s="127"/>
      <c r="G12" s="130">
        <f t="shared" si="0"/>
        <v>7.6923076923076927E-2</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140</v>
      </c>
      <c r="D13" s="133"/>
      <c r="E13" s="134">
        <f>SUM(E11:E12)</f>
        <v>39</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66" t="s">
        <v>141</v>
      </c>
      <c r="D23" s="247"/>
      <c r="E23" s="41"/>
      <c r="F23" s="41"/>
      <c r="G23" s="44" t="s">
        <v>142</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138</v>
      </c>
      <c r="D24" s="41"/>
      <c r="E24" s="129">
        <f>'CENTRAL 2'!$J$9</f>
        <v>35</v>
      </c>
      <c r="F24" s="41"/>
      <c r="G24" s="130">
        <f t="shared" ref="G24:G25" si="1">E24/$E$26</f>
        <v>0.97222222222222221</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139</v>
      </c>
      <c r="D25" s="41"/>
      <c r="E25" s="132">
        <f>'CENTRAL 2'!$J$13</f>
        <v>1</v>
      </c>
      <c r="F25" s="41"/>
      <c r="G25" s="130">
        <f t="shared" si="1"/>
        <v>2.7777777777777776E-2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140</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66" t="s">
        <v>143</v>
      </c>
      <c r="D35" s="247"/>
      <c r="E35" s="41"/>
      <c r="F35" s="41"/>
      <c r="G35" s="126" t="s">
        <v>144</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138</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139</v>
      </c>
      <c r="D37" s="41"/>
      <c r="E37" s="132">
        <f>'CENTRAL 2'!$K$13</f>
        <v>2</v>
      </c>
      <c r="F37" s="41"/>
      <c r="G37" s="130">
        <f t="shared" si="2"/>
        <v>5.5555555555555552E-2</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140</v>
      </c>
      <c r="D38" s="41"/>
      <c r="E38" s="134">
        <f>SUM(E36:E37)</f>
        <v>38</v>
      </c>
      <c r="F38" s="41"/>
      <c r="G38" s="130">
        <f>SUM(G36:G37)</f>
        <v>1.0555555555555556</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pageSetUpPr fitToPage="1"/>
  </sheetPr>
  <dimension ref="A1:Z1000"/>
  <sheetViews>
    <sheetView tabSelected="1" workbookViewId="0">
      <selection activeCell="K54" sqref="A1:K54"/>
    </sheetView>
  </sheetViews>
  <sheetFormatPr baseColWidth="10" defaultColWidth="9.1328125" defaultRowHeight="15" customHeight="1"/>
  <cols>
    <col min="1" max="1" width="1.6640625" customWidth="1"/>
    <col min="2" max="2" width="5.6640625" customWidth="1"/>
    <col min="3" max="3" width="4.33203125" customWidth="1"/>
    <col min="4" max="4" width="6.1328125" customWidth="1"/>
    <col min="5" max="5" width="7.46484375" customWidth="1"/>
    <col min="6" max="6" width="13.33203125" customWidth="1"/>
    <col min="7" max="7" width="10.73046875" customWidth="1"/>
    <col min="8" max="8" width="8.13281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352" t="s">
        <v>145</v>
      </c>
      <c r="D2" s="247"/>
      <c r="E2" s="247"/>
      <c r="F2" s="247"/>
      <c r="G2" s="247"/>
      <c r="H2" s="247"/>
      <c r="I2" s="247"/>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44545</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369" t="s">
        <v>233</v>
      </c>
      <c r="D7" s="370"/>
      <c r="E7" s="370"/>
      <c r="F7" s="370"/>
      <c r="G7" s="370"/>
      <c r="H7" s="371"/>
      <c r="I7" s="138"/>
      <c r="J7" s="138"/>
      <c r="K7" s="131"/>
      <c r="L7" s="131"/>
      <c r="M7" s="131"/>
      <c r="N7" s="131"/>
      <c r="O7" s="131"/>
      <c r="P7" s="131"/>
      <c r="Q7" s="131"/>
      <c r="R7" s="131"/>
      <c r="S7" s="131"/>
      <c r="T7" s="131"/>
      <c r="U7" s="131"/>
      <c r="V7" s="131"/>
      <c r="W7" s="131"/>
      <c r="X7" s="131"/>
      <c r="Y7" s="131"/>
      <c r="Z7" s="131"/>
    </row>
    <row r="8" spans="1:26" ht="13.5" customHeight="1">
      <c r="A8" s="131"/>
      <c r="B8" s="131"/>
      <c r="C8" s="364" t="s">
        <v>146</v>
      </c>
      <c r="D8" s="365" t="s">
        <v>147</v>
      </c>
      <c r="E8" s="365" t="s">
        <v>148</v>
      </c>
      <c r="F8" s="366" t="s">
        <v>149</v>
      </c>
      <c r="G8" s="365" t="s">
        <v>150</v>
      </c>
      <c r="H8" s="365" t="s">
        <v>151</v>
      </c>
      <c r="I8" s="131"/>
      <c r="J8" s="131"/>
      <c r="K8" s="131"/>
      <c r="L8" s="131"/>
      <c r="M8" s="131"/>
      <c r="N8" s="131"/>
      <c r="O8" s="131"/>
      <c r="P8" s="131"/>
      <c r="Q8" s="131"/>
      <c r="R8" s="131"/>
      <c r="S8" s="131"/>
      <c r="T8" s="131"/>
      <c r="U8" s="131"/>
      <c r="V8" s="131"/>
      <c r="W8" s="131"/>
      <c r="X8" s="131"/>
      <c r="Y8" s="131"/>
      <c r="Z8" s="131"/>
    </row>
    <row r="9" spans="1:26" ht="13.5" customHeight="1">
      <c r="A9" s="131"/>
      <c r="B9" s="131"/>
      <c r="C9" s="338"/>
      <c r="D9" s="141" t="s">
        <v>152</v>
      </c>
      <c r="E9" s="118">
        <v>1</v>
      </c>
      <c r="F9" s="142">
        <v>7</v>
      </c>
      <c r="G9" s="360">
        <v>7</v>
      </c>
      <c r="H9" s="361">
        <f>G9/$F$12</f>
        <v>0.4375</v>
      </c>
      <c r="I9" s="131"/>
      <c r="J9" s="131"/>
      <c r="K9" s="131"/>
      <c r="L9" s="131"/>
      <c r="M9" s="131"/>
      <c r="N9" s="131"/>
      <c r="O9" s="131"/>
      <c r="P9" s="131"/>
      <c r="Q9" s="131"/>
      <c r="R9" s="131"/>
      <c r="S9" s="131"/>
      <c r="T9" s="131"/>
      <c r="U9" s="131"/>
      <c r="V9" s="131"/>
      <c r="W9" s="131"/>
      <c r="X9" s="131"/>
      <c r="Y9" s="131"/>
      <c r="Z9" s="131"/>
    </row>
    <row r="10" spans="1:26" ht="13.5" customHeight="1">
      <c r="A10" s="131"/>
      <c r="B10" s="131"/>
      <c r="C10" s="338"/>
      <c r="D10" s="141" t="s">
        <v>153</v>
      </c>
      <c r="E10" s="118">
        <v>2</v>
      </c>
      <c r="F10" s="142">
        <v>3</v>
      </c>
      <c r="G10" s="360">
        <v>3</v>
      </c>
      <c r="H10" s="361">
        <f t="shared" ref="H10:H12" si="0">G10/$F$12</f>
        <v>0.1875</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338"/>
      <c r="D11" s="141" t="s">
        <v>154</v>
      </c>
      <c r="E11" s="118">
        <v>2</v>
      </c>
      <c r="F11" s="142">
        <v>6</v>
      </c>
      <c r="G11" s="360">
        <v>5.8</v>
      </c>
      <c r="H11" s="361">
        <f t="shared" si="0"/>
        <v>0.36249999999999999</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303"/>
      <c r="D12" s="143"/>
      <c r="E12" s="144">
        <f t="shared" ref="E12:H12" si="1">SUM(E9:E11)</f>
        <v>5</v>
      </c>
      <c r="F12" s="145">
        <f t="shared" si="1"/>
        <v>16</v>
      </c>
      <c r="G12" s="139">
        <f t="shared" si="1"/>
        <v>15.8</v>
      </c>
      <c r="H12" s="361">
        <f t="shared" si="0"/>
        <v>0.98750000000000004</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369" t="s">
        <v>233</v>
      </c>
      <c r="D14" s="370"/>
      <c r="E14" s="370"/>
      <c r="F14" s="370"/>
      <c r="G14" s="370"/>
      <c r="H14" s="37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364" t="s">
        <v>155</v>
      </c>
      <c r="D15" s="365" t="s">
        <v>147</v>
      </c>
      <c r="E15" s="365" t="s">
        <v>148</v>
      </c>
      <c r="F15" s="366" t="s">
        <v>149</v>
      </c>
      <c r="G15" s="365" t="s">
        <v>150</v>
      </c>
      <c r="H15" s="365" t="s">
        <v>151</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338"/>
      <c r="D16" s="141" t="s">
        <v>152</v>
      </c>
      <c r="E16" s="118">
        <v>1</v>
      </c>
      <c r="F16" s="142">
        <v>6</v>
      </c>
      <c r="G16" s="360">
        <v>6</v>
      </c>
      <c r="H16" s="361">
        <f>G16/$F$19</f>
        <v>0.42857142857142855</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338"/>
      <c r="D17" s="141" t="s">
        <v>153</v>
      </c>
      <c r="E17" s="118">
        <v>2</v>
      </c>
      <c r="F17" s="142">
        <v>2</v>
      </c>
      <c r="G17" s="360">
        <v>2</v>
      </c>
      <c r="H17" s="361">
        <f t="shared" ref="H17:H19" si="2">G17/$F$19</f>
        <v>0.14285714285714285</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338"/>
      <c r="D18" s="141" t="s">
        <v>154</v>
      </c>
      <c r="E18" s="118">
        <v>2</v>
      </c>
      <c r="F18" s="142">
        <v>6</v>
      </c>
      <c r="G18" s="360">
        <v>5.7</v>
      </c>
      <c r="H18" s="361">
        <f t="shared" si="2"/>
        <v>0.40714285714285714</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303"/>
      <c r="D19" s="143"/>
      <c r="E19" s="144">
        <f t="shared" ref="E19:H19" si="3">SUM(E16:E18)</f>
        <v>5</v>
      </c>
      <c r="F19" s="145">
        <f t="shared" si="3"/>
        <v>14</v>
      </c>
      <c r="G19" s="139">
        <f t="shared" si="3"/>
        <v>13.7</v>
      </c>
      <c r="H19" s="361">
        <f t="shared" si="2"/>
        <v>0.97857142857142854</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351" t="s">
        <v>156</v>
      </c>
      <c r="D22" s="139" t="s">
        <v>147</v>
      </c>
      <c r="E22" s="139" t="s">
        <v>148</v>
      </c>
      <c r="F22" s="140" t="s">
        <v>149</v>
      </c>
      <c r="G22" s="139" t="s">
        <v>150</v>
      </c>
      <c r="H22" s="139" t="s">
        <v>151</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338"/>
      <c r="D23" s="141" t="s">
        <v>152</v>
      </c>
      <c r="E23" s="118">
        <v>2</v>
      </c>
      <c r="F23" s="142">
        <v>4</v>
      </c>
      <c r="G23" s="360">
        <v>4</v>
      </c>
      <c r="H23" s="361">
        <f>G23/$F$26</f>
        <v>0.44444444444444442</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338"/>
      <c r="D24" s="141" t="s">
        <v>153</v>
      </c>
      <c r="E24" s="118">
        <v>1</v>
      </c>
      <c r="F24" s="142">
        <v>3</v>
      </c>
      <c r="G24" s="360">
        <v>3</v>
      </c>
      <c r="H24" s="361">
        <f t="shared" ref="H24:H26" si="4">G24/$F$26</f>
        <v>0.33333333333333331</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338"/>
      <c r="D25" s="141" t="s">
        <v>154</v>
      </c>
      <c r="E25" s="118">
        <v>1</v>
      </c>
      <c r="F25" s="142">
        <v>2</v>
      </c>
      <c r="G25" s="360">
        <v>1.6</v>
      </c>
      <c r="H25" s="361">
        <f t="shared" si="4"/>
        <v>0.17777777777777778</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303"/>
      <c r="D26" s="143"/>
      <c r="E26" s="144">
        <f t="shared" ref="E26:H26" si="5">SUM(E23:E25)</f>
        <v>4</v>
      </c>
      <c r="F26" s="145">
        <f t="shared" si="5"/>
        <v>9</v>
      </c>
      <c r="G26" s="139">
        <f t="shared" si="5"/>
        <v>8.6</v>
      </c>
      <c r="H26" s="361">
        <f t="shared" si="4"/>
        <v>0.95555555555555549</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368" t="s">
        <v>233</v>
      </c>
      <c r="D28" s="368"/>
      <c r="E28" s="368"/>
      <c r="F28" s="368"/>
      <c r="G28" s="368"/>
      <c r="H28" s="368"/>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351" t="s">
        <v>157</v>
      </c>
      <c r="D29" s="139" t="s">
        <v>147</v>
      </c>
      <c r="E29" s="139" t="s">
        <v>148</v>
      </c>
      <c r="F29" s="140" t="s">
        <v>149</v>
      </c>
      <c r="G29" s="139" t="s">
        <v>150</v>
      </c>
      <c r="H29" s="139" t="s">
        <v>151</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338"/>
      <c r="D30" s="141" t="s">
        <v>152</v>
      </c>
      <c r="E30" s="118">
        <v>2</v>
      </c>
      <c r="F30" s="142">
        <v>4</v>
      </c>
      <c r="G30" s="360">
        <v>4</v>
      </c>
      <c r="H30" s="361">
        <f>G30/$F$26</f>
        <v>0.44444444444444442</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338"/>
      <c r="D31" s="141" t="s">
        <v>153</v>
      </c>
      <c r="E31" s="118">
        <v>1</v>
      </c>
      <c r="F31" s="142">
        <v>3</v>
      </c>
      <c r="G31" s="360">
        <v>3</v>
      </c>
      <c r="H31" s="361">
        <f t="shared" ref="H31:H33" si="6">G31/$F$26</f>
        <v>0.33333333333333331</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338"/>
      <c r="D32" s="141" t="s">
        <v>154</v>
      </c>
      <c r="E32" s="118">
        <v>1</v>
      </c>
      <c r="F32" s="142">
        <v>2</v>
      </c>
      <c r="G32" s="360">
        <v>2</v>
      </c>
      <c r="H32" s="361">
        <f t="shared" si="6"/>
        <v>0.22222222222222221</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303"/>
      <c r="D33" s="143"/>
      <c r="E33" s="144">
        <f t="shared" ref="E33:H33" si="7">SUM(E30:E32)</f>
        <v>4</v>
      </c>
      <c r="F33" s="145">
        <f t="shared" si="7"/>
        <v>9</v>
      </c>
      <c r="G33" s="139">
        <f t="shared" si="7"/>
        <v>9</v>
      </c>
      <c r="H33" s="361">
        <f t="shared" si="6"/>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367" t="s">
        <v>231</v>
      </c>
      <c r="D35" s="367"/>
      <c r="E35" s="367"/>
      <c r="F35" s="367"/>
      <c r="G35" s="367"/>
      <c r="H35" s="367"/>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364" t="s">
        <v>158</v>
      </c>
      <c r="D36" s="365" t="s">
        <v>147</v>
      </c>
      <c r="E36" s="365" t="s">
        <v>148</v>
      </c>
      <c r="F36" s="366" t="s">
        <v>149</v>
      </c>
      <c r="G36" s="365" t="s">
        <v>150</v>
      </c>
      <c r="H36" s="365" t="s">
        <v>151</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338"/>
      <c r="D37" s="141" t="s">
        <v>152</v>
      </c>
      <c r="E37" s="362">
        <v>2</v>
      </c>
      <c r="F37" s="360">
        <v>2</v>
      </c>
      <c r="G37" s="360">
        <v>2</v>
      </c>
      <c r="H37" s="361">
        <f>G37/$F$26</f>
        <v>0.22222222222222221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338"/>
      <c r="D38" s="141" t="s">
        <v>153</v>
      </c>
      <c r="E38" s="362">
        <v>2</v>
      </c>
      <c r="F38" s="360">
        <v>6</v>
      </c>
      <c r="G38" s="360">
        <v>6</v>
      </c>
      <c r="H38" s="361">
        <f t="shared" ref="H38:H40" si="8">G38/$F$26</f>
        <v>0.66666666666666663</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338"/>
      <c r="D39" s="141" t="s">
        <v>154</v>
      </c>
      <c r="E39" s="362">
        <v>1</v>
      </c>
      <c r="F39" s="360">
        <v>1</v>
      </c>
      <c r="G39" s="360">
        <v>0.9</v>
      </c>
      <c r="H39" s="361">
        <f t="shared" si="8"/>
        <v>0.1</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303"/>
      <c r="D40" s="143"/>
      <c r="E40" s="139">
        <f t="shared" ref="E40:H40" si="9">SUM(E37:E39)</f>
        <v>5</v>
      </c>
      <c r="F40" s="363">
        <f t="shared" si="9"/>
        <v>9</v>
      </c>
      <c r="G40" s="139">
        <f t="shared" si="9"/>
        <v>8.9</v>
      </c>
      <c r="H40" s="361">
        <f t="shared" si="8"/>
        <v>0.98888888888888893</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367" t="s">
        <v>231</v>
      </c>
      <c r="D42" s="367"/>
      <c r="E42" s="367"/>
      <c r="F42" s="367"/>
      <c r="G42" s="367"/>
      <c r="H42" s="367"/>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364" t="s">
        <v>159</v>
      </c>
      <c r="D43" s="365" t="s">
        <v>147</v>
      </c>
      <c r="E43" s="365" t="s">
        <v>148</v>
      </c>
      <c r="F43" s="366" t="s">
        <v>149</v>
      </c>
      <c r="G43" s="365" t="s">
        <v>150</v>
      </c>
      <c r="H43" s="365" t="s">
        <v>151</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338"/>
      <c r="D44" s="141" t="s">
        <v>152</v>
      </c>
      <c r="E44" s="118">
        <v>1</v>
      </c>
      <c r="F44" s="360">
        <v>4</v>
      </c>
      <c r="G44" s="360">
        <v>4</v>
      </c>
      <c r="H44" s="361">
        <f>G44/$F$47</f>
        <v>0.26666666666666666</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338"/>
      <c r="D45" s="141" t="s">
        <v>153</v>
      </c>
      <c r="E45" s="118">
        <v>2</v>
      </c>
      <c r="F45" s="360">
        <v>3</v>
      </c>
      <c r="G45" s="360">
        <v>3</v>
      </c>
      <c r="H45" s="361">
        <f t="shared" ref="H45:H47" si="10">G45/$F$47</f>
        <v>0.2</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338"/>
      <c r="D46" s="141" t="s">
        <v>154</v>
      </c>
      <c r="E46" s="118">
        <v>2</v>
      </c>
      <c r="F46" s="360">
        <v>8</v>
      </c>
      <c r="G46" s="360">
        <v>7.8</v>
      </c>
      <c r="H46" s="361">
        <f t="shared" si="10"/>
        <v>0.52</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303"/>
      <c r="D47" s="143"/>
      <c r="E47" s="144">
        <f t="shared" ref="E47:H47" si="11">SUM(E44:E46)</f>
        <v>5</v>
      </c>
      <c r="F47" s="363">
        <f t="shared" si="11"/>
        <v>15</v>
      </c>
      <c r="G47" s="139">
        <f t="shared" si="11"/>
        <v>14.8</v>
      </c>
      <c r="H47" s="361">
        <f t="shared" si="10"/>
        <v>0.98666666666666669</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367" t="s">
        <v>232</v>
      </c>
      <c r="D49" s="367"/>
      <c r="E49" s="367"/>
      <c r="F49" s="367"/>
      <c r="G49" s="367"/>
      <c r="H49" s="367"/>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364" t="s">
        <v>159</v>
      </c>
      <c r="D50" s="365" t="s">
        <v>147</v>
      </c>
      <c r="E50" s="365" t="s">
        <v>148</v>
      </c>
      <c r="F50" s="366" t="s">
        <v>149</v>
      </c>
      <c r="G50" s="365" t="s">
        <v>150</v>
      </c>
      <c r="H50" s="365" t="s">
        <v>151</v>
      </c>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338"/>
      <c r="D51" s="141" t="s">
        <v>152</v>
      </c>
      <c r="E51" s="118">
        <v>1</v>
      </c>
      <c r="F51" s="360">
        <v>2</v>
      </c>
      <c r="G51" s="360">
        <v>2</v>
      </c>
      <c r="H51" s="361">
        <f>G51/$F$54</f>
        <v>0.18181818181818182</v>
      </c>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338"/>
      <c r="D52" s="141" t="s">
        <v>153</v>
      </c>
      <c r="E52" s="118">
        <v>1</v>
      </c>
      <c r="F52" s="360">
        <v>3</v>
      </c>
      <c r="G52" s="360">
        <v>3</v>
      </c>
      <c r="H52" s="361">
        <f t="shared" ref="H52:H54" si="12">G52/$F$54</f>
        <v>0.27272727272727271</v>
      </c>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338"/>
      <c r="D53" s="141" t="s">
        <v>154</v>
      </c>
      <c r="E53" s="118">
        <v>2</v>
      </c>
      <c r="F53" s="360">
        <v>6</v>
      </c>
      <c r="G53" s="360">
        <v>6</v>
      </c>
      <c r="H53" s="361">
        <f t="shared" si="12"/>
        <v>0.54545454545454541</v>
      </c>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303"/>
      <c r="D54" s="143"/>
      <c r="E54" s="144">
        <f t="shared" ref="E54:H54" si="13">SUM(E51:E53)</f>
        <v>4</v>
      </c>
      <c r="F54" s="363">
        <f t="shared" si="13"/>
        <v>11</v>
      </c>
      <c r="G54" s="139">
        <f t="shared" si="13"/>
        <v>11</v>
      </c>
      <c r="H54" s="361">
        <f t="shared" si="12"/>
        <v>1</v>
      </c>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14">
    <mergeCell ref="C50:C54"/>
    <mergeCell ref="C42:H42"/>
    <mergeCell ref="C49:H49"/>
    <mergeCell ref="C35:H35"/>
    <mergeCell ref="C28:H28"/>
    <mergeCell ref="C36:C40"/>
    <mergeCell ref="C43:C47"/>
    <mergeCell ref="C2:I2"/>
    <mergeCell ref="C8:C12"/>
    <mergeCell ref="C15:C19"/>
    <mergeCell ref="C22:C26"/>
    <mergeCell ref="C29:C33"/>
    <mergeCell ref="C14:H14"/>
    <mergeCell ref="C7:H7"/>
  </mergeCells>
  <pageMargins left="0.39370078740157483" right="0" top="0.59055118110236227" bottom="0" header="0" footer="0"/>
  <pageSetup paperSize="122" scale="88"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cols>
    <col min="1" max="4" width="1.6640625" customWidth="1"/>
    <col min="5" max="6" width="4.6640625" customWidth="1"/>
    <col min="7" max="7" width="26.6640625" customWidth="1"/>
    <col min="8" max="8" width="7.46484375" customWidth="1"/>
    <col min="9" max="10" width="10.796875" customWidth="1"/>
    <col min="11" max="26" width="10.398437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357" t="s">
        <v>160</v>
      </c>
      <c r="F3" s="247"/>
      <c r="G3" s="247"/>
      <c r="H3" s="247"/>
      <c r="I3" s="247"/>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44545</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358" t="s">
        <v>161</v>
      </c>
      <c r="F16" s="359"/>
      <c r="G16" s="149" t="s">
        <v>24</v>
      </c>
      <c r="H16" s="150" t="s">
        <v>162</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353"/>
      <c r="F17" s="300"/>
      <c r="G17" s="152" t="str">
        <f>'C. FILIACION'!B8</f>
        <v>ARANCIBIA ARRAYA LUIS ANDRES</v>
      </c>
      <c r="H17" s="153">
        <f>'CENTRAL 2'!F9</f>
        <v>68.07692307692308</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353"/>
      <c r="F18" s="300"/>
      <c r="G18" s="152" t="str">
        <f>'C. FILIACION'!B9</f>
        <v>ARIVIRI ALEXIS JHONATAN</v>
      </c>
      <c r="H18" s="153">
        <f>'CENTRAL 2'!F10</f>
        <v>51.777777777777779</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353"/>
      <c r="F19" s="300"/>
      <c r="G19" s="152" t="str">
        <f>'C. FILIACION'!B10</f>
        <v>BASCOPE LOPEZ JHYMMY ANGHELO</v>
      </c>
      <c r="H19" s="153">
        <f>'CENTRAL 2'!F11</f>
        <v>63.333333333333336</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353"/>
      <c r="F20" s="300"/>
      <c r="G20" s="152" t="str">
        <f>'C. FILIACION'!B11</f>
        <v>BLANCO SALVATIERRA DANIELA MARGARITA</v>
      </c>
      <c r="H20" s="153">
        <f>'CENTRAL 2'!F12</f>
        <v>78.1111111111111</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353"/>
      <c r="F21" s="300"/>
      <c r="G21" s="152" t="str">
        <f>'C. FILIACION'!B12</f>
        <v>DAVILA LAPACA DIEGO LEONEL</v>
      </c>
      <c r="H21" s="153">
        <f>'CENTRAL 2'!F13</f>
        <v>51</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353"/>
      <c r="F22" s="300"/>
      <c r="G22" s="152" t="str">
        <f>'C. FILIACION'!B13</f>
        <v>ESCOBAR LAZO JHOSELIN MARCELA</v>
      </c>
      <c r="H22" s="153">
        <f>'CENTRAL 2'!F14</f>
        <v>91.333333333333329</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353"/>
      <c r="F23" s="300"/>
      <c r="G23" s="152" t="str">
        <f>'C. FILIACION'!B14</f>
        <v>GUTIERREZ PEREZ ARIEL FERNANDO</v>
      </c>
      <c r="H23" s="153">
        <f>'CENTRAL 2'!F15</f>
        <v>62.833333333333336</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353"/>
      <c r="F24" s="300"/>
      <c r="G24" s="152" t="str">
        <f>'C. FILIACION'!B15</f>
        <v>LOPEZ PACO FABRICIO ANDRE</v>
      </c>
      <c r="H24" s="153">
        <f>'CENTRAL 2'!F16</f>
        <v>61.166666666666664</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353"/>
      <c r="F25" s="300"/>
      <c r="G25" s="152" t="str">
        <f>'C. FILIACION'!B16</f>
        <v>NINA PANIAGUA DEYVID GABRIEL</v>
      </c>
      <c r="H25" s="153">
        <f>'CENTRAL 2'!F17</f>
        <v>87</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353"/>
      <c r="F26" s="300"/>
      <c r="G26" s="152" t="str">
        <f>'C. FILIACION'!B17</f>
        <v>PASTOR CONDARCO STEVE DAVID</v>
      </c>
      <c r="H26" s="153">
        <f>'CENTRAL 2'!F18</f>
        <v>63</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353"/>
      <c r="F27" s="300"/>
      <c r="G27" s="152" t="str">
        <f>'C. FILIACION'!B18</f>
        <v>ROJAS MAMANI JERUSALEN LOURDES</v>
      </c>
      <c r="H27" s="153">
        <f>'CENTRAL 2'!F19</f>
        <v>87.666666666666671</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353"/>
      <c r="F28" s="300"/>
      <c r="G28" s="152" t="str">
        <f>'C. FILIACION'!B19</f>
        <v>SALAS ROJAS LUCIANA ANTONELLA</v>
      </c>
      <c r="H28" s="153">
        <f>'CENTRAL 2'!F20</f>
        <v>62</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353"/>
      <c r="F29" s="300"/>
      <c r="G29" s="152" t="str">
        <f>'C. FILIACION'!B20</f>
        <v>SANTOS CRUZ ROYER JOEL</v>
      </c>
      <c r="H29" s="153">
        <f>'CENTRAL 2'!F21</f>
        <v>76</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353"/>
      <c r="F30" s="300"/>
      <c r="G30" s="152" t="str">
        <f>'C. FILIACION'!B21</f>
        <v>TICONA LOAYZA ARIADNE VALERIA</v>
      </c>
      <c r="H30" s="153">
        <f>'CENTRAL 2'!F22</f>
        <v>73</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353"/>
      <c r="F31" s="300"/>
      <c r="G31" s="152" t="str">
        <f>'C. FILIACION'!B22</f>
        <v>ZEBALLOS DEL CARPIO AMIRA MERCEDES</v>
      </c>
      <c r="H31" s="153">
        <f>'CENTRAL 2'!F23</f>
        <v>90</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353"/>
      <c r="F32" s="300"/>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353"/>
      <c r="F33" s="300"/>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353"/>
      <c r="F34" s="300"/>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356"/>
      <c r="F35" s="300"/>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353"/>
      <c r="F36" s="300"/>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353"/>
      <c r="F37" s="300"/>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353"/>
      <c r="F38" s="300"/>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353"/>
      <c r="F39" s="300"/>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353"/>
      <c r="F40" s="300"/>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353"/>
      <c r="F41" s="300"/>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353"/>
      <c r="F42" s="300"/>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353"/>
      <c r="F43" s="300"/>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353"/>
      <c r="F44" s="300"/>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353"/>
      <c r="F45" s="300"/>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353"/>
      <c r="F46" s="300"/>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353"/>
      <c r="F47" s="300"/>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353"/>
      <c r="F48" s="300"/>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353"/>
      <c r="F49" s="300"/>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353"/>
      <c r="F50" s="300"/>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353"/>
      <c r="F51" s="300"/>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353"/>
      <c r="F52" s="300"/>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353"/>
      <c r="F53" s="300"/>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353"/>
      <c r="F54" s="300"/>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353"/>
      <c r="F55" s="300"/>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353"/>
      <c r="F56" s="300"/>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353"/>
      <c r="F57" s="300"/>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353"/>
      <c r="F58" s="300"/>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353"/>
      <c r="F59" s="300"/>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354"/>
      <c r="F60" s="355"/>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2021-12-16T03:06:33Z</cp:lastPrinted>
  <dcterms:created xsi:type="dcterms:W3CDTF">2020-01-23T13:58:13Z</dcterms:created>
  <dcterms:modified xsi:type="dcterms:W3CDTF">2021-12-16T03:09:53Z</dcterms:modified>
</cp:coreProperties>
</file>