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7425367C-115F-4B7F-9D04-AEE6A088A7F6}" xr6:coauthVersionLast="47" xr6:coauthVersionMax="47" xr10:uidLastSave="{00000000-0000-0000-0000-000000000000}"/>
  <bookViews>
    <workbookView xWindow="-103" yWindow="-103" windowWidth="16663" windowHeight="9892" activeTab="3"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H60" i="16" l="1"/>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F33" i="15"/>
  <c r="E33" i="15"/>
  <c r="H32" i="15"/>
  <c r="H31" i="15"/>
  <c r="H30" i="15"/>
  <c r="H33" i="15" s="1"/>
  <c r="G26" i="15"/>
  <c r="F26" i="15"/>
  <c r="E26" i="15"/>
  <c r="H25" i="15"/>
  <c r="H24" i="15"/>
  <c r="H23" i="15"/>
  <c r="H26" i="15" s="1"/>
  <c r="G19" i="15"/>
  <c r="H18" i="15" s="1"/>
  <c r="F19" i="15"/>
  <c r="E19" i="15"/>
  <c r="H16"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Q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S38" i="9"/>
  <c r="R38" i="9"/>
  <c r="O38" i="9"/>
  <c r="L38" i="9"/>
  <c r="I38" i="9"/>
  <c r="C38" i="9"/>
  <c r="B38" i="9"/>
  <c r="S37" i="9"/>
  <c r="R37" i="9"/>
  <c r="O37" i="9"/>
  <c r="L37" i="9"/>
  <c r="I37" i="9"/>
  <c r="C37" i="9"/>
  <c r="B37" i="9"/>
  <c r="R36" i="9"/>
  <c r="P36" i="9"/>
  <c r="O36" i="9"/>
  <c r="L36" i="9"/>
  <c r="I36" i="9"/>
  <c r="C36" i="9"/>
  <c r="B36" i="9"/>
  <c r="R35" i="9"/>
  <c r="O35" i="9"/>
  <c r="L35" i="9"/>
  <c r="I35" i="9"/>
  <c r="C35" i="9"/>
  <c r="B35" i="9"/>
  <c r="R34" i="9"/>
  <c r="O34" i="9"/>
  <c r="M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N29" i="9"/>
  <c r="L29" i="9"/>
  <c r="I29" i="9"/>
  <c r="C29" i="9"/>
  <c r="B29" i="9"/>
  <c r="R28" i="9"/>
  <c r="Q28" i="9"/>
  <c r="O28" i="9"/>
  <c r="L28" i="9"/>
  <c r="I28" i="9"/>
  <c r="C28" i="9"/>
  <c r="B28" i="9"/>
  <c r="R27" i="9"/>
  <c r="O27" i="9"/>
  <c r="L27" i="9"/>
  <c r="I27" i="9"/>
  <c r="D27" i="9"/>
  <c r="C27" i="9"/>
  <c r="B27" i="9"/>
  <c r="R26" i="9"/>
  <c r="P26" i="9"/>
  <c r="O26" i="9"/>
  <c r="L26" i="9"/>
  <c r="I26" i="9"/>
  <c r="C26" i="9"/>
  <c r="B26" i="9"/>
  <c r="R25" i="9"/>
  <c r="O25" i="9"/>
  <c r="L25" i="9"/>
  <c r="I25" i="9"/>
  <c r="C25" i="9"/>
  <c r="B25" i="9"/>
  <c r="R24" i="9"/>
  <c r="O24" i="9"/>
  <c r="L24" i="9"/>
  <c r="I24" i="9"/>
  <c r="C24" i="9"/>
  <c r="B24" i="9"/>
  <c r="R23" i="9"/>
  <c r="Q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K17" i="9"/>
  <c r="I17" i="9"/>
  <c r="C17" i="9"/>
  <c r="B17" i="9"/>
  <c r="R16" i="9"/>
  <c r="O16" i="9"/>
  <c r="L16" i="9"/>
  <c r="I16" i="9"/>
  <c r="C16" i="9"/>
  <c r="B16" i="9"/>
  <c r="R15" i="9"/>
  <c r="O15" i="9"/>
  <c r="M15" i="9"/>
  <c r="L15" i="9"/>
  <c r="I15" i="9"/>
  <c r="C15" i="9"/>
  <c r="B15" i="9"/>
  <c r="R14" i="9"/>
  <c r="O14" i="9"/>
  <c r="L14" i="9"/>
  <c r="I14" i="9"/>
  <c r="C14" i="9"/>
  <c r="B14" i="9"/>
  <c r="R13" i="9"/>
  <c r="O13" i="9"/>
  <c r="L13" i="9"/>
  <c r="I13" i="9"/>
  <c r="C13" i="9"/>
  <c r="B13" i="9"/>
  <c r="R12" i="9"/>
  <c r="O12" i="9"/>
  <c r="L12" i="9"/>
  <c r="I12" i="9"/>
  <c r="D12" i="9"/>
  <c r="C12" i="9"/>
  <c r="B12" i="9"/>
  <c r="R11" i="9"/>
  <c r="O11" i="9"/>
  <c r="L11" i="9"/>
  <c r="K11" i="9"/>
  <c r="I11" i="9"/>
  <c r="C11" i="9"/>
  <c r="B11" i="9"/>
  <c r="R10" i="9"/>
  <c r="O10" i="9"/>
  <c r="L10" i="9"/>
  <c r="I10" i="9"/>
  <c r="C10" i="9"/>
  <c r="B10" i="9"/>
  <c r="S9" i="9"/>
  <c r="R9" i="9"/>
  <c r="O9" i="9"/>
  <c r="L9" i="9"/>
  <c r="I9" i="9"/>
  <c r="E9" i="9"/>
  <c r="C9" i="9"/>
  <c r="B9" i="9"/>
  <c r="U5" i="9"/>
  <c r="C5" i="9"/>
  <c r="U4" i="9"/>
  <c r="C4" i="9"/>
  <c r="U3" i="9"/>
  <c r="C3" i="9"/>
  <c r="AH44" i="8"/>
  <c r="AE44" i="8"/>
  <c r="S44" i="9" s="1"/>
  <c r="AB44" i="8"/>
  <c r="Q44" i="9" s="1"/>
  <c r="O44" i="8"/>
  <c r="AG44" i="8" s="1"/>
  <c r="B44" i="8"/>
  <c r="AG43" i="8"/>
  <c r="AE43" i="8"/>
  <c r="S43" i="9" s="1"/>
  <c r="AB43" i="8"/>
  <c r="O43" i="8"/>
  <c r="P43" i="9" s="1"/>
  <c r="B43" i="8"/>
  <c r="AE42" i="8"/>
  <c r="S42" i="9" s="1"/>
  <c r="AB42" i="8"/>
  <c r="Q42" i="9" s="1"/>
  <c r="O42" i="8"/>
  <c r="P42" i="9" s="1"/>
  <c r="B42" i="8"/>
  <c r="AG41" i="8"/>
  <c r="AE41" i="8"/>
  <c r="S41" i="9" s="1"/>
  <c r="AB41" i="8"/>
  <c r="Q41" i="9" s="1"/>
  <c r="O41" i="8"/>
  <c r="P41" i="9" s="1"/>
  <c r="B41" i="8"/>
  <c r="AE40" i="8"/>
  <c r="AB40" i="8"/>
  <c r="Q40" i="9" s="1"/>
  <c r="O40" i="8"/>
  <c r="B40" i="8"/>
  <c r="AE39" i="8"/>
  <c r="S39" i="9" s="1"/>
  <c r="AB39" i="8"/>
  <c r="Q39" i="9" s="1"/>
  <c r="O39" i="8"/>
  <c r="B39" i="8"/>
  <c r="AE38" i="8"/>
  <c r="AB38" i="8"/>
  <c r="O38" i="8"/>
  <c r="P38" i="9" s="1"/>
  <c r="B38" i="8"/>
  <c r="AE37" i="8"/>
  <c r="AB37" i="8"/>
  <c r="Q37" i="9" s="1"/>
  <c r="O37" i="8"/>
  <c r="P37" i="9" s="1"/>
  <c r="B37" i="8"/>
  <c r="AG36" i="8"/>
  <c r="AE36" i="8"/>
  <c r="S36" i="9" s="1"/>
  <c r="AB36" i="8"/>
  <c r="Q36" i="9" s="1"/>
  <c r="O36" i="8"/>
  <c r="B36" i="8"/>
  <c r="AG35" i="8"/>
  <c r="AF35" i="8" s="1"/>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G29" i="8"/>
  <c r="AH29" i="8" s="1"/>
  <c r="AE29" i="8"/>
  <c r="S29" i="9" s="1"/>
  <c r="AB29" i="8"/>
  <c r="Q29" i="9" s="1"/>
  <c r="O29" i="8"/>
  <c r="P29" i="9" s="1"/>
  <c r="B29" i="8"/>
  <c r="AH28" i="8"/>
  <c r="AG28" i="8"/>
  <c r="AF28" i="8"/>
  <c r="AE28" i="8"/>
  <c r="S28" i="9" s="1"/>
  <c r="AB28" i="8"/>
  <c r="O28" i="8"/>
  <c r="P28" i="9" s="1"/>
  <c r="B28" i="8"/>
  <c r="AG27" i="8"/>
  <c r="AF27"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P24" i="9" s="1"/>
  <c r="B24" i="8"/>
  <c r="AE23" i="8"/>
  <c r="S23" i="9" s="1"/>
  <c r="AB23" i="8"/>
  <c r="O23" i="8"/>
  <c r="P23" i="9" s="1"/>
  <c r="B23" i="8"/>
  <c r="AE22" i="8"/>
  <c r="AB22" i="8"/>
  <c r="O22" i="8"/>
  <c r="P22" i="9" s="1"/>
  <c r="B22" i="8"/>
  <c r="AE21" i="8"/>
  <c r="S21" i="9" s="1"/>
  <c r="AB21" i="8"/>
  <c r="Q21" i="9" s="1"/>
  <c r="O21" i="8"/>
  <c r="P21" i="9" s="1"/>
  <c r="B21" i="8"/>
  <c r="AG20" i="8"/>
  <c r="AF20" i="8"/>
  <c r="AE20" i="8"/>
  <c r="S20" i="9" s="1"/>
  <c r="AB20" i="8"/>
  <c r="Q20" i="9" s="1"/>
  <c r="O20" i="8"/>
  <c r="B20" i="8"/>
  <c r="AE19" i="8"/>
  <c r="S19" i="9" s="1"/>
  <c r="AB19" i="8"/>
  <c r="Q19" i="9" s="1"/>
  <c r="O19" i="8"/>
  <c r="P19" i="9" s="1"/>
  <c r="B19" i="8"/>
  <c r="AE18" i="8"/>
  <c r="S18" i="9" s="1"/>
  <c r="AB18" i="8"/>
  <c r="Q18" i="9" s="1"/>
  <c r="O18" i="8"/>
  <c r="B18" i="8"/>
  <c r="AE17" i="8"/>
  <c r="S17" i="9" s="1"/>
  <c r="AB17" i="8"/>
  <c r="Q17" i="9" s="1"/>
  <c r="O17" i="8"/>
  <c r="P17" i="9" s="1"/>
  <c r="B17" i="8"/>
  <c r="AG16" i="8"/>
  <c r="AF16" i="8" s="1"/>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AG13" i="8"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G38" i="7"/>
  <c r="AF38" i="7" s="1"/>
  <c r="AE38" i="7"/>
  <c r="M38" i="9" s="1"/>
  <c r="AB38" i="7"/>
  <c r="K38" i="9" s="1"/>
  <c r="O38" i="7"/>
  <c r="J38" i="9" s="1"/>
  <c r="B38" i="7"/>
  <c r="AG37" i="7"/>
  <c r="AF37" i="7"/>
  <c r="AE37" i="7"/>
  <c r="M37" i="9" s="1"/>
  <c r="AB37" i="7"/>
  <c r="K37" i="9" s="1"/>
  <c r="O37" i="7"/>
  <c r="J37" i="9" s="1"/>
  <c r="B37" i="7"/>
  <c r="AE36" i="7"/>
  <c r="M36" i="9" s="1"/>
  <c r="AB36" i="7"/>
  <c r="K36" i="9" s="1"/>
  <c r="O36" i="7"/>
  <c r="J36" i="9" s="1"/>
  <c r="B36" i="7"/>
  <c r="AE35" i="7"/>
  <c r="M35" i="9" s="1"/>
  <c r="AB35" i="7"/>
  <c r="K35" i="9" s="1"/>
  <c r="O35" i="7"/>
  <c r="J35" i="9" s="1"/>
  <c r="B35" i="7"/>
  <c r="AE34" i="7"/>
  <c r="AB34" i="7"/>
  <c r="K34" i="9" s="1"/>
  <c r="O34" i="7"/>
  <c r="J34" i="9" s="1"/>
  <c r="B34" i="7"/>
  <c r="AE33" i="7"/>
  <c r="M33" i="9" s="1"/>
  <c r="AB33" i="7"/>
  <c r="K33" i="9" s="1"/>
  <c r="O33" i="7"/>
  <c r="AG33" i="7" s="1"/>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G29" i="7"/>
  <c r="D29" i="10" s="1"/>
  <c r="AF29"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O17" i="7"/>
  <c r="J17" i="9" s="1"/>
  <c r="B17" i="7"/>
  <c r="AE16" i="7"/>
  <c r="M16" i="9" s="1"/>
  <c r="AB16" i="7"/>
  <c r="K16" i="9" s="1"/>
  <c r="O16" i="7"/>
  <c r="J16" i="9" s="1"/>
  <c r="B16" i="7"/>
  <c r="AE15" i="7"/>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H44" i="6" s="1"/>
  <c r="AE44" i="6"/>
  <c r="AB44" i="6"/>
  <c r="E44" i="9" s="1"/>
  <c r="O44" i="6"/>
  <c r="D44" i="9" s="1"/>
  <c r="B44" i="6"/>
  <c r="AG43" i="6"/>
  <c r="AF43"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H36" i="6" s="1"/>
  <c r="AE36" i="6"/>
  <c r="AB36" i="6"/>
  <c r="E36" i="9" s="1"/>
  <c r="O36" i="6"/>
  <c r="D36" i="9" s="1"/>
  <c r="B36" i="6"/>
  <c r="AG35" i="6"/>
  <c r="AF35"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G28" i="6"/>
  <c r="C28" i="10" s="1"/>
  <c r="AE28" i="6"/>
  <c r="G28" i="9" s="1"/>
  <c r="AB28" i="6"/>
  <c r="E28" i="9" s="1"/>
  <c r="O28" i="6"/>
  <c r="D28" i="9" s="1"/>
  <c r="B28" i="6"/>
  <c r="AG27" i="6"/>
  <c r="AF27" i="6"/>
  <c r="AE27" i="6"/>
  <c r="AB27" i="6"/>
  <c r="E27" i="9" s="1"/>
  <c r="O27" i="6"/>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G20" i="6"/>
  <c r="AH20" i="6" s="1"/>
  <c r="AE20" i="6"/>
  <c r="F20" i="9" s="1"/>
  <c r="AB20" i="6"/>
  <c r="E20" i="9" s="1"/>
  <c r="O20" i="6"/>
  <c r="D20" i="9" s="1"/>
  <c r="B20" i="6"/>
  <c r="AG19" i="6"/>
  <c r="AF19" i="6"/>
  <c r="AE19" i="6"/>
  <c r="AB19" i="6"/>
  <c r="E19" i="9" s="1"/>
  <c r="O19" i="6"/>
  <c r="D19" i="9" s="1"/>
  <c r="B19" i="6"/>
  <c r="AE18" i="6"/>
  <c r="F18" i="9" s="1"/>
  <c r="AB18" i="6"/>
  <c r="E18" i="9" s="1"/>
  <c r="O18" i="6"/>
  <c r="D18" i="9" s="1"/>
  <c r="B18" i="6"/>
  <c r="AE17" i="6"/>
  <c r="AB17" i="6"/>
  <c r="AG17" i="6" s="1"/>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AG12" i="6" s="1"/>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BA4" i="5" s="1"/>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12" i="7" l="1"/>
  <c r="D12" i="10" s="1"/>
  <c r="AG14" i="7"/>
  <c r="AH14" i="7" s="1"/>
  <c r="AG10" i="7"/>
  <c r="AH10" i="7" s="1"/>
  <c r="AG13" i="7"/>
  <c r="AF13" i="7" s="1"/>
  <c r="AG22" i="7"/>
  <c r="AH22" i="7" s="1"/>
  <c r="AG21" i="7"/>
  <c r="AF21" i="7" s="1"/>
  <c r="AG9" i="7"/>
  <c r="AF9" i="7" s="1"/>
  <c r="AG11" i="7"/>
  <c r="AF11" i="7" s="1"/>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16" i="7"/>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F14" i="7"/>
  <c r="AG15" i="7"/>
  <c r="AF22" i="7"/>
  <c r="AG23" i="7"/>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9" i="10"/>
  <c r="D13" i="10"/>
  <c r="N13" i="9"/>
  <c r="D37" i="10"/>
  <c r="N37" i="9"/>
  <c r="AH38" i="7"/>
  <c r="E15" i="10"/>
  <c r="T15" i="9"/>
  <c r="AH16" i="8"/>
  <c r="P18" i="9"/>
  <c r="AG18" i="8"/>
  <c r="E20" i="10"/>
  <c r="T20" i="9"/>
  <c r="F12" i="9"/>
  <c r="T35" i="9"/>
  <c r="C36" i="10"/>
  <c r="H36" i="9"/>
  <c r="G42" i="9"/>
  <c r="F42" i="9"/>
  <c r="C44" i="10"/>
  <c r="H44" i="9"/>
  <c r="D22" i="10"/>
  <c r="D30" i="10"/>
  <c r="N30" i="9"/>
  <c r="E29" i="10"/>
  <c r="AF29" i="8"/>
  <c r="AG38" i="8"/>
  <c r="Q38" i="9"/>
  <c r="D32" i="9"/>
  <c r="G16" i="9"/>
  <c r="F16" i="9"/>
  <c r="AG18" i="6"/>
  <c r="AH19" i="6"/>
  <c r="F24" i="9"/>
  <c r="G24" i="9"/>
  <c r="AG26" i="6"/>
  <c r="AH27" i="6"/>
  <c r="F32" i="9"/>
  <c r="G32" i="9"/>
  <c r="AG34" i="6"/>
  <c r="AH35" i="6"/>
  <c r="F40" i="9"/>
  <c r="G40" i="9"/>
  <c r="AG42" i="6"/>
  <c r="AH43" i="6"/>
  <c r="AH13" i="7"/>
  <c r="AG20" i="7"/>
  <c r="AG28" i="7"/>
  <c r="AH29" i="7"/>
  <c r="AG36" i="7"/>
  <c r="AH37" i="7"/>
  <c r="AG44" i="7"/>
  <c r="AG14" i="8"/>
  <c r="AH15" i="8"/>
  <c r="AH20" i="8"/>
  <c r="AG24" i="8"/>
  <c r="AG26" i="8"/>
  <c r="E28" i="10"/>
  <c r="T28" i="9"/>
  <c r="G18" i="9"/>
  <c r="K27" i="9"/>
  <c r="C20" i="10"/>
  <c r="H20" i="9"/>
  <c r="AG25" i="6"/>
  <c r="AG33" i="6"/>
  <c r="G39" i="9"/>
  <c r="F39" i="9"/>
  <c r="AG41" i="6"/>
  <c r="AG19" i="7"/>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18" i="7"/>
  <c r="AG26" i="7"/>
  <c r="AG34" i="7"/>
  <c r="AG42" i="7"/>
  <c r="AG23" i="8"/>
  <c r="E27" i="10"/>
  <c r="T27" i="9"/>
  <c r="AH27" i="8"/>
  <c r="Q30" i="9"/>
  <c r="AG30" i="8"/>
  <c r="P32" i="9"/>
  <c r="AG32" i="8"/>
  <c r="AG37" i="8"/>
  <c r="AG39" i="8"/>
  <c r="P39" i="9"/>
  <c r="F10" i="9"/>
  <c r="N12" i="9"/>
  <c r="G20" i="9"/>
  <c r="F21" i="9"/>
  <c r="H28" i="9"/>
  <c r="P31" i="9"/>
  <c r="J33" i="9"/>
  <c r="G9" i="9"/>
  <c r="F9" i="9"/>
  <c r="G11" i="9"/>
  <c r="F11" i="9"/>
  <c r="AG15" i="6"/>
  <c r="AG23" i="6"/>
  <c r="G29" i="9"/>
  <c r="F29" i="9"/>
  <c r="AG31" i="6"/>
  <c r="G37" i="9"/>
  <c r="F37" i="9"/>
  <c r="AG39" i="6"/>
  <c r="AG17" i="7"/>
  <c r="AG25" i="7"/>
  <c r="AG41" i="7"/>
  <c r="AF36" i="8"/>
  <c r="E44" i="10"/>
  <c r="T44" i="9"/>
  <c r="AF44" i="8"/>
  <c r="G15" i="9"/>
  <c r="F23" i="9"/>
  <c r="G34" i="9"/>
  <c r="AG34" i="8"/>
  <c r="AG42" i="8"/>
  <c r="P44" i="9"/>
  <c r="H11" i="15"/>
  <c r="H10" i="15"/>
  <c r="H9" i="15"/>
  <c r="H40" i="15"/>
  <c r="H17" i="15"/>
  <c r="H19" i="15" s="1"/>
  <c r="H44" i="15"/>
  <c r="H47" i="15" s="1"/>
  <c r="N22" i="9" l="1"/>
  <c r="N14" i="9"/>
  <c r="D14" i="10"/>
  <c r="AH21" i="7"/>
  <c r="N21" i="9"/>
  <c r="AF12" i="7"/>
  <c r="AH12" i="7"/>
  <c r="AH11" i="7"/>
  <c r="D21" i="10"/>
  <c r="D10" i="10"/>
  <c r="N10" i="9"/>
  <c r="AF10" i="7"/>
  <c r="AH9" i="7"/>
  <c r="N9" i="9"/>
  <c r="D11" i="10"/>
  <c r="N11" i="9"/>
  <c r="D18" i="10"/>
  <c r="N18" i="9"/>
  <c r="AH18" i="7"/>
  <c r="AF18"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U22" i="9" s="1"/>
  <c r="AF22" i="6"/>
  <c r="AH22" i="6"/>
  <c r="T10" i="9"/>
  <c r="E10" i="10"/>
  <c r="AH10" i="8"/>
  <c r="AF10" i="8"/>
  <c r="D44" i="10"/>
  <c r="N44" i="9"/>
  <c r="AH44" i="7"/>
  <c r="AF44" i="7"/>
  <c r="C14" i="10"/>
  <c r="H14" i="9"/>
  <c r="U14" i="9" s="1"/>
  <c r="AF14" i="6"/>
  <c r="AH14" i="6"/>
  <c r="E22" i="10"/>
  <c r="T22" i="9"/>
  <c r="AF22" i="8"/>
  <c r="AH22" i="8"/>
  <c r="U36" i="9"/>
  <c r="C37" i="10"/>
  <c r="H37" i="9"/>
  <c r="AH37" i="6"/>
  <c r="AF37" i="6"/>
  <c r="C21" i="10"/>
  <c r="H21" i="9"/>
  <c r="U21" i="9" s="1"/>
  <c r="AH21" i="6"/>
  <c r="AF21" i="6"/>
  <c r="D43" i="10"/>
  <c r="N43" i="9"/>
  <c r="U43" i="9" s="1"/>
  <c r="AH43" i="7"/>
  <c r="AF43" i="7"/>
  <c r="U27" i="9"/>
  <c r="H9" i="9"/>
  <c r="U9" i="9" s="1"/>
  <c r="C9" i="10"/>
  <c r="AH9" i="6"/>
  <c r="AF9" i="6"/>
  <c r="N35" i="9"/>
  <c r="D35" i="10"/>
  <c r="AH35" i="7"/>
  <c r="AF35" i="7"/>
  <c r="T34" i="9"/>
  <c r="E34" i="10"/>
  <c r="AH34" i="8"/>
  <c r="AF34" i="8"/>
  <c r="D41" i="10"/>
  <c r="N41" i="9"/>
  <c r="AF41" i="7"/>
  <c r="AH41" i="7"/>
  <c r="E37" i="10"/>
  <c r="AF37" i="8"/>
  <c r="T37" i="9"/>
  <c r="AH37" i="8"/>
  <c r="E23" i="10"/>
  <c r="AH23" i="8"/>
  <c r="T23" i="9"/>
  <c r="AF23" i="8"/>
  <c r="D19" i="10"/>
  <c r="N19" i="9"/>
  <c r="U19" i="9" s="1"/>
  <c r="AH19" i="7"/>
  <c r="AF19" i="7"/>
  <c r="C25" i="10"/>
  <c r="H25" i="9"/>
  <c r="AH25" i="6"/>
  <c r="AF25" i="6"/>
  <c r="E24" i="10"/>
  <c r="T24" i="9"/>
  <c r="AH24" i="8"/>
  <c r="AF24" i="8"/>
  <c r="D28" i="10"/>
  <c r="N28" i="9"/>
  <c r="U28" i="9" s="1"/>
  <c r="AH28" i="7"/>
  <c r="AF28" i="7"/>
  <c r="N23" i="9"/>
  <c r="D23" i="10"/>
  <c r="AH23" i="7"/>
  <c r="AF23" i="7"/>
  <c r="C31" i="10"/>
  <c r="H31" i="9"/>
  <c r="U31" i="9" s="1"/>
  <c r="AF31" i="6"/>
  <c r="AH31" i="6"/>
  <c r="D31" i="10"/>
  <c r="N31" i="9"/>
  <c r="AH31" i="7"/>
  <c r="AF31" i="7"/>
  <c r="D25" i="10"/>
  <c r="N25" i="9"/>
  <c r="AF25" i="7"/>
  <c r="AH25" i="7"/>
  <c r="C23" i="10"/>
  <c r="AF23" i="6"/>
  <c r="H23" i="9"/>
  <c r="AH23" i="6"/>
  <c r="E32" i="10"/>
  <c r="AH32" i="8"/>
  <c r="T32" i="9"/>
  <c r="U32" i="9" s="1"/>
  <c r="AF32" i="8"/>
  <c r="D42" i="10"/>
  <c r="N42" i="9"/>
  <c r="AH42" i="7"/>
  <c r="AF42" i="7"/>
  <c r="E19" i="10"/>
  <c r="AH19" i="8"/>
  <c r="AF19" i="8"/>
  <c r="T19" i="9"/>
  <c r="C42" i="10"/>
  <c r="H42" i="9"/>
  <c r="U42" i="9" s="1"/>
  <c r="AH42" i="6"/>
  <c r="AF42" i="6"/>
  <c r="C26" i="10"/>
  <c r="AH26" i="6"/>
  <c r="AF26" i="6"/>
  <c r="H26" i="9"/>
  <c r="U35" i="9"/>
  <c r="C38" i="10"/>
  <c r="H38" i="9"/>
  <c r="AF38" i="6"/>
  <c r="AH38" i="6"/>
  <c r="D36" i="10"/>
  <c r="N36" i="9"/>
  <c r="AH36" i="7"/>
  <c r="AF36" i="7"/>
  <c r="D16" i="10"/>
  <c r="N16" i="9"/>
  <c r="AF16" i="7"/>
  <c r="AH16" i="7"/>
  <c r="C33" i="10"/>
  <c r="AH33" i="6"/>
  <c r="H33" i="9"/>
  <c r="U33" i="9" s="1"/>
  <c r="AF33" i="6"/>
  <c r="D17" i="10"/>
  <c r="N17" i="9"/>
  <c r="U17" i="9" s="1"/>
  <c r="AF17" i="7"/>
  <c r="AH17" i="7"/>
  <c r="C15" i="10"/>
  <c r="H15" i="9"/>
  <c r="AF15" i="6"/>
  <c r="AH15" i="6"/>
  <c r="D34" i="10"/>
  <c r="N34" i="9"/>
  <c r="AH34" i="7"/>
  <c r="AF34" i="7"/>
  <c r="C24" i="10"/>
  <c r="H24" i="9"/>
  <c r="U24" i="9" s="1"/>
  <c r="AH24" i="6"/>
  <c r="AF24" i="6"/>
  <c r="E12" i="10"/>
  <c r="AH12" i="8"/>
  <c r="AF12" i="8"/>
  <c r="T12" i="9"/>
  <c r="U12" i="9" s="1"/>
  <c r="D20" i="10"/>
  <c r="N20" i="9"/>
  <c r="U20" i="9" s="1"/>
  <c r="AH20" i="7"/>
  <c r="AF20" i="7"/>
  <c r="E38" i="10"/>
  <c r="AF38" i="8"/>
  <c r="T38" i="9"/>
  <c r="AH38" i="8"/>
  <c r="E40" i="10"/>
  <c r="AH40" i="8"/>
  <c r="T40" i="9"/>
  <c r="AF40" i="8"/>
  <c r="D15" i="10"/>
  <c r="N15" i="9"/>
  <c r="AH15" i="7"/>
  <c r="AF15" i="7"/>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U44" i="9"/>
  <c r="E25" i="10"/>
  <c r="AF25" i="8"/>
  <c r="T25" i="9"/>
  <c r="AH25" i="8"/>
  <c r="C29" i="10"/>
  <c r="H29" i="9"/>
  <c r="U29" i="9" s="1"/>
  <c r="AH29" i="6"/>
  <c r="AF29" i="6"/>
  <c r="C13" i="10"/>
  <c r="H13" i="9"/>
  <c r="U13" i="9" s="1"/>
  <c r="AH13" i="6"/>
  <c r="AF13" i="6"/>
  <c r="N40" i="9"/>
  <c r="D40" i="10"/>
  <c r="AF40" i="7"/>
  <c r="AH40" i="7"/>
  <c r="J9" i="10" l="1"/>
  <c r="E24" i="14" s="1"/>
  <c r="U23" i="9"/>
  <c r="F23" i="10" s="1"/>
  <c r="F17" i="10"/>
  <c r="V17" i="9"/>
  <c r="V32" i="9"/>
  <c r="F32" i="10"/>
  <c r="V28" i="9"/>
  <c r="F28" i="10"/>
  <c r="V20" i="9"/>
  <c r="F20" i="10"/>
  <c r="F12" i="10"/>
  <c r="V12" i="9"/>
  <c r="F43" i="10"/>
  <c r="V43" i="9"/>
  <c r="F39" i="10"/>
  <c r="V39" i="9"/>
  <c r="J13" i="10"/>
  <c r="E25" i="14" s="1"/>
  <c r="F44" i="10"/>
  <c r="V44" i="9"/>
  <c r="F31" i="10"/>
  <c r="V31" i="9"/>
  <c r="U25" i="9"/>
  <c r="F22" i="10"/>
  <c r="V22" i="9"/>
  <c r="U10" i="9"/>
  <c r="F42" i="10"/>
  <c r="V42" i="9"/>
  <c r="F14" i="10"/>
  <c r="V14" i="9"/>
  <c r="F35" i="10"/>
  <c r="V35" i="9"/>
  <c r="F29" i="10"/>
  <c r="V29" i="9"/>
  <c r="U38" i="9"/>
  <c r="U37" i="9"/>
  <c r="U34" i="9"/>
  <c r="U30" i="9"/>
  <c r="U11" i="9"/>
  <c r="U41" i="9"/>
  <c r="F13" i="10"/>
  <c r="V13" i="9"/>
  <c r="AO12" i="8"/>
  <c r="H10" i="13" s="1"/>
  <c r="AO11" i="8"/>
  <c r="H9" i="13" s="1"/>
  <c r="AO10" i="8"/>
  <c r="H8" i="13" s="1"/>
  <c r="AO9" i="8"/>
  <c r="H7" i="13" s="1"/>
  <c r="V24" i="9"/>
  <c r="F24" i="10"/>
  <c r="U15" i="9"/>
  <c r="U26" i="9"/>
  <c r="I9" i="10"/>
  <c r="E11" i="14" s="1"/>
  <c r="I13" i="10"/>
  <c r="E12" i="14" s="1"/>
  <c r="AO12" i="6"/>
  <c r="H10" i="11" s="1"/>
  <c r="AO11" i="6"/>
  <c r="H9" i="11" s="1"/>
  <c r="AO10" i="6"/>
  <c r="H8" i="11" s="1"/>
  <c r="AO9" i="6"/>
  <c r="H7" i="11" s="1"/>
  <c r="AO9" i="7"/>
  <c r="H7" i="12" s="1"/>
  <c r="AO10" i="7"/>
  <c r="H8" i="12" s="1"/>
  <c r="AO11" i="7"/>
  <c r="H9" i="12" s="1"/>
  <c r="F19" i="10"/>
  <c r="V19" i="9"/>
  <c r="F9" i="10"/>
  <c r="V9" i="9"/>
  <c r="F21" i="10"/>
  <c r="V21" i="9"/>
  <c r="U18" i="9"/>
  <c r="U40" i="9"/>
  <c r="F33" i="10"/>
  <c r="V33" i="9"/>
  <c r="F27" i="10"/>
  <c r="V27" i="9"/>
  <c r="K13" i="10"/>
  <c r="E37" i="14" s="1"/>
  <c r="K9" i="10"/>
  <c r="E36" i="14" s="1"/>
  <c r="F36" i="10"/>
  <c r="V36" i="9"/>
  <c r="U16" i="9"/>
  <c r="AO12" i="7"/>
  <c r="H10" i="12" s="1"/>
  <c r="V23" i="9" l="1"/>
  <c r="G17" i="10"/>
  <c r="H25" i="16"/>
  <c r="E38" i="14"/>
  <c r="H11" i="12"/>
  <c r="I8" i="12" s="1"/>
  <c r="F15" i="10"/>
  <c r="V15" i="9"/>
  <c r="H21" i="16"/>
  <c r="G13" i="10"/>
  <c r="G29" i="10"/>
  <c r="H37" i="16"/>
  <c r="E26" i="14"/>
  <c r="G24" i="14" s="1"/>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I10" i="11"/>
  <c r="F34" i="10"/>
  <c r="V34" i="9"/>
  <c r="H22" i="16"/>
  <c r="G14" i="10"/>
  <c r="G31" i="10"/>
  <c r="H39" i="16"/>
  <c r="H40" i="16"/>
  <c r="G32" i="10"/>
  <c r="G12" i="14"/>
  <c r="F37" i="10"/>
  <c r="V37" i="9"/>
  <c r="H20" i="16"/>
  <c r="G12" i="10"/>
  <c r="G23" i="10"/>
  <c r="H31" i="16"/>
  <c r="F18" i="10"/>
  <c r="V18" i="9"/>
  <c r="F26" i="10"/>
  <c r="V26" i="9"/>
  <c r="H44" i="16"/>
  <c r="G36" i="10"/>
  <c r="G33" i="10"/>
  <c r="H41" i="16"/>
  <c r="G19" i="10"/>
  <c r="H27" i="16"/>
  <c r="V40" i="9"/>
  <c r="F40" i="10"/>
  <c r="E13" i="14"/>
  <c r="G11" i="14"/>
  <c r="F38" i="10"/>
  <c r="V38" i="9"/>
  <c r="H50" i="16"/>
  <c r="G42" i="10"/>
  <c r="H52" i="16"/>
  <c r="G44" i="10"/>
  <c r="H28" i="16"/>
  <c r="G20" i="10"/>
  <c r="G37" i="14" l="1"/>
  <c r="H26" i="16"/>
  <c r="G18" i="10"/>
  <c r="G10" i="10"/>
  <c r="H18" i="16"/>
  <c r="G25" i="10"/>
  <c r="H33" i="16"/>
  <c r="I10" i="12"/>
  <c r="I7" i="12"/>
  <c r="G36" i="14"/>
  <c r="I9" i="12"/>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11" i="11" s="1"/>
  <c r="I9" i="13"/>
  <c r="G25" i="14"/>
  <c r="G26" i="14" s="1"/>
  <c r="G38" i="14" l="1"/>
  <c r="I11" i="12"/>
</calcChain>
</file>

<file path=xl/sharedStrings.xml><?xml version="1.0" encoding="utf-8"?>
<sst xmlns="http://schemas.openxmlformats.org/spreadsheetml/2006/main" count="628" uniqueCount="176">
  <si>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</si>
  <si>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</si>
  <si>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</si>
  <si>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</si>
  <si>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</si>
  <si>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</si>
  <si>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</si>
  <si>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</si>
  <si>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</si>
  <si>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</si>
  <si>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</si>
  <si>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</si>
  <si>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</si>
  <si>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</si>
  <si>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NUEVO PROFESOR</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</si>
  <si>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</si>
  <si>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</si>
  <si>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</si>
  <si>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</si>
  <si>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</si>
  <si>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</si>
  <si>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</si>
  <si>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</si>
  <si>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</si>
  <si>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</si>
  <si>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</si>
  <si>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</si>
  <si>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</si>
  <si>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</si>
  <si>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</si>
  <si>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</si>
  <si>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</si>
  <si>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</si>
  <si>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</si>
  <si>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</si>
  <si>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</si>
  <si>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</si>
  <si>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</si>
  <si>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</si>
  <si>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</si>
  <si>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</si>
  <si>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</si>
  <si>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</si>
  <si>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</si>
  <si>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</si>
  <si>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</si>
  <si>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</si>
  <si>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</si>
  <si>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</si>
  <si>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</si>
  <si>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</si>
  <si>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</si>
  <si>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</si>
  <si>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</si>
  <si>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</si>
  <si>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</si>
  <si>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</si>
  <si>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</si>
  <si>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</si>
  <si>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</si>
  <si>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</si>
  <si>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</si>
  <si>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</si>
  <si>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</si>
  <si>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</si>
  <si>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</si>
  <si>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</si>
  <si>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</si>
  <si>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</si>
  <si>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</si>
  <si>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</si>
  <si>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</si>
  <si>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</si>
  <si>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</si>
  <si>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</si>
  <si>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</si>
  <si>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</si>
  <si>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</si>
  <si>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</si>
  <si>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</si>
  <si>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</si>
  <si>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</si>
  <si>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</si>
  <si>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</si>
  <si>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</si>
  <si>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</si>
  <si>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</si>
  <si>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</si>
  <si>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</si>
  <si>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</si>
  <si>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</si>
  <si>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</si>
  <si>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</si>
  <si>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</si>
  <si>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</si>
  <si>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</si>
  <si>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</si>
  <si>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</si>
  <si>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</si>
  <si>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</si>
  <si>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</si>
  <si>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</si>
  <si>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</si>
  <si>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</si>
  <si>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</si>
  <si>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</si>
  <si>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</si>
  <si>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</si>
  <si>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</si>
  <si>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</si>
  <si>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</si>
  <si>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</si>
  <si>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</si>
  <si>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</si>
  <si>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</si>
  <si>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</si>
  <si>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</si>
  <si>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</si>
  <si>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</si>
  <si>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</si>
  <si>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</si>
  <si>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</si>
  <si>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</si>
  <si>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</si>
  <si>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</si>
  <si>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</si>
  <si>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</si>
  <si>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</si>
  <si>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</si>
  <si>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</si>
  <si>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</si>
  <si>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</si>
  <si>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</si>
  <si>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</si>
  <si>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</si>
  <si>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</si>
  <si>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</si>
  <si>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</si>
  <si>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</si>
  <si>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</si>
  <si>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</si>
  <si>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</si>
  <si>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</si>
  <si>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</si>
  <si>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</si>
  <si>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</si>
  <si>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</si>
  <si>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</si>
  <si>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</si>
  <si>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</si>
  <si>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</si>
  <si>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</si>
  <si>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</si>
  <si>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</si>
  <si>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</si>
  <si>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</si>
  <si>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</si>
  <si>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</si>
  <si>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</si>
  <si>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</si>
  <si>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</si>
  <si>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</si>
  <si>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</si>
  <si>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</si>
  <si>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</si>
  <si>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</si>
  <si>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</si>
  <si>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</si>
  <si>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0807/2021</t>
  </si>
  <si>
    <t>15/08/</t>
  </si>
  <si>
    <t>r</t>
  </si>
  <si>
    <t>1 y 2</t>
  </si>
  <si>
    <t>1 2</t>
  </si>
  <si>
    <t>2 4</t>
  </si>
  <si>
    <t>l</t>
  </si>
  <si>
    <t>practica en clase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</si>
</sst>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40">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sz val="9"/>
      <color theme="1"/>
      <name val="&quot;Libre Franklin&quot;"/>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b/>
      <sz val="8"/>
      <color theme="1"/>
      <name val="Calibri"/>
    </font>
    <font>
      <sz val="9"/>
      <color theme="1"/>
      <name val="Arial"/>
    </font>
    <font>
      <b/>
      <sz val="22"/>
      <color rgb="FFC00000"/>
      <name val="Calibri"/>
    </font>
    <font>
      <b/>
      <sz val="24"/>
      <color rgb="FFC00000"/>
      <name val="Calibri"/>
    </font>
    <font>
      <sz val="16"/>
      <color theme="1"/>
      <name val="Calibri"/>
    </font>
    <font>
      <sz val="10"/>
      <color rgb="FFC00000"/>
      <name val="Calibri"/>
    </font>
    <font>
      <b/>
      <sz val="10"/>
      <color rgb="FFC00000"/>
      <name val="Calibri"/>
    </font>
    <font>
      <sz val="9"/>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58">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38">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4" fillId="6" borderId="29" xfId="0" applyFont="1" applyFill="1" applyBorder="1" applyAlignment="1">
      <alignment horizontal="center" textRotation="90"/>
    </xf>
    <xf numFmtId="0" fontId="3" fillId="0" borderId="27" xfId="0" applyFont="1" applyBorder="1"/>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17" fillId="0" borderId="29" xfId="0" applyFont="1" applyBorder="1" applyAlignment="1">
      <alignment horizontal="center" textRotation="90"/>
    </xf>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3" xfId="0" applyNumberFormat="1" applyFont="1" applyBorder="1" applyAlignment="1">
      <alignment horizontal="center" vertical="center"/>
    </xf>
    <xf numFmtId="1" fontId="10" fillId="0" borderId="54" xfId="0" applyNumberFormat="1" applyFont="1" applyBorder="1" applyAlignment="1">
      <alignment horizontal="center" vertical="center"/>
    </xf>
    <xf numFmtId="0" fontId="3" fillId="0" borderId="55" xfId="0" applyFont="1" applyBorder="1"/>
    <xf numFmtId="1" fontId="10" fillId="0" borderId="53" xfId="0" applyNumberFormat="1" applyFont="1" applyBorder="1" applyAlignment="1">
      <alignment horizont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1</c:v>
                </c:pt>
                <c:pt idx="1">
                  <c:v>0</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34375" defaultRowHeight="15" customHeight="1"/>
  <cols>
    <col min="1" max="1" width="3.6640625" customWidth="1"/>
    <col min="2" max="2" width="18.6640625" customWidth="1"/>
    <col min="3" max="6" width="8.7109375" customWidth="1"/>
    <col min="7" max="7" width="1.94921875" customWidth="1"/>
    <col min="8" max="8" width="8.7109375" customWidth="1"/>
    <col min="9" max="9" width="3.6640625" customWidth="1"/>
    <col min="10" max="10" width="8.7109375" customWidth="1"/>
    <col min="11" max="11" width="1.94921875" customWidth="1"/>
    <col min="12" max="26" width="8.7109375" customWidth="1"/>
  </cols>
  <sheetData>
    <row r="1" spans="1:26" ht="19.75">
      <c r="A1" s="1"/>
      <c r="B1" s="1"/>
      <c r="C1" s="1"/>
      <c r="D1" s="1"/>
      <c r="E1" s="1"/>
      <c r="F1" s="1"/>
      <c r="G1" s="1"/>
      <c r="H1" s="1"/>
      <c r="I1" s="1"/>
      <c r="J1" s="1"/>
      <c r="K1" s="1"/>
      <c r="L1" s="1"/>
      <c r="M1" s="1"/>
      <c r="N1" s="1"/>
      <c r="O1" s="1"/>
      <c r="P1" s="1"/>
      <c r="Q1" s="1"/>
      <c r="R1" s="1"/>
      <c r="S1" s="1"/>
      <c r="T1" s="1"/>
      <c r="U1" s="1"/>
      <c r="V1" s="1"/>
      <c r="W1" s="1"/>
      <c r="X1" s="1"/>
      <c r="Y1" s="1"/>
      <c r="Z1" s="1"/>
    </row>
    <row r="2" spans="1:26" ht="19.75">
      <c r="A2" s="1"/>
      <c r="B2" s="1"/>
      <c r="C2" s="1"/>
      <c r="D2" s="1"/>
      <c r="E2" s="1"/>
      <c r="F2" s="1"/>
      <c r="G2" s="1"/>
      <c r="H2" s="1"/>
      <c r="I2" s="1"/>
      <c r="J2" s="1"/>
      <c r="K2" s="1"/>
      <c r="L2" s="1"/>
      <c r="M2" s="1"/>
      <c r="N2" s="1"/>
      <c r="O2" s="1"/>
      <c r="P2" s="1"/>
      <c r="Q2" s="1"/>
      <c r="R2" s="1"/>
      <c r="S2" s="1"/>
      <c r="T2" s="1"/>
      <c r="U2" s="1"/>
      <c r="V2" s="1"/>
      <c r="W2" s="1"/>
      <c r="X2" s="1"/>
      <c r="Y2" s="1"/>
      <c r="Z2" s="1"/>
    </row>
    <row r="3" spans="1:26" ht="19.75">
      <c r="A3" s="1"/>
      <c r="B3" s="1"/>
      <c r="C3" s="1"/>
      <c r="D3" s="1"/>
      <c r="E3" s="1"/>
      <c r="F3" s="1"/>
      <c r="G3" s="1"/>
      <c r="H3" s="1"/>
      <c r="I3" s="1"/>
      <c r="J3" s="1"/>
      <c r="K3" s="1"/>
      <c r="L3" s="1"/>
      <c r="M3" s="1"/>
      <c r="N3" s="1"/>
      <c r="O3" s="1"/>
      <c r="P3" s="1"/>
      <c r="Q3" s="1"/>
      <c r="R3" s="1"/>
      <c r="S3" s="1"/>
      <c r="T3" s="1"/>
      <c r="U3" s="1"/>
      <c r="V3" s="1"/>
      <c r="W3" s="1"/>
      <c r="X3" s="1"/>
      <c r="Y3" s="1"/>
      <c r="Z3" s="1"/>
    </row>
    <row r="4" spans="1:26" ht="19.75">
      <c r="A4" s="1"/>
      <c r="B4" s="1"/>
      <c r="C4" s="1"/>
      <c r="D4" s="1"/>
      <c r="E4" s="1"/>
      <c r="F4" s="1"/>
      <c r="G4" s="1"/>
      <c r="H4" s="1"/>
      <c r="I4" s="1"/>
      <c r="J4" s="1"/>
      <c r="K4" s="1"/>
      <c r="L4" s="1"/>
      <c r="M4" s="1"/>
      <c r="N4" s="1"/>
      <c r="O4" s="1"/>
      <c r="P4" s="1"/>
      <c r="Q4" s="1"/>
      <c r="R4" s="1"/>
      <c r="S4" s="1"/>
      <c r="T4" s="1"/>
      <c r="U4" s="1"/>
      <c r="V4" s="1"/>
      <c r="W4" s="1"/>
      <c r="X4" s="1"/>
      <c r="Y4" s="1"/>
      <c r="Z4" s="1"/>
    </row>
    <row r="5" spans="1:26" ht="19.75">
      <c r="A5" s="1"/>
      <c r="B5" s="1"/>
      <c r="C5" s="1"/>
      <c r="D5" s="1"/>
      <c r="E5" s="1"/>
      <c r="F5" s="1"/>
      <c r="G5" s="1"/>
      <c r="H5" s="1"/>
      <c r="I5" s="1"/>
      <c r="J5" s="1"/>
      <c r="K5" s="1"/>
      <c r="L5" s="1"/>
      <c r="M5" s="1"/>
      <c r="N5" s="1"/>
      <c r="O5" s="1"/>
      <c r="P5" s="1"/>
      <c r="Q5" s="1"/>
      <c r="R5" s="1"/>
      <c r="S5" s="1"/>
      <c r="T5" s="1"/>
      <c r="U5" s="1"/>
      <c r="V5" s="1"/>
      <c r="W5" s="1"/>
      <c r="X5" s="1"/>
      <c r="Y5" s="1"/>
      <c r="Z5" s="1"/>
    </row>
    <row r="6" spans="1:26" ht="19.75">
      <c r="A6" s="1"/>
      <c r="B6" s="1"/>
      <c r="C6" s="1"/>
      <c r="D6" s="1"/>
      <c r="E6" s="1"/>
      <c r="F6" s="1"/>
      <c r="G6" s="1"/>
      <c r="H6" s="1"/>
      <c r="I6" s="1"/>
      <c r="J6" s="1"/>
      <c r="K6" s="1"/>
      <c r="L6" s="1"/>
      <c r="M6" s="1"/>
      <c r="N6" s="1"/>
      <c r="O6" s="1"/>
      <c r="P6" s="1"/>
      <c r="Q6" s="1"/>
      <c r="R6" s="1"/>
      <c r="S6" s="1"/>
      <c r="T6" s="1"/>
      <c r="U6" s="1"/>
      <c r="V6" s="1"/>
      <c r="W6" s="1"/>
      <c r="X6" s="1"/>
      <c r="Y6" s="1"/>
      <c r="Z6" s="1"/>
    </row>
    <row r="7" spans="1:26" ht="19.75">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161" t="s">
        <v>0</v>
      </c>
      <c r="D8" s="162"/>
      <c r="E8" s="163"/>
      <c r="F8" s="2"/>
      <c r="G8" s="3"/>
      <c r="H8" s="4"/>
      <c r="I8" s="4"/>
      <c r="J8" s="4"/>
      <c r="K8" s="5"/>
      <c r="L8" s="1"/>
      <c r="M8" s="1"/>
      <c r="N8" s="1"/>
      <c r="O8" s="1"/>
      <c r="P8" s="1"/>
      <c r="Q8" s="1"/>
      <c r="R8" s="1"/>
      <c r="S8" s="1"/>
      <c r="T8" s="1"/>
      <c r="U8" s="1"/>
      <c r="V8" s="1"/>
      <c r="W8" s="1"/>
      <c r="X8" s="1"/>
      <c r="Y8" s="1"/>
      <c r="Z8" s="1"/>
    </row>
    <row r="9" spans="1:26" ht="19.75">
      <c r="A9" s="1"/>
      <c r="B9" s="1"/>
      <c r="C9" s="1"/>
      <c r="D9" s="1"/>
      <c r="E9" s="1"/>
      <c r="F9" s="1"/>
      <c r="G9" s="6"/>
      <c r="H9" s="164" t="s">
        <v>1</v>
      </c>
      <c r="I9" s="165"/>
      <c r="J9" s="166"/>
      <c r="K9" s="7"/>
      <c r="L9" s="1"/>
      <c r="M9" s="1"/>
      <c r="N9" s="1"/>
      <c r="O9" s="1"/>
      <c r="P9" s="1"/>
      <c r="Q9" s="1"/>
      <c r="R9" s="1"/>
      <c r="S9" s="1"/>
      <c r="T9" s="1"/>
      <c r="U9" s="1"/>
      <c r="V9" s="1"/>
      <c r="W9" s="1"/>
      <c r="X9" s="1"/>
      <c r="Y9" s="1"/>
      <c r="Z9" s="1"/>
    </row>
    <row r="10" spans="1:26" ht="19.75">
      <c r="A10" s="1"/>
      <c r="B10" s="1"/>
      <c r="C10" s="1"/>
      <c r="D10" s="1"/>
      <c r="E10" s="1"/>
      <c r="F10" s="1"/>
      <c r="G10" s="6"/>
      <c r="H10" s="167"/>
      <c r="I10" s="168"/>
      <c r="J10" s="169"/>
      <c r="K10" s="7"/>
      <c r="L10" s="1"/>
      <c r="M10" s="1"/>
      <c r="N10" s="1"/>
      <c r="O10" s="1"/>
      <c r="P10" s="1"/>
      <c r="Q10" s="1"/>
      <c r="R10" s="1"/>
      <c r="S10" s="1"/>
      <c r="T10" s="1"/>
      <c r="U10" s="1"/>
      <c r="V10" s="1"/>
      <c r="W10" s="1"/>
      <c r="X10" s="1"/>
      <c r="Y10" s="1"/>
      <c r="Z10" s="1"/>
    </row>
    <row r="11" spans="1:26" ht="15" customHeight="1">
      <c r="A11" s="1"/>
      <c r="B11" s="8" t="s">
        <v>2</v>
      </c>
      <c r="C11" s="158" t="s">
        <v>3</v>
      </c>
      <c r="D11" s="159"/>
      <c r="E11" s="160"/>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170" t="s">
        <v>4</v>
      </c>
      <c r="I12" s="171"/>
      <c r="J12" s="171"/>
      <c r="K12" s="7"/>
      <c r="L12" s="1"/>
      <c r="M12" s="1"/>
      <c r="N12" s="1"/>
      <c r="O12" s="1"/>
      <c r="P12" s="1"/>
      <c r="Q12" s="1"/>
      <c r="R12" s="1"/>
      <c r="S12" s="1"/>
      <c r="T12" s="1"/>
      <c r="U12" s="1"/>
      <c r="V12" s="1"/>
      <c r="W12" s="1"/>
      <c r="X12" s="1"/>
      <c r="Y12" s="1"/>
      <c r="Z12" s="1"/>
    </row>
    <row r="13" spans="1:26" ht="19.75">
      <c r="A13" s="1"/>
      <c r="B13" s="8" t="s">
        <v>5</v>
      </c>
      <c r="C13" s="158"/>
      <c r="D13" s="159"/>
      <c r="E13" s="160"/>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19.75">
      <c r="A15" s="1"/>
      <c r="B15" s="8" t="s">
        <v>8</v>
      </c>
      <c r="C15" s="158" t="s">
        <v>9</v>
      </c>
      <c r="D15" s="159"/>
      <c r="E15" s="160"/>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172" t="s">
        <v>10</v>
      </c>
      <c r="I16" s="171"/>
      <c r="J16" s="171"/>
      <c r="K16" s="7"/>
      <c r="L16" s="1"/>
      <c r="M16" s="1"/>
      <c r="N16" s="1"/>
      <c r="O16" s="1"/>
      <c r="P16" s="1"/>
      <c r="Q16" s="1"/>
      <c r="R16" s="1"/>
      <c r="S16" s="1"/>
      <c r="T16" s="1"/>
      <c r="U16" s="1"/>
      <c r="V16" s="1"/>
      <c r="W16" s="1"/>
      <c r="X16" s="1"/>
      <c r="Y16" s="1"/>
      <c r="Z16" s="1"/>
    </row>
    <row r="17" spans="1:26" ht="19.75">
      <c r="A17" s="1"/>
      <c r="B17" s="8" t="s">
        <v>11</v>
      </c>
      <c r="C17" s="158" t="s">
        <v>12</v>
      </c>
      <c r="D17" s="159"/>
      <c r="E17" s="160"/>
      <c r="F17" s="9"/>
      <c r="G17" s="6"/>
      <c r="H17" s="10"/>
      <c r="I17" s="10"/>
      <c r="J17" s="10"/>
      <c r="K17" s="7"/>
      <c r="L17" s="1"/>
      <c r="M17" s="1"/>
      <c r="N17" s="1"/>
      <c r="O17" s="1"/>
      <c r="P17" s="1"/>
      <c r="Q17" s="1"/>
      <c r="R17" s="1"/>
      <c r="S17" s="1"/>
      <c r="T17" s="1"/>
      <c r="U17" s="1"/>
      <c r="V17" s="1"/>
      <c r="W17" s="1"/>
      <c r="X17" s="1"/>
      <c r="Y17" s="1"/>
      <c r="Z17" s="1"/>
    </row>
    <row r="18" spans="1:26" ht="19.7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19.75">
      <c r="A19" s="1"/>
      <c r="B19" s="8" t="s">
        <v>13</v>
      </c>
      <c r="C19" s="158" t="s">
        <v>14</v>
      </c>
      <c r="D19" s="159"/>
      <c r="E19" s="160"/>
      <c r="F19" s="9"/>
      <c r="G19" s="6"/>
      <c r="H19" s="13">
        <v>44326</v>
      </c>
      <c r="I19" s="10"/>
      <c r="J19" s="13">
        <v>44439</v>
      </c>
      <c r="K19" s="7"/>
      <c r="L19" s="1"/>
      <c r="M19" s="1"/>
      <c r="N19" s="1"/>
      <c r="O19" s="1"/>
      <c r="P19" s="1"/>
      <c r="Q19" s="1"/>
      <c r="R19" s="1"/>
      <c r="S19" s="1"/>
      <c r="T19" s="1"/>
      <c r="U19" s="1"/>
      <c r="V19" s="1"/>
      <c r="W19" s="1"/>
      <c r="X19" s="1"/>
      <c r="Y19" s="1"/>
      <c r="Z19" s="1"/>
    </row>
    <row r="20" spans="1:26" ht="19.7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15</v>
      </c>
      <c r="C21" s="158" t="s">
        <v>16</v>
      </c>
      <c r="D21" s="159"/>
      <c r="E21" s="160"/>
      <c r="F21" s="9"/>
      <c r="G21" s="6"/>
      <c r="H21" s="172" t="s">
        <v>17</v>
      </c>
      <c r="I21" s="171"/>
      <c r="J21" s="171"/>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18</v>
      </c>
      <c r="C23" s="158" t="s">
        <v>19</v>
      </c>
      <c r="D23" s="159"/>
      <c r="E23" s="160"/>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20</v>
      </c>
      <c r="C25" s="158"/>
      <c r="D25" s="159"/>
      <c r="E25" s="160"/>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21</v>
      </c>
      <c r="C27" s="158">
        <v>2021</v>
      </c>
      <c r="D27" s="159"/>
      <c r="E27" s="160"/>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34375" defaultRowHeight="15" customHeight="1"/>
  <cols>
    <col min="1" max="1" width="2" customWidth="1"/>
    <col min="2" max="2" width="25" customWidth="1"/>
    <col min="3" max="3" width="8.046875" customWidth="1"/>
    <col min="4" max="4" width="3.94921875" hidden="1" customWidth="1"/>
    <col min="5" max="5" width="8.94921875" customWidth="1"/>
    <col min="6" max="6" width="10.94921875" customWidth="1"/>
    <col min="7" max="8" width="8.7109375" customWidth="1"/>
    <col min="9" max="9" width="9.7109375" customWidth="1"/>
    <col min="10" max="26" width="8.71093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175" t="s">
        <v>22</v>
      </c>
      <c r="C2" s="171"/>
      <c r="D2" s="171"/>
      <c r="E2" s="171"/>
      <c r="F2" s="171"/>
      <c r="G2" s="171"/>
      <c r="H2" s="171"/>
      <c r="I2" s="171"/>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173" t="str">
        <f>CARÁTULA!$C$15</f>
        <v>Instituto Tecnico Humanistico Jauzel Arrieta</v>
      </c>
      <c r="D4" s="171"/>
      <c r="E4" s="171"/>
      <c r="F4" s="22" t="s">
        <v>20</v>
      </c>
      <c r="G4" s="173">
        <f>CARÁTULA!$C$25</f>
        <v>0</v>
      </c>
      <c r="H4" s="171"/>
      <c r="I4" s="171"/>
      <c r="J4" s="19"/>
      <c r="K4" s="19"/>
      <c r="L4" s="19"/>
      <c r="M4" s="19"/>
      <c r="N4" s="19"/>
      <c r="O4" s="19"/>
      <c r="P4" s="19"/>
      <c r="Q4" s="19"/>
      <c r="R4" s="19"/>
      <c r="S4" s="19"/>
      <c r="T4" s="19"/>
      <c r="U4" s="19"/>
      <c r="V4" s="19"/>
      <c r="W4" s="19"/>
      <c r="X4" s="19"/>
      <c r="Y4" s="19"/>
      <c r="Z4" s="19"/>
    </row>
    <row r="5" spans="1:26" ht="12" customHeight="1">
      <c r="A5" s="20"/>
      <c r="B5" s="21" t="s">
        <v>15</v>
      </c>
      <c r="C5" s="173" t="str">
        <f>CARÁTULA!$C$21</f>
        <v>Secundaria</v>
      </c>
      <c r="D5" s="171"/>
      <c r="E5" s="171"/>
      <c r="F5" s="22" t="s">
        <v>13</v>
      </c>
      <c r="G5" s="173" t="str">
        <f>CARÁTULA!$C$19</f>
        <v>NUEVO PROFESOR</v>
      </c>
      <c r="H5" s="171"/>
      <c r="I5" s="171"/>
      <c r="J5" s="19"/>
      <c r="K5" s="19"/>
      <c r="L5" s="19"/>
      <c r="M5" s="19"/>
      <c r="N5" s="19"/>
      <c r="O5" s="19"/>
      <c r="P5" s="19"/>
      <c r="Q5" s="19"/>
      <c r="R5" s="19"/>
      <c r="S5" s="19"/>
      <c r="T5" s="19"/>
      <c r="U5" s="19"/>
      <c r="V5" s="19"/>
      <c r="W5" s="19"/>
      <c r="X5" s="19"/>
      <c r="Y5" s="19"/>
      <c r="Z5" s="19"/>
    </row>
    <row r="6" spans="1:26" ht="12" customHeight="1">
      <c r="A6" s="20"/>
      <c r="B6" s="21" t="s">
        <v>23</v>
      </c>
      <c r="C6" s="173" t="str">
        <f>CARÁTULA!$C$23</f>
        <v>1ro de Secundaria</v>
      </c>
      <c r="D6" s="171"/>
      <c r="E6" s="171"/>
      <c r="F6" s="22" t="s">
        <v>24</v>
      </c>
      <c r="G6" s="174">
        <f ca="1">TODAY()</f>
        <v>44413</v>
      </c>
      <c r="H6" s="171"/>
      <c r="I6" s="171"/>
      <c r="J6" s="19"/>
      <c r="K6" s="19"/>
      <c r="L6" s="19"/>
      <c r="M6" s="19"/>
      <c r="N6" s="19"/>
      <c r="O6" s="19"/>
      <c r="P6" s="19"/>
      <c r="Q6" s="19"/>
      <c r="R6" s="19"/>
      <c r="S6" s="19"/>
      <c r="T6" s="19"/>
      <c r="U6" s="19"/>
      <c r="V6" s="19"/>
      <c r="W6" s="19"/>
      <c r="X6" s="19"/>
      <c r="Y6" s="19"/>
      <c r="Z6" s="19"/>
    </row>
    <row r="7" spans="1:26" ht="15" customHeight="1">
      <c r="A7" s="23"/>
      <c r="B7" s="24" t="s">
        <v>25</v>
      </c>
      <c r="C7" s="24" t="s">
        <v>26</v>
      </c>
      <c r="D7" s="25"/>
      <c r="E7" s="24" t="s">
        <v>27</v>
      </c>
      <c r="F7" s="24" t="s">
        <v>28</v>
      </c>
      <c r="G7" s="24" t="s">
        <v>29</v>
      </c>
      <c r="H7" s="24" t="s">
        <v>30</v>
      </c>
      <c r="I7" s="24" t="s">
        <v>31</v>
      </c>
      <c r="J7" s="26" t="s">
        <v>32</v>
      </c>
      <c r="K7" s="19"/>
      <c r="L7" s="19"/>
      <c r="M7" s="19"/>
      <c r="N7" s="19"/>
      <c r="O7" s="19"/>
      <c r="P7" s="19"/>
      <c r="Q7" s="19"/>
      <c r="R7" s="19"/>
      <c r="S7" s="19"/>
      <c r="T7" s="19"/>
      <c r="U7" s="19"/>
      <c r="V7" s="19"/>
      <c r="W7" s="19"/>
      <c r="X7" s="19"/>
      <c r="Y7" s="19"/>
      <c r="Z7" s="19"/>
    </row>
    <row r="8" spans="1:26" ht="13.5" customHeight="1">
      <c r="A8" s="27">
        <v>1</v>
      </c>
      <c r="B8" s="28" t="s">
        <v>33</v>
      </c>
      <c r="C8" s="29"/>
      <c r="D8" s="30">
        <f t="shared" ref="D8:D43" ca="1" si="0">TODAY()</f>
        <v>44413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34</v>
      </c>
      <c r="C9" s="35"/>
      <c r="D9" s="30">
        <f t="shared" ca="1" si="0"/>
        <v>44413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35</v>
      </c>
      <c r="C10" s="35"/>
      <c r="D10" s="30">
        <f t="shared" ca="1" si="0"/>
        <v>44413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36</v>
      </c>
      <c r="C11" s="35"/>
      <c r="D11" s="30">
        <f t="shared" ca="1" si="0"/>
        <v>44413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37</v>
      </c>
      <c r="C12" s="35"/>
      <c r="D12" s="30">
        <f t="shared" ca="1" si="0"/>
        <v>44413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38</v>
      </c>
      <c r="C13" s="35"/>
      <c r="D13" s="30">
        <f t="shared" ca="1" si="0"/>
        <v>44413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39</v>
      </c>
      <c r="C14" s="35"/>
      <c r="D14" s="30">
        <f t="shared" ca="1" si="0"/>
        <v>44413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40</v>
      </c>
      <c r="C15" s="35"/>
      <c r="D15" s="30">
        <f t="shared" ca="1" si="0"/>
        <v>44413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41</v>
      </c>
      <c r="C16" s="35"/>
      <c r="D16" s="30">
        <f t="shared" ca="1" si="0"/>
        <v>44413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42</v>
      </c>
      <c r="C17" s="35"/>
      <c r="D17" s="30">
        <f t="shared" ca="1" si="0"/>
        <v>44413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43</v>
      </c>
      <c r="C18" s="35"/>
      <c r="D18" s="30">
        <f t="shared" ca="1" si="0"/>
        <v>44413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44</v>
      </c>
      <c r="C19" s="35"/>
      <c r="D19" s="30">
        <f t="shared" ca="1" si="0"/>
        <v>44413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45</v>
      </c>
      <c r="C20" s="35"/>
      <c r="D20" s="30">
        <f t="shared" ca="1" si="0"/>
        <v>44413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46</v>
      </c>
      <c r="C21" s="35"/>
      <c r="D21" s="30">
        <f t="shared" ca="1" si="0"/>
        <v>44413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47</v>
      </c>
      <c r="C22" s="35"/>
      <c r="D22" s="30">
        <f t="shared" ca="1" si="0"/>
        <v>44413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44413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44413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44413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44413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44413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44413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44413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44413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44413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44413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44413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44413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44413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44413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44413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44413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44413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44413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44413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44413</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44413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M10" sqref="M10"/>
    </sheetView>
  </sheetViews>
  <sheetFormatPr baseColWidth="10" defaultColWidth="9.234375" defaultRowHeight="15" customHeight="1"/>
  <cols>
    <col min="1" max="1" width="1.6640625" customWidth="1"/>
    <col min="2" max="2" width="20.6640625" customWidth="1"/>
    <col min="3" max="52" width="1.28515625" customWidth="1"/>
    <col min="53" max="57" width="1.42578125" customWidth="1"/>
    <col min="58" max="61" width="1.6640625" customWidth="1"/>
  </cols>
  <sheetData>
    <row r="1" spans="1:61" ht="4.5" customHeight="1"/>
    <row r="2" spans="1:61" ht="12.75" customHeight="1">
      <c r="B2" s="175" t="s">
        <v>48</v>
      </c>
      <c r="C2" s="171"/>
      <c r="D2" s="171"/>
      <c r="E2" s="171"/>
      <c r="F2" s="171"/>
      <c r="G2" s="171"/>
      <c r="H2" s="171"/>
      <c r="I2" s="171"/>
      <c r="J2" s="171"/>
      <c r="K2" s="171"/>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71"/>
      <c r="AM2" s="171"/>
      <c r="AN2" s="171"/>
      <c r="AO2" s="171"/>
      <c r="AP2" s="171"/>
      <c r="AQ2" s="171"/>
      <c r="AR2" s="171"/>
      <c r="AS2" s="171"/>
      <c r="AT2" s="171"/>
      <c r="AU2" s="171"/>
      <c r="AV2" s="171"/>
      <c r="AW2" s="171"/>
      <c r="AX2" s="171"/>
      <c r="AY2" s="171"/>
      <c r="AZ2" s="171"/>
      <c r="BA2" s="171"/>
      <c r="BB2" s="171"/>
      <c r="BC2" s="171"/>
      <c r="BD2" s="171"/>
      <c r="BE2" s="171"/>
      <c r="BF2" s="171"/>
      <c r="BG2" s="171"/>
      <c r="BH2" s="171"/>
      <c r="BI2" s="171"/>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20</v>
      </c>
      <c r="T3" s="43"/>
      <c r="U3" s="43"/>
      <c r="V3" s="43"/>
      <c r="W3" s="43"/>
      <c r="X3" s="43">
        <f>CARÁTULA!$C$25</f>
        <v>0</v>
      </c>
      <c r="Y3" s="43"/>
      <c r="Z3" s="43"/>
      <c r="AA3" s="43"/>
      <c r="AB3" s="43"/>
      <c r="AC3" s="43"/>
      <c r="AD3" s="43"/>
      <c r="AE3" s="43"/>
      <c r="AF3" s="43"/>
      <c r="AG3" s="43"/>
      <c r="AH3" s="43"/>
      <c r="AI3" s="41"/>
      <c r="AJ3" s="41"/>
      <c r="AK3" s="43" t="s">
        <v>49</v>
      </c>
      <c r="AL3" s="41"/>
      <c r="AM3" s="41"/>
      <c r="AN3" s="41"/>
      <c r="AO3" s="41"/>
      <c r="AP3" s="41"/>
      <c r="AQ3" s="41"/>
      <c r="AR3" s="41"/>
      <c r="AS3" s="41"/>
      <c r="AT3" s="176">
        <f>CARÁTULA!$H$14</f>
        <v>44228</v>
      </c>
      <c r="AU3" s="171"/>
      <c r="AV3" s="171"/>
      <c r="AW3" s="171"/>
      <c r="AX3" s="171"/>
      <c r="AY3" s="171"/>
      <c r="AZ3" s="171"/>
      <c r="BA3" s="177" t="s">
        <v>50</v>
      </c>
      <c r="BB3" s="178"/>
      <c r="BC3" s="178"/>
      <c r="BD3" s="178"/>
      <c r="BE3" s="179"/>
    </row>
    <row r="4" spans="1:61" ht="12.75" customHeight="1">
      <c r="B4" s="39" t="s">
        <v>15</v>
      </c>
      <c r="C4" s="40" t="str">
        <f>CARÁTULA!$C$21</f>
        <v>Secundaria</v>
      </c>
      <c r="D4" s="41"/>
      <c r="E4" s="41"/>
      <c r="F4" s="41"/>
      <c r="G4" s="41"/>
      <c r="H4" s="41"/>
      <c r="I4" s="41"/>
      <c r="J4" s="41"/>
      <c r="K4" s="41"/>
      <c r="L4" s="41"/>
      <c r="M4" s="41"/>
      <c r="N4" s="41"/>
      <c r="O4" s="42"/>
      <c r="P4" s="42"/>
      <c r="Q4" s="42"/>
      <c r="R4" s="42"/>
      <c r="S4" s="42" t="s">
        <v>51</v>
      </c>
      <c r="T4" s="43"/>
      <c r="U4" s="41"/>
      <c r="V4" s="41"/>
      <c r="W4" s="41"/>
      <c r="X4" s="40" t="str">
        <f>CARÁTULA!$C$19</f>
        <v>NUEVO PROFESOR</v>
      </c>
      <c r="Y4" s="41"/>
      <c r="Z4" s="41"/>
      <c r="AA4" s="41"/>
      <c r="AB4" s="41"/>
      <c r="AC4" s="41"/>
      <c r="AD4" s="41"/>
      <c r="AE4" s="41"/>
      <c r="AF4" s="41"/>
      <c r="AG4" s="41"/>
      <c r="AH4" s="41"/>
      <c r="AI4" s="41"/>
      <c r="AJ4" s="41"/>
      <c r="AK4" s="43" t="s">
        <v>52</v>
      </c>
      <c r="AL4" s="41"/>
      <c r="AM4" s="41"/>
      <c r="AN4" s="41"/>
      <c r="AO4" s="41"/>
      <c r="AP4" s="41"/>
      <c r="AQ4" s="41"/>
      <c r="AR4" s="41"/>
      <c r="AS4" s="41"/>
      <c r="AT4" s="176">
        <f>CARÁTULA!$J$14</f>
        <v>44323</v>
      </c>
      <c r="AU4" s="171"/>
      <c r="AV4" s="171"/>
      <c r="AW4" s="171"/>
      <c r="AX4" s="171"/>
      <c r="AY4" s="171"/>
      <c r="AZ4" s="171"/>
      <c r="BA4" s="180">
        <f ca="1">AT4-AT5</f>
        <v>-90</v>
      </c>
      <c r="BB4" s="181"/>
      <c r="BC4" s="181"/>
      <c r="BD4" s="181"/>
      <c r="BE4" s="182"/>
    </row>
    <row r="5" spans="1:61" ht="12.75" customHeight="1">
      <c r="B5" s="39" t="s">
        <v>23</v>
      </c>
      <c r="C5" s="43" t="str">
        <f>CARÁTULA!$C$23</f>
        <v>1ro de Secundaria</v>
      </c>
      <c r="D5" s="41"/>
      <c r="E5" s="41"/>
      <c r="F5" s="41"/>
      <c r="G5" s="41"/>
      <c r="H5" s="41"/>
      <c r="I5" s="41"/>
      <c r="J5" s="41"/>
      <c r="K5" s="41"/>
      <c r="L5" s="41"/>
      <c r="M5" s="41"/>
      <c r="N5" s="41"/>
      <c r="O5" s="39"/>
      <c r="P5" s="39"/>
      <c r="Q5" s="39"/>
      <c r="R5" s="39"/>
      <c r="S5" s="44" t="s">
        <v>24</v>
      </c>
      <c r="T5" s="45"/>
      <c r="U5" s="45"/>
      <c r="V5" s="45"/>
      <c r="W5" s="45"/>
      <c r="X5" s="186">
        <f ca="1">TODAY()</f>
        <v>44413</v>
      </c>
      <c r="Y5" s="171"/>
      <c r="Z5" s="171"/>
      <c r="AA5" s="171"/>
      <c r="AB5" s="171"/>
      <c r="AC5" s="171"/>
      <c r="AD5" s="41"/>
      <c r="AE5" s="41"/>
      <c r="AF5" s="41"/>
      <c r="AG5" s="41"/>
      <c r="AH5" s="41"/>
      <c r="AI5" s="41"/>
      <c r="AJ5" s="41"/>
      <c r="AK5" s="46" t="s">
        <v>53</v>
      </c>
      <c r="AL5" s="47"/>
      <c r="AM5" s="47"/>
      <c r="AN5" s="47"/>
      <c r="AO5" s="47"/>
      <c r="AP5" s="47"/>
      <c r="AQ5" s="47"/>
      <c r="AR5" s="41"/>
      <c r="AS5" s="41"/>
      <c r="AT5" s="187">
        <f ca="1">TODAY()</f>
        <v>44413</v>
      </c>
      <c r="AU5" s="171"/>
      <c r="AV5" s="171"/>
      <c r="AW5" s="171"/>
      <c r="AX5" s="171"/>
      <c r="AY5" s="171"/>
      <c r="AZ5" s="171"/>
      <c r="BA5" s="183"/>
      <c r="BB5" s="184"/>
      <c r="BC5" s="184"/>
      <c r="BD5" s="184"/>
      <c r="BE5" s="185"/>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54</v>
      </c>
      <c r="B7" s="50" t="s">
        <v>55</v>
      </c>
      <c r="C7" s="51">
        <v>44231</v>
      </c>
      <c r="D7" s="51">
        <v>44238</v>
      </c>
      <c r="E7" s="52">
        <v>44245</v>
      </c>
      <c r="F7" s="53">
        <v>44252</v>
      </c>
      <c r="G7" s="51">
        <v>44259</v>
      </c>
      <c r="H7" s="52" t="s">
        <v>169</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56</v>
      </c>
      <c r="BB7" s="57" t="s">
        <v>57</v>
      </c>
      <c r="BC7" s="57" t="s">
        <v>58</v>
      </c>
      <c r="BD7" s="57" t="s">
        <v>59</v>
      </c>
      <c r="BE7" s="58" t="s">
        <v>60</v>
      </c>
    </row>
    <row r="8" spans="1:61" ht="12" customHeight="1">
      <c r="A8" s="59">
        <v>1</v>
      </c>
      <c r="B8" s="60" t="str">
        <f>'C. FILIACION'!B8</f>
        <v>ARANCIBIA ARRAYA LUIS ANDRES</v>
      </c>
      <c r="C8" s="49"/>
      <c r="D8" s="61" t="s">
        <v>61</v>
      </c>
      <c r="E8" s="49" t="s">
        <v>61</v>
      </c>
      <c r="F8" s="62" t="s">
        <v>61</v>
      </c>
      <c r="G8" s="62" t="s">
        <v>61</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61</v>
      </c>
      <c r="E9" s="62" t="s">
        <v>62</v>
      </c>
      <c r="F9" s="62" t="s">
        <v>62</v>
      </c>
      <c r="G9" s="62" t="s">
        <v>61</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61</v>
      </c>
      <c r="E10" s="49" t="s">
        <v>61</v>
      </c>
      <c r="F10" s="62" t="s">
        <v>61</v>
      </c>
      <c r="G10" s="62" t="s">
        <v>61</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61</v>
      </c>
      <c r="E11" s="49" t="s">
        <v>61</v>
      </c>
      <c r="F11" s="62" t="s">
        <v>61</v>
      </c>
      <c r="G11" s="62" t="s">
        <v>61</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61</v>
      </c>
      <c r="E12" s="62" t="s">
        <v>62</v>
      </c>
      <c r="F12" s="62" t="s">
        <v>62</v>
      </c>
      <c r="G12" s="62" t="s">
        <v>61</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61</v>
      </c>
      <c r="E13" s="49" t="s">
        <v>61</v>
      </c>
      <c r="F13" s="62" t="s">
        <v>61</v>
      </c>
      <c r="G13" s="62" t="s">
        <v>61</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61</v>
      </c>
      <c r="E14" s="49" t="s">
        <v>61</v>
      </c>
      <c r="F14" s="62" t="s">
        <v>61</v>
      </c>
      <c r="G14" s="62" t="s">
        <v>61</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61</v>
      </c>
      <c r="E15" s="49" t="s">
        <v>61</v>
      </c>
      <c r="F15" s="62" t="s">
        <v>61</v>
      </c>
      <c r="G15" s="62" t="s">
        <v>61</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61</v>
      </c>
      <c r="E16" s="49" t="s">
        <v>61</v>
      </c>
      <c r="F16" s="62" t="s">
        <v>61</v>
      </c>
      <c r="G16" s="62" t="s">
        <v>61</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61</v>
      </c>
      <c r="E17" s="62" t="s">
        <v>62</v>
      </c>
      <c r="F17" s="62" t="s">
        <v>61</v>
      </c>
      <c r="G17" s="62" t="s">
        <v>61</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61</v>
      </c>
      <c r="E18" s="49" t="s">
        <v>61</v>
      </c>
      <c r="F18" s="62" t="s">
        <v>61</v>
      </c>
      <c r="G18" s="62" t="s">
        <v>61</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61</v>
      </c>
      <c r="E19" s="62" t="s">
        <v>62</v>
      </c>
      <c r="F19" s="62" t="s">
        <v>62</v>
      </c>
      <c r="G19" s="62" t="s">
        <v>61</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61</v>
      </c>
      <c r="E20" s="49" t="s">
        <v>61</v>
      </c>
      <c r="F20" s="62" t="s">
        <v>61</v>
      </c>
      <c r="G20" s="62" t="s">
        <v>61</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61</v>
      </c>
      <c r="E21" s="62" t="s">
        <v>62</v>
      </c>
      <c r="F21" s="62" t="s">
        <v>61</v>
      </c>
      <c r="G21" s="62" t="s">
        <v>61</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61</v>
      </c>
      <c r="E22" s="62" t="s">
        <v>62</v>
      </c>
      <c r="F22" s="62" t="s">
        <v>61</v>
      </c>
      <c r="G22" s="62" t="s">
        <v>61</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7" workbookViewId="0">
      <selection activeCell="N14" sqref="N14"/>
    </sheetView>
  </sheetViews>
  <sheetFormatPr baseColWidth="10" defaultColWidth="9.234375" defaultRowHeight="15" customHeight="1"/>
  <cols>
    <col min="1" max="1" width="1.6640625" customWidth="1"/>
    <col min="2" max="2" width="20.6640625" customWidth="1"/>
    <col min="3" max="9" width="1.28515625" customWidth="1"/>
    <col min="10" max="10" width="1.90234375" customWidth="1"/>
    <col min="11" max="13" width="1.28515625" customWidth="1"/>
    <col min="14" max="14" width="2.046875" customWidth="1"/>
    <col min="15" max="52" width="1.28515625" customWidth="1"/>
    <col min="53" max="57" width="1.42578125" customWidth="1"/>
    <col min="58" max="61" width="1.6640625" customWidth="1"/>
  </cols>
  <sheetData>
    <row r="1" spans="1:61" ht="4.5" customHeight="1"/>
    <row r="2" spans="1:61" ht="12.75" customHeight="1">
      <c r="B2" s="175" t="s">
        <v>63</v>
      </c>
      <c r="C2" s="171"/>
      <c r="D2" s="171"/>
      <c r="E2" s="171"/>
      <c r="F2" s="171"/>
      <c r="G2" s="171"/>
      <c r="H2" s="171"/>
      <c r="I2" s="171"/>
      <c r="J2" s="171"/>
      <c r="K2" s="171"/>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71"/>
      <c r="AM2" s="171"/>
      <c r="AN2" s="171"/>
      <c r="AO2" s="171"/>
      <c r="AP2" s="171"/>
      <c r="AQ2" s="171"/>
      <c r="AR2" s="171"/>
      <c r="AS2" s="171"/>
      <c r="AT2" s="171"/>
      <c r="AU2" s="171"/>
      <c r="AV2" s="171"/>
      <c r="AW2" s="171"/>
      <c r="AX2" s="171"/>
      <c r="AY2" s="171"/>
      <c r="AZ2" s="171"/>
      <c r="BA2" s="171"/>
      <c r="BB2" s="171"/>
      <c r="BC2" s="171"/>
      <c r="BD2" s="171"/>
      <c r="BE2" s="171"/>
      <c r="BF2" s="171"/>
      <c r="BG2" s="171"/>
      <c r="BH2" s="171"/>
      <c r="BI2" s="171"/>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20</v>
      </c>
      <c r="T3" s="43"/>
      <c r="U3" s="43"/>
      <c r="V3" s="43"/>
      <c r="W3" s="43"/>
      <c r="X3" s="43">
        <f>CARÁTULA!$C$25</f>
        <v>0</v>
      </c>
      <c r="Y3" s="43"/>
      <c r="Z3" s="43"/>
      <c r="AA3" s="43"/>
      <c r="AB3" s="43"/>
      <c r="AC3" s="43"/>
      <c r="AD3" s="43"/>
      <c r="AE3" s="43"/>
      <c r="AF3" s="43"/>
      <c r="AG3" s="43"/>
      <c r="AH3" s="43"/>
      <c r="AI3" s="41"/>
      <c r="AJ3" s="41"/>
      <c r="AK3" s="43" t="s">
        <v>49</v>
      </c>
      <c r="AL3" s="41"/>
      <c r="AM3" s="41"/>
      <c r="AN3" s="41"/>
      <c r="AO3" s="41"/>
      <c r="AP3" s="41"/>
      <c r="AQ3" s="41"/>
      <c r="AR3" s="41"/>
      <c r="AS3" s="41"/>
      <c r="AT3" s="176">
        <f>CARÁTULA!$H$19</f>
        <v>44326</v>
      </c>
      <c r="AU3" s="171"/>
      <c r="AV3" s="171"/>
      <c r="AW3" s="171"/>
      <c r="AX3" s="171"/>
      <c r="AY3" s="171"/>
      <c r="AZ3" s="171"/>
      <c r="BA3" s="177" t="s">
        <v>50</v>
      </c>
      <c r="BB3" s="178"/>
      <c r="BC3" s="178"/>
      <c r="BD3" s="178"/>
      <c r="BE3" s="179"/>
    </row>
    <row r="4" spans="1:61" ht="12.75" customHeight="1">
      <c r="B4" s="39" t="s">
        <v>15</v>
      </c>
      <c r="C4" s="40" t="str">
        <f>CARÁTULA!$C$21</f>
        <v>Secundaria</v>
      </c>
      <c r="D4" s="41"/>
      <c r="E4" s="41"/>
      <c r="F4" s="41"/>
      <c r="G4" s="41"/>
      <c r="H4" s="41"/>
      <c r="I4" s="41"/>
      <c r="J4" s="41"/>
      <c r="K4" s="41"/>
      <c r="L4" s="41"/>
      <c r="M4" s="41"/>
      <c r="N4" s="41"/>
      <c r="O4" s="42"/>
      <c r="P4" s="42"/>
      <c r="Q4" s="42"/>
      <c r="R4" s="42"/>
      <c r="S4" s="42" t="s">
        <v>51</v>
      </c>
      <c r="T4" s="43"/>
      <c r="U4" s="41"/>
      <c r="V4" s="41"/>
      <c r="W4" s="41"/>
      <c r="X4" s="40" t="str">
        <f>CARÁTULA!$C$19</f>
        <v>NUEVO PROFESOR</v>
      </c>
      <c r="Y4" s="41"/>
      <c r="Z4" s="41"/>
      <c r="AA4" s="41"/>
      <c r="AB4" s="41"/>
      <c r="AC4" s="41"/>
      <c r="AD4" s="41"/>
      <c r="AE4" s="41"/>
      <c r="AF4" s="41"/>
      <c r="AG4" s="41"/>
      <c r="AH4" s="41"/>
      <c r="AI4" s="41"/>
      <c r="AJ4" s="41"/>
      <c r="AK4" s="43" t="s">
        <v>52</v>
      </c>
      <c r="AL4" s="41"/>
      <c r="AM4" s="41"/>
      <c r="AN4" s="41"/>
      <c r="AO4" s="41"/>
      <c r="AP4" s="41"/>
      <c r="AQ4" s="41"/>
      <c r="AR4" s="41"/>
      <c r="AS4" s="41"/>
      <c r="AT4" s="176">
        <f>CARÁTULA!$J$19</f>
        <v>44439</v>
      </c>
      <c r="AU4" s="171"/>
      <c r="AV4" s="171"/>
      <c r="AW4" s="171"/>
      <c r="AX4" s="171"/>
      <c r="AY4" s="171"/>
      <c r="AZ4" s="171"/>
      <c r="BA4" s="188">
        <f ca="1">AT4-AT5</f>
        <v>26</v>
      </c>
      <c r="BB4" s="181"/>
      <c r="BC4" s="181"/>
      <c r="BD4" s="181"/>
      <c r="BE4" s="182"/>
    </row>
    <row r="5" spans="1:61" ht="12.75" customHeight="1">
      <c r="B5" s="39" t="s">
        <v>23</v>
      </c>
      <c r="C5" s="43" t="str">
        <f>CARÁTULA!$C$23</f>
        <v>1ro de Secundaria</v>
      </c>
      <c r="D5" s="41"/>
      <c r="E5" s="41"/>
      <c r="F5" s="41"/>
      <c r="G5" s="41"/>
      <c r="H5" s="41"/>
      <c r="I5" s="41"/>
      <c r="J5" s="41"/>
      <c r="K5" s="41"/>
      <c r="L5" s="41"/>
      <c r="M5" s="41"/>
      <c r="N5" s="41"/>
      <c r="O5" s="39"/>
      <c r="P5" s="39"/>
      <c r="Q5" s="39"/>
      <c r="R5" s="39"/>
      <c r="S5" s="44" t="s">
        <v>24</v>
      </c>
      <c r="T5" s="45"/>
      <c r="U5" s="45"/>
      <c r="V5" s="45"/>
      <c r="W5" s="45"/>
      <c r="X5" s="189">
        <f ca="1">TODAY()</f>
        <v>44413</v>
      </c>
      <c r="Y5" s="171"/>
      <c r="Z5" s="171"/>
      <c r="AA5" s="171"/>
      <c r="AB5" s="171"/>
      <c r="AC5" s="171"/>
      <c r="AD5" s="41"/>
      <c r="AE5" s="41"/>
      <c r="AF5" s="41"/>
      <c r="AG5" s="41"/>
      <c r="AH5" s="41"/>
      <c r="AI5" s="41"/>
      <c r="AJ5" s="41"/>
      <c r="AK5" s="46" t="s">
        <v>53</v>
      </c>
      <c r="AL5" s="47"/>
      <c r="AM5" s="47"/>
      <c r="AN5" s="47"/>
      <c r="AO5" s="47"/>
      <c r="AP5" s="47"/>
      <c r="AQ5" s="47"/>
      <c r="AR5" s="41"/>
      <c r="AS5" s="41"/>
      <c r="AT5" s="187">
        <f ca="1">TODAY()</f>
        <v>44413</v>
      </c>
      <c r="AU5" s="171"/>
      <c r="AV5" s="171"/>
      <c r="AW5" s="171"/>
      <c r="AX5" s="171"/>
      <c r="AY5" s="171"/>
      <c r="AZ5" s="171"/>
      <c r="BA5" s="183"/>
      <c r="BB5" s="184"/>
      <c r="BC5" s="184"/>
      <c r="BD5" s="184"/>
      <c r="BE5" s="185"/>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61" ht="67.5" customHeight="1">
      <c r="A7" s="49" t="s">
        <v>54</v>
      </c>
      <c r="B7" s="50" t="s">
        <v>55</v>
      </c>
      <c r="C7" s="52">
        <v>43854</v>
      </c>
      <c r="D7" s="52">
        <v>43855</v>
      </c>
      <c r="E7" s="54"/>
      <c r="F7" s="54"/>
      <c r="G7" s="54"/>
      <c r="H7" s="54" t="s">
        <v>168</v>
      </c>
      <c r="I7" s="52">
        <v>44392</v>
      </c>
      <c r="J7" s="54"/>
      <c r="K7" s="52">
        <v>44399</v>
      </c>
      <c r="L7" s="52">
        <v>44406</v>
      </c>
      <c r="M7" s="52">
        <v>44413</v>
      </c>
      <c r="N7" s="54" t="s">
        <v>175</v>
      </c>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64</v>
      </c>
      <c r="BB7" s="57" t="s">
        <v>65</v>
      </c>
      <c r="BC7" s="57" t="s">
        <v>66</v>
      </c>
      <c r="BD7" s="57" t="s">
        <v>67</v>
      </c>
      <c r="BE7" s="58" t="s">
        <v>60</v>
      </c>
    </row>
    <row r="8" spans="1:61" ht="12" customHeight="1">
      <c r="A8" s="59">
        <v>1</v>
      </c>
      <c r="B8" s="60" t="str">
        <f>'C. FILIACION'!B8</f>
        <v>ARANCIBIA ARRAYA LUIS ANDRES</v>
      </c>
      <c r="C8" s="49"/>
      <c r="D8" s="49"/>
      <c r="E8" s="49"/>
      <c r="F8" s="49"/>
      <c r="G8" s="49"/>
      <c r="H8" s="49" t="s">
        <v>61</v>
      </c>
      <c r="I8" s="49" t="s">
        <v>61</v>
      </c>
      <c r="J8" s="49" t="s">
        <v>171</v>
      </c>
      <c r="K8" s="49" t="s">
        <v>61</v>
      </c>
      <c r="L8" s="49" t="s">
        <v>61</v>
      </c>
      <c r="M8" s="49" t="s">
        <v>61</v>
      </c>
      <c r="N8" s="49">
        <v>30</v>
      </c>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71</v>
      </c>
      <c r="BA8" s="64">
        <f t="shared" ref="BA8:BA43" si="0">IF(COUNTIF(C8:AZ8,"A")=0,"",COUNTIF(C8:AZ8,"A"))</f>
        <v>5</v>
      </c>
      <c r="BB8" s="49" t="str">
        <f t="shared" ref="BB8:BB43" si="1">IF(COUNTIF(C8:AZ8,"F")=0,"",COUNTIF(C8:AZ8,"F"))</f>
        <v/>
      </c>
      <c r="BC8" s="49" t="str">
        <f t="shared" ref="BC8:BC43" si="2">IF(COUNTIF(C8:AZ8,"R")=0,"",COUNTIF(C8:AZ8,"R"))</f>
        <v/>
      </c>
      <c r="BD8" s="49">
        <f t="shared" ref="BD8:BD43" si="3">IF(COUNTIF(C8:AZ8,"L")=0,"",COUNTIF(C8:AZ8,"L"))</f>
        <v>1</v>
      </c>
      <c r="BE8" s="65">
        <f t="shared" ref="BE8:BE43" si="4">IF(COUNTIF(C8:AZ8,"L")=0,"",COUNTIF(C8:AZ8,"L"))</f>
        <v>1</v>
      </c>
    </row>
    <row r="9" spans="1:61" ht="12" customHeight="1">
      <c r="A9" s="59">
        <v>2</v>
      </c>
      <c r="B9" s="60" t="str">
        <f>'C. FILIACION'!B9</f>
        <v>ARIVIRI ALEXIS JHONATAN</v>
      </c>
      <c r="C9" s="49"/>
      <c r="D9" s="49"/>
      <c r="E9" s="49"/>
      <c r="F9" s="49"/>
      <c r="G9" s="49"/>
      <c r="H9" s="49" t="s">
        <v>61</v>
      </c>
      <c r="I9" s="49" t="s">
        <v>61</v>
      </c>
      <c r="J9" s="49"/>
      <c r="K9" s="49" t="s">
        <v>61</v>
      </c>
      <c r="L9" s="49" t="s">
        <v>170</v>
      </c>
      <c r="M9" s="49" t="s">
        <v>61</v>
      </c>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4</v>
      </c>
      <c r="BB9" s="49" t="str">
        <f t="shared" si="1"/>
        <v/>
      </c>
      <c r="BC9" s="49">
        <f t="shared" si="2"/>
        <v>1</v>
      </c>
      <c r="BD9" s="49" t="str">
        <f t="shared" si="3"/>
        <v/>
      </c>
      <c r="BE9" s="65" t="str">
        <f t="shared" si="4"/>
        <v/>
      </c>
    </row>
    <row r="10" spans="1:61" ht="12" customHeight="1">
      <c r="A10" s="59">
        <v>3</v>
      </c>
      <c r="B10" s="60" t="str">
        <f>'C. FILIACION'!B10</f>
        <v>BASCOPE LOPEZ JHYMMY ANGHELO</v>
      </c>
      <c r="C10" s="49"/>
      <c r="D10" s="49"/>
      <c r="E10" s="49"/>
      <c r="F10" s="49"/>
      <c r="G10" s="49"/>
      <c r="H10" s="49" t="s">
        <v>61</v>
      </c>
      <c r="I10" s="49" t="s">
        <v>170</v>
      </c>
      <c r="J10" s="49" t="s">
        <v>172</v>
      </c>
      <c r="K10" s="49" t="s">
        <v>61</v>
      </c>
      <c r="L10" s="49" t="s">
        <v>61</v>
      </c>
      <c r="M10" s="49" t="s">
        <v>62</v>
      </c>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3</v>
      </c>
      <c r="BB10" s="49">
        <f t="shared" si="1"/>
        <v>1</v>
      </c>
      <c r="BC10" s="49">
        <f t="shared" si="2"/>
        <v>1</v>
      </c>
      <c r="BD10" s="49" t="str">
        <f t="shared" si="3"/>
        <v/>
      </c>
      <c r="BE10" s="65" t="str">
        <f t="shared" si="4"/>
        <v/>
      </c>
    </row>
    <row r="11" spans="1:61" ht="12" customHeight="1">
      <c r="A11" s="59">
        <v>4</v>
      </c>
      <c r="B11" s="60" t="str">
        <f>'C. FILIACION'!B11</f>
        <v>BLANCO SALVATIERRA DANIELA MARGARITA</v>
      </c>
      <c r="C11" s="49"/>
      <c r="D11" s="49"/>
      <c r="E11" s="49"/>
      <c r="F11" s="49"/>
      <c r="G11" s="49"/>
      <c r="H11" s="49" t="s">
        <v>61</v>
      </c>
      <c r="I11" s="49" t="s">
        <v>61</v>
      </c>
      <c r="J11" s="49">
        <v>1.2</v>
      </c>
      <c r="K11" s="49" t="s">
        <v>61</v>
      </c>
      <c r="L11" s="49" t="s">
        <v>61</v>
      </c>
      <c r="M11" s="49" t="s">
        <v>61</v>
      </c>
      <c r="N11" s="49">
        <v>35</v>
      </c>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5</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t="s">
        <v>61</v>
      </c>
      <c r="I12" s="49" t="s">
        <v>62</v>
      </c>
      <c r="J12" s="49"/>
      <c r="K12" s="49" t="s">
        <v>62</v>
      </c>
      <c r="L12" s="49" t="s">
        <v>62</v>
      </c>
      <c r="M12" s="49" t="s">
        <v>62</v>
      </c>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1</v>
      </c>
      <c r="BB12" s="49">
        <f t="shared" si="1"/>
        <v>4</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t="s">
        <v>61</v>
      </c>
      <c r="I13" s="49" t="s">
        <v>61</v>
      </c>
      <c r="J13" s="49" t="s">
        <v>172</v>
      </c>
      <c r="K13" s="49" t="s">
        <v>61</v>
      </c>
      <c r="L13" s="49" t="s">
        <v>61</v>
      </c>
      <c r="M13" s="49" t="s">
        <v>61</v>
      </c>
      <c r="N13" s="49">
        <v>35</v>
      </c>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5</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t="s">
        <v>61</v>
      </c>
      <c r="I14" s="49" t="s">
        <v>170</v>
      </c>
      <c r="J14" s="49"/>
      <c r="K14" s="49" t="s">
        <v>61</v>
      </c>
      <c r="L14" s="49" t="s">
        <v>61</v>
      </c>
      <c r="M14" s="49" t="s">
        <v>61</v>
      </c>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f t="shared" si="2"/>
        <v>1</v>
      </c>
      <c r="BD14" s="49" t="str">
        <f t="shared" si="3"/>
        <v/>
      </c>
      <c r="BE14" s="65" t="str">
        <f t="shared" si="4"/>
        <v/>
      </c>
    </row>
    <row r="15" spans="1:61" ht="12" customHeight="1">
      <c r="A15" s="59">
        <v>8</v>
      </c>
      <c r="B15" s="60" t="str">
        <f>'C. FILIACION'!B15</f>
        <v>LOPEZ PACO FABRICIO ANDRE</v>
      </c>
      <c r="C15" s="49"/>
      <c r="D15" s="49"/>
      <c r="E15" s="49"/>
      <c r="F15" s="49"/>
      <c r="G15" s="49"/>
      <c r="H15" s="49" t="s">
        <v>62</v>
      </c>
      <c r="I15" s="49" t="s">
        <v>61</v>
      </c>
      <c r="J15" s="49" t="s">
        <v>173</v>
      </c>
      <c r="K15" s="49" t="s">
        <v>62</v>
      </c>
      <c r="L15" s="49" t="s">
        <v>62</v>
      </c>
      <c r="M15" s="49" t="s">
        <v>61</v>
      </c>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2</v>
      </c>
      <c r="BB15" s="49">
        <f t="shared" si="1"/>
        <v>3</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t="s">
        <v>61</v>
      </c>
      <c r="I16" s="49" t="s">
        <v>61</v>
      </c>
      <c r="J16" s="49">
        <v>2.4</v>
      </c>
      <c r="K16" s="49" t="s">
        <v>61</v>
      </c>
      <c r="L16" s="49" t="s">
        <v>61</v>
      </c>
      <c r="M16" s="49" t="s">
        <v>61</v>
      </c>
      <c r="N16" s="49">
        <v>35</v>
      </c>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5</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t="s">
        <v>61</v>
      </c>
      <c r="I17" s="49" t="s">
        <v>62</v>
      </c>
      <c r="J17" s="49"/>
      <c r="K17" s="49" t="s">
        <v>62</v>
      </c>
      <c r="L17" s="49" t="s">
        <v>61</v>
      </c>
      <c r="M17" s="49" t="s">
        <v>61</v>
      </c>
      <c r="N17" s="49">
        <v>35</v>
      </c>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2</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t="s">
        <v>61</v>
      </c>
      <c r="I18" s="49" t="s">
        <v>61</v>
      </c>
      <c r="J18" s="49" t="s">
        <v>173</v>
      </c>
      <c r="K18" s="49" t="s">
        <v>61</v>
      </c>
      <c r="L18" s="49" t="s">
        <v>61</v>
      </c>
      <c r="M18" s="49" t="s">
        <v>61</v>
      </c>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5</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t="s">
        <v>62</v>
      </c>
      <c r="I19" s="49" t="s">
        <v>62</v>
      </c>
      <c r="J19" s="49"/>
      <c r="K19" s="49" t="s">
        <v>174</v>
      </c>
      <c r="L19" s="49" t="s">
        <v>174</v>
      </c>
      <c r="M19" s="49" t="s">
        <v>174</v>
      </c>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f t="shared" si="1"/>
        <v>2</v>
      </c>
      <c r="BC19" s="49" t="str">
        <f t="shared" si="2"/>
        <v/>
      </c>
      <c r="BD19" s="49">
        <f t="shared" si="3"/>
        <v>3</v>
      </c>
      <c r="BE19" s="65">
        <f t="shared" si="4"/>
        <v>3</v>
      </c>
    </row>
    <row r="20" spans="1:57" ht="12" customHeight="1">
      <c r="A20" s="59">
        <v>13</v>
      </c>
      <c r="B20" s="60" t="str">
        <f>'C. FILIACION'!B20</f>
        <v>SANTOS CRUZ ROYER JOEL</v>
      </c>
      <c r="C20" s="49"/>
      <c r="D20" s="49"/>
      <c r="E20" s="49"/>
      <c r="F20" s="49"/>
      <c r="G20" s="49"/>
      <c r="H20" s="49" t="s">
        <v>61</v>
      </c>
      <c r="I20" s="49" t="s">
        <v>61</v>
      </c>
      <c r="J20" s="49"/>
      <c r="K20" s="49" t="s">
        <v>61</v>
      </c>
      <c r="L20" s="49" t="s">
        <v>61</v>
      </c>
      <c r="M20" s="49" t="s">
        <v>61</v>
      </c>
      <c r="N20" s="49">
        <v>35</v>
      </c>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5</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t="s">
        <v>61</v>
      </c>
      <c r="I21" s="49" t="s">
        <v>61</v>
      </c>
      <c r="J21" s="49">
        <v>2.4</v>
      </c>
      <c r="K21" s="49" t="s">
        <v>61</v>
      </c>
      <c r="L21" s="49" t="s">
        <v>61</v>
      </c>
      <c r="M21" s="49" t="s">
        <v>61</v>
      </c>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5</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t="s">
        <v>61</v>
      </c>
      <c r="I22" s="49" t="s">
        <v>61</v>
      </c>
      <c r="J22" s="49"/>
      <c r="K22" s="49" t="s">
        <v>61</v>
      </c>
      <c r="L22" s="49" t="s">
        <v>61</v>
      </c>
      <c r="M22" s="49" t="s">
        <v>61</v>
      </c>
      <c r="N22" s="49">
        <v>35</v>
      </c>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5</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34375" defaultRowHeight="15" customHeight="1"/>
  <cols>
    <col min="1" max="1" width="1.6640625" customWidth="1"/>
    <col min="2" max="2" width="20.6640625" customWidth="1"/>
    <col min="3" max="52" width="1.28515625" customWidth="1"/>
    <col min="53" max="57" width="1.42578125" customWidth="1"/>
    <col min="58" max="61" width="1.6640625" customWidth="1"/>
  </cols>
  <sheetData>
    <row r="1" spans="1:61" ht="4.5" customHeight="1"/>
    <row r="2" spans="1:61" ht="12.75" customHeight="1">
      <c r="B2" s="175" t="s">
        <v>72</v>
      </c>
      <c r="C2" s="171"/>
      <c r="D2" s="171"/>
      <c r="E2" s="171"/>
      <c r="F2" s="171"/>
      <c r="G2" s="171"/>
      <c r="H2" s="171"/>
      <c r="I2" s="171"/>
      <c r="J2" s="171"/>
      <c r="K2" s="171"/>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71"/>
      <c r="AM2" s="171"/>
      <c r="AN2" s="171"/>
      <c r="AO2" s="171"/>
      <c r="AP2" s="171"/>
      <c r="AQ2" s="171"/>
      <c r="AR2" s="171"/>
      <c r="AS2" s="171"/>
      <c r="AT2" s="171"/>
      <c r="AU2" s="171"/>
      <c r="AV2" s="171"/>
      <c r="AW2" s="171"/>
      <c r="AX2" s="171"/>
      <c r="AY2" s="171"/>
      <c r="AZ2" s="171"/>
      <c r="BA2" s="171"/>
      <c r="BB2" s="171"/>
      <c r="BC2" s="171"/>
      <c r="BD2" s="171"/>
      <c r="BE2" s="171"/>
      <c r="BF2" s="171"/>
      <c r="BG2" s="171"/>
      <c r="BH2" s="171"/>
      <c r="BI2" s="171"/>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20</v>
      </c>
      <c r="T3" s="43"/>
      <c r="U3" s="43"/>
      <c r="V3" s="43"/>
      <c r="W3" s="43"/>
      <c r="X3" s="43">
        <f>CARÁTULA!$C$25</f>
        <v>0</v>
      </c>
      <c r="Y3" s="43"/>
      <c r="Z3" s="43"/>
      <c r="AA3" s="43"/>
      <c r="AB3" s="43"/>
      <c r="AC3" s="43"/>
      <c r="AD3" s="43"/>
      <c r="AE3" s="43"/>
      <c r="AF3" s="43"/>
      <c r="AG3" s="43"/>
      <c r="AH3" s="43"/>
      <c r="AI3" s="41"/>
      <c r="AJ3" s="41"/>
      <c r="AK3" s="43" t="s">
        <v>49</v>
      </c>
      <c r="AL3" s="41"/>
      <c r="AM3" s="41"/>
      <c r="AN3" s="41"/>
      <c r="AO3" s="41"/>
      <c r="AP3" s="41"/>
      <c r="AQ3" s="41"/>
      <c r="AR3" s="41"/>
      <c r="AS3" s="41"/>
      <c r="AT3" s="176">
        <f>CARÁTULA!$H$24</f>
        <v>44440</v>
      </c>
      <c r="AU3" s="171"/>
      <c r="AV3" s="171"/>
      <c r="AW3" s="171"/>
      <c r="AX3" s="171"/>
      <c r="AY3" s="171"/>
      <c r="AZ3" s="171"/>
      <c r="BA3" s="190"/>
      <c r="BB3" s="171"/>
      <c r="BC3" s="171"/>
      <c r="BD3" s="171"/>
      <c r="BE3" s="171"/>
    </row>
    <row r="4" spans="1:61" ht="12.75" customHeight="1">
      <c r="B4" s="39" t="s">
        <v>15</v>
      </c>
      <c r="C4" s="40" t="str">
        <f>CARÁTULA!$C$21</f>
        <v>Secundaria</v>
      </c>
      <c r="D4" s="41"/>
      <c r="E4" s="41"/>
      <c r="F4" s="41"/>
      <c r="G4" s="41"/>
      <c r="H4" s="41"/>
      <c r="I4" s="41"/>
      <c r="J4" s="41"/>
      <c r="K4" s="41"/>
      <c r="L4" s="41"/>
      <c r="M4" s="41"/>
      <c r="N4" s="41"/>
      <c r="O4" s="42"/>
      <c r="P4" s="42"/>
      <c r="Q4" s="42"/>
      <c r="R4" s="42"/>
      <c r="S4" s="42" t="s">
        <v>51</v>
      </c>
      <c r="T4" s="43"/>
      <c r="U4" s="41"/>
      <c r="V4" s="41"/>
      <c r="W4" s="41"/>
      <c r="X4" s="40" t="str">
        <f>CARÁTULA!$C$19</f>
        <v>NUEVO PROFESOR</v>
      </c>
      <c r="Y4" s="41"/>
      <c r="Z4" s="41"/>
      <c r="AA4" s="41"/>
      <c r="AB4" s="41"/>
      <c r="AC4" s="41"/>
      <c r="AD4" s="41"/>
      <c r="AE4" s="41"/>
      <c r="AF4" s="41"/>
      <c r="AG4" s="41"/>
      <c r="AH4" s="41"/>
      <c r="AI4" s="41"/>
      <c r="AJ4" s="41"/>
      <c r="AK4" s="43" t="s">
        <v>52</v>
      </c>
      <c r="AL4" s="41"/>
      <c r="AM4" s="41"/>
      <c r="AN4" s="41"/>
      <c r="AO4" s="41"/>
      <c r="AP4" s="41"/>
      <c r="AQ4" s="41"/>
      <c r="AR4" s="41"/>
      <c r="AS4" s="41"/>
      <c r="AT4" s="176">
        <f>CARÁTULA!$J$24</f>
        <v>44531</v>
      </c>
      <c r="AU4" s="171"/>
      <c r="AV4" s="171"/>
      <c r="AW4" s="171"/>
      <c r="AX4" s="171"/>
      <c r="AY4" s="171"/>
      <c r="AZ4" s="171"/>
      <c r="BA4" s="191">
        <f ca="1">AT4-AT5</f>
        <v>118</v>
      </c>
      <c r="BB4" s="181"/>
      <c r="BC4" s="181"/>
      <c r="BD4" s="181"/>
      <c r="BE4" s="182"/>
    </row>
    <row r="5" spans="1:61" ht="12.75" customHeight="1">
      <c r="B5" s="39" t="s">
        <v>23</v>
      </c>
      <c r="C5" s="40" t="str">
        <f>CARÁTULA!$C$23</f>
        <v>1ro de Secundaria</v>
      </c>
      <c r="D5" s="41"/>
      <c r="E5" s="41"/>
      <c r="F5" s="41"/>
      <c r="G5" s="41"/>
      <c r="H5" s="41"/>
      <c r="I5" s="41"/>
      <c r="J5" s="41"/>
      <c r="K5" s="41"/>
      <c r="L5" s="41"/>
      <c r="M5" s="41"/>
      <c r="N5" s="41"/>
      <c r="O5" s="39"/>
      <c r="P5" s="39"/>
      <c r="Q5" s="39"/>
      <c r="R5" s="39"/>
      <c r="S5" s="44" t="s">
        <v>24</v>
      </c>
      <c r="T5" s="45"/>
      <c r="U5" s="45"/>
      <c r="V5" s="45"/>
      <c r="W5" s="45"/>
      <c r="X5" s="189">
        <f ca="1">TODAY()</f>
        <v>44413</v>
      </c>
      <c r="Y5" s="171"/>
      <c r="Z5" s="171"/>
      <c r="AA5" s="171"/>
      <c r="AB5" s="171"/>
      <c r="AC5" s="171"/>
      <c r="AD5" s="41"/>
      <c r="AE5" s="41"/>
      <c r="AF5" s="41"/>
      <c r="AG5" s="41"/>
      <c r="AH5" s="41"/>
      <c r="AI5" s="41"/>
      <c r="AJ5" s="41"/>
      <c r="AK5" s="46" t="s">
        <v>53</v>
      </c>
      <c r="AL5" s="47"/>
      <c r="AM5" s="47"/>
      <c r="AN5" s="47"/>
      <c r="AO5" s="47"/>
      <c r="AP5" s="47"/>
      <c r="AQ5" s="47"/>
      <c r="AR5" s="41"/>
      <c r="AS5" s="41"/>
      <c r="AT5" s="187">
        <f ca="1">TODAY()</f>
        <v>44413</v>
      </c>
      <c r="AU5" s="171"/>
      <c r="AV5" s="171"/>
      <c r="AW5" s="171"/>
      <c r="AX5" s="171"/>
      <c r="AY5" s="171"/>
      <c r="AZ5" s="171"/>
      <c r="BA5" s="183"/>
      <c r="BB5" s="184"/>
      <c r="BC5" s="184"/>
      <c r="BD5" s="184"/>
      <c r="BE5" s="185"/>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54</v>
      </c>
      <c r="B7" s="50" t="s">
        <v>55</v>
      </c>
      <c r="C7" s="52">
        <v>43854</v>
      </c>
      <c r="D7" s="52">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73</v>
      </c>
      <c r="BB7" s="57" t="s">
        <v>74</v>
      </c>
      <c r="BC7" s="57" t="s">
        <v>75</v>
      </c>
      <c r="BD7" s="57" t="s">
        <v>76</v>
      </c>
      <c r="BE7" s="58" t="s">
        <v>60</v>
      </c>
    </row>
    <row r="8" spans="1:61" ht="12" customHeight="1">
      <c r="A8" s="59">
        <v>1</v>
      </c>
      <c r="B8" s="60" t="str">
        <f>'C. FILIACION'!B8</f>
        <v>ARANCIBIA ARRAYA LUIS ANDRES</v>
      </c>
      <c r="C8" s="49" t="s">
        <v>68</v>
      </c>
      <c r="D8" s="49" t="s">
        <v>69</v>
      </c>
      <c r="E8" s="49" t="s">
        <v>70</v>
      </c>
      <c r="F8" s="49" t="s">
        <v>71</v>
      </c>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71</v>
      </c>
      <c r="BA8" s="64">
        <f t="shared" ref="BA8:BA43" si="0">IF(COUNTIF(C8:AZ8,"A")=0,"",COUNTIF(C8:AZ8,"A"))</f>
        <v>1</v>
      </c>
      <c r="BB8" s="49">
        <f t="shared" ref="BB8:BB43" si="1">IF(COUNTIF(C8:AZ8,"F")=0,"",COUNTIF(C8:AZ8,"F"))</f>
        <v>1</v>
      </c>
      <c r="BC8" s="49">
        <f t="shared" ref="BC8:BC43" si="2">IF(COUNTIF(C8:AZ8,"R")=0,"",COUNTIF(C8:AZ8,"R"))</f>
        <v>1</v>
      </c>
      <c r="BD8" s="49">
        <f t="shared" ref="BD8:BD43" si="3">IF(COUNTIF(C8:AZ8,"L")=0,"",COUNTIF(C8:AZ8,"L"))</f>
        <v>2</v>
      </c>
      <c r="BE8" s="65">
        <f t="shared" ref="BE8:BE43" si="4">IF(COUNTIF(C8:AZ8,"L")=0,"",COUNTIF(C8:AZ8,"L"))</f>
        <v>2</v>
      </c>
    </row>
    <row r="9" spans="1:61" ht="12" customHeight="1">
      <c r="A9" s="59">
        <v>2</v>
      </c>
      <c r="B9" s="60" t="str">
        <f>'C. FILIACION'!B9</f>
        <v>ARIVIRI ALEXIS JHONATAN</v>
      </c>
      <c r="C9" s="49"/>
      <c r="D9" s="49"/>
      <c r="E9" s="49"/>
      <c r="F9" s="49"/>
      <c r="G9" s="49"/>
      <c r="H9" s="49"/>
      <c r="I9" s="49"/>
      <c r="J9" s="49"/>
      <c r="K9" s="49"/>
      <c r="L9" s="49" t="s">
        <v>71</v>
      </c>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t="str">
        <f t="shared" si="0"/>
        <v/>
      </c>
      <c r="BB9" s="49" t="str">
        <f t="shared" si="1"/>
        <v/>
      </c>
      <c r="BC9" s="49" t="str">
        <f t="shared" si="2"/>
        <v/>
      </c>
      <c r="BD9" s="49">
        <f t="shared" si="3"/>
        <v>1</v>
      </c>
      <c r="BE9" s="65">
        <f t="shared" si="4"/>
        <v>1</v>
      </c>
    </row>
    <row r="10" spans="1:61" ht="12" customHeight="1">
      <c r="A10" s="59">
        <v>3</v>
      </c>
      <c r="B10" s="60" t="str">
        <f>'C. FILIACION'!B10</f>
        <v>BASCOPE LOPEZ JHYMMY ANGHELO</v>
      </c>
      <c r="C10" s="49"/>
      <c r="D10" s="49" t="s">
        <v>69</v>
      </c>
      <c r="E10" s="49" t="s">
        <v>69</v>
      </c>
      <c r="F10" s="49" t="s">
        <v>69</v>
      </c>
      <c r="G10" s="49" t="s">
        <v>69</v>
      </c>
      <c r="H10" s="49" t="s">
        <v>69</v>
      </c>
      <c r="I10" s="49" t="s">
        <v>69</v>
      </c>
      <c r="J10" s="49" t="s">
        <v>69</v>
      </c>
      <c r="K10" s="49" t="s">
        <v>69</v>
      </c>
      <c r="L10" s="49" t="s">
        <v>69</v>
      </c>
      <c r="M10" s="49" t="s">
        <v>69</v>
      </c>
      <c r="N10" s="49" t="s">
        <v>69</v>
      </c>
      <c r="O10" s="49" t="s">
        <v>62</v>
      </c>
      <c r="P10" s="49" t="s">
        <v>62</v>
      </c>
      <c r="Q10" s="49" t="s">
        <v>62</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t="str">
        <f t="shared" si="0"/>
        <v/>
      </c>
      <c r="BB10" s="49">
        <f t="shared" si="1"/>
        <v>14</v>
      </c>
      <c r="BC10" s="49" t="str">
        <f t="shared" si="2"/>
        <v/>
      </c>
      <c r="BD10" s="49" t="str">
        <f t="shared" si="3"/>
        <v/>
      </c>
      <c r="BE10" s="65" t="str">
        <f t="shared" si="4"/>
        <v/>
      </c>
    </row>
    <row r="11" spans="1:61" ht="12" customHeight="1">
      <c r="A11" s="59">
        <v>4</v>
      </c>
      <c r="B11" s="60" t="str">
        <f>'C. FILIACION'!B11</f>
        <v>BLANCO SALVATIERRA DANIELA MARGARITA</v>
      </c>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t="str">
        <f t="shared" si="0"/>
        <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t="str">
        <f t="shared" si="0"/>
        <v/>
      </c>
      <c r="BB12" s="49" t="str">
        <f t="shared" si="1"/>
        <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t="str">
        <f t="shared" si="0"/>
        <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t="str">
        <f t="shared" si="0"/>
        <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t="str">
        <f t="shared" si="0"/>
        <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t="str">
        <f t="shared" si="0"/>
        <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t="str">
        <f t="shared" si="0"/>
        <v/>
      </c>
      <c r="BB17" s="49" t="str">
        <f t="shared" si="1"/>
        <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t="str">
        <f t="shared" si="0"/>
        <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t="str">
        <f t="shared" si="1"/>
        <v/>
      </c>
      <c r="BC19" s="49" t="str">
        <f t="shared" si="2"/>
        <v/>
      </c>
      <c r="BD19" s="49" t="str">
        <f t="shared" si="3"/>
        <v/>
      </c>
      <c r="BE19" s="65" t="str">
        <f t="shared" si="4"/>
        <v/>
      </c>
    </row>
    <row r="20" spans="1:57" ht="12" customHeight="1">
      <c r="A20" s="59">
        <v>13</v>
      </c>
      <c r="B20" s="60" t="str">
        <f>'C. FILIACION'!B20</f>
        <v>SANTOS CRUZ ROYER JOEL</v>
      </c>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t="str">
        <f t="shared" si="0"/>
        <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t="str">
        <f t="shared" si="0"/>
        <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t="str">
        <f t="shared" si="0"/>
        <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34375" defaultRowHeight="15" customHeight="1"/>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11" t="s">
        <v>77</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3"/>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20</v>
      </c>
      <c r="P3" s="78"/>
      <c r="Q3" s="78"/>
      <c r="R3" s="78"/>
      <c r="S3" s="78">
        <f>CARÁTULA!$C$25</f>
        <v>0</v>
      </c>
      <c r="T3" s="78"/>
      <c r="U3" s="78"/>
      <c r="V3" s="78"/>
      <c r="W3" s="78"/>
      <c r="X3" s="78"/>
      <c r="Y3" s="78"/>
      <c r="Z3" s="78"/>
      <c r="AA3" s="78"/>
      <c r="AB3" s="78"/>
      <c r="AC3" s="209" t="s">
        <v>49</v>
      </c>
      <c r="AD3" s="193"/>
      <c r="AE3" s="193"/>
      <c r="AF3" s="193"/>
      <c r="AG3" s="193"/>
      <c r="AH3" s="194"/>
      <c r="AI3" s="189">
        <f>CARÁTULA!$H$14</f>
        <v>44228</v>
      </c>
      <c r="AJ3" s="171"/>
      <c r="AK3" s="171"/>
      <c r="AL3" s="171"/>
      <c r="AM3" s="171"/>
      <c r="AN3" s="212" t="s">
        <v>50</v>
      </c>
      <c r="AO3" s="162"/>
      <c r="AP3" s="162"/>
      <c r="AQ3" s="162"/>
      <c r="AR3" s="163"/>
      <c r="AS3" s="72"/>
      <c r="AT3" s="72"/>
      <c r="AU3" s="72"/>
      <c r="AV3" s="72"/>
    </row>
    <row r="4" spans="1:48" ht="12.75" customHeight="1">
      <c r="A4" s="71"/>
      <c r="B4" s="74" t="s">
        <v>15</v>
      </c>
      <c r="C4" s="75" t="str">
        <f>CARÁTULA!$C$21</f>
        <v>Secundaria</v>
      </c>
      <c r="D4" s="76"/>
      <c r="E4" s="76"/>
      <c r="F4" s="76"/>
      <c r="G4" s="77"/>
      <c r="H4" s="77"/>
      <c r="I4" s="77"/>
      <c r="J4" s="77"/>
      <c r="K4" s="77"/>
      <c r="L4" s="77"/>
      <c r="M4" s="77"/>
      <c r="N4" s="77"/>
      <c r="O4" s="77" t="s">
        <v>51</v>
      </c>
      <c r="P4" s="78"/>
      <c r="Q4" s="76"/>
      <c r="R4" s="76"/>
      <c r="S4" s="75" t="str">
        <f>CARÁTULA!$C$19</f>
        <v>NUEVO PROFESOR</v>
      </c>
      <c r="T4" s="76"/>
      <c r="U4" s="76"/>
      <c r="V4" s="76"/>
      <c r="W4" s="76"/>
      <c r="X4" s="76"/>
      <c r="Y4" s="76"/>
      <c r="Z4" s="76"/>
      <c r="AA4" s="76"/>
      <c r="AB4" s="76"/>
      <c r="AC4" s="209" t="s">
        <v>52</v>
      </c>
      <c r="AD4" s="193"/>
      <c r="AE4" s="193"/>
      <c r="AF4" s="193"/>
      <c r="AG4" s="193"/>
      <c r="AH4" s="194"/>
      <c r="AI4" s="189">
        <f>CARÁTULA!$J$14</f>
        <v>44323</v>
      </c>
      <c r="AJ4" s="171"/>
      <c r="AK4" s="171"/>
      <c r="AL4" s="171"/>
      <c r="AM4" s="171"/>
      <c r="AN4" s="191">
        <f ca="1">AI4-AI5</f>
        <v>-90</v>
      </c>
      <c r="AO4" s="181"/>
      <c r="AP4" s="181"/>
      <c r="AQ4" s="181"/>
      <c r="AR4" s="182"/>
    </row>
    <row r="5" spans="1:48" ht="12.75" customHeight="1">
      <c r="A5" s="71"/>
      <c r="B5" s="74" t="s">
        <v>23</v>
      </c>
      <c r="C5" s="75" t="str">
        <f>CARÁTULA!$C$23</f>
        <v>1ro de Secundaria</v>
      </c>
      <c r="D5" s="76"/>
      <c r="E5" s="76"/>
      <c r="F5" s="76"/>
      <c r="G5" s="74"/>
      <c r="H5" s="74"/>
      <c r="I5" s="74"/>
      <c r="J5" s="74"/>
      <c r="K5" s="74"/>
      <c r="L5" s="74"/>
      <c r="M5" s="74"/>
      <c r="N5" s="74"/>
      <c r="O5" s="77" t="s">
        <v>24</v>
      </c>
      <c r="P5" s="79"/>
      <c r="Q5" s="79"/>
      <c r="R5" s="79"/>
      <c r="S5" s="205">
        <f ca="1">TODAY()</f>
        <v>44413</v>
      </c>
      <c r="T5" s="162"/>
      <c r="U5" s="162"/>
      <c r="V5" s="162"/>
      <c r="W5" s="162"/>
      <c r="X5" s="162"/>
      <c r="Y5" s="162"/>
      <c r="Z5" s="162"/>
      <c r="AA5" s="163"/>
      <c r="AB5" s="76"/>
      <c r="AC5" s="210" t="s">
        <v>53</v>
      </c>
      <c r="AD5" s="193"/>
      <c r="AE5" s="193"/>
      <c r="AF5" s="193"/>
      <c r="AG5" s="193"/>
      <c r="AH5" s="194"/>
      <c r="AI5" s="213">
        <f ca="1">TODAY()</f>
        <v>44413</v>
      </c>
      <c r="AJ5" s="171"/>
      <c r="AK5" s="171"/>
      <c r="AL5" s="171"/>
      <c r="AM5" s="171"/>
      <c r="AN5" s="183"/>
      <c r="AO5" s="184"/>
      <c r="AP5" s="184"/>
      <c r="AQ5" s="184"/>
      <c r="AR5" s="185"/>
    </row>
    <row r="6" spans="1:48" ht="12.75" customHeight="1">
      <c r="A6" s="71"/>
      <c r="B6" s="74"/>
      <c r="C6" s="177" t="s">
        <v>78</v>
      </c>
      <c r="D6" s="178"/>
      <c r="E6" s="178"/>
      <c r="F6" s="178"/>
      <c r="G6" s="178"/>
      <c r="H6" s="178"/>
      <c r="I6" s="178"/>
      <c r="J6" s="178"/>
      <c r="K6" s="178"/>
      <c r="L6" s="178"/>
      <c r="M6" s="178"/>
      <c r="N6" s="178"/>
      <c r="O6" s="178"/>
      <c r="P6" s="178"/>
      <c r="Q6" s="178"/>
      <c r="R6" s="178"/>
      <c r="S6" s="178"/>
      <c r="T6" s="178"/>
      <c r="U6" s="178"/>
      <c r="V6" s="178"/>
      <c r="W6" s="178"/>
      <c r="X6" s="178"/>
      <c r="Y6" s="178"/>
      <c r="Z6" s="178"/>
      <c r="AA6" s="179"/>
      <c r="AB6" s="206" t="s">
        <v>79</v>
      </c>
      <c r="AC6" s="193"/>
      <c r="AD6" s="193"/>
      <c r="AE6" s="194"/>
      <c r="AF6" s="80"/>
      <c r="AG6" s="81"/>
      <c r="AH6" s="81"/>
      <c r="AI6" s="82"/>
      <c r="AJ6" s="83"/>
      <c r="AK6" s="83"/>
      <c r="AL6" s="83"/>
      <c r="AM6" s="83"/>
      <c r="AN6" s="84"/>
      <c r="AO6" s="84"/>
      <c r="AP6" s="84"/>
      <c r="AQ6" s="84"/>
      <c r="AR6" s="84"/>
    </row>
    <row r="7" spans="1:48" ht="12" customHeight="1">
      <c r="A7" s="71"/>
      <c r="B7" s="85"/>
      <c r="C7" s="207" t="s">
        <v>80</v>
      </c>
      <c r="D7" s="208" t="s">
        <v>81</v>
      </c>
      <c r="E7" s="193"/>
      <c r="F7" s="193"/>
      <c r="G7" s="193"/>
      <c r="H7" s="193"/>
      <c r="I7" s="193"/>
      <c r="J7" s="193"/>
      <c r="K7" s="193"/>
      <c r="L7" s="193"/>
      <c r="M7" s="193"/>
      <c r="N7" s="193"/>
      <c r="O7" s="204" t="s">
        <v>82</v>
      </c>
      <c r="P7" s="208" t="s">
        <v>83</v>
      </c>
      <c r="Q7" s="193"/>
      <c r="R7" s="193"/>
      <c r="S7" s="193"/>
      <c r="T7" s="193"/>
      <c r="U7" s="193"/>
      <c r="V7" s="193"/>
      <c r="W7" s="193"/>
      <c r="X7" s="193"/>
      <c r="Y7" s="193"/>
      <c r="Z7" s="193"/>
      <c r="AA7" s="203" t="s">
        <v>84</v>
      </c>
      <c r="AB7" s="204" t="s">
        <v>82</v>
      </c>
      <c r="AC7" s="203" t="s">
        <v>85</v>
      </c>
      <c r="AD7" s="203" t="s">
        <v>86</v>
      </c>
      <c r="AE7" s="204" t="s">
        <v>82</v>
      </c>
      <c r="AF7" s="196" t="s">
        <v>87</v>
      </c>
      <c r="AG7" s="198" t="s">
        <v>88</v>
      </c>
      <c r="AH7" s="199" t="s">
        <v>89</v>
      </c>
      <c r="AI7" s="178"/>
      <c r="AJ7" s="178"/>
      <c r="AK7" s="178"/>
      <c r="AL7" s="178"/>
      <c r="AM7" s="179"/>
      <c r="AN7" s="86"/>
      <c r="AO7" s="76"/>
      <c r="AP7" s="76"/>
      <c r="AQ7" s="76"/>
      <c r="AR7" s="71"/>
    </row>
    <row r="8" spans="1:48" ht="155.15">
      <c r="A8" s="49" t="s">
        <v>54</v>
      </c>
      <c r="B8" s="50" t="s">
        <v>55</v>
      </c>
      <c r="C8" s="197"/>
      <c r="D8" s="87" t="s">
        <v>90</v>
      </c>
      <c r="E8" s="87" t="s">
        <v>91</v>
      </c>
      <c r="F8" s="87" t="s">
        <v>92</v>
      </c>
      <c r="G8" s="88"/>
      <c r="H8" s="51"/>
      <c r="I8" s="54"/>
      <c r="J8" s="54"/>
      <c r="K8" s="54"/>
      <c r="L8" s="54"/>
      <c r="M8" s="54"/>
      <c r="N8" s="55"/>
      <c r="O8" s="197"/>
      <c r="P8" s="89" t="s">
        <v>93</v>
      </c>
      <c r="Q8" s="89" t="s">
        <v>94</v>
      </c>
      <c r="R8" s="89" t="s">
        <v>95</v>
      </c>
      <c r="S8" s="90"/>
      <c r="T8" s="51"/>
      <c r="U8" s="54"/>
      <c r="V8" s="54"/>
      <c r="W8" s="54"/>
      <c r="X8" s="54"/>
      <c r="Y8" s="54"/>
      <c r="Z8" s="54"/>
      <c r="AA8" s="197"/>
      <c r="AB8" s="197"/>
      <c r="AC8" s="197"/>
      <c r="AD8" s="197"/>
      <c r="AE8" s="197"/>
      <c r="AF8" s="197"/>
      <c r="AG8" s="197"/>
      <c r="AH8" s="200"/>
      <c r="AI8" s="201"/>
      <c r="AJ8" s="201"/>
      <c r="AK8" s="201"/>
      <c r="AL8" s="201"/>
      <c r="AM8" s="202"/>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192" t="str">
        <f t="shared" ref="AH9:AH44" si="5">IF(AG9="","",(IF(AND(AG9&gt;=1,AG9&lt;=50.499),"REPROBADO",IF(AND(AG9&gt;=50.5,AG9&lt;=100),"APROBADO"))))</f>
        <v>APROBADO</v>
      </c>
      <c r="AI9" s="193"/>
      <c r="AJ9" s="193"/>
      <c r="AK9" s="193"/>
      <c r="AL9" s="193"/>
      <c r="AM9" s="194"/>
      <c r="AN9" s="97" t="s">
        <v>96</v>
      </c>
      <c r="AO9" s="195">
        <f>COUNTIF(AF9:AF44,"ED")</f>
        <v>5</v>
      </c>
      <c r="AP9" s="194"/>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192" t="str">
        <f t="shared" si="5"/>
        <v>REPROBADO</v>
      </c>
      <c r="AI10" s="193"/>
      <c r="AJ10" s="193"/>
      <c r="AK10" s="193"/>
      <c r="AL10" s="193"/>
      <c r="AM10" s="194"/>
      <c r="AN10" s="49" t="s">
        <v>97</v>
      </c>
      <c r="AO10" s="195">
        <f>COUNTIF(AF9:AF44,"DA")</f>
        <v>1</v>
      </c>
      <c r="AP10" s="194"/>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192" t="str">
        <f t="shared" si="5"/>
        <v>APROBADO</v>
      </c>
      <c r="AI11" s="193"/>
      <c r="AJ11" s="193"/>
      <c r="AK11" s="193"/>
      <c r="AL11" s="193"/>
      <c r="AM11" s="194"/>
      <c r="AN11" s="49" t="s">
        <v>98</v>
      </c>
      <c r="AO11" s="195">
        <f>COUNTIF(AF9:AF44,"DO")</f>
        <v>2</v>
      </c>
      <c r="AP11" s="194"/>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192" t="str">
        <f t="shared" si="5"/>
        <v>APROBADO</v>
      </c>
      <c r="AI12" s="193"/>
      <c r="AJ12" s="193"/>
      <c r="AK12" s="193"/>
      <c r="AL12" s="193"/>
      <c r="AM12" s="194"/>
      <c r="AN12" s="49" t="s">
        <v>99</v>
      </c>
      <c r="AO12" s="195">
        <f>COUNTIF(AF9:AF44,"DP")</f>
        <v>28</v>
      </c>
      <c r="AP12" s="194"/>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192" t="str">
        <f t="shared" si="5"/>
        <v>REPROBADO</v>
      </c>
      <c r="AI13" s="193"/>
      <c r="AJ13" s="193"/>
      <c r="AK13" s="193"/>
      <c r="AL13" s="193"/>
      <c r="AM13" s="194"/>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192" t="str">
        <f t="shared" si="5"/>
        <v>APROBADO</v>
      </c>
      <c r="AI14" s="193"/>
      <c r="AJ14" s="193"/>
      <c r="AK14" s="193"/>
      <c r="AL14" s="193"/>
      <c r="AM14" s="194"/>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192" t="str">
        <f t="shared" si="5"/>
        <v>REPROBADO</v>
      </c>
      <c r="AI15" s="193"/>
      <c r="AJ15" s="193"/>
      <c r="AK15" s="193"/>
      <c r="AL15" s="193"/>
      <c r="AM15" s="194"/>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192" t="str">
        <f t="shared" si="5"/>
        <v>APROBADO</v>
      </c>
      <c r="AI16" s="193"/>
      <c r="AJ16" s="193"/>
      <c r="AK16" s="193"/>
      <c r="AL16" s="193"/>
      <c r="AM16" s="194"/>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192" t="str">
        <f t="shared" si="5"/>
        <v>APROBADO</v>
      </c>
      <c r="AI17" s="193"/>
      <c r="AJ17" s="193"/>
      <c r="AK17" s="193"/>
      <c r="AL17" s="193"/>
      <c r="AM17" s="194"/>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192" t="str">
        <f t="shared" si="5"/>
        <v>APROBADO</v>
      </c>
      <c r="AI18" s="193"/>
      <c r="AJ18" s="193"/>
      <c r="AK18" s="193"/>
      <c r="AL18" s="193"/>
      <c r="AM18" s="194"/>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192" t="str">
        <f t="shared" si="5"/>
        <v>APROBADO</v>
      </c>
      <c r="AI19" s="193"/>
      <c r="AJ19" s="193"/>
      <c r="AK19" s="193"/>
      <c r="AL19" s="193"/>
      <c r="AM19" s="194"/>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192" t="str">
        <f t="shared" si="5"/>
        <v>REPROBADO</v>
      </c>
      <c r="AI20" s="193"/>
      <c r="AJ20" s="193"/>
      <c r="AK20" s="193"/>
      <c r="AL20" s="193"/>
      <c r="AM20" s="194"/>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192" t="str">
        <f t="shared" si="5"/>
        <v>REPROBADO</v>
      </c>
      <c r="AI21" s="193"/>
      <c r="AJ21" s="193"/>
      <c r="AK21" s="193"/>
      <c r="AL21" s="193"/>
      <c r="AM21" s="194"/>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192" t="str">
        <f t="shared" si="5"/>
        <v>APROBADO</v>
      </c>
      <c r="AI22" s="193"/>
      <c r="AJ22" s="193"/>
      <c r="AK22" s="193"/>
      <c r="AL22" s="193"/>
      <c r="AM22" s="194"/>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192" t="str">
        <f t="shared" si="5"/>
        <v>APROBADO</v>
      </c>
      <c r="AI23" s="193"/>
      <c r="AJ23" s="193"/>
      <c r="AK23" s="193"/>
      <c r="AL23" s="193"/>
      <c r="AM23" s="194"/>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192" t="str">
        <f t="shared" si="5"/>
        <v>APROBADO</v>
      </c>
      <c r="AI24" s="193"/>
      <c r="AJ24" s="193"/>
      <c r="AK24" s="193"/>
      <c r="AL24" s="193"/>
      <c r="AM24" s="194"/>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192" t="str">
        <f t="shared" si="5"/>
        <v>APROBADO</v>
      </c>
      <c r="AI25" s="193"/>
      <c r="AJ25" s="193"/>
      <c r="AK25" s="193"/>
      <c r="AL25" s="193"/>
      <c r="AM25" s="194"/>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192" t="str">
        <f t="shared" si="5"/>
        <v>APROBADO</v>
      </c>
      <c r="AI26" s="193"/>
      <c r="AJ26" s="193"/>
      <c r="AK26" s="193"/>
      <c r="AL26" s="193"/>
      <c r="AM26" s="194"/>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192" t="str">
        <f t="shared" si="5"/>
        <v>APROBADO</v>
      </c>
      <c r="AI27" s="193"/>
      <c r="AJ27" s="193"/>
      <c r="AK27" s="193"/>
      <c r="AL27" s="193"/>
      <c r="AM27" s="194"/>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192" t="str">
        <f t="shared" si="5"/>
        <v>APROBADO</v>
      </c>
      <c r="AI28" s="193"/>
      <c r="AJ28" s="193"/>
      <c r="AK28" s="193"/>
      <c r="AL28" s="193"/>
      <c r="AM28" s="194"/>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192" t="str">
        <f t="shared" si="5"/>
        <v>APROBADO</v>
      </c>
      <c r="AI29" s="193"/>
      <c r="AJ29" s="193"/>
      <c r="AK29" s="193"/>
      <c r="AL29" s="193"/>
      <c r="AM29" s="194"/>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192" t="str">
        <f t="shared" si="5"/>
        <v>APROBADO</v>
      </c>
      <c r="AI30" s="193"/>
      <c r="AJ30" s="193"/>
      <c r="AK30" s="193"/>
      <c r="AL30" s="193"/>
      <c r="AM30" s="194"/>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192" t="str">
        <f t="shared" si="5"/>
        <v>APROBADO</v>
      </c>
      <c r="AI31" s="193"/>
      <c r="AJ31" s="193"/>
      <c r="AK31" s="193"/>
      <c r="AL31" s="193"/>
      <c r="AM31" s="194"/>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192" t="str">
        <f t="shared" si="5"/>
        <v>APROBADO</v>
      </c>
      <c r="AI32" s="193"/>
      <c r="AJ32" s="193"/>
      <c r="AK32" s="193"/>
      <c r="AL32" s="193"/>
      <c r="AM32" s="194"/>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192" t="str">
        <f t="shared" si="5"/>
        <v>APROBADO</v>
      </c>
      <c r="AI33" s="193"/>
      <c r="AJ33" s="193"/>
      <c r="AK33" s="193"/>
      <c r="AL33" s="193"/>
      <c r="AM33" s="194"/>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192" t="str">
        <f t="shared" si="5"/>
        <v>APROBADO</v>
      </c>
      <c r="AI34" s="193"/>
      <c r="AJ34" s="193"/>
      <c r="AK34" s="193"/>
      <c r="AL34" s="193"/>
      <c r="AM34" s="194"/>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192" t="str">
        <f t="shared" si="5"/>
        <v>APROBADO</v>
      </c>
      <c r="AI35" s="193"/>
      <c r="AJ35" s="193"/>
      <c r="AK35" s="193"/>
      <c r="AL35" s="193"/>
      <c r="AM35" s="194"/>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192" t="str">
        <f t="shared" si="5"/>
        <v>APROBADO</v>
      </c>
      <c r="AI36" s="193"/>
      <c r="AJ36" s="193"/>
      <c r="AK36" s="193"/>
      <c r="AL36" s="193"/>
      <c r="AM36" s="194"/>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192" t="str">
        <f t="shared" si="5"/>
        <v>APROBADO</v>
      </c>
      <c r="AI37" s="193"/>
      <c r="AJ37" s="193"/>
      <c r="AK37" s="193"/>
      <c r="AL37" s="193"/>
      <c r="AM37" s="194"/>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192" t="str">
        <f t="shared" si="5"/>
        <v>APROBADO</v>
      </c>
      <c r="AI38" s="193"/>
      <c r="AJ38" s="193"/>
      <c r="AK38" s="193"/>
      <c r="AL38" s="193"/>
      <c r="AM38" s="194"/>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192" t="str">
        <f t="shared" si="5"/>
        <v>APROBADO</v>
      </c>
      <c r="AI39" s="193"/>
      <c r="AJ39" s="193"/>
      <c r="AK39" s="193"/>
      <c r="AL39" s="193"/>
      <c r="AM39" s="194"/>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192" t="str">
        <f t="shared" si="5"/>
        <v>APROBADO</v>
      </c>
      <c r="AI40" s="193"/>
      <c r="AJ40" s="193"/>
      <c r="AK40" s="193"/>
      <c r="AL40" s="193"/>
      <c r="AM40" s="194"/>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192" t="str">
        <f t="shared" si="5"/>
        <v>APROBADO</v>
      </c>
      <c r="AI41" s="193"/>
      <c r="AJ41" s="193"/>
      <c r="AK41" s="193"/>
      <c r="AL41" s="193"/>
      <c r="AM41" s="194"/>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192" t="str">
        <f t="shared" si="5"/>
        <v>APROBADO</v>
      </c>
      <c r="AI42" s="193"/>
      <c r="AJ42" s="193"/>
      <c r="AK42" s="193"/>
      <c r="AL42" s="193"/>
      <c r="AM42" s="194"/>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192" t="str">
        <f t="shared" si="5"/>
        <v>APROBADO</v>
      </c>
      <c r="AI43" s="193"/>
      <c r="AJ43" s="193"/>
      <c r="AK43" s="193"/>
      <c r="AL43" s="193"/>
      <c r="AM43" s="194"/>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192" t="str">
        <f t="shared" si="5"/>
        <v>APROBADO</v>
      </c>
      <c r="AI44" s="193"/>
      <c r="AJ44" s="193"/>
      <c r="AK44" s="193"/>
      <c r="AL44" s="193"/>
      <c r="AM44" s="194"/>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18" sqref="B18:D18"/>
    </sheetView>
  </sheetViews>
  <sheetFormatPr baseColWidth="10" defaultColWidth="9.234375" defaultRowHeight="15" customHeight="1"/>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11" t="s">
        <v>100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3"/>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20</v>
      </c>
      <c r="P3" s="78"/>
      <c r="Q3" s="78"/>
      <c r="R3" s="78"/>
      <c r="S3" s="78">
        <f>CARÁTULA!$C$25</f>
        <v>0</v>
      </c>
      <c r="T3" s="78"/>
      <c r="U3" s="78"/>
      <c r="V3" s="78"/>
      <c r="W3" s="78"/>
      <c r="X3" s="78"/>
      <c r="Y3" s="78"/>
      <c r="Z3" s="78"/>
      <c r="AA3" s="78"/>
      <c r="AB3" s="78"/>
      <c r="AC3" s="209" t="s">
        <v>49</v>
      </c>
      <c r="AD3" s="193"/>
      <c r="AE3" s="193"/>
      <c r="AF3" s="193"/>
      <c r="AG3" s="193"/>
      <c r="AH3" s="194"/>
      <c r="AI3" s="189">
        <f>CARÁTULA!$H$19</f>
        <v>44326</v>
      </c>
      <c r="AJ3" s="171"/>
      <c r="AK3" s="171"/>
      <c r="AL3" s="171"/>
      <c r="AM3" s="171"/>
      <c r="AN3" s="212" t="s">
        <v>50</v>
      </c>
      <c r="AO3" s="162"/>
      <c r="AP3" s="162"/>
      <c r="AQ3" s="162"/>
      <c r="AR3" s="163"/>
      <c r="AS3" s="72"/>
      <c r="AT3" s="72"/>
      <c r="AU3" s="72"/>
      <c r="AV3" s="72"/>
    </row>
    <row r="4" spans="1:48" ht="12.75" customHeight="1">
      <c r="A4" s="71"/>
      <c r="B4" s="74" t="s">
        <v>15</v>
      </c>
      <c r="C4" s="75" t="str">
        <f>CARÁTULA!$C$21</f>
        <v>Secundaria</v>
      </c>
      <c r="D4" s="76"/>
      <c r="E4" s="76"/>
      <c r="F4" s="76"/>
      <c r="G4" s="77"/>
      <c r="H4" s="77"/>
      <c r="I4" s="77"/>
      <c r="J4" s="77"/>
      <c r="K4" s="77"/>
      <c r="L4" s="77"/>
      <c r="M4" s="77"/>
      <c r="N4" s="77"/>
      <c r="O4" s="77" t="s">
        <v>51</v>
      </c>
      <c r="P4" s="78"/>
      <c r="Q4" s="76"/>
      <c r="R4" s="76"/>
      <c r="S4" s="75" t="str">
        <f>CARÁTULA!$C$19</f>
        <v>NUEVO PROFESOR</v>
      </c>
      <c r="T4" s="76"/>
      <c r="U4" s="76"/>
      <c r="V4" s="76"/>
      <c r="W4" s="76"/>
      <c r="X4" s="76"/>
      <c r="Y4" s="76"/>
      <c r="Z4" s="76"/>
      <c r="AA4" s="76"/>
      <c r="AB4" s="76"/>
      <c r="AC4" s="209" t="s">
        <v>52</v>
      </c>
      <c r="AD4" s="193"/>
      <c r="AE4" s="193"/>
      <c r="AF4" s="193"/>
      <c r="AG4" s="193"/>
      <c r="AH4" s="194"/>
      <c r="AI4" s="189">
        <f>CARÁTULA!$J$19</f>
        <v>44439</v>
      </c>
      <c r="AJ4" s="171"/>
      <c r="AK4" s="171"/>
      <c r="AL4" s="171"/>
      <c r="AM4" s="171"/>
      <c r="AN4" s="191">
        <f ca="1">AI4-AI5</f>
        <v>26</v>
      </c>
      <c r="AO4" s="181"/>
      <c r="AP4" s="181"/>
      <c r="AQ4" s="181"/>
      <c r="AR4" s="182"/>
    </row>
    <row r="5" spans="1:48" ht="12.75" customHeight="1">
      <c r="A5" s="71"/>
      <c r="B5" s="74" t="s">
        <v>23</v>
      </c>
      <c r="C5" s="75" t="str">
        <f>CARÁTULA!$C$23</f>
        <v>1ro de Secundaria</v>
      </c>
      <c r="D5" s="76"/>
      <c r="E5" s="76"/>
      <c r="F5" s="76"/>
      <c r="G5" s="74"/>
      <c r="H5" s="74"/>
      <c r="I5" s="74"/>
      <c r="J5" s="74"/>
      <c r="K5" s="74"/>
      <c r="L5" s="74"/>
      <c r="M5" s="74"/>
      <c r="N5" s="74"/>
      <c r="O5" s="74" t="s">
        <v>24</v>
      </c>
      <c r="P5" s="79"/>
      <c r="Q5" s="79"/>
      <c r="R5" s="79"/>
      <c r="S5" s="205">
        <f ca="1">TODAY()</f>
        <v>44413</v>
      </c>
      <c r="T5" s="162"/>
      <c r="U5" s="162"/>
      <c r="V5" s="162"/>
      <c r="W5" s="162"/>
      <c r="X5" s="162"/>
      <c r="Y5" s="162"/>
      <c r="Z5" s="162"/>
      <c r="AA5" s="163"/>
      <c r="AB5" s="76"/>
      <c r="AC5" s="210" t="s">
        <v>53</v>
      </c>
      <c r="AD5" s="193"/>
      <c r="AE5" s="193"/>
      <c r="AF5" s="193"/>
      <c r="AG5" s="193"/>
      <c r="AH5" s="194"/>
      <c r="AI5" s="213">
        <f ca="1">TODAY()</f>
        <v>44413</v>
      </c>
      <c r="AJ5" s="171"/>
      <c r="AK5" s="171"/>
      <c r="AL5" s="171"/>
      <c r="AM5" s="171"/>
      <c r="AN5" s="183"/>
      <c r="AO5" s="184"/>
      <c r="AP5" s="184"/>
      <c r="AQ5" s="184"/>
      <c r="AR5" s="185"/>
    </row>
    <row r="6" spans="1:48" ht="12.75" customHeight="1">
      <c r="A6" s="71"/>
      <c r="B6" s="74"/>
      <c r="C6" s="177" t="s">
        <v>78</v>
      </c>
      <c r="D6" s="178"/>
      <c r="E6" s="178"/>
      <c r="F6" s="178"/>
      <c r="G6" s="178"/>
      <c r="H6" s="178"/>
      <c r="I6" s="178"/>
      <c r="J6" s="178"/>
      <c r="K6" s="178"/>
      <c r="L6" s="178"/>
      <c r="M6" s="178"/>
      <c r="N6" s="178"/>
      <c r="O6" s="178"/>
      <c r="P6" s="178"/>
      <c r="Q6" s="178"/>
      <c r="R6" s="178"/>
      <c r="S6" s="178"/>
      <c r="T6" s="178"/>
      <c r="U6" s="178"/>
      <c r="V6" s="178"/>
      <c r="W6" s="178"/>
      <c r="X6" s="178"/>
      <c r="Y6" s="178"/>
      <c r="Z6" s="178"/>
      <c r="AA6" s="179"/>
      <c r="AB6" s="206" t="s">
        <v>79</v>
      </c>
      <c r="AC6" s="193"/>
      <c r="AD6" s="193"/>
      <c r="AE6" s="194"/>
      <c r="AF6" s="80"/>
      <c r="AG6" s="81"/>
      <c r="AH6" s="81"/>
      <c r="AI6" s="82"/>
      <c r="AJ6" s="83"/>
      <c r="AK6" s="83"/>
      <c r="AL6" s="83"/>
      <c r="AM6" s="83"/>
      <c r="AN6" s="84"/>
      <c r="AO6" s="84"/>
      <c r="AP6" s="84"/>
      <c r="AQ6" s="84"/>
      <c r="AR6" s="84"/>
    </row>
    <row r="7" spans="1:48" ht="12" customHeight="1">
      <c r="A7" s="71"/>
      <c r="B7" s="85"/>
      <c r="C7" s="207" t="s">
        <v>80</v>
      </c>
      <c r="D7" s="208" t="s">
        <v>81</v>
      </c>
      <c r="E7" s="193"/>
      <c r="F7" s="193"/>
      <c r="G7" s="193"/>
      <c r="H7" s="193"/>
      <c r="I7" s="193"/>
      <c r="J7" s="193"/>
      <c r="K7" s="193"/>
      <c r="L7" s="193"/>
      <c r="M7" s="193"/>
      <c r="N7" s="193"/>
      <c r="O7" s="204" t="s">
        <v>82</v>
      </c>
      <c r="P7" s="208" t="s">
        <v>83</v>
      </c>
      <c r="Q7" s="193"/>
      <c r="R7" s="193"/>
      <c r="S7" s="193"/>
      <c r="T7" s="193"/>
      <c r="U7" s="193"/>
      <c r="V7" s="193"/>
      <c r="W7" s="193"/>
      <c r="X7" s="193"/>
      <c r="Y7" s="193"/>
      <c r="Z7" s="193"/>
      <c r="AA7" s="203" t="s">
        <v>84</v>
      </c>
      <c r="AB7" s="204" t="s">
        <v>82</v>
      </c>
      <c r="AC7" s="203" t="s">
        <v>85</v>
      </c>
      <c r="AD7" s="203" t="s">
        <v>86</v>
      </c>
      <c r="AE7" s="204" t="s">
        <v>82</v>
      </c>
      <c r="AF7" s="196" t="s">
        <v>87</v>
      </c>
      <c r="AG7" s="198" t="s">
        <v>88</v>
      </c>
      <c r="AH7" s="199" t="s">
        <v>89</v>
      </c>
      <c r="AI7" s="178"/>
      <c r="AJ7" s="178"/>
      <c r="AK7" s="178"/>
      <c r="AL7" s="178"/>
      <c r="AM7" s="179"/>
      <c r="AN7" s="86"/>
      <c r="AO7" s="76"/>
      <c r="AP7" s="76"/>
      <c r="AQ7" s="76"/>
      <c r="AR7" s="71"/>
    </row>
    <row r="8" spans="1:48" ht="67.5" customHeight="1">
      <c r="A8" s="49" t="s">
        <v>54</v>
      </c>
      <c r="B8" s="50" t="s">
        <v>55</v>
      </c>
      <c r="C8" s="197"/>
      <c r="D8" s="52">
        <v>44378</v>
      </c>
      <c r="E8" s="54"/>
      <c r="F8" s="54"/>
      <c r="G8" s="54"/>
      <c r="H8" s="54"/>
      <c r="I8" s="54"/>
      <c r="J8" s="54"/>
      <c r="K8" s="54"/>
      <c r="L8" s="54"/>
      <c r="M8" s="54"/>
      <c r="N8" s="55"/>
      <c r="O8" s="197"/>
      <c r="P8" s="99"/>
      <c r="Q8" s="54"/>
      <c r="R8" s="54"/>
      <c r="S8" s="54"/>
      <c r="T8" s="54"/>
      <c r="U8" s="54"/>
      <c r="V8" s="54"/>
      <c r="W8" s="54"/>
      <c r="X8" s="54"/>
      <c r="Y8" s="54"/>
      <c r="Z8" s="54"/>
      <c r="AA8" s="197"/>
      <c r="AB8" s="197"/>
      <c r="AC8" s="197"/>
      <c r="AD8" s="197"/>
      <c r="AE8" s="197"/>
      <c r="AF8" s="197"/>
      <c r="AG8" s="197"/>
      <c r="AH8" s="200"/>
      <c r="AI8" s="201"/>
      <c r="AJ8" s="201"/>
      <c r="AK8" s="201"/>
      <c r="AL8" s="201"/>
      <c r="AM8" s="202"/>
      <c r="AN8" s="91"/>
      <c r="AO8" s="91"/>
      <c r="AP8" s="91"/>
      <c r="AQ8" s="91"/>
      <c r="AR8" s="92"/>
    </row>
    <row r="9" spans="1:48" ht="12" customHeight="1">
      <c r="A9" s="59">
        <v>1</v>
      </c>
      <c r="B9" s="93" t="str">
        <f>'C. FILIACION'!B8</f>
        <v>ARANCIBIA ARRAYA LUIS ANDRES</v>
      </c>
      <c r="C9" s="31">
        <v>10</v>
      </c>
      <c r="D9" s="31">
        <v>27</v>
      </c>
      <c r="E9" s="31"/>
      <c r="F9" s="31"/>
      <c r="G9" s="31"/>
      <c r="H9" s="31"/>
      <c r="I9" s="31"/>
      <c r="J9" s="31"/>
      <c r="K9" s="31"/>
      <c r="L9" s="31"/>
      <c r="M9" s="31"/>
      <c r="N9" s="31"/>
      <c r="O9" s="95">
        <f t="shared" ref="O9:O44" si="0">IFERROR(ROUND(AVERAGE(D9:N9),0),"")</f>
        <v>27</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92</v>
      </c>
      <c r="AH9" s="192" t="str">
        <f t="shared" ref="AH9:AH44" si="5">IF(AG9="","",(IF(AND(AG9&gt;=1,AG9&lt;=50.499),"REPROBADO",IF(AND(AG9&gt;=50.5,AG9&lt;=100),"APROBADO"))))</f>
        <v>APROBADO</v>
      </c>
      <c r="AI9" s="193"/>
      <c r="AJ9" s="193"/>
      <c r="AK9" s="193"/>
      <c r="AL9" s="193"/>
      <c r="AM9" s="194"/>
      <c r="AN9" s="97" t="s">
        <v>96</v>
      </c>
      <c r="AO9" s="195">
        <f>COUNTIF(AF9:AF44,"ED")</f>
        <v>0</v>
      </c>
      <c r="AP9" s="194"/>
      <c r="AQ9" s="98"/>
      <c r="AR9" s="98"/>
    </row>
    <row r="10" spans="1:48" ht="12" customHeight="1">
      <c r="A10" s="59">
        <v>2</v>
      </c>
      <c r="B10" s="93" t="str">
        <f>'C. FILIACION'!B9</f>
        <v>ARIVIRI ALEXIS JHONATAN</v>
      </c>
      <c r="C10" s="31">
        <v>10</v>
      </c>
      <c r="D10" s="31">
        <v>18</v>
      </c>
      <c r="E10" s="31"/>
      <c r="F10" s="31"/>
      <c r="G10" s="31"/>
      <c r="H10" s="31"/>
      <c r="I10" s="31"/>
      <c r="J10" s="31"/>
      <c r="K10" s="31"/>
      <c r="L10" s="31"/>
      <c r="M10" s="31"/>
      <c r="N10" s="31"/>
      <c r="O10" s="95">
        <f t="shared" si="0"/>
        <v>18</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DO</v>
      </c>
      <c r="AG10" s="95">
        <f t="shared" si="4"/>
        <v>83</v>
      </c>
      <c r="AH10" s="192" t="str">
        <f t="shared" si="5"/>
        <v>APROBADO</v>
      </c>
      <c r="AI10" s="193"/>
      <c r="AJ10" s="193"/>
      <c r="AK10" s="193"/>
      <c r="AL10" s="193"/>
      <c r="AM10" s="194"/>
      <c r="AN10" s="49" t="s">
        <v>97</v>
      </c>
      <c r="AO10" s="195">
        <f>COUNTIF(AF9:AF44,"DA")</f>
        <v>3</v>
      </c>
      <c r="AP10" s="194"/>
      <c r="AQ10" s="98"/>
      <c r="AR10" s="98"/>
    </row>
    <row r="11" spans="1:48" ht="12" customHeight="1">
      <c r="A11" s="59">
        <v>3</v>
      </c>
      <c r="B11" s="93" t="str">
        <f>'C. FILIACION'!B10</f>
        <v>BASCOPE LOPEZ JHYMMY ANGHELO</v>
      </c>
      <c r="C11" s="31">
        <v>10</v>
      </c>
      <c r="D11" s="31">
        <v>21</v>
      </c>
      <c r="E11" s="31"/>
      <c r="F11" s="31"/>
      <c r="G11" s="31"/>
      <c r="H11" s="31"/>
      <c r="I11" s="31"/>
      <c r="J11" s="31"/>
      <c r="K11" s="31"/>
      <c r="L11" s="31"/>
      <c r="M11" s="31"/>
      <c r="N11" s="31"/>
      <c r="O11" s="95">
        <f t="shared" si="0"/>
        <v>21</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86</v>
      </c>
      <c r="AH11" s="192" t="str">
        <f t="shared" si="5"/>
        <v>APROBADO</v>
      </c>
      <c r="AI11" s="193"/>
      <c r="AJ11" s="193"/>
      <c r="AK11" s="193"/>
      <c r="AL11" s="193"/>
      <c r="AM11" s="194"/>
      <c r="AN11" s="49" t="s">
        <v>98</v>
      </c>
      <c r="AO11" s="195">
        <f>COUNTIF(AF9:AF44,"DO")</f>
        <v>2</v>
      </c>
      <c r="AP11" s="194"/>
      <c r="AQ11" s="98"/>
      <c r="AR11" s="98"/>
    </row>
    <row r="12" spans="1:48" ht="12" customHeight="1">
      <c r="A12" s="59">
        <v>4</v>
      </c>
      <c r="B12" s="93" t="str">
        <f>'C. FILIACION'!B11</f>
        <v>BLANCO SALVATIERRA DANIELA MARGARITA</v>
      </c>
      <c r="C12" s="31">
        <v>10</v>
      </c>
      <c r="D12" s="31">
        <v>29</v>
      </c>
      <c r="E12" s="31"/>
      <c r="F12" s="31"/>
      <c r="G12" s="31"/>
      <c r="H12" s="31"/>
      <c r="I12" s="31"/>
      <c r="J12" s="31"/>
      <c r="K12" s="31"/>
      <c r="L12" s="31"/>
      <c r="M12" s="31"/>
      <c r="N12" s="31"/>
      <c r="O12" s="95">
        <f t="shared" si="0"/>
        <v>29</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94</v>
      </c>
      <c r="AH12" s="192" t="str">
        <f t="shared" si="5"/>
        <v>APROBADO</v>
      </c>
      <c r="AI12" s="193"/>
      <c r="AJ12" s="193"/>
      <c r="AK12" s="193"/>
      <c r="AL12" s="193"/>
      <c r="AM12" s="194"/>
      <c r="AN12" s="49" t="s">
        <v>99</v>
      </c>
      <c r="AO12" s="195">
        <f>COUNTIF(AF9:AF44,"DP")</f>
        <v>31</v>
      </c>
      <c r="AP12" s="194"/>
      <c r="AQ12" s="98"/>
      <c r="AR12" s="98"/>
    </row>
    <row r="13" spans="1:48" ht="12" customHeight="1">
      <c r="A13" s="59">
        <v>5</v>
      </c>
      <c r="B13" s="93" t="str">
        <f>'C. FILIACION'!B12</f>
        <v>DAVILA LAPACA DIEGO LEONEL</v>
      </c>
      <c r="C13" s="31">
        <v>10</v>
      </c>
      <c r="D13" s="31"/>
      <c r="E13" s="31"/>
      <c r="F13" s="31"/>
      <c r="G13" s="31"/>
      <c r="H13" s="31"/>
      <c r="I13" s="31"/>
      <c r="J13" s="31"/>
      <c r="K13" s="31"/>
      <c r="L13" s="31"/>
      <c r="M13" s="31"/>
      <c r="N13" s="31"/>
      <c r="O13" s="95" t="str">
        <f t="shared" si="0"/>
        <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DA</v>
      </c>
      <c r="AG13" s="95">
        <f t="shared" si="4"/>
        <v>65</v>
      </c>
      <c r="AH13" s="192" t="str">
        <f t="shared" si="5"/>
        <v>APROBADO</v>
      </c>
      <c r="AI13" s="193"/>
      <c r="AJ13" s="193"/>
      <c r="AK13" s="193"/>
      <c r="AL13" s="193"/>
      <c r="AM13" s="194"/>
      <c r="AN13" s="98"/>
      <c r="AO13" s="98"/>
      <c r="AP13" s="98"/>
      <c r="AQ13" s="98"/>
      <c r="AR13" s="98"/>
    </row>
    <row r="14" spans="1:48" ht="12" customHeight="1">
      <c r="A14" s="59">
        <v>6</v>
      </c>
      <c r="B14" s="93" t="str">
        <f>'C. FILIACION'!B13</f>
        <v>ESCOBAR LAZO JHOSELIN MARCELA</v>
      </c>
      <c r="C14" s="31">
        <v>10</v>
      </c>
      <c r="D14" s="31">
        <v>31</v>
      </c>
      <c r="E14" s="31"/>
      <c r="F14" s="31"/>
      <c r="G14" s="31"/>
      <c r="H14" s="31"/>
      <c r="I14" s="31"/>
      <c r="J14" s="31"/>
      <c r="K14" s="31"/>
      <c r="L14" s="31"/>
      <c r="M14" s="31"/>
      <c r="N14" s="31"/>
      <c r="O14" s="95">
        <f t="shared" si="0"/>
        <v>31</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96</v>
      </c>
      <c r="AH14" s="192" t="str">
        <f t="shared" si="5"/>
        <v>APROBADO</v>
      </c>
      <c r="AI14" s="193"/>
      <c r="AJ14" s="193"/>
      <c r="AK14" s="193"/>
      <c r="AL14" s="193"/>
      <c r="AM14" s="194"/>
      <c r="AN14" s="98"/>
      <c r="AO14" s="98"/>
      <c r="AP14" s="98"/>
      <c r="AQ14" s="98"/>
      <c r="AR14" s="98"/>
    </row>
    <row r="15" spans="1:48" ht="12" customHeight="1">
      <c r="A15" s="59">
        <v>7</v>
      </c>
      <c r="B15" s="93" t="str">
        <f>'C. FILIACION'!B14</f>
        <v>GUTIERREZ PEREZ ARIEL FERNANDO</v>
      </c>
      <c r="C15" s="31">
        <v>10</v>
      </c>
      <c r="D15" s="31">
        <v>28</v>
      </c>
      <c r="E15" s="31"/>
      <c r="F15" s="31"/>
      <c r="G15" s="31"/>
      <c r="H15" s="31"/>
      <c r="I15" s="31"/>
      <c r="J15" s="31"/>
      <c r="K15" s="31"/>
      <c r="L15" s="31"/>
      <c r="M15" s="31"/>
      <c r="N15" s="31"/>
      <c r="O15" s="95">
        <f t="shared" si="0"/>
        <v>28</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93</v>
      </c>
      <c r="AH15" s="192" t="str">
        <f t="shared" si="5"/>
        <v>APROBADO</v>
      </c>
      <c r="AI15" s="193"/>
      <c r="AJ15" s="193"/>
      <c r="AK15" s="193"/>
      <c r="AL15" s="193"/>
      <c r="AM15" s="194"/>
      <c r="AN15" s="98"/>
      <c r="AO15" s="98"/>
      <c r="AP15" s="98"/>
      <c r="AQ15" s="98"/>
      <c r="AR15" s="98"/>
    </row>
    <row r="16" spans="1:48" ht="12" customHeight="1">
      <c r="A16" s="59">
        <v>8</v>
      </c>
      <c r="B16" s="93" t="str">
        <f>'C. FILIACION'!B15</f>
        <v>LOPEZ PACO FABRICIO ANDRE</v>
      </c>
      <c r="C16" s="31">
        <v>10</v>
      </c>
      <c r="D16" s="31">
        <v>18</v>
      </c>
      <c r="E16" s="31"/>
      <c r="F16" s="31"/>
      <c r="G16" s="31"/>
      <c r="H16" s="31"/>
      <c r="I16" s="31"/>
      <c r="J16" s="31"/>
      <c r="K16" s="31"/>
      <c r="L16" s="31"/>
      <c r="M16" s="31"/>
      <c r="N16" s="31"/>
      <c r="O16" s="95">
        <f t="shared" si="0"/>
        <v>18</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DO</v>
      </c>
      <c r="AG16" s="95">
        <f t="shared" si="4"/>
        <v>83</v>
      </c>
      <c r="AH16" s="192" t="str">
        <f t="shared" si="5"/>
        <v>APROBADO</v>
      </c>
      <c r="AI16" s="193"/>
      <c r="AJ16" s="193"/>
      <c r="AK16" s="193"/>
      <c r="AL16" s="193"/>
      <c r="AM16" s="194"/>
      <c r="AN16" s="98"/>
      <c r="AO16" s="98"/>
      <c r="AP16" s="98"/>
      <c r="AQ16" s="98"/>
      <c r="AR16" s="98"/>
    </row>
    <row r="17" spans="1:44" ht="12" customHeight="1">
      <c r="A17" s="59">
        <v>9</v>
      </c>
      <c r="B17" s="93" t="str">
        <f>'C. FILIACION'!B16</f>
        <v>NINA PANIAGUA DEYVID GABRIEL</v>
      </c>
      <c r="C17" s="31">
        <v>10</v>
      </c>
      <c r="D17" s="31">
        <v>24</v>
      </c>
      <c r="E17" s="31"/>
      <c r="F17" s="31"/>
      <c r="G17" s="31"/>
      <c r="H17" s="31"/>
      <c r="I17" s="31"/>
      <c r="J17" s="31"/>
      <c r="K17" s="31"/>
      <c r="L17" s="31"/>
      <c r="M17" s="31"/>
      <c r="N17" s="31"/>
      <c r="O17" s="95">
        <f t="shared" si="0"/>
        <v>24</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89</v>
      </c>
      <c r="AH17" s="192" t="str">
        <f t="shared" si="5"/>
        <v>APROBADO</v>
      </c>
      <c r="AI17" s="193"/>
      <c r="AJ17" s="193"/>
      <c r="AK17" s="193"/>
      <c r="AL17" s="193"/>
      <c r="AM17" s="194"/>
      <c r="AN17" s="98"/>
      <c r="AO17" s="98"/>
      <c r="AP17" s="98"/>
      <c r="AQ17" s="98"/>
      <c r="AR17" s="98"/>
    </row>
    <row r="18" spans="1:44" ht="12" customHeight="1">
      <c r="A18" s="59">
        <v>10</v>
      </c>
      <c r="B18" s="93" t="str">
        <f>'C. FILIACION'!B17</f>
        <v>PASTOR CONDARCO STEVE DAVID</v>
      </c>
      <c r="C18" s="31">
        <v>10</v>
      </c>
      <c r="D18" s="31"/>
      <c r="E18" s="31"/>
      <c r="F18" s="31"/>
      <c r="G18" s="31"/>
      <c r="H18" s="31"/>
      <c r="I18" s="31"/>
      <c r="J18" s="31"/>
      <c r="K18" s="31"/>
      <c r="L18" s="31"/>
      <c r="M18" s="31"/>
      <c r="N18" s="31"/>
      <c r="O18" s="95" t="str">
        <f t="shared" si="0"/>
        <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DA</v>
      </c>
      <c r="AG18" s="95">
        <f t="shared" si="4"/>
        <v>65</v>
      </c>
      <c r="AH18" s="192" t="str">
        <f t="shared" si="5"/>
        <v>APROBADO</v>
      </c>
      <c r="AI18" s="193"/>
      <c r="AJ18" s="193"/>
      <c r="AK18" s="193"/>
      <c r="AL18" s="193"/>
      <c r="AM18" s="194"/>
      <c r="AN18" s="98"/>
      <c r="AO18" s="98"/>
      <c r="AP18" s="98"/>
      <c r="AQ18" s="98"/>
      <c r="AR18" s="98"/>
    </row>
    <row r="19" spans="1:44" ht="12" customHeight="1">
      <c r="A19" s="59">
        <v>11</v>
      </c>
      <c r="B19" s="93" t="str">
        <f>'C. FILIACION'!B18</f>
        <v>ROJAS MAMANI JERUSALEN LOURDES</v>
      </c>
      <c r="C19" s="31">
        <v>10</v>
      </c>
      <c r="D19" s="31">
        <v>33</v>
      </c>
      <c r="E19" s="31"/>
      <c r="F19" s="31"/>
      <c r="G19" s="31"/>
      <c r="H19" s="31"/>
      <c r="I19" s="31"/>
      <c r="J19" s="31"/>
      <c r="K19" s="31"/>
      <c r="L19" s="31"/>
      <c r="M19" s="31"/>
      <c r="N19" s="31"/>
      <c r="O19" s="95">
        <f t="shared" si="0"/>
        <v>33</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98</v>
      </c>
      <c r="AH19" s="192" t="str">
        <f t="shared" si="5"/>
        <v>APROBADO</v>
      </c>
      <c r="AI19" s="193"/>
      <c r="AJ19" s="193"/>
      <c r="AK19" s="193"/>
      <c r="AL19" s="193"/>
      <c r="AM19" s="194"/>
      <c r="AN19" s="98"/>
      <c r="AO19" s="98"/>
      <c r="AP19" s="98"/>
      <c r="AQ19" s="98"/>
      <c r="AR19" s="98"/>
    </row>
    <row r="20" spans="1:44" ht="12" customHeight="1">
      <c r="A20" s="59">
        <v>12</v>
      </c>
      <c r="B20" s="93" t="str">
        <f>'C. FILIACION'!B19</f>
        <v>SALAS ROJAS LUCIANA ANTONELLA</v>
      </c>
      <c r="C20" s="31">
        <v>10</v>
      </c>
      <c r="D20" s="31"/>
      <c r="E20" s="31"/>
      <c r="F20" s="31"/>
      <c r="G20" s="31"/>
      <c r="H20" s="31"/>
      <c r="I20" s="31"/>
      <c r="J20" s="31"/>
      <c r="K20" s="31"/>
      <c r="L20" s="31"/>
      <c r="M20" s="31"/>
      <c r="N20" s="31"/>
      <c r="O20" s="95" t="str">
        <f t="shared" si="0"/>
        <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DA</v>
      </c>
      <c r="AG20" s="95">
        <f t="shared" si="4"/>
        <v>65</v>
      </c>
      <c r="AH20" s="192" t="str">
        <f t="shared" si="5"/>
        <v>APROBADO</v>
      </c>
      <c r="AI20" s="193"/>
      <c r="AJ20" s="193"/>
      <c r="AK20" s="193"/>
      <c r="AL20" s="193"/>
      <c r="AM20" s="194"/>
      <c r="AN20" s="98"/>
      <c r="AO20" s="98"/>
      <c r="AP20" s="98"/>
      <c r="AQ20" s="98"/>
      <c r="AR20" s="98"/>
    </row>
    <row r="21" spans="1:44" ht="12" customHeight="1">
      <c r="A21" s="59">
        <v>13</v>
      </c>
      <c r="B21" s="93" t="str">
        <f>'C. FILIACION'!B20</f>
        <v>SANTOS CRUZ ROYER JOEL</v>
      </c>
      <c r="C21" s="31">
        <v>10</v>
      </c>
      <c r="D21" s="31">
        <v>22</v>
      </c>
      <c r="E21" s="31"/>
      <c r="F21" s="31"/>
      <c r="G21" s="31"/>
      <c r="H21" s="31"/>
      <c r="I21" s="31"/>
      <c r="J21" s="31"/>
      <c r="K21" s="31"/>
      <c r="L21" s="31"/>
      <c r="M21" s="31"/>
      <c r="N21" s="31"/>
      <c r="O21" s="95">
        <f t="shared" si="0"/>
        <v>22</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87</v>
      </c>
      <c r="AH21" s="192" t="str">
        <f t="shared" si="5"/>
        <v>APROBADO</v>
      </c>
      <c r="AI21" s="193"/>
      <c r="AJ21" s="193"/>
      <c r="AK21" s="193"/>
      <c r="AL21" s="193"/>
      <c r="AM21" s="194"/>
      <c r="AN21" s="98"/>
      <c r="AO21" s="98"/>
      <c r="AP21" s="98"/>
      <c r="AQ21" s="98"/>
      <c r="AR21" s="98"/>
    </row>
    <row r="22" spans="1:44" ht="12" customHeight="1">
      <c r="A22" s="59">
        <v>14</v>
      </c>
      <c r="B22" s="93" t="str">
        <f>'C. FILIACION'!B21</f>
        <v>TICONA LOAYZA ARIADNE VALERIA</v>
      </c>
      <c r="C22" s="31">
        <v>10</v>
      </c>
      <c r="D22" s="31">
        <v>21</v>
      </c>
      <c r="E22" s="31"/>
      <c r="F22" s="31"/>
      <c r="G22" s="31"/>
      <c r="H22" s="31"/>
      <c r="I22" s="31"/>
      <c r="J22" s="31"/>
      <c r="K22" s="31"/>
      <c r="L22" s="31"/>
      <c r="M22" s="31"/>
      <c r="N22" s="31"/>
      <c r="O22" s="95">
        <f t="shared" si="0"/>
        <v>21</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86</v>
      </c>
      <c r="AH22" s="192" t="str">
        <f t="shared" si="5"/>
        <v>APROBADO</v>
      </c>
      <c r="AI22" s="193"/>
      <c r="AJ22" s="193"/>
      <c r="AK22" s="193"/>
      <c r="AL22" s="193"/>
      <c r="AM22" s="194"/>
      <c r="AN22" s="98"/>
      <c r="AO22" s="98"/>
      <c r="AP22" s="98"/>
      <c r="AQ22" s="98"/>
      <c r="AR22" s="98"/>
    </row>
    <row r="23" spans="1:44" ht="12" customHeight="1">
      <c r="A23" s="59">
        <v>15</v>
      </c>
      <c r="B23" s="93" t="str">
        <f>'C. FILIACION'!B22</f>
        <v>ZEBALLOS DEL CARPIO AMIRA MERCEDES</v>
      </c>
      <c r="C23" s="31">
        <v>10</v>
      </c>
      <c r="D23" s="31">
        <v>32</v>
      </c>
      <c r="E23" s="31"/>
      <c r="F23" s="31"/>
      <c r="G23" s="31"/>
      <c r="H23" s="31"/>
      <c r="I23" s="31"/>
      <c r="J23" s="31"/>
      <c r="K23" s="31"/>
      <c r="L23" s="31"/>
      <c r="M23" s="31"/>
      <c r="N23" s="31"/>
      <c r="O23" s="95">
        <f t="shared" si="0"/>
        <v>32</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97</v>
      </c>
      <c r="AH23" s="192" t="str">
        <f t="shared" si="5"/>
        <v>APROBADO</v>
      </c>
      <c r="AI23" s="193"/>
      <c r="AJ23" s="193"/>
      <c r="AK23" s="193"/>
      <c r="AL23" s="193"/>
      <c r="AM23" s="194"/>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192" t="str">
        <f t="shared" si="5"/>
        <v>APROBADO</v>
      </c>
      <c r="AI24" s="193"/>
      <c r="AJ24" s="193"/>
      <c r="AK24" s="193"/>
      <c r="AL24" s="193"/>
      <c r="AM24" s="194"/>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192" t="str">
        <f t="shared" si="5"/>
        <v>APROBADO</v>
      </c>
      <c r="AI25" s="193"/>
      <c r="AJ25" s="193"/>
      <c r="AK25" s="193"/>
      <c r="AL25" s="193"/>
      <c r="AM25" s="194"/>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192" t="str">
        <f t="shared" si="5"/>
        <v>APROBADO</v>
      </c>
      <c r="AI26" s="193"/>
      <c r="AJ26" s="193"/>
      <c r="AK26" s="193"/>
      <c r="AL26" s="193"/>
      <c r="AM26" s="194"/>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192" t="str">
        <f t="shared" si="5"/>
        <v>APROBADO</v>
      </c>
      <c r="AI27" s="193"/>
      <c r="AJ27" s="193"/>
      <c r="AK27" s="193"/>
      <c r="AL27" s="193"/>
      <c r="AM27" s="194"/>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192" t="str">
        <f t="shared" si="5"/>
        <v>APROBADO</v>
      </c>
      <c r="AI28" s="193"/>
      <c r="AJ28" s="193"/>
      <c r="AK28" s="193"/>
      <c r="AL28" s="193"/>
      <c r="AM28" s="194"/>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192" t="str">
        <f t="shared" si="5"/>
        <v>APROBADO</v>
      </c>
      <c r="AI29" s="193"/>
      <c r="AJ29" s="193"/>
      <c r="AK29" s="193"/>
      <c r="AL29" s="193"/>
      <c r="AM29" s="194"/>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192" t="str">
        <f t="shared" si="5"/>
        <v>APROBADO</v>
      </c>
      <c r="AI30" s="193"/>
      <c r="AJ30" s="193"/>
      <c r="AK30" s="193"/>
      <c r="AL30" s="193"/>
      <c r="AM30" s="194"/>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192" t="str">
        <f t="shared" si="5"/>
        <v>APROBADO</v>
      </c>
      <c r="AI31" s="193"/>
      <c r="AJ31" s="193"/>
      <c r="AK31" s="193"/>
      <c r="AL31" s="193"/>
      <c r="AM31" s="194"/>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192" t="str">
        <f t="shared" si="5"/>
        <v>APROBADO</v>
      </c>
      <c r="AI32" s="193"/>
      <c r="AJ32" s="193"/>
      <c r="AK32" s="193"/>
      <c r="AL32" s="193"/>
      <c r="AM32" s="194"/>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192" t="str">
        <f t="shared" si="5"/>
        <v>APROBADO</v>
      </c>
      <c r="AI33" s="193"/>
      <c r="AJ33" s="193"/>
      <c r="AK33" s="193"/>
      <c r="AL33" s="193"/>
      <c r="AM33" s="194"/>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192" t="str">
        <f t="shared" si="5"/>
        <v>APROBADO</v>
      </c>
      <c r="AI34" s="193"/>
      <c r="AJ34" s="193"/>
      <c r="AK34" s="193"/>
      <c r="AL34" s="193"/>
      <c r="AM34" s="194"/>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192" t="str">
        <f t="shared" si="5"/>
        <v>APROBADO</v>
      </c>
      <c r="AI35" s="193"/>
      <c r="AJ35" s="193"/>
      <c r="AK35" s="193"/>
      <c r="AL35" s="193"/>
      <c r="AM35" s="194"/>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192" t="str">
        <f t="shared" si="5"/>
        <v>APROBADO</v>
      </c>
      <c r="AI36" s="193"/>
      <c r="AJ36" s="193"/>
      <c r="AK36" s="193"/>
      <c r="AL36" s="193"/>
      <c r="AM36" s="194"/>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192" t="str">
        <f t="shared" si="5"/>
        <v>APROBADO</v>
      </c>
      <c r="AI37" s="193"/>
      <c r="AJ37" s="193"/>
      <c r="AK37" s="193"/>
      <c r="AL37" s="193"/>
      <c r="AM37" s="194"/>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192" t="str">
        <f t="shared" si="5"/>
        <v>APROBADO</v>
      </c>
      <c r="AI38" s="193"/>
      <c r="AJ38" s="193"/>
      <c r="AK38" s="193"/>
      <c r="AL38" s="193"/>
      <c r="AM38" s="194"/>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192" t="str">
        <f t="shared" si="5"/>
        <v>APROBADO</v>
      </c>
      <c r="AI39" s="193"/>
      <c r="AJ39" s="193"/>
      <c r="AK39" s="193"/>
      <c r="AL39" s="193"/>
      <c r="AM39" s="194"/>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192" t="str">
        <f t="shared" si="5"/>
        <v>APROBADO</v>
      </c>
      <c r="AI40" s="193"/>
      <c r="AJ40" s="193"/>
      <c r="AK40" s="193"/>
      <c r="AL40" s="193"/>
      <c r="AM40" s="194"/>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192" t="str">
        <f t="shared" si="5"/>
        <v>APROBADO</v>
      </c>
      <c r="AI41" s="193"/>
      <c r="AJ41" s="193"/>
      <c r="AK41" s="193"/>
      <c r="AL41" s="193"/>
      <c r="AM41" s="194"/>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192" t="str">
        <f t="shared" si="5"/>
        <v>APROBADO</v>
      </c>
      <c r="AI42" s="193"/>
      <c r="AJ42" s="193"/>
      <c r="AK42" s="193"/>
      <c r="AL42" s="193"/>
      <c r="AM42" s="194"/>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192" t="str">
        <f t="shared" si="5"/>
        <v>APROBADO</v>
      </c>
      <c r="AI43" s="193"/>
      <c r="AJ43" s="193"/>
      <c r="AK43" s="193"/>
      <c r="AL43" s="193"/>
      <c r="AM43" s="194"/>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192" t="str">
        <f t="shared" si="5"/>
        <v>APROBADO</v>
      </c>
      <c r="AI44" s="193"/>
      <c r="AJ44" s="193"/>
      <c r="AK44" s="193"/>
      <c r="AL44" s="193"/>
      <c r="AM44" s="194"/>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34375" defaultRowHeight="15" customHeight="1"/>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11" t="s">
        <v>101</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3"/>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20</v>
      </c>
      <c r="P3" s="78"/>
      <c r="Q3" s="78"/>
      <c r="R3" s="78"/>
      <c r="S3" s="78">
        <f>CARÁTULA!$C$25</f>
        <v>0</v>
      </c>
      <c r="T3" s="78"/>
      <c r="U3" s="78"/>
      <c r="V3" s="78"/>
      <c r="W3" s="78"/>
      <c r="X3" s="78"/>
      <c r="Y3" s="78"/>
      <c r="Z3" s="78"/>
      <c r="AA3" s="78"/>
      <c r="AB3" s="78"/>
      <c r="AC3" s="209" t="s">
        <v>49</v>
      </c>
      <c r="AD3" s="193"/>
      <c r="AE3" s="193"/>
      <c r="AF3" s="193"/>
      <c r="AG3" s="193"/>
      <c r="AH3" s="194"/>
      <c r="AI3" s="189">
        <f>CARÁTULA!$H$24</f>
        <v>44440</v>
      </c>
      <c r="AJ3" s="171"/>
      <c r="AK3" s="171"/>
      <c r="AL3" s="171"/>
      <c r="AM3" s="171"/>
      <c r="AN3" s="212" t="s">
        <v>50</v>
      </c>
      <c r="AO3" s="162"/>
      <c r="AP3" s="162"/>
      <c r="AQ3" s="162"/>
      <c r="AR3" s="163"/>
      <c r="AS3" s="72"/>
      <c r="AT3" s="72"/>
      <c r="AU3" s="72"/>
      <c r="AV3" s="72"/>
    </row>
    <row r="4" spans="1:48" ht="12.75" customHeight="1">
      <c r="A4" s="71"/>
      <c r="B4" s="74" t="s">
        <v>15</v>
      </c>
      <c r="C4" s="75" t="str">
        <f>CARÁTULA!$C$21</f>
        <v>Secundaria</v>
      </c>
      <c r="D4" s="76"/>
      <c r="E4" s="76"/>
      <c r="F4" s="76"/>
      <c r="G4" s="77"/>
      <c r="H4" s="77"/>
      <c r="I4" s="77"/>
      <c r="J4" s="77"/>
      <c r="K4" s="77"/>
      <c r="L4" s="77"/>
      <c r="M4" s="77"/>
      <c r="N4" s="77"/>
      <c r="O4" s="77" t="s">
        <v>51</v>
      </c>
      <c r="P4" s="78"/>
      <c r="Q4" s="76"/>
      <c r="R4" s="76"/>
      <c r="S4" s="75" t="str">
        <f>CARÁTULA!$C$19</f>
        <v>NUEVO PROFESOR</v>
      </c>
      <c r="T4" s="76"/>
      <c r="U4" s="76"/>
      <c r="V4" s="76"/>
      <c r="W4" s="76"/>
      <c r="X4" s="76"/>
      <c r="Y4" s="76"/>
      <c r="Z4" s="76"/>
      <c r="AA4" s="76"/>
      <c r="AB4" s="76"/>
      <c r="AC4" s="209" t="s">
        <v>52</v>
      </c>
      <c r="AD4" s="193"/>
      <c r="AE4" s="193"/>
      <c r="AF4" s="193"/>
      <c r="AG4" s="193"/>
      <c r="AH4" s="194"/>
      <c r="AI4" s="189">
        <f>CARÁTULA!$J$24</f>
        <v>44531</v>
      </c>
      <c r="AJ4" s="171"/>
      <c r="AK4" s="171"/>
      <c r="AL4" s="171"/>
      <c r="AM4" s="171"/>
      <c r="AN4" s="191">
        <f ca="1">AI4-AI5</f>
        <v>118</v>
      </c>
      <c r="AO4" s="181"/>
      <c r="AP4" s="181"/>
      <c r="AQ4" s="181"/>
      <c r="AR4" s="182"/>
    </row>
    <row r="5" spans="1:48" ht="12.75" customHeight="1">
      <c r="A5" s="71"/>
      <c r="B5" s="74" t="s">
        <v>23</v>
      </c>
      <c r="C5" s="75" t="str">
        <f>CARÁTULA!$C$23</f>
        <v>1ro de Secundaria</v>
      </c>
      <c r="D5" s="76"/>
      <c r="E5" s="76"/>
      <c r="F5" s="76"/>
      <c r="G5" s="74"/>
      <c r="H5" s="74"/>
      <c r="I5" s="74"/>
      <c r="J5" s="74"/>
      <c r="K5" s="74"/>
      <c r="L5" s="74"/>
      <c r="M5" s="74"/>
      <c r="N5" s="74"/>
      <c r="O5" s="77" t="s">
        <v>24</v>
      </c>
      <c r="P5" s="79"/>
      <c r="Q5" s="79"/>
      <c r="R5" s="79"/>
      <c r="S5" s="205">
        <f ca="1">TODAY()</f>
        <v>44413</v>
      </c>
      <c r="T5" s="162"/>
      <c r="U5" s="162"/>
      <c r="V5" s="162"/>
      <c r="W5" s="162"/>
      <c r="X5" s="162"/>
      <c r="Y5" s="162"/>
      <c r="Z5" s="162"/>
      <c r="AA5" s="163"/>
      <c r="AB5" s="76"/>
      <c r="AC5" s="210" t="s">
        <v>53</v>
      </c>
      <c r="AD5" s="193"/>
      <c r="AE5" s="193"/>
      <c r="AF5" s="193"/>
      <c r="AG5" s="193"/>
      <c r="AH5" s="194"/>
      <c r="AI5" s="213">
        <f ca="1">TODAY()</f>
        <v>44413</v>
      </c>
      <c r="AJ5" s="171"/>
      <c r="AK5" s="171"/>
      <c r="AL5" s="171"/>
      <c r="AM5" s="171"/>
      <c r="AN5" s="183"/>
      <c r="AO5" s="184"/>
      <c r="AP5" s="184"/>
      <c r="AQ5" s="184"/>
      <c r="AR5" s="185"/>
    </row>
    <row r="6" spans="1:48" ht="12.75" customHeight="1">
      <c r="A6" s="71"/>
      <c r="B6" s="74"/>
      <c r="C6" s="177" t="s">
        <v>78</v>
      </c>
      <c r="D6" s="178"/>
      <c r="E6" s="178"/>
      <c r="F6" s="178"/>
      <c r="G6" s="178"/>
      <c r="H6" s="178"/>
      <c r="I6" s="178"/>
      <c r="J6" s="178"/>
      <c r="K6" s="178"/>
      <c r="L6" s="178"/>
      <c r="M6" s="178"/>
      <c r="N6" s="178"/>
      <c r="O6" s="178"/>
      <c r="P6" s="178"/>
      <c r="Q6" s="178"/>
      <c r="R6" s="178"/>
      <c r="S6" s="178"/>
      <c r="T6" s="178"/>
      <c r="U6" s="178"/>
      <c r="V6" s="178"/>
      <c r="W6" s="178"/>
      <c r="X6" s="178"/>
      <c r="Y6" s="178"/>
      <c r="Z6" s="178"/>
      <c r="AA6" s="179"/>
      <c r="AB6" s="206" t="s">
        <v>79</v>
      </c>
      <c r="AC6" s="193"/>
      <c r="AD6" s="193"/>
      <c r="AE6" s="194"/>
      <c r="AF6" s="80"/>
      <c r="AG6" s="81"/>
      <c r="AH6" s="81"/>
      <c r="AI6" s="82"/>
      <c r="AJ6" s="83"/>
      <c r="AK6" s="83"/>
      <c r="AL6" s="83"/>
      <c r="AM6" s="83"/>
      <c r="AN6" s="84"/>
      <c r="AO6" s="84"/>
      <c r="AP6" s="84"/>
      <c r="AQ6" s="84"/>
      <c r="AR6" s="84"/>
    </row>
    <row r="7" spans="1:48" ht="12" customHeight="1">
      <c r="A7" s="71"/>
      <c r="B7" s="85"/>
      <c r="C7" s="207" t="s">
        <v>80</v>
      </c>
      <c r="D7" s="208" t="s">
        <v>81</v>
      </c>
      <c r="E7" s="193"/>
      <c r="F7" s="193"/>
      <c r="G7" s="193"/>
      <c r="H7" s="193"/>
      <c r="I7" s="193"/>
      <c r="J7" s="193"/>
      <c r="K7" s="193"/>
      <c r="L7" s="193"/>
      <c r="M7" s="193"/>
      <c r="N7" s="193"/>
      <c r="O7" s="204" t="s">
        <v>82</v>
      </c>
      <c r="P7" s="208" t="s">
        <v>83</v>
      </c>
      <c r="Q7" s="193"/>
      <c r="R7" s="193"/>
      <c r="S7" s="193"/>
      <c r="T7" s="193"/>
      <c r="U7" s="193"/>
      <c r="V7" s="193"/>
      <c r="W7" s="193"/>
      <c r="X7" s="193"/>
      <c r="Y7" s="193"/>
      <c r="Z7" s="193"/>
      <c r="AA7" s="203" t="s">
        <v>84</v>
      </c>
      <c r="AB7" s="204" t="s">
        <v>82</v>
      </c>
      <c r="AC7" s="203" t="s">
        <v>85</v>
      </c>
      <c r="AD7" s="203" t="s">
        <v>86</v>
      </c>
      <c r="AE7" s="204" t="s">
        <v>82</v>
      </c>
      <c r="AF7" s="196" t="s">
        <v>87</v>
      </c>
      <c r="AG7" s="198" t="s">
        <v>88</v>
      </c>
      <c r="AH7" s="199" t="s">
        <v>89</v>
      </c>
      <c r="AI7" s="178"/>
      <c r="AJ7" s="178"/>
      <c r="AK7" s="178"/>
      <c r="AL7" s="178"/>
      <c r="AM7" s="179"/>
      <c r="AN7" s="86"/>
      <c r="AO7" s="76"/>
      <c r="AP7" s="76"/>
      <c r="AQ7" s="76"/>
      <c r="AR7" s="71"/>
    </row>
    <row r="8" spans="1:48" ht="67.5" customHeight="1">
      <c r="A8" s="49" t="s">
        <v>54</v>
      </c>
      <c r="B8" s="50" t="s">
        <v>55</v>
      </c>
      <c r="C8" s="197"/>
      <c r="D8" s="54"/>
      <c r="E8" s="54"/>
      <c r="F8" s="54"/>
      <c r="G8" s="54"/>
      <c r="H8" s="54"/>
      <c r="I8" s="54"/>
      <c r="J8" s="54"/>
      <c r="K8" s="54"/>
      <c r="L8" s="54"/>
      <c r="M8" s="54"/>
      <c r="N8" s="55"/>
      <c r="O8" s="197"/>
      <c r="P8" s="99"/>
      <c r="Q8" s="54"/>
      <c r="R8" s="54"/>
      <c r="S8" s="54"/>
      <c r="T8" s="54"/>
      <c r="U8" s="54"/>
      <c r="V8" s="54"/>
      <c r="W8" s="54"/>
      <c r="X8" s="54"/>
      <c r="Y8" s="54"/>
      <c r="Z8" s="54"/>
      <c r="AA8" s="197"/>
      <c r="AB8" s="197"/>
      <c r="AC8" s="197"/>
      <c r="AD8" s="197"/>
      <c r="AE8" s="197"/>
      <c r="AF8" s="197"/>
      <c r="AG8" s="197"/>
      <c r="AH8" s="200"/>
      <c r="AI8" s="201"/>
      <c r="AJ8" s="201"/>
      <c r="AK8" s="201"/>
      <c r="AL8" s="201"/>
      <c r="AM8" s="202"/>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192" t="str">
        <f t="shared" ref="AH9:AH44" si="5">IF(AG9="","",(IF(AND(AG9&gt;=1,AG9&lt;=50.499),"REPROBADO",IF(AND(AG9&gt;=50.5,AG9&lt;=100),"APROBADO"))))</f>
        <v>APROBADO</v>
      </c>
      <c r="AI9" s="193"/>
      <c r="AJ9" s="193"/>
      <c r="AK9" s="193"/>
      <c r="AL9" s="193"/>
      <c r="AM9" s="194"/>
      <c r="AN9" s="97" t="s">
        <v>96</v>
      </c>
      <c r="AO9" s="195">
        <f>COUNTIF(AF9:AF44,"ED")</f>
        <v>0</v>
      </c>
      <c r="AP9" s="194"/>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192" t="str">
        <f t="shared" si="5"/>
        <v>APROBADO</v>
      </c>
      <c r="AI10" s="193"/>
      <c r="AJ10" s="193"/>
      <c r="AK10" s="193"/>
      <c r="AL10" s="193"/>
      <c r="AM10" s="194"/>
      <c r="AN10" s="49" t="s">
        <v>97</v>
      </c>
      <c r="AO10" s="195">
        <f>COUNTIF(AF9:AF44,"DA")</f>
        <v>0</v>
      </c>
      <c r="AP10" s="194"/>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192" t="str">
        <f t="shared" si="5"/>
        <v>APROBADO</v>
      </c>
      <c r="AI11" s="193"/>
      <c r="AJ11" s="193"/>
      <c r="AK11" s="193"/>
      <c r="AL11" s="193"/>
      <c r="AM11" s="194"/>
      <c r="AN11" s="49" t="s">
        <v>98</v>
      </c>
      <c r="AO11" s="195">
        <f>COUNTIF(AF9:AF44,"DO")</f>
        <v>0</v>
      </c>
      <c r="AP11" s="194"/>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192" t="str">
        <f t="shared" si="5"/>
        <v>APROBADO</v>
      </c>
      <c r="AI12" s="193"/>
      <c r="AJ12" s="193"/>
      <c r="AK12" s="193"/>
      <c r="AL12" s="193"/>
      <c r="AM12" s="194"/>
      <c r="AN12" s="49" t="s">
        <v>99</v>
      </c>
      <c r="AO12" s="195">
        <f>COUNTIF(AF9:AF44,"DP")</f>
        <v>36</v>
      </c>
      <c r="AP12" s="194"/>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192" t="str">
        <f t="shared" si="5"/>
        <v>APROBADO</v>
      </c>
      <c r="AI13" s="193"/>
      <c r="AJ13" s="193"/>
      <c r="AK13" s="193"/>
      <c r="AL13" s="193"/>
      <c r="AM13" s="194"/>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192" t="str">
        <f t="shared" si="5"/>
        <v>APROBADO</v>
      </c>
      <c r="AI14" s="193"/>
      <c r="AJ14" s="193"/>
      <c r="AK14" s="193"/>
      <c r="AL14" s="193"/>
      <c r="AM14" s="194"/>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192" t="str">
        <f t="shared" si="5"/>
        <v>APROBADO</v>
      </c>
      <c r="AI15" s="193"/>
      <c r="AJ15" s="193"/>
      <c r="AK15" s="193"/>
      <c r="AL15" s="193"/>
      <c r="AM15" s="194"/>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192" t="str">
        <f t="shared" si="5"/>
        <v>APROBADO</v>
      </c>
      <c r="AI16" s="193"/>
      <c r="AJ16" s="193"/>
      <c r="AK16" s="193"/>
      <c r="AL16" s="193"/>
      <c r="AM16" s="194"/>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192" t="str">
        <f t="shared" si="5"/>
        <v>APROBADO</v>
      </c>
      <c r="AI17" s="193"/>
      <c r="AJ17" s="193"/>
      <c r="AK17" s="193"/>
      <c r="AL17" s="193"/>
      <c r="AM17" s="194"/>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192" t="str">
        <f t="shared" si="5"/>
        <v>APROBADO</v>
      </c>
      <c r="AI18" s="193"/>
      <c r="AJ18" s="193"/>
      <c r="AK18" s="193"/>
      <c r="AL18" s="193"/>
      <c r="AM18" s="194"/>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192" t="str">
        <f t="shared" si="5"/>
        <v>APROBADO</v>
      </c>
      <c r="AI19" s="193"/>
      <c r="AJ19" s="193"/>
      <c r="AK19" s="193"/>
      <c r="AL19" s="193"/>
      <c r="AM19" s="194"/>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192" t="str">
        <f t="shared" si="5"/>
        <v>APROBADO</v>
      </c>
      <c r="AI20" s="193"/>
      <c r="AJ20" s="193"/>
      <c r="AK20" s="193"/>
      <c r="AL20" s="193"/>
      <c r="AM20" s="194"/>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192" t="str">
        <f t="shared" si="5"/>
        <v>APROBADO</v>
      </c>
      <c r="AI21" s="193"/>
      <c r="AJ21" s="193"/>
      <c r="AK21" s="193"/>
      <c r="AL21" s="193"/>
      <c r="AM21" s="194"/>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192" t="str">
        <f t="shared" si="5"/>
        <v>APROBADO</v>
      </c>
      <c r="AI22" s="193"/>
      <c r="AJ22" s="193"/>
      <c r="AK22" s="193"/>
      <c r="AL22" s="193"/>
      <c r="AM22" s="194"/>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192" t="str">
        <f t="shared" si="5"/>
        <v>APROBADO</v>
      </c>
      <c r="AI23" s="193"/>
      <c r="AJ23" s="193"/>
      <c r="AK23" s="193"/>
      <c r="AL23" s="193"/>
      <c r="AM23" s="194"/>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192" t="str">
        <f t="shared" si="5"/>
        <v>APROBADO</v>
      </c>
      <c r="AI24" s="193"/>
      <c r="AJ24" s="193"/>
      <c r="AK24" s="193"/>
      <c r="AL24" s="193"/>
      <c r="AM24" s="194"/>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192" t="str">
        <f t="shared" si="5"/>
        <v>APROBADO</v>
      </c>
      <c r="AI25" s="193"/>
      <c r="AJ25" s="193"/>
      <c r="AK25" s="193"/>
      <c r="AL25" s="193"/>
      <c r="AM25" s="194"/>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192" t="str">
        <f t="shared" si="5"/>
        <v>APROBADO</v>
      </c>
      <c r="AI26" s="193"/>
      <c r="AJ26" s="193"/>
      <c r="AK26" s="193"/>
      <c r="AL26" s="193"/>
      <c r="AM26" s="194"/>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192" t="str">
        <f t="shared" si="5"/>
        <v>APROBADO</v>
      </c>
      <c r="AI27" s="193"/>
      <c r="AJ27" s="193"/>
      <c r="AK27" s="193"/>
      <c r="AL27" s="193"/>
      <c r="AM27" s="194"/>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192" t="str">
        <f t="shared" si="5"/>
        <v>APROBADO</v>
      </c>
      <c r="AI28" s="193"/>
      <c r="AJ28" s="193"/>
      <c r="AK28" s="193"/>
      <c r="AL28" s="193"/>
      <c r="AM28" s="194"/>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192" t="str">
        <f t="shared" si="5"/>
        <v>APROBADO</v>
      </c>
      <c r="AI29" s="193"/>
      <c r="AJ29" s="193"/>
      <c r="AK29" s="193"/>
      <c r="AL29" s="193"/>
      <c r="AM29" s="194"/>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192" t="str">
        <f t="shared" si="5"/>
        <v>APROBADO</v>
      </c>
      <c r="AI30" s="193"/>
      <c r="AJ30" s="193"/>
      <c r="AK30" s="193"/>
      <c r="AL30" s="193"/>
      <c r="AM30" s="194"/>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192" t="str">
        <f t="shared" si="5"/>
        <v>APROBADO</v>
      </c>
      <c r="AI31" s="193"/>
      <c r="AJ31" s="193"/>
      <c r="AK31" s="193"/>
      <c r="AL31" s="193"/>
      <c r="AM31" s="194"/>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192" t="str">
        <f t="shared" si="5"/>
        <v>APROBADO</v>
      </c>
      <c r="AI32" s="193"/>
      <c r="AJ32" s="193"/>
      <c r="AK32" s="193"/>
      <c r="AL32" s="193"/>
      <c r="AM32" s="194"/>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192" t="str">
        <f t="shared" si="5"/>
        <v>APROBADO</v>
      </c>
      <c r="AI33" s="193"/>
      <c r="AJ33" s="193"/>
      <c r="AK33" s="193"/>
      <c r="AL33" s="193"/>
      <c r="AM33" s="194"/>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192" t="str">
        <f t="shared" si="5"/>
        <v>APROBADO</v>
      </c>
      <c r="AI34" s="193"/>
      <c r="AJ34" s="193"/>
      <c r="AK34" s="193"/>
      <c r="AL34" s="193"/>
      <c r="AM34" s="194"/>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192" t="str">
        <f t="shared" si="5"/>
        <v>APROBADO</v>
      </c>
      <c r="AI35" s="193"/>
      <c r="AJ35" s="193"/>
      <c r="AK35" s="193"/>
      <c r="AL35" s="193"/>
      <c r="AM35" s="194"/>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192" t="str">
        <f t="shared" si="5"/>
        <v>APROBADO</v>
      </c>
      <c r="AI36" s="193"/>
      <c r="AJ36" s="193"/>
      <c r="AK36" s="193"/>
      <c r="AL36" s="193"/>
      <c r="AM36" s="194"/>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192" t="str">
        <f t="shared" si="5"/>
        <v>APROBADO</v>
      </c>
      <c r="AI37" s="193"/>
      <c r="AJ37" s="193"/>
      <c r="AK37" s="193"/>
      <c r="AL37" s="193"/>
      <c r="AM37" s="194"/>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192" t="str">
        <f t="shared" si="5"/>
        <v>APROBADO</v>
      </c>
      <c r="AI38" s="193"/>
      <c r="AJ38" s="193"/>
      <c r="AK38" s="193"/>
      <c r="AL38" s="193"/>
      <c r="AM38" s="194"/>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192" t="str">
        <f t="shared" si="5"/>
        <v>APROBADO</v>
      </c>
      <c r="AI39" s="193"/>
      <c r="AJ39" s="193"/>
      <c r="AK39" s="193"/>
      <c r="AL39" s="193"/>
      <c r="AM39" s="194"/>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192" t="str">
        <f t="shared" si="5"/>
        <v>APROBADO</v>
      </c>
      <c r="AI40" s="193"/>
      <c r="AJ40" s="193"/>
      <c r="AK40" s="193"/>
      <c r="AL40" s="193"/>
      <c r="AM40" s="194"/>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192" t="str">
        <f t="shared" si="5"/>
        <v>APROBADO</v>
      </c>
      <c r="AI41" s="193"/>
      <c r="AJ41" s="193"/>
      <c r="AK41" s="193"/>
      <c r="AL41" s="193"/>
      <c r="AM41" s="194"/>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192" t="str">
        <f t="shared" si="5"/>
        <v>APROBADO</v>
      </c>
      <c r="AI42" s="193"/>
      <c r="AJ42" s="193"/>
      <c r="AK42" s="193"/>
      <c r="AL42" s="193"/>
      <c r="AM42" s="194"/>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192" t="str">
        <f t="shared" si="5"/>
        <v>APROBADO</v>
      </c>
      <c r="AI43" s="193"/>
      <c r="AJ43" s="193"/>
      <c r="AK43" s="193"/>
      <c r="AL43" s="193"/>
      <c r="AM43" s="194"/>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192" t="str">
        <f t="shared" si="5"/>
        <v>APROBADO</v>
      </c>
      <c r="AI44" s="193"/>
      <c r="AJ44" s="193"/>
      <c r="AK44" s="193"/>
      <c r="AL44" s="193"/>
      <c r="AM44" s="194"/>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34375" defaultRowHeight="15" customHeight="1"/>
  <cols>
    <col min="1" max="1" width="1.6640625" customWidth="1"/>
    <col min="2" max="2" width="20.6640625" customWidth="1"/>
    <col min="3" max="7" width="2.234375" customWidth="1"/>
    <col min="8" max="8" width="3.234375" customWidth="1"/>
    <col min="9" max="13" width="2.234375" customWidth="1"/>
    <col min="14" max="14" width="3.234375" customWidth="1"/>
    <col min="15" max="19" width="2.234375" customWidth="1"/>
    <col min="20" max="21" width="3.234375" customWidth="1"/>
    <col min="22" max="22" width="9" customWidth="1"/>
    <col min="23" max="24" width="2.234375" customWidth="1"/>
    <col min="25" max="28" width="1.6640625" customWidth="1"/>
  </cols>
  <sheetData>
    <row r="1" spans="1:28" ht="4.5" customHeight="1"/>
    <row r="2" spans="1:28" ht="12.75" customHeight="1">
      <c r="B2" s="175" t="s">
        <v>102</v>
      </c>
      <c r="C2" s="171"/>
      <c r="D2" s="171"/>
      <c r="E2" s="171"/>
      <c r="F2" s="171"/>
      <c r="G2" s="171"/>
      <c r="H2" s="171"/>
      <c r="I2" s="171"/>
      <c r="J2" s="171"/>
      <c r="K2" s="171"/>
      <c r="L2" s="171"/>
      <c r="M2" s="171"/>
      <c r="N2" s="171"/>
      <c r="O2" s="171"/>
      <c r="P2" s="171"/>
      <c r="Q2" s="171"/>
      <c r="R2" s="171"/>
      <c r="S2" s="171"/>
      <c r="T2" s="171"/>
      <c r="U2" s="171"/>
      <c r="V2" s="171"/>
      <c r="W2" s="171"/>
      <c r="X2" s="171"/>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20</v>
      </c>
      <c r="S3" s="43"/>
      <c r="T3" s="43"/>
      <c r="U3" s="43">
        <f>CARÁTULA!$C$25</f>
        <v>0</v>
      </c>
      <c r="V3" s="43"/>
      <c r="W3" s="43"/>
      <c r="X3" s="43"/>
    </row>
    <row r="4" spans="1:28" ht="12.75" customHeight="1">
      <c r="B4" s="39" t="s">
        <v>15</v>
      </c>
      <c r="C4" s="40" t="str">
        <f>CARÁTULA!$C$21</f>
        <v>Secundaria</v>
      </c>
      <c r="D4" s="41"/>
      <c r="E4" s="41"/>
      <c r="F4" s="41"/>
      <c r="G4" s="41"/>
      <c r="H4" s="41"/>
      <c r="I4" s="41"/>
      <c r="J4" s="41"/>
      <c r="K4" s="41"/>
      <c r="L4" s="41"/>
      <c r="M4" s="41"/>
      <c r="N4" s="42"/>
      <c r="O4" s="42"/>
      <c r="P4" s="42"/>
      <c r="Q4" s="42"/>
      <c r="R4" s="42" t="s">
        <v>51</v>
      </c>
      <c r="S4" s="43"/>
      <c r="T4" s="41"/>
      <c r="U4" s="40" t="str">
        <f>CARÁTULA!$C$19</f>
        <v>NUEVO PROFESOR</v>
      </c>
      <c r="V4" s="41"/>
      <c r="W4" s="41"/>
      <c r="X4" s="41"/>
    </row>
    <row r="5" spans="1:28" ht="12.75" customHeight="1">
      <c r="B5" s="39" t="s">
        <v>23</v>
      </c>
      <c r="C5" s="100" t="str">
        <f>CARÁTULA!$C$23</f>
        <v>1ro de Secundaria</v>
      </c>
      <c r="D5" s="41"/>
      <c r="E5" s="41"/>
      <c r="F5" s="41"/>
      <c r="G5" s="41"/>
      <c r="H5" s="41"/>
      <c r="I5" s="41"/>
      <c r="J5" s="41"/>
      <c r="K5" s="41"/>
      <c r="L5" s="41"/>
      <c r="M5" s="41"/>
      <c r="N5" s="39"/>
      <c r="O5" s="39"/>
      <c r="P5" s="39"/>
      <c r="Q5" s="39"/>
      <c r="R5" s="44" t="s">
        <v>24</v>
      </c>
      <c r="S5" s="45"/>
      <c r="T5" s="45"/>
      <c r="U5" s="189">
        <f ca="1">TODAY()</f>
        <v>44413</v>
      </c>
      <c r="V5" s="171"/>
      <c r="W5" s="171"/>
      <c r="X5" s="171"/>
    </row>
    <row r="6" spans="1:28" ht="12.75" customHeight="1">
      <c r="B6" s="39"/>
      <c r="C6" s="214" t="s">
        <v>4</v>
      </c>
      <c r="D6" s="193"/>
      <c r="E6" s="193"/>
      <c r="F6" s="193"/>
      <c r="G6" s="193"/>
      <c r="H6" s="194"/>
      <c r="I6" s="214" t="s">
        <v>10</v>
      </c>
      <c r="J6" s="193"/>
      <c r="K6" s="193"/>
      <c r="L6" s="193"/>
      <c r="M6" s="193"/>
      <c r="N6" s="194"/>
      <c r="O6" s="214" t="s">
        <v>17</v>
      </c>
      <c r="P6" s="193"/>
      <c r="Q6" s="193"/>
      <c r="R6" s="193"/>
      <c r="S6" s="193"/>
      <c r="T6" s="194"/>
      <c r="U6" s="219" t="s">
        <v>103</v>
      </c>
      <c r="V6" s="215" t="s">
        <v>104</v>
      </c>
      <c r="W6" s="68"/>
      <c r="X6" s="68"/>
    </row>
    <row r="7" spans="1:28" ht="12" customHeight="1">
      <c r="B7" s="48"/>
      <c r="C7" s="217"/>
      <c r="D7" s="193"/>
      <c r="E7" s="193"/>
      <c r="F7" s="193"/>
      <c r="G7" s="194"/>
      <c r="H7" s="218" t="s">
        <v>105</v>
      </c>
      <c r="I7" s="217"/>
      <c r="J7" s="193"/>
      <c r="K7" s="193"/>
      <c r="L7" s="193"/>
      <c r="M7" s="194"/>
      <c r="N7" s="218" t="s">
        <v>105</v>
      </c>
      <c r="O7" s="217"/>
      <c r="P7" s="193"/>
      <c r="Q7" s="193"/>
      <c r="R7" s="193"/>
      <c r="S7" s="194"/>
      <c r="T7" s="207" t="s">
        <v>105</v>
      </c>
      <c r="U7" s="216"/>
      <c r="V7" s="216"/>
      <c r="W7" s="41"/>
      <c r="X7" s="41"/>
    </row>
    <row r="8" spans="1:28" ht="67.5" customHeight="1">
      <c r="A8" s="49" t="s">
        <v>54</v>
      </c>
      <c r="B8" s="50" t="s">
        <v>55</v>
      </c>
      <c r="C8" s="101" t="s">
        <v>80</v>
      </c>
      <c r="D8" s="102" t="s">
        <v>81</v>
      </c>
      <c r="E8" s="102" t="s">
        <v>83</v>
      </c>
      <c r="F8" s="102" t="s">
        <v>84</v>
      </c>
      <c r="G8" s="102" t="s">
        <v>106</v>
      </c>
      <c r="H8" s="197"/>
      <c r="I8" s="101" t="s">
        <v>80</v>
      </c>
      <c r="J8" s="102" t="s">
        <v>81</v>
      </c>
      <c r="K8" s="102" t="s">
        <v>83</v>
      </c>
      <c r="L8" s="102" t="s">
        <v>84</v>
      </c>
      <c r="M8" s="102" t="s">
        <v>106</v>
      </c>
      <c r="N8" s="197"/>
      <c r="O8" s="101" t="s">
        <v>80</v>
      </c>
      <c r="P8" s="102" t="s">
        <v>81</v>
      </c>
      <c r="Q8" s="102" t="s">
        <v>83</v>
      </c>
      <c r="R8" s="102" t="s">
        <v>84</v>
      </c>
      <c r="S8" s="102" t="s">
        <v>106</v>
      </c>
      <c r="T8" s="197"/>
      <c r="U8" s="197"/>
      <c r="V8" s="197"/>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TRIM'!C9</f>
        <v>10</v>
      </c>
      <c r="J9" s="31">
        <f>'VAL 2 TRIM'!O9</f>
        <v>27</v>
      </c>
      <c r="K9" s="31">
        <f>'VAL 2 TRIM'!AB9</f>
        <v>35</v>
      </c>
      <c r="L9" s="31">
        <f>'VAL 2 TRIM'!AA9</f>
        <v>10</v>
      </c>
      <c r="M9" s="31">
        <f>'VAL 2 TRIM'!AE9</f>
        <v>10</v>
      </c>
      <c r="N9" s="104">
        <f>'VAL 2 TRIM'!AG9</f>
        <v>92</v>
      </c>
      <c r="O9" s="31">
        <f>'VAL 3 TRIM'!C9</f>
        <v>10</v>
      </c>
      <c r="P9" s="31">
        <f>'VAL 3 TRIM'!O9</f>
        <v>35</v>
      </c>
      <c r="Q9" s="31">
        <f>'VAL 3 TRIM'!AB9</f>
        <v>35</v>
      </c>
      <c r="R9" s="31">
        <f>'VAL 3 TRIM'!AA9</f>
        <v>10</v>
      </c>
      <c r="S9" s="31">
        <f>'VAL 3 TRIM'!AE9</f>
        <v>10</v>
      </c>
      <c r="T9" s="104">
        <f>'VAL 3 TRIM'!AG9</f>
        <v>100</v>
      </c>
      <c r="U9" s="105">
        <f t="shared" ref="U9:U44" si="0">AVERAGE(H9,N9,T9)</f>
        <v>89.333333333333329</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TRIM'!C10</f>
        <v>10</v>
      </c>
      <c r="J10" s="31">
        <f>'VAL 2 TRIM'!O10</f>
        <v>18</v>
      </c>
      <c r="K10" s="31">
        <f>'VAL 2 TRIM'!AB10</f>
        <v>35</v>
      </c>
      <c r="L10" s="31">
        <f>'VAL 2 TRIM'!AA10</f>
        <v>10</v>
      </c>
      <c r="M10" s="31">
        <f>'VAL 2 TRIM'!AE10</f>
        <v>10</v>
      </c>
      <c r="N10" s="104">
        <f>'VAL 2 TRIM'!AG10</f>
        <v>83</v>
      </c>
      <c r="O10" s="31">
        <f>'VAL 3 TRIM'!C10</f>
        <v>10</v>
      </c>
      <c r="P10" s="31">
        <f>'VAL 3 TRIM'!O10</f>
        <v>35</v>
      </c>
      <c r="Q10" s="31">
        <f>'VAL 3 TRIM'!AB10</f>
        <v>35</v>
      </c>
      <c r="R10" s="31">
        <f>'VAL 3 TRIM'!AA10</f>
        <v>10</v>
      </c>
      <c r="S10" s="49">
        <f>'VAL 3 TRIM'!AE10</f>
        <v>10</v>
      </c>
      <c r="T10" s="104">
        <f>'VAL 3 TRIM'!AG10</f>
        <v>100</v>
      </c>
      <c r="U10" s="105">
        <f t="shared" si="0"/>
        <v>77.666666666666671</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TRIM'!C11</f>
        <v>10</v>
      </c>
      <c r="J11" s="31">
        <f>'VAL 2 TRIM'!O11</f>
        <v>21</v>
      </c>
      <c r="K11" s="31">
        <f>'VAL 2 TRIM'!AB11</f>
        <v>35</v>
      </c>
      <c r="L11" s="31">
        <f>'VAL 2 TRIM'!AA11</f>
        <v>10</v>
      </c>
      <c r="M11" s="31">
        <f>'VAL 2 TRIM'!AE11</f>
        <v>10</v>
      </c>
      <c r="N11" s="104">
        <f>'VAL 2 TRIM'!AG11</f>
        <v>86</v>
      </c>
      <c r="O11" s="31">
        <f>'VAL 3 TRIM'!C11</f>
        <v>10</v>
      </c>
      <c r="P11" s="31">
        <f>'VAL 3 TRIM'!O11</f>
        <v>35</v>
      </c>
      <c r="Q11" s="31">
        <f>'VAL 3 TRIM'!AB11</f>
        <v>35</v>
      </c>
      <c r="R11" s="31">
        <f>'VAL 3 TRIM'!AA11</f>
        <v>10</v>
      </c>
      <c r="S11" s="49">
        <f>'VAL 3 TRIM'!AE11</f>
        <v>10</v>
      </c>
      <c r="T11" s="104">
        <f>'VAL 3 TRIM'!AG11</f>
        <v>100</v>
      </c>
      <c r="U11" s="105">
        <f t="shared" si="0"/>
        <v>83.333333333333329</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TRIM'!C12</f>
        <v>10</v>
      </c>
      <c r="J12" s="31">
        <f>'VAL 2 TRIM'!O12</f>
        <v>29</v>
      </c>
      <c r="K12" s="31">
        <f>'VAL 2 TRIM'!AB12</f>
        <v>35</v>
      </c>
      <c r="L12" s="31">
        <f>'VAL 2 TRIM'!AA12</f>
        <v>10</v>
      </c>
      <c r="M12" s="31">
        <f>'VAL 2 TRIM'!AE12</f>
        <v>10</v>
      </c>
      <c r="N12" s="104">
        <f>'VAL 2 TRIM'!AG12</f>
        <v>94</v>
      </c>
      <c r="O12" s="31">
        <f>'VAL 3 TRIM'!C12</f>
        <v>10</v>
      </c>
      <c r="P12" s="31">
        <f>'VAL 3 TRIM'!O12</f>
        <v>35</v>
      </c>
      <c r="Q12" s="31">
        <f>'VAL 3 TRIM'!AB12</f>
        <v>35</v>
      </c>
      <c r="R12" s="31">
        <f>'VAL 3 TRIM'!AA12</f>
        <v>10</v>
      </c>
      <c r="S12" s="49">
        <f>'VAL 3 TRIM'!AE12</f>
        <v>10</v>
      </c>
      <c r="T12" s="104">
        <f>'VAL 3 TRIM'!AG12</f>
        <v>100</v>
      </c>
      <c r="U12" s="105">
        <f t="shared" si="0"/>
        <v>94.666666666666671</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TRIM'!C13</f>
        <v>10</v>
      </c>
      <c r="J13" s="31" t="str">
        <f>'VAL 2 TRIM'!O13</f>
        <v/>
      </c>
      <c r="K13" s="31">
        <f>'VAL 2 TRIM'!AB13</f>
        <v>35</v>
      </c>
      <c r="L13" s="31">
        <f>'VAL 2 TRIM'!AA13</f>
        <v>10</v>
      </c>
      <c r="M13" s="31">
        <f>'VAL 2 TRIM'!AE13</f>
        <v>10</v>
      </c>
      <c r="N13" s="104">
        <f>'VAL 2 TRIM'!AG13</f>
        <v>65</v>
      </c>
      <c r="O13" s="31">
        <f>'VAL 3 TRIM'!C13</f>
        <v>10</v>
      </c>
      <c r="P13" s="31">
        <f>'VAL 3 TRIM'!O13</f>
        <v>35</v>
      </c>
      <c r="Q13" s="31">
        <f>'VAL 3 TRIM'!AB13</f>
        <v>35</v>
      </c>
      <c r="R13" s="31">
        <f>'VAL 3 TRIM'!AA13</f>
        <v>10</v>
      </c>
      <c r="S13" s="49">
        <f>'VAL 3 TRIM'!AE13</f>
        <v>10</v>
      </c>
      <c r="T13" s="104">
        <f>'VAL 3 TRIM'!AG13</f>
        <v>100</v>
      </c>
      <c r="U13" s="105">
        <f t="shared" si="0"/>
        <v>71.666666666666671</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TRIM'!C14</f>
        <v>10</v>
      </c>
      <c r="J14" s="31">
        <f>'VAL 2 TRIM'!O14</f>
        <v>31</v>
      </c>
      <c r="K14" s="31">
        <f>'VAL 2 TRIM'!AB14</f>
        <v>35</v>
      </c>
      <c r="L14" s="31">
        <f>'VAL 2 TRIM'!AA14</f>
        <v>10</v>
      </c>
      <c r="M14" s="31">
        <f>'VAL 2 TRIM'!AE14</f>
        <v>10</v>
      </c>
      <c r="N14" s="104">
        <f>'VAL 2 TRIM'!AG14</f>
        <v>96</v>
      </c>
      <c r="O14" s="31">
        <f>'VAL 3 TRIM'!C14</f>
        <v>10</v>
      </c>
      <c r="P14" s="31">
        <f>'VAL 3 TRIM'!O14</f>
        <v>35</v>
      </c>
      <c r="Q14" s="31">
        <f>'VAL 3 TRIM'!AB14</f>
        <v>35</v>
      </c>
      <c r="R14" s="31">
        <f>'VAL 3 TRIM'!AA14</f>
        <v>10</v>
      </c>
      <c r="S14" s="49">
        <f>'VAL 3 TRIM'!AE14</f>
        <v>10</v>
      </c>
      <c r="T14" s="104">
        <f>'VAL 3 TRIM'!AG14</f>
        <v>100</v>
      </c>
      <c r="U14" s="105">
        <f t="shared" si="0"/>
        <v>95.333333333333329</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TRIM'!C15</f>
        <v>10</v>
      </c>
      <c r="J15" s="31">
        <f>'VAL 2 TRIM'!O15</f>
        <v>28</v>
      </c>
      <c r="K15" s="31">
        <f>'VAL 2 TRIM'!AB15</f>
        <v>35</v>
      </c>
      <c r="L15" s="31">
        <f>'VAL 2 TRIM'!AA15</f>
        <v>10</v>
      </c>
      <c r="M15" s="31">
        <f>'VAL 2 TRIM'!AE15</f>
        <v>10</v>
      </c>
      <c r="N15" s="104">
        <f>'VAL 2 TRIM'!AG15</f>
        <v>93</v>
      </c>
      <c r="O15" s="31">
        <f>'VAL 3 TRIM'!C15</f>
        <v>10</v>
      </c>
      <c r="P15" s="31">
        <f>'VAL 3 TRIM'!O15</f>
        <v>35</v>
      </c>
      <c r="Q15" s="31">
        <f>'VAL 3 TRIM'!AB15</f>
        <v>35</v>
      </c>
      <c r="R15" s="31">
        <f>'VAL 3 TRIM'!AA15</f>
        <v>10</v>
      </c>
      <c r="S15" s="49">
        <f>'VAL 3 TRIM'!AE15</f>
        <v>10</v>
      </c>
      <c r="T15" s="104">
        <f>'VAL 3 TRIM'!AG15</f>
        <v>100</v>
      </c>
      <c r="U15" s="105">
        <f t="shared" si="0"/>
        <v>81</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TRIM'!C16</f>
        <v>10</v>
      </c>
      <c r="J16" s="31">
        <f>'VAL 2 TRIM'!O16</f>
        <v>18</v>
      </c>
      <c r="K16" s="31">
        <f>'VAL 2 TRIM'!AB16</f>
        <v>35</v>
      </c>
      <c r="L16" s="31">
        <f>'VAL 2 TRIM'!AA16</f>
        <v>10</v>
      </c>
      <c r="M16" s="31">
        <f>'VAL 2 TRIM'!AE16</f>
        <v>10</v>
      </c>
      <c r="N16" s="104">
        <f>'VAL 2 TRIM'!AG16</f>
        <v>83</v>
      </c>
      <c r="O16" s="31">
        <f>'VAL 3 TRIM'!C16</f>
        <v>10</v>
      </c>
      <c r="P16" s="31">
        <f>'VAL 3 TRIM'!O16</f>
        <v>35</v>
      </c>
      <c r="Q16" s="31">
        <f>'VAL 3 TRIM'!AB16</f>
        <v>35</v>
      </c>
      <c r="R16" s="31">
        <f>'VAL 3 TRIM'!AA16</f>
        <v>10</v>
      </c>
      <c r="S16" s="49">
        <f>'VAL 3 TRIM'!AE16</f>
        <v>10</v>
      </c>
      <c r="T16" s="104">
        <f>'VAL 3 TRIM'!AG16</f>
        <v>100</v>
      </c>
      <c r="U16" s="105">
        <f t="shared" si="0"/>
        <v>89.666666666666671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TRIM'!C17</f>
        <v>10</v>
      </c>
      <c r="J17" s="31">
        <f>'VAL 2 TRIM'!O17</f>
        <v>24</v>
      </c>
      <c r="K17" s="31">
        <f>'VAL 2 TRIM'!AB17</f>
        <v>35</v>
      </c>
      <c r="L17" s="31">
        <f>'VAL 2 TRIM'!AA17</f>
        <v>10</v>
      </c>
      <c r="M17" s="31">
        <f>'VAL 2 TRIM'!AE17</f>
        <v>10</v>
      </c>
      <c r="N17" s="104">
        <f>'VAL 2 TRIM'!AG17</f>
        <v>89</v>
      </c>
      <c r="O17" s="31">
        <f>'VAL 3 TRIM'!C17</f>
        <v>10</v>
      </c>
      <c r="P17" s="31">
        <f>'VAL 3 TRIM'!O17</f>
        <v>35</v>
      </c>
      <c r="Q17" s="31">
        <f>'VAL 3 TRIM'!AB17</f>
        <v>35</v>
      </c>
      <c r="R17" s="31">
        <f>'VAL 3 TRIM'!AA17</f>
        <v>10</v>
      </c>
      <c r="S17" s="49">
        <f>'VAL 3 TRIM'!AE17</f>
        <v>10</v>
      </c>
      <c r="T17" s="104">
        <f>'VAL 3 TRIM'!AG17</f>
        <v>100</v>
      </c>
      <c r="U17" s="105">
        <f t="shared" si="0"/>
        <v>93</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TRIM'!C18</f>
        <v>10</v>
      </c>
      <c r="J18" s="31" t="str">
        <f>'VAL 2 TRIM'!O18</f>
        <v/>
      </c>
      <c r="K18" s="31">
        <f>'VAL 2 TRIM'!AB18</f>
        <v>35</v>
      </c>
      <c r="L18" s="31">
        <f>'VAL 2 TRIM'!AA18</f>
        <v>10</v>
      </c>
      <c r="M18" s="31">
        <f>'VAL 2 TRIM'!AE18</f>
        <v>10</v>
      </c>
      <c r="N18" s="104">
        <f>'VAL 2 TRIM'!AG18</f>
        <v>65</v>
      </c>
      <c r="O18" s="31">
        <f>'VAL 3 TRIM'!C18</f>
        <v>10</v>
      </c>
      <c r="P18" s="31">
        <f>'VAL 3 TRIM'!O18</f>
        <v>35</v>
      </c>
      <c r="Q18" s="31">
        <f>'VAL 3 TRIM'!AB18</f>
        <v>35</v>
      </c>
      <c r="R18" s="31">
        <f>'VAL 3 TRIM'!AA18</f>
        <v>10</v>
      </c>
      <c r="S18" s="49">
        <f>'VAL 3 TRIM'!AE18</f>
        <v>10</v>
      </c>
      <c r="T18" s="104">
        <f>'VAL 3 TRIM'!AG18</f>
        <v>100</v>
      </c>
      <c r="U18" s="105">
        <f t="shared" si="0"/>
        <v>83</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TRIM'!C19</f>
        <v>10</v>
      </c>
      <c r="J19" s="31">
        <f>'VAL 2 TRIM'!O19</f>
        <v>33</v>
      </c>
      <c r="K19" s="31">
        <f>'VAL 2 TRIM'!AB19</f>
        <v>35</v>
      </c>
      <c r="L19" s="31">
        <f>'VAL 2 TRIM'!AA19</f>
        <v>10</v>
      </c>
      <c r="M19" s="31">
        <f>'VAL 2 TRIM'!AE19</f>
        <v>10</v>
      </c>
      <c r="N19" s="104">
        <f>'VAL 2 TRIM'!AG19</f>
        <v>98</v>
      </c>
      <c r="O19" s="31">
        <f>'VAL 3 TRIM'!C19</f>
        <v>10</v>
      </c>
      <c r="P19" s="31">
        <f>'VAL 3 TRIM'!O19</f>
        <v>35</v>
      </c>
      <c r="Q19" s="31">
        <f>'VAL 3 TRIM'!AB19</f>
        <v>35</v>
      </c>
      <c r="R19" s="31">
        <f>'VAL 3 TRIM'!AA19</f>
        <v>10</v>
      </c>
      <c r="S19" s="49">
        <f>'VAL 3 TRIM'!AE19</f>
        <v>10</v>
      </c>
      <c r="T19" s="104">
        <f>'VAL 3 TRIM'!AG19</f>
        <v>100</v>
      </c>
      <c r="U19" s="105">
        <f t="shared" si="0"/>
        <v>96</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TRIM'!C20</f>
        <v>10</v>
      </c>
      <c r="J20" s="31" t="str">
        <f>'VAL 2 TRIM'!O20</f>
        <v/>
      </c>
      <c r="K20" s="31">
        <f>'VAL 2 TRIM'!AB20</f>
        <v>35</v>
      </c>
      <c r="L20" s="31">
        <f>'VAL 2 TRIM'!AA20</f>
        <v>10</v>
      </c>
      <c r="M20" s="31">
        <f>'VAL 2 TRIM'!AE20</f>
        <v>10</v>
      </c>
      <c r="N20" s="104">
        <f>'VAL 2 TRIM'!AG20</f>
        <v>65</v>
      </c>
      <c r="O20" s="31">
        <f>'VAL 3 TRIM'!C20</f>
        <v>10</v>
      </c>
      <c r="P20" s="31">
        <f>'VAL 3 TRIM'!O20</f>
        <v>35</v>
      </c>
      <c r="Q20" s="31">
        <f>'VAL 3 TRIM'!AB20</f>
        <v>35</v>
      </c>
      <c r="R20" s="31">
        <f>'VAL 3 TRIM'!AA20</f>
        <v>10</v>
      </c>
      <c r="S20" s="49">
        <f>'VAL 3 TRIM'!AE20</f>
        <v>10</v>
      </c>
      <c r="T20" s="104">
        <f>'VAL 3 TRIM'!AG20</f>
        <v>100</v>
      </c>
      <c r="U20" s="105">
        <f t="shared" si="0"/>
        <v>71.666666666666671</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TRIM'!C21</f>
        <v>10</v>
      </c>
      <c r="J21" s="31">
        <f>'VAL 2 TRIM'!O21</f>
        <v>22</v>
      </c>
      <c r="K21" s="31">
        <f>'VAL 2 TRIM'!AB21</f>
        <v>35</v>
      </c>
      <c r="L21" s="31">
        <f>'VAL 2 TRIM'!AA21</f>
        <v>10</v>
      </c>
      <c r="M21" s="31">
        <f>'VAL 2 TRIM'!AE21</f>
        <v>10</v>
      </c>
      <c r="N21" s="104">
        <f>'VAL 2 TRIM'!AG21</f>
        <v>87</v>
      </c>
      <c r="O21" s="31">
        <f>'VAL 3 TRIM'!C21</f>
        <v>10</v>
      </c>
      <c r="P21" s="31">
        <f>'VAL 3 TRIM'!O21</f>
        <v>35</v>
      </c>
      <c r="Q21" s="31">
        <f>'VAL 3 TRIM'!AB21</f>
        <v>35</v>
      </c>
      <c r="R21" s="31">
        <f>'VAL 3 TRIM'!AA21</f>
        <v>10</v>
      </c>
      <c r="S21" s="49">
        <f>'VAL 3 TRIM'!AE21</f>
        <v>10</v>
      </c>
      <c r="T21" s="104">
        <f>'VAL 3 TRIM'!AG21</f>
        <v>100</v>
      </c>
      <c r="U21" s="105">
        <f t="shared" si="0"/>
        <v>79</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TRIM'!C22</f>
        <v>10</v>
      </c>
      <c r="J22" s="31">
        <f>'VAL 2 TRIM'!O22</f>
        <v>21</v>
      </c>
      <c r="K22" s="31">
        <f>'VAL 2 TRIM'!AB22</f>
        <v>35</v>
      </c>
      <c r="L22" s="31">
        <f>'VAL 2 TRIM'!AA22</f>
        <v>10</v>
      </c>
      <c r="M22" s="31">
        <f>'VAL 2 TRIM'!AE22</f>
        <v>10</v>
      </c>
      <c r="N22" s="104">
        <f>'VAL 2 TRIM'!AG22</f>
        <v>86</v>
      </c>
      <c r="O22" s="31">
        <f>'VAL 3 TRIM'!C22</f>
        <v>10</v>
      </c>
      <c r="P22" s="31">
        <f>'VAL 3 TRIM'!O22</f>
        <v>35</v>
      </c>
      <c r="Q22" s="31">
        <f>'VAL 3 TRIM'!AB22</f>
        <v>35</v>
      </c>
      <c r="R22" s="31">
        <f>'VAL 3 TRIM'!AA22</f>
        <v>10</v>
      </c>
      <c r="S22" s="49">
        <f>'VAL 3 TRIM'!AE22</f>
        <v>10</v>
      </c>
      <c r="T22" s="104">
        <f>'VAL 3 TRIM'!AG22</f>
        <v>100</v>
      </c>
      <c r="U22" s="105">
        <f t="shared" si="0"/>
        <v>92</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f>'VAL 2 TRIM'!C23</f>
        <v>10</v>
      </c>
      <c r="J23" s="31">
        <f>'VAL 2 TRIM'!O23</f>
        <v>32</v>
      </c>
      <c r="K23" s="31">
        <f>'VAL 2 TRIM'!AB23</f>
        <v>35</v>
      </c>
      <c r="L23" s="31">
        <f>'VAL 2 TRIM'!AA23</f>
        <v>10</v>
      </c>
      <c r="M23" s="31">
        <f>'VAL 2 TRIM'!AE23</f>
        <v>10</v>
      </c>
      <c r="N23" s="104">
        <f>'VAL 2 TRIM'!AG23</f>
        <v>97</v>
      </c>
      <c r="O23" s="31">
        <f>'VAL 3 TRIM'!C23</f>
        <v>10</v>
      </c>
      <c r="P23" s="31">
        <f>'VAL 3 TRIM'!O23</f>
        <v>35</v>
      </c>
      <c r="Q23" s="31">
        <f>'VAL 3 TRIM'!AB23</f>
        <v>35</v>
      </c>
      <c r="R23" s="31">
        <f>'VAL 3 TRIM'!AA23</f>
        <v>10</v>
      </c>
      <c r="S23" s="49">
        <f>'VAL 3 TRIM'!AE23</f>
        <v>10</v>
      </c>
      <c r="T23" s="104">
        <f>'VAL 3 TRIM'!AG23</f>
        <v>100</v>
      </c>
      <c r="U23" s="105">
        <f t="shared" si="0"/>
        <v>95.666666666666671</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34375" defaultRowHeight="15" customHeight="1"/>
  <cols>
    <col min="1" max="1" width="1.6640625" customWidth="1"/>
    <col min="2" max="2" width="20.6640625" customWidth="1"/>
    <col min="3" max="6" width="3.6640625" customWidth="1"/>
    <col min="7" max="7" width="9" customWidth="1"/>
    <col min="8" max="8" width="1.234375" customWidth="1"/>
    <col min="9" max="11" width="3.6640625" customWidth="1"/>
    <col min="12" max="13" width="4.6640625" customWidth="1"/>
    <col min="14" max="26" width="8.7109375" customWidth="1"/>
  </cols>
  <sheetData>
    <row r="1" spans="1:13" ht="4.5" customHeight="1"/>
    <row r="2" spans="1:13" ht="12.75" customHeight="1">
      <c r="B2" s="175" t="s">
        <v>102</v>
      </c>
      <c r="C2" s="171"/>
      <c r="D2" s="171"/>
      <c r="E2" s="171"/>
      <c r="F2" s="171"/>
      <c r="G2" s="171"/>
      <c r="H2" s="171"/>
      <c r="I2" s="73"/>
      <c r="J2" s="73"/>
      <c r="K2" s="73"/>
      <c r="L2" s="73"/>
      <c r="M2" s="73"/>
    </row>
    <row r="3" spans="1:13" ht="12.75" customHeight="1">
      <c r="B3" s="39" t="s">
        <v>8</v>
      </c>
      <c r="C3" s="40" t="str">
        <f>CARÁTULA!$C$15</f>
        <v>Instituto Tecnico Humanistico Jauzel Arrieta</v>
      </c>
      <c r="D3" s="42"/>
      <c r="E3" s="43"/>
      <c r="F3" s="43"/>
      <c r="G3" s="43"/>
      <c r="H3" s="43"/>
      <c r="I3" s="43"/>
      <c r="J3" s="39" t="s">
        <v>20</v>
      </c>
      <c r="K3" s="109"/>
      <c r="L3" s="40">
        <f>CARÁTULA!$C$25</f>
        <v>0</v>
      </c>
      <c r="M3" s="109"/>
    </row>
    <row r="4" spans="1:13" ht="12.75" customHeight="1">
      <c r="B4" s="39" t="s">
        <v>15</v>
      </c>
      <c r="C4" s="40" t="str">
        <f>CARÁTULA!$C$21</f>
        <v>Secundaria</v>
      </c>
      <c r="D4" s="42"/>
      <c r="E4" s="41"/>
      <c r="F4" s="40"/>
      <c r="G4" s="41"/>
      <c r="H4" s="41"/>
      <c r="I4" s="41"/>
      <c r="J4" s="39" t="s">
        <v>51</v>
      </c>
      <c r="K4" s="109"/>
      <c r="L4" s="40" t="str">
        <f>CARÁTULA!$C$19</f>
        <v>NUEVO PROFESOR</v>
      </c>
      <c r="M4" s="109"/>
    </row>
    <row r="5" spans="1:13" ht="12.75" customHeight="1">
      <c r="B5" s="39" t="s">
        <v>23</v>
      </c>
      <c r="C5" s="40" t="str">
        <f>CARÁTULA!$C$23</f>
        <v>1ro de Secundaria</v>
      </c>
      <c r="D5" s="39"/>
      <c r="E5" s="45"/>
      <c r="F5" s="222"/>
      <c r="G5" s="201"/>
      <c r="H5" s="45"/>
      <c r="I5" s="45"/>
      <c r="J5" s="39" t="s">
        <v>24</v>
      </c>
      <c r="K5" s="109"/>
      <c r="L5" s="189">
        <f ca="1">TODAY()</f>
        <v>44413</v>
      </c>
      <c r="M5" s="171"/>
    </row>
    <row r="6" spans="1:13" ht="12.75" customHeight="1">
      <c r="B6" s="39"/>
      <c r="C6" s="223" t="s">
        <v>107</v>
      </c>
      <c r="D6" s="193"/>
      <c r="E6" s="194"/>
      <c r="F6" s="219" t="s">
        <v>103</v>
      </c>
      <c r="G6" s="215" t="s">
        <v>104</v>
      </c>
      <c r="H6" s="68"/>
      <c r="I6" s="68"/>
    </row>
    <row r="7" spans="1:13" ht="12" customHeight="1">
      <c r="B7" s="48"/>
      <c r="C7" s="220" t="s">
        <v>4</v>
      </c>
      <c r="D7" s="220" t="s">
        <v>108</v>
      </c>
      <c r="E7" s="221" t="s">
        <v>17</v>
      </c>
      <c r="F7" s="216"/>
      <c r="G7" s="216"/>
      <c r="H7" s="41"/>
      <c r="I7" s="41"/>
    </row>
    <row r="8" spans="1:13" ht="67.5" customHeight="1">
      <c r="A8" s="49" t="s">
        <v>54</v>
      </c>
      <c r="B8" s="50" t="s">
        <v>55</v>
      </c>
      <c r="C8" s="197"/>
      <c r="D8" s="197"/>
      <c r="E8" s="197"/>
      <c r="F8" s="197"/>
      <c r="G8" s="197"/>
      <c r="H8" s="103"/>
      <c r="I8" s="103" t="s">
        <v>109</v>
      </c>
      <c r="J8" s="103" t="s">
        <v>110</v>
      </c>
      <c r="K8" s="103" t="s">
        <v>111</v>
      </c>
    </row>
    <row r="9" spans="1:13" ht="12" customHeight="1">
      <c r="A9" s="59">
        <v>1</v>
      </c>
      <c r="B9" s="60" t="str">
        <f>'C. FILIACION'!B8</f>
        <v>ARANCIBIA ARRAYA LUIS ANDRES</v>
      </c>
      <c r="C9" s="104">
        <f>'VAL 1 TRIM '!AG9</f>
        <v>76</v>
      </c>
      <c r="D9" s="104">
        <f>'VAL 2 TRIM'!AG9</f>
        <v>92</v>
      </c>
      <c r="E9" s="104">
        <f>'VAL 3 TRIM'!AG9</f>
        <v>100</v>
      </c>
      <c r="F9" s="105">
        <f>'CENTRAL 1'!U9</f>
        <v>89.333333333333329</v>
      </c>
      <c r="G9" s="106" t="str">
        <f t="shared" ref="G9:G44" si="0">IF(F9="","",(IF(AND(F9&gt;=1,F9&lt;=50.499),"REPROBADO",IF(AND(F9&gt;=50.5,F9&lt;=100),"APROBADO"))))</f>
        <v>APROBADO</v>
      </c>
      <c r="H9" s="107"/>
      <c r="I9" s="31">
        <f t="shared" ref="I9:K9" si="1">COUNTIF(C9:C44,"&gt;=51")</f>
        <v>31</v>
      </c>
      <c r="J9" s="110">
        <f t="shared" si="1"/>
        <v>36</v>
      </c>
      <c r="K9" s="110">
        <f t="shared" si="1"/>
        <v>36</v>
      </c>
    </row>
    <row r="10" spans="1:13" ht="12" customHeight="1">
      <c r="A10" s="59">
        <v>2</v>
      </c>
      <c r="B10" s="60" t="str">
        <f>'C. FILIACION'!B9</f>
        <v>ARIVIRI ALEXIS JHONATAN</v>
      </c>
      <c r="C10" s="104">
        <f>'VAL 1 TRIM '!AG10</f>
        <v>50</v>
      </c>
      <c r="D10" s="104">
        <f>'VAL 2 TRIM'!AG10</f>
        <v>83</v>
      </c>
      <c r="E10" s="104">
        <f>'VAL 3 TRIM'!AG10</f>
        <v>100</v>
      </c>
      <c r="F10" s="105">
        <f>'CENTRAL 1'!U10</f>
        <v>77.666666666666671</v>
      </c>
      <c r="G10" s="106" t="str">
        <f t="shared" si="0"/>
        <v>APROBADO</v>
      </c>
      <c r="H10" s="107"/>
      <c r="I10" s="111" t="s">
        <v>112</v>
      </c>
      <c r="J10" s="112"/>
    </row>
    <row r="11" spans="1:13" ht="12" customHeight="1">
      <c r="A11" s="59">
        <v>3</v>
      </c>
      <c r="B11" s="60" t="str">
        <f>'C. FILIACION'!B10</f>
        <v>BASCOPE LOPEZ JHYMMY ANGHELO</v>
      </c>
      <c r="C11" s="104">
        <f>'VAL 1 TRIM '!AG11</f>
        <v>64</v>
      </c>
      <c r="D11" s="104">
        <f>'VAL 2 TRIM'!AG11</f>
        <v>86</v>
      </c>
      <c r="E11" s="104">
        <f>'VAL 3 TRIM'!AG11</f>
        <v>100</v>
      </c>
      <c r="F11" s="105">
        <f>'CENTRAL 1'!U11</f>
        <v>83.333333333333329</v>
      </c>
      <c r="G11" s="106" t="str">
        <f t="shared" si="0"/>
        <v>APROBADO</v>
      </c>
      <c r="H11" s="107"/>
      <c r="I11" s="107"/>
    </row>
    <row r="12" spans="1:13" ht="12" customHeight="1">
      <c r="A12" s="59">
        <v>4</v>
      </c>
      <c r="B12" s="60" t="str">
        <f>'C. FILIACION'!B11</f>
        <v>BLANCO SALVATIERRA DANIELA MARGARITA</v>
      </c>
      <c r="C12" s="104">
        <f>'VAL 1 TRIM '!AG12</f>
        <v>90</v>
      </c>
      <c r="D12" s="104">
        <f>'VAL 2 TRIM'!AG12</f>
        <v>94</v>
      </c>
      <c r="E12" s="104">
        <f>'VAL 3 TRIM'!AG12</f>
        <v>100</v>
      </c>
      <c r="F12" s="105">
        <f>'CENTRAL 1'!U12</f>
        <v>94.666666666666671</v>
      </c>
      <c r="G12" s="106" t="str">
        <f t="shared" si="0"/>
        <v>APROBADO</v>
      </c>
      <c r="H12" s="107"/>
      <c r="I12" s="107"/>
    </row>
    <row r="13" spans="1:13" ht="12" customHeight="1">
      <c r="A13" s="59">
        <v>5</v>
      </c>
      <c r="B13" s="60" t="str">
        <f>'C. FILIACION'!B12</f>
        <v>DAVILA LAPACA DIEGO LEONEL</v>
      </c>
      <c r="C13" s="104">
        <f>'VAL 1 TRIM '!AG13</f>
        <v>50</v>
      </c>
      <c r="D13" s="104">
        <f>'VAL 2 TRIM'!AG13</f>
        <v>65</v>
      </c>
      <c r="E13" s="104">
        <f>'VAL 3 TRIM'!AG13</f>
        <v>100</v>
      </c>
      <c r="F13" s="105">
        <f>'CENTRAL 1'!U13</f>
        <v>71.666666666666671</v>
      </c>
      <c r="G13" s="106" t="str">
        <f t="shared" si="0"/>
        <v>APROBADO</v>
      </c>
      <c r="H13" s="107"/>
      <c r="I13" s="110">
        <f t="shared" ref="I13:K13" si="2">COUNTIF(C9:C44,"&lt;=51")</f>
        <v>5</v>
      </c>
      <c r="J13" s="110">
        <f t="shared" si="2"/>
        <v>0</v>
      </c>
      <c r="K13" s="110">
        <f t="shared" si="2"/>
        <v>0</v>
      </c>
    </row>
    <row r="14" spans="1:13" ht="12" customHeight="1">
      <c r="A14" s="59">
        <v>6</v>
      </c>
      <c r="B14" s="60" t="str">
        <f>'C. FILIACION'!B13</f>
        <v>ESCOBAR LAZO JHOSELIN MARCELA</v>
      </c>
      <c r="C14" s="104">
        <f>'VAL 1 TRIM '!AG14</f>
        <v>90</v>
      </c>
      <c r="D14" s="104">
        <f>'VAL 2 TRIM'!AG14</f>
        <v>96</v>
      </c>
      <c r="E14" s="104">
        <f>'VAL 3 TRIM'!AG14</f>
        <v>100</v>
      </c>
      <c r="F14" s="105">
        <f>'CENTRAL 1'!U14</f>
        <v>95.333333333333329</v>
      </c>
      <c r="G14" s="106" t="str">
        <f t="shared" si="0"/>
        <v>APROBADO</v>
      </c>
      <c r="H14" s="107"/>
      <c r="I14" s="111" t="s">
        <v>113</v>
      </c>
    </row>
    <row r="15" spans="1:13" ht="12" customHeight="1">
      <c r="A15" s="59">
        <v>7</v>
      </c>
      <c r="B15" s="60" t="str">
        <f>'C. FILIACION'!B14</f>
        <v>GUTIERREZ PEREZ ARIEL FERNANDO</v>
      </c>
      <c r="C15" s="104">
        <f>'VAL 1 TRIM '!AG15</f>
        <v>50</v>
      </c>
      <c r="D15" s="104">
        <f>'VAL 2 TRIM'!AG15</f>
        <v>93</v>
      </c>
      <c r="E15" s="104">
        <f>'VAL 3 TRIM'!AG15</f>
        <v>100</v>
      </c>
      <c r="F15" s="105">
        <f>'CENTRAL 1'!U15</f>
        <v>81</v>
      </c>
      <c r="G15" s="106" t="str">
        <f t="shared" si="0"/>
        <v>APROBADO</v>
      </c>
      <c r="H15" s="107"/>
      <c r="I15" s="107"/>
    </row>
    <row r="16" spans="1:13" ht="12" customHeight="1">
      <c r="A16" s="59">
        <v>8</v>
      </c>
      <c r="B16" s="60" t="str">
        <f>'C. FILIACION'!B15</f>
        <v>LOPEZ PACO FABRICIO ANDRE</v>
      </c>
      <c r="C16" s="104">
        <f>'VAL 1 TRIM '!AG16</f>
        <v>86</v>
      </c>
      <c r="D16" s="104">
        <f>'VAL 2 TRIM'!AG16</f>
        <v>83</v>
      </c>
      <c r="E16" s="104">
        <f>'VAL 3 TRIM'!AG16</f>
        <v>100</v>
      </c>
      <c r="F16" s="105">
        <f>'CENTRAL 1'!U16</f>
        <v>89.666666666666671</v>
      </c>
      <c r="G16" s="106" t="str">
        <f t="shared" si="0"/>
        <v>APROBADO</v>
      </c>
      <c r="H16" s="107"/>
      <c r="I16" s="107"/>
    </row>
    <row r="17" spans="1:9" ht="12" customHeight="1">
      <c r="A17" s="59">
        <v>9</v>
      </c>
      <c r="B17" s="60" t="str">
        <f>'C. FILIACION'!B16</f>
        <v>NINA PANIAGUA DEYVID GABRIEL</v>
      </c>
      <c r="C17" s="104">
        <f>'VAL 1 TRIM '!AG17</f>
        <v>90</v>
      </c>
      <c r="D17" s="104">
        <f>'VAL 2 TRIM'!AG17</f>
        <v>89</v>
      </c>
      <c r="E17" s="104">
        <f>'VAL 3 TRIM'!AG17</f>
        <v>100</v>
      </c>
      <c r="F17" s="105">
        <f>'CENTRAL 1'!U17</f>
        <v>93</v>
      </c>
      <c r="G17" s="106" t="str">
        <f t="shared" si="0"/>
        <v>APROBADO</v>
      </c>
      <c r="H17" s="107"/>
      <c r="I17" s="107"/>
    </row>
    <row r="18" spans="1:9" ht="12" customHeight="1">
      <c r="A18" s="59">
        <v>10</v>
      </c>
      <c r="B18" s="60" t="str">
        <f>'C. FILIACION'!B17</f>
        <v>PASTOR CONDARCO STEVE DAVID</v>
      </c>
      <c r="C18" s="104">
        <f>'VAL 1 TRIM '!AG18</f>
        <v>84</v>
      </c>
      <c r="D18" s="104">
        <f>'VAL 2 TRIM'!AG18</f>
        <v>65</v>
      </c>
      <c r="E18" s="104">
        <f>'VAL 3 TRIM'!AG18</f>
        <v>100</v>
      </c>
      <c r="F18" s="105">
        <f>'CENTRAL 1'!U18</f>
        <v>83</v>
      </c>
      <c r="G18" s="106" t="str">
        <f t="shared" si="0"/>
        <v>APROBADO</v>
      </c>
      <c r="H18" s="107"/>
      <c r="I18" s="107"/>
    </row>
    <row r="19" spans="1:9" ht="12" customHeight="1">
      <c r="A19" s="59">
        <v>11</v>
      </c>
      <c r="B19" s="60" t="str">
        <f>'C. FILIACION'!B18</f>
        <v>ROJAS MAMANI JERUSALEN LOURDES</v>
      </c>
      <c r="C19" s="104">
        <f>'VAL 1 TRIM '!AG19</f>
        <v>90</v>
      </c>
      <c r="D19" s="104">
        <f>'VAL 2 TRIM'!AG19</f>
        <v>98</v>
      </c>
      <c r="E19" s="104">
        <f>'VAL 3 TRIM'!AG19</f>
        <v>100</v>
      </c>
      <c r="F19" s="105">
        <f>'CENTRAL 1'!U19</f>
        <v>96</v>
      </c>
      <c r="G19" s="106" t="str">
        <f t="shared" si="0"/>
        <v>APROBADO</v>
      </c>
      <c r="H19" s="107"/>
      <c r="I19" s="107"/>
    </row>
    <row r="20" spans="1:9" ht="12" customHeight="1">
      <c r="A20" s="59">
        <v>12</v>
      </c>
      <c r="B20" s="60" t="str">
        <f>'C. FILIACION'!B19</f>
        <v>SALAS ROJAS LUCIANA ANTONELLA</v>
      </c>
      <c r="C20" s="104">
        <f>'VAL 1 TRIM '!AG20</f>
        <v>50</v>
      </c>
      <c r="D20" s="104">
        <f>'VAL 2 TRIM'!AG20</f>
        <v>65</v>
      </c>
      <c r="E20" s="104">
        <f>'VAL 3 TRIM'!AG20</f>
        <v>100</v>
      </c>
      <c r="F20" s="105">
        <f>'CENTRAL 1'!U20</f>
        <v>71.666666666666671</v>
      </c>
      <c r="G20" s="106" t="str">
        <f t="shared" si="0"/>
        <v>APROBADO</v>
      </c>
      <c r="H20" s="107"/>
      <c r="I20" s="107"/>
    </row>
    <row r="21" spans="1:9" ht="12" customHeight="1">
      <c r="A21" s="59">
        <v>13</v>
      </c>
      <c r="B21" s="60" t="str">
        <f>'C. FILIACION'!B20</f>
        <v>SANTOS CRUZ ROYER JOEL</v>
      </c>
      <c r="C21" s="104">
        <f>'VAL 1 TRIM '!AG21</f>
        <v>50</v>
      </c>
      <c r="D21" s="104">
        <f>'VAL 2 TRIM'!AG21</f>
        <v>87</v>
      </c>
      <c r="E21" s="104">
        <f>'VAL 3 TRIM'!AG21</f>
        <v>100</v>
      </c>
      <c r="F21" s="105">
        <f>'CENTRAL 1'!U21</f>
        <v>79</v>
      </c>
      <c r="G21" s="106" t="str">
        <f t="shared" si="0"/>
        <v>APROBADO</v>
      </c>
      <c r="H21" s="107"/>
      <c r="I21" s="107"/>
    </row>
    <row r="22" spans="1:9" ht="12" customHeight="1">
      <c r="A22" s="59">
        <v>14</v>
      </c>
      <c r="B22" s="60" t="str">
        <f>'C. FILIACION'!B21</f>
        <v>TICONA LOAYZA ARIADNE VALERIA</v>
      </c>
      <c r="C22" s="104">
        <f>'VAL 1 TRIM '!AG22</f>
        <v>90</v>
      </c>
      <c r="D22" s="104">
        <f>'VAL 2 TRIM'!AG22</f>
        <v>86</v>
      </c>
      <c r="E22" s="104">
        <f>'VAL 3 TRIM'!AG22</f>
        <v>100</v>
      </c>
      <c r="F22" s="105">
        <f>'CENTRAL 1'!U22</f>
        <v>92</v>
      </c>
      <c r="G22" s="106" t="str">
        <f t="shared" si="0"/>
        <v>APROBADO</v>
      </c>
      <c r="H22" s="107"/>
      <c r="I22" s="107"/>
    </row>
    <row r="23" spans="1:9" ht="12" customHeight="1">
      <c r="A23" s="59">
        <v>15</v>
      </c>
      <c r="B23" s="60" t="str">
        <f>'C. FILIACION'!B22</f>
        <v>ZEBALLOS DEL CARPIO AMIRA MERCEDES</v>
      </c>
      <c r="C23" s="104">
        <f>'VAL 1 TRIM '!AG23</f>
        <v>90</v>
      </c>
      <c r="D23" s="104">
        <f>'VAL 2 TRIM'!AG23</f>
        <v>97</v>
      </c>
      <c r="E23" s="104">
        <f>'VAL 3 TRIM'!AG23</f>
        <v>100</v>
      </c>
      <c r="F23" s="105">
        <f>'CENTRAL 1'!U23</f>
        <v>95.666666666666671</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34375" defaultRowHeight="15" customHeight="1"/>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0.6">
      <c r="A2" s="113"/>
      <c r="B2" s="227" t="s">
        <v>114</v>
      </c>
      <c r="C2" s="171"/>
      <c r="D2" s="171"/>
      <c r="E2" s="171"/>
      <c r="F2" s="171"/>
      <c r="G2" s="171"/>
      <c r="H2" s="171"/>
      <c r="I2" s="171"/>
      <c r="J2" s="171"/>
      <c r="K2" s="113"/>
      <c r="L2" s="113"/>
      <c r="M2" s="113"/>
      <c r="N2" s="113"/>
      <c r="O2" s="113"/>
      <c r="P2" s="113"/>
      <c r="Q2" s="113"/>
      <c r="R2" s="113"/>
      <c r="S2" s="113"/>
      <c r="T2" s="113"/>
      <c r="U2" s="113"/>
      <c r="V2" s="113"/>
      <c r="W2" s="113"/>
      <c r="X2" s="113"/>
      <c r="Y2" s="113"/>
      <c r="Z2" s="113"/>
    </row>
    <row r="3" spans="1:26" ht="19.75">
      <c r="A3" s="113"/>
      <c r="B3" s="114" t="s">
        <v>8</v>
      </c>
      <c r="C3" s="113"/>
      <c r="D3" s="115" t="str">
        <f>CARÁTULA!$C$15</f>
        <v>Instituto Tecnico Humanistico Jauzel Arrieta</v>
      </c>
      <c r="E3" s="113"/>
      <c r="F3" s="113"/>
      <c r="G3" s="113"/>
      <c r="H3" s="114" t="s">
        <v>20</v>
      </c>
      <c r="I3" s="115">
        <f>CARÁTULA!$C$25</f>
        <v>0</v>
      </c>
      <c r="J3" s="113"/>
      <c r="K3" s="113"/>
      <c r="L3" s="113"/>
      <c r="M3" s="113"/>
      <c r="N3" s="113"/>
      <c r="O3" s="113"/>
      <c r="P3" s="113"/>
      <c r="Q3" s="113"/>
      <c r="R3" s="113"/>
      <c r="S3" s="113"/>
      <c r="T3" s="113"/>
      <c r="U3" s="113"/>
      <c r="V3" s="113"/>
      <c r="W3" s="113"/>
      <c r="X3" s="113"/>
      <c r="Y3" s="113"/>
      <c r="Z3" s="113"/>
    </row>
    <row r="4" spans="1:26" ht="19.75">
      <c r="A4" s="113"/>
      <c r="B4" s="114" t="s">
        <v>15</v>
      </c>
      <c r="C4" s="113"/>
      <c r="D4" s="115" t="str">
        <f>CARÁTULA!$C$21</f>
        <v>Secundaria</v>
      </c>
      <c r="E4" s="113"/>
      <c r="F4" s="113"/>
      <c r="G4" s="113"/>
      <c r="H4" s="116" t="s">
        <v>51</v>
      </c>
      <c r="I4" s="115" t="str">
        <f>CARÁTULA!$C$19</f>
        <v>NUEVO PROFESOR</v>
      </c>
      <c r="J4" s="113"/>
      <c r="K4" s="113"/>
      <c r="L4" s="113"/>
      <c r="M4" s="113"/>
      <c r="N4" s="113"/>
      <c r="O4" s="113"/>
      <c r="P4" s="113"/>
      <c r="Q4" s="113"/>
      <c r="R4" s="113"/>
      <c r="S4" s="113"/>
      <c r="T4" s="113"/>
      <c r="U4" s="113"/>
      <c r="V4" s="113"/>
      <c r="W4" s="113"/>
      <c r="X4" s="113"/>
      <c r="Y4" s="113"/>
      <c r="Z4" s="113"/>
    </row>
    <row r="5" spans="1:26" ht="19.75">
      <c r="A5" s="113"/>
      <c r="B5" s="114" t="s">
        <v>23</v>
      </c>
      <c r="C5" s="113"/>
      <c r="D5" s="115" t="str">
        <f>CARÁTULA!$C$23</f>
        <v>1ro de Secundaria</v>
      </c>
      <c r="E5" s="113"/>
      <c r="F5" s="113"/>
      <c r="G5" s="113"/>
      <c r="H5" s="114" t="s">
        <v>24</v>
      </c>
      <c r="I5" s="68">
        <f ca="1">TODAY()</f>
        <v>44413</v>
      </c>
      <c r="J5" s="113"/>
      <c r="K5" s="113"/>
      <c r="L5" s="113"/>
      <c r="M5" s="113"/>
      <c r="N5" s="113"/>
      <c r="O5" s="113"/>
      <c r="P5" s="113"/>
      <c r="Q5" s="113"/>
      <c r="R5" s="113"/>
      <c r="S5" s="113"/>
      <c r="T5" s="113"/>
      <c r="U5" s="113"/>
      <c r="V5" s="113"/>
      <c r="W5" s="113"/>
      <c r="X5" s="113"/>
      <c r="Y5" s="113"/>
      <c r="Z5" s="113"/>
    </row>
    <row r="6" spans="1:26" ht="19.75">
      <c r="A6" s="113"/>
      <c r="B6" s="113"/>
      <c r="C6" s="113"/>
      <c r="D6" s="113"/>
      <c r="E6" s="113"/>
      <c r="F6" s="113"/>
      <c r="G6" s="117"/>
      <c r="H6" s="117"/>
      <c r="I6" s="118" t="s">
        <v>115</v>
      </c>
      <c r="J6" s="113"/>
      <c r="K6" s="113"/>
      <c r="L6" s="113"/>
      <c r="M6" s="113"/>
      <c r="N6" s="113"/>
      <c r="O6" s="113"/>
      <c r="P6" s="113"/>
      <c r="Q6" s="113"/>
      <c r="R6" s="113"/>
      <c r="S6" s="113"/>
      <c r="T6" s="113"/>
      <c r="U6" s="113"/>
      <c r="V6" s="113"/>
      <c r="W6" s="113"/>
      <c r="X6" s="113"/>
      <c r="Y6" s="113"/>
      <c r="Z6" s="113"/>
    </row>
    <row r="7" spans="1:26" ht="19.75">
      <c r="A7" s="113"/>
      <c r="B7" s="118" t="s">
        <v>96</v>
      </c>
      <c r="C7" s="117" t="s">
        <v>116</v>
      </c>
      <c r="D7" s="118" t="s">
        <v>117</v>
      </c>
      <c r="E7" s="119" t="s">
        <v>118</v>
      </c>
      <c r="F7" s="113"/>
      <c r="G7" s="120" t="s">
        <v>119</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19.75">
      <c r="A8" s="113"/>
      <c r="B8" s="118" t="s">
        <v>97</v>
      </c>
      <c r="C8" s="117" t="s">
        <v>120</v>
      </c>
      <c r="D8" s="118" t="s">
        <v>121</v>
      </c>
      <c r="E8" s="119" t="s">
        <v>122</v>
      </c>
      <c r="F8" s="113"/>
      <c r="G8" s="120" t="s">
        <v>123</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19.75">
      <c r="A9" s="113"/>
      <c r="B9" s="118" t="s">
        <v>98</v>
      </c>
      <c r="C9" s="117" t="s">
        <v>124</v>
      </c>
      <c r="D9" s="118" t="s">
        <v>125</v>
      </c>
      <c r="E9" s="119" t="s">
        <v>122</v>
      </c>
      <c r="F9" s="113"/>
      <c r="G9" s="122" t="s">
        <v>126</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19.75">
      <c r="A10" s="113"/>
      <c r="B10" s="118" t="s">
        <v>99</v>
      </c>
      <c r="C10" s="117" t="s">
        <v>127</v>
      </c>
      <c r="D10" s="118" t="s">
        <v>128</v>
      </c>
      <c r="E10" s="119" t="s">
        <v>122</v>
      </c>
      <c r="F10" s="113"/>
      <c r="G10" s="122" t="s">
        <v>129</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19.75">
      <c r="A11" s="113"/>
      <c r="B11" s="113"/>
      <c r="C11" s="113"/>
      <c r="D11" s="113"/>
      <c r="E11" s="113"/>
      <c r="F11" s="113"/>
      <c r="G11" s="123" t="s">
        <v>130</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19.7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19.75">
      <c r="A13" s="113"/>
      <c r="B13" s="228" t="s">
        <v>131</v>
      </c>
      <c r="C13" s="171"/>
      <c r="D13" s="171"/>
      <c r="E13" s="171"/>
      <c r="F13" s="171"/>
      <c r="G13" s="171"/>
      <c r="H13" s="171"/>
      <c r="I13" s="171"/>
      <c r="J13" s="171"/>
      <c r="K13" s="113"/>
      <c r="L13" s="113"/>
      <c r="M13" s="113"/>
      <c r="N13" s="113"/>
      <c r="O13" s="113"/>
      <c r="P13" s="113"/>
      <c r="Q13" s="113"/>
      <c r="R13" s="113"/>
      <c r="S13" s="113"/>
      <c r="T13" s="113"/>
      <c r="U13" s="113"/>
      <c r="V13" s="113"/>
      <c r="W13" s="113"/>
      <c r="X13" s="113"/>
      <c r="Y13" s="113"/>
      <c r="Z13" s="113"/>
    </row>
    <row r="14" spans="1:26" ht="19.7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24" t="s">
        <v>132</v>
      </c>
      <c r="C15" s="178"/>
      <c r="D15" s="178"/>
      <c r="E15" s="178"/>
      <c r="F15" s="178"/>
      <c r="G15" s="178"/>
      <c r="H15" s="178"/>
      <c r="I15" s="178"/>
      <c r="J15" s="179"/>
      <c r="K15" s="113"/>
      <c r="L15" s="113"/>
      <c r="M15" s="113"/>
      <c r="N15" s="113"/>
      <c r="O15" s="113"/>
      <c r="P15" s="113"/>
      <c r="Q15" s="113"/>
      <c r="R15" s="113"/>
      <c r="S15" s="113"/>
      <c r="T15" s="113"/>
      <c r="U15" s="113"/>
      <c r="V15" s="113"/>
      <c r="W15" s="113"/>
      <c r="X15" s="113"/>
      <c r="Y15" s="113"/>
      <c r="Z15" s="113"/>
    </row>
    <row r="16" spans="1:26" ht="16.5" customHeight="1">
      <c r="A16" s="113"/>
      <c r="B16" s="225"/>
      <c r="C16" s="171"/>
      <c r="D16" s="171"/>
      <c r="E16" s="171"/>
      <c r="F16" s="171"/>
      <c r="G16" s="171"/>
      <c r="H16" s="171"/>
      <c r="I16" s="171"/>
      <c r="J16" s="226"/>
      <c r="K16" s="113"/>
      <c r="L16" s="113"/>
      <c r="M16" s="113"/>
      <c r="N16" s="113"/>
      <c r="O16" s="113"/>
      <c r="P16" s="113"/>
      <c r="Q16" s="113"/>
      <c r="R16" s="113"/>
      <c r="S16" s="113"/>
      <c r="T16" s="113"/>
      <c r="U16" s="113"/>
      <c r="V16" s="113"/>
      <c r="W16" s="113"/>
      <c r="X16" s="113"/>
      <c r="Y16" s="113"/>
      <c r="Z16" s="113"/>
    </row>
    <row r="17" spans="1:26" ht="16.5" customHeight="1">
      <c r="A17" s="113"/>
      <c r="B17" s="200"/>
      <c r="C17" s="201"/>
      <c r="D17" s="201"/>
      <c r="E17" s="201"/>
      <c r="F17" s="201"/>
      <c r="G17" s="201"/>
      <c r="H17" s="201"/>
      <c r="I17" s="201"/>
      <c r="J17" s="202"/>
      <c r="K17" s="113"/>
      <c r="L17" s="113"/>
      <c r="M17" s="113"/>
      <c r="N17" s="113"/>
      <c r="O17" s="113"/>
      <c r="P17" s="113"/>
      <c r="Q17" s="113"/>
      <c r="R17" s="113"/>
      <c r="S17" s="113"/>
      <c r="T17" s="113"/>
      <c r="U17" s="113"/>
      <c r="V17" s="113"/>
      <c r="W17" s="113"/>
      <c r="X17" s="113"/>
      <c r="Y17" s="113"/>
      <c r="Z17" s="113"/>
    </row>
    <row r="18" spans="1:26" ht="16.5" customHeight="1">
      <c r="A18" s="113"/>
      <c r="B18" s="224" t="s">
        <v>133</v>
      </c>
      <c r="C18" s="178"/>
      <c r="D18" s="178"/>
      <c r="E18" s="178"/>
      <c r="F18" s="178"/>
      <c r="G18" s="178"/>
      <c r="H18" s="178"/>
      <c r="I18" s="178"/>
      <c r="J18" s="179"/>
      <c r="K18" s="113"/>
      <c r="L18" s="113"/>
      <c r="M18" s="113"/>
      <c r="N18" s="113"/>
      <c r="O18" s="113"/>
      <c r="P18" s="113"/>
      <c r="Q18" s="113"/>
      <c r="R18" s="113"/>
      <c r="S18" s="113"/>
      <c r="T18" s="113"/>
      <c r="U18" s="113"/>
      <c r="V18" s="113"/>
      <c r="W18" s="113"/>
      <c r="X18" s="113"/>
      <c r="Y18" s="113"/>
      <c r="Z18" s="113"/>
    </row>
    <row r="19" spans="1:26" ht="16.5" customHeight="1">
      <c r="A19" s="113"/>
      <c r="B19" s="225"/>
      <c r="C19" s="171"/>
      <c r="D19" s="171"/>
      <c r="E19" s="171"/>
      <c r="F19" s="171"/>
      <c r="G19" s="171"/>
      <c r="H19" s="171"/>
      <c r="I19" s="171"/>
      <c r="J19" s="226"/>
      <c r="K19" s="113"/>
      <c r="L19" s="113"/>
      <c r="M19" s="113"/>
      <c r="N19" s="113"/>
      <c r="O19" s="113"/>
      <c r="P19" s="113"/>
      <c r="Q19" s="113"/>
      <c r="R19" s="113"/>
      <c r="S19" s="113"/>
      <c r="T19" s="113"/>
      <c r="U19" s="113"/>
      <c r="V19" s="113"/>
      <c r="W19" s="113"/>
      <c r="X19" s="113"/>
      <c r="Y19" s="113"/>
      <c r="Z19" s="113"/>
    </row>
    <row r="20" spans="1:26" ht="16.5" customHeight="1">
      <c r="A20" s="113"/>
      <c r="B20" s="200"/>
      <c r="C20" s="201"/>
      <c r="D20" s="201"/>
      <c r="E20" s="201"/>
      <c r="F20" s="201"/>
      <c r="G20" s="201"/>
      <c r="H20" s="201"/>
      <c r="I20" s="201"/>
      <c r="J20" s="202"/>
      <c r="K20" s="113"/>
      <c r="L20" s="113"/>
      <c r="M20" s="113"/>
      <c r="N20" s="113"/>
      <c r="O20" s="113"/>
      <c r="P20" s="113"/>
      <c r="Q20" s="113"/>
      <c r="R20" s="113"/>
      <c r="S20" s="113"/>
      <c r="T20" s="113"/>
      <c r="U20" s="113"/>
      <c r="V20" s="113"/>
      <c r="W20" s="113"/>
      <c r="X20" s="113"/>
      <c r="Y20" s="113"/>
      <c r="Z20" s="113"/>
    </row>
    <row r="21" spans="1:26" ht="16.5" customHeight="1">
      <c r="A21" s="113"/>
      <c r="B21" s="224" t="s">
        <v>134</v>
      </c>
      <c r="C21" s="178"/>
      <c r="D21" s="178"/>
      <c r="E21" s="178"/>
      <c r="F21" s="178"/>
      <c r="G21" s="178"/>
      <c r="H21" s="178"/>
      <c r="I21" s="178"/>
      <c r="J21" s="179"/>
      <c r="K21" s="113"/>
      <c r="L21" s="113"/>
      <c r="M21" s="113"/>
      <c r="N21" s="113"/>
      <c r="O21" s="113"/>
      <c r="P21" s="113"/>
      <c r="Q21" s="113"/>
      <c r="R21" s="113"/>
      <c r="S21" s="113"/>
      <c r="T21" s="113"/>
      <c r="U21" s="113"/>
      <c r="V21" s="113"/>
      <c r="W21" s="113"/>
      <c r="X21" s="113"/>
      <c r="Y21" s="113"/>
      <c r="Z21" s="113"/>
    </row>
    <row r="22" spans="1:26" ht="16.5" customHeight="1">
      <c r="A22" s="113"/>
      <c r="B22" s="225"/>
      <c r="C22" s="171"/>
      <c r="D22" s="171"/>
      <c r="E22" s="171"/>
      <c r="F22" s="171"/>
      <c r="G22" s="171"/>
      <c r="H22" s="171"/>
      <c r="I22" s="171"/>
      <c r="J22" s="226"/>
      <c r="K22" s="113"/>
      <c r="L22" s="113"/>
      <c r="M22" s="113"/>
      <c r="N22" s="113"/>
      <c r="O22" s="113"/>
      <c r="P22" s="113"/>
      <c r="Q22" s="113"/>
      <c r="R22" s="113"/>
      <c r="S22" s="113"/>
      <c r="T22" s="113"/>
      <c r="U22" s="113"/>
      <c r="V22" s="113"/>
      <c r="W22" s="113"/>
      <c r="X22" s="113"/>
      <c r="Y22" s="113"/>
      <c r="Z22" s="113"/>
    </row>
    <row r="23" spans="1:26" ht="16.5" customHeight="1">
      <c r="A23" s="113"/>
      <c r="B23" s="200"/>
      <c r="C23" s="201"/>
      <c r="D23" s="201"/>
      <c r="E23" s="201"/>
      <c r="F23" s="201"/>
      <c r="G23" s="201"/>
      <c r="H23" s="201"/>
      <c r="I23" s="201"/>
      <c r="J23" s="202"/>
      <c r="K23" s="113"/>
      <c r="L23" s="113"/>
      <c r="M23" s="113"/>
      <c r="N23" s="113"/>
      <c r="O23" s="113"/>
      <c r="P23" s="113"/>
      <c r="Q23" s="113"/>
      <c r="R23" s="113"/>
      <c r="S23" s="113"/>
      <c r="T23" s="113"/>
      <c r="U23" s="113"/>
      <c r="V23" s="113"/>
      <c r="W23" s="113"/>
      <c r="X23" s="113"/>
      <c r="Y23" s="113"/>
      <c r="Z23" s="113"/>
    </row>
    <row r="24" spans="1:26" ht="16.5" customHeight="1">
      <c r="A24" s="113"/>
      <c r="B24" s="224" t="s">
        <v>135</v>
      </c>
      <c r="C24" s="178"/>
      <c r="D24" s="178"/>
      <c r="E24" s="178"/>
      <c r="F24" s="178"/>
      <c r="G24" s="178"/>
      <c r="H24" s="178"/>
      <c r="I24" s="178"/>
      <c r="J24" s="179"/>
      <c r="K24" s="113"/>
      <c r="L24" s="113"/>
      <c r="M24" s="113"/>
      <c r="N24" s="113"/>
      <c r="O24" s="113"/>
      <c r="P24" s="113"/>
      <c r="Q24" s="113"/>
      <c r="R24" s="113"/>
      <c r="S24" s="113"/>
      <c r="T24" s="113"/>
      <c r="U24" s="113"/>
      <c r="V24" s="113"/>
      <c r="W24" s="113"/>
      <c r="X24" s="113"/>
      <c r="Y24" s="113"/>
      <c r="Z24" s="113"/>
    </row>
    <row r="25" spans="1:26" ht="16.5" customHeight="1">
      <c r="A25" s="113"/>
      <c r="B25" s="225"/>
      <c r="C25" s="171"/>
      <c r="D25" s="171"/>
      <c r="E25" s="171"/>
      <c r="F25" s="171"/>
      <c r="G25" s="171"/>
      <c r="H25" s="171"/>
      <c r="I25" s="171"/>
      <c r="J25" s="226"/>
      <c r="K25" s="113"/>
      <c r="L25" s="113"/>
      <c r="M25" s="113"/>
      <c r="N25" s="113"/>
      <c r="O25" s="113"/>
      <c r="P25" s="113"/>
      <c r="Q25" s="113"/>
      <c r="R25" s="113"/>
      <c r="S25" s="113"/>
      <c r="T25" s="113"/>
      <c r="U25" s="113"/>
      <c r="V25" s="113"/>
      <c r="W25" s="113"/>
      <c r="X25" s="113"/>
      <c r="Y25" s="113"/>
      <c r="Z25" s="113"/>
    </row>
    <row r="26" spans="1:26" ht="16.5" customHeight="1">
      <c r="A26" s="113"/>
      <c r="B26" s="200"/>
      <c r="C26" s="201"/>
      <c r="D26" s="201"/>
      <c r="E26" s="201"/>
      <c r="F26" s="201"/>
      <c r="G26" s="201"/>
      <c r="H26" s="201"/>
      <c r="I26" s="201"/>
      <c r="J26" s="202"/>
      <c r="K26" s="113"/>
      <c r="L26" s="113"/>
      <c r="M26" s="113"/>
      <c r="N26" s="113"/>
      <c r="O26" s="113"/>
      <c r="P26" s="113"/>
      <c r="Q26" s="113"/>
      <c r="R26" s="113"/>
      <c r="S26" s="113"/>
      <c r="T26" s="113"/>
      <c r="U26" s="113"/>
      <c r="V26" s="113"/>
      <c r="W26" s="113"/>
      <c r="X26" s="113"/>
      <c r="Y26" s="113"/>
      <c r="Z26" s="113"/>
    </row>
    <row r="27" spans="1:26" ht="16.5" customHeight="1">
      <c r="A27" s="113"/>
      <c r="B27" s="224" t="s">
        <v>136</v>
      </c>
      <c r="C27" s="178"/>
      <c r="D27" s="178"/>
      <c r="E27" s="178"/>
      <c r="F27" s="178"/>
      <c r="G27" s="178"/>
      <c r="H27" s="178"/>
      <c r="I27" s="178"/>
      <c r="J27" s="179"/>
      <c r="K27" s="113"/>
      <c r="L27" s="113"/>
      <c r="M27" s="113"/>
      <c r="N27" s="113"/>
      <c r="O27" s="113"/>
      <c r="P27" s="113"/>
      <c r="Q27" s="113"/>
      <c r="R27" s="113"/>
      <c r="S27" s="113"/>
      <c r="T27" s="113"/>
      <c r="U27" s="113"/>
      <c r="V27" s="113"/>
      <c r="W27" s="113"/>
      <c r="X27" s="113"/>
      <c r="Y27" s="113"/>
      <c r="Z27" s="113"/>
    </row>
    <row r="28" spans="1:26" ht="16.5" customHeight="1">
      <c r="A28" s="113"/>
      <c r="B28" s="225"/>
      <c r="C28" s="171"/>
      <c r="D28" s="171"/>
      <c r="E28" s="171"/>
      <c r="F28" s="171"/>
      <c r="G28" s="171"/>
      <c r="H28" s="171"/>
      <c r="I28" s="171"/>
      <c r="J28" s="226"/>
      <c r="K28" s="113"/>
      <c r="L28" s="113"/>
      <c r="M28" s="113"/>
      <c r="N28" s="113"/>
      <c r="O28" s="113"/>
      <c r="P28" s="113"/>
      <c r="Q28" s="113"/>
      <c r="R28" s="113"/>
      <c r="S28" s="113"/>
      <c r="T28" s="113"/>
      <c r="U28" s="113"/>
      <c r="V28" s="113"/>
      <c r="W28" s="113"/>
      <c r="X28" s="113"/>
      <c r="Y28" s="113"/>
      <c r="Z28" s="113"/>
    </row>
    <row r="29" spans="1:26" ht="16.5" customHeight="1">
      <c r="A29" s="113"/>
      <c r="B29" s="200"/>
      <c r="C29" s="201"/>
      <c r="D29" s="201"/>
      <c r="E29" s="201"/>
      <c r="F29" s="201"/>
      <c r="G29" s="201"/>
      <c r="H29" s="201"/>
      <c r="I29" s="201"/>
      <c r="J29" s="202"/>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NUEVO PROFESOR</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137</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34375" defaultRowHeight="15" customHeight="1"/>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0.6">
      <c r="A2" s="113"/>
      <c r="B2" s="227" t="s">
        <v>138</v>
      </c>
      <c r="C2" s="171"/>
      <c r="D2" s="171"/>
      <c r="E2" s="171"/>
      <c r="F2" s="171"/>
      <c r="G2" s="171"/>
      <c r="H2" s="171"/>
      <c r="I2" s="171"/>
      <c r="J2" s="171"/>
      <c r="K2" s="113"/>
      <c r="L2" s="113"/>
      <c r="M2" s="113"/>
      <c r="N2" s="113"/>
      <c r="O2" s="113"/>
      <c r="P2" s="113"/>
      <c r="Q2" s="113"/>
      <c r="R2" s="113"/>
      <c r="S2" s="113"/>
      <c r="T2" s="113"/>
      <c r="U2" s="113"/>
      <c r="V2" s="113"/>
      <c r="W2" s="113"/>
      <c r="X2" s="113"/>
      <c r="Y2" s="113"/>
      <c r="Z2" s="113"/>
    </row>
    <row r="3" spans="1:26" ht="19.75">
      <c r="A3" s="113"/>
      <c r="B3" s="114" t="s">
        <v>8</v>
      </c>
      <c r="C3" s="113"/>
      <c r="D3" s="115" t="str">
        <f>CARÁTULA!$C$15</f>
        <v>Instituto Tecnico Humanistico Jauzel Arrieta</v>
      </c>
      <c r="E3" s="113"/>
      <c r="F3" s="113"/>
      <c r="G3" s="113"/>
      <c r="H3" s="114" t="s">
        <v>20</v>
      </c>
      <c r="I3" s="115">
        <f>CARÁTULA!$C$25</f>
        <v>0</v>
      </c>
      <c r="J3" s="113"/>
      <c r="K3" s="113"/>
      <c r="L3" s="113"/>
      <c r="M3" s="113"/>
      <c r="N3" s="113"/>
      <c r="O3" s="113"/>
      <c r="P3" s="113"/>
      <c r="Q3" s="113"/>
      <c r="R3" s="113"/>
      <c r="S3" s="113"/>
      <c r="T3" s="113"/>
      <c r="U3" s="113"/>
      <c r="V3" s="113"/>
      <c r="W3" s="113"/>
      <c r="X3" s="113"/>
      <c r="Y3" s="113"/>
      <c r="Z3" s="113"/>
    </row>
    <row r="4" spans="1:26" ht="19.75">
      <c r="A4" s="113"/>
      <c r="B4" s="114" t="s">
        <v>15</v>
      </c>
      <c r="C4" s="113"/>
      <c r="D4" s="115" t="str">
        <f>CARÁTULA!$C$21</f>
        <v>Secundaria</v>
      </c>
      <c r="E4" s="113"/>
      <c r="F4" s="113"/>
      <c r="G4" s="113"/>
      <c r="H4" s="116" t="s">
        <v>51</v>
      </c>
      <c r="I4" s="115" t="str">
        <f>CARÁTULA!$C$19</f>
        <v>NUEVO PROFESOR</v>
      </c>
      <c r="J4" s="113"/>
      <c r="K4" s="113"/>
      <c r="L4" s="113"/>
      <c r="M4" s="113"/>
      <c r="N4" s="113"/>
      <c r="O4" s="113"/>
      <c r="P4" s="113"/>
      <c r="Q4" s="113"/>
      <c r="R4" s="113"/>
      <c r="S4" s="113"/>
      <c r="T4" s="113"/>
      <c r="U4" s="113"/>
      <c r="V4" s="113"/>
      <c r="W4" s="113"/>
      <c r="X4" s="113"/>
      <c r="Y4" s="113"/>
      <c r="Z4" s="113"/>
    </row>
    <row r="5" spans="1:26" ht="19.75">
      <c r="A5" s="113"/>
      <c r="B5" s="114" t="s">
        <v>23</v>
      </c>
      <c r="C5" s="113"/>
      <c r="D5" s="115" t="str">
        <f>CARÁTULA!$C$23</f>
        <v>1ro de Secundaria</v>
      </c>
      <c r="E5" s="113"/>
      <c r="F5" s="113"/>
      <c r="G5" s="113"/>
      <c r="H5" s="114" t="s">
        <v>24</v>
      </c>
      <c r="I5" s="68">
        <f ca="1">TODAY()</f>
        <v>44413</v>
      </c>
      <c r="J5" s="113"/>
      <c r="K5" s="113"/>
      <c r="L5" s="113"/>
      <c r="M5" s="113"/>
      <c r="N5" s="113"/>
      <c r="O5" s="113"/>
      <c r="P5" s="113"/>
      <c r="Q5" s="113"/>
      <c r="R5" s="113"/>
      <c r="S5" s="113"/>
      <c r="T5" s="113"/>
      <c r="U5" s="113"/>
      <c r="V5" s="113"/>
      <c r="W5" s="113"/>
      <c r="X5" s="113"/>
      <c r="Y5" s="113"/>
      <c r="Z5" s="113"/>
    </row>
    <row r="6" spans="1:26" ht="19.75">
      <c r="A6" s="113"/>
      <c r="B6" s="113"/>
      <c r="C6" s="113"/>
      <c r="D6" s="113"/>
      <c r="E6" s="113"/>
      <c r="F6" s="113"/>
      <c r="G6" s="117"/>
      <c r="H6" s="117"/>
      <c r="I6" s="118" t="s">
        <v>115</v>
      </c>
      <c r="J6" s="113"/>
      <c r="K6" s="113"/>
      <c r="L6" s="113"/>
      <c r="M6" s="113"/>
      <c r="N6" s="113"/>
      <c r="O6" s="113"/>
      <c r="P6" s="113"/>
      <c r="Q6" s="113"/>
      <c r="R6" s="113"/>
      <c r="S6" s="113"/>
      <c r="T6" s="113"/>
      <c r="U6" s="113"/>
      <c r="V6" s="113"/>
      <c r="W6" s="113"/>
      <c r="X6" s="113"/>
      <c r="Y6" s="113"/>
      <c r="Z6" s="113"/>
    </row>
    <row r="7" spans="1:26" ht="19.75">
      <c r="A7" s="113"/>
      <c r="B7" s="118" t="s">
        <v>96</v>
      </c>
      <c r="C7" s="117" t="s">
        <v>116</v>
      </c>
      <c r="D7" s="118" t="s">
        <v>117</v>
      </c>
      <c r="E7" s="119" t="s">
        <v>118</v>
      </c>
      <c r="F7" s="113"/>
      <c r="G7" s="120" t="s">
        <v>119</v>
      </c>
      <c r="H7" s="118">
        <f>'VAL 2 TRIM'!$AO$9</f>
        <v>0</v>
      </c>
      <c r="I7" s="121">
        <f>H7/H11</f>
        <v>0</v>
      </c>
      <c r="J7" s="113"/>
      <c r="K7" s="113"/>
      <c r="L7" s="113"/>
      <c r="M7" s="113"/>
      <c r="N7" s="113"/>
      <c r="O7" s="113"/>
      <c r="P7" s="113"/>
      <c r="Q7" s="113"/>
      <c r="R7" s="113"/>
      <c r="S7" s="113"/>
      <c r="T7" s="113"/>
      <c r="U7" s="113"/>
      <c r="V7" s="113"/>
      <c r="W7" s="113"/>
      <c r="X7" s="113"/>
      <c r="Y7" s="113"/>
      <c r="Z7" s="113"/>
    </row>
    <row r="8" spans="1:26" ht="19.75">
      <c r="A8" s="113"/>
      <c r="B8" s="118" t="s">
        <v>97</v>
      </c>
      <c r="C8" s="117" t="s">
        <v>120</v>
      </c>
      <c r="D8" s="118" t="s">
        <v>121</v>
      </c>
      <c r="E8" s="119" t="s">
        <v>122</v>
      </c>
      <c r="F8" s="113"/>
      <c r="G8" s="120" t="s">
        <v>123</v>
      </c>
      <c r="H8" s="118">
        <f>'VAL 2 TRIM'!$AO$10</f>
        <v>3</v>
      </c>
      <c r="I8" s="121">
        <f>H8/H11</f>
        <v>8.3333333333333329E-2</v>
      </c>
      <c r="J8" s="113"/>
      <c r="K8" s="113"/>
      <c r="L8" s="113"/>
      <c r="M8" s="113"/>
      <c r="N8" s="113"/>
      <c r="O8" s="113"/>
      <c r="P8" s="113"/>
      <c r="Q8" s="113"/>
      <c r="R8" s="113"/>
      <c r="S8" s="113"/>
      <c r="T8" s="113"/>
      <c r="U8" s="113"/>
      <c r="V8" s="113"/>
      <c r="W8" s="113"/>
      <c r="X8" s="113"/>
      <c r="Y8" s="113"/>
      <c r="Z8" s="113"/>
    </row>
    <row r="9" spans="1:26" ht="19.75">
      <c r="A9" s="113"/>
      <c r="B9" s="118" t="s">
        <v>98</v>
      </c>
      <c r="C9" s="117" t="s">
        <v>124</v>
      </c>
      <c r="D9" s="118" t="s">
        <v>125</v>
      </c>
      <c r="E9" s="119" t="s">
        <v>122</v>
      </c>
      <c r="F9" s="113"/>
      <c r="G9" s="122" t="s">
        <v>126</v>
      </c>
      <c r="H9" s="118">
        <f>'VAL 2 TRIM'!$AO$11</f>
        <v>2</v>
      </c>
      <c r="I9" s="121">
        <f>H9/H11</f>
        <v>5.5555555555555552E-2</v>
      </c>
      <c r="J9" s="113"/>
      <c r="K9" s="113"/>
      <c r="L9" s="113"/>
      <c r="M9" s="113"/>
      <c r="N9" s="113"/>
      <c r="O9" s="113"/>
      <c r="P9" s="113"/>
      <c r="Q9" s="113"/>
      <c r="R9" s="113"/>
      <c r="S9" s="113"/>
      <c r="T9" s="113"/>
      <c r="U9" s="113"/>
      <c r="V9" s="113"/>
      <c r="W9" s="113"/>
      <c r="X9" s="113"/>
      <c r="Y9" s="113"/>
      <c r="Z9" s="113"/>
    </row>
    <row r="10" spans="1:26" ht="19.75">
      <c r="A10" s="113"/>
      <c r="B10" s="118" t="s">
        <v>99</v>
      </c>
      <c r="C10" s="117" t="s">
        <v>127</v>
      </c>
      <c r="D10" s="118" t="s">
        <v>128</v>
      </c>
      <c r="E10" s="119" t="s">
        <v>122</v>
      </c>
      <c r="F10" s="113"/>
      <c r="G10" s="122" t="s">
        <v>129</v>
      </c>
      <c r="H10" s="118">
        <f>'VAL 2 TRIM'!$AO$12</f>
        <v>31</v>
      </c>
      <c r="I10" s="121">
        <f>H10/H11</f>
        <v>0.86111111111111116</v>
      </c>
      <c r="J10" s="113"/>
      <c r="K10" s="113"/>
      <c r="L10" s="113"/>
      <c r="M10" s="113"/>
      <c r="N10" s="113"/>
      <c r="O10" s="113"/>
      <c r="P10" s="113"/>
      <c r="Q10" s="113"/>
      <c r="R10" s="113"/>
      <c r="S10" s="113"/>
      <c r="T10" s="113"/>
      <c r="U10" s="113"/>
      <c r="V10" s="113"/>
      <c r="W10" s="113"/>
      <c r="X10" s="113"/>
      <c r="Y10" s="113"/>
      <c r="Z10" s="113"/>
    </row>
    <row r="11" spans="1:26" ht="19.75">
      <c r="A11" s="113"/>
      <c r="B11" s="113"/>
      <c r="C11" s="113"/>
      <c r="D11" s="113"/>
      <c r="E11" s="113"/>
      <c r="F11" s="113"/>
      <c r="G11" s="123" t="s">
        <v>130</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19.7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19.75">
      <c r="A13" s="113"/>
      <c r="B13" s="228" t="s">
        <v>131</v>
      </c>
      <c r="C13" s="171"/>
      <c r="D13" s="171"/>
      <c r="E13" s="171"/>
      <c r="F13" s="171"/>
      <c r="G13" s="171"/>
      <c r="H13" s="171"/>
      <c r="I13" s="171"/>
      <c r="J13" s="171"/>
      <c r="K13" s="113"/>
      <c r="L13" s="113"/>
      <c r="M13" s="113"/>
      <c r="N13" s="113"/>
      <c r="O13" s="113"/>
      <c r="P13" s="113"/>
      <c r="Q13" s="113"/>
      <c r="R13" s="113"/>
      <c r="S13" s="113"/>
      <c r="T13" s="113"/>
      <c r="U13" s="113"/>
      <c r="V13" s="113"/>
      <c r="W13" s="113"/>
      <c r="X13" s="113"/>
      <c r="Y13" s="113"/>
      <c r="Z13" s="113"/>
    </row>
    <row r="14" spans="1:26" ht="19.7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24" t="s">
        <v>132</v>
      </c>
      <c r="C15" s="178"/>
      <c r="D15" s="178"/>
      <c r="E15" s="178"/>
      <c r="F15" s="178"/>
      <c r="G15" s="178"/>
      <c r="H15" s="178"/>
      <c r="I15" s="178"/>
      <c r="J15" s="179"/>
      <c r="K15" s="113"/>
      <c r="L15" s="113"/>
      <c r="M15" s="113"/>
      <c r="N15" s="113"/>
      <c r="O15" s="113"/>
      <c r="P15" s="113"/>
      <c r="Q15" s="113"/>
      <c r="R15" s="113"/>
      <c r="S15" s="113"/>
      <c r="T15" s="113"/>
      <c r="U15" s="113"/>
      <c r="V15" s="113"/>
      <c r="W15" s="113"/>
      <c r="X15" s="113"/>
      <c r="Y15" s="113"/>
      <c r="Z15" s="113"/>
    </row>
    <row r="16" spans="1:26" ht="16.5" customHeight="1">
      <c r="A16" s="113"/>
      <c r="B16" s="225"/>
      <c r="C16" s="171"/>
      <c r="D16" s="171"/>
      <c r="E16" s="171"/>
      <c r="F16" s="171"/>
      <c r="G16" s="171"/>
      <c r="H16" s="171"/>
      <c r="I16" s="171"/>
      <c r="J16" s="226"/>
      <c r="K16" s="113"/>
      <c r="L16" s="113"/>
      <c r="M16" s="113"/>
      <c r="N16" s="113"/>
      <c r="O16" s="113"/>
      <c r="P16" s="113"/>
      <c r="Q16" s="113"/>
      <c r="R16" s="113"/>
      <c r="S16" s="113"/>
      <c r="T16" s="113"/>
      <c r="U16" s="113"/>
      <c r="V16" s="113"/>
      <c r="W16" s="113"/>
      <c r="X16" s="113"/>
      <c r="Y16" s="113"/>
      <c r="Z16" s="113"/>
    </row>
    <row r="17" spans="1:26" ht="16.5" customHeight="1">
      <c r="A17" s="113"/>
      <c r="B17" s="200"/>
      <c r="C17" s="201"/>
      <c r="D17" s="201"/>
      <c r="E17" s="201"/>
      <c r="F17" s="201"/>
      <c r="G17" s="201"/>
      <c r="H17" s="201"/>
      <c r="I17" s="201"/>
      <c r="J17" s="202"/>
      <c r="K17" s="113"/>
      <c r="L17" s="113"/>
      <c r="M17" s="113"/>
      <c r="N17" s="113"/>
      <c r="O17" s="113"/>
      <c r="P17" s="113"/>
      <c r="Q17" s="113"/>
      <c r="R17" s="113"/>
      <c r="S17" s="113"/>
      <c r="T17" s="113"/>
      <c r="U17" s="113"/>
      <c r="V17" s="113"/>
      <c r="W17" s="113"/>
      <c r="X17" s="113"/>
      <c r="Y17" s="113"/>
      <c r="Z17" s="113"/>
    </row>
    <row r="18" spans="1:26" ht="16.5" customHeight="1">
      <c r="A18" s="113"/>
      <c r="B18" s="224" t="s">
        <v>133</v>
      </c>
      <c r="C18" s="178"/>
      <c r="D18" s="178"/>
      <c r="E18" s="178"/>
      <c r="F18" s="178"/>
      <c r="G18" s="178"/>
      <c r="H18" s="178"/>
      <c r="I18" s="178"/>
      <c r="J18" s="179"/>
      <c r="K18" s="113"/>
      <c r="L18" s="113"/>
      <c r="M18" s="113"/>
      <c r="N18" s="113"/>
      <c r="O18" s="113"/>
      <c r="P18" s="113"/>
      <c r="Q18" s="113"/>
      <c r="R18" s="113"/>
      <c r="S18" s="113"/>
      <c r="T18" s="113"/>
      <c r="U18" s="113"/>
      <c r="V18" s="113"/>
      <c r="W18" s="113"/>
      <c r="X18" s="113"/>
      <c r="Y18" s="113"/>
      <c r="Z18" s="113"/>
    </row>
    <row r="19" spans="1:26" ht="16.5" customHeight="1">
      <c r="A19" s="113"/>
      <c r="B19" s="225"/>
      <c r="C19" s="171"/>
      <c r="D19" s="171"/>
      <c r="E19" s="171"/>
      <c r="F19" s="171"/>
      <c r="G19" s="171"/>
      <c r="H19" s="171"/>
      <c r="I19" s="171"/>
      <c r="J19" s="226"/>
      <c r="K19" s="113"/>
      <c r="L19" s="113"/>
      <c r="M19" s="113"/>
      <c r="N19" s="113"/>
      <c r="O19" s="113"/>
      <c r="P19" s="113"/>
      <c r="Q19" s="113"/>
      <c r="R19" s="113"/>
      <c r="S19" s="113"/>
      <c r="T19" s="113"/>
      <c r="U19" s="113"/>
      <c r="V19" s="113"/>
      <c r="W19" s="113"/>
      <c r="X19" s="113"/>
      <c r="Y19" s="113"/>
      <c r="Z19" s="113"/>
    </row>
    <row r="20" spans="1:26" ht="16.5" customHeight="1">
      <c r="A20" s="113"/>
      <c r="B20" s="200"/>
      <c r="C20" s="201"/>
      <c r="D20" s="201"/>
      <c r="E20" s="201"/>
      <c r="F20" s="201"/>
      <c r="G20" s="201"/>
      <c r="H20" s="201"/>
      <c r="I20" s="201"/>
      <c r="J20" s="202"/>
      <c r="K20" s="113"/>
      <c r="L20" s="113"/>
      <c r="M20" s="113"/>
      <c r="N20" s="113"/>
      <c r="O20" s="113"/>
      <c r="P20" s="113"/>
      <c r="Q20" s="113"/>
      <c r="R20" s="113"/>
      <c r="S20" s="113"/>
      <c r="T20" s="113"/>
      <c r="U20" s="113"/>
      <c r="V20" s="113"/>
      <c r="W20" s="113"/>
      <c r="X20" s="113"/>
      <c r="Y20" s="113"/>
      <c r="Z20" s="113"/>
    </row>
    <row r="21" spans="1:26" ht="16.5" customHeight="1">
      <c r="A21" s="113"/>
      <c r="B21" s="224" t="s">
        <v>134</v>
      </c>
      <c r="C21" s="178"/>
      <c r="D21" s="178"/>
      <c r="E21" s="178"/>
      <c r="F21" s="178"/>
      <c r="G21" s="178"/>
      <c r="H21" s="178"/>
      <c r="I21" s="178"/>
      <c r="J21" s="179"/>
      <c r="K21" s="113"/>
      <c r="L21" s="113"/>
      <c r="M21" s="113"/>
      <c r="N21" s="113"/>
      <c r="O21" s="113"/>
      <c r="P21" s="113"/>
      <c r="Q21" s="113"/>
      <c r="R21" s="113"/>
      <c r="S21" s="113"/>
      <c r="T21" s="113"/>
      <c r="U21" s="113"/>
      <c r="V21" s="113"/>
      <c r="W21" s="113"/>
      <c r="X21" s="113"/>
      <c r="Y21" s="113"/>
      <c r="Z21" s="113"/>
    </row>
    <row r="22" spans="1:26" ht="16.5" customHeight="1">
      <c r="A22" s="113"/>
      <c r="B22" s="225"/>
      <c r="C22" s="171"/>
      <c r="D22" s="171"/>
      <c r="E22" s="171"/>
      <c r="F22" s="171"/>
      <c r="G22" s="171"/>
      <c r="H22" s="171"/>
      <c r="I22" s="171"/>
      <c r="J22" s="226"/>
      <c r="K22" s="113"/>
      <c r="L22" s="113"/>
      <c r="M22" s="113"/>
      <c r="N22" s="113"/>
      <c r="O22" s="113"/>
      <c r="P22" s="113"/>
      <c r="Q22" s="113"/>
      <c r="R22" s="113"/>
      <c r="S22" s="113"/>
      <c r="T22" s="113"/>
      <c r="U22" s="113"/>
      <c r="V22" s="113"/>
      <c r="W22" s="113"/>
      <c r="X22" s="113"/>
      <c r="Y22" s="113"/>
      <c r="Z22" s="113"/>
    </row>
    <row r="23" spans="1:26" ht="16.5" customHeight="1">
      <c r="A23" s="113"/>
      <c r="B23" s="200"/>
      <c r="C23" s="201"/>
      <c r="D23" s="201"/>
      <c r="E23" s="201"/>
      <c r="F23" s="201"/>
      <c r="G23" s="201"/>
      <c r="H23" s="201"/>
      <c r="I23" s="201"/>
      <c r="J23" s="202"/>
      <c r="K23" s="113"/>
      <c r="L23" s="113"/>
      <c r="M23" s="113"/>
      <c r="N23" s="113"/>
      <c r="O23" s="113"/>
      <c r="P23" s="113"/>
      <c r="Q23" s="113"/>
      <c r="R23" s="113"/>
      <c r="S23" s="113"/>
      <c r="T23" s="113"/>
      <c r="U23" s="113"/>
      <c r="V23" s="113"/>
      <c r="W23" s="113"/>
      <c r="X23" s="113"/>
      <c r="Y23" s="113"/>
      <c r="Z23" s="113"/>
    </row>
    <row r="24" spans="1:26" ht="16.5" customHeight="1">
      <c r="A24" s="113"/>
      <c r="B24" s="224" t="s">
        <v>135</v>
      </c>
      <c r="C24" s="178"/>
      <c r="D24" s="178"/>
      <c r="E24" s="178"/>
      <c r="F24" s="178"/>
      <c r="G24" s="178"/>
      <c r="H24" s="178"/>
      <c r="I24" s="178"/>
      <c r="J24" s="179"/>
      <c r="K24" s="113"/>
      <c r="L24" s="113"/>
      <c r="M24" s="113"/>
      <c r="N24" s="113"/>
      <c r="O24" s="113"/>
      <c r="P24" s="113"/>
      <c r="Q24" s="113"/>
      <c r="R24" s="113"/>
      <c r="S24" s="113"/>
      <c r="T24" s="113"/>
      <c r="U24" s="113"/>
      <c r="V24" s="113"/>
      <c r="W24" s="113"/>
      <c r="X24" s="113"/>
      <c r="Y24" s="113"/>
      <c r="Z24" s="113"/>
    </row>
    <row r="25" spans="1:26" ht="16.5" customHeight="1">
      <c r="A25" s="113"/>
      <c r="B25" s="225"/>
      <c r="C25" s="171"/>
      <c r="D25" s="171"/>
      <c r="E25" s="171"/>
      <c r="F25" s="171"/>
      <c r="G25" s="171"/>
      <c r="H25" s="171"/>
      <c r="I25" s="171"/>
      <c r="J25" s="226"/>
      <c r="K25" s="113"/>
      <c r="L25" s="113"/>
      <c r="M25" s="113"/>
      <c r="N25" s="113"/>
      <c r="O25" s="113"/>
      <c r="P25" s="113"/>
      <c r="Q25" s="113"/>
      <c r="R25" s="113"/>
      <c r="S25" s="113"/>
      <c r="T25" s="113"/>
      <c r="U25" s="113"/>
      <c r="V25" s="113"/>
      <c r="W25" s="113"/>
      <c r="X25" s="113"/>
      <c r="Y25" s="113"/>
      <c r="Z25" s="113"/>
    </row>
    <row r="26" spans="1:26" ht="16.5" customHeight="1">
      <c r="A26" s="113"/>
      <c r="B26" s="200"/>
      <c r="C26" s="201"/>
      <c r="D26" s="201"/>
      <c r="E26" s="201"/>
      <c r="F26" s="201"/>
      <c r="G26" s="201"/>
      <c r="H26" s="201"/>
      <c r="I26" s="201"/>
      <c r="J26" s="202"/>
      <c r="K26" s="113"/>
      <c r="L26" s="113"/>
      <c r="M26" s="113"/>
      <c r="N26" s="113"/>
      <c r="O26" s="113"/>
      <c r="P26" s="113"/>
      <c r="Q26" s="113"/>
      <c r="R26" s="113"/>
      <c r="S26" s="113"/>
      <c r="T26" s="113"/>
      <c r="U26" s="113"/>
      <c r="V26" s="113"/>
      <c r="W26" s="113"/>
      <c r="X26" s="113"/>
      <c r="Y26" s="113"/>
      <c r="Z26" s="113"/>
    </row>
    <row r="27" spans="1:26" ht="16.5" customHeight="1">
      <c r="A27" s="113"/>
      <c r="B27" s="224" t="s">
        <v>136</v>
      </c>
      <c r="C27" s="178"/>
      <c r="D27" s="178"/>
      <c r="E27" s="178"/>
      <c r="F27" s="178"/>
      <c r="G27" s="178"/>
      <c r="H27" s="178"/>
      <c r="I27" s="178"/>
      <c r="J27" s="179"/>
      <c r="K27" s="113"/>
      <c r="L27" s="113"/>
      <c r="M27" s="113"/>
      <c r="N27" s="113"/>
      <c r="O27" s="113"/>
      <c r="P27" s="113"/>
      <c r="Q27" s="113"/>
      <c r="R27" s="113"/>
      <c r="S27" s="113"/>
      <c r="T27" s="113"/>
      <c r="U27" s="113"/>
      <c r="V27" s="113"/>
      <c r="W27" s="113"/>
      <c r="X27" s="113"/>
      <c r="Y27" s="113"/>
      <c r="Z27" s="113"/>
    </row>
    <row r="28" spans="1:26" ht="16.5" customHeight="1">
      <c r="A28" s="113"/>
      <c r="B28" s="225"/>
      <c r="C28" s="171"/>
      <c r="D28" s="171"/>
      <c r="E28" s="171"/>
      <c r="F28" s="171"/>
      <c r="G28" s="171"/>
      <c r="H28" s="171"/>
      <c r="I28" s="171"/>
      <c r="J28" s="226"/>
      <c r="K28" s="113"/>
      <c r="L28" s="113"/>
      <c r="M28" s="113"/>
      <c r="N28" s="113"/>
      <c r="O28" s="113"/>
      <c r="P28" s="113"/>
      <c r="Q28" s="113"/>
      <c r="R28" s="113"/>
      <c r="S28" s="113"/>
      <c r="T28" s="113"/>
      <c r="U28" s="113"/>
      <c r="V28" s="113"/>
      <c r="W28" s="113"/>
      <c r="X28" s="113"/>
      <c r="Y28" s="113"/>
      <c r="Z28" s="113"/>
    </row>
    <row r="29" spans="1:26" ht="16.5" customHeight="1">
      <c r="A29" s="113"/>
      <c r="B29" s="200"/>
      <c r="C29" s="201"/>
      <c r="D29" s="201"/>
      <c r="E29" s="201"/>
      <c r="F29" s="201"/>
      <c r="G29" s="201"/>
      <c r="H29" s="201"/>
      <c r="I29" s="201"/>
      <c r="J29" s="202"/>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NUEVO PROFESOR</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137</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34375" defaultRowHeight="15" customHeight="1"/>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0.6">
      <c r="A2" s="113"/>
      <c r="B2" s="227" t="s">
        <v>139</v>
      </c>
      <c r="C2" s="171"/>
      <c r="D2" s="171"/>
      <c r="E2" s="171"/>
      <c r="F2" s="171"/>
      <c r="G2" s="171"/>
      <c r="H2" s="171"/>
      <c r="I2" s="171"/>
      <c r="J2" s="171"/>
      <c r="K2" s="113"/>
      <c r="L2" s="113"/>
      <c r="M2" s="113"/>
      <c r="N2" s="113"/>
      <c r="O2" s="113"/>
      <c r="P2" s="113"/>
      <c r="Q2" s="113"/>
      <c r="R2" s="113"/>
      <c r="S2" s="113"/>
      <c r="T2" s="113"/>
      <c r="U2" s="113"/>
      <c r="V2" s="113"/>
      <c r="W2" s="113"/>
      <c r="X2" s="113"/>
      <c r="Y2" s="113"/>
      <c r="Z2" s="113"/>
    </row>
    <row r="3" spans="1:26" ht="19.75">
      <c r="A3" s="113"/>
      <c r="B3" s="114" t="s">
        <v>8</v>
      </c>
      <c r="C3" s="113"/>
      <c r="D3" s="115" t="str">
        <f>CARÁTULA!$C$15</f>
        <v>Instituto Tecnico Humanistico Jauzel Arrieta</v>
      </c>
      <c r="E3" s="113"/>
      <c r="F3" s="113"/>
      <c r="G3" s="113"/>
      <c r="H3" s="114" t="s">
        <v>20</v>
      </c>
      <c r="I3" s="115">
        <f>CARÁTULA!$C$25</f>
        <v>0</v>
      </c>
      <c r="J3" s="113"/>
      <c r="K3" s="113"/>
      <c r="L3" s="113"/>
      <c r="M3" s="113"/>
      <c r="N3" s="113"/>
      <c r="O3" s="113"/>
      <c r="P3" s="113"/>
      <c r="Q3" s="113"/>
      <c r="R3" s="113"/>
      <c r="S3" s="113"/>
      <c r="T3" s="113"/>
      <c r="U3" s="113"/>
      <c r="V3" s="113"/>
      <c r="W3" s="113"/>
      <c r="X3" s="113"/>
      <c r="Y3" s="113"/>
      <c r="Z3" s="113"/>
    </row>
    <row r="4" spans="1:26" ht="19.75">
      <c r="A4" s="113"/>
      <c r="B4" s="114" t="s">
        <v>15</v>
      </c>
      <c r="C4" s="113"/>
      <c r="D4" s="115" t="str">
        <f>CARÁTULA!$C$21</f>
        <v>Secundaria</v>
      </c>
      <c r="E4" s="113"/>
      <c r="F4" s="113"/>
      <c r="G4" s="113"/>
      <c r="H4" s="116" t="s">
        <v>51</v>
      </c>
      <c r="I4" s="115" t="str">
        <f>CARÁTULA!$C$19</f>
        <v>NUEVO PROFESOR</v>
      </c>
      <c r="J4" s="113"/>
      <c r="K4" s="113"/>
      <c r="L4" s="113"/>
      <c r="M4" s="113"/>
      <c r="N4" s="113"/>
      <c r="O4" s="113"/>
      <c r="P4" s="113"/>
      <c r="Q4" s="113"/>
      <c r="R4" s="113"/>
      <c r="S4" s="113"/>
      <c r="T4" s="113"/>
      <c r="U4" s="113"/>
      <c r="V4" s="113"/>
      <c r="W4" s="113"/>
      <c r="X4" s="113"/>
      <c r="Y4" s="113"/>
      <c r="Z4" s="113"/>
    </row>
    <row r="5" spans="1:26" ht="19.75">
      <c r="A5" s="113"/>
      <c r="B5" s="114" t="s">
        <v>23</v>
      </c>
      <c r="C5" s="113"/>
      <c r="D5" s="115" t="str">
        <f>CARÁTULA!$C$23</f>
        <v>1ro de Secundaria</v>
      </c>
      <c r="E5" s="113"/>
      <c r="F5" s="113"/>
      <c r="G5" s="113"/>
      <c r="H5" s="114" t="s">
        <v>24</v>
      </c>
      <c r="I5" s="68">
        <f ca="1">TODAY()</f>
        <v>44413</v>
      </c>
      <c r="J5" s="113"/>
      <c r="K5" s="113"/>
      <c r="L5" s="113"/>
      <c r="M5" s="113"/>
      <c r="N5" s="113"/>
      <c r="O5" s="113"/>
      <c r="P5" s="113"/>
      <c r="Q5" s="113"/>
      <c r="R5" s="113"/>
      <c r="S5" s="113"/>
      <c r="T5" s="113"/>
      <c r="U5" s="113"/>
      <c r="V5" s="113"/>
      <c r="W5" s="113"/>
      <c r="X5" s="113"/>
      <c r="Y5" s="113"/>
      <c r="Z5" s="113"/>
    </row>
    <row r="6" spans="1:26" ht="19.75">
      <c r="A6" s="113"/>
      <c r="B6" s="113"/>
      <c r="C6" s="113"/>
      <c r="D6" s="113"/>
      <c r="E6" s="113"/>
      <c r="F6" s="113"/>
      <c r="G6" s="117"/>
      <c r="H6" s="117"/>
      <c r="I6" s="118" t="s">
        <v>115</v>
      </c>
      <c r="J6" s="113"/>
      <c r="K6" s="113"/>
      <c r="L6" s="113"/>
      <c r="M6" s="113"/>
      <c r="N6" s="113"/>
      <c r="O6" s="113"/>
      <c r="P6" s="113"/>
      <c r="Q6" s="113"/>
      <c r="R6" s="113"/>
      <c r="S6" s="113"/>
      <c r="T6" s="113"/>
      <c r="U6" s="113"/>
      <c r="V6" s="113"/>
      <c r="W6" s="113"/>
      <c r="X6" s="113"/>
      <c r="Y6" s="113"/>
      <c r="Z6" s="113"/>
    </row>
    <row r="7" spans="1:26" ht="19.75">
      <c r="A7" s="113"/>
      <c r="B7" s="118" t="s">
        <v>96</v>
      </c>
      <c r="C7" s="117" t="s">
        <v>116</v>
      </c>
      <c r="D7" s="118" t="s">
        <v>117</v>
      </c>
      <c r="E7" s="119" t="s">
        <v>118</v>
      </c>
      <c r="F7" s="113"/>
      <c r="G7" s="120" t="s">
        <v>119</v>
      </c>
      <c r="H7" s="118">
        <f>'VAL 3 TRIM'!$AO$9</f>
        <v>0</v>
      </c>
      <c r="I7" s="121">
        <f>H7/H11</f>
        <v>0</v>
      </c>
      <c r="J7" s="113"/>
      <c r="K7" s="113"/>
      <c r="L7" s="113"/>
      <c r="M7" s="113"/>
      <c r="N7" s="113"/>
      <c r="O7" s="113"/>
      <c r="P7" s="113"/>
      <c r="Q7" s="113"/>
      <c r="R7" s="113"/>
      <c r="S7" s="113"/>
      <c r="T7" s="113"/>
      <c r="U7" s="113"/>
      <c r="V7" s="113"/>
      <c r="W7" s="113"/>
      <c r="X7" s="113"/>
      <c r="Y7" s="113"/>
      <c r="Z7" s="113"/>
    </row>
    <row r="8" spans="1:26" ht="19.75">
      <c r="A8" s="113"/>
      <c r="B8" s="118" t="s">
        <v>97</v>
      </c>
      <c r="C8" s="117" t="s">
        <v>120</v>
      </c>
      <c r="D8" s="118" t="s">
        <v>121</v>
      </c>
      <c r="E8" s="119" t="s">
        <v>122</v>
      </c>
      <c r="F8" s="113"/>
      <c r="G8" s="120" t="s">
        <v>123</v>
      </c>
      <c r="H8" s="118">
        <f>'VAL 3 TRIM'!$AO$10</f>
        <v>0</v>
      </c>
      <c r="I8" s="121">
        <f>H8/H11</f>
        <v>0</v>
      </c>
      <c r="J8" s="113"/>
      <c r="K8" s="113"/>
      <c r="L8" s="113"/>
      <c r="M8" s="113"/>
      <c r="N8" s="113"/>
      <c r="O8" s="113"/>
      <c r="P8" s="113"/>
      <c r="Q8" s="113"/>
      <c r="R8" s="113"/>
      <c r="S8" s="113"/>
      <c r="T8" s="113"/>
      <c r="U8" s="113"/>
      <c r="V8" s="113"/>
      <c r="W8" s="113"/>
      <c r="X8" s="113"/>
      <c r="Y8" s="113"/>
      <c r="Z8" s="113"/>
    </row>
    <row r="9" spans="1:26" ht="19.75">
      <c r="A9" s="113"/>
      <c r="B9" s="118" t="s">
        <v>98</v>
      </c>
      <c r="C9" s="117" t="s">
        <v>124</v>
      </c>
      <c r="D9" s="118" t="s">
        <v>125</v>
      </c>
      <c r="E9" s="119" t="s">
        <v>122</v>
      </c>
      <c r="F9" s="113"/>
      <c r="G9" s="122" t="s">
        <v>126</v>
      </c>
      <c r="H9" s="118">
        <f>'VAL 3 TRIM'!$AO$11</f>
        <v>0</v>
      </c>
      <c r="I9" s="121">
        <f>H9/H11</f>
        <v>0</v>
      </c>
      <c r="J9" s="113"/>
      <c r="K9" s="113"/>
      <c r="L9" s="113"/>
      <c r="M9" s="113"/>
      <c r="N9" s="113"/>
      <c r="O9" s="113"/>
      <c r="P9" s="113"/>
      <c r="Q9" s="113"/>
      <c r="R9" s="113"/>
      <c r="S9" s="113"/>
      <c r="T9" s="113"/>
      <c r="U9" s="113"/>
      <c r="V9" s="113"/>
      <c r="W9" s="113"/>
      <c r="X9" s="113"/>
      <c r="Y9" s="113"/>
      <c r="Z9" s="113"/>
    </row>
    <row r="10" spans="1:26" ht="19.75">
      <c r="A10" s="113"/>
      <c r="B10" s="118" t="s">
        <v>99</v>
      </c>
      <c r="C10" s="117" t="s">
        <v>127</v>
      </c>
      <c r="D10" s="118" t="s">
        <v>128</v>
      </c>
      <c r="E10" s="119" t="s">
        <v>122</v>
      </c>
      <c r="F10" s="113"/>
      <c r="G10" s="122" t="s">
        <v>129</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19.75">
      <c r="A11" s="113"/>
      <c r="B11" s="113"/>
      <c r="C11" s="113"/>
      <c r="D11" s="113"/>
      <c r="E11" s="113"/>
      <c r="F11" s="113"/>
      <c r="G11" s="123" t="s">
        <v>130</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19.7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19.75">
      <c r="A13" s="113"/>
      <c r="B13" s="228" t="s">
        <v>131</v>
      </c>
      <c r="C13" s="171"/>
      <c r="D13" s="171"/>
      <c r="E13" s="171"/>
      <c r="F13" s="171"/>
      <c r="G13" s="171"/>
      <c r="H13" s="171"/>
      <c r="I13" s="171"/>
      <c r="J13" s="171"/>
      <c r="K13" s="113"/>
      <c r="L13" s="113"/>
      <c r="M13" s="113"/>
      <c r="N13" s="113"/>
      <c r="O13" s="113"/>
      <c r="P13" s="113"/>
      <c r="Q13" s="113"/>
      <c r="R13" s="113"/>
      <c r="S13" s="113"/>
      <c r="T13" s="113"/>
      <c r="U13" s="113"/>
      <c r="V13" s="113"/>
      <c r="W13" s="113"/>
      <c r="X13" s="113"/>
      <c r="Y13" s="113"/>
      <c r="Z13" s="113"/>
    </row>
    <row r="14" spans="1:26" ht="19.7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24" t="s">
        <v>132</v>
      </c>
      <c r="C15" s="178"/>
      <c r="D15" s="178"/>
      <c r="E15" s="178"/>
      <c r="F15" s="178"/>
      <c r="G15" s="178"/>
      <c r="H15" s="178"/>
      <c r="I15" s="178"/>
      <c r="J15" s="179"/>
      <c r="K15" s="113"/>
      <c r="L15" s="113"/>
      <c r="M15" s="113"/>
      <c r="N15" s="113"/>
      <c r="O15" s="113"/>
      <c r="P15" s="113"/>
      <c r="Q15" s="113"/>
      <c r="R15" s="113"/>
      <c r="S15" s="113"/>
      <c r="T15" s="113"/>
      <c r="U15" s="113"/>
      <c r="V15" s="113"/>
      <c r="W15" s="113"/>
      <c r="X15" s="113"/>
      <c r="Y15" s="113"/>
      <c r="Z15" s="113"/>
    </row>
    <row r="16" spans="1:26" ht="16.5" customHeight="1">
      <c r="A16" s="113"/>
      <c r="B16" s="225"/>
      <c r="C16" s="171"/>
      <c r="D16" s="171"/>
      <c r="E16" s="171"/>
      <c r="F16" s="171"/>
      <c r="G16" s="171"/>
      <c r="H16" s="171"/>
      <c r="I16" s="171"/>
      <c r="J16" s="226"/>
      <c r="K16" s="113"/>
      <c r="L16" s="113"/>
      <c r="M16" s="113"/>
      <c r="N16" s="113"/>
      <c r="O16" s="113"/>
      <c r="P16" s="113"/>
      <c r="Q16" s="113"/>
      <c r="R16" s="113"/>
      <c r="S16" s="113"/>
      <c r="T16" s="113"/>
      <c r="U16" s="113"/>
      <c r="V16" s="113"/>
      <c r="W16" s="113"/>
      <c r="X16" s="113"/>
      <c r="Y16" s="113"/>
      <c r="Z16" s="113"/>
    </row>
    <row r="17" spans="1:26" ht="16.5" customHeight="1">
      <c r="A17" s="113"/>
      <c r="B17" s="200"/>
      <c r="C17" s="201"/>
      <c r="D17" s="201"/>
      <c r="E17" s="201"/>
      <c r="F17" s="201"/>
      <c r="G17" s="201"/>
      <c r="H17" s="201"/>
      <c r="I17" s="201"/>
      <c r="J17" s="202"/>
      <c r="K17" s="113"/>
      <c r="L17" s="113"/>
      <c r="M17" s="113"/>
      <c r="N17" s="113"/>
      <c r="O17" s="113"/>
      <c r="P17" s="113"/>
      <c r="Q17" s="113"/>
      <c r="R17" s="113"/>
      <c r="S17" s="113"/>
      <c r="T17" s="113"/>
      <c r="U17" s="113"/>
      <c r="V17" s="113"/>
      <c r="W17" s="113"/>
      <c r="X17" s="113"/>
      <c r="Y17" s="113"/>
      <c r="Z17" s="113"/>
    </row>
    <row r="18" spans="1:26" ht="16.5" customHeight="1">
      <c r="A18" s="113"/>
      <c r="B18" s="224" t="s">
        <v>133</v>
      </c>
      <c r="C18" s="178"/>
      <c r="D18" s="178"/>
      <c r="E18" s="178"/>
      <c r="F18" s="178"/>
      <c r="G18" s="178"/>
      <c r="H18" s="178"/>
      <c r="I18" s="178"/>
      <c r="J18" s="179"/>
      <c r="K18" s="113"/>
      <c r="L18" s="113"/>
      <c r="M18" s="113"/>
      <c r="N18" s="113"/>
      <c r="O18" s="113"/>
      <c r="P18" s="113"/>
      <c r="Q18" s="113"/>
      <c r="R18" s="113"/>
      <c r="S18" s="113"/>
      <c r="T18" s="113"/>
      <c r="U18" s="113"/>
      <c r="V18" s="113"/>
      <c r="W18" s="113"/>
      <c r="X18" s="113"/>
      <c r="Y18" s="113"/>
      <c r="Z18" s="113"/>
    </row>
    <row r="19" spans="1:26" ht="16.5" customHeight="1">
      <c r="A19" s="113"/>
      <c r="B19" s="225"/>
      <c r="C19" s="171"/>
      <c r="D19" s="171"/>
      <c r="E19" s="171"/>
      <c r="F19" s="171"/>
      <c r="G19" s="171"/>
      <c r="H19" s="171"/>
      <c r="I19" s="171"/>
      <c r="J19" s="226"/>
      <c r="K19" s="113"/>
      <c r="L19" s="113"/>
      <c r="M19" s="113"/>
      <c r="N19" s="113"/>
      <c r="O19" s="113"/>
      <c r="P19" s="113"/>
      <c r="Q19" s="113"/>
      <c r="R19" s="113"/>
      <c r="S19" s="113"/>
      <c r="T19" s="113"/>
      <c r="U19" s="113"/>
      <c r="V19" s="113"/>
      <c r="W19" s="113"/>
      <c r="X19" s="113"/>
      <c r="Y19" s="113"/>
      <c r="Z19" s="113"/>
    </row>
    <row r="20" spans="1:26" ht="16.5" customHeight="1">
      <c r="A20" s="113"/>
      <c r="B20" s="200"/>
      <c r="C20" s="201"/>
      <c r="D20" s="201"/>
      <c r="E20" s="201"/>
      <c r="F20" s="201"/>
      <c r="G20" s="201"/>
      <c r="H20" s="201"/>
      <c r="I20" s="201"/>
      <c r="J20" s="202"/>
      <c r="K20" s="113"/>
      <c r="L20" s="113"/>
      <c r="M20" s="113"/>
      <c r="N20" s="113"/>
      <c r="O20" s="113"/>
      <c r="P20" s="113"/>
      <c r="Q20" s="113"/>
      <c r="R20" s="113"/>
      <c r="S20" s="113"/>
      <c r="T20" s="113"/>
      <c r="U20" s="113"/>
      <c r="V20" s="113"/>
      <c r="W20" s="113"/>
      <c r="X20" s="113"/>
      <c r="Y20" s="113"/>
      <c r="Z20" s="113"/>
    </row>
    <row r="21" spans="1:26" ht="16.5" customHeight="1">
      <c r="A21" s="113"/>
      <c r="B21" s="224" t="s">
        <v>134</v>
      </c>
      <c r="C21" s="178"/>
      <c r="D21" s="178"/>
      <c r="E21" s="178"/>
      <c r="F21" s="178"/>
      <c r="G21" s="178"/>
      <c r="H21" s="178"/>
      <c r="I21" s="178"/>
      <c r="J21" s="179"/>
      <c r="K21" s="113"/>
      <c r="L21" s="113"/>
      <c r="M21" s="113"/>
      <c r="N21" s="113"/>
      <c r="O21" s="113"/>
      <c r="P21" s="113"/>
      <c r="Q21" s="113"/>
      <c r="R21" s="113"/>
      <c r="S21" s="113"/>
      <c r="T21" s="113"/>
      <c r="U21" s="113"/>
      <c r="V21" s="113"/>
      <c r="W21" s="113"/>
      <c r="X21" s="113"/>
      <c r="Y21" s="113"/>
      <c r="Z21" s="113"/>
    </row>
    <row r="22" spans="1:26" ht="16.5" customHeight="1">
      <c r="A22" s="113"/>
      <c r="B22" s="225"/>
      <c r="C22" s="171"/>
      <c r="D22" s="171"/>
      <c r="E22" s="171"/>
      <c r="F22" s="171"/>
      <c r="G22" s="171"/>
      <c r="H22" s="171"/>
      <c r="I22" s="171"/>
      <c r="J22" s="226"/>
      <c r="K22" s="113"/>
      <c r="L22" s="113"/>
      <c r="M22" s="113"/>
      <c r="N22" s="113"/>
      <c r="O22" s="113"/>
      <c r="P22" s="113"/>
      <c r="Q22" s="113"/>
      <c r="R22" s="113"/>
      <c r="S22" s="113"/>
      <c r="T22" s="113"/>
      <c r="U22" s="113"/>
      <c r="V22" s="113"/>
      <c r="W22" s="113"/>
      <c r="X22" s="113"/>
      <c r="Y22" s="113"/>
      <c r="Z22" s="113"/>
    </row>
    <row r="23" spans="1:26" ht="16.5" customHeight="1">
      <c r="A23" s="113"/>
      <c r="B23" s="200"/>
      <c r="C23" s="201"/>
      <c r="D23" s="201"/>
      <c r="E23" s="201"/>
      <c r="F23" s="201"/>
      <c r="G23" s="201"/>
      <c r="H23" s="201"/>
      <c r="I23" s="201"/>
      <c r="J23" s="202"/>
      <c r="K23" s="113"/>
      <c r="L23" s="113"/>
      <c r="M23" s="113"/>
      <c r="N23" s="113"/>
      <c r="O23" s="113"/>
      <c r="P23" s="113"/>
      <c r="Q23" s="113"/>
      <c r="R23" s="113"/>
      <c r="S23" s="113"/>
      <c r="T23" s="113"/>
      <c r="U23" s="113"/>
      <c r="V23" s="113"/>
      <c r="W23" s="113"/>
      <c r="X23" s="113"/>
      <c r="Y23" s="113"/>
      <c r="Z23" s="113"/>
    </row>
    <row r="24" spans="1:26" ht="16.5" customHeight="1">
      <c r="A24" s="113"/>
      <c r="B24" s="224" t="s">
        <v>135</v>
      </c>
      <c r="C24" s="178"/>
      <c r="D24" s="178"/>
      <c r="E24" s="178"/>
      <c r="F24" s="178"/>
      <c r="G24" s="178"/>
      <c r="H24" s="178"/>
      <c r="I24" s="178"/>
      <c r="J24" s="179"/>
      <c r="K24" s="113"/>
      <c r="L24" s="113"/>
      <c r="M24" s="113"/>
      <c r="N24" s="113"/>
      <c r="O24" s="113"/>
      <c r="P24" s="113"/>
      <c r="Q24" s="113"/>
      <c r="R24" s="113"/>
      <c r="S24" s="113"/>
      <c r="T24" s="113"/>
      <c r="U24" s="113"/>
      <c r="V24" s="113"/>
      <c r="W24" s="113"/>
      <c r="X24" s="113"/>
      <c r="Y24" s="113"/>
      <c r="Z24" s="113"/>
    </row>
    <row r="25" spans="1:26" ht="16.5" customHeight="1">
      <c r="A25" s="113"/>
      <c r="B25" s="225"/>
      <c r="C25" s="171"/>
      <c r="D25" s="171"/>
      <c r="E25" s="171"/>
      <c r="F25" s="171"/>
      <c r="G25" s="171"/>
      <c r="H25" s="171"/>
      <c r="I25" s="171"/>
      <c r="J25" s="226"/>
      <c r="K25" s="113"/>
      <c r="L25" s="113"/>
      <c r="M25" s="113"/>
      <c r="N25" s="113"/>
      <c r="O25" s="113"/>
      <c r="P25" s="113"/>
      <c r="Q25" s="113"/>
      <c r="R25" s="113"/>
      <c r="S25" s="113"/>
      <c r="T25" s="113"/>
      <c r="U25" s="113"/>
      <c r="V25" s="113"/>
      <c r="W25" s="113"/>
      <c r="X25" s="113"/>
      <c r="Y25" s="113"/>
      <c r="Z25" s="113"/>
    </row>
    <row r="26" spans="1:26" ht="16.5" customHeight="1">
      <c r="A26" s="113"/>
      <c r="B26" s="200"/>
      <c r="C26" s="201"/>
      <c r="D26" s="201"/>
      <c r="E26" s="201"/>
      <c r="F26" s="201"/>
      <c r="G26" s="201"/>
      <c r="H26" s="201"/>
      <c r="I26" s="201"/>
      <c r="J26" s="202"/>
      <c r="K26" s="113"/>
      <c r="L26" s="113"/>
      <c r="M26" s="113"/>
      <c r="N26" s="113"/>
      <c r="O26" s="113"/>
      <c r="P26" s="113"/>
      <c r="Q26" s="113"/>
      <c r="R26" s="113"/>
      <c r="S26" s="113"/>
      <c r="T26" s="113"/>
      <c r="U26" s="113"/>
      <c r="V26" s="113"/>
      <c r="W26" s="113"/>
      <c r="X26" s="113"/>
      <c r="Y26" s="113"/>
      <c r="Z26" s="113"/>
    </row>
    <row r="27" spans="1:26" ht="16.5" customHeight="1">
      <c r="A27" s="113"/>
      <c r="B27" s="224" t="s">
        <v>136</v>
      </c>
      <c r="C27" s="178"/>
      <c r="D27" s="178"/>
      <c r="E27" s="178"/>
      <c r="F27" s="178"/>
      <c r="G27" s="178"/>
      <c r="H27" s="178"/>
      <c r="I27" s="178"/>
      <c r="J27" s="179"/>
      <c r="K27" s="113"/>
      <c r="L27" s="113"/>
      <c r="M27" s="113"/>
      <c r="N27" s="113"/>
      <c r="O27" s="113"/>
      <c r="P27" s="113"/>
      <c r="Q27" s="113"/>
      <c r="R27" s="113"/>
      <c r="S27" s="113"/>
      <c r="T27" s="113"/>
      <c r="U27" s="113"/>
      <c r="V27" s="113"/>
      <c r="W27" s="113"/>
      <c r="X27" s="113"/>
      <c r="Y27" s="113"/>
      <c r="Z27" s="113"/>
    </row>
    <row r="28" spans="1:26" ht="16.5" customHeight="1">
      <c r="A28" s="113"/>
      <c r="B28" s="225"/>
      <c r="C28" s="171"/>
      <c r="D28" s="171"/>
      <c r="E28" s="171"/>
      <c r="F28" s="171"/>
      <c r="G28" s="171"/>
      <c r="H28" s="171"/>
      <c r="I28" s="171"/>
      <c r="J28" s="226"/>
      <c r="K28" s="113"/>
      <c r="L28" s="113"/>
      <c r="M28" s="113"/>
      <c r="N28" s="113"/>
      <c r="O28" s="113"/>
      <c r="P28" s="113"/>
      <c r="Q28" s="113"/>
      <c r="R28" s="113"/>
      <c r="S28" s="113"/>
      <c r="T28" s="113"/>
      <c r="U28" s="113"/>
      <c r="V28" s="113"/>
      <c r="W28" s="113"/>
      <c r="X28" s="113"/>
      <c r="Y28" s="113"/>
      <c r="Z28" s="113"/>
    </row>
    <row r="29" spans="1:26" ht="16.5" customHeight="1">
      <c r="A29" s="113"/>
      <c r="B29" s="200"/>
      <c r="C29" s="201"/>
      <c r="D29" s="201"/>
      <c r="E29" s="201"/>
      <c r="F29" s="201"/>
      <c r="G29" s="201"/>
      <c r="H29" s="201"/>
      <c r="I29" s="201"/>
      <c r="J29" s="202"/>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NUEVO PROFESOR</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137</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34375" defaultRowHeight="15" customHeight="1"/>
  <cols>
    <col min="1" max="1" width="1.6640625" customWidth="1"/>
    <col min="2" max="2" width="4.5703125" customWidth="1"/>
    <col min="3" max="3" width="5.6640625" customWidth="1"/>
    <col min="4" max="4" width="5" customWidth="1"/>
    <col min="5" max="5" width="5.6640625" customWidth="1"/>
    <col min="6" max="6" width="1" customWidth="1"/>
    <col min="7" max="7" width="5.7109375" customWidth="1"/>
    <col min="8" max="9" width="5.6640625" customWidth="1"/>
    <col min="10" max="10" width="6.6640625" customWidth="1"/>
    <col min="11" max="11" width="7.9492187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175" t="s">
        <v>140</v>
      </c>
      <c r="D2" s="171"/>
      <c r="E2" s="171"/>
      <c r="F2" s="171"/>
      <c r="G2" s="171"/>
      <c r="H2" s="171"/>
      <c r="I2" s="171"/>
      <c r="J2" s="171"/>
      <c r="K2" s="171"/>
      <c r="L2" s="171"/>
      <c r="M2" s="171"/>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20</v>
      </c>
      <c r="K3" s="40">
        <f>CARÁTULA!$C$25</f>
        <v>0</v>
      </c>
      <c r="L3" s="40"/>
      <c r="M3" s="40"/>
      <c r="N3" s="40"/>
      <c r="O3" s="41"/>
      <c r="P3" s="41"/>
      <c r="Q3" s="41"/>
      <c r="R3" s="41"/>
      <c r="S3" s="41"/>
      <c r="T3" s="41"/>
      <c r="U3" s="41"/>
      <c r="V3" s="41"/>
      <c r="W3" s="41"/>
      <c r="X3" s="41"/>
      <c r="Y3" s="41"/>
      <c r="Z3" s="41"/>
    </row>
    <row r="4" spans="1:26" ht="13.5" customHeight="1">
      <c r="A4" s="41"/>
      <c r="B4" s="126" t="s">
        <v>15</v>
      </c>
      <c r="C4" s="41"/>
      <c r="D4" s="41"/>
      <c r="E4" s="41" t="str">
        <f>CARÁTULA!$C$21</f>
        <v>Secundaria</v>
      </c>
      <c r="F4" s="41"/>
      <c r="G4" s="41"/>
      <c r="H4" s="41"/>
      <c r="I4" s="41"/>
      <c r="J4" s="44" t="s">
        <v>51</v>
      </c>
      <c r="K4" s="40" t="str">
        <f>CARÁTULA!$C$19</f>
        <v>NUEVO PROFESOR</v>
      </c>
      <c r="L4" s="40"/>
      <c r="M4" s="40"/>
      <c r="N4" s="40"/>
      <c r="O4" s="41"/>
      <c r="P4" s="41"/>
      <c r="Q4" s="41"/>
      <c r="R4" s="41"/>
      <c r="S4" s="41"/>
      <c r="T4" s="41"/>
      <c r="U4" s="41"/>
      <c r="V4" s="41"/>
      <c r="W4" s="41"/>
      <c r="X4" s="41"/>
      <c r="Y4" s="41"/>
      <c r="Z4" s="41"/>
    </row>
    <row r="5" spans="1:26" ht="13.5" customHeight="1">
      <c r="A5" s="41"/>
      <c r="B5" s="126" t="s">
        <v>23</v>
      </c>
      <c r="C5" s="41"/>
      <c r="D5" s="41"/>
      <c r="E5" s="41" t="str">
        <f>CARÁTULA!$C$23</f>
        <v>1ro de Secundaria</v>
      </c>
      <c r="F5" s="41"/>
      <c r="G5" s="41"/>
      <c r="H5" s="41"/>
      <c r="I5" s="41"/>
      <c r="J5" s="44" t="s">
        <v>24</v>
      </c>
      <c r="K5" s="68">
        <f ca="1">TODAY()</f>
        <v>44413</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190" t="s">
        <v>141</v>
      </c>
      <c r="D10" s="171"/>
      <c r="E10" s="127"/>
      <c r="F10" s="41"/>
      <c r="G10" s="44" t="s">
        <v>142</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143</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144</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145</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190" t="s">
        <v>146</v>
      </c>
      <c r="D23" s="171"/>
      <c r="E23" s="41"/>
      <c r="F23" s="41"/>
      <c r="G23" s="44" t="s">
        <v>147</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143</v>
      </c>
      <c r="D24" s="41"/>
      <c r="E24" s="129">
        <f>'CENTRAL 2'!$J$9</f>
        <v>36</v>
      </c>
      <c r="F24" s="41"/>
      <c r="G24" s="130">
        <f t="shared" ref="G24:G25" si="1">E24/$E$26</f>
        <v>1</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144</v>
      </c>
      <c r="D25" s="41"/>
      <c r="E25" s="132">
        <f>'CENTRAL 2'!$J$13</f>
        <v>0</v>
      </c>
      <c r="F25" s="41"/>
      <c r="G25" s="130">
        <f t="shared" si="1"/>
        <v>0</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145</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190" t="s">
        <v>148</v>
      </c>
      <c r="D35" s="171"/>
      <c r="E35" s="41"/>
      <c r="F35" s="41"/>
      <c r="G35" s="126" t="s">
        <v>149</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143</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144</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145</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34375" defaultRowHeight="15" customHeight="1"/>
  <cols>
    <col min="1" max="1" width="1.6640625" customWidth="1"/>
    <col min="2" max="2" width="5.6640625" customWidth="1"/>
    <col min="3" max="3" width="4.33203125" customWidth="1"/>
    <col min="4" max="4" width="6.28515625" customWidth="1"/>
    <col min="5" max="5" width="7.5703125" customWidth="1"/>
    <col min="6" max="6" width="13.33203125" customWidth="1"/>
    <col min="7" max="7" width="10.7109375" customWidth="1"/>
    <col min="8" max="8" width="8.23437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230" t="s">
        <v>150</v>
      </c>
      <c r="D2" s="171"/>
      <c r="E2" s="171"/>
      <c r="F2" s="171"/>
      <c r="G2" s="171"/>
      <c r="H2" s="171"/>
      <c r="I2" s="171"/>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20</v>
      </c>
      <c r="H3" s="136">
        <f>CARÁTULA!$C$25</f>
        <v>0</v>
      </c>
      <c r="I3" s="136"/>
      <c r="J3" s="136"/>
      <c r="K3" s="131"/>
      <c r="L3" s="131"/>
      <c r="M3" s="131"/>
      <c r="N3" s="131"/>
      <c r="O3" s="131"/>
      <c r="P3" s="131"/>
      <c r="Q3" s="131"/>
      <c r="R3" s="131"/>
      <c r="S3" s="131"/>
      <c r="T3" s="131"/>
      <c r="U3" s="131"/>
      <c r="V3" s="131"/>
      <c r="W3" s="131"/>
      <c r="X3" s="131"/>
      <c r="Y3" s="131"/>
      <c r="Z3" s="131"/>
    </row>
    <row r="4" spans="1:26" ht="13.5" customHeight="1">
      <c r="A4" s="131"/>
      <c r="B4" s="135" t="s">
        <v>15</v>
      </c>
      <c r="C4" s="136"/>
      <c r="D4" s="136"/>
      <c r="E4" s="136" t="str">
        <f>CARÁTULA!$C$21</f>
        <v>Secundaria</v>
      </c>
      <c r="F4" s="136"/>
      <c r="G4" s="135" t="s">
        <v>51</v>
      </c>
      <c r="H4" s="136" t="str">
        <f>CARÁTULA!$C$19</f>
        <v>NUEVO PROFESOR</v>
      </c>
      <c r="I4" s="136"/>
      <c r="J4" s="136"/>
      <c r="K4" s="131"/>
      <c r="L4" s="131"/>
      <c r="M4" s="131"/>
      <c r="N4" s="131"/>
      <c r="O4" s="131"/>
      <c r="P4" s="131"/>
      <c r="Q4" s="131"/>
      <c r="R4" s="131"/>
      <c r="S4" s="131"/>
      <c r="T4" s="131"/>
      <c r="U4" s="131"/>
      <c r="V4" s="131"/>
      <c r="W4" s="131"/>
      <c r="X4" s="131"/>
      <c r="Y4" s="131"/>
      <c r="Z4" s="131"/>
    </row>
    <row r="5" spans="1:26" ht="13.5" customHeight="1">
      <c r="A5" s="131"/>
      <c r="B5" s="135" t="s">
        <v>23</v>
      </c>
      <c r="C5" s="136"/>
      <c r="D5" s="136"/>
      <c r="E5" s="136" t="str">
        <f>CARÁTULA!$C$23</f>
        <v>1ro de Secundaria</v>
      </c>
      <c r="F5" s="136"/>
      <c r="G5" s="135" t="s">
        <v>24</v>
      </c>
      <c r="H5" s="137">
        <f ca="1">TODAY()</f>
        <v>44413</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229" t="s">
        <v>151</v>
      </c>
      <c r="D8" s="139" t="s">
        <v>152</v>
      </c>
      <c r="E8" s="139" t="s">
        <v>153</v>
      </c>
      <c r="F8" s="140" t="s">
        <v>154</v>
      </c>
      <c r="G8" s="139" t="s">
        <v>155</v>
      </c>
      <c r="H8" s="139" t="s">
        <v>156</v>
      </c>
      <c r="I8" s="131"/>
      <c r="J8" s="131"/>
      <c r="K8" s="131"/>
      <c r="L8" s="131"/>
      <c r="M8" s="131"/>
      <c r="N8" s="131"/>
      <c r="O8" s="131"/>
      <c r="P8" s="131"/>
      <c r="Q8" s="131"/>
      <c r="R8" s="131"/>
      <c r="S8" s="131"/>
      <c r="T8" s="131"/>
      <c r="U8" s="131"/>
      <c r="V8" s="131"/>
      <c r="W8" s="131"/>
      <c r="X8" s="131"/>
      <c r="Y8" s="131"/>
      <c r="Z8" s="131"/>
    </row>
    <row r="9" spans="1:26" ht="13.5" customHeight="1">
      <c r="A9" s="131"/>
      <c r="B9" s="131"/>
      <c r="C9" s="216"/>
      <c r="D9" s="141" t="s">
        <v>157</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16"/>
      <c r="D10" s="141" t="s">
        <v>158</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16"/>
      <c r="D11" s="141" t="s">
        <v>159</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197"/>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229" t="s">
        <v>160</v>
      </c>
      <c r="D15" s="139" t="s">
        <v>152</v>
      </c>
      <c r="E15" s="139" t="s">
        <v>153</v>
      </c>
      <c r="F15" s="140" t="s">
        <v>154</v>
      </c>
      <c r="G15" s="139" t="s">
        <v>155</v>
      </c>
      <c r="H15" s="139" t="s">
        <v>156</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16"/>
      <c r="D16" s="141" t="s">
        <v>157</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16"/>
      <c r="D17" s="141" t="s">
        <v>158</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16"/>
      <c r="D18" s="141" t="s">
        <v>159</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197"/>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229" t="s">
        <v>161</v>
      </c>
      <c r="D22" s="139" t="s">
        <v>152</v>
      </c>
      <c r="E22" s="139" t="s">
        <v>153</v>
      </c>
      <c r="F22" s="140" t="s">
        <v>154</v>
      </c>
      <c r="G22" s="139" t="s">
        <v>155</v>
      </c>
      <c r="H22" s="139" t="s">
        <v>156</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16"/>
      <c r="D23" s="141" t="s">
        <v>157</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16"/>
      <c r="D24" s="141" t="s">
        <v>158</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16"/>
      <c r="D25" s="141" t="s">
        <v>159</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197"/>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229" t="s">
        <v>162</v>
      </c>
      <c r="D29" s="139" t="s">
        <v>152</v>
      </c>
      <c r="E29" s="139" t="s">
        <v>153</v>
      </c>
      <c r="F29" s="140" t="s">
        <v>154</v>
      </c>
      <c r="G29" s="139" t="s">
        <v>155</v>
      </c>
      <c r="H29" s="139" t="s">
        <v>156</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16"/>
      <c r="D30" s="141" t="s">
        <v>157</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16"/>
      <c r="D31" s="141" t="s">
        <v>158</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16"/>
      <c r="D32" s="141" t="s">
        <v>159</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197"/>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229" t="s">
        <v>163</v>
      </c>
      <c r="D36" s="139" t="s">
        <v>152</v>
      </c>
      <c r="E36" s="139" t="s">
        <v>153</v>
      </c>
      <c r="F36" s="140" t="s">
        <v>154</v>
      </c>
      <c r="G36" s="139" t="s">
        <v>155</v>
      </c>
      <c r="H36" s="139" t="s">
        <v>156</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16"/>
      <c r="D37" s="141" t="s">
        <v>157</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16"/>
      <c r="D38" s="141" t="s">
        <v>158</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16"/>
      <c r="D39" s="141" t="s">
        <v>159</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197"/>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229" t="s">
        <v>164</v>
      </c>
      <c r="D43" s="139" t="s">
        <v>152</v>
      </c>
      <c r="E43" s="139" t="s">
        <v>153</v>
      </c>
      <c r="F43" s="140" t="s">
        <v>154</v>
      </c>
      <c r="G43" s="139" t="s">
        <v>155</v>
      </c>
      <c r="H43" s="139" t="s">
        <v>156</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16"/>
      <c r="D44" s="141" t="s">
        <v>157</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16"/>
      <c r="D45" s="141" t="s">
        <v>158</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16"/>
      <c r="D46" s="141" t="s">
        <v>159</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197"/>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34375" defaultRowHeight="15" customHeight="1"/>
  <cols>
    <col min="1" max="4" width="1.6640625" customWidth="1"/>
    <col min="5" max="6" width="4.6640625" customWidth="1"/>
    <col min="7" max="7" width="26.6640625" customWidth="1"/>
    <col min="8" max="8" width="7.5703125" customWidth="1"/>
    <col min="9" max="10" width="10.94921875" customWidth="1"/>
    <col min="11" max="26" width="10.4257812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235" t="s">
        <v>165</v>
      </c>
      <c r="F3" s="171"/>
      <c r="G3" s="171"/>
      <c r="H3" s="171"/>
      <c r="I3" s="171"/>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20</v>
      </c>
      <c r="I6" s="41">
        <f>CARÁTULA!$C$25</f>
        <v>0</v>
      </c>
      <c r="J6" s="146"/>
      <c r="K6" s="146"/>
      <c r="L6" s="146"/>
      <c r="M6" s="146"/>
      <c r="N6" s="146"/>
      <c r="O6" s="146"/>
      <c r="P6" s="146"/>
      <c r="Q6" s="146"/>
      <c r="R6" s="146"/>
      <c r="S6" s="146"/>
      <c r="T6" s="146"/>
      <c r="U6" s="146"/>
      <c r="V6" s="146"/>
      <c r="W6" s="146"/>
      <c r="X6" s="146"/>
      <c r="Y6" s="146"/>
      <c r="Z6" s="146"/>
    </row>
    <row r="7" spans="1:26" ht="12.75" customHeight="1">
      <c r="A7" s="146"/>
      <c r="B7" s="147" t="s">
        <v>15</v>
      </c>
      <c r="C7" s="19"/>
      <c r="D7" s="19"/>
      <c r="E7" s="19"/>
      <c r="F7" s="19"/>
      <c r="G7" s="41" t="str">
        <f>CARÁTULA!$C$21</f>
        <v>Secundaria</v>
      </c>
      <c r="H7" s="147" t="s">
        <v>51</v>
      </c>
      <c r="I7" s="19" t="str">
        <f>CARÁTULA!$C$19</f>
        <v>NUEVO PROFESOR</v>
      </c>
      <c r="J7" s="146"/>
      <c r="K7" s="146"/>
      <c r="L7" s="146"/>
      <c r="M7" s="146"/>
      <c r="N7" s="146"/>
      <c r="O7" s="146"/>
      <c r="P7" s="146"/>
      <c r="Q7" s="146"/>
      <c r="R7" s="146"/>
      <c r="S7" s="146"/>
      <c r="T7" s="146"/>
      <c r="U7" s="146"/>
      <c r="V7" s="146"/>
      <c r="W7" s="146"/>
      <c r="X7" s="146"/>
      <c r="Y7" s="146"/>
      <c r="Z7" s="146"/>
    </row>
    <row r="8" spans="1:26" ht="12.75" customHeight="1">
      <c r="A8" s="146"/>
      <c r="B8" s="147" t="s">
        <v>23</v>
      </c>
      <c r="C8" s="19"/>
      <c r="D8" s="19"/>
      <c r="E8" s="19"/>
      <c r="F8" s="19"/>
      <c r="G8" s="41" t="str">
        <f>CARÁTULA!$C$23</f>
        <v>1ro de Secundaria</v>
      </c>
      <c r="H8" s="147" t="s">
        <v>24</v>
      </c>
      <c r="I8" s="137">
        <f ca="1">TODAY()</f>
        <v>44413</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236" t="s">
        <v>166</v>
      </c>
      <c r="F16" s="237"/>
      <c r="G16" s="149" t="s">
        <v>25</v>
      </c>
      <c r="H16" s="150" t="s">
        <v>167</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231"/>
      <c r="F17" s="194"/>
      <c r="G17" s="152" t="str">
        <f>'C. FILIACION'!B8</f>
        <v>ARANCIBIA ARRAYA LUIS ANDRES</v>
      </c>
      <c r="H17" s="153">
        <f>'CENTRAL 2'!F9</f>
        <v>89.333333333333329</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231"/>
      <c r="F18" s="194"/>
      <c r="G18" s="152" t="str">
        <f>'C. FILIACION'!B9</f>
        <v>ARIVIRI ALEXIS JHONATAN</v>
      </c>
      <c r="H18" s="153">
        <f>'CENTRAL 2'!F10</f>
        <v>77.666666666666671</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231"/>
      <c r="F19" s="194"/>
      <c r="G19" s="152" t="str">
        <f>'C. FILIACION'!B10</f>
        <v>BASCOPE LOPEZ JHYMMY ANGHELO</v>
      </c>
      <c r="H19" s="153">
        <f>'CENTRAL 2'!F11</f>
        <v>83.333333333333329</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231"/>
      <c r="F20" s="194"/>
      <c r="G20" s="152" t="str">
        <f>'C. FILIACION'!B11</f>
        <v>BLANCO SALVATIERRA DANIELA MARGARITA</v>
      </c>
      <c r="H20" s="153">
        <f>'CENTRAL 2'!F12</f>
        <v>94.666666666666671</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231"/>
      <c r="F21" s="194"/>
      <c r="G21" s="152" t="str">
        <f>'C. FILIACION'!B12</f>
        <v>DAVILA LAPACA DIEGO LEONEL</v>
      </c>
      <c r="H21" s="153">
        <f>'CENTRAL 2'!F13</f>
        <v>71.666666666666671</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231"/>
      <c r="F22" s="194"/>
      <c r="G22" s="152" t="str">
        <f>'C. FILIACION'!B13</f>
        <v>ESCOBAR LAZO JHOSELIN MARCELA</v>
      </c>
      <c r="H22" s="153">
        <f>'CENTRAL 2'!F14</f>
        <v>95.333333333333329</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231"/>
      <c r="F23" s="194"/>
      <c r="G23" s="152" t="str">
        <f>'C. FILIACION'!B14</f>
        <v>GUTIERREZ PEREZ ARIEL FERNANDO</v>
      </c>
      <c r="H23" s="153">
        <f>'CENTRAL 2'!F15</f>
        <v>81</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231"/>
      <c r="F24" s="194"/>
      <c r="G24" s="152" t="str">
        <f>'C. FILIACION'!B15</f>
        <v>LOPEZ PACO FABRICIO ANDRE</v>
      </c>
      <c r="H24" s="153">
        <f>'CENTRAL 2'!F16</f>
        <v>89.666666666666671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231"/>
      <c r="F25" s="194"/>
      <c r="G25" s="152" t="str">
        <f>'C. FILIACION'!B16</f>
        <v>NINA PANIAGUA DEYVID GABRIEL</v>
      </c>
      <c r="H25" s="153">
        <f>'CENTRAL 2'!F17</f>
        <v>93</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231"/>
      <c r="F26" s="194"/>
      <c r="G26" s="152" t="str">
        <f>'C. FILIACION'!B17</f>
        <v>PASTOR CONDARCO STEVE DAVID</v>
      </c>
      <c r="H26" s="153">
        <f>'CENTRAL 2'!F18</f>
        <v>83</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231"/>
      <c r="F27" s="194"/>
      <c r="G27" s="152" t="str">
        <f>'C. FILIACION'!B18</f>
        <v>ROJAS MAMANI JERUSALEN LOURDES</v>
      </c>
      <c r="H27" s="153">
        <f>'CENTRAL 2'!F19</f>
        <v>96</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231"/>
      <c r="F28" s="194"/>
      <c r="G28" s="152" t="str">
        <f>'C. FILIACION'!B19</f>
        <v>SALAS ROJAS LUCIANA ANTONELLA</v>
      </c>
      <c r="H28" s="153">
        <f>'CENTRAL 2'!F20</f>
        <v>71.666666666666671</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231"/>
      <c r="F29" s="194"/>
      <c r="G29" s="152" t="str">
        <f>'C. FILIACION'!B20</f>
        <v>SANTOS CRUZ ROYER JOEL</v>
      </c>
      <c r="H29" s="153">
        <f>'CENTRAL 2'!F21</f>
        <v>79</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231"/>
      <c r="F30" s="194"/>
      <c r="G30" s="152" t="str">
        <f>'C. FILIACION'!B21</f>
        <v>TICONA LOAYZA ARIADNE VALERIA</v>
      </c>
      <c r="H30" s="153">
        <f>'CENTRAL 2'!F22</f>
        <v>92</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231"/>
      <c r="F31" s="194"/>
      <c r="G31" s="152" t="str">
        <f>'C. FILIACION'!B22</f>
        <v>ZEBALLOS DEL CARPIO AMIRA MERCEDES</v>
      </c>
      <c r="H31" s="153">
        <f>'CENTRAL 2'!F23</f>
        <v>95.666666666666671</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231"/>
      <c r="F32" s="194"/>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231"/>
      <c r="F33" s="194"/>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231"/>
      <c r="F34" s="194"/>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234"/>
      <c r="F35" s="194"/>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231"/>
      <c r="F36" s="194"/>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231"/>
      <c r="F37" s="194"/>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231"/>
      <c r="F38" s="194"/>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231"/>
      <c r="F39" s="194"/>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231"/>
      <c r="F40" s="194"/>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231"/>
      <c r="F41" s="194"/>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231"/>
      <c r="F42" s="194"/>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231"/>
      <c r="F43" s="194"/>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231"/>
      <c r="F44" s="194"/>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231"/>
      <c r="F45" s="194"/>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231"/>
      <c r="F46" s="194"/>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231"/>
      <c r="F47" s="194"/>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231"/>
      <c r="F48" s="194"/>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231"/>
      <c r="F49" s="194"/>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231"/>
      <c r="F50" s="194"/>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231"/>
      <c r="F51" s="194"/>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231"/>
      <c r="F52" s="194"/>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231"/>
      <c r="F53" s="194"/>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231"/>
      <c r="F54" s="194"/>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231"/>
      <c r="F55" s="194"/>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231"/>
      <c r="F56" s="194"/>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231"/>
      <c r="F57" s="194"/>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231"/>
      <c r="F58" s="194"/>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231"/>
      <c r="F59" s="194"/>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232"/>
      <c r="F60" s="233"/>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2021-08-05T13:54:19Z</dcterms:modified>
</cp:coreProperties>
</file>