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A4AA115C-1FDE-4E67-A929-0CA2048FE2D5}" xr6:coauthVersionLast="47" xr6:coauthVersionMax="47" xr10:uidLastSave="{00000000-0000-0000-0000-000000000000}"/>
  <bookViews>
    <workbookView xWindow="-108" yWindow="-108" windowWidth="23256" windowHeight="12576" firstSheet="3" activeTab="8" xr2:uid="{00000000-000D-0000-FFFF-FFFF00000000}"/>
  </bookViews>
  <sheets>
    <sheet name="CARÁTULA" sheetId="1" r:id="rId1"/>
    <sheet name="C. FILIACION" sheetId="2" r:id="rId2"/>
    <sheet name="ASIS 1 TRIM" sheetId="3" r:id="rId3"/>
    <sheet name="ASIS 2 TRIM" sheetId="4" r:id="rId4"/>
    <sheet name="Rendimiento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2" sheetId="12" r:id="rId12"/>
    <sheet name="DIMEN 1" sheetId="11"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AA10" i="6" l="1"/>
  <c r="C12" i="8"/>
  <c r="BA9" i="5"/>
  <c r="BB9" i="5"/>
  <c r="BC9" i="5"/>
  <c r="BD9" i="5"/>
  <c r="BA10" i="5"/>
  <c r="BB10" i="5"/>
  <c r="BC10" i="5"/>
  <c r="BD10" i="5"/>
  <c r="BA11" i="5"/>
  <c r="BB11" i="5"/>
  <c r="BC11" i="5"/>
  <c r="BD11" i="5"/>
  <c r="BA12" i="5"/>
  <c r="BE12" i="5" s="1"/>
  <c r="BB12" i="5"/>
  <c r="BC12" i="5"/>
  <c r="BD12" i="5"/>
  <c r="BA13" i="5"/>
  <c r="BB13" i="5"/>
  <c r="BC13" i="5"/>
  <c r="BD13" i="5"/>
  <c r="BA14" i="5"/>
  <c r="BB14" i="5"/>
  <c r="BC14" i="5"/>
  <c r="BD14" i="5"/>
  <c r="BA15" i="5"/>
  <c r="BE15" i="5" s="1"/>
  <c r="BB15" i="5"/>
  <c r="BC15" i="5"/>
  <c r="BD15" i="5"/>
  <c r="BA16" i="5"/>
  <c r="BE16" i="5" s="1"/>
  <c r="BB16" i="5"/>
  <c r="BC16" i="5"/>
  <c r="BD16" i="5"/>
  <c r="BA17" i="5"/>
  <c r="BE17" i="5" s="1"/>
  <c r="BB17" i="5"/>
  <c r="BC17" i="5"/>
  <c r="BD17" i="5"/>
  <c r="BA18" i="5"/>
  <c r="BB18" i="5"/>
  <c r="BC18" i="5"/>
  <c r="BD18" i="5"/>
  <c r="BA19" i="5"/>
  <c r="BE19" i="5" s="1"/>
  <c r="BB19" i="5"/>
  <c r="BC19" i="5"/>
  <c r="BD19" i="5"/>
  <c r="BA20" i="5"/>
  <c r="BE20" i="5" s="1"/>
  <c r="BB20" i="5"/>
  <c r="BC20" i="5"/>
  <c r="BD20" i="5"/>
  <c r="BA21" i="5"/>
  <c r="BB21" i="5"/>
  <c r="BC21" i="5"/>
  <c r="BD21" i="5"/>
  <c r="BA22" i="5"/>
  <c r="BB22" i="5"/>
  <c r="BC22" i="5"/>
  <c r="BD22" i="5"/>
  <c r="BA23" i="5"/>
  <c r="BE23" i="5" s="1"/>
  <c r="BB23" i="5"/>
  <c r="BC23" i="5"/>
  <c r="BD23" i="5"/>
  <c r="BA24" i="5"/>
  <c r="BE24" i="5" s="1"/>
  <c r="BB24" i="5"/>
  <c r="BC24" i="5"/>
  <c r="BD24" i="5"/>
  <c r="BA25" i="5"/>
  <c r="BB25" i="5"/>
  <c r="BC25" i="5"/>
  <c r="BD25" i="5"/>
  <c r="BA26" i="5"/>
  <c r="BB26" i="5"/>
  <c r="BC26" i="5"/>
  <c r="BD26" i="5"/>
  <c r="BD8" i="5"/>
  <c r="BC8" i="5"/>
  <c r="BB8" i="5"/>
  <c r="BA8" i="5"/>
  <c r="A25" i="17"/>
  <c r="A24" i="17"/>
  <c r="A23" i="17"/>
  <c r="A22" i="17"/>
  <c r="A17" i="17"/>
  <c r="A16" i="17"/>
  <c r="A15" i="17"/>
  <c r="AD26" i="17"/>
  <c r="R4" i="17"/>
  <c r="F4" i="17"/>
  <c r="AF11" i="17"/>
  <c r="M10" i="17"/>
  <c r="N10" i="17"/>
  <c r="O10" i="17"/>
  <c r="P10" i="17"/>
  <c r="Q10" i="17"/>
  <c r="R10" i="17"/>
  <c r="S10" i="17"/>
  <c r="T10" i="17"/>
  <c r="U10" i="17"/>
  <c r="L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BE26" i="5" l="1"/>
  <c r="BJ26" i="5" s="1"/>
  <c r="C27" i="8" s="1"/>
  <c r="BE25" i="5"/>
  <c r="BJ25" i="5" s="1"/>
  <c r="C26" i="8" s="1"/>
  <c r="BJ24" i="5"/>
  <c r="C25" i="8" s="1"/>
  <c r="BJ23" i="5"/>
  <c r="C24" i="8" s="1"/>
  <c r="BE22" i="5"/>
  <c r="BJ22" i="5" s="1"/>
  <c r="C23" i="8" s="1"/>
  <c r="BE21" i="5"/>
  <c r="BJ21" i="5" s="1"/>
  <c r="C22" i="8" s="1"/>
  <c r="BJ20" i="5"/>
  <c r="C21" i="8" s="1"/>
  <c r="BJ19" i="5"/>
  <c r="C20" i="8" s="1"/>
  <c r="BE18" i="5"/>
  <c r="BJ18" i="5" s="1"/>
  <c r="C19" i="8" s="1"/>
  <c r="BJ17" i="5"/>
  <c r="C18" i="8" s="1"/>
  <c r="BJ16" i="5"/>
  <c r="C17" i="8" s="1"/>
  <c r="BJ15" i="5"/>
  <c r="C16" i="8" s="1"/>
  <c r="BE14" i="5"/>
  <c r="BJ14" i="5" s="1"/>
  <c r="C15" i="8" s="1"/>
  <c r="BE13" i="5"/>
  <c r="BJ13" i="5" s="1"/>
  <c r="C14" i="8" s="1"/>
  <c r="BJ12" i="5"/>
  <c r="C13" i="8" s="1"/>
  <c r="BE10" i="5"/>
  <c r="BJ10" i="5" s="1"/>
  <c r="C11" i="8" s="1"/>
  <c r="BE9" i="5"/>
  <c r="BJ9" i="5" s="1"/>
  <c r="C10" i="8" s="1"/>
  <c r="BE8" i="5"/>
  <c r="BJ8" i="5" s="1"/>
  <c r="C9" i="8" s="1"/>
  <c r="BE11" i="5"/>
  <c r="BJ11" i="5" s="1"/>
  <c r="AG11" i="17"/>
  <c r="AH11" i="17" l="1"/>
  <c r="AI11" i="17" l="1"/>
  <c r="AJ11" i="17" l="1"/>
  <c r="AK11" i="17" l="1"/>
  <c r="AL11" i="17" l="1"/>
  <c r="AM11" i="17" l="1"/>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G40" i="15"/>
  <c r="H39" i="15" s="1"/>
  <c r="F40" i="15"/>
  <c r="E40" i="15"/>
  <c r="G33" i="15"/>
  <c r="H32" i="15" s="1"/>
  <c r="F33" i="15"/>
  <c r="E33" i="15"/>
  <c r="G26" i="15"/>
  <c r="H25" i="15" s="1"/>
  <c r="F26" i="15"/>
  <c r="E26" i="15"/>
  <c r="H24" i="15"/>
  <c r="H23" i="15"/>
  <c r="H26" i="15" s="1"/>
  <c r="G19" i="15"/>
  <c r="H16" i="15" s="1"/>
  <c r="F19" i="15"/>
  <c r="E19" i="15"/>
  <c r="G12" i="15"/>
  <c r="H10"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O27" i="9"/>
  <c r="L27" i="9"/>
  <c r="I27" i="9"/>
  <c r="C27" i="9"/>
  <c r="B27" i="9"/>
  <c r="O26" i="9"/>
  <c r="L26" i="9"/>
  <c r="I26" i="9"/>
  <c r="C26" i="9"/>
  <c r="B26" i="9"/>
  <c r="O25" i="9"/>
  <c r="L25" i="9"/>
  <c r="I25" i="9"/>
  <c r="C25" i="9"/>
  <c r="B25" i="9"/>
  <c r="O24" i="9"/>
  <c r="L24" i="9"/>
  <c r="I24" i="9"/>
  <c r="C24" i="9"/>
  <c r="B24" i="9"/>
  <c r="O23" i="9"/>
  <c r="L23" i="9"/>
  <c r="I23" i="9"/>
  <c r="C23" i="9"/>
  <c r="B23" i="9"/>
  <c r="O22" i="9"/>
  <c r="L22" i="9"/>
  <c r="I22" i="9"/>
  <c r="C22" i="9"/>
  <c r="B22" i="9"/>
  <c r="O21" i="9"/>
  <c r="L21" i="9"/>
  <c r="I21" i="9"/>
  <c r="C21" i="9"/>
  <c r="B21" i="9"/>
  <c r="O20" i="9"/>
  <c r="L20" i="9"/>
  <c r="I20" i="9"/>
  <c r="C20" i="9"/>
  <c r="B20" i="9"/>
  <c r="O19" i="9"/>
  <c r="L19" i="9"/>
  <c r="I19" i="9"/>
  <c r="C19" i="9"/>
  <c r="B19" i="9"/>
  <c r="O18" i="9"/>
  <c r="L18" i="9"/>
  <c r="I18" i="9"/>
  <c r="C18" i="9"/>
  <c r="B18" i="9"/>
  <c r="O17" i="9"/>
  <c r="L17" i="9"/>
  <c r="I17" i="9"/>
  <c r="C17" i="9"/>
  <c r="B17" i="9"/>
  <c r="O16" i="9"/>
  <c r="L16" i="9"/>
  <c r="I16" i="9"/>
  <c r="C16" i="9"/>
  <c r="B16" i="9"/>
  <c r="O15" i="9"/>
  <c r="L15" i="9"/>
  <c r="I15" i="9"/>
  <c r="C15" i="9"/>
  <c r="B15" i="9"/>
  <c r="O14" i="9"/>
  <c r="L14" i="9"/>
  <c r="I14" i="9"/>
  <c r="C14" i="9"/>
  <c r="B14" i="9"/>
  <c r="O13" i="9"/>
  <c r="L13" i="9"/>
  <c r="I13" i="9"/>
  <c r="C13" i="9"/>
  <c r="B13" i="9"/>
  <c r="O12" i="9"/>
  <c r="L12" i="9"/>
  <c r="I12" i="9"/>
  <c r="C12" i="9"/>
  <c r="B12" i="9"/>
  <c r="O11" i="9"/>
  <c r="L11" i="9"/>
  <c r="I11" i="9"/>
  <c r="C11" i="9"/>
  <c r="B11" i="9"/>
  <c r="O10" i="9"/>
  <c r="M10" i="9"/>
  <c r="L10" i="9"/>
  <c r="I10" i="9"/>
  <c r="C10" i="9"/>
  <c r="B10"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Q29" i="9" s="1"/>
  <c r="O29" i="8"/>
  <c r="B29" i="8"/>
  <c r="AG28" i="8"/>
  <c r="AF28" i="8" s="1"/>
  <c r="AE28" i="8"/>
  <c r="S28" i="9" s="1"/>
  <c r="AB28" i="8"/>
  <c r="Q28" i="9" s="1"/>
  <c r="O28" i="8"/>
  <c r="P28" i="9" s="1"/>
  <c r="B28" i="8"/>
  <c r="AE27" i="8"/>
  <c r="S27" i="9" s="1"/>
  <c r="AB27" i="8"/>
  <c r="O27" i="8"/>
  <c r="B27" i="8"/>
  <c r="AE26" i="8"/>
  <c r="S26" i="9" s="1"/>
  <c r="AB26" i="8"/>
  <c r="O26" i="8"/>
  <c r="P26" i="9" s="1"/>
  <c r="B26" i="8"/>
  <c r="AE25" i="8"/>
  <c r="S25" i="9" s="1"/>
  <c r="AB25" i="8"/>
  <c r="O25" i="8"/>
  <c r="P25" i="9" s="1"/>
  <c r="B25" i="8"/>
  <c r="AE24" i="8"/>
  <c r="S24" i="9" s="1"/>
  <c r="AB24" i="8"/>
  <c r="O24" i="8"/>
  <c r="B24" i="8"/>
  <c r="AE23" i="8"/>
  <c r="S23" i="9" s="1"/>
  <c r="AB23" i="8"/>
  <c r="O23" i="8"/>
  <c r="P23" i="9" s="1"/>
  <c r="B23" i="8"/>
  <c r="AE22" i="8"/>
  <c r="S22" i="9" s="1"/>
  <c r="AB22" i="8"/>
  <c r="O22" i="8"/>
  <c r="B22" i="8"/>
  <c r="AE21" i="8"/>
  <c r="S21" i="9" s="1"/>
  <c r="AB21" i="8"/>
  <c r="O21" i="8"/>
  <c r="P21" i="9" s="1"/>
  <c r="B21" i="8"/>
  <c r="AE20" i="8"/>
  <c r="S20" i="9" s="1"/>
  <c r="AB20" i="8"/>
  <c r="O20" i="8"/>
  <c r="P20" i="9" s="1"/>
  <c r="B20" i="8"/>
  <c r="AE19" i="8"/>
  <c r="S19" i="9" s="1"/>
  <c r="AB19" i="8"/>
  <c r="O19" i="8"/>
  <c r="P19" i="9" s="1"/>
  <c r="B19" i="8"/>
  <c r="AE18" i="8"/>
  <c r="S18" i="9" s="1"/>
  <c r="AB18" i="8"/>
  <c r="O18" i="8"/>
  <c r="P18" i="9" s="1"/>
  <c r="B18" i="8"/>
  <c r="AE17" i="8"/>
  <c r="S17" i="9" s="1"/>
  <c r="AB17" i="8"/>
  <c r="O17" i="8"/>
  <c r="P17" i="9" s="1"/>
  <c r="B17" i="8"/>
  <c r="AE16" i="8"/>
  <c r="S16" i="9" s="1"/>
  <c r="AB16" i="8"/>
  <c r="O16" i="8"/>
  <c r="P16" i="9" s="1"/>
  <c r="B16" i="8"/>
  <c r="AE15" i="8"/>
  <c r="S15" i="9" s="1"/>
  <c r="AB15" i="8"/>
  <c r="O15" i="8"/>
  <c r="P15" i="9" s="1"/>
  <c r="B15" i="8"/>
  <c r="AE14" i="8"/>
  <c r="S14" i="9" s="1"/>
  <c r="AB14" i="8"/>
  <c r="O14" i="8"/>
  <c r="P14" i="9" s="1"/>
  <c r="B14" i="8"/>
  <c r="AE13" i="8"/>
  <c r="S13" i="9" s="1"/>
  <c r="AB13" i="8"/>
  <c r="O13" i="8"/>
  <c r="P13" i="9" s="1"/>
  <c r="B13" i="8"/>
  <c r="AE12" i="8"/>
  <c r="S12" i="9" s="1"/>
  <c r="AB12" i="8"/>
  <c r="O12" i="8"/>
  <c r="P12" i="9" s="1"/>
  <c r="B12" i="8"/>
  <c r="AE11" i="8"/>
  <c r="S11" i="9" s="1"/>
  <c r="AB11" i="8"/>
  <c r="O11" i="8"/>
  <c r="P11" i="9" s="1"/>
  <c r="B11" i="8"/>
  <c r="AE10" i="8"/>
  <c r="S10" i="9" s="1"/>
  <c r="AB10" i="8"/>
  <c r="O10" i="8"/>
  <c r="P10" i="9" s="1"/>
  <c r="B10" i="8"/>
  <c r="AE9" i="8"/>
  <c r="S9" i="9" s="1"/>
  <c r="AB9" i="8"/>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B27" i="6"/>
  <c r="AE26" i="6"/>
  <c r="AB26" i="6"/>
  <c r="E26" i="9" s="1"/>
  <c r="O26" i="6"/>
  <c r="B26" i="6"/>
  <c r="AE25" i="6"/>
  <c r="AB25" i="6"/>
  <c r="O25" i="6"/>
  <c r="D25" i="9" s="1"/>
  <c r="B25" i="6"/>
  <c r="AE24" i="6"/>
  <c r="F24" i="9" s="1"/>
  <c r="AB24" i="6"/>
  <c r="E24" i="9" s="1"/>
  <c r="O24" i="6"/>
  <c r="B24" i="6"/>
  <c r="AE23" i="6"/>
  <c r="AB23" i="6"/>
  <c r="O23" i="6"/>
  <c r="D23" i="9" s="1"/>
  <c r="B23" i="6"/>
  <c r="AE22" i="6"/>
  <c r="G22" i="9" s="1"/>
  <c r="AB22" i="6"/>
  <c r="E22" i="9" s="1"/>
  <c r="O22" i="6"/>
  <c r="B22" i="6"/>
  <c r="AE21" i="6"/>
  <c r="AB21" i="6"/>
  <c r="E21" i="9" s="1"/>
  <c r="O21" i="6"/>
  <c r="B21" i="6"/>
  <c r="AE20" i="6"/>
  <c r="AB20" i="6"/>
  <c r="O20" i="6"/>
  <c r="D20" i="9" s="1"/>
  <c r="B20" i="6"/>
  <c r="AE19" i="6"/>
  <c r="AB19" i="6"/>
  <c r="O19" i="6"/>
  <c r="D19" i="9" s="1"/>
  <c r="B19" i="6"/>
  <c r="AE18" i="6"/>
  <c r="AB18" i="6"/>
  <c r="E18" i="9" s="1"/>
  <c r="O18" i="6"/>
  <c r="B18" i="6"/>
  <c r="AE17" i="6"/>
  <c r="AB17" i="6"/>
  <c r="E17" i="9" s="1"/>
  <c r="O17" i="6"/>
  <c r="B17" i="6"/>
  <c r="AE16" i="6"/>
  <c r="F16" i="9" s="1"/>
  <c r="AB16" i="6"/>
  <c r="O16" i="6"/>
  <c r="D16" i="9" s="1"/>
  <c r="B16" i="6"/>
  <c r="AE15" i="6"/>
  <c r="AB15" i="6"/>
  <c r="E15" i="9" s="1"/>
  <c r="O15" i="6"/>
  <c r="B15" i="6"/>
  <c r="AE14" i="6"/>
  <c r="AB14" i="6"/>
  <c r="O14" i="6"/>
  <c r="D14" i="9" s="1"/>
  <c r="B14" i="6"/>
  <c r="AE13" i="6"/>
  <c r="G13" i="9" s="1"/>
  <c r="AB13" i="6"/>
  <c r="E13" i="9" s="1"/>
  <c r="O13" i="6"/>
  <c r="B13" i="6"/>
  <c r="AE12" i="6"/>
  <c r="AB12" i="6"/>
  <c r="E12" i="9" s="1"/>
  <c r="O12" i="6"/>
  <c r="B12" i="6"/>
  <c r="AE11" i="6"/>
  <c r="AB11" i="6"/>
  <c r="O11" i="6"/>
  <c r="D11" i="9" s="1"/>
  <c r="B11" i="6"/>
  <c r="AE10" i="6"/>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26" i="5"/>
  <c r="B25" i="5"/>
  <c r="B24" i="5"/>
  <c r="B23" i="5"/>
  <c r="B22" i="5"/>
  <c r="B21" i="5"/>
  <c r="B20" i="5"/>
  <c r="B19" i="5"/>
  <c r="B18" i="5"/>
  <c r="B17" i="5"/>
  <c r="B16" i="5"/>
  <c r="B15" i="5"/>
  <c r="B14" i="5"/>
  <c r="B13" i="5"/>
  <c r="B12" i="5"/>
  <c r="B11" i="5"/>
  <c r="B10" i="5"/>
  <c r="B9"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A25" i="4"/>
  <c r="BA24" i="4"/>
  <c r="B24" i="4"/>
  <c r="BA23" i="4"/>
  <c r="B23" i="4"/>
  <c r="BA22" i="4"/>
  <c r="B22" i="4"/>
  <c r="BA21" i="4"/>
  <c r="B21" i="4"/>
  <c r="BA20" i="4"/>
  <c r="B20" i="4"/>
  <c r="BA19" i="4"/>
  <c r="B19" i="4"/>
  <c r="BA18" i="4"/>
  <c r="B18" i="4"/>
  <c r="BA17" i="4"/>
  <c r="B17" i="4"/>
  <c r="BA16" i="4"/>
  <c r="B16" i="4"/>
  <c r="BA15" i="4"/>
  <c r="B15" i="4"/>
  <c r="BA14" i="4"/>
  <c r="B14" i="4"/>
  <c r="BA13" i="4"/>
  <c r="B13" i="4"/>
  <c r="BA12" i="4"/>
  <c r="B12" i="4"/>
  <c r="BA11" i="4"/>
  <c r="B11" i="4"/>
  <c r="BA10" i="4"/>
  <c r="B10" i="4"/>
  <c r="BA9" i="4"/>
  <c r="B9" i="4"/>
  <c r="BA8"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D27" i="9" l="1"/>
  <c r="AG27" i="6"/>
  <c r="D26" i="9"/>
  <c r="AA26" i="6"/>
  <c r="AG26" i="6" s="1"/>
  <c r="E25" i="9"/>
  <c r="AA25" i="6"/>
  <c r="D24" i="9"/>
  <c r="AA24" i="6"/>
  <c r="AG24" i="6" s="1"/>
  <c r="E23" i="9"/>
  <c r="AA23" i="6"/>
  <c r="AG23" i="6" s="1"/>
  <c r="AF23" i="6" s="1"/>
  <c r="D22" i="9"/>
  <c r="AA22" i="6"/>
  <c r="AG22" i="6" s="1"/>
  <c r="D21" i="9"/>
  <c r="AA21" i="6"/>
  <c r="E20" i="9"/>
  <c r="AA20" i="6"/>
  <c r="AG20" i="6" s="1"/>
  <c r="E19" i="9"/>
  <c r="AA19" i="6"/>
  <c r="AG19" i="6" s="1"/>
  <c r="D18" i="9"/>
  <c r="AA18" i="6"/>
  <c r="AG18" i="6" s="1"/>
  <c r="D17" i="9"/>
  <c r="AA17" i="6"/>
  <c r="AG17" i="6" s="1"/>
  <c r="E16" i="9"/>
  <c r="AA16" i="6"/>
  <c r="AG16" i="6" s="1"/>
  <c r="D15" i="9"/>
  <c r="AA15" i="6"/>
  <c r="AG15" i="6" s="1"/>
  <c r="E14" i="9"/>
  <c r="AA14" i="6"/>
  <c r="AG14" i="6" s="1"/>
  <c r="D13" i="9"/>
  <c r="AA13" i="6"/>
  <c r="AG13" i="6" s="1"/>
  <c r="D12" i="9"/>
  <c r="AA12" i="6"/>
  <c r="AG12" i="6" s="1"/>
  <c r="E11" i="9"/>
  <c r="AA11" i="6"/>
  <c r="AG11" i="6" s="1"/>
  <c r="E9" i="9"/>
  <c r="AA9" i="6"/>
  <c r="AG9" i="6" s="1"/>
  <c r="Q26" i="9"/>
  <c r="AA26" i="8"/>
  <c r="R26" i="9" s="1"/>
  <c r="Q25" i="9"/>
  <c r="AA25" i="8"/>
  <c r="R25" i="9" s="1"/>
  <c r="Q27" i="9"/>
  <c r="AA27" i="8"/>
  <c r="R27" i="9" s="1"/>
  <c r="Q24" i="9"/>
  <c r="AA24" i="8"/>
  <c r="R24" i="9" s="1"/>
  <c r="Q23" i="9"/>
  <c r="AA23" i="8"/>
  <c r="R23" i="9" s="1"/>
  <c r="Q22" i="9"/>
  <c r="AA22" i="8"/>
  <c r="R22" i="9" s="1"/>
  <c r="Q21" i="9"/>
  <c r="AA21" i="8"/>
  <c r="R21" i="9" s="1"/>
  <c r="Q20" i="9"/>
  <c r="AA20" i="8"/>
  <c r="R20" i="9" s="1"/>
  <c r="AA19" i="8"/>
  <c r="R19" i="9" s="1"/>
  <c r="Q18" i="9"/>
  <c r="AA18" i="8"/>
  <c r="R18" i="9" s="1"/>
  <c r="Q16" i="9"/>
  <c r="AA16" i="8"/>
  <c r="R16" i="9" s="1"/>
  <c r="Q15" i="9"/>
  <c r="AA15" i="8"/>
  <c r="R15" i="9" s="1"/>
  <c r="Q17" i="9"/>
  <c r="AA17" i="8"/>
  <c r="R17" i="9" s="1"/>
  <c r="Q13" i="9"/>
  <c r="AA13" i="8"/>
  <c r="R13" i="9" s="1"/>
  <c r="Q12" i="9"/>
  <c r="AA12" i="8"/>
  <c r="R12" i="9" s="1"/>
  <c r="Q11" i="9"/>
  <c r="AA11" i="8"/>
  <c r="R11" i="9" s="1"/>
  <c r="Q10" i="9"/>
  <c r="AA10" i="8"/>
  <c r="R10" i="9" s="1"/>
  <c r="Q9" i="9"/>
  <c r="AA9" i="8"/>
  <c r="R9" i="9" s="1"/>
  <c r="Q14" i="9"/>
  <c r="AA14" i="8"/>
  <c r="R14" i="9" s="1"/>
  <c r="U11" i="17"/>
  <c r="L11" i="17"/>
  <c r="M11" i="17"/>
  <c r="W11" i="17"/>
  <c r="X11" i="17"/>
  <c r="O11" i="17"/>
  <c r="Y11" i="17"/>
  <c r="P11" i="17"/>
  <c r="Q11" i="17"/>
  <c r="R11" i="17"/>
  <c r="AG36" i="8"/>
  <c r="BE8" i="4"/>
  <c r="BJ8" i="4"/>
  <c r="BE12" i="4"/>
  <c r="BJ12" i="4"/>
  <c r="BE16" i="4"/>
  <c r="BJ16" i="4"/>
  <c r="BE20" i="4"/>
  <c r="BJ20" i="4" s="1"/>
  <c r="BE24" i="4"/>
  <c r="BJ24" i="4"/>
  <c r="I16" i="17"/>
  <c r="AC16" i="17" s="1"/>
  <c r="I15" i="17"/>
  <c r="I25" i="17"/>
  <c r="AC25" i="17" s="1"/>
  <c r="I24" i="17"/>
  <c r="AC24" i="17" s="1"/>
  <c r="I23" i="17"/>
  <c r="AC23" i="17" s="1"/>
  <c r="I22" i="17"/>
  <c r="I17" i="17"/>
  <c r="AC17" i="17" s="1"/>
  <c r="AG44" i="8"/>
  <c r="AG31" i="6"/>
  <c r="AF31" i="6" s="1"/>
  <c r="H37" i="15"/>
  <c r="BE9" i="4"/>
  <c r="BJ9" i="4" s="1"/>
  <c r="BE13" i="4"/>
  <c r="BJ13" i="4" s="1"/>
  <c r="BE17" i="4"/>
  <c r="BJ17" i="4"/>
  <c r="BE21" i="4"/>
  <c r="BJ21" i="4" s="1"/>
  <c r="BE26" i="4"/>
  <c r="BJ26" i="4"/>
  <c r="AG39" i="6"/>
  <c r="AF39" i="6" s="1"/>
  <c r="AN4" i="8"/>
  <c r="H38" i="15"/>
  <c r="H12" i="15"/>
  <c r="BE10" i="4"/>
  <c r="BJ10" i="4" s="1"/>
  <c r="BE14" i="4"/>
  <c r="BJ14" i="4"/>
  <c r="BE18" i="4"/>
  <c r="BJ18" i="4"/>
  <c r="BE22" i="4"/>
  <c r="BJ22" i="4"/>
  <c r="AG33" i="7"/>
  <c r="AF33" i="7" s="1"/>
  <c r="H17" i="15"/>
  <c r="AG42" i="8"/>
  <c r="H31" i="15"/>
  <c r="S11" i="17"/>
  <c r="BE11" i="4"/>
  <c r="BJ11" i="4"/>
  <c r="BE15" i="4"/>
  <c r="BJ15" i="4" s="1"/>
  <c r="BE19" i="4"/>
  <c r="BJ19" i="4"/>
  <c r="BE23" i="4"/>
  <c r="BJ23" i="4" s="1"/>
  <c r="H47" i="15"/>
  <c r="T11" i="17"/>
  <c r="BE25" i="4"/>
  <c r="Z11" i="17" s="1"/>
  <c r="V11" i="17"/>
  <c r="AG20" i="7"/>
  <c r="N20" i="9" s="1"/>
  <c r="AG17" i="7"/>
  <c r="AF17" i="7" s="1"/>
  <c r="AG25" i="7"/>
  <c r="AF25" i="7" s="1"/>
  <c r="BA4" i="3"/>
  <c r="BA4" i="5"/>
  <c r="AN4" i="6"/>
  <c r="G18" i="9"/>
  <c r="F18" i="9"/>
  <c r="G26" i="9"/>
  <c r="F26" i="9"/>
  <c r="AG28" i="6"/>
  <c r="G34" i="9"/>
  <c r="F34" i="9"/>
  <c r="AG36" i="6"/>
  <c r="F42" i="9"/>
  <c r="G42" i="9"/>
  <c r="AG44" i="6"/>
  <c r="AG14" i="7"/>
  <c r="AG22" i="7"/>
  <c r="AG30" i="7"/>
  <c r="AG38" i="7"/>
  <c r="Q31" i="9"/>
  <c r="AG31" i="8"/>
  <c r="Q33" i="9"/>
  <c r="AG33" i="8"/>
  <c r="M20" i="9"/>
  <c r="P24" i="9"/>
  <c r="G17" i="9"/>
  <c r="F17" i="9"/>
  <c r="G25" i="9"/>
  <c r="F25" i="9"/>
  <c r="G33" i="9"/>
  <c r="F33" i="9"/>
  <c r="AG35" i="6"/>
  <c r="G41" i="9"/>
  <c r="F41" i="9"/>
  <c r="AG43" i="6"/>
  <c r="AG9" i="7"/>
  <c r="AG10" i="7"/>
  <c r="AG11" i="7"/>
  <c r="AG12" i="7"/>
  <c r="AG13" i="7"/>
  <c r="AG21" i="7"/>
  <c r="AG29" i="7"/>
  <c r="AG37" i="7"/>
  <c r="AG38" i="8"/>
  <c r="P38" i="9"/>
  <c r="AG40" i="8"/>
  <c r="P40" i="9"/>
  <c r="E42" i="10"/>
  <c r="T42" i="9"/>
  <c r="AH42" i="8"/>
  <c r="AF42" i="8"/>
  <c r="Q19" i="9"/>
  <c r="G32" i="9"/>
  <c r="F32" i="9"/>
  <c r="AG34" i="6"/>
  <c r="G40" i="9"/>
  <c r="F40" i="9"/>
  <c r="AG42" i="6"/>
  <c r="AG28" i="7"/>
  <c r="AG36" i="7"/>
  <c r="AG44" i="7"/>
  <c r="P27" i="9"/>
  <c r="AF36" i="8"/>
  <c r="E36" i="10"/>
  <c r="AH36" i="8"/>
  <c r="T36" i="9"/>
  <c r="G15" i="9"/>
  <c r="F15" i="9"/>
  <c r="G23" i="9"/>
  <c r="F23" i="9"/>
  <c r="AG25" i="6"/>
  <c r="G31" i="9"/>
  <c r="F31" i="9"/>
  <c r="AG33" i="6"/>
  <c r="G39" i="9"/>
  <c r="F39" i="9"/>
  <c r="AG41" i="6"/>
  <c r="AG19" i="7"/>
  <c r="AG27" i="7"/>
  <c r="AG35" i="7"/>
  <c r="AG43" i="7"/>
  <c r="AG30" i="8"/>
  <c r="P30" i="9"/>
  <c r="AG32" i="8"/>
  <c r="P32" i="9"/>
  <c r="G14" i="9"/>
  <c r="F14" i="9"/>
  <c r="G30" i="9"/>
  <c r="F30" i="9"/>
  <c r="AG32" i="6"/>
  <c r="G38" i="9"/>
  <c r="F38" i="9"/>
  <c r="AG40" i="6"/>
  <c r="AG18" i="7"/>
  <c r="AG26" i="7"/>
  <c r="AG34" i="7"/>
  <c r="AG42" i="7"/>
  <c r="E28" i="10"/>
  <c r="T28" i="9"/>
  <c r="AH28" i="8"/>
  <c r="T37" i="9"/>
  <c r="E37" i="10"/>
  <c r="AF37" i="8"/>
  <c r="G24" i="9"/>
  <c r="G9" i="9"/>
  <c r="F9" i="9"/>
  <c r="G10" i="9"/>
  <c r="F10" i="9"/>
  <c r="G11" i="9"/>
  <c r="F11" i="9"/>
  <c r="G12" i="9"/>
  <c r="F12" i="9"/>
  <c r="G21" i="9"/>
  <c r="F21" i="9"/>
  <c r="G29" i="9"/>
  <c r="F29" i="9"/>
  <c r="H31" i="9"/>
  <c r="C31" i="10"/>
  <c r="G37" i="9"/>
  <c r="F37" i="9"/>
  <c r="C39" i="10"/>
  <c r="H39" i="9"/>
  <c r="D33" i="10"/>
  <c r="N33" i="9"/>
  <c r="D41" i="10"/>
  <c r="N41" i="9"/>
  <c r="P22" i="9"/>
  <c r="AF44" i="8"/>
  <c r="E44" i="10"/>
  <c r="T44" i="9"/>
  <c r="AH44" i="8"/>
  <c r="F22" i="9"/>
  <c r="G20" i="9"/>
  <c r="F20" i="9"/>
  <c r="G28" i="9"/>
  <c r="F28" i="9"/>
  <c r="AG30" i="6"/>
  <c r="AH31" i="6"/>
  <c r="G36" i="9"/>
  <c r="F36" i="9"/>
  <c r="AG38" i="6"/>
  <c r="AH39" i="6"/>
  <c r="G44" i="9"/>
  <c r="F44" i="9"/>
  <c r="AG16" i="7"/>
  <c r="AG24" i="7"/>
  <c r="AG32" i="7"/>
  <c r="AH33" i="7"/>
  <c r="AG40" i="7"/>
  <c r="AH41" i="7"/>
  <c r="P29" i="9"/>
  <c r="AG29" i="8"/>
  <c r="AG39" i="8"/>
  <c r="Q39" i="9"/>
  <c r="Q41" i="9"/>
  <c r="AG41" i="8"/>
  <c r="F13" i="9"/>
  <c r="G16" i="9"/>
  <c r="AG10" i="6"/>
  <c r="G19" i="9"/>
  <c r="F19" i="9"/>
  <c r="AG21" i="6"/>
  <c r="F27" i="9"/>
  <c r="G27" i="9"/>
  <c r="AG29" i="6"/>
  <c r="F35" i="9"/>
  <c r="G35" i="9"/>
  <c r="AG37" i="6"/>
  <c r="F43" i="9"/>
  <c r="G43" i="9"/>
  <c r="AG15" i="7"/>
  <c r="AG23" i="7"/>
  <c r="AG31" i="7"/>
  <c r="AG39" i="7"/>
  <c r="AG34" i="8"/>
  <c r="AH37" i="8"/>
  <c r="P37" i="9"/>
  <c r="P42" i="9"/>
  <c r="AG35" i="8"/>
  <c r="AG43" i="8"/>
  <c r="H40" i="15"/>
  <c r="H18" i="15"/>
  <c r="H19" i="15" s="1"/>
  <c r="H30" i="15"/>
  <c r="H33" i="15" s="1"/>
  <c r="AF15" i="6" l="1"/>
  <c r="AH15" i="6"/>
  <c r="H15" i="9"/>
  <c r="C15" i="10"/>
  <c r="H23" i="9"/>
  <c r="AH23" i="6"/>
  <c r="C23" i="10"/>
  <c r="AG26" i="8"/>
  <c r="T26" i="9" s="1"/>
  <c r="AG25" i="8"/>
  <c r="E25" i="10" s="1"/>
  <c r="AG27" i="8"/>
  <c r="T27" i="9" s="1"/>
  <c r="AG24" i="8"/>
  <c r="T24" i="9" s="1"/>
  <c r="AG23" i="8"/>
  <c r="AF23" i="8" s="1"/>
  <c r="AG22" i="8"/>
  <c r="T22" i="9" s="1"/>
  <c r="AG21" i="8"/>
  <c r="T21" i="9" s="1"/>
  <c r="AG20" i="8"/>
  <c r="T20" i="9" s="1"/>
  <c r="AG19" i="8"/>
  <c r="AG18" i="8"/>
  <c r="E18" i="10" s="1"/>
  <c r="AG16" i="8"/>
  <c r="AG15" i="8"/>
  <c r="T15" i="9" s="1"/>
  <c r="AG17" i="8"/>
  <c r="T17" i="9" s="1"/>
  <c r="AG13" i="8"/>
  <c r="T13" i="9" s="1"/>
  <c r="AG12" i="8"/>
  <c r="E12" i="10" s="1"/>
  <c r="AG11" i="8"/>
  <c r="E11" i="10" s="1"/>
  <c r="AG10" i="8"/>
  <c r="AH10" i="8" s="1"/>
  <c r="AG9" i="8"/>
  <c r="E9" i="10" s="1"/>
  <c r="AG14" i="8"/>
  <c r="T14" i="9" s="1"/>
  <c r="BJ25" i="4"/>
  <c r="AC15" i="17"/>
  <c r="AC18" i="17" s="1"/>
  <c r="I18" i="17"/>
  <c r="AC22" i="17"/>
  <c r="AC26" i="17" s="1"/>
  <c r="I26" i="17"/>
  <c r="N25" i="9"/>
  <c r="AH25" i="7"/>
  <c r="AF20" i="7"/>
  <c r="D25" i="10"/>
  <c r="D20" i="10"/>
  <c r="N17" i="9"/>
  <c r="AH17" i="7"/>
  <c r="D17" i="10"/>
  <c r="AH20" i="7"/>
  <c r="D10" i="10"/>
  <c r="N10" i="9"/>
  <c r="AH10" i="7"/>
  <c r="AF10" i="7"/>
  <c r="C27" i="10"/>
  <c r="H27" i="9"/>
  <c r="AH27" i="6"/>
  <c r="AF27" i="6"/>
  <c r="E33" i="10"/>
  <c r="T33" i="9"/>
  <c r="AH33" i="8"/>
  <c r="AF33" i="8"/>
  <c r="D38" i="10"/>
  <c r="N38" i="9"/>
  <c r="AF38" i="7"/>
  <c r="AH38" i="7"/>
  <c r="T32" i="9"/>
  <c r="AH32" i="8"/>
  <c r="E32" i="10"/>
  <c r="AF32" i="8"/>
  <c r="D42" i="10"/>
  <c r="N42" i="9"/>
  <c r="AH42" i="7"/>
  <c r="AF42" i="7"/>
  <c r="D43" i="10"/>
  <c r="N43" i="9"/>
  <c r="AH43" i="7"/>
  <c r="AF43" i="7"/>
  <c r="D9" i="10"/>
  <c r="N9" i="9"/>
  <c r="AH9" i="7"/>
  <c r="AF9" i="7"/>
  <c r="D30" i="10"/>
  <c r="N30" i="9"/>
  <c r="AF30" i="7"/>
  <c r="AH30" i="7"/>
  <c r="H33" i="9"/>
  <c r="C33" i="10"/>
  <c r="AH33" i="6"/>
  <c r="AF33" i="6"/>
  <c r="D16" i="10"/>
  <c r="N16" i="9"/>
  <c r="AH16" i="7"/>
  <c r="AF16" i="7"/>
  <c r="H14" i="9"/>
  <c r="C14" i="10"/>
  <c r="AH14" i="6"/>
  <c r="AF14" i="6"/>
  <c r="D34" i="10"/>
  <c r="N34" i="9"/>
  <c r="AH34" i="7"/>
  <c r="AF34" i="7"/>
  <c r="AH30" i="8"/>
  <c r="E30" i="10"/>
  <c r="T30" i="9"/>
  <c r="AF30" i="8"/>
  <c r="D35" i="10"/>
  <c r="N35" i="9"/>
  <c r="AH35" i="7"/>
  <c r="AF35" i="7"/>
  <c r="C34" i="10"/>
  <c r="H34" i="9"/>
  <c r="AH34" i="6"/>
  <c r="AF34" i="6"/>
  <c r="D37" i="10"/>
  <c r="N37" i="9"/>
  <c r="AH37" i="7"/>
  <c r="AF37" i="7"/>
  <c r="C43" i="10"/>
  <c r="H43" i="9"/>
  <c r="AH43" i="6"/>
  <c r="AF43" i="6"/>
  <c r="AH31" i="8"/>
  <c r="AF31" i="8"/>
  <c r="T31" i="9"/>
  <c r="E31" i="10"/>
  <c r="D22" i="10"/>
  <c r="N22" i="9"/>
  <c r="AF22" i="7"/>
  <c r="AH22" i="7"/>
  <c r="C28" i="10"/>
  <c r="H28" i="9"/>
  <c r="AF28" i="6"/>
  <c r="AH28" i="6"/>
  <c r="D15" i="10"/>
  <c r="N15" i="9"/>
  <c r="AF15" i="7"/>
  <c r="AH15" i="7"/>
  <c r="C30" i="10"/>
  <c r="H30" i="9"/>
  <c r="AH30" i="6"/>
  <c r="AF30" i="6"/>
  <c r="C37" i="10"/>
  <c r="H37" i="9"/>
  <c r="U37" i="9" s="1"/>
  <c r="AF37" i="6"/>
  <c r="AH37" i="6"/>
  <c r="E41" i="10"/>
  <c r="AH41" i="8"/>
  <c r="AF41" i="8"/>
  <c r="T41" i="9"/>
  <c r="D26" i="10"/>
  <c r="N26" i="9"/>
  <c r="AH26" i="7"/>
  <c r="AF26" i="7"/>
  <c r="C24" i="10"/>
  <c r="H24" i="9"/>
  <c r="AH24" i="6"/>
  <c r="AF24" i="6"/>
  <c r="D27" i="10"/>
  <c r="N27" i="9"/>
  <c r="AH27" i="7"/>
  <c r="AF27" i="7"/>
  <c r="H25" i="9"/>
  <c r="C25" i="10"/>
  <c r="AH25" i="6"/>
  <c r="AF25" i="6"/>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D19" i="10"/>
  <c r="N19" i="9"/>
  <c r="AH19" i="7"/>
  <c r="AF19" i="7"/>
  <c r="D44" i="10"/>
  <c r="N44" i="9"/>
  <c r="AH44" i="7"/>
  <c r="AF44" i="7"/>
  <c r="D21" i="10"/>
  <c r="N21" i="9"/>
  <c r="AH21" i="7"/>
  <c r="AF21" i="7"/>
  <c r="C44" i="10"/>
  <c r="H44" i="9"/>
  <c r="U44" i="9" s="1"/>
  <c r="AF44" i="6"/>
  <c r="AH44" i="6"/>
  <c r="H9" i="9"/>
  <c r="C9" i="10"/>
  <c r="AF9" i="6"/>
  <c r="AH9" i="6"/>
  <c r="H21" i="9"/>
  <c r="C21" i="10"/>
  <c r="AF21" i="6"/>
  <c r="AH21" i="6"/>
  <c r="E35" i="10"/>
  <c r="T35" i="9"/>
  <c r="AH35" i="8"/>
  <c r="AF35" i="8"/>
  <c r="D39" i="10"/>
  <c r="N39" i="9"/>
  <c r="AF39" i="7"/>
  <c r="AH39" i="7"/>
  <c r="C12" i="10"/>
  <c r="H12" i="9"/>
  <c r="AF12" i="6"/>
  <c r="AH12" i="6"/>
  <c r="C40" i="10"/>
  <c r="H40" i="9"/>
  <c r="AH40" i="6"/>
  <c r="AF40" i="6"/>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AF20" i="6"/>
  <c r="AH20" i="6"/>
  <c r="D31" i="10"/>
  <c r="N31" i="9"/>
  <c r="U31" i="9" s="1"/>
  <c r="AF31" i="7"/>
  <c r="AH31" i="7"/>
  <c r="H29" i="9"/>
  <c r="C29" i="10"/>
  <c r="AF29" i="6"/>
  <c r="AH29" i="6"/>
  <c r="C11" i="10"/>
  <c r="H11" i="9"/>
  <c r="AF11" i="6"/>
  <c r="AH11" i="6"/>
  <c r="AH39" i="8"/>
  <c r="AF39" i="8"/>
  <c r="E39" i="10"/>
  <c r="T39" i="9"/>
  <c r="D32" i="10"/>
  <c r="N32" i="9"/>
  <c r="AH32" i="7"/>
  <c r="AF32" i="7"/>
  <c r="C38" i="10"/>
  <c r="H38" i="9"/>
  <c r="AH38" i="6"/>
  <c r="AF38" i="6"/>
  <c r="C22" i="10"/>
  <c r="H22" i="9"/>
  <c r="AH22" i="6"/>
  <c r="AF22" i="6"/>
  <c r="H17" i="9"/>
  <c r="C17" i="10"/>
  <c r="AH17" i="6"/>
  <c r="AF17" i="6"/>
  <c r="D28" i="10"/>
  <c r="N28" i="9"/>
  <c r="AH28" i="7"/>
  <c r="AF28" i="7"/>
  <c r="C18" i="10"/>
  <c r="H18" i="9"/>
  <c r="AH18" i="6"/>
  <c r="AF18" i="6"/>
  <c r="N12" i="9"/>
  <c r="D12" i="10"/>
  <c r="AH12" i="7"/>
  <c r="AF12" i="7"/>
  <c r="D24" i="10"/>
  <c r="N24" i="9"/>
  <c r="AH24" i="7"/>
  <c r="AF24" i="7"/>
  <c r="E34" i="10"/>
  <c r="AH34" i="8"/>
  <c r="T34" i="9"/>
  <c r="AF34" i="8"/>
  <c r="D23" i="10"/>
  <c r="N23" i="9"/>
  <c r="AF23" i="7"/>
  <c r="AH23" i="7"/>
  <c r="H10" i="9"/>
  <c r="C10" i="10"/>
  <c r="AF10" i="6"/>
  <c r="AH10" i="6"/>
  <c r="T29" i="9"/>
  <c r="E29" i="10"/>
  <c r="AF29" i="8"/>
  <c r="AH29" i="8"/>
  <c r="C42" i="10"/>
  <c r="H42" i="9"/>
  <c r="U42" i="9" s="1"/>
  <c r="AH42" i="6"/>
  <c r="AF42" i="6"/>
  <c r="T38" i="9"/>
  <c r="AH38" i="8"/>
  <c r="AF38" i="8"/>
  <c r="E38" i="10"/>
  <c r="N11" i="9"/>
  <c r="D11" i="10"/>
  <c r="AH11" i="7"/>
  <c r="AF11" i="7"/>
  <c r="C36" i="10"/>
  <c r="H36" i="9"/>
  <c r="U36" i="9" s="1"/>
  <c r="AF36" i="6"/>
  <c r="AH36" i="6"/>
  <c r="E23" i="10" l="1"/>
  <c r="E10" i="10"/>
  <c r="T23" i="9"/>
  <c r="U23" i="9" s="1"/>
  <c r="AH23" i="8"/>
  <c r="E15" i="10"/>
  <c r="AH26" i="8"/>
  <c r="AF26" i="8"/>
  <c r="E26" i="10"/>
  <c r="AF25" i="8"/>
  <c r="AH25" i="8"/>
  <c r="T25" i="9"/>
  <c r="U25" i="9" s="1"/>
  <c r="AH27" i="8"/>
  <c r="E27" i="10"/>
  <c r="AF27" i="8"/>
  <c r="E24" i="10"/>
  <c r="AH24" i="8"/>
  <c r="AF24" i="8"/>
  <c r="AF22" i="8"/>
  <c r="E22" i="10"/>
  <c r="AH22" i="8"/>
  <c r="AF21" i="8"/>
  <c r="E21" i="10"/>
  <c r="AH21" i="8"/>
  <c r="AF20" i="8"/>
  <c r="AH20" i="8"/>
  <c r="U20" i="9"/>
  <c r="E20" i="10"/>
  <c r="AH19" i="8"/>
  <c r="AF19" i="8"/>
  <c r="T19" i="9"/>
  <c r="U19" i="9" s="1"/>
  <c r="AD19" i="9" s="1"/>
  <c r="E19" i="10"/>
  <c r="AH18" i="8"/>
  <c r="T18" i="9"/>
  <c r="U18" i="9" s="1"/>
  <c r="AF18" i="8"/>
  <c r="AH16" i="8"/>
  <c r="E16" i="10"/>
  <c r="AF16" i="8"/>
  <c r="T16" i="9"/>
  <c r="U16" i="9" s="1"/>
  <c r="AF15" i="8"/>
  <c r="AH15" i="8"/>
  <c r="U15" i="9"/>
  <c r="AF17" i="8"/>
  <c r="AH17" i="8"/>
  <c r="E17" i="10"/>
  <c r="AF13" i="8"/>
  <c r="E13" i="10"/>
  <c r="AH13" i="8"/>
  <c r="AF12" i="8"/>
  <c r="AH12" i="8"/>
  <c r="T12" i="9"/>
  <c r="U12" i="9" s="1"/>
  <c r="AD12" i="9" s="1"/>
  <c r="T11" i="9"/>
  <c r="U11" i="9" s="1"/>
  <c r="AD11" i="9" s="1"/>
  <c r="AF11" i="8"/>
  <c r="AH11" i="8"/>
  <c r="T10" i="9"/>
  <c r="U10" i="9" s="1"/>
  <c r="AD10" i="9" s="1"/>
  <c r="AF10" i="8"/>
  <c r="AF9" i="8"/>
  <c r="AH9" i="8"/>
  <c r="T9" i="9"/>
  <c r="U9" i="9" s="1"/>
  <c r="AD9" i="9" s="1"/>
  <c r="AH14" i="8"/>
  <c r="AF14" i="8"/>
  <c r="E14" i="10"/>
  <c r="U17" i="9"/>
  <c r="AC27" i="17"/>
  <c r="A27" i="17" s="1"/>
  <c r="U38" i="9"/>
  <c r="F38" i="10" s="1"/>
  <c r="U39" i="9"/>
  <c r="F39" i="10" s="1"/>
  <c r="U43" i="9"/>
  <c r="U22" i="9"/>
  <c r="F31" i="10"/>
  <c r="V31" i="9"/>
  <c r="F35" i="10"/>
  <c r="V35" i="9"/>
  <c r="I9" i="10"/>
  <c r="E11" i="14" s="1"/>
  <c r="I13" i="10"/>
  <c r="E12" i="14" s="1"/>
  <c r="U24" i="9"/>
  <c r="AD24" i="9" s="1"/>
  <c r="U28" i="9"/>
  <c r="AO12" i="7"/>
  <c r="H10" i="12" s="1"/>
  <c r="AO11" i="7"/>
  <c r="H9" i="12" s="1"/>
  <c r="AO10" i="7"/>
  <c r="H8" i="12" s="1"/>
  <c r="AO9" i="7"/>
  <c r="H7" i="12" s="1"/>
  <c r="F42" i="10"/>
  <c r="V42" i="9"/>
  <c r="U27" i="9"/>
  <c r="AD27" i="9" s="1"/>
  <c r="F36" i="10"/>
  <c r="V36" i="9"/>
  <c r="U14" i="9"/>
  <c r="AD14" i="9" s="1"/>
  <c r="U33" i="9"/>
  <c r="J13" i="10"/>
  <c r="E25" i="14" s="1"/>
  <c r="J9" i="10"/>
  <c r="E24" i="14" s="1"/>
  <c r="F44" i="10"/>
  <c r="V44" i="9"/>
  <c r="U32" i="9"/>
  <c r="U40" i="9"/>
  <c r="U13" i="9"/>
  <c r="AD13" i="9" s="1"/>
  <c r="F37" i="10"/>
  <c r="V37" i="9"/>
  <c r="U30" i="9"/>
  <c r="F43" i="10"/>
  <c r="V43" i="9"/>
  <c r="U34" i="9"/>
  <c r="U29" i="9"/>
  <c r="U26" i="9"/>
  <c r="AD26" i="9" s="1"/>
  <c r="U41" i="9"/>
  <c r="U21" i="9"/>
  <c r="AD21" i="9" s="1"/>
  <c r="AO12" i="6"/>
  <c r="H10" i="11" s="1"/>
  <c r="AO11" i="6"/>
  <c r="H9" i="11" s="1"/>
  <c r="AO10" i="6"/>
  <c r="H8" i="11" s="1"/>
  <c r="AO9" i="6"/>
  <c r="H7" i="11" s="1"/>
  <c r="F17" i="10" l="1"/>
  <c r="AD17" i="9"/>
  <c r="F16" i="10"/>
  <c r="AD16" i="9"/>
  <c r="V38" i="9"/>
  <c r="F22" i="10"/>
  <c r="AD22" i="9"/>
  <c r="F25" i="10"/>
  <c r="H33" i="16" s="1"/>
  <c r="AD25" i="9"/>
  <c r="V23" i="9"/>
  <c r="AD23" i="9"/>
  <c r="V15" i="9"/>
  <c r="AD15" i="9"/>
  <c r="F18" i="10"/>
  <c r="AD18" i="9"/>
  <c r="F20" i="10"/>
  <c r="H28" i="16" s="1"/>
  <c r="AD20" i="9"/>
  <c r="V20" i="9"/>
  <c r="K13" i="10"/>
  <c r="E37" i="14" s="1"/>
  <c r="F15" i="10"/>
  <c r="H23" i="16" s="1"/>
  <c r="V25" i="9"/>
  <c r="V18" i="9"/>
  <c r="AO10" i="8"/>
  <c r="H8" i="13" s="1"/>
  <c r="K9" i="10"/>
  <c r="E36" i="14" s="1"/>
  <c r="AO12" i="8"/>
  <c r="H10" i="13" s="1"/>
  <c r="AO11" i="8"/>
  <c r="H9" i="13" s="1"/>
  <c r="AO9" i="8"/>
  <c r="H7" i="13" s="1"/>
  <c r="V17" i="9"/>
  <c r="F23" i="10"/>
  <c r="H31" i="16" s="1"/>
  <c r="V39" i="9"/>
  <c r="V16" i="9"/>
  <c r="V22" i="9"/>
  <c r="F30" i="10"/>
  <c r="V30" i="9"/>
  <c r="V12" i="9"/>
  <c r="F12" i="10"/>
  <c r="H11" i="11"/>
  <c r="I8" i="11" s="1"/>
  <c r="H26" i="16"/>
  <c r="G18" i="10"/>
  <c r="F33" i="10"/>
  <c r="V33" i="9"/>
  <c r="H39" i="16"/>
  <c r="G31" i="10"/>
  <c r="E26" i="14"/>
  <c r="G24" i="14" s="1"/>
  <c r="H50" i="16"/>
  <c r="G42" i="10"/>
  <c r="F41" i="10"/>
  <c r="V41" i="9"/>
  <c r="H45" i="16"/>
  <c r="G37" i="10"/>
  <c r="F32" i="10"/>
  <c r="V32" i="9"/>
  <c r="F14" i="10"/>
  <c r="V14" i="9"/>
  <c r="G25" i="10"/>
  <c r="F28" i="10"/>
  <c r="V28" i="9"/>
  <c r="H43" i="16"/>
  <c r="G35" i="10"/>
  <c r="H46" i="16"/>
  <c r="G38" i="10"/>
  <c r="F10" i="10"/>
  <c r="V10" i="9"/>
  <c r="F21" i="10"/>
  <c r="V21" i="9"/>
  <c r="F26" i="10"/>
  <c r="V26" i="9"/>
  <c r="F19" i="10"/>
  <c r="V19" i="9"/>
  <c r="F9" i="10"/>
  <c r="V9" i="9"/>
  <c r="F24" i="10"/>
  <c r="V24" i="9"/>
  <c r="F11" i="10"/>
  <c r="V11" i="9"/>
  <c r="F29" i="10"/>
  <c r="V29" i="9"/>
  <c r="F13" i="10"/>
  <c r="V13" i="9"/>
  <c r="H52" i="16"/>
  <c r="G44" i="10"/>
  <c r="H44" i="16"/>
  <c r="G36" i="10"/>
  <c r="F34" i="10"/>
  <c r="V34" i="9"/>
  <c r="F40" i="10"/>
  <c r="V40" i="9"/>
  <c r="F27" i="10"/>
  <c r="V27" i="9"/>
  <c r="H24" i="16"/>
  <c r="G16" i="10"/>
  <c r="H30" i="16"/>
  <c r="G22" i="10"/>
  <c r="H47" i="16"/>
  <c r="G39" i="10"/>
  <c r="H11" i="12"/>
  <c r="I9" i="12" s="1"/>
  <c r="H51" i="16"/>
  <c r="G43" i="10"/>
  <c r="E13" i="14"/>
  <c r="G11" i="14" s="1"/>
  <c r="H25" i="16"/>
  <c r="G17" i="10"/>
  <c r="G20" i="10" l="1"/>
  <c r="G15" i="10"/>
  <c r="I9" i="11"/>
  <c r="I10" i="11"/>
  <c r="G12" i="14"/>
  <c r="G13" i="14" s="1"/>
  <c r="E38" i="14"/>
  <c r="G23" i="10"/>
  <c r="H11" i="13"/>
  <c r="I10" i="13" s="1"/>
  <c r="I7" i="11"/>
  <c r="I8" i="12"/>
  <c r="I7" i="12"/>
  <c r="G36" i="14"/>
  <c r="G25" i="14"/>
  <c r="G26" i="14" s="1"/>
  <c r="G37" i="14"/>
  <c r="H49" i="16"/>
  <c r="G41" i="10"/>
  <c r="H19" i="16"/>
  <c r="G11" i="10"/>
  <c r="H34" i="16"/>
  <c r="G26" i="10"/>
  <c r="H20" i="16"/>
  <c r="G12" i="10"/>
  <c r="H42" i="16"/>
  <c r="G34" i="10"/>
  <c r="H21" i="16"/>
  <c r="G13" i="10"/>
  <c r="H22" i="16"/>
  <c r="G14" i="10"/>
  <c r="I10" i="12"/>
  <c r="H32" i="16"/>
  <c r="G24" i="10"/>
  <c r="H37" i="16"/>
  <c r="G29" i="10"/>
  <c r="H29" i="16"/>
  <c r="G21" i="10"/>
  <c r="H40" i="16"/>
  <c r="G32" i="10"/>
  <c r="H41" i="16"/>
  <c r="G33" i="10"/>
  <c r="H27" i="16"/>
  <c r="G19" i="10"/>
  <c r="H35" i="16"/>
  <c r="G27" i="10"/>
  <c r="H17" i="16"/>
  <c r="G9" i="10"/>
  <c r="H38" i="16"/>
  <c r="G30" i="10"/>
  <c r="H48" i="16"/>
  <c r="G40" i="10"/>
  <c r="G10" i="10"/>
  <c r="H18" i="16"/>
  <c r="H36" i="16"/>
  <c r="G28" i="10"/>
  <c r="I11" i="11" l="1"/>
  <c r="I9" i="13"/>
  <c r="I7" i="13"/>
  <c r="I8" i="13"/>
  <c r="I11" i="12"/>
  <c r="G38" i="14"/>
  <c r="I11" i="13" l="1"/>
</calcChain>
</file>

<file path=xl/sharedStrings.xml><?xml version="1.0" encoding="utf-8"?>
<sst xmlns="http://schemas.openxmlformats.org/spreadsheetml/2006/main" count="1076" uniqueCount="260">
  <si>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</si>
  <si>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</si>
  <si>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</si>
  <si>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</si>
  <si>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</si>
  <si>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</si>
  <si>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</si>
  <si>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</si>
  <si>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</si>
  <si>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</si>
  <si>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</si>
  <si>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</si>
  <si>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</si>
  <si>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</si>
  <si>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</si>
  <si>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</si>
  <si>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</si>
  <si>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</si>
  <si>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</si>
  <si>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</si>
  <si>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</si>
  <si>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</si>
  <si>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</si>
  <si>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</si>
  <si>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</si>
  <si>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</si>
  <si>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</si>
  <si>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</si>
  <si>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</si>
  <si>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</si>
  <si>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</si>
  <si>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</si>
  <si>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</si>
  <si>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</si>
  <si>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</si>
  <si>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</si>
  <si>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</si>
  <si>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</si>
  <si>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</si>
  <si>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</si>
  <si>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</si>
  <si>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</si>
  <si>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</si>
  <si>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</si>
  <si>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</si>
  <si>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</si>
  <si>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</si>
  <si>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</si>
  <si>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</si>
  <si>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</si>
  <si>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</si>
  <si>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</si>
  <si>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</si>
  <si>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</si>
  <si>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</si>
  <si>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</si>
  <si>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</si>
  <si>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</si>
  <si>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</si>
  <si>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</si>
  <si>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</si>
  <si>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</si>
  <si>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</si>
  <si>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</si>
  <si>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</si>
  <si>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</si>
  <si>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</si>
  <si>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</si>
  <si>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</si>
  <si>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</si>
  <si>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</si>
  <si>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</si>
  <si>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</si>
  <si>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</si>
  <si>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</si>
  <si>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</si>
  <si>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</si>
  <si>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</si>
  <si>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</si>
  <si>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</si>
  <si>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</si>
  <si>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</si>
  <si>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</si>
  <si>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</si>
  <si>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</si>
  <si>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</si>
  <si>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</si>
  <si>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</si>
  <si>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</si>
  <si>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</si>
  <si>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</si>
  <si>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</si>
  <si>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</si>
  <si>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</si>
  <si>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</si>
  <si>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</si>
  <si>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</si>
  <si>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</si>
  <si>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</si>
  <si>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</si>
  <si>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</si>
  <si>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</si>
  <si>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</si>
  <si>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</si>
  <si>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</si>
  <si>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</si>
  <si>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</si>
  <si>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</si>
  <si>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</si>
  <si>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</si>
  <si>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</si>
  <si>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</si>
  <si>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</si>
  <si>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</si>
  <si>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</si>
  <si>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</si>
  <si>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</si>
  <si>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</si>
  <si>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</si>
  <si>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</si>
  <si>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</si>
  <si>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</si>
  <si>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</si>
  <si>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</si>
  <si>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</si>
  <si>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</si>
  <si>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</si>
  <si>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</si>
  <si>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</si>
  <si>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</si>
  <si>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</si>
  <si>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</si>
  <si>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</si>
  <si>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</si>
  <si>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</si>
  <si>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</si>
  <si>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</si>
  <si>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</si>
  <si>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</si>
  <si>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</si>
  <si>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</si>
  <si>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</si>
  <si>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</si>
  <si>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</si>
  <si>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</si>
  <si>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</si>
  <si>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</si>
  <si>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</si>
  <si>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</si>
  <si>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</si>
  <si>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</si>
  <si>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</si>
  <si>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</si>
  <si>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</si>
  <si>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</si>
  <si>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</si>
  <si>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</si>
  <si>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</si>
  <si>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</si>
  <si>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</si>
  <si>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</si>
  <si>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</si>
  <si>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</si>
  <si>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</si>
  <si>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</si>
  <si>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</si>
  <si>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</si>
  <si>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</si>
  <si>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</si>
  <si>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ADRIAN FLORES EDDY BEYMAR</t>
  </si>
  <si>
    <t xml:space="preserve">VENTURA CHOQUE DANELY </t>
  </si>
  <si>
    <t>r</t>
  </si>
  <si>
    <t>l</t>
  </si>
  <si>
    <t>13/5/2020</t>
  </si>
  <si>
    <t>20/5/2020</t>
  </si>
  <si>
    <t>27/5/2021</t>
  </si>
  <si>
    <t>1/7/2021</t>
  </si>
  <si>
    <t>8/7/2021</t>
  </si>
  <si>
    <t>15/7/2021</t>
  </si>
  <si>
    <t>22/7/2021</t>
  </si>
  <si>
    <t>29/7/2021</t>
  </si>
  <si>
    <t>5/8/2021</t>
  </si>
  <si>
    <t>12/8/2021</t>
  </si>
  <si>
    <t>22/07/2021 (defensa de cambio de base)</t>
  </si>
  <si>
    <t>8/7/2021 (defensa de algoritmo DES)</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</si>
  <si>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</si>
  <si>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</si>
  <si>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</si>
  <si>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</si>
  <si>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</si>
  <si>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</si>
  <si>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</si>
  <si>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</si>
  <si>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</si>
  <si>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</si>
  <si>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</si>
  <si>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</si>
  <si>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</si>
  <si>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</si>
  <si>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</si>
  <si>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</si>
  <si>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</si>
  <si>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</si>
  <si>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</si>
  <si>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</si>
  <si>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</si>
  <si>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</si>
  <si>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</si>
  <si>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</si>
  <si>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</si>
  <si>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</si>
  <si>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</si>
  <si>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</si>
  <si>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</si>
  <si>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</si>
  <si>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</si>
  <si>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</si>
  <si>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</si>
  <si>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</si>
  <si>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</si>
  <si>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</si>
  <si>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</si>
  <si>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</si>
  <si>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</si>
  <si>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</si>
  <si>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</si>
  <si>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</si>
  <si>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</si>
  <si>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</si>
  <si>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</si>
  <si>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</si>
  <si>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</si>
  <si>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</si>
  <si>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</si>
  <si>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4nnusvq</t>
  </si>
  <si>
    <t>Seguridad en sistemas informaticos</t>
  </si>
  <si>
    <t>20/05/2021(Practica Virus)</t>
  </si>
  <si>
    <t>https://classroom.google.com/c/MzA4MzAyNDY2MTEy/a/MzM3NDg5OTUyMTI0/details</t>
  </si>
  <si>
    <t>13/5/2021 (Cuestinario Criptografia)</t>
  </si>
  <si>
    <t>https://classroom.google.com/c/MzA4MzAyNDY2MTEy/a/MzM3NDk4MjE3NzI0/details</t>
  </si>
  <si>
    <t>nhnh2ii</t>
  </si>
  <si>
    <t>01/07/2021 (encriptación DES)</t>
  </si>
  <si>
    <t>https://classroom.google.com/c/MzQxMzE3NDYyNjg0/a/MzY5MDIxODA4MzQ1/details</t>
  </si>
  <si>
    <t>15/7/2021 (Binario a Letra)</t>
  </si>
  <si>
    <t>https://classroom.google.com/c/MzQxMzE3NDYyNjg0/a/MzczMTUyMzQ3NzU0/details</t>
  </si>
  <si>
    <t>05/08/2021 (Cifrado Feistel)</t>
  </si>
  <si>
    <t>https://classroom.google.com/c/MzQxMzE3NDYyNjg0/a/Mzc1MDE3MDAwOTk1/details</t>
  </si>
  <si>
    <t>19/8/2021</t>
  </si>
  <si>
    <t>19/08/2021 (Desarrollo de Matriz LR)</t>
  </si>
  <si>
    <t>26/8/2021</t>
  </si>
  <si>
    <t>2/9/2021</t>
  </si>
  <si>
    <t>9/9/2021</t>
  </si>
  <si>
    <t>16/09/2021 (Examen Parcial)</t>
  </si>
  <si>
    <t>ojo</t>
  </si>
  <si>
    <t>14/10/2021 (Investigacion Sistemas Operativos)</t>
  </si>
  <si>
    <t>14/10/2021 (Cuestionario Maquinas Virtuales)</t>
  </si>
  <si>
    <t>28/10/2021 (Investigacion Wifi Slax)</t>
  </si>
  <si>
    <t>JOSÉ COAQUIRA COPA</t>
  </si>
  <si>
    <t>04/11/2021 (Creacion Cuestionario WIFI Slax)</t>
  </si>
  <si>
    <t>04/11/2021 (Resolucion Cuestionario WIFI Slax)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</si>
</sst>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b/>
      <sz val="9"/>
      <color theme="0"/>
      <name val="Calibri"/>
      <family val="2"/>
    </font>
    <font>
      <u/>
      <sz val="16"/>
      <color theme="10"/>
      <name val="Arial"/>
      <family val="2"/>
    </font>
    <font>
      <b/>
      <sz val="16"/>
      <color theme="1"/>
      <name val="Arial"/>
      <family val="2"/>
    </font>
    <font>
      <b/>
      <sz val="12"/>
      <color rgb="FF000000"/>
      <name val="Arial"/>
      <family val="2"/>
    </font>
    <font>
      <b/>
      <sz val="11"/>
      <color rgb="FF000000"/>
      <name val="Arial"/>
      <family val="2"/>
    </font>
    <font>
      <sz val="8"/>
      <color rgb="FF000000"/>
      <name val="Arial"/>
      <family val="2"/>
    </font>
    <font>
      <b/>
      <sz val="9"/>
      <color rgb="FF000000"/>
      <name val="Calibri"/>
      <family val="2"/>
    </font>
    <font>
      <sz val="9"/>
      <color rgb="FF000000"/>
      <name val="Calibri"/>
      <family val="2"/>
    </font>
    <font>
      <sz val="8"/>
      <color rgb="FF000000"/>
      <name val="Times New Roman"/>
      <family val="1"/>
    </font>
    <font>
      <sz val="11"/>
      <color rgb="FF000000"/>
      <name val="Arial"/>
      <family val="2"/>
    </font>
    <font>
      <sz val="12"/>
      <color rgb="FF000000"/>
      <name val="Arial"/>
      <family val="2"/>
    </font>
    <font>
      <sz val="10"/>
      <color rgb="FF000000"/>
      <name val="Arial"/>
      <family val="2"/>
    </font>
    <font>
      <b/>
      <sz val="10"/>
      <color rgb="FF000000"/>
      <name val="Arial"/>
      <family val="2"/>
    </font>
    <font>
      <u/>
      <sz val="11"/>
      <color theme="10"/>
      <name val="Arial"/>
      <family val="2"/>
    </font>
    <font>
      <u/>
      <sz val="11"/>
      <color rgb="FF0563C1"/>
      <name val="Arial"/>
      <family val="2"/>
    </font>
    <font>
      <b/>
      <sz val="9"/>
      <color rgb="FF000000"/>
      <name val="Arial"/>
      <family val="2"/>
    </font>
    <font>
      <sz val="10"/>
      <color theme="1"/>
      <name val="Roboto"/>
    </font>
    <font>
      <sz val="11"/>
      <color rgb="FF5F6368"/>
      <name val="Roboto"/>
    </font>
    <font>
      <sz val="8"/>
      <color theme="1"/>
      <name val="Arial"/>
      <family val="2"/>
    </font>
    <font>
      <sz val="12"/>
      <color rgb="FF5F6368"/>
      <name val="Roboto"/>
    </font>
    <font>
      <sz val="10"/>
      <color theme="1"/>
      <name val="Arial"/>
      <family val="2"/>
    </font>
    <font>
      <b/>
      <sz val="10"/>
      <color theme="1"/>
      <name val="Arial"/>
      <family val="2"/>
    </font>
  </fonts>
  <fills count="25">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rgb="FFFFFF00"/>
        <bgColor rgb="FFFBE4D5"/>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00B050"/>
        <bgColor indexed="64"/>
      </patternFill>
    </fill>
    <fill>
      <patternFill patternType="solid">
        <fgColor rgb="FF00B0F0"/>
        <bgColor indexed="64"/>
      </patternFill>
    </fill>
    <fill>
      <patternFill patternType="solid">
        <fgColor rgb="FF00B0F0"/>
        <bgColor rgb="FFD6DCE4"/>
      </patternFill>
    </fill>
    <fill>
      <patternFill patternType="solid">
        <fgColor rgb="FF00B0F0"/>
        <bgColor rgb="FFFBE4D5"/>
      </patternFill>
    </fill>
    <fill>
      <patternFill patternType="solid">
        <fgColor rgb="FFFFFF00"/>
        <bgColor rgb="FFDEEAF6"/>
      </patternFill>
    </fill>
    <fill>
      <patternFill patternType="solid">
        <fgColor rgb="FFFFFF00"/>
        <bgColor rgb="FFE2EFD9"/>
      </patternFill>
    </fill>
    <fill>
      <patternFill patternType="solid">
        <fgColor rgb="FFFF0000"/>
        <bgColor rgb="FFDEEAF6"/>
      </patternFill>
    </fill>
    <fill>
      <patternFill patternType="solid">
        <fgColor rgb="FFFF0000"/>
        <bgColor rgb="FFE2EFD9"/>
      </patternFill>
    </fill>
  </fills>
  <borders count="66">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3" fontId="38" fillId="0" borderId="0" applyFont="0" applyFill="0" applyBorder="0" applyAlignment="0" applyProtection="0"/>
    <xf numFmtId="0" fontId="41" fillId="0" borderId="0" applyNumberFormat="0" applyFill="0" applyBorder="0" applyAlignment="0" applyProtection="0"/>
  </cellStyleXfs>
  <cellXfs count="338">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4" fontId="40" fillId="9" borderId="19" xfId="0" applyNumberFormat="1" applyFont="1" applyFill="1" applyBorder="1" applyAlignment="1">
      <alignment horizontal="center" vertical="center" textRotation="90"/>
    </xf>
    <xf numFmtId="14" fontId="40" fillId="9" borderId="57" xfId="0" applyNumberFormat="1" applyFont="1" applyFill="1" applyBorder="1" applyAlignment="1">
      <alignment horizontal="center" vertical="center" textRotation="90"/>
    </xf>
    <xf numFmtId="14" fontId="40" fillId="9" borderId="39"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8" xfId="0" applyFont="1" applyBorder="1" applyAlignment="1">
      <alignment horizontal="center" vertical="center"/>
    </xf>
    <xf numFmtId="0" fontId="39" fillId="0" borderId="15" xfId="0" applyFont="1" applyBorder="1"/>
    <xf numFmtId="0" fontId="0" fillId="0" borderId="0" xfId="0"/>
    <xf numFmtId="14" fontId="48" fillId="0" borderId="59" xfId="0" applyNumberFormat="1" applyFont="1" applyBorder="1" applyAlignment="1">
      <alignment horizontal="center" textRotation="90"/>
    </xf>
    <xf numFmtId="0" fontId="49" fillId="0" borderId="59" xfId="0" applyFont="1" applyBorder="1" applyAlignment="1">
      <alignment horizontal="center" vertical="center"/>
    </xf>
    <xf numFmtId="0" fontId="57" fillId="0" borderId="15" xfId="0" applyFont="1" applyBorder="1" applyAlignment="1">
      <alignment vertical="center" wrapText="1"/>
    </xf>
    <xf numFmtId="0" fontId="58" fillId="0" borderId="0" xfId="0" applyFont="1"/>
    <xf numFmtId="14" fontId="48" fillId="0" borderId="15" xfId="0" applyNumberFormat="1" applyFont="1" applyBorder="1" applyAlignment="1">
      <alignment horizontal="center" textRotation="90"/>
    </xf>
    <xf numFmtId="0" fontId="49" fillId="0" borderId="15" xfId="0" applyFont="1" applyBorder="1" applyAlignment="1">
      <alignment horizontal="center" vertical="center"/>
    </xf>
    <xf numFmtId="0" fontId="9" fillId="10" borderId="19" xfId="0" applyFont="1" applyFill="1" applyBorder="1" applyAlignment="1">
      <alignment horizontal="left" vertical="center"/>
    </xf>
    <xf numFmtId="0" fontId="58" fillId="0" borderId="15" xfId="0" applyFont="1" applyBorder="1"/>
    <xf numFmtId="166" fontId="47" fillId="0" borderId="19" xfId="1" applyNumberFormat="1" applyFont="1" applyFill="1" applyBorder="1" applyAlignment="1">
      <alignment horizontal="left" vertical="center"/>
    </xf>
    <xf numFmtId="0" fontId="0" fillId="0" borderId="15" xfId="0" applyBorder="1"/>
    <xf numFmtId="166" fontId="0" fillId="0" borderId="0" xfId="0" applyNumberFormat="1"/>
    <xf numFmtId="0" fontId="55" fillId="0" borderId="15" xfId="0" applyFont="1" applyBorder="1" applyAlignment="1">
      <alignment vertical="center"/>
    </xf>
    <xf numFmtId="0" fontId="55" fillId="0" borderId="59" xfId="0" applyFont="1" applyBorder="1" applyAlignment="1">
      <alignment vertical="center"/>
    </xf>
    <xf numFmtId="0" fontId="59" fillId="0" borderId="59" xfId="0" applyFont="1" applyBorder="1" applyAlignment="1">
      <alignment horizontal="center"/>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9"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9" fillId="14" borderId="19" xfId="0" applyFont="1" applyFill="1" applyBorder="1" applyAlignment="1">
      <alignment horizontal="left" vertical="center"/>
    </xf>
    <xf numFmtId="0" fontId="9" fillId="14" borderId="19" xfId="0" applyFont="1" applyFill="1" applyBorder="1" applyAlignment="1">
      <alignment horizontal="center" vertical="center"/>
    </xf>
    <xf numFmtId="0" fontId="9" fillId="14" borderId="39" xfId="0" applyFont="1" applyFill="1" applyBorder="1" applyAlignment="1">
      <alignment horizontal="center" vertical="center"/>
    </xf>
    <xf numFmtId="0" fontId="9" fillId="14" borderId="26" xfId="0" applyFont="1" applyFill="1" applyBorder="1" applyAlignment="1">
      <alignment horizontal="center" vertical="center"/>
    </xf>
    <xf numFmtId="0" fontId="0" fillId="14" borderId="0" xfId="0" applyFont="1" applyFill="1" applyAlignment="1"/>
    <xf numFmtId="1" fontId="0" fillId="0" borderId="0" xfId="0" applyNumberFormat="1" applyFont="1" applyAlignment="1"/>
    <xf numFmtId="0" fontId="10" fillId="14" borderId="19" xfId="0" applyFont="1" applyFill="1" applyBorder="1" applyAlignment="1">
      <alignment horizontal="left" vertical="center"/>
    </xf>
    <xf numFmtId="0" fontId="10" fillId="14" borderId="19" xfId="0" applyFont="1" applyFill="1" applyBorder="1" applyAlignment="1">
      <alignment horizontal="center" vertical="center"/>
    </xf>
    <xf numFmtId="0" fontId="25" fillId="15" borderId="19" xfId="0" applyFont="1" applyFill="1" applyBorder="1" applyAlignment="1">
      <alignment horizontal="center" vertical="center"/>
    </xf>
    <xf numFmtId="0" fontId="26" fillId="16" borderId="19" xfId="0" applyFont="1" applyFill="1" applyBorder="1" applyAlignment="1">
      <alignment horizontal="center" vertical="center"/>
    </xf>
    <xf numFmtId="0" fontId="9" fillId="11" borderId="19" xfId="0" applyFont="1" applyFill="1" applyBorder="1" applyAlignment="1">
      <alignment horizontal="left" vertical="center"/>
    </xf>
    <xf numFmtId="0" fontId="9" fillId="17" borderId="19" xfId="0" applyFont="1" applyFill="1" applyBorder="1" applyAlignment="1">
      <alignment horizontal="center" vertical="center"/>
    </xf>
    <xf numFmtId="1" fontId="19" fillId="0" borderId="0" xfId="0" applyNumberFormat="1" applyFont="1" applyAlignment="1"/>
    <xf numFmtId="1" fontId="10" fillId="0" borderId="19" xfId="0" applyNumberFormat="1" applyFont="1" applyBorder="1" applyAlignment="1">
      <alignment horizontal="center" vertical="center"/>
    </xf>
    <xf numFmtId="1" fontId="10" fillId="14" borderId="19" xfId="0" applyNumberFormat="1" applyFont="1" applyFill="1" applyBorder="1" applyAlignment="1">
      <alignment horizontal="center" vertical="center"/>
    </xf>
    <xf numFmtId="1" fontId="10" fillId="11" borderId="19" xfId="0" applyNumberFormat="1" applyFont="1" applyFill="1" applyBorder="1" applyAlignment="1">
      <alignment horizontal="center" vertical="center"/>
    </xf>
    <xf numFmtId="0" fontId="10" fillId="18" borderId="19" xfId="0" applyFont="1" applyFill="1" applyBorder="1" applyAlignment="1">
      <alignment horizontal="left" vertical="center"/>
    </xf>
    <xf numFmtId="0" fontId="10" fillId="18" borderId="19" xfId="0" applyFont="1" applyFill="1" applyBorder="1" applyAlignment="1">
      <alignment horizontal="center" vertical="center"/>
    </xf>
    <xf numFmtId="0" fontId="25" fillId="19" borderId="19" xfId="0" applyFont="1" applyFill="1" applyBorder="1" applyAlignment="1">
      <alignment horizontal="center" vertical="center"/>
    </xf>
    <xf numFmtId="0" fontId="26" fillId="20" borderId="19" xfId="0" applyFont="1" applyFill="1" applyBorder="1" applyAlignment="1">
      <alignment horizontal="center" vertical="center"/>
    </xf>
    <xf numFmtId="1" fontId="25" fillId="5" borderId="19" xfId="0" applyNumberFormat="1" applyFont="1" applyFill="1" applyBorder="1" applyAlignment="1">
      <alignment horizontal="center" vertical="center"/>
    </xf>
    <xf numFmtId="1" fontId="25" fillId="12" borderId="19" xfId="0" applyNumberFormat="1" applyFont="1" applyFill="1" applyBorder="1" applyAlignment="1">
      <alignment horizontal="center" vertical="center"/>
    </xf>
    <xf numFmtId="1" fontId="25" fillId="15" borderId="19" xfId="0" applyNumberFormat="1" applyFont="1" applyFill="1" applyBorder="1" applyAlignment="1">
      <alignment horizontal="center" vertical="center"/>
    </xf>
    <xf numFmtId="1" fontId="25" fillId="19" borderId="19" xfId="0" applyNumberFormat="1" applyFont="1" applyFill="1" applyBorder="1" applyAlignment="1">
      <alignment horizontal="center" vertical="center"/>
    </xf>
    <xf numFmtId="0" fontId="12" fillId="21" borderId="19" xfId="0" applyFont="1" applyFill="1" applyBorder="1" applyAlignment="1">
      <alignment horizontal="center" vertical="center"/>
    </xf>
    <xf numFmtId="1" fontId="12" fillId="22" borderId="19" xfId="0" applyNumberFormat="1" applyFont="1" applyFill="1" applyBorder="1" applyAlignment="1">
      <alignment horizontal="center" vertical="center"/>
    </xf>
    <xf numFmtId="0" fontId="27" fillId="11" borderId="19" xfId="0" applyFont="1" applyFill="1" applyBorder="1" applyAlignment="1">
      <alignment horizontal="center" vertical="center"/>
    </xf>
    <xf numFmtId="0" fontId="12" fillId="23" borderId="19" xfId="0" applyFont="1" applyFill="1" applyBorder="1" applyAlignment="1">
      <alignment horizontal="center" vertical="center"/>
    </xf>
    <xf numFmtId="1" fontId="12" fillId="24" borderId="19" xfId="0" applyNumberFormat="1" applyFont="1" applyFill="1" applyBorder="1" applyAlignment="1">
      <alignment horizontal="center" vertical="center"/>
    </xf>
    <xf numFmtId="0" fontId="27" fillId="14" borderId="19" xfId="0" applyFont="1" applyFill="1" applyBorder="1" applyAlignment="1">
      <alignment horizontal="center" vertical="center"/>
    </xf>
    <xf numFmtId="1" fontId="60" fillId="0" borderId="0" xfId="0" applyNumberFormat="1" applyFont="1" applyAlignment="1">
      <alignment horizontal="center"/>
    </xf>
    <xf numFmtId="1" fontId="61" fillId="0" borderId="0" xfId="0" applyNumberFormat="1" applyFont="1" applyAlignment="1">
      <alignment horizont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6" fillId="0" borderId="60" xfId="0" applyFont="1" applyBorder="1" applyAlignment="1">
      <alignment horizontal="left" vertical="center" wrapText="1"/>
    </xf>
    <xf numFmtId="0" fontId="46" fillId="0" borderId="15" xfId="0" applyFont="1" applyBorder="1" applyAlignment="1">
      <alignment horizontal="left" vertical="center" wrapText="1"/>
    </xf>
    <xf numFmtId="0" fontId="46" fillId="0" borderId="59" xfId="0" applyFont="1" applyBorder="1" applyAlignment="1">
      <alignment horizontal="right" vertical="center"/>
    </xf>
    <xf numFmtId="0" fontId="47" fillId="0" borderId="59" xfId="0" applyFont="1" applyBorder="1" applyAlignment="1">
      <alignment horizontal="right" vertical="center"/>
    </xf>
    <xf numFmtId="1" fontId="52" fillId="0" borderId="59" xfId="0" applyNumberFormat="1" applyFont="1" applyBorder="1" applyAlignment="1">
      <alignment horizontal="center"/>
    </xf>
    <xf numFmtId="0" fontId="49" fillId="0" borderId="59" xfId="0" applyFont="1" applyBorder="1" applyAlignment="1">
      <alignment horizontal="center"/>
    </xf>
    <xf numFmtId="0" fontId="51" fillId="0" borderId="59" xfId="0" applyFont="1" applyBorder="1" applyAlignment="1">
      <alignment horizontal="center"/>
    </xf>
    <xf numFmtId="0" fontId="53" fillId="0" borderId="59" xfId="2" applyFont="1" applyFill="1" applyBorder="1" applyAlignment="1">
      <alignment horizontal="left"/>
    </xf>
    <xf numFmtId="0" fontId="49" fillId="0" borderId="59" xfId="0" applyFont="1" applyBorder="1" applyAlignment="1">
      <alignment horizontal="left"/>
    </xf>
    <xf numFmtId="14" fontId="47" fillId="0" borderId="59" xfId="0" applyNumberFormat="1" applyFont="1" applyBorder="1" applyAlignment="1">
      <alignment horizontal="right" vertical="center"/>
    </xf>
    <xf numFmtId="0" fontId="54" fillId="0" borderId="59" xfId="2" applyFont="1" applyFill="1" applyBorder="1" applyAlignment="1">
      <alignment horizontal="left"/>
    </xf>
    <xf numFmtId="0" fontId="44" fillId="0" borderId="59" xfId="0" applyFont="1" applyBorder="1" applyAlignment="1">
      <alignment horizontal="center" vertical="center"/>
    </xf>
    <xf numFmtId="14" fontId="45" fillId="0" borderId="59" xfId="0" applyNumberFormat="1" applyFont="1" applyBorder="1" applyAlignment="1">
      <alignment horizontal="right" vertical="center"/>
    </xf>
    <xf numFmtId="0" fontId="45" fillId="0" borderId="59" xfId="0" applyFont="1" applyBorder="1" applyAlignment="1">
      <alignment horizontal="right" vertical="center"/>
    </xf>
    <xf numFmtId="0" fontId="55" fillId="0" borderId="64" xfId="0" applyFont="1" applyBorder="1" applyAlignment="1">
      <alignment horizontal="center" vertical="center"/>
    </xf>
    <xf numFmtId="0" fontId="55" fillId="0" borderId="65" xfId="0" applyFont="1" applyBorder="1" applyAlignment="1">
      <alignment horizontal="center" vertical="center"/>
    </xf>
    <xf numFmtId="0" fontId="56" fillId="0" borderId="59" xfId="0" applyFont="1" applyBorder="1" applyAlignment="1">
      <alignment horizontal="center" vertical="center"/>
    </xf>
    <xf numFmtId="0" fontId="43" fillId="0" borderId="59" xfId="0" applyFont="1" applyBorder="1" applyAlignment="1">
      <alignment horizontal="left"/>
    </xf>
    <xf numFmtId="0" fontId="50" fillId="0" borderId="59" xfId="0" applyFont="1" applyBorder="1" applyAlignment="1">
      <alignment horizontal="left"/>
    </xf>
    <xf numFmtId="0" fontId="50" fillId="0" borderId="61" xfId="0" applyFont="1" applyBorder="1" applyAlignment="1">
      <alignment horizontal="left"/>
    </xf>
    <xf numFmtId="0" fontId="50" fillId="0" borderId="62" xfId="0" applyFont="1" applyBorder="1" applyAlignment="1">
      <alignment horizontal="left"/>
    </xf>
    <xf numFmtId="0" fontId="50" fillId="0" borderId="63" xfId="0" applyFont="1" applyBorder="1" applyAlignment="1">
      <alignment horizontal="left"/>
    </xf>
    <xf numFmtId="0" fontId="44" fillId="0" borderId="15" xfId="0" applyFont="1" applyBorder="1" applyAlignment="1">
      <alignment horizontal="center"/>
    </xf>
    <xf numFmtId="0" fontId="42" fillId="0" borderId="15" xfId="0" applyFont="1" applyBorder="1" applyAlignment="1">
      <alignment horizontal="center"/>
    </xf>
    <xf numFmtId="0" fontId="50" fillId="0" borderId="59" xfId="0" applyFont="1" applyBorder="1" applyAlignment="1">
      <alignment horizontal="center"/>
    </xf>
    <xf numFmtId="0" fontId="43" fillId="0" borderId="59" xfId="0" applyFont="1" applyBorder="1" applyAlignment="1">
      <alignment horizontal="center"/>
    </xf>
    <xf numFmtId="0" fontId="50" fillId="0" borderId="61" xfId="0" applyFont="1" applyBorder="1" applyAlignment="1">
      <alignment horizontal="center"/>
    </xf>
    <xf numFmtId="0" fontId="50" fillId="0" borderId="62" xfId="0" applyFont="1" applyBorder="1" applyAlignment="1">
      <alignment horizontal="center"/>
    </xf>
    <xf numFmtId="0" fontId="50" fillId="0" borderId="63"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27" fillId="18" borderId="39" xfId="0" applyFont="1" applyFill="1" applyBorder="1" applyAlignment="1">
      <alignment horizontal="center" vertical="center"/>
    </xf>
    <xf numFmtId="0" fontId="3" fillId="18" borderId="40" xfId="0" applyFont="1" applyFill="1" applyBorder="1"/>
    <xf numFmtId="0" fontId="3" fillId="18" borderId="41" xfId="0" applyFont="1" applyFill="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7" fillId="14" borderId="39" xfId="0" applyFont="1" applyFill="1" applyBorder="1" applyAlignment="1">
      <alignment horizontal="center" vertical="center"/>
    </xf>
    <xf numFmtId="0" fontId="3" fillId="14" borderId="40" xfId="0" applyFont="1" applyFill="1" applyBorder="1"/>
    <xf numFmtId="0" fontId="3" fillId="14"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0.83333333333333337</c:v>
                </c:pt>
                <c:pt idx="1">
                  <c:v>0.16666666666666666</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0.91666666666666663</c:v>
                </c:pt>
                <c:pt idx="1">
                  <c:v>8.3333333333333329E-2</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0.86111111111111116</c:v>
                </c:pt>
                <c:pt idx="1">
                  <c:v>0.1388888888888889</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59918</xdr:rowOff>
    </xdr:to>
    <xdr:pic>
      <xdr:nvPicPr>
        <xdr:cNvPr id="8" name="Imagen 7">
          <a:extLst>
            <a:ext uri="{FF2B5EF4-FFF2-40B4-BE49-F238E27FC236}">
              <a16:creationId xmlns:a16="http://schemas.microsoft.com/office/drawing/2014/main" id="{C0F0A80A-E3B2-4D8E-9A45-374B069198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82283"/>
        </a:xfrm>
        <a:prstGeom prst="rect">
          <a:avLst/>
        </a:prstGeom>
      </xdr:spPr>
    </xdr:pic>
    <xdr:clientData/>
  </xdr:twoCellAnchor>
  <xdr:twoCellAnchor>
    <xdr:from>
      <xdr:col>16</xdr:col>
      <xdr:colOff>190403</xdr:colOff>
      <xdr:row>29</xdr:row>
      <xdr:rowOff>228267</xdr:rowOff>
    </xdr:from>
    <xdr:to>
      <xdr:col>21</xdr:col>
      <xdr:colOff>28112</xdr:colOff>
      <xdr:row>32</xdr:row>
      <xdr:rowOff>203874</xdr:rowOff>
    </xdr:to>
    <xdr:sp macro="" textlink="">
      <xdr:nvSpPr>
        <xdr:cNvPr id="9" name="Cuadro de texto 2">
          <a:extLst>
            <a:ext uri="{FF2B5EF4-FFF2-40B4-BE49-F238E27FC236}">
              <a16:creationId xmlns:a16="http://schemas.microsoft.com/office/drawing/2014/main" id="{9F00F4CF-A65B-4A95-9A04-381FC4DDEA9B}"/>
            </a:ext>
          </a:extLst>
        </xdr:cNvPr>
        <xdr:cNvSpPr txBox="1">
          <a:spLocks noChangeArrowheads="1"/>
        </xdr:cNvSpPr>
      </xdr:nvSpPr>
      <xdr:spPr bwMode="auto">
        <a:xfrm>
          <a:off x="4404263" y="7612047"/>
          <a:ext cx="1133109" cy="752847"/>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efreshError="1"/>
      <sheetData sheetId="1" refreshError="1"/>
      <sheetData sheetId="2" refreshError="1"/>
      <sheetData sheetId="3">
        <row r="7">
          <cell r="BA7" t="str">
            <v>Asist. (A)</v>
          </cell>
          <cell r="BB7" t="str">
            <v>Faltas (F)</v>
          </cell>
          <cell r="BC7" t="str">
            <v>Retrasos (R)</v>
          </cell>
          <cell r="BD7" t="str">
            <v>Licencias (L)</v>
          </cell>
          <cell r="BE7" t="str">
            <v>DÍAS TRABAJADOS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C78988-FDDA-4AD2-BEC0-B52BDE7BFD27}" name="Tabla1" displayName="Tabla1" ref="A7:BE26" totalsRowShown="0" headerRowDxfId="59" dataDxfId="58" tableBorderDxfId="57">
  <autoFilter ref="A7:BE26" xr:uid="{9BC78988-FDDA-4AD2-BEC0-B52BDE7BFD27}"/>
  <tableColumns count="57">
    <tableColumn id="1" xr3:uid="{D0ED20DB-9863-4F6A-8AB1-CD207807908B}" name="Nº" dataDxfId="56"/>
    <tableColumn id="2" xr3:uid="{46706CF6-0882-4610-88A5-2FE53F9FA267}" name="NÓMINA DE ESTUDIANTES" dataDxfId="55"/>
    <tableColumn id="3" xr3:uid="{42FDFAB5-F922-4F3D-8A2F-02BF4764710A}" name="13/5/2020" dataDxfId="54"/>
    <tableColumn id="4" xr3:uid="{659C7EBD-166B-4362-88D5-D94533F650CF}" name="20/5/2020" dataDxfId="53"/>
    <tableColumn id="5" xr3:uid="{8C67B9F7-9DCF-4B0F-8933-A50CC84CB762}" name="27/5/2021" dataDxfId="52"/>
    <tableColumn id="6" xr3:uid="{7203B26B-59EC-4D89-8F0A-84F2A42A3AAC}" name="1/7/2021" dataDxfId="51"/>
    <tableColumn id="7" xr3:uid="{6D41E0E8-99DC-43C7-AC51-7961E658271E}" name="8/7/2021" dataDxfId="50"/>
    <tableColumn id="8" xr3:uid="{8850CB14-31F0-48AA-831C-F5F49AD00F80}" name="15/7/2021" dataDxfId="49"/>
    <tableColumn id="9" xr3:uid="{76574A00-7BEC-4F86-B221-E606E6267A59}" name="22/7/2021" dataDxfId="48"/>
    <tableColumn id="10" xr3:uid="{9B5037E1-C1F1-47AB-BACE-5EB705837506}" name="29/7/2021" dataDxfId="47"/>
    <tableColumn id="11" xr3:uid="{50FB99AF-D0BE-4E89-806A-1582A3E6F048}" name="5/8/2021" dataDxfId="46"/>
    <tableColumn id="12" xr3:uid="{DAA3A428-400C-4DD3-9262-ECE698F3868B}" name="12/8/2021" dataDxfId="45"/>
    <tableColumn id="13" xr3:uid="{0EE16E89-26BC-4EF5-8866-465A6A07D385}" name="19/8/2021" dataDxfId="44"/>
    <tableColumn id="14" xr3:uid="{85683C2D-0E87-4BC4-A3C7-8DAD8D7A49A3}" name="26/8/2021" dataDxfId="43"/>
    <tableColumn id="15" xr3:uid="{27030A5F-895D-41FB-A497-C215CEE24D81}" name="2/9/2021" dataDxfId="42"/>
    <tableColumn id="16" xr3:uid="{B15DA6BA-0AAD-406C-876A-CB1746A0B16F}" name="9/9/2021" dataDxfId="41"/>
    <tableColumn id="17" xr3:uid="{B197BE99-7DB1-4073-BFEA-FC98B9AEADB6}" name="Columna5" dataDxfId="40"/>
    <tableColumn id="18" xr3:uid="{6189B7D1-756D-4FAE-8A28-804B77986C09}" name="Columna6" dataDxfId="39"/>
    <tableColumn id="19" xr3:uid="{3A9B36A1-783D-4E24-B263-AF5A6C9C7C72}" name="Columna7" dataDxfId="38"/>
    <tableColumn id="20" xr3:uid="{CA4D259F-62D3-4FE7-87AE-157EFC27BEE9}" name="Columna8" dataDxfId="37"/>
    <tableColumn id="21" xr3:uid="{B2D6FFEF-1432-431F-AC14-6E82DB0A7882}" name="Columna9" dataDxfId="36"/>
    <tableColumn id="22" xr3:uid="{84C9ADF8-8D19-4632-A3EA-A4C7BF4BE301}" name="Columna10" dataDxfId="35"/>
    <tableColumn id="23" xr3:uid="{D80E3633-607D-4E7C-AF82-DD393F362502}" name="Columna11" dataDxfId="34"/>
    <tableColumn id="24" xr3:uid="{0EC1654B-91FE-448C-BE59-D81C18EA5BC6}" name="Columna12" dataDxfId="33"/>
    <tableColumn id="25" xr3:uid="{9F9BBE5D-3EBC-415D-ABD4-3106336334DD}" name="Columna13" dataDxfId="32"/>
    <tableColumn id="26" xr3:uid="{6285E6C9-BF1D-4FDE-8D29-D7045E3FE8D4}" name="Columna14" dataDxfId="31"/>
    <tableColumn id="27" xr3:uid="{483E276C-5736-4820-AEB5-C8C76A614A1D}" name="Columna15" dataDxfId="30"/>
    <tableColumn id="28" xr3:uid="{15568F8E-2EE9-40A5-AE03-3B0D9BCBCF7D}" name="Columna16" dataDxfId="29"/>
    <tableColumn id="29" xr3:uid="{DE980EE4-1EB2-4005-945B-1D10B88A343E}" name="Columna17" dataDxfId="28"/>
    <tableColumn id="30" xr3:uid="{58133856-5E94-4D27-87E5-4051EC49BC00}" name="Columna18" dataDxfId="27"/>
    <tableColumn id="31" xr3:uid="{DAF5CC20-9661-473A-95B6-F37D2FF1949F}" name="Columna19" dataDxfId="26"/>
    <tableColumn id="32" xr3:uid="{2E5D811C-4AAB-411A-86E3-B0E97BEE9229}" name="Columna20" dataDxfId="25"/>
    <tableColumn id="33" xr3:uid="{F169A655-0226-4FD5-837F-AC7C03E0D89A}" name="Columna21" dataDxfId="24"/>
    <tableColumn id="34" xr3:uid="{14CEF7D6-1334-41BA-A06B-CF7455FC87D4}" name="Columna22" dataDxfId="23"/>
    <tableColumn id="35" xr3:uid="{06F67E50-A6D3-4674-A060-4CCFCB482C09}" name="Columna23" dataDxfId="22"/>
    <tableColumn id="36" xr3:uid="{EBD5AB1C-803D-45B8-BD10-0693437C19E8}" name="Columna24" dataDxfId="21"/>
    <tableColumn id="37" xr3:uid="{26A9C18E-1E4E-4597-A4FC-4DC37F4B62EE}" name="Columna25" dataDxfId="20"/>
    <tableColumn id="38" xr3:uid="{FE1C5ABC-0A87-4D88-AB94-126C3376418C}" name="Columna26" dataDxfId="19"/>
    <tableColumn id="39" xr3:uid="{59F9F2B9-795A-422A-9674-DCEB694E7B38}" name="Columna27" dataDxfId="18"/>
    <tableColumn id="40" xr3:uid="{78D45DD8-686A-4FCF-8FD8-C93657FA78CF}" name="Columna28" dataDxfId="17"/>
    <tableColumn id="41" xr3:uid="{E288E44A-EFA8-4D5E-B171-323D9578B0A0}" name="Columna29" dataDxfId="16"/>
    <tableColumn id="42" xr3:uid="{76D6E023-13D1-4682-9E4C-D6AB71ED7C7D}" name="Columna30" dataDxfId="15"/>
    <tableColumn id="43" xr3:uid="{241DE3B4-5030-4035-85C7-955565E9E70E}" name="Columna31" dataDxfId="14"/>
    <tableColumn id="44" xr3:uid="{8D8BCB87-277F-4EB2-A8D6-71623C9F05AF}" name="Columna32" dataDxfId="13"/>
    <tableColumn id="45" xr3:uid="{1B9F3682-AB68-4045-B914-666DB90FD54E}" name="Columna33" dataDxfId="12"/>
    <tableColumn id="46" xr3:uid="{85AA4116-2720-4D1B-9925-120360FE483F}" name="Columna34" dataDxfId="11"/>
    <tableColumn id="47" xr3:uid="{C1F2E883-1093-4036-A812-9F45662CFCFA}" name="Columna35" dataDxfId="10"/>
    <tableColumn id="48" xr3:uid="{2CEE18FC-4A19-433B-AB41-A1D24A2FA7FB}" name="Columna36" dataDxfId="9"/>
    <tableColumn id="49" xr3:uid="{25343CE0-16D4-45E3-9448-253E985F0693}" name="Columna37" dataDxfId="8"/>
    <tableColumn id="50" xr3:uid="{4AB0E361-2D6B-415D-A566-08350063CFB5}" name="Columna38" dataDxfId="7"/>
    <tableColumn id="51" xr3:uid="{D4752580-C9AF-4FB0-8A51-132DDFF98F7E}" name="Columna39" dataDxfId="6"/>
    <tableColumn id="52" xr3:uid="{8CF7A739-ED21-419A-AB35-BC15C6C9B302}" name="Columna40" dataDxfId="5"/>
    <tableColumn id="53" xr3:uid="{EE64F354-ABDC-45FC-9475-25A6894D8EE2}" name="Asist. (A)" dataDxfId="4">
      <calculatedColumnFormula>IF(COUNTIF(C8:AZ8,"A")=0,"",COUNTIF(C8:AZ8,"A"))</calculatedColumnFormula>
    </tableColumn>
    <tableColumn id="54" xr3:uid="{6EBB8F1C-D667-49D3-8976-D34E3709E7F6}" name="Faltas (F)" dataDxfId="3">
      <calculatedColumnFormula>IF(COUNTIF(C8:AZ8,"F")=0,"0",COUNTIF(C8:AZ8,"F"))</calculatedColumnFormula>
    </tableColumn>
    <tableColumn id="55" xr3:uid="{73EECF39-DB3E-482C-9101-E3126CF0F8C3}" name="Retrasos (R)" dataDxfId="2">
      <calculatedColumnFormula>IF(COUNTIF(C8:AZ8,"R")=0,"0",COUNTIF(C8:AZ8,"R"))</calculatedColumnFormula>
    </tableColumn>
    <tableColumn id="56" xr3:uid="{570FE164-6B63-49AA-912B-5460E934CDC0}" name="Licencias (L)" dataDxfId="1">
      <calculatedColumnFormula>IF(COUNTIF(C8:AZ8,"L")=0,"0",COUNTIF(C8:AZ8,"L"))</calculatedColumnFormula>
    </tableColumn>
    <tableColumn id="57" xr3:uid="{29C08112-5310-4AAD-A6F9-396D0B1E9D1C}"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zE3NDYyNjg0/a/MzY5MDIxODA4MzQ1/details" TargetMode="External"/><Relationship Id="rId7" Type="http://schemas.openxmlformats.org/officeDocument/2006/relationships/drawing" Target="../drawings/drawing2.xml"/><Relationship Id="rId2" Type="http://schemas.openxmlformats.org/officeDocument/2006/relationships/hyperlink" Target="https://classroom.google.com/c/MzA4MzAyNDY2MTEy/a/MzM3NDk4MjE3NzI0/details" TargetMode="External"/><Relationship Id="rId1" Type="http://schemas.openxmlformats.org/officeDocument/2006/relationships/hyperlink" Target="https://classroom.google.com/c/MzA4MzAyNDY2MTEy/a/MzM3NDg5OTUyMTI0/details" TargetMode="External"/><Relationship Id="rId6" Type="http://schemas.openxmlformats.org/officeDocument/2006/relationships/printerSettings" Target="../printerSettings/printerSettings2.bin"/><Relationship Id="rId5" Type="http://schemas.openxmlformats.org/officeDocument/2006/relationships/hyperlink" Target="https://classroom.google.com/c/MzQxMzE3NDYyNjg0/a/Mzc1MDE3MDAwOTk1/details" TargetMode="External"/><Relationship Id="rId4" Type="http://schemas.openxmlformats.org/officeDocument/2006/relationships/hyperlink" Target="https://classroom.google.com/c/MzQxMzE3NDYyNjg0/a/MzczMTUyMzQ3NzU0/detail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13" workbookViewId="0">
      <selection activeCell="C17" sqref="C17:E17"/>
    </sheetView>
  </sheetViews>
  <sheetFormatPr baseColWidth="10" defaultColWidth="9.1328125" defaultRowHeight="15" customHeight="1" x14ac:dyDescent="0.35"/>
  <cols>
    <col min="1" max="1" width="3.6640625" customWidth="1"/>
    <col min="2" max="2" width="18.6640625" customWidth="1"/>
    <col min="3" max="6" width="8.73046875" customWidth="1"/>
    <col min="7" max="7" width="1.796875" customWidth="1"/>
    <col min="8" max="8" width="8.73046875" customWidth="1"/>
    <col min="9" max="9" width="3.6640625" customWidth="1"/>
    <col min="10" max="10" width="8.73046875" customWidth="1"/>
    <col min="11" max="11" width="1.7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23" t="s">
        <v>0</v>
      </c>
      <c r="D8" s="224"/>
      <c r="E8" s="225"/>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26" t="s">
        <v>1</v>
      </c>
      <c r="I9" s="227"/>
      <c r="J9" s="228"/>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29"/>
      <c r="I10" s="230"/>
      <c r="J10" s="231"/>
      <c r="K10" s="7"/>
      <c r="L10" s="1"/>
      <c r="M10" s="1"/>
      <c r="N10" s="1"/>
      <c r="O10" s="1"/>
      <c r="P10" s="1"/>
      <c r="Q10" s="1"/>
      <c r="R10" s="1"/>
      <c r="S10" s="1"/>
      <c r="T10" s="1"/>
      <c r="U10" s="1"/>
      <c r="V10" s="1"/>
      <c r="W10" s="1"/>
      <c r="X10" s="1"/>
      <c r="Y10" s="1"/>
      <c r="Z10" s="1"/>
    </row>
    <row r="11" spans="1:26" ht="15" customHeight="1" x14ac:dyDescent="0.35">
      <c r="A11" s="1"/>
      <c r="B11" s="8" t="s">
        <v>2</v>
      </c>
      <c r="C11" s="220" t="s">
        <v>3</v>
      </c>
      <c r="D11" s="221"/>
      <c r="E11" s="222"/>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32" t="s">
        <v>4</v>
      </c>
      <c r="I12" s="233"/>
      <c r="J12" s="233"/>
      <c r="K12" s="7"/>
      <c r="L12" s="1"/>
      <c r="M12" s="1"/>
      <c r="N12" s="1"/>
      <c r="O12" s="1"/>
      <c r="P12" s="1"/>
      <c r="Q12" s="1"/>
      <c r="R12" s="1"/>
      <c r="S12" s="1"/>
      <c r="T12" s="1"/>
      <c r="U12" s="1"/>
      <c r="V12" s="1"/>
      <c r="W12" s="1"/>
      <c r="X12" s="1"/>
      <c r="Y12" s="1"/>
      <c r="Z12" s="1"/>
    </row>
    <row r="13" spans="1:26" ht="20.399999999999999" x14ac:dyDescent="0.35">
      <c r="A13" s="1"/>
      <c r="B13" s="8" t="s">
        <v>5</v>
      </c>
      <c r="C13" s="220"/>
      <c r="D13" s="221"/>
      <c r="E13" s="22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20" t="s">
        <v>9</v>
      </c>
      <c r="D15" s="221"/>
      <c r="E15" s="222"/>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34" t="s">
        <v>10</v>
      </c>
      <c r="I16" s="233"/>
      <c r="J16" s="233"/>
      <c r="K16" s="7"/>
      <c r="L16" s="1"/>
      <c r="M16" s="1"/>
      <c r="N16" s="1"/>
      <c r="O16" s="1"/>
      <c r="P16" s="1"/>
      <c r="Q16" s="1"/>
      <c r="R16" s="1"/>
      <c r="S16" s="1"/>
      <c r="T16" s="1"/>
      <c r="U16" s="1"/>
      <c r="V16" s="1"/>
      <c r="W16" s="1"/>
      <c r="X16" s="1"/>
      <c r="Y16" s="1"/>
      <c r="Z16" s="1"/>
    </row>
    <row r="17" spans="1:26" ht="20.399999999999999" x14ac:dyDescent="0.35">
      <c r="A17" s="1"/>
      <c r="B17" s="8" t="s">
        <v>11</v>
      </c>
      <c r="C17" s="220" t="s">
        <v>12</v>
      </c>
      <c r="D17" s="221"/>
      <c r="E17" s="222"/>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20" t="s">
        <v>257</v>
      </c>
      <c r="D19" s="221"/>
      <c r="E19" s="222"/>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20" t="s">
        <v>15</v>
      </c>
      <c r="D21" s="221"/>
      <c r="E21" s="222"/>
      <c r="F21" s="9"/>
      <c r="G21" s="6"/>
      <c r="H21" s="234" t="s">
        <v>16</v>
      </c>
      <c r="I21" s="233"/>
      <c r="J21" s="233"/>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20" t="s">
        <v>18</v>
      </c>
      <c r="D23" s="221"/>
      <c r="E23" s="22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20" t="s">
        <v>235</v>
      </c>
      <c r="D25" s="221"/>
      <c r="E25" s="222"/>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20">
        <v>2021</v>
      </c>
      <c r="D27" s="221"/>
      <c r="E27" s="222"/>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4" sqref="B24"/>
    </sheetView>
  </sheetViews>
  <sheetFormatPr baseColWidth="10" defaultColWidth="9.1328125" defaultRowHeight="15" customHeight="1" x14ac:dyDescent="0.35"/>
  <cols>
    <col min="1" max="1" width="2" customWidth="1"/>
    <col min="2" max="2" width="22.1328125" customWidth="1"/>
    <col min="3" max="3" width="8.06640625" customWidth="1"/>
    <col min="4" max="4" width="3.796875" hidden="1" customWidth="1"/>
    <col min="5" max="5" width="8.796875" customWidth="1"/>
    <col min="6" max="6" width="10.7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37" t="s">
        <v>21</v>
      </c>
      <c r="C2" s="233"/>
      <c r="D2" s="233"/>
      <c r="E2" s="233"/>
      <c r="F2" s="233"/>
      <c r="G2" s="233"/>
      <c r="H2" s="233"/>
      <c r="I2" s="233"/>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35" t="str">
        <f>CARÁTULA!$C$15</f>
        <v>Instituto Tecnico Humanistico Jauzel Arrieta</v>
      </c>
      <c r="D4" s="233"/>
      <c r="E4" s="233"/>
      <c r="F4" s="22" t="s">
        <v>19</v>
      </c>
      <c r="G4" s="235" t="str">
        <f>CARÁTULA!$C$25</f>
        <v>Seguridad en sistemas informaticos</v>
      </c>
      <c r="H4" s="233"/>
      <c r="I4" s="233"/>
      <c r="J4" s="19"/>
      <c r="K4" s="19"/>
      <c r="L4" s="19"/>
      <c r="M4" s="19"/>
      <c r="N4" s="19"/>
      <c r="O4" s="19"/>
      <c r="P4" s="19"/>
      <c r="Q4" s="19"/>
      <c r="R4" s="19"/>
      <c r="S4" s="19"/>
      <c r="T4" s="19"/>
      <c r="U4" s="19"/>
      <c r="V4" s="19"/>
      <c r="W4" s="19"/>
      <c r="X4" s="19"/>
      <c r="Y4" s="19"/>
      <c r="Z4" s="19"/>
    </row>
    <row r="5" spans="1:26" ht="12" customHeight="1" x14ac:dyDescent="0.35">
      <c r="A5" s="20"/>
      <c r="B5" s="21" t="s">
        <v>14</v>
      </c>
      <c r="C5" s="235" t="str">
        <f>CARÁTULA!$C$21</f>
        <v>Secundaria</v>
      </c>
      <c r="D5" s="233"/>
      <c r="E5" s="233"/>
      <c r="F5" s="22" t="s">
        <v>13</v>
      </c>
      <c r="G5" s="235" t="str">
        <f>CARÁTULA!$C$19</f>
        <v>JOSÉ COAQUIRA COPA</v>
      </c>
      <c r="H5" s="233"/>
      <c r="I5" s="233"/>
      <c r="J5" s="19"/>
      <c r="K5" s="19"/>
      <c r="L5" s="19"/>
      <c r="M5" s="19"/>
      <c r="N5" s="19"/>
      <c r="O5" s="19"/>
      <c r="P5" s="19"/>
      <c r="Q5" s="19"/>
      <c r="R5" s="19"/>
      <c r="S5" s="19"/>
      <c r="T5" s="19"/>
      <c r="U5" s="19"/>
      <c r="V5" s="19"/>
      <c r="W5" s="19"/>
      <c r="X5" s="19"/>
      <c r="Y5" s="19"/>
      <c r="Z5" s="19"/>
    </row>
    <row r="6" spans="1:26" ht="12" customHeight="1" x14ac:dyDescent="0.35">
      <c r="A6" s="20"/>
      <c r="B6" s="21" t="s">
        <v>22</v>
      </c>
      <c r="C6" s="235" t="str">
        <f>CARÁTULA!$C$23</f>
        <v>6to de Secundaria</v>
      </c>
      <c r="D6" s="233"/>
      <c r="E6" s="233"/>
      <c r="F6" s="22" t="s">
        <v>23</v>
      </c>
      <c r="G6" s="236">
        <f ca="1">TODAY()</f>
        <v>44543</v>
      </c>
      <c r="H6" s="233"/>
      <c r="I6" s="233"/>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44543</v>
      </c>
      <c r="E8" s="31">
        <f t="shared" ref="E8:E43" ca="1" si="1">INT((D8-C8)/365)</f>
        <v>122</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44543</v>
      </c>
      <c r="E9" s="31">
        <f t="shared" ca="1" si="1"/>
        <v>122</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44543</v>
      </c>
      <c r="E10" s="31">
        <f t="shared" ca="1" si="1"/>
        <v>122</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44543</v>
      </c>
      <c r="E11" s="31">
        <f t="shared" ca="1" si="1"/>
        <v>122</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44543</v>
      </c>
      <c r="E12" s="31">
        <f t="shared" ca="1" si="1"/>
        <v>122</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44543</v>
      </c>
      <c r="E13" s="31">
        <f t="shared" ca="1" si="1"/>
        <v>122</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44543</v>
      </c>
      <c r="E14" s="31">
        <f t="shared" ca="1" si="1"/>
        <v>122</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44543</v>
      </c>
      <c r="E15" s="31">
        <f t="shared" ca="1" si="1"/>
        <v>122</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44543</v>
      </c>
      <c r="E16" s="31">
        <f t="shared" ca="1" si="1"/>
        <v>122</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44543</v>
      </c>
      <c r="E17" s="31">
        <f t="shared" ca="1" si="1"/>
        <v>122</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44543</v>
      </c>
      <c r="E18" s="31">
        <f t="shared" ca="1" si="1"/>
        <v>122</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44543</v>
      </c>
      <c r="E19" s="31">
        <f t="shared" ca="1" si="1"/>
        <v>122</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44543</v>
      </c>
      <c r="E20" s="31">
        <f t="shared" ca="1" si="1"/>
        <v>122</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44543</v>
      </c>
      <c r="E21" s="31">
        <f t="shared" ca="1" si="1"/>
        <v>122</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44543</v>
      </c>
      <c r="E22" s="31">
        <f t="shared" ca="1" si="1"/>
        <v>122</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44543</v>
      </c>
      <c r="E23" s="31">
        <f t="shared" ca="1" si="1"/>
        <v>122</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c r="D24" s="30">
        <f t="shared" ca="1" si="0"/>
        <v>44543</v>
      </c>
      <c r="E24" s="31">
        <f t="shared" ca="1" si="1"/>
        <v>122</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60" t="s">
        <v>169</v>
      </c>
      <c r="C25" s="35"/>
      <c r="D25" s="30">
        <f t="shared" ca="1" si="0"/>
        <v>44543</v>
      </c>
      <c r="E25" s="31">
        <f t="shared" ca="1" si="1"/>
        <v>122</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175" t="s">
        <v>170</v>
      </c>
      <c r="C26" s="35"/>
      <c r="D26" s="30">
        <f t="shared" ca="1" si="0"/>
        <v>44543</v>
      </c>
      <c r="E26" s="31">
        <f t="shared" ca="1" si="1"/>
        <v>122</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44543</v>
      </c>
      <c r="E27" s="31">
        <f t="shared" ca="1" si="1"/>
        <v>122</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44543</v>
      </c>
      <c r="E28" s="31">
        <f t="shared" ca="1" si="1"/>
        <v>122</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44543</v>
      </c>
      <c r="E29" s="31">
        <f t="shared" ca="1" si="1"/>
        <v>122</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44543</v>
      </c>
      <c r="E30" s="31">
        <f t="shared" ca="1" si="1"/>
        <v>122</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44543</v>
      </c>
      <c r="E31" s="31">
        <f t="shared" ca="1" si="1"/>
        <v>122</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44543</v>
      </c>
      <c r="E32" s="31">
        <f t="shared" ca="1" si="1"/>
        <v>122</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44543</v>
      </c>
      <c r="E33" s="31">
        <f t="shared" ca="1" si="1"/>
        <v>122</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44543</v>
      </c>
      <c r="E34" s="31">
        <f t="shared" ca="1" si="1"/>
        <v>122</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44543</v>
      </c>
      <c r="E35" s="31">
        <f t="shared" ca="1" si="1"/>
        <v>122</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44543</v>
      </c>
      <c r="E36" s="31">
        <f t="shared" ca="1" si="1"/>
        <v>122</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44543</v>
      </c>
      <c r="E37" s="31">
        <f t="shared" ca="1" si="1"/>
        <v>122</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44543</v>
      </c>
      <c r="E38" s="31">
        <f t="shared" ca="1" si="1"/>
        <v>122</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44543</v>
      </c>
      <c r="E39" s="31">
        <f t="shared" ca="1" si="1"/>
        <v>122</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44543</v>
      </c>
      <c r="E40" s="31">
        <f t="shared" ca="1" si="1"/>
        <v>122</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44543</v>
      </c>
      <c r="E41" s="31">
        <f t="shared" ca="1" si="1"/>
        <v>122</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44543</v>
      </c>
      <c r="E42" s="31">
        <f t="shared" ca="1" si="1"/>
        <v>122</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44543</v>
      </c>
      <c r="E43" s="31">
        <f t="shared" ca="1" si="1"/>
        <v>122</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328125" defaultRowHeight="15" customHeight="1" x14ac:dyDescent="0.35"/>
  <cols>
    <col min="1" max="1" width="1.6640625" customWidth="1"/>
    <col min="2" max="2" width="20.6640625" customWidth="1"/>
    <col min="3" max="52" width="1.1328125" customWidth="1"/>
    <col min="53" max="57" width="1.3984375" customWidth="1"/>
    <col min="58" max="61" width="1.6640625" customWidth="1"/>
  </cols>
  <sheetData>
    <row r="1" spans="1:61" ht="4.5" customHeight="1" x14ac:dyDescent="0.35"/>
    <row r="2" spans="1:61" ht="21" x14ac:dyDescent="0.35">
      <c r="B2" s="237" t="s">
        <v>49</v>
      </c>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38">
        <f>CARÁTULA!$H$14</f>
        <v>44228</v>
      </c>
      <c r="AU3" s="233"/>
      <c r="AV3" s="233"/>
      <c r="AW3" s="233"/>
      <c r="AX3" s="233"/>
      <c r="AY3" s="233"/>
      <c r="AZ3" s="233"/>
      <c r="BA3" s="239" t="s">
        <v>51</v>
      </c>
      <c r="BB3" s="240"/>
      <c r="BC3" s="240"/>
      <c r="BD3" s="240"/>
      <c r="BE3" s="241"/>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t="str">
        <f>CARÁTULA!$C$19</f>
        <v>JOSÉ COAQUIRA COPA</v>
      </c>
      <c r="Y4" s="40"/>
      <c r="Z4" s="40"/>
      <c r="AA4" s="40"/>
      <c r="AB4" s="40"/>
      <c r="AC4" s="40"/>
      <c r="AD4" s="40"/>
      <c r="AE4" s="40"/>
      <c r="AF4" s="40"/>
      <c r="AG4" s="40"/>
      <c r="AH4" s="40"/>
      <c r="AI4" s="40"/>
      <c r="AJ4" s="40"/>
      <c r="AK4" s="42" t="s">
        <v>53</v>
      </c>
      <c r="AL4" s="40"/>
      <c r="AM4" s="40"/>
      <c r="AN4" s="40"/>
      <c r="AO4" s="40"/>
      <c r="AP4" s="40"/>
      <c r="AQ4" s="40"/>
      <c r="AR4" s="40"/>
      <c r="AS4" s="40"/>
      <c r="AT4" s="238">
        <f>CARÁTULA!$J$14</f>
        <v>44323</v>
      </c>
      <c r="AU4" s="233"/>
      <c r="AV4" s="233"/>
      <c r="AW4" s="233"/>
      <c r="AX4" s="233"/>
      <c r="AY4" s="233"/>
      <c r="AZ4" s="233"/>
      <c r="BA4" s="242">
        <f ca="1">AT4-AT5</f>
        <v>-220</v>
      </c>
      <c r="BB4" s="243"/>
      <c r="BC4" s="243"/>
      <c r="BD4" s="243"/>
      <c r="BE4" s="244"/>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48">
        <f ca="1">TODAY()</f>
        <v>44543</v>
      </c>
      <c r="Y5" s="233"/>
      <c r="Z5" s="233"/>
      <c r="AA5" s="233"/>
      <c r="AB5" s="233"/>
      <c r="AC5" s="233"/>
      <c r="AD5" s="40"/>
      <c r="AE5" s="40"/>
      <c r="AF5" s="40"/>
      <c r="AG5" s="40"/>
      <c r="AH5" s="40"/>
      <c r="AI5" s="40"/>
      <c r="AJ5" s="40"/>
      <c r="AK5" s="45" t="s">
        <v>54</v>
      </c>
      <c r="AL5" s="46"/>
      <c r="AM5" s="46"/>
      <c r="AN5" s="46"/>
      <c r="AO5" s="46"/>
      <c r="AP5" s="46"/>
      <c r="AQ5" s="46"/>
      <c r="AR5" s="40"/>
      <c r="AS5" s="40"/>
      <c r="AT5" s="249">
        <f ca="1">TODAY()</f>
        <v>44543</v>
      </c>
      <c r="AU5" s="233"/>
      <c r="AV5" s="233"/>
      <c r="AW5" s="233"/>
      <c r="AX5" s="233"/>
      <c r="AY5" s="233"/>
      <c r="AZ5" s="233"/>
      <c r="BA5" s="245"/>
      <c r="BB5" s="246"/>
      <c r="BC5" s="246"/>
      <c r="BD5" s="246"/>
      <c r="BE5" s="247"/>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5">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5">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5">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5">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5">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5">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5">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5">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5">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5">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5">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5">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5">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5">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zoomScale="85" zoomScaleNormal="85" workbookViewId="0">
      <selection activeCell="BJ8" sqref="BJ8:BJ26"/>
    </sheetView>
  </sheetViews>
  <sheetFormatPr baseColWidth="10" defaultColWidth="9.1328125" defaultRowHeight="15" customHeight="1" x14ac:dyDescent="0.35"/>
  <cols>
    <col min="1" max="1" width="1.46484375" customWidth="1"/>
    <col min="2" max="2" width="17.6640625" customWidth="1"/>
    <col min="3" max="57" width="1.46484375" customWidth="1"/>
    <col min="58" max="61" width="1.6640625" customWidth="1"/>
  </cols>
  <sheetData>
    <row r="1" spans="1:62" ht="4.5" customHeight="1" x14ac:dyDescent="0.35"/>
    <row r="2" spans="1:62" ht="12.75" customHeight="1" x14ac:dyDescent="0.35">
      <c r="B2" s="237" t="s">
        <v>64</v>
      </c>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38">
        <f>CARÁTULA!$H$19</f>
        <v>44326</v>
      </c>
      <c r="AU3" s="233"/>
      <c r="AV3" s="233"/>
      <c r="AW3" s="233"/>
      <c r="AX3" s="233"/>
      <c r="AY3" s="233"/>
      <c r="AZ3" s="233"/>
      <c r="BA3" s="239" t="s">
        <v>51</v>
      </c>
      <c r="BB3" s="240"/>
      <c r="BC3" s="240"/>
      <c r="BD3" s="240"/>
      <c r="BE3" s="241"/>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t="str">
        <f>CARÁTULA!$C$19</f>
        <v>JOSÉ COAQUIRA COPA</v>
      </c>
      <c r="Y4" s="40"/>
      <c r="Z4" s="40"/>
      <c r="AA4" s="40"/>
      <c r="AB4" s="40"/>
      <c r="AC4" s="40"/>
      <c r="AD4" s="40"/>
      <c r="AE4" s="40"/>
      <c r="AF4" s="40"/>
      <c r="AG4" s="40"/>
      <c r="AH4" s="40"/>
      <c r="AI4" s="40"/>
      <c r="AJ4" s="40"/>
      <c r="AK4" s="42" t="s">
        <v>53</v>
      </c>
      <c r="AL4" s="40"/>
      <c r="AM4" s="40"/>
      <c r="AN4" s="40"/>
      <c r="AO4" s="40"/>
      <c r="AP4" s="40"/>
      <c r="AQ4" s="40"/>
      <c r="AR4" s="40"/>
      <c r="AS4" s="40"/>
      <c r="AT4" s="238">
        <f>CARÁTULA!$J$19</f>
        <v>44439</v>
      </c>
      <c r="AU4" s="233"/>
      <c r="AV4" s="233"/>
      <c r="AW4" s="233"/>
      <c r="AX4" s="233"/>
      <c r="AY4" s="233"/>
      <c r="AZ4" s="233"/>
      <c r="BA4" s="250">
        <f ca="1">AT4-AT5</f>
        <v>-104</v>
      </c>
      <c r="BB4" s="243"/>
      <c r="BC4" s="243"/>
      <c r="BD4" s="243"/>
      <c r="BE4" s="244"/>
    </row>
    <row r="5" spans="1:62"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51">
        <f ca="1">TODAY()</f>
        <v>44543</v>
      </c>
      <c r="Y5" s="233"/>
      <c r="Z5" s="233"/>
      <c r="AA5" s="233"/>
      <c r="AB5" s="233"/>
      <c r="AC5" s="233"/>
      <c r="AD5" s="40"/>
      <c r="AE5" s="40"/>
      <c r="AF5" s="40"/>
      <c r="AG5" s="40"/>
      <c r="AH5" s="40"/>
      <c r="AI5" s="40"/>
      <c r="AJ5" s="40"/>
      <c r="AK5" s="45" t="s">
        <v>54</v>
      </c>
      <c r="AL5" s="46"/>
      <c r="AM5" s="46"/>
      <c r="AN5" s="46"/>
      <c r="AO5" s="46"/>
      <c r="AP5" s="46"/>
      <c r="AQ5" s="46"/>
      <c r="AR5" s="40"/>
      <c r="AS5" s="40"/>
      <c r="AT5" s="249">
        <f ca="1">TODAY()</f>
        <v>44543</v>
      </c>
      <c r="AU5" s="233"/>
      <c r="AV5" s="233"/>
      <c r="AW5" s="233"/>
      <c r="AX5" s="233"/>
      <c r="AY5" s="233"/>
      <c r="AZ5" s="233"/>
      <c r="BA5" s="245"/>
      <c r="BB5" s="246"/>
      <c r="BC5" s="246"/>
      <c r="BD5" s="246"/>
      <c r="BE5" s="247"/>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2" ht="67.5" customHeight="1" x14ac:dyDescent="0.35">
      <c r="A7" s="159" t="s">
        <v>55</v>
      </c>
      <c r="B7" s="49" t="s">
        <v>56</v>
      </c>
      <c r="C7" s="156" t="s">
        <v>173</v>
      </c>
      <c r="D7" s="157" t="s">
        <v>174</v>
      </c>
      <c r="E7" s="156" t="s">
        <v>175</v>
      </c>
      <c r="F7" s="156" t="s">
        <v>176</v>
      </c>
      <c r="G7" s="50" t="s">
        <v>177</v>
      </c>
      <c r="H7" s="50" t="s">
        <v>178</v>
      </c>
      <c r="I7" s="50" t="s">
        <v>179</v>
      </c>
      <c r="J7" s="50" t="s">
        <v>180</v>
      </c>
      <c r="K7" s="50" t="s">
        <v>181</v>
      </c>
      <c r="L7" s="50" t="s">
        <v>182</v>
      </c>
      <c r="M7" s="50" t="s">
        <v>247</v>
      </c>
      <c r="N7" s="50" t="s">
        <v>249</v>
      </c>
      <c r="O7" s="50" t="s">
        <v>250</v>
      </c>
      <c r="P7" s="50" t="s">
        <v>251</v>
      </c>
      <c r="Q7" s="50" t="s">
        <v>185</v>
      </c>
      <c r="R7" s="54" t="s">
        <v>186</v>
      </c>
      <c r="S7" s="54" t="s">
        <v>187</v>
      </c>
      <c r="T7" s="156" t="s">
        <v>188</v>
      </c>
      <c r="U7" s="157" t="s">
        <v>189</v>
      </c>
      <c r="V7" s="156" t="s">
        <v>190</v>
      </c>
      <c r="W7" s="156" t="s">
        <v>191</v>
      </c>
      <c r="X7" s="156" t="s">
        <v>192</v>
      </c>
      <c r="Y7" s="156" t="s">
        <v>193</v>
      </c>
      <c r="Z7" s="156" t="s">
        <v>194</v>
      </c>
      <c r="AA7" s="156" t="s">
        <v>195</v>
      </c>
      <c r="AB7" s="156" t="s">
        <v>196</v>
      </c>
      <c r="AC7" s="158" t="s">
        <v>197</v>
      </c>
      <c r="AD7" s="54" t="s">
        <v>198</v>
      </c>
      <c r="AE7" s="54" t="s">
        <v>199</v>
      </c>
      <c r="AF7" s="54" t="s">
        <v>200</v>
      </c>
      <c r="AG7" s="54" t="s">
        <v>201</v>
      </c>
      <c r="AH7" s="54" t="s">
        <v>202</v>
      </c>
      <c r="AI7" s="54" t="s">
        <v>203</v>
      </c>
      <c r="AJ7" s="54" t="s">
        <v>204</v>
      </c>
      <c r="AK7" s="54" t="s">
        <v>205</v>
      </c>
      <c r="AL7" s="54" t="s">
        <v>206</v>
      </c>
      <c r="AM7" s="54" t="s">
        <v>207</v>
      </c>
      <c r="AN7" s="54" t="s">
        <v>208</v>
      </c>
      <c r="AO7" s="54" t="s">
        <v>209</v>
      </c>
      <c r="AP7" s="54" t="s">
        <v>210</v>
      </c>
      <c r="AQ7" s="54" t="s">
        <v>211</v>
      </c>
      <c r="AR7" s="54" t="s">
        <v>212</v>
      </c>
      <c r="AS7" s="54" t="s">
        <v>213</v>
      </c>
      <c r="AT7" s="54" t="s">
        <v>214</v>
      </c>
      <c r="AU7" s="54" t="s">
        <v>215</v>
      </c>
      <c r="AV7" s="54" t="s">
        <v>216</v>
      </c>
      <c r="AW7" s="54" t="s">
        <v>217</v>
      </c>
      <c r="AX7" s="54" t="s">
        <v>218</v>
      </c>
      <c r="AY7" s="54" t="s">
        <v>219</v>
      </c>
      <c r="AZ7" s="55" t="s">
        <v>220</v>
      </c>
      <c r="BA7" s="56" t="s">
        <v>65</v>
      </c>
      <c r="BB7" s="57" t="s">
        <v>66</v>
      </c>
      <c r="BC7" s="57" t="s">
        <v>67</v>
      </c>
      <c r="BD7" s="57" t="s">
        <v>68</v>
      </c>
      <c r="BE7" s="161" t="s">
        <v>61</v>
      </c>
      <c r="BG7" s="50" t="s">
        <v>184</v>
      </c>
      <c r="BH7" s="54" t="s">
        <v>183</v>
      </c>
    </row>
    <row r="8" spans="1:62" ht="12" customHeight="1" x14ac:dyDescent="0.35">
      <c r="A8" s="160">
        <v>1</v>
      </c>
      <c r="B8" s="60" t="str">
        <f>'C. FILIACION'!B8</f>
        <v>ALTAMIRANO RAMOS ESTEFANI MILENKA</v>
      </c>
      <c r="C8" s="48" t="s">
        <v>62</v>
      </c>
      <c r="D8" s="48" t="s">
        <v>62</v>
      </c>
      <c r="E8" s="48"/>
      <c r="F8" s="48" t="s">
        <v>62</v>
      </c>
      <c r="G8" s="61" t="s">
        <v>62</v>
      </c>
      <c r="H8" s="61" t="s">
        <v>62</v>
      </c>
      <c r="I8" s="61" t="s">
        <v>62</v>
      </c>
      <c r="J8" s="61" t="s">
        <v>171</v>
      </c>
      <c r="K8" s="61" t="s">
        <v>62</v>
      </c>
      <c r="L8" s="61" t="s">
        <v>62</v>
      </c>
      <c r="M8" s="48" t="s">
        <v>62</v>
      </c>
      <c r="N8" s="48" t="s">
        <v>62</v>
      </c>
      <c r="O8" s="48" t="s">
        <v>62</v>
      </c>
      <c r="P8" s="48"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12</v>
      </c>
      <c r="BB8" s="48" t="str">
        <f>IF(COUNTIF(C8:AZ8,"F")=0,"0",COUNTIF(C8:AZ8,"F"))</f>
        <v>0</v>
      </c>
      <c r="BC8" s="48">
        <f>IF(COUNTIF(C8:AZ8,"R")=0,"0",COUNTIF(C8:AZ8,"R"))</f>
        <v>1</v>
      </c>
      <c r="BD8" s="48" t="str">
        <f>IF(COUNTIF(C8:AZ8,"L")=0,"0",COUNTIF(C8:AZ8,"L"))</f>
        <v>0</v>
      </c>
      <c r="BE8" s="155">
        <f>SUM(BA8:BD8)</f>
        <v>13</v>
      </c>
      <c r="BG8" s="61">
        <v>33</v>
      </c>
      <c r="BH8" s="61">
        <v>32</v>
      </c>
      <c r="BJ8" s="193">
        <f>(Tabla1[[#This Row],[Asist. (A)]]+Tabla1[[#This Row],[Retrasos (R)]]+Tabla1[[#This Row],[Licencias (L)]])*10/Tabla1[[#This Row],[DÍAS TRABAJADOS]]</f>
        <v>10</v>
      </c>
    </row>
    <row r="9" spans="1:62" ht="12" customHeight="1" x14ac:dyDescent="0.35">
      <c r="A9" s="160">
        <v>2</v>
      </c>
      <c r="B9" s="60" t="str">
        <f>'C. FILIACION'!B9</f>
        <v>APAZA LINO TATIANA JAZMIN</v>
      </c>
      <c r="C9" s="48" t="s">
        <v>62</v>
      </c>
      <c r="D9" s="48" t="s">
        <v>62</v>
      </c>
      <c r="E9" s="48"/>
      <c r="F9" s="48" t="s">
        <v>62</v>
      </c>
      <c r="G9" s="61" t="s">
        <v>62</v>
      </c>
      <c r="H9" s="61" t="s">
        <v>62</v>
      </c>
      <c r="I9" s="61" t="s">
        <v>62</v>
      </c>
      <c r="J9" s="61" t="s">
        <v>62</v>
      </c>
      <c r="K9" s="61" t="s">
        <v>62</v>
      </c>
      <c r="L9" s="61" t="s">
        <v>62</v>
      </c>
      <c r="M9" s="48" t="s">
        <v>62</v>
      </c>
      <c r="N9" s="48" t="s">
        <v>62</v>
      </c>
      <c r="O9" s="48" t="s">
        <v>62</v>
      </c>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13</v>
      </c>
      <c r="BB9" s="61" t="str">
        <f t="shared" ref="BB9:BB26" si="1">IF(COUNTIF(C9:AZ9,"F")=0,"0",COUNTIF(C9:AZ9,"F"))</f>
        <v>0</v>
      </c>
      <c r="BC9" s="61" t="str">
        <f t="shared" ref="BC9:BC26" si="2">IF(COUNTIF(C9:AZ9,"R")=0,"0",COUNTIF(C9:AZ9,"R"))</f>
        <v>0</v>
      </c>
      <c r="BD9" s="61" t="str">
        <f t="shared" ref="BD9:BD26" si="3">IF(COUNTIF(C9:AZ9,"L")=0,"0",COUNTIF(C9:AZ9,"L"))</f>
        <v>0</v>
      </c>
      <c r="BE9" s="155">
        <f t="shared" ref="BE9:BE26" si="4">SUM(BA9:BD9)</f>
        <v>13</v>
      </c>
      <c r="BG9" s="61">
        <v>34</v>
      </c>
      <c r="BH9" s="61">
        <v>30</v>
      </c>
      <c r="BJ9" s="193">
        <f>(Tabla1[[#This Row],[Asist. (A)]]+Tabla1[[#This Row],[Retrasos (R)]]+Tabla1[[#This Row],[Licencias (L)]])*10/Tabla1[[#This Row],[DÍAS TRABAJADOS]]</f>
        <v>10</v>
      </c>
    </row>
    <row r="10" spans="1:62" ht="12" customHeight="1" x14ac:dyDescent="0.35">
      <c r="A10" s="160">
        <v>3</v>
      </c>
      <c r="B10" s="60" t="str">
        <f>'C. FILIACION'!B10</f>
        <v>BOLAÑOS OVANDO MIJHAIL ALEXANDER</v>
      </c>
      <c r="C10" s="48" t="s">
        <v>62</v>
      </c>
      <c r="D10" s="48" t="s">
        <v>62</v>
      </c>
      <c r="E10" s="48"/>
      <c r="F10" s="48" t="s">
        <v>62</v>
      </c>
      <c r="G10" s="61" t="s">
        <v>62</v>
      </c>
      <c r="H10" s="61" t="s">
        <v>62</v>
      </c>
      <c r="I10" s="61" t="s">
        <v>63</v>
      </c>
      <c r="J10" s="61" t="s">
        <v>62</v>
      </c>
      <c r="K10" s="61" t="s">
        <v>171</v>
      </c>
      <c r="L10" s="61" t="s">
        <v>62</v>
      </c>
      <c r="M10" s="48" t="s">
        <v>171</v>
      </c>
      <c r="N10" s="48" t="s">
        <v>63</v>
      </c>
      <c r="O10" s="48" t="s">
        <v>62</v>
      </c>
      <c r="P10" s="48" t="s">
        <v>63</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8</v>
      </c>
      <c r="BB10" s="61">
        <f t="shared" si="1"/>
        <v>3</v>
      </c>
      <c r="BC10" s="61">
        <f t="shared" si="2"/>
        <v>2</v>
      </c>
      <c r="BD10" s="61" t="str">
        <f t="shared" si="3"/>
        <v>0</v>
      </c>
      <c r="BE10" s="155">
        <f t="shared" si="4"/>
        <v>13</v>
      </c>
      <c r="BG10" s="61">
        <v>18</v>
      </c>
      <c r="BH10" s="61">
        <v>0</v>
      </c>
      <c r="BJ10" s="193">
        <f>(Tabla1[[#This Row],[Asist. (A)]]+Tabla1[[#This Row],[Retrasos (R)]]+Tabla1[[#This Row],[Licencias (L)]])*10/Tabla1[[#This Row],[DÍAS TRABAJADOS]]</f>
        <v>7.6923076923076925</v>
      </c>
    </row>
    <row r="11" spans="1:62" ht="12" customHeight="1" x14ac:dyDescent="0.35">
      <c r="A11" s="160">
        <v>4</v>
      </c>
      <c r="B11" s="188" t="str">
        <f>'C. FILIACION'!B11</f>
        <v>BRICHER ETHELBERT ISMAEL</v>
      </c>
      <c r="C11" s="189" t="s">
        <v>62</v>
      </c>
      <c r="D11" s="189" t="s">
        <v>63</v>
      </c>
      <c r="E11" s="189"/>
      <c r="F11" s="189" t="s">
        <v>62</v>
      </c>
      <c r="G11" s="189" t="s">
        <v>63</v>
      </c>
      <c r="H11" s="189" t="s">
        <v>63</v>
      </c>
      <c r="I11" s="189" t="s">
        <v>63</v>
      </c>
      <c r="J11" s="189" t="s">
        <v>63</v>
      </c>
      <c r="K11" s="189" t="s">
        <v>63</v>
      </c>
      <c r="L11" s="189" t="s">
        <v>63</v>
      </c>
      <c r="M11" s="189" t="s">
        <v>63</v>
      </c>
      <c r="N11" s="189" t="s">
        <v>63</v>
      </c>
      <c r="O11" s="189" t="s">
        <v>63</v>
      </c>
      <c r="P11" s="189" t="s">
        <v>63</v>
      </c>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90"/>
      <c r="BA11" s="191">
        <f t="shared" si="0"/>
        <v>2</v>
      </c>
      <c r="BB11" s="189">
        <f t="shared" si="1"/>
        <v>11</v>
      </c>
      <c r="BC11" s="189" t="str">
        <f t="shared" si="2"/>
        <v>0</v>
      </c>
      <c r="BD11" s="189" t="str">
        <f t="shared" si="3"/>
        <v>0</v>
      </c>
      <c r="BE11" s="190">
        <f t="shared" si="4"/>
        <v>13</v>
      </c>
      <c r="BG11" s="61"/>
      <c r="BH11" s="61">
        <v>0</v>
      </c>
      <c r="BJ11" s="193">
        <f>(Tabla1[[#This Row],[Asist. (A)]]+Tabla1[[#This Row],[Retrasos (R)]]+Tabla1[[#This Row],[Licencias (L)]])*10/Tabla1[[#This Row],[DÍAS TRABAJADOS]]</f>
        <v>1.5384615384615385</v>
      </c>
    </row>
    <row r="12" spans="1:62" ht="12" customHeight="1" x14ac:dyDescent="0.35">
      <c r="A12" s="160">
        <v>5</v>
      </c>
      <c r="B12" s="60" t="str">
        <f>'C. FILIACION'!B12</f>
        <v>CANAVIRI QUISBERT ALEJANDRA ELENA</v>
      </c>
      <c r="C12" s="48" t="s">
        <v>62</v>
      </c>
      <c r="D12" s="48" t="s">
        <v>62</v>
      </c>
      <c r="E12" s="48"/>
      <c r="F12" s="48" t="s">
        <v>62</v>
      </c>
      <c r="G12" s="61" t="s">
        <v>63</v>
      </c>
      <c r="H12" s="61" t="s">
        <v>62</v>
      </c>
      <c r="I12" s="61" t="s">
        <v>62</v>
      </c>
      <c r="J12" s="61" t="s">
        <v>63</v>
      </c>
      <c r="K12" s="61" t="s">
        <v>63</v>
      </c>
      <c r="L12" s="61" t="s">
        <v>63</v>
      </c>
      <c r="M12" s="48" t="s">
        <v>63</v>
      </c>
      <c r="N12" s="48" t="s">
        <v>62</v>
      </c>
      <c r="O12" s="48" t="s">
        <v>62</v>
      </c>
      <c r="P12" s="48" t="s">
        <v>62</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8</v>
      </c>
      <c r="BB12" s="61">
        <f t="shared" si="1"/>
        <v>5</v>
      </c>
      <c r="BC12" s="61" t="str">
        <f t="shared" si="2"/>
        <v>0</v>
      </c>
      <c r="BD12" s="61" t="str">
        <f t="shared" si="3"/>
        <v>0</v>
      </c>
      <c r="BE12" s="155">
        <f t="shared" si="4"/>
        <v>13</v>
      </c>
      <c r="BG12" s="61"/>
      <c r="BH12" s="61">
        <v>30</v>
      </c>
      <c r="BJ12" s="193">
        <f>(Tabla1[[#This Row],[Asist. (A)]]+Tabla1[[#This Row],[Retrasos (R)]]+Tabla1[[#This Row],[Licencias (L)]])*10/Tabla1[[#This Row],[DÍAS TRABAJADOS]]</f>
        <v>6.1538461538461542</v>
      </c>
    </row>
    <row r="13" spans="1:62" ht="12" customHeight="1" x14ac:dyDescent="0.35">
      <c r="A13" s="160">
        <v>6</v>
      </c>
      <c r="B13" s="60" t="str">
        <f>'C. FILIACION'!B13</f>
        <v>GOMEZ BELTRAN ALBERT NORMAN</v>
      </c>
      <c r="C13" s="48" t="s">
        <v>62</v>
      </c>
      <c r="D13" s="48" t="s">
        <v>62</v>
      </c>
      <c r="E13" s="48"/>
      <c r="F13" s="48" t="s">
        <v>62</v>
      </c>
      <c r="G13" s="61" t="s">
        <v>62</v>
      </c>
      <c r="H13" s="61" t="s">
        <v>62</v>
      </c>
      <c r="I13" s="61" t="s">
        <v>62</v>
      </c>
      <c r="J13" s="61" t="s">
        <v>62</v>
      </c>
      <c r="K13" s="61" t="s">
        <v>62</v>
      </c>
      <c r="L13" s="61" t="s">
        <v>62</v>
      </c>
      <c r="M13" s="48" t="s">
        <v>62</v>
      </c>
      <c r="N13" s="48" t="s">
        <v>62</v>
      </c>
      <c r="O13" s="48" t="s">
        <v>62</v>
      </c>
      <c r="P13" s="48" t="s">
        <v>62</v>
      </c>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13</v>
      </c>
      <c r="BB13" s="61" t="str">
        <f t="shared" si="1"/>
        <v>0</v>
      </c>
      <c r="BC13" s="61" t="str">
        <f t="shared" si="2"/>
        <v>0</v>
      </c>
      <c r="BD13" s="61" t="str">
        <f t="shared" si="3"/>
        <v>0</v>
      </c>
      <c r="BE13" s="155">
        <f t="shared" si="4"/>
        <v>13</v>
      </c>
      <c r="BG13" s="61">
        <v>35</v>
      </c>
      <c r="BH13" s="61">
        <v>32</v>
      </c>
      <c r="BJ13" s="193">
        <f>(Tabla1[[#This Row],[Asist. (A)]]+Tabla1[[#This Row],[Retrasos (R)]]+Tabla1[[#This Row],[Licencias (L)]])*10/Tabla1[[#This Row],[DÍAS TRABAJADOS]]</f>
        <v>10</v>
      </c>
    </row>
    <row r="14" spans="1:62" ht="12" customHeight="1" x14ac:dyDescent="0.35">
      <c r="A14" s="160">
        <v>7</v>
      </c>
      <c r="B14" s="60" t="str">
        <f>'C. FILIACION'!B14</f>
        <v>GOMEZ COSME MELANY KARINA</v>
      </c>
      <c r="C14" s="48" t="s">
        <v>62</v>
      </c>
      <c r="D14" s="48" t="s">
        <v>62</v>
      </c>
      <c r="E14" s="48"/>
      <c r="F14" s="48" t="s">
        <v>63</v>
      </c>
      <c r="G14" s="61" t="s">
        <v>62</v>
      </c>
      <c r="H14" s="61" t="s">
        <v>62</v>
      </c>
      <c r="I14" s="61" t="s">
        <v>63</v>
      </c>
      <c r="J14" s="61" t="s">
        <v>63</v>
      </c>
      <c r="K14" s="61" t="s">
        <v>62</v>
      </c>
      <c r="L14" s="61" t="s">
        <v>63</v>
      </c>
      <c r="M14" s="48" t="s">
        <v>62</v>
      </c>
      <c r="N14" s="48" t="s">
        <v>63</v>
      </c>
      <c r="O14" s="48" t="s">
        <v>62</v>
      </c>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8</v>
      </c>
      <c r="BB14" s="61">
        <f t="shared" si="1"/>
        <v>5</v>
      </c>
      <c r="BC14" s="61" t="str">
        <f t="shared" si="2"/>
        <v>0</v>
      </c>
      <c r="BD14" s="61" t="str">
        <f t="shared" si="3"/>
        <v>0</v>
      </c>
      <c r="BE14" s="155">
        <f t="shared" si="4"/>
        <v>13</v>
      </c>
      <c r="BG14" s="61">
        <v>18</v>
      </c>
      <c r="BH14" s="61">
        <v>0</v>
      </c>
      <c r="BJ14" s="193">
        <f>(Tabla1[[#This Row],[Asist. (A)]]+Tabla1[[#This Row],[Retrasos (R)]]+Tabla1[[#This Row],[Licencias (L)]])*10/Tabla1[[#This Row],[DÍAS TRABAJADOS]]</f>
        <v>6.1538461538461542</v>
      </c>
    </row>
    <row r="15" spans="1:62" ht="12" customHeight="1" x14ac:dyDescent="0.35">
      <c r="A15" s="160">
        <v>8</v>
      </c>
      <c r="B15" s="60" t="str">
        <f>'C. FILIACION'!B15</f>
        <v>GONZALES ZUAZO KALEB RAMSES</v>
      </c>
      <c r="C15" s="48" t="s">
        <v>62</v>
      </c>
      <c r="D15" s="48" t="s">
        <v>62</v>
      </c>
      <c r="E15" s="48"/>
      <c r="F15" s="48" t="s">
        <v>62</v>
      </c>
      <c r="G15" s="61" t="s">
        <v>62</v>
      </c>
      <c r="H15" s="61" t="s">
        <v>62</v>
      </c>
      <c r="I15" s="61" t="s">
        <v>62</v>
      </c>
      <c r="J15" s="61" t="s">
        <v>62</v>
      </c>
      <c r="K15" s="61" t="s">
        <v>62</v>
      </c>
      <c r="L15" s="61" t="s">
        <v>62</v>
      </c>
      <c r="M15" s="48" t="s">
        <v>62</v>
      </c>
      <c r="N15" s="48" t="s">
        <v>62</v>
      </c>
      <c r="O15" s="48" t="s">
        <v>62</v>
      </c>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13</v>
      </c>
      <c r="BB15" s="61" t="str">
        <f t="shared" si="1"/>
        <v>0</v>
      </c>
      <c r="BC15" s="61" t="str">
        <f t="shared" si="2"/>
        <v>0</v>
      </c>
      <c r="BD15" s="61" t="str">
        <f t="shared" si="3"/>
        <v>0</v>
      </c>
      <c r="BE15" s="155">
        <f t="shared" si="4"/>
        <v>13</v>
      </c>
      <c r="BG15" s="61">
        <v>33</v>
      </c>
      <c r="BH15" s="61">
        <v>30</v>
      </c>
      <c r="BJ15" s="193">
        <f>(Tabla1[[#This Row],[Asist. (A)]]+Tabla1[[#This Row],[Retrasos (R)]]+Tabla1[[#This Row],[Licencias (L)]])*10/Tabla1[[#This Row],[DÍAS TRABAJADOS]]</f>
        <v>10</v>
      </c>
    </row>
    <row r="16" spans="1:62" ht="12" customHeight="1" x14ac:dyDescent="0.35">
      <c r="A16" s="160">
        <v>9</v>
      </c>
      <c r="B16" s="60" t="str">
        <f>'C. FILIACION'!B16</f>
        <v>LEDEZMA AGUILAR ELVIS JHEFERSON</v>
      </c>
      <c r="C16" s="48" t="s">
        <v>62</v>
      </c>
      <c r="D16" s="48" t="s">
        <v>62</v>
      </c>
      <c r="E16" s="48"/>
      <c r="F16" s="48" t="s">
        <v>62</v>
      </c>
      <c r="G16" s="61" t="s">
        <v>62</v>
      </c>
      <c r="H16" s="61" t="s">
        <v>62</v>
      </c>
      <c r="I16" s="61" t="s">
        <v>62</v>
      </c>
      <c r="J16" s="61" t="s">
        <v>62</v>
      </c>
      <c r="K16" s="61" t="s">
        <v>62</v>
      </c>
      <c r="L16" s="61" t="s">
        <v>62</v>
      </c>
      <c r="M16" s="48" t="s">
        <v>62</v>
      </c>
      <c r="N16" s="48" t="s">
        <v>62</v>
      </c>
      <c r="O16" s="48" t="s">
        <v>62</v>
      </c>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13</v>
      </c>
      <c r="BB16" s="61" t="str">
        <f t="shared" si="1"/>
        <v>0</v>
      </c>
      <c r="BC16" s="61" t="str">
        <f t="shared" si="2"/>
        <v>0</v>
      </c>
      <c r="BD16" s="61" t="str">
        <f t="shared" si="3"/>
        <v>0</v>
      </c>
      <c r="BE16" s="155">
        <f t="shared" si="4"/>
        <v>13</v>
      </c>
      <c r="BG16" s="61">
        <v>35</v>
      </c>
      <c r="BH16" s="61">
        <v>32</v>
      </c>
      <c r="BJ16" s="193">
        <f>(Tabla1[[#This Row],[Asist. (A)]]+Tabla1[[#This Row],[Retrasos (R)]]+Tabla1[[#This Row],[Licencias (L)]])*10/Tabla1[[#This Row],[DÍAS TRABAJADOS]]</f>
        <v>10</v>
      </c>
    </row>
    <row r="17" spans="1:62" ht="12" customHeight="1" x14ac:dyDescent="0.35">
      <c r="A17" s="160">
        <v>10</v>
      </c>
      <c r="B17" s="60" t="str">
        <f>'C. FILIACION'!B17</f>
        <v>LOBATON RODRIGUEZ JHONATAN A.</v>
      </c>
      <c r="C17" s="48" t="s">
        <v>62</v>
      </c>
      <c r="D17" s="48" t="s">
        <v>62</v>
      </c>
      <c r="E17" s="48"/>
      <c r="F17" s="48" t="s">
        <v>62</v>
      </c>
      <c r="G17" s="61" t="s">
        <v>62</v>
      </c>
      <c r="H17" s="61" t="s">
        <v>62</v>
      </c>
      <c r="I17" s="61" t="s">
        <v>62</v>
      </c>
      <c r="J17" s="61" t="s">
        <v>62</v>
      </c>
      <c r="K17" s="61" t="s">
        <v>63</v>
      </c>
      <c r="L17" s="61" t="s">
        <v>63</v>
      </c>
      <c r="M17" s="48" t="s">
        <v>63</v>
      </c>
      <c r="N17" s="61" t="s">
        <v>62</v>
      </c>
      <c r="O17" s="48" t="s">
        <v>62</v>
      </c>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10</v>
      </c>
      <c r="BB17" s="61">
        <f t="shared" si="1"/>
        <v>3</v>
      </c>
      <c r="BC17" s="61" t="str">
        <f t="shared" si="2"/>
        <v>0</v>
      </c>
      <c r="BD17" s="61" t="str">
        <f t="shared" si="3"/>
        <v>0</v>
      </c>
      <c r="BE17" s="155">
        <f t="shared" si="4"/>
        <v>13</v>
      </c>
      <c r="BG17" s="61">
        <v>30</v>
      </c>
      <c r="BH17" s="61">
        <v>30</v>
      </c>
      <c r="BJ17" s="193">
        <f>(Tabla1[[#This Row],[Asist. (A)]]+Tabla1[[#This Row],[Retrasos (R)]]+Tabla1[[#This Row],[Licencias (L)]])*10/Tabla1[[#This Row],[DÍAS TRABAJADOS]]</f>
        <v>7.6923076923076925</v>
      </c>
    </row>
    <row r="18" spans="1:62" ht="12" customHeight="1" x14ac:dyDescent="0.35">
      <c r="A18" s="160">
        <v>11</v>
      </c>
      <c r="B18" s="60" t="str">
        <f>'C. FILIACION'!B18</f>
        <v>MAMANI LOPEZ DAFNE MILDRED</v>
      </c>
      <c r="C18" s="48" t="s">
        <v>62</v>
      </c>
      <c r="D18" s="48" t="s">
        <v>62</v>
      </c>
      <c r="E18" s="48"/>
      <c r="F18" s="48" t="s">
        <v>63</v>
      </c>
      <c r="G18" s="61" t="s">
        <v>62</v>
      </c>
      <c r="H18" s="61" t="s">
        <v>62</v>
      </c>
      <c r="I18" s="61" t="s">
        <v>63</v>
      </c>
      <c r="J18" s="61" t="s">
        <v>63</v>
      </c>
      <c r="K18" s="61" t="s">
        <v>63</v>
      </c>
      <c r="L18" s="61" t="s">
        <v>63</v>
      </c>
      <c r="M18" s="48" t="s">
        <v>63</v>
      </c>
      <c r="N18" s="48" t="s">
        <v>63</v>
      </c>
      <c r="O18" s="48" t="s">
        <v>62</v>
      </c>
      <c r="P18" s="48" t="s">
        <v>62</v>
      </c>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61">
        <f t="shared" si="1"/>
        <v>7</v>
      </c>
      <c r="BC18" s="61" t="str">
        <f t="shared" si="2"/>
        <v>0</v>
      </c>
      <c r="BD18" s="61" t="str">
        <f t="shared" si="3"/>
        <v>0</v>
      </c>
      <c r="BE18" s="155">
        <f t="shared" si="4"/>
        <v>13</v>
      </c>
      <c r="BG18" s="61">
        <v>28</v>
      </c>
      <c r="BH18" s="61">
        <v>32</v>
      </c>
      <c r="BJ18" s="193">
        <f>(Tabla1[[#This Row],[Asist. (A)]]+Tabla1[[#This Row],[Retrasos (R)]]+Tabla1[[#This Row],[Licencias (L)]])*10/Tabla1[[#This Row],[DÍAS TRABAJADOS]]</f>
        <v>4.615384615384615</v>
      </c>
    </row>
    <row r="19" spans="1:62" ht="12" customHeight="1" x14ac:dyDescent="0.35">
      <c r="A19" s="160">
        <v>12</v>
      </c>
      <c r="B19" s="60" t="str">
        <f>'C. FILIACION'!B19</f>
        <v>MARCONI PEREZ SINDEL LUANA</v>
      </c>
      <c r="C19" s="48" t="s">
        <v>62</v>
      </c>
      <c r="D19" s="48" t="s">
        <v>63</v>
      </c>
      <c r="E19" s="48"/>
      <c r="F19" s="48" t="s">
        <v>62</v>
      </c>
      <c r="G19" s="61" t="s">
        <v>63</v>
      </c>
      <c r="H19" s="61" t="s">
        <v>62</v>
      </c>
      <c r="I19" s="61" t="s">
        <v>62</v>
      </c>
      <c r="J19" s="61" t="s">
        <v>171</v>
      </c>
      <c r="K19" s="61" t="s">
        <v>62</v>
      </c>
      <c r="L19" s="61" t="s">
        <v>63</v>
      </c>
      <c r="M19" s="48" t="s">
        <v>62</v>
      </c>
      <c r="N19" s="61" t="s">
        <v>63</v>
      </c>
      <c r="O19" s="48" t="s">
        <v>62</v>
      </c>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7</v>
      </c>
      <c r="BB19" s="61">
        <f t="shared" si="1"/>
        <v>5</v>
      </c>
      <c r="BC19" s="61">
        <f t="shared" si="2"/>
        <v>1</v>
      </c>
      <c r="BD19" s="61" t="str">
        <f t="shared" si="3"/>
        <v>0</v>
      </c>
      <c r="BE19" s="155">
        <f t="shared" si="4"/>
        <v>13</v>
      </c>
      <c r="BG19" s="61"/>
      <c r="BH19" s="61">
        <v>30</v>
      </c>
      <c r="BJ19" s="193">
        <f>(Tabla1[[#This Row],[Asist. (A)]]+Tabla1[[#This Row],[Retrasos (R)]]+Tabla1[[#This Row],[Licencias (L)]])*10/Tabla1[[#This Row],[DÍAS TRABAJADOS]]</f>
        <v>6.1538461538461542</v>
      </c>
    </row>
    <row r="20" spans="1:62" ht="12" customHeight="1" x14ac:dyDescent="0.35">
      <c r="A20" s="160">
        <v>13</v>
      </c>
      <c r="B20" s="60" t="str">
        <f>'C. FILIACION'!B20</f>
        <v>MENACHO LINEO ANDREA KIMBERLY</v>
      </c>
      <c r="C20" s="48" t="s">
        <v>62</v>
      </c>
      <c r="D20" s="48" t="s">
        <v>62</v>
      </c>
      <c r="E20" s="48"/>
      <c r="F20" s="48" t="s">
        <v>62</v>
      </c>
      <c r="G20" s="61" t="s">
        <v>62</v>
      </c>
      <c r="H20" s="61" t="s">
        <v>62</v>
      </c>
      <c r="I20" s="61" t="s">
        <v>62</v>
      </c>
      <c r="J20" s="61" t="s">
        <v>62</v>
      </c>
      <c r="K20" s="61" t="s">
        <v>62</v>
      </c>
      <c r="L20" s="61" t="s">
        <v>62</v>
      </c>
      <c r="M20" s="48" t="s">
        <v>62</v>
      </c>
      <c r="N20" s="48" t="s">
        <v>62</v>
      </c>
      <c r="O20" s="48" t="s">
        <v>62</v>
      </c>
      <c r="P20" s="48" t="s">
        <v>171</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12</v>
      </c>
      <c r="BB20" s="61" t="str">
        <f t="shared" si="1"/>
        <v>0</v>
      </c>
      <c r="BC20" s="61">
        <f t="shared" si="2"/>
        <v>1</v>
      </c>
      <c r="BD20" s="61" t="str">
        <f t="shared" si="3"/>
        <v>0</v>
      </c>
      <c r="BE20" s="155">
        <f t="shared" si="4"/>
        <v>13</v>
      </c>
      <c r="BG20" s="61">
        <v>20</v>
      </c>
      <c r="BH20" s="61">
        <v>30</v>
      </c>
      <c r="BJ20" s="193">
        <f>(Tabla1[[#This Row],[Asist. (A)]]+Tabla1[[#This Row],[Retrasos (R)]]+Tabla1[[#This Row],[Licencias (L)]])*10/Tabla1[[#This Row],[DÍAS TRABAJADOS]]</f>
        <v>10</v>
      </c>
    </row>
    <row r="21" spans="1:62" ht="12" customHeight="1" x14ac:dyDescent="0.35">
      <c r="A21" s="160">
        <v>14</v>
      </c>
      <c r="B21" s="60" t="str">
        <f>'C. FILIACION'!B21</f>
        <v>PILLCO APAZA MARIAN ALEXANDRA</v>
      </c>
      <c r="C21" s="48" t="s">
        <v>62</v>
      </c>
      <c r="D21" s="48" t="s">
        <v>62</v>
      </c>
      <c r="E21" s="48"/>
      <c r="F21" s="48" t="s">
        <v>62</v>
      </c>
      <c r="G21" s="61" t="s">
        <v>62</v>
      </c>
      <c r="H21" s="61" t="s">
        <v>62</v>
      </c>
      <c r="I21" s="61" t="s">
        <v>62</v>
      </c>
      <c r="J21" s="61" t="s">
        <v>62</v>
      </c>
      <c r="K21" s="61" t="s">
        <v>62</v>
      </c>
      <c r="L21" s="61" t="s">
        <v>62</v>
      </c>
      <c r="M21" s="48" t="s">
        <v>62</v>
      </c>
      <c r="N21" s="48" t="s">
        <v>62</v>
      </c>
      <c r="O21" s="48" t="s">
        <v>62</v>
      </c>
      <c r="P21" s="48" t="s">
        <v>171</v>
      </c>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12</v>
      </c>
      <c r="BB21" s="61" t="str">
        <f t="shared" si="1"/>
        <v>0</v>
      </c>
      <c r="BC21" s="61">
        <f t="shared" si="2"/>
        <v>1</v>
      </c>
      <c r="BD21" s="61" t="str">
        <f t="shared" si="3"/>
        <v>0</v>
      </c>
      <c r="BE21" s="155">
        <f t="shared" si="4"/>
        <v>13</v>
      </c>
      <c r="BG21" s="61">
        <v>25</v>
      </c>
      <c r="BH21" s="61">
        <v>30</v>
      </c>
      <c r="BJ21" s="193">
        <f>(Tabla1[[#This Row],[Asist. (A)]]+Tabla1[[#This Row],[Retrasos (R)]]+Tabla1[[#This Row],[Licencias (L)]])*10/Tabla1[[#This Row],[DÍAS TRABAJADOS]]</f>
        <v>10</v>
      </c>
    </row>
    <row r="22" spans="1:62" ht="12" customHeight="1" x14ac:dyDescent="0.35">
      <c r="A22" s="160">
        <v>15</v>
      </c>
      <c r="B22" s="60" t="str">
        <f>'C. FILIACION'!B22</f>
        <v>RUEDA ALVAREZ GREGORY STEVEN</v>
      </c>
      <c r="C22" s="48" t="s">
        <v>62</v>
      </c>
      <c r="D22" s="48" t="s">
        <v>62</v>
      </c>
      <c r="E22" s="48"/>
      <c r="F22" s="48" t="s">
        <v>62</v>
      </c>
      <c r="G22" s="61" t="s">
        <v>62</v>
      </c>
      <c r="H22" s="61" t="s">
        <v>62</v>
      </c>
      <c r="I22" s="61" t="s">
        <v>62</v>
      </c>
      <c r="J22" s="61" t="s">
        <v>62</v>
      </c>
      <c r="K22" s="61" t="s">
        <v>62</v>
      </c>
      <c r="L22" s="61" t="s">
        <v>171</v>
      </c>
      <c r="M22" s="48" t="s">
        <v>62</v>
      </c>
      <c r="N22" s="48" t="s">
        <v>62</v>
      </c>
      <c r="O22" s="48" t="s">
        <v>62</v>
      </c>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12</v>
      </c>
      <c r="BB22" s="61" t="str">
        <f t="shared" si="1"/>
        <v>0</v>
      </c>
      <c r="BC22" s="61">
        <f t="shared" si="2"/>
        <v>1</v>
      </c>
      <c r="BD22" s="61" t="str">
        <f t="shared" si="3"/>
        <v>0</v>
      </c>
      <c r="BE22" s="155">
        <f t="shared" si="4"/>
        <v>13</v>
      </c>
      <c r="BG22" s="61">
        <v>30</v>
      </c>
      <c r="BH22" s="61">
        <v>32</v>
      </c>
      <c r="BJ22" s="193">
        <f>(Tabla1[[#This Row],[Asist. (A)]]+Tabla1[[#This Row],[Retrasos (R)]]+Tabla1[[#This Row],[Licencias (L)]])*10/Tabla1[[#This Row],[DÍAS TRABAJADOS]]</f>
        <v>10</v>
      </c>
    </row>
    <row r="23" spans="1:62" ht="12" customHeight="1" x14ac:dyDescent="0.35">
      <c r="A23" s="160">
        <v>16</v>
      </c>
      <c r="B23" s="188" t="str">
        <f>'C. FILIACION'!B23</f>
        <v>VARGAS JOYCE BELEN</v>
      </c>
      <c r="C23" s="189" t="s">
        <v>62</v>
      </c>
      <c r="D23" s="189" t="s">
        <v>63</v>
      </c>
      <c r="E23" s="189"/>
      <c r="F23" s="189" t="s">
        <v>62</v>
      </c>
      <c r="G23" s="189" t="s">
        <v>63</v>
      </c>
      <c r="H23" s="189" t="s">
        <v>63</v>
      </c>
      <c r="I23" s="189" t="s">
        <v>63</v>
      </c>
      <c r="J23" s="189" t="s">
        <v>63</v>
      </c>
      <c r="K23" s="189" t="s">
        <v>63</v>
      </c>
      <c r="L23" s="189" t="s">
        <v>63</v>
      </c>
      <c r="M23" s="189" t="s">
        <v>63</v>
      </c>
      <c r="N23" s="189" t="s">
        <v>63</v>
      </c>
      <c r="O23" s="189" t="s">
        <v>63</v>
      </c>
      <c r="P23" s="189" t="s">
        <v>63</v>
      </c>
      <c r="Q23" s="189"/>
      <c r="R23" s="189"/>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90"/>
      <c r="BA23" s="191">
        <f t="shared" si="0"/>
        <v>2</v>
      </c>
      <c r="BB23" s="189">
        <f t="shared" si="1"/>
        <v>11</v>
      </c>
      <c r="BC23" s="189" t="str">
        <f t="shared" si="2"/>
        <v>0</v>
      </c>
      <c r="BD23" s="189" t="str">
        <f t="shared" si="3"/>
        <v>0</v>
      </c>
      <c r="BE23" s="190">
        <f t="shared" si="4"/>
        <v>13</v>
      </c>
      <c r="BF23" s="192"/>
      <c r="BG23" s="189"/>
      <c r="BH23" s="189">
        <v>0</v>
      </c>
      <c r="BJ23" s="193">
        <f>(Tabla1[[#This Row],[Asist. (A)]]+Tabla1[[#This Row],[Retrasos (R)]]+Tabla1[[#This Row],[Licencias (L)]])*10/Tabla1[[#This Row],[DÍAS TRABAJADOS]]</f>
        <v>1.5384615384615385</v>
      </c>
    </row>
    <row r="24" spans="1:62" ht="12" customHeight="1" x14ac:dyDescent="0.35">
      <c r="A24" s="160">
        <v>17</v>
      </c>
      <c r="B24" s="60" t="str">
        <f>'C. FILIACION'!B24</f>
        <v>ZURITA JIMENEZ ELMER ARTURO</v>
      </c>
      <c r="C24" s="48" t="s">
        <v>62</v>
      </c>
      <c r="D24" s="48" t="s">
        <v>62</v>
      </c>
      <c r="E24" s="48"/>
      <c r="F24" s="48" t="s">
        <v>62</v>
      </c>
      <c r="G24" s="61" t="s">
        <v>62</v>
      </c>
      <c r="H24" s="61" t="s">
        <v>62</v>
      </c>
      <c r="I24" s="61" t="s">
        <v>62</v>
      </c>
      <c r="J24" s="61" t="s">
        <v>62</v>
      </c>
      <c r="K24" s="61" t="s">
        <v>62</v>
      </c>
      <c r="L24" s="61" t="s">
        <v>62</v>
      </c>
      <c r="M24" s="48" t="s">
        <v>62</v>
      </c>
      <c r="N24" s="61" t="s">
        <v>62</v>
      </c>
      <c r="O24" s="48" t="s">
        <v>62</v>
      </c>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13</v>
      </c>
      <c r="BB24" s="61" t="str">
        <f t="shared" si="1"/>
        <v>0</v>
      </c>
      <c r="BC24" s="61" t="str">
        <f t="shared" si="2"/>
        <v>0</v>
      </c>
      <c r="BD24" s="61" t="str">
        <f t="shared" si="3"/>
        <v>0</v>
      </c>
      <c r="BE24" s="155">
        <f t="shared" si="4"/>
        <v>13</v>
      </c>
      <c r="BG24" s="61">
        <v>20</v>
      </c>
      <c r="BH24" s="61">
        <v>30</v>
      </c>
      <c r="BJ24" s="193">
        <f>(Tabla1[[#This Row],[Asist. (A)]]+Tabla1[[#This Row],[Retrasos (R)]]+Tabla1[[#This Row],[Licencias (L)]])*10/Tabla1[[#This Row],[DÍAS TRABAJADOS]]</f>
        <v>10</v>
      </c>
    </row>
    <row r="25" spans="1:62" ht="12" customHeight="1" x14ac:dyDescent="0.35">
      <c r="A25" s="160">
        <v>18</v>
      </c>
      <c r="B25" s="60" t="s">
        <v>169</v>
      </c>
      <c r="C25" s="48" t="s">
        <v>62</v>
      </c>
      <c r="D25" s="48" t="s">
        <v>63</v>
      </c>
      <c r="E25" s="48"/>
      <c r="F25" s="48" t="s">
        <v>62</v>
      </c>
      <c r="G25" s="61" t="s">
        <v>63</v>
      </c>
      <c r="H25" s="61" t="s">
        <v>62</v>
      </c>
      <c r="I25" s="61" t="s">
        <v>62</v>
      </c>
      <c r="J25" s="61" t="s">
        <v>62</v>
      </c>
      <c r="K25" s="61" t="s">
        <v>63</v>
      </c>
      <c r="L25" s="61" t="s">
        <v>63</v>
      </c>
      <c r="M25" s="48" t="s">
        <v>62</v>
      </c>
      <c r="N25" s="48" t="s">
        <v>63</v>
      </c>
      <c r="O25" s="48" t="s">
        <v>62</v>
      </c>
      <c r="P25" s="48" t="s">
        <v>62</v>
      </c>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8</v>
      </c>
      <c r="BB25" s="61">
        <f t="shared" si="1"/>
        <v>5</v>
      </c>
      <c r="BC25" s="61" t="str">
        <f t="shared" si="2"/>
        <v>0</v>
      </c>
      <c r="BD25" s="61" t="str">
        <f t="shared" si="3"/>
        <v>0</v>
      </c>
      <c r="BE25" s="155">
        <f t="shared" si="4"/>
        <v>13</v>
      </c>
      <c r="BG25" s="61"/>
      <c r="BH25" s="61">
        <v>0</v>
      </c>
      <c r="BJ25" s="193">
        <f>(Tabla1[[#This Row],[Asist. (A)]]+Tabla1[[#This Row],[Retrasos (R)]]+Tabla1[[#This Row],[Licencias (L)]])*10/Tabla1[[#This Row],[DÍAS TRABAJADOS]]</f>
        <v>6.1538461538461542</v>
      </c>
    </row>
    <row r="26" spans="1:62" ht="12" customHeight="1" x14ac:dyDescent="0.35">
      <c r="A26" s="162">
        <v>19</v>
      </c>
      <c r="B26" s="163" t="s">
        <v>170</v>
      </c>
      <c r="C26" s="164"/>
      <c r="D26" s="164"/>
      <c r="E26" s="164"/>
      <c r="F26" s="164"/>
      <c r="G26" s="164"/>
      <c r="H26" s="164"/>
      <c r="I26" s="164" t="s">
        <v>63</v>
      </c>
      <c r="J26" s="164" t="s">
        <v>172</v>
      </c>
      <c r="K26" s="164" t="s">
        <v>62</v>
      </c>
      <c r="L26" s="164" t="s">
        <v>62</v>
      </c>
      <c r="M26" s="164" t="s">
        <v>62</v>
      </c>
      <c r="N26" s="164" t="s">
        <v>62</v>
      </c>
      <c r="O26" s="164" t="s">
        <v>62</v>
      </c>
      <c r="P26" s="164" t="s">
        <v>62</v>
      </c>
      <c r="Q26" s="164"/>
      <c r="R26" s="164"/>
      <c r="S26" s="164"/>
      <c r="T26" s="164"/>
      <c r="U26" s="164"/>
      <c r="V26" s="164"/>
      <c r="W26" s="164"/>
      <c r="X26" s="164"/>
      <c r="Y26" s="164"/>
      <c r="Z26" s="164"/>
      <c r="AA26" s="164"/>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5"/>
      <c r="BA26" s="166">
        <f t="shared" si="0"/>
        <v>6</v>
      </c>
      <c r="BB26" s="164">
        <f t="shared" si="1"/>
        <v>1</v>
      </c>
      <c r="BC26" s="164" t="str">
        <f t="shared" si="2"/>
        <v>0</v>
      </c>
      <c r="BD26" s="164">
        <f t="shared" si="3"/>
        <v>1</v>
      </c>
      <c r="BE26" s="165">
        <f t="shared" si="4"/>
        <v>8</v>
      </c>
      <c r="BG26" s="61"/>
      <c r="BH26" s="61"/>
      <c r="BJ26" s="193">
        <f>(Tabla1[[#This Row],[Asist. (A)]]+Tabla1[[#This Row],[Retrasos (R)]]+Tabla1[[#This Row],[Licencias (L)]])*10/Tabla1[[#This Row],[DÍAS TRABAJADOS]]</f>
        <v>8.75</v>
      </c>
    </row>
    <row r="27" spans="1:62"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2"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2"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2"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2"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2"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25" right="0.25" top="0.75" bottom="0.75" header="0.3" footer="0.3"/>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72D43-B247-437B-858E-340363A7FEFA}">
  <sheetPr>
    <tabColor rgb="FFC00000"/>
    <pageSetUpPr fitToPage="1"/>
  </sheetPr>
  <dimension ref="A1:AN33"/>
  <sheetViews>
    <sheetView zoomScale="70" zoomScaleNormal="70" workbookViewId="0">
      <selection activeCell="AB32" sqref="A1:AB32"/>
    </sheetView>
  </sheetViews>
  <sheetFormatPr baseColWidth="10" defaultRowHeight="20.399999999999999" x14ac:dyDescent="0.35"/>
  <cols>
    <col min="1" max="11" width="2.1328125" customWidth="1"/>
    <col min="12" max="12" width="2.73046875" customWidth="1"/>
    <col min="13" max="13" width="2.1328125" customWidth="1"/>
    <col min="14" max="14" width="2.33203125" customWidth="1"/>
    <col min="15" max="26" width="2.1328125" customWidth="1"/>
    <col min="27" max="27" width="10.3984375" customWidth="1"/>
    <col min="28" max="28" width="7.3984375" customWidth="1"/>
  </cols>
  <sheetData>
    <row r="1" spans="1:40" ht="12" customHeight="1" x14ac:dyDescent="0.35">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row>
    <row r="2" spans="1:40" ht="21" x14ac:dyDescent="0.4">
      <c r="A2" s="275" t="s">
        <v>221</v>
      </c>
      <c r="B2" s="275"/>
      <c r="C2" s="275"/>
      <c r="D2" s="275"/>
      <c r="E2" s="275"/>
      <c r="F2" s="275"/>
      <c r="G2" s="275"/>
      <c r="H2" s="275"/>
      <c r="I2" s="275"/>
      <c r="J2" s="275"/>
      <c r="K2" s="275"/>
      <c r="L2" s="275"/>
      <c r="M2" s="275"/>
      <c r="N2" s="275"/>
      <c r="O2" s="275"/>
      <c r="P2" s="275"/>
      <c r="Q2" s="275"/>
      <c r="R2" s="275"/>
      <c r="S2" s="275"/>
      <c r="T2" s="275"/>
      <c r="U2" s="275"/>
      <c r="V2" s="275"/>
      <c r="W2" s="275"/>
      <c r="X2" s="275"/>
      <c r="Y2" s="275"/>
      <c r="Z2" s="275"/>
      <c r="AA2" s="275"/>
      <c r="AB2" s="275"/>
    </row>
    <row r="3" spans="1:40" ht="8.6999999999999993" customHeight="1" x14ac:dyDescent="0.35">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row>
    <row r="4" spans="1:40" x14ac:dyDescent="0.35">
      <c r="A4" s="269" t="s">
        <v>222</v>
      </c>
      <c r="B4" s="269"/>
      <c r="C4" s="269"/>
      <c r="D4" s="269"/>
      <c r="E4" s="269"/>
      <c r="F4" s="276" t="str">
        <f>CARÁTULA!C25</f>
        <v>Seguridad en sistemas informaticos</v>
      </c>
      <c r="G4" s="276"/>
      <c r="H4" s="276"/>
      <c r="I4" s="276"/>
      <c r="J4" s="276"/>
      <c r="K4" s="276"/>
      <c r="L4" s="276"/>
      <c r="M4" s="276"/>
      <c r="N4" s="276"/>
      <c r="O4" s="277" t="s">
        <v>223</v>
      </c>
      <c r="P4" s="277"/>
      <c r="Q4" s="277"/>
      <c r="R4" s="278" t="str">
        <f>CARÁTULA!C23</f>
        <v>6to de Secundaria</v>
      </c>
      <c r="S4" s="279"/>
      <c r="T4" s="279"/>
      <c r="U4" s="279"/>
      <c r="V4" s="279"/>
      <c r="W4" s="279"/>
      <c r="X4" s="279"/>
      <c r="Y4" s="279"/>
      <c r="Z4" s="280"/>
      <c r="AA4" s="266" t="s">
        <v>224</v>
      </c>
      <c r="AB4" s="268" t="s">
        <v>234</v>
      </c>
    </row>
    <row r="5" spans="1:40" x14ac:dyDescent="0.35">
      <c r="A5" s="269" t="s">
        <v>225</v>
      </c>
      <c r="B5" s="269"/>
      <c r="C5" s="269"/>
      <c r="D5" s="269"/>
      <c r="E5" s="269"/>
      <c r="F5" s="270" t="s">
        <v>169</v>
      </c>
      <c r="G5" s="270"/>
      <c r="H5" s="270"/>
      <c r="I5" s="270"/>
      <c r="J5" s="270"/>
      <c r="K5" s="270"/>
      <c r="L5" s="270"/>
      <c r="M5" s="270"/>
      <c r="N5" s="270"/>
      <c r="O5" s="270"/>
      <c r="P5" s="270"/>
      <c r="Q5" s="270"/>
      <c r="R5" s="270"/>
      <c r="S5" s="270"/>
      <c r="T5" s="270"/>
      <c r="U5" s="270"/>
      <c r="V5" s="270"/>
      <c r="W5" s="270"/>
      <c r="X5" s="270"/>
      <c r="Y5" s="270"/>
      <c r="Z5" s="270"/>
      <c r="AA5" s="267"/>
      <c r="AB5" s="268"/>
    </row>
    <row r="6" spans="1:40" x14ac:dyDescent="0.35">
      <c r="A6" s="269" t="s">
        <v>226</v>
      </c>
      <c r="B6" s="269"/>
      <c r="C6" s="269"/>
      <c r="D6" s="269"/>
      <c r="E6" s="269"/>
      <c r="F6" s="271" t="s">
        <v>227</v>
      </c>
      <c r="G6" s="272"/>
      <c r="H6" s="272"/>
      <c r="I6" s="272"/>
      <c r="J6" s="272"/>
      <c r="K6" s="272"/>
      <c r="L6" s="272"/>
      <c r="M6" s="272"/>
      <c r="N6" s="272"/>
      <c r="O6" s="272"/>
      <c r="P6" s="272"/>
      <c r="Q6" s="272"/>
      <c r="R6" s="272"/>
      <c r="S6" s="272"/>
      <c r="T6" s="272"/>
      <c r="U6" s="272"/>
      <c r="V6" s="272"/>
      <c r="W6" s="272"/>
      <c r="X6" s="272"/>
      <c r="Y6" s="272"/>
      <c r="Z6" s="273"/>
      <c r="AA6" s="181" t="s">
        <v>224</v>
      </c>
      <c r="AB6" s="182" t="s">
        <v>240</v>
      </c>
    </row>
    <row r="7" spans="1:40" ht="6.6" customHeight="1" x14ac:dyDescent="0.35">
      <c r="A7" s="167"/>
      <c r="B7" s="167"/>
      <c r="C7" s="167"/>
      <c r="D7" s="167"/>
      <c r="E7" s="167"/>
      <c r="F7" s="167"/>
      <c r="G7" s="167"/>
      <c r="H7" s="167"/>
      <c r="I7" s="167"/>
      <c r="J7" s="167"/>
      <c r="K7" s="167"/>
      <c r="L7" s="167"/>
      <c r="M7" s="167"/>
      <c r="N7" s="167"/>
      <c r="O7" s="167"/>
      <c r="P7" s="167"/>
      <c r="Q7" s="167"/>
      <c r="R7" s="167"/>
      <c r="S7" s="167"/>
      <c r="T7" s="167"/>
      <c r="U7" s="167"/>
      <c r="V7" s="167"/>
      <c r="W7" s="167"/>
      <c r="X7" s="167"/>
      <c r="Y7" s="167"/>
      <c r="Z7" s="167"/>
      <c r="AA7" s="180"/>
      <c r="AB7" s="171"/>
    </row>
    <row r="8" spans="1:40" x14ac:dyDescent="0.35">
      <c r="A8" s="274" t="s">
        <v>228</v>
      </c>
      <c r="B8" s="274"/>
      <c r="C8" s="274"/>
      <c r="D8" s="274"/>
      <c r="E8" s="274"/>
      <c r="F8" s="274"/>
      <c r="G8" s="274"/>
      <c r="H8" s="274"/>
      <c r="I8" s="274"/>
      <c r="J8" s="274"/>
      <c r="K8" s="274"/>
      <c r="L8" s="274"/>
      <c r="M8" s="274"/>
      <c r="N8" s="274"/>
      <c r="O8" s="274"/>
      <c r="P8" s="274"/>
      <c r="Q8" s="274"/>
      <c r="R8" s="274"/>
      <c r="S8" s="274"/>
      <c r="T8" s="274"/>
      <c r="U8" s="274"/>
      <c r="V8" s="274"/>
      <c r="W8" s="274"/>
      <c r="X8" s="274"/>
      <c r="Y8" s="274"/>
      <c r="Z8" s="274"/>
      <c r="AA8" s="274"/>
      <c r="AB8" s="274"/>
    </row>
    <row r="9" spans="1:40" ht="6" customHeight="1" x14ac:dyDescent="0.35">
      <c r="A9" s="167"/>
      <c r="B9" s="167"/>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row>
    <row r="10" spans="1:40" ht="73.8" x14ac:dyDescent="0.35">
      <c r="A10" s="167"/>
      <c r="B10" s="173"/>
      <c r="C10" s="173"/>
      <c r="D10" s="173"/>
      <c r="E10" s="173"/>
      <c r="F10" s="173"/>
      <c r="G10" s="173"/>
      <c r="H10" s="173"/>
      <c r="I10" s="173"/>
      <c r="J10" s="173"/>
      <c r="K10" s="173"/>
      <c r="L10" s="169" t="str">
        <f>Tabla1[[#Headers],[13/5/2020]]</f>
        <v>13/5/2020</v>
      </c>
      <c r="M10" s="169" t="str">
        <f>Tabla1[[#Headers],[20/5/2020]]</f>
        <v>20/5/2020</v>
      </c>
      <c r="N10" s="169" t="str">
        <f>Tabla1[[#Headers],[27/5/2021]]</f>
        <v>27/5/2021</v>
      </c>
      <c r="O10" s="169" t="str">
        <f>Tabla1[[#Headers],[1/7/2021]]</f>
        <v>1/7/2021</v>
      </c>
      <c r="P10" s="169" t="str">
        <f>Tabla1[[#Headers],[8/7/2021]]</f>
        <v>8/7/2021</v>
      </c>
      <c r="Q10" s="169" t="str">
        <f>Tabla1[[#Headers],[15/7/2021]]</f>
        <v>15/7/2021</v>
      </c>
      <c r="R10" s="169" t="str">
        <f>Tabla1[[#Headers],[22/7/2021]]</f>
        <v>22/7/2021</v>
      </c>
      <c r="S10" s="169" t="str">
        <f>Tabla1[[#Headers],[29/7/2021]]</f>
        <v>29/7/2021</v>
      </c>
      <c r="T10" s="169" t="str">
        <f>Tabla1[[#Headers],[5/8/2021]]</f>
        <v>5/8/2021</v>
      </c>
      <c r="U10" s="169" t="str">
        <f>Tabla1[[#Headers],[12/8/2021]]</f>
        <v>12/8/2021</v>
      </c>
      <c r="V10" s="169" t="str">
        <f>'[1]ASIS 2 TRIM'!BA7</f>
        <v>Asist. (A)</v>
      </c>
      <c r="W10" s="169" t="str">
        <f>'[1]ASIS 2 TRIM'!BB7</f>
        <v>Faltas (F)</v>
      </c>
      <c r="X10" s="169" t="str">
        <f>'[1]ASIS 2 TRIM'!BC7</f>
        <v>Retrasos (R)</v>
      </c>
      <c r="Y10" s="169" t="str">
        <f>'[1]ASIS 2 TRIM'!BD7</f>
        <v>Licencias (L)</v>
      </c>
      <c r="Z10" s="169" t="str">
        <f>'[1]ASIS 2 TRIM'!BE7</f>
        <v>DÍAS TRABAJADOS</v>
      </c>
      <c r="AA10" s="167"/>
      <c r="AB10" s="167"/>
    </row>
    <row r="11" spans="1:40" x14ac:dyDescent="0.35">
      <c r="A11" s="167"/>
      <c r="B11" s="174"/>
      <c r="C11" s="174"/>
      <c r="D11" s="174"/>
      <c r="E11" s="174"/>
      <c r="F11" s="174"/>
      <c r="G11" s="174"/>
      <c r="H11" s="174"/>
      <c r="I11" s="174"/>
      <c r="J11" s="174"/>
      <c r="K11" s="174"/>
      <c r="L11" s="170" t="str">
        <f>VLOOKUP($F$5,Tabla1[[NÓMINA DE ESTUDIANTES]:[DÍAS TRABAJADOS]],1+AE11,FALSE)</f>
        <v>a</v>
      </c>
      <c r="M11" s="170" t="str">
        <f>VLOOKUP($F$5,Tabla1[[NÓMINA DE ESTUDIANTES]:[DÍAS TRABAJADOS]],1+AF11,FALSE)</f>
        <v>f</v>
      </c>
      <c r="N11" s="170"/>
      <c r="O11" s="170" t="str">
        <f>VLOOKUP($F$5,Tabla1[[NÓMINA DE ESTUDIANTES]:[DÍAS TRABAJADOS]],1+AH11,FALSE)</f>
        <v>a</v>
      </c>
      <c r="P11" s="170" t="str">
        <f>VLOOKUP($F$5,Tabla1[[NÓMINA DE ESTUDIANTES]:[DÍAS TRABAJADOS]],1+AI11,FALSE)</f>
        <v>f</v>
      </c>
      <c r="Q11" s="170" t="str">
        <f>VLOOKUP($F$5,Tabla1[[NÓMINA DE ESTUDIANTES]:[DÍAS TRABAJADOS]],1+AJ11,FALSE)</f>
        <v>a</v>
      </c>
      <c r="R11" s="170" t="str">
        <f>VLOOKUP($F$5,Tabla1[[NÓMINA DE ESTUDIANTES]:[DÍAS TRABAJADOS]],1+AK11,FALSE)</f>
        <v>a</v>
      </c>
      <c r="S11" s="170" t="str">
        <f>VLOOKUP($F$5,Tabla1[[NÓMINA DE ESTUDIANTES]:[DÍAS TRABAJADOS]],1+AL11,FALSE)</f>
        <v>a</v>
      </c>
      <c r="T11" s="170" t="str">
        <f>VLOOKUP($F$5,Tabla1[[NÓMINA DE ESTUDIANTES]:[DÍAS TRABAJADOS]],1+AM11,FALSE)</f>
        <v>f</v>
      </c>
      <c r="U11" s="170" t="str">
        <f>VLOOKUP($F$5,Tabla1[[NÓMINA DE ESTUDIANTES]:[DÍAS TRABAJADOS]],1+AN11,FALSE)</f>
        <v>f</v>
      </c>
      <c r="V11" s="170">
        <f>VLOOKUP($F$5,Tabla1[[NÓMINA DE ESTUDIANTES]:[DÍAS TRABAJADOS]],51+AE11,FALSE)</f>
        <v>8</v>
      </c>
      <c r="W11" s="170">
        <f>VLOOKUP($F$5,Tabla1[[NÓMINA DE ESTUDIANTES]:[DÍAS TRABAJADOS]],51+AF11,FALSE)</f>
        <v>5</v>
      </c>
      <c r="X11" s="170" t="str">
        <f>VLOOKUP($F$5,Tabla1[[NÓMINA DE ESTUDIANTES]:[DÍAS TRABAJADOS]],51+AG11,FALSE)</f>
        <v>0</v>
      </c>
      <c r="Y11" s="170" t="str">
        <f>VLOOKUP($F$5,Tabla1[[NÓMINA DE ESTUDIANTES]:[DÍAS TRABAJADOS]],51+AH11,FALSE)</f>
        <v>0</v>
      </c>
      <c r="Z11" s="170">
        <f>VLOOKUP($F$5,Tabla1[[NÓMINA DE ESTUDIANTES]:[DÍAS TRABAJADOS]],51+AI11,FALSE)</f>
        <v>13</v>
      </c>
      <c r="AA11" s="167"/>
      <c r="AB11" s="167"/>
      <c r="AE11" s="172">
        <v>1</v>
      </c>
      <c r="AF11" s="172">
        <f>AE11+1</f>
        <v>2</v>
      </c>
      <c r="AG11" s="172">
        <f t="shared" ref="AG11:AM11" si="0">AF11+1</f>
        <v>3</v>
      </c>
      <c r="AH11" s="172">
        <f t="shared" si="0"/>
        <v>4</v>
      </c>
      <c r="AI11" s="172">
        <f t="shared" si="0"/>
        <v>5</v>
      </c>
      <c r="AJ11" s="172">
        <f t="shared" si="0"/>
        <v>6</v>
      </c>
      <c r="AK11" s="172">
        <f t="shared" si="0"/>
        <v>7</v>
      </c>
      <c r="AL11" s="172">
        <f t="shared" si="0"/>
        <v>8</v>
      </c>
      <c r="AM11" s="172">
        <f t="shared" si="0"/>
        <v>9</v>
      </c>
      <c r="AN11">
        <v>10</v>
      </c>
    </row>
    <row r="12" spans="1:40" ht="5.0999999999999996" customHeight="1" x14ac:dyDescent="0.35">
      <c r="A12" s="167"/>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row>
    <row r="13" spans="1:40" ht="15" customHeight="1" x14ac:dyDescent="0.35">
      <c r="A13" s="263" t="s">
        <v>229</v>
      </c>
      <c r="B13" s="263"/>
      <c r="C13" s="263"/>
      <c r="D13" s="263"/>
      <c r="E13" s="263"/>
      <c r="F13" s="263"/>
      <c r="G13" s="263"/>
      <c r="H13" s="263"/>
      <c r="I13" s="263"/>
      <c r="J13" s="263"/>
      <c r="K13" s="263"/>
      <c r="L13" s="263"/>
      <c r="M13" s="263"/>
      <c r="N13" s="263"/>
      <c r="O13" s="263"/>
      <c r="P13" s="263"/>
      <c r="Q13" s="263"/>
      <c r="R13" s="263"/>
      <c r="S13" s="263"/>
      <c r="T13" s="263"/>
      <c r="U13" s="263"/>
      <c r="V13" s="263"/>
      <c r="W13" s="263"/>
      <c r="X13" s="263"/>
      <c r="Y13" s="263"/>
      <c r="Z13" s="263"/>
      <c r="AA13" s="263"/>
      <c r="AB13" s="263"/>
    </row>
    <row r="14" spans="1:40" ht="15" customHeight="1" x14ac:dyDescent="0.35">
      <c r="A14" s="263" t="s">
        <v>230</v>
      </c>
      <c r="B14" s="263"/>
      <c r="C14" s="263"/>
      <c r="D14" s="263"/>
      <c r="E14" s="263"/>
      <c r="F14" s="263"/>
      <c r="G14" s="263"/>
      <c r="H14" s="263"/>
      <c r="I14" s="263" t="s">
        <v>231</v>
      </c>
      <c r="J14" s="263"/>
      <c r="K14" s="263" t="s">
        <v>232</v>
      </c>
      <c r="L14" s="263"/>
      <c r="M14" s="263"/>
      <c r="N14" s="263"/>
      <c r="O14" s="263"/>
      <c r="P14" s="263"/>
      <c r="Q14" s="263"/>
      <c r="R14" s="263"/>
      <c r="S14" s="263"/>
      <c r="T14" s="263"/>
      <c r="U14" s="263"/>
      <c r="V14" s="263"/>
      <c r="W14" s="263"/>
      <c r="X14" s="263"/>
      <c r="Y14" s="263"/>
      <c r="Z14" s="263"/>
      <c r="AA14" s="263"/>
      <c r="AB14" s="263"/>
    </row>
    <row r="15" spans="1:40" ht="15" customHeight="1" x14ac:dyDescent="0.35">
      <c r="A15" s="264" t="str">
        <f>'VAL 2 TRIM'!D$8</f>
        <v>13/5/2021 (Cuestinario Criptografia)</v>
      </c>
      <c r="B15" s="265"/>
      <c r="C15" s="265"/>
      <c r="D15" s="265"/>
      <c r="E15" s="265"/>
      <c r="F15" s="265"/>
      <c r="G15" s="265"/>
      <c r="H15" s="265"/>
      <c r="I15" s="258">
        <f>VLOOKUP($F$5,'VAL 2 TRIM'!$B$9:$Z$32,3,FALSE)</f>
        <v>18</v>
      </c>
      <c r="J15" s="258"/>
      <c r="K15" s="259" t="s">
        <v>239</v>
      </c>
      <c r="L15" s="260"/>
      <c r="M15" s="260"/>
      <c r="N15" s="260"/>
      <c r="O15" s="260"/>
      <c r="P15" s="260"/>
      <c r="Q15" s="260"/>
      <c r="R15" s="260"/>
      <c r="S15" s="260"/>
      <c r="T15" s="260"/>
      <c r="U15" s="260"/>
      <c r="V15" s="260"/>
      <c r="W15" s="260"/>
      <c r="X15" s="260"/>
      <c r="Y15" s="260"/>
      <c r="Z15" s="260"/>
      <c r="AA15" s="260"/>
      <c r="AB15" s="260"/>
      <c r="AC15" s="176">
        <f>IF(I15=0,1,0)</f>
        <v>0</v>
      </c>
      <c r="AD15" s="177">
        <v>1</v>
      </c>
      <c r="AE15" s="177">
        <v>1</v>
      </c>
    </row>
    <row r="16" spans="1:40" ht="15" customHeight="1" x14ac:dyDescent="0.35">
      <c r="A16" s="264" t="str">
        <f>'VAL 2 TRIM'!E$8</f>
        <v>8/7/2021 (defensa de algoritmo DES)</v>
      </c>
      <c r="B16" s="265"/>
      <c r="C16" s="265"/>
      <c r="D16" s="265"/>
      <c r="E16" s="265"/>
      <c r="F16" s="265"/>
      <c r="G16" s="265"/>
      <c r="H16" s="265"/>
      <c r="I16" s="258">
        <f>VLOOKUP($F$5,'VAL 2 TRIM'!$B$9:$Z$32,4,FALSE)</f>
        <v>18</v>
      </c>
      <c r="J16" s="258"/>
      <c r="K16" s="259"/>
      <c r="L16" s="260"/>
      <c r="M16" s="260"/>
      <c r="N16" s="260"/>
      <c r="O16" s="260"/>
      <c r="P16" s="260"/>
      <c r="Q16" s="260"/>
      <c r="R16" s="260"/>
      <c r="S16" s="260"/>
      <c r="T16" s="260"/>
      <c r="U16" s="260"/>
      <c r="V16" s="260"/>
      <c r="W16" s="260"/>
      <c r="X16" s="260"/>
      <c r="Y16" s="260"/>
      <c r="Z16" s="260"/>
      <c r="AA16" s="260"/>
      <c r="AB16" s="260"/>
      <c r="AC16" s="176">
        <f t="shared" ref="AC16:AC17" si="1">IF(I16=0,1,0)</f>
        <v>0</v>
      </c>
      <c r="AD16" s="177">
        <v>1</v>
      </c>
      <c r="AE16" s="177">
        <v>1</v>
      </c>
    </row>
    <row r="17" spans="1:31" ht="15" customHeight="1" x14ac:dyDescent="0.35">
      <c r="A17" s="264" t="str">
        <f>'VAL 2 TRIM'!F$8</f>
        <v>22/07/2021 (defensa de cambio de base)</v>
      </c>
      <c r="B17" s="265"/>
      <c r="C17" s="265"/>
      <c r="D17" s="265"/>
      <c r="E17" s="265"/>
      <c r="F17" s="265"/>
      <c r="G17" s="265"/>
      <c r="H17" s="265"/>
      <c r="I17" s="258">
        <f>VLOOKUP($F$5,'VAL 2 TRIM'!$B$9:$Z$32,5,FALSE)</f>
        <v>18</v>
      </c>
      <c r="J17" s="258"/>
      <c r="K17" s="259"/>
      <c r="L17" s="262"/>
      <c r="M17" s="262"/>
      <c r="N17" s="262"/>
      <c r="O17" s="262"/>
      <c r="P17" s="262"/>
      <c r="Q17" s="262"/>
      <c r="R17" s="262"/>
      <c r="S17" s="262"/>
      <c r="T17" s="262"/>
      <c r="U17" s="262"/>
      <c r="V17" s="262"/>
      <c r="W17" s="262"/>
      <c r="X17" s="262"/>
      <c r="Y17" s="262"/>
      <c r="Z17" s="262"/>
      <c r="AA17" s="262"/>
      <c r="AB17" s="262"/>
      <c r="AC17" s="176">
        <f t="shared" si="1"/>
        <v>0</v>
      </c>
      <c r="AD17" s="177">
        <v>1</v>
      </c>
      <c r="AE17" s="178"/>
    </row>
    <row r="18" spans="1:31" ht="15" customHeight="1" x14ac:dyDescent="0.35">
      <c r="A18" s="254" t="s">
        <v>79</v>
      </c>
      <c r="B18" s="255"/>
      <c r="C18" s="255"/>
      <c r="D18" s="255"/>
      <c r="E18" s="255"/>
      <c r="F18" s="255"/>
      <c r="G18" s="255"/>
      <c r="H18" s="255"/>
      <c r="I18" s="256">
        <f>SUM(I15:J17)/3</f>
        <v>18</v>
      </c>
      <c r="J18" s="256"/>
      <c r="K18" s="258"/>
      <c r="L18" s="258"/>
      <c r="M18" s="258"/>
      <c r="N18" s="258"/>
      <c r="O18" s="258"/>
      <c r="P18" s="258"/>
      <c r="Q18" s="258"/>
      <c r="R18" s="258"/>
      <c r="S18" s="258"/>
      <c r="T18" s="258"/>
      <c r="U18" s="258"/>
      <c r="V18" s="258"/>
      <c r="W18" s="258"/>
      <c r="X18" s="258"/>
      <c r="Y18" s="258"/>
      <c r="Z18" s="258"/>
      <c r="AA18" s="258"/>
      <c r="AB18" s="258"/>
      <c r="AC18" s="176">
        <f>SUM(AC15:AC17)</f>
        <v>0</v>
      </c>
      <c r="AD18" s="178"/>
      <c r="AE18" s="178"/>
    </row>
    <row r="19" spans="1:31" ht="15" customHeight="1" x14ac:dyDescent="0.35">
      <c r="A19" s="167"/>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8"/>
      <c r="AD19" s="168"/>
      <c r="AE19" s="168"/>
    </row>
    <row r="20" spans="1:31" ht="15" customHeight="1" x14ac:dyDescent="0.35">
      <c r="A20" s="263" t="s">
        <v>233</v>
      </c>
      <c r="B20" s="263"/>
      <c r="C20" s="263"/>
      <c r="D20" s="263"/>
      <c r="E20" s="263"/>
      <c r="F20" s="263"/>
      <c r="G20" s="263"/>
      <c r="H20" s="263"/>
      <c r="I20" s="263"/>
      <c r="J20" s="263"/>
      <c r="K20" s="263"/>
      <c r="L20" s="263"/>
      <c r="M20" s="263"/>
      <c r="N20" s="263"/>
      <c r="O20" s="263"/>
      <c r="P20" s="263"/>
      <c r="Q20" s="263"/>
      <c r="R20" s="263"/>
      <c r="S20" s="263"/>
      <c r="T20" s="263"/>
      <c r="U20" s="263"/>
      <c r="V20" s="263"/>
      <c r="W20" s="263"/>
      <c r="X20" s="263"/>
      <c r="Y20" s="263"/>
      <c r="Z20" s="263"/>
      <c r="AA20" s="263"/>
      <c r="AB20" s="263"/>
      <c r="AC20" s="168"/>
      <c r="AD20" s="168"/>
      <c r="AE20" s="168"/>
    </row>
    <row r="21" spans="1:31" ht="15" customHeight="1" x14ac:dyDescent="0.35">
      <c r="A21" s="263" t="s">
        <v>230</v>
      </c>
      <c r="B21" s="263"/>
      <c r="C21" s="263"/>
      <c r="D21" s="263"/>
      <c r="E21" s="263"/>
      <c r="F21" s="263"/>
      <c r="G21" s="263"/>
      <c r="H21" s="263"/>
      <c r="I21" s="263" t="s">
        <v>231</v>
      </c>
      <c r="J21" s="263"/>
      <c r="K21" s="263" t="s">
        <v>232</v>
      </c>
      <c r="L21" s="263"/>
      <c r="M21" s="263"/>
      <c r="N21" s="263"/>
      <c r="O21" s="263"/>
      <c r="P21" s="263"/>
      <c r="Q21" s="263"/>
      <c r="R21" s="263"/>
      <c r="S21" s="263"/>
      <c r="T21" s="263"/>
      <c r="U21" s="263"/>
      <c r="V21" s="263"/>
      <c r="W21" s="263"/>
      <c r="X21" s="263"/>
      <c r="Y21" s="263"/>
      <c r="Z21" s="263"/>
      <c r="AA21" s="263"/>
      <c r="AB21" s="263"/>
      <c r="AC21" s="168"/>
      <c r="AD21" s="168"/>
      <c r="AE21" s="168"/>
    </row>
    <row r="22" spans="1:31" ht="15" customHeight="1" x14ac:dyDescent="0.35">
      <c r="A22" s="255" t="str">
        <f>'VAL 2 TRIM'!P$8</f>
        <v>20/05/2021(Practica Virus)</v>
      </c>
      <c r="B22" s="255"/>
      <c r="C22" s="255"/>
      <c r="D22" s="255"/>
      <c r="E22" s="255"/>
      <c r="F22" s="255"/>
      <c r="G22" s="255"/>
      <c r="H22" s="255"/>
      <c r="I22" s="258">
        <f>VLOOKUP($F$5,'VAL 2 TRIM'!$B$9:$Z$32,15,FALSE)</f>
        <v>10</v>
      </c>
      <c r="J22" s="258"/>
      <c r="K22" s="259" t="s">
        <v>237</v>
      </c>
      <c r="L22" s="260"/>
      <c r="M22" s="260"/>
      <c r="N22" s="260"/>
      <c r="O22" s="260"/>
      <c r="P22" s="260"/>
      <c r="Q22" s="260"/>
      <c r="R22" s="260"/>
      <c r="S22" s="260"/>
      <c r="T22" s="260"/>
      <c r="U22" s="260"/>
      <c r="V22" s="260"/>
      <c r="W22" s="260"/>
      <c r="X22" s="260"/>
      <c r="Y22" s="260"/>
      <c r="Z22" s="260"/>
      <c r="AA22" s="260"/>
      <c r="AB22" s="260"/>
      <c r="AC22" s="176">
        <f>IF(I22=0,1,0)</f>
        <v>0</v>
      </c>
      <c r="AD22" s="178">
        <v>1</v>
      </c>
      <c r="AE22" s="178">
        <v>1</v>
      </c>
    </row>
    <row r="23" spans="1:31" ht="15" customHeight="1" x14ac:dyDescent="0.35">
      <c r="A23" s="255" t="str">
        <f>'VAL 2 TRIM'!Q$8</f>
        <v>01/07/2021 (encriptación DES)</v>
      </c>
      <c r="B23" s="255"/>
      <c r="C23" s="255"/>
      <c r="D23" s="255"/>
      <c r="E23" s="255"/>
      <c r="F23" s="255"/>
      <c r="G23" s="255"/>
      <c r="H23" s="255"/>
      <c r="I23" s="258">
        <f>VLOOKUP($F$5,'VAL 2 TRIM'!$B$9:$Z$32,16,FALSE)</f>
        <v>10</v>
      </c>
      <c r="J23" s="258"/>
      <c r="K23" s="259" t="s">
        <v>242</v>
      </c>
      <c r="L23" s="260"/>
      <c r="M23" s="260"/>
      <c r="N23" s="260"/>
      <c r="O23" s="260"/>
      <c r="P23" s="260"/>
      <c r="Q23" s="260"/>
      <c r="R23" s="260"/>
      <c r="S23" s="260"/>
      <c r="T23" s="260"/>
      <c r="U23" s="260"/>
      <c r="V23" s="260"/>
      <c r="W23" s="260"/>
      <c r="X23" s="260"/>
      <c r="Y23" s="260"/>
      <c r="Z23" s="260"/>
      <c r="AA23" s="260"/>
      <c r="AB23" s="260"/>
      <c r="AC23" s="176">
        <f t="shared" ref="AC23:AC25" si="2">IF(I23=0,1,0)</f>
        <v>0</v>
      </c>
      <c r="AD23" s="178">
        <v>1</v>
      </c>
      <c r="AE23" s="178">
        <v>1</v>
      </c>
    </row>
    <row r="24" spans="1:31" ht="15" customHeight="1" x14ac:dyDescent="0.35">
      <c r="A24" s="255" t="str">
        <f>'VAL 2 TRIM'!R$8</f>
        <v>15/7/2021 (Binario a Letra)</v>
      </c>
      <c r="B24" s="255"/>
      <c r="C24" s="255"/>
      <c r="D24" s="255"/>
      <c r="E24" s="255"/>
      <c r="F24" s="255"/>
      <c r="G24" s="255"/>
      <c r="H24" s="255"/>
      <c r="I24" s="258">
        <f>VLOOKUP($F$5,'VAL 2 TRIM'!$B$9:$Z$32,17,FALSE)</f>
        <v>10</v>
      </c>
      <c r="J24" s="258"/>
      <c r="K24" s="259" t="s">
        <v>244</v>
      </c>
      <c r="L24" s="260"/>
      <c r="M24" s="260"/>
      <c r="N24" s="260"/>
      <c r="O24" s="260"/>
      <c r="P24" s="260"/>
      <c r="Q24" s="260"/>
      <c r="R24" s="260"/>
      <c r="S24" s="260"/>
      <c r="T24" s="260"/>
      <c r="U24" s="260"/>
      <c r="V24" s="260"/>
      <c r="W24" s="260"/>
      <c r="X24" s="260"/>
      <c r="Y24" s="260"/>
      <c r="Z24" s="260"/>
      <c r="AA24" s="260"/>
      <c r="AB24" s="260"/>
      <c r="AC24" s="176">
        <f t="shared" si="2"/>
        <v>0</v>
      </c>
      <c r="AD24" s="176">
        <v>1</v>
      </c>
      <c r="AE24" s="178">
        <v>1</v>
      </c>
    </row>
    <row r="25" spans="1:31" ht="15" customHeight="1" x14ac:dyDescent="0.35">
      <c r="A25" s="261" t="str">
        <f>'VAL 2 TRIM'!S$8</f>
        <v>05/08/2021 (Cifrado Feistel)</v>
      </c>
      <c r="B25" s="255"/>
      <c r="C25" s="255"/>
      <c r="D25" s="255"/>
      <c r="E25" s="255"/>
      <c r="F25" s="255"/>
      <c r="G25" s="255"/>
      <c r="H25" s="255"/>
      <c r="I25" s="258">
        <f>VLOOKUP($F$5,'VAL 2 TRIM'!$B$9:$Z$32,18,FALSE)</f>
        <v>15</v>
      </c>
      <c r="J25" s="258"/>
      <c r="K25" s="259" t="s">
        <v>246</v>
      </c>
      <c r="L25" s="262"/>
      <c r="M25" s="262"/>
      <c r="N25" s="262"/>
      <c r="O25" s="262"/>
      <c r="P25" s="262"/>
      <c r="Q25" s="262"/>
      <c r="R25" s="262"/>
      <c r="S25" s="262"/>
      <c r="T25" s="262"/>
      <c r="U25" s="262"/>
      <c r="V25" s="262"/>
      <c r="W25" s="262"/>
      <c r="X25" s="262"/>
      <c r="Y25" s="262"/>
      <c r="Z25" s="262"/>
      <c r="AA25" s="262"/>
      <c r="AB25" s="262"/>
      <c r="AC25" s="176">
        <f t="shared" si="2"/>
        <v>0</v>
      </c>
      <c r="AD25" s="176">
        <v>1</v>
      </c>
      <c r="AE25" s="178"/>
    </row>
    <row r="26" spans="1:31" ht="15" customHeight="1" x14ac:dyDescent="0.35">
      <c r="A26" s="254" t="s">
        <v>79</v>
      </c>
      <c r="B26" s="255"/>
      <c r="C26" s="255"/>
      <c r="D26" s="255"/>
      <c r="E26" s="255"/>
      <c r="F26" s="255"/>
      <c r="G26" s="255"/>
      <c r="H26" s="255"/>
      <c r="I26" s="256">
        <f>SUM(I22:J25)/4</f>
        <v>11.25</v>
      </c>
      <c r="J26" s="256"/>
      <c r="K26" s="257"/>
      <c r="L26" s="257"/>
      <c r="M26" s="257"/>
      <c r="N26" s="257"/>
      <c r="O26" s="257"/>
      <c r="P26" s="257"/>
      <c r="Q26" s="257"/>
      <c r="R26" s="257"/>
      <c r="S26" s="257"/>
      <c r="T26" s="257"/>
      <c r="U26" s="257"/>
      <c r="V26" s="257"/>
      <c r="W26" s="257"/>
      <c r="X26" s="257"/>
      <c r="Y26" s="257"/>
      <c r="Z26" s="257"/>
      <c r="AA26" s="257"/>
      <c r="AB26" s="257"/>
      <c r="AC26" s="176">
        <f>SUM(AC22:AC25)</f>
        <v>0</v>
      </c>
      <c r="AD26" s="179">
        <f>SUM(AD15:AD25)</f>
        <v>7</v>
      </c>
      <c r="AE26" s="168"/>
    </row>
    <row r="27" spans="1:31" x14ac:dyDescent="0.35">
      <c r="A27" s="252" t="str">
        <f>IF(AC27&gt;0,CONCATENATE("Observaciones:El estudiante  ",F5,"  durante el segundo trimestre tuvo ",V11," Asistencias, ",W11," Faltas, ",X11," Retrasos, ",Y11," Licencias,  Total de Dias Trabajados ",Z11,", En relacion a las practicas",IF(AC27&gt;0,CONCATENATE(" No presentó ",AC27," Practicas"),"Presentó todo")," de las ",AD26,"  tareas (El estudiante puede presentar practicas por una ponderacion de 20 puntos)"),"Observaciones: Ninguna")</f>
        <v>Observaciones: Ninguna</v>
      </c>
      <c r="B27" s="252"/>
      <c r="C27" s="252"/>
      <c r="D27" s="252"/>
      <c r="E27" s="252"/>
      <c r="F27" s="252"/>
      <c r="G27" s="252"/>
      <c r="H27" s="252"/>
      <c r="I27" s="252"/>
      <c r="J27" s="252"/>
      <c r="K27" s="252"/>
      <c r="L27" s="252"/>
      <c r="M27" s="252"/>
      <c r="N27" s="252"/>
      <c r="O27" s="252"/>
      <c r="P27" s="252"/>
      <c r="Q27" s="252"/>
      <c r="R27" s="252"/>
      <c r="S27" s="252"/>
      <c r="T27" s="252"/>
      <c r="U27" s="252"/>
      <c r="V27" s="252"/>
      <c r="W27" s="252"/>
      <c r="X27" s="252"/>
      <c r="Y27" s="252"/>
      <c r="Z27" s="252"/>
      <c r="AA27" s="252"/>
      <c r="AB27" s="252"/>
      <c r="AC27" s="176">
        <f>AC18+AC26</f>
        <v>0</v>
      </c>
      <c r="AD27" s="168"/>
      <c r="AE27" s="168"/>
    </row>
    <row r="28" spans="1:31" x14ac:dyDescent="0.35">
      <c r="A28" s="253"/>
      <c r="B28" s="253"/>
      <c r="C28" s="253"/>
      <c r="D28" s="253"/>
      <c r="E28" s="253"/>
      <c r="F28" s="253"/>
      <c r="G28" s="253"/>
      <c r="H28" s="253"/>
      <c r="I28" s="253"/>
      <c r="J28" s="253"/>
      <c r="K28" s="253"/>
      <c r="L28" s="253"/>
      <c r="M28" s="253"/>
      <c r="N28" s="253"/>
      <c r="O28" s="253"/>
      <c r="P28" s="253"/>
      <c r="Q28" s="253"/>
      <c r="R28" s="253"/>
      <c r="S28" s="253"/>
      <c r="T28" s="253"/>
      <c r="U28" s="253"/>
      <c r="V28" s="253"/>
      <c r="W28" s="253"/>
      <c r="X28" s="253"/>
      <c r="Y28" s="253"/>
      <c r="Z28" s="253"/>
      <c r="AA28" s="253"/>
      <c r="AB28" s="253"/>
    </row>
    <row r="29" spans="1:31" x14ac:dyDescent="0.35">
      <c r="A29" s="167"/>
      <c r="B29" s="167"/>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row>
    <row r="30" spans="1:31" x14ac:dyDescent="0.35">
      <c r="A30" s="167"/>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c r="AA30" s="167"/>
      <c r="AB30" s="167"/>
    </row>
    <row r="31" spans="1:31" x14ac:dyDescent="0.35">
      <c r="A31" s="167"/>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7"/>
      <c r="AB31" s="167"/>
    </row>
    <row r="32" spans="1:31" x14ac:dyDescent="0.35">
      <c r="A32" s="167"/>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row>
    <row r="33" spans="1:28" x14ac:dyDescent="0.35">
      <c r="A33" s="168"/>
      <c r="B33" s="168"/>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8"/>
    </row>
  </sheetData>
  <mergeCells count="48">
    <mergeCell ref="A15:H15"/>
    <mergeCell ref="I15:J15"/>
    <mergeCell ref="A16:H16"/>
    <mergeCell ref="I16:J16"/>
    <mergeCell ref="A2:AB2"/>
    <mergeCell ref="A4:E4"/>
    <mergeCell ref="F4:N4"/>
    <mergeCell ref="O4:Q4"/>
    <mergeCell ref="R4:Z4"/>
    <mergeCell ref="A17:H17"/>
    <mergeCell ref="I17:J17"/>
    <mergeCell ref="K17:AB17"/>
    <mergeCell ref="AA4:AA5"/>
    <mergeCell ref="AB4:AB5"/>
    <mergeCell ref="A5:E5"/>
    <mergeCell ref="F5:Z5"/>
    <mergeCell ref="A6:E6"/>
    <mergeCell ref="F6:Z6"/>
    <mergeCell ref="A13:AB13"/>
    <mergeCell ref="A14:H14"/>
    <mergeCell ref="I14:J14"/>
    <mergeCell ref="K14:AB14"/>
    <mergeCell ref="K15:AB15"/>
    <mergeCell ref="K16:AB16"/>
    <mergeCell ref="A8:AB8"/>
    <mergeCell ref="A23:H23"/>
    <mergeCell ref="I23:J23"/>
    <mergeCell ref="K23:AB23"/>
    <mergeCell ref="A18:H18"/>
    <mergeCell ref="I18:J18"/>
    <mergeCell ref="K18:AB18"/>
    <mergeCell ref="A20:AB20"/>
    <mergeCell ref="A21:H21"/>
    <mergeCell ref="I21:J21"/>
    <mergeCell ref="K21:AB21"/>
    <mergeCell ref="A22:H22"/>
    <mergeCell ref="I22:J22"/>
    <mergeCell ref="K22:AB22"/>
    <mergeCell ref="A27:AB28"/>
    <mergeCell ref="A26:H26"/>
    <mergeCell ref="I26:J26"/>
    <mergeCell ref="K26:AB26"/>
    <mergeCell ref="A24:H24"/>
    <mergeCell ref="I24:J24"/>
    <mergeCell ref="K24:AB24"/>
    <mergeCell ref="A25:H25"/>
    <mergeCell ref="I25:J25"/>
    <mergeCell ref="K25:AB25"/>
  </mergeCells>
  <hyperlinks>
    <hyperlink ref="K22" r:id="rId1" xr:uid="{B430AE07-13F1-4FB2-A786-898B5D5B0303}"/>
    <hyperlink ref="K15" r:id="rId2" xr:uid="{BAAF06BE-C74E-4EF9-A945-A87E6AA25A5E}"/>
    <hyperlink ref="K23" r:id="rId3" xr:uid="{2BF61981-7EF4-4730-8E1C-7C32060DABD3}"/>
    <hyperlink ref="K24" r:id="rId4" xr:uid="{13A18C0D-8CB2-4BEE-90FE-8AF6B983647D}"/>
    <hyperlink ref="K25" r:id="rId5" xr:uid="{CCFC46EF-50B2-497E-944F-C09FF2B258D3}"/>
  </hyperlinks>
  <pageMargins left="0.7" right="0.7" top="0.75" bottom="0.75" header="0.3" footer="0.3"/>
  <pageSetup paperSize="9" scale="40" orientation="landscape" horizontalDpi="0" verticalDpi="0" r:id="rId6"/>
  <drawing r:id="rId7"/>
  <extLst>
    <ext xmlns:x14="http://schemas.microsoft.com/office/spreadsheetml/2009/9/main" uri="{CCE6A557-97BC-4b89-ADB6-D9C93CAAB3DF}">
      <x14:dataValidations xmlns:xm="http://schemas.microsoft.com/office/excel/2006/main" count="1">
        <x14:dataValidation type="list" allowBlank="1" showInputMessage="1" showErrorMessage="1" xr:uid="{FFB23C7A-3C75-4452-9709-B654654F10C6}">
          <x14:formula1>
            <xm:f>'ASIS 2 TRIM'!$B$8:$B$26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J1000"/>
  <sheetViews>
    <sheetView topLeftCell="A7" workbookViewId="0">
      <selection activeCell="G8" sqref="G8"/>
    </sheetView>
  </sheetViews>
  <sheetFormatPr baseColWidth="10" defaultColWidth="9.1328125" defaultRowHeight="15" customHeight="1" x14ac:dyDescent="0.35"/>
  <cols>
    <col min="1" max="1" width="1.6640625" customWidth="1"/>
    <col min="2" max="2" width="20.6640625" customWidth="1"/>
    <col min="3" max="52" width="1.1328125" customWidth="1"/>
    <col min="53" max="57" width="1.3984375" customWidth="1"/>
    <col min="58" max="61" width="1.6640625" customWidth="1"/>
  </cols>
  <sheetData>
    <row r="1" spans="1:62" ht="4.5" customHeight="1" x14ac:dyDescent="0.35"/>
    <row r="2" spans="1:62" ht="12.75" customHeight="1" x14ac:dyDescent="0.35">
      <c r="B2" s="237" t="s">
        <v>69</v>
      </c>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38">
        <f>CARÁTULA!$H$24</f>
        <v>44440</v>
      </c>
      <c r="AU3" s="233"/>
      <c r="AV3" s="233"/>
      <c r="AW3" s="233"/>
      <c r="AX3" s="233"/>
      <c r="AY3" s="233"/>
      <c r="AZ3" s="233"/>
      <c r="BA3" s="281"/>
      <c r="BB3" s="233"/>
      <c r="BC3" s="233"/>
      <c r="BD3" s="233"/>
      <c r="BE3" s="233"/>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t="str">
        <f>CARÁTULA!$C$19</f>
        <v>JOSÉ COAQUIRA COPA</v>
      </c>
      <c r="Y4" s="40"/>
      <c r="Z4" s="40"/>
      <c r="AA4" s="40"/>
      <c r="AB4" s="40"/>
      <c r="AC4" s="40"/>
      <c r="AD4" s="40"/>
      <c r="AE4" s="40"/>
      <c r="AF4" s="40"/>
      <c r="AG4" s="40"/>
      <c r="AH4" s="40"/>
      <c r="AI4" s="40"/>
      <c r="AJ4" s="40"/>
      <c r="AK4" s="42" t="s">
        <v>53</v>
      </c>
      <c r="AL4" s="40"/>
      <c r="AM4" s="40"/>
      <c r="AN4" s="40"/>
      <c r="AO4" s="40"/>
      <c r="AP4" s="40"/>
      <c r="AQ4" s="40"/>
      <c r="AR4" s="40"/>
      <c r="AS4" s="40"/>
      <c r="AT4" s="238">
        <f>CARÁTULA!$J$24</f>
        <v>44531</v>
      </c>
      <c r="AU4" s="233"/>
      <c r="AV4" s="233"/>
      <c r="AW4" s="233"/>
      <c r="AX4" s="233"/>
      <c r="AY4" s="233"/>
      <c r="AZ4" s="233"/>
      <c r="BA4" s="282">
        <f ca="1">AT4-AT5</f>
        <v>-12</v>
      </c>
      <c r="BB4" s="243"/>
      <c r="BC4" s="243"/>
      <c r="BD4" s="243"/>
      <c r="BE4" s="244"/>
    </row>
    <row r="5" spans="1:62" ht="12.75" customHeight="1" x14ac:dyDescent="0.35">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51">
        <f ca="1">TODAY()</f>
        <v>44543</v>
      </c>
      <c r="Y5" s="233"/>
      <c r="Z5" s="233"/>
      <c r="AA5" s="233"/>
      <c r="AB5" s="233"/>
      <c r="AC5" s="233"/>
      <c r="AD5" s="40"/>
      <c r="AE5" s="40"/>
      <c r="AF5" s="40"/>
      <c r="AG5" s="40"/>
      <c r="AH5" s="40"/>
      <c r="AI5" s="40"/>
      <c r="AJ5" s="40"/>
      <c r="AK5" s="45" t="s">
        <v>54</v>
      </c>
      <c r="AL5" s="46"/>
      <c r="AM5" s="46"/>
      <c r="AN5" s="46"/>
      <c r="AO5" s="46"/>
      <c r="AP5" s="46"/>
      <c r="AQ5" s="46"/>
      <c r="AR5" s="40"/>
      <c r="AS5" s="40"/>
      <c r="AT5" s="249">
        <f ca="1">TODAY()</f>
        <v>44543</v>
      </c>
      <c r="AU5" s="233"/>
      <c r="AV5" s="233"/>
      <c r="AW5" s="233"/>
      <c r="AX5" s="233"/>
      <c r="AY5" s="233"/>
      <c r="AZ5" s="233"/>
      <c r="BA5" s="245"/>
      <c r="BB5" s="246"/>
      <c r="BC5" s="246"/>
      <c r="BD5" s="246"/>
      <c r="BE5" s="247"/>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2" ht="67.5" customHeight="1" x14ac:dyDescent="0.35">
      <c r="A7" s="48" t="s">
        <v>55</v>
      </c>
      <c r="B7" s="49" t="s">
        <v>56</v>
      </c>
      <c r="C7" s="50">
        <v>44462</v>
      </c>
      <c r="D7" s="50">
        <v>44469</v>
      </c>
      <c r="E7" s="50">
        <v>44476</v>
      </c>
      <c r="F7" s="50">
        <v>44483</v>
      </c>
      <c r="G7" s="50">
        <v>44490</v>
      </c>
      <c r="H7" s="50">
        <v>44497</v>
      </c>
      <c r="I7" s="50">
        <v>44504</v>
      </c>
      <c r="J7" s="50">
        <v>44511</v>
      </c>
      <c r="K7" s="50">
        <v>44518</v>
      </c>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70</v>
      </c>
      <c r="BB7" s="57" t="s">
        <v>71</v>
      </c>
      <c r="BC7" s="57" t="s">
        <v>72</v>
      </c>
      <c r="BD7" s="57" t="s">
        <v>73</v>
      </c>
      <c r="BE7" s="58" t="s">
        <v>61</v>
      </c>
    </row>
    <row r="8" spans="1:62" ht="12" customHeight="1" x14ac:dyDescent="0.35">
      <c r="A8" s="59">
        <v>1</v>
      </c>
      <c r="B8" s="60" t="str">
        <f>'C. FILIACION'!B8</f>
        <v>ALTAMIRANO RAMOS ESTEFANI MILENKA</v>
      </c>
      <c r="C8" s="48" t="s">
        <v>62</v>
      </c>
      <c r="D8" s="48" t="s">
        <v>62</v>
      </c>
      <c r="E8" s="48" t="s">
        <v>62</v>
      </c>
      <c r="F8" s="48" t="s">
        <v>62</v>
      </c>
      <c r="G8" s="48" t="s">
        <v>62</v>
      </c>
      <c r="H8" s="48" t="s">
        <v>62</v>
      </c>
      <c r="I8" s="48" t="s">
        <v>172</v>
      </c>
      <c r="J8" s="48" t="s">
        <v>171</v>
      </c>
      <c r="K8" s="48" t="s">
        <v>62</v>
      </c>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IF(COUNTIF(C8:AZ8,"A")=0,"0",COUNTIF(C8:AZ8,"A"))</f>
        <v>7</v>
      </c>
      <c r="BB8" s="48" t="str">
        <f>IF(COUNTIF(C8:AZ8,"F")=0,"0",COUNTIF(C8:AZ8,"F"))</f>
        <v>0</v>
      </c>
      <c r="BC8" s="48">
        <f>IF(COUNTIF(C8:AZ8,"R")=0,"0",COUNTIF(C8:AZ8,"R"))</f>
        <v>1</v>
      </c>
      <c r="BD8" s="48">
        <f>IF(COUNTIF(C8:AZ8,"L")=0,"0",COUNTIF(C8:AZ8,"L"))</f>
        <v>1</v>
      </c>
      <c r="BE8" s="65">
        <f>SUM(BA8:BD8)</f>
        <v>9</v>
      </c>
      <c r="BJ8" s="200">
        <f>(BA8+BC8+BD8)*10/BE8</f>
        <v>10</v>
      </c>
    </row>
    <row r="9" spans="1:62" ht="12" customHeight="1" x14ac:dyDescent="0.35">
      <c r="A9" s="59">
        <v>2</v>
      </c>
      <c r="B9" s="60" t="str">
        <f>'C. FILIACION'!B9</f>
        <v>APAZA LINO TATIANA JAZMIN</v>
      </c>
      <c r="C9" s="48" t="s">
        <v>62</v>
      </c>
      <c r="D9" s="48" t="s">
        <v>62</v>
      </c>
      <c r="E9" s="48" t="s">
        <v>62</v>
      </c>
      <c r="F9" s="48" t="s">
        <v>62</v>
      </c>
      <c r="G9" s="48" t="s">
        <v>62</v>
      </c>
      <c r="H9" s="48" t="s">
        <v>62</v>
      </c>
      <c r="I9" s="199" t="s">
        <v>62</v>
      </c>
      <c r="J9" s="48" t="s">
        <v>62</v>
      </c>
      <c r="K9" s="48" t="s">
        <v>62</v>
      </c>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ref="BA9:BA26" si="0">IF(COUNTIF(C9:AZ9,"A")=0,"0",COUNTIF(C9:AZ9,"A"))</f>
        <v>9</v>
      </c>
      <c r="BB9" s="61" t="str">
        <f t="shared" ref="BB9:BB26" si="1">IF(COUNTIF(C9:AZ9,"F")=0,"0",COUNTIF(C9:AZ9,"F"))</f>
        <v>0</v>
      </c>
      <c r="BC9" s="61" t="str">
        <f t="shared" ref="BC9:BC26" si="2">IF(COUNTIF(C9:AZ9,"R")=0,"0",COUNTIF(C9:AZ9,"R"))</f>
        <v>0</v>
      </c>
      <c r="BD9" s="61" t="str">
        <f t="shared" ref="BD9:BD26" si="3">IF(COUNTIF(C9:AZ9,"L")=0,"0",COUNTIF(C9:AZ9,"L"))</f>
        <v>0</v>
      </c>
      <c r="BE9" s="65">
        <f t="shared" ref="BE9:BE26" si="4">SUM(BA9:BD9)</f>
        <v>9</v>
      </c>
      <c r="BJ9" s="200">
        <f t="shared" ref="BJ9:BJ26" si="5">(BA9+BC9+BD9)*10/BE9</f>
        <v>10</v>
      </c>
    </row>
    <row r="10" spans="1:62" ht="12" customHeight="1" x14ac:dyDescent="0.35">
      <c r="A10" s="59">
        <v>3</v>
      </c>
      <c r="B10" s="60" t="str">
        <f>'C. FILIACION'!B10</f>
        <v>BOLAÑOS OVANDO MIJHAIL ALEXANDER</v>
      </c>
      <c r="C10" s="48" t="s">
        <v>62</v>
      </c>
      <c r="D10" s="48" t="s">
        <v>62</v>
      </c>
      <c r="E10" s="48" t="s">
        <v>62</v>
      </c>
      <c r="F10" s="48" t="s">
        <v>63</v>
      </c>
      <c r="G10" s="48" t="s">
        <v>171</v>
      </c>
      <c r="H10" s="48" t="s">
        <v>171</v>
      </c>
      <c r="I10" s="48" t="s">
        <v>63</v>
      </c>
      <c r="J10" s="48" t="s">
        <v>62</v>
      </c>
      <c r="K10" s="48" t="s">
        <v>63</v>
      </c>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4</v>
      </c>
      <c r="BB10" s="61">
        <f t="shared" si="1"/>
        <v>3</v>
      </c>
      <c r="BC10" s="61">
        <f t="shared" si="2"/>
        <v>2</v>
      </c>
      <c r="BD10" s="61" t="str">
        <f t="shared" si="3"/>
        <v>0</v>
      </c>
      <c r="BE10" s="65">
        <f t="shared" si="4"/>
        <v>9</v>
      </c>
      <c r="BJ10" s="200">
        <f t="shared" si="5"/>
        <v>6.666666666666667</v>
      </c>
    </row>
    <row r="11" spans="1:62" ht="12" customHeight="1" x14ac:dyDescent="0.35">
      <c r="A11" s="59">
        <v>4</v>
      </c>
      <c r="B11" s="188" t="str">
        <f>'C. FILIACION'!B11</f>
        <v>BRICHER ETHELBERT ISMAEL</v>
      </c>
      <c r="C11" s="189" t="s">
        <v>63</v>
      </c>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90"/>
      <c r="BA11" s="64" t="str">
        <f t="shared" si="0"/>
        <v>0</v>
      </c>
      <c r="BB11" s="61">
        <f t="shared" si="1"/>
        <v>1</v>
      </c>
      <c r="BC11" s="61" t="str">
        <f t="shared" si="2"/>
        <v>0</v>
      </c>
      <c r="BD11" s="61" t="str">
        <f t="shared" si="3"/>
        <v>0</v>
      </c>
      <c r="BE11" s="65">
        <f t="shared" si="4"/>
        <v>1</v>
      </c>
      <c r="BJ11" s="200">
        <f t="shared" si="5"/>
        <v>0</v>
      </c>
    </row>
    <row r="12" spans="1:62" ht="12" customHeight="1" x14ac:dyDescent="0.35">
      <c r="A12" s="59">
        <v>5</v>
      </c>
      <c r="B12" s="60" t="str">
        <f>'C. FILIACION'!B12</f>
        <v>CANAVIRI QUISBERT ALEJANDRA ELENA</v>
      </c>
      <c r="C12" s="48" t="s">
        <v>62</v>
      </c>
      <c r="D12" s="48" t="s">
        <v>63</v>
      </c>
      <c r="E12" s="48" t="s">
        <v>62</v>
      </c>
      <c r="F12" s="48" t="s">
        <v>62</v>
      </c>
      <c r="G12" s="48" t="s">
        <v>62</v>
      </c>
      <c r="H12" s="48" t="s">
        <v>63</v>
      </c>
      <c r="I12" s="48" t="s">
        <v>63</v>
      </c>
      <c r="J12" s="48" t="s">
        <v>62</v>
      </c>
      <c r="K12" s="48" t="s">
        <v>62</v>
      </c>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61">
        <f t="shared" si="1"/>
        <v>3</v>
      </c>
      <c r="BC12" s="61" t="str">
        <f t="shared" si="2"/>
        <v>0</v>
      </c>
      <c r="BD12" s="61" t="str">
        <f t="shared" si="3"/>
        <v>0</v>
      </c>
      <c r="BE12" s="65">
        <f t="shared" si="4"/>
        <v>9</v>
      </c>
      <c r="BJ12" s="200">
        <f t="shared" si="5"/>
        <v>6.666666666666667</v>
      </c>
    </row>
    <row r="13" spans="1:62" ht="12" customHeight="1" x14ac:dyDescent="0.35">
      <c r="A13" s="59">
        <v>6</v>
      </c>
      <c r="B13" s="60" t="str">
        <f>'C. FILIACION'!B13</f>
        <v>GOMEZ BELTRAN ALBERT NORMAN</v>
      </c>
      <c r="C13" s="48" t="s">
        <v>171</v>
      </c>
      <c r="D13" s="48" t="s">
        <v>62</v>
      </c>
      <c r="E13" s="48" t="s">
        <v>63</v>
      </c>
      <c r="F13" s="48" t="s">
        <v>62</v>
      </c>
      <c r="G13" s="48" t="s">
        <v>171</v>
      </c>
      <c r="H13" s="48" t="s">
        <v>62</v>
      </c>
      <c r="I13" s="199" t="s">
        <v>62</v>
      </c>
      <c r="J13" s="48" t="s">
        <v>62</v>
      </c>
      <c r="K13" s="48" t="s">
        <v>62</v>
      </c>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6</v>
      </c>
      <c r="BB13" s="61">
        <f t="shared" si="1"/>
        <v>1</v>
      </c>
      <c r="BC13" s="61">
        <f t="shared" si="2"/>
        <v>2</v>
      </c>
      <c r="BD13" s="61" t="str">
        <f t="shared" si="3"/>
        <v>0</v>
      </c>
      <c r="BE13" s="65">
        <f t="shared" si="4"/>
        <v>9</v>
      </c>
      <c r="BJ13" s="200">
        <f t="shared" si="5"/>
        <v>8.8888888888888893</v>
      </c>
    </row>
    <row r="14" spans="1:62" ht="12" customHeight="1" x14ac:dyDescent="0.35">
      <c r="A14" s="59">
        <v>7</v>
      </c>
      <c r="B14" s="60" t="str">
        <f>'C. FILIACION'!B14</f>
        <v>GOMEZ COSME MELANY KARINA</v>
      </c>
      <c r="C14" s="48" t="s">
        <v>62</v>
      </c>
      <c r="D14" s="48" t="s">
        <v>62</v>
      </c>
      <c r="E14" s="48" t="s">
        <v>62</v>
      </c>
      <c r="F14" s="48" t="s">
        <v>63</v>
      </c>
      <c r="G14" s="48" t="s">
        <v>62</v>
      </c>
      <c r="H14" s="48" t="s">
        <v>62</v>
      </c>
      <c r="I14" s="48" t="s">
        <v>63</v>
      </c>
      <c r="J14" s="48" t="s">
        <v>171</v>
      </c>
      <c r="K14" s="48" t="s">
        <v>62</v>
      </c>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61">
        <f t="shared" si="1"/>
        <v>2</v>
      </c>
      <c r="BC14" s="61">
        <f t="shared" si="2"/>
        <v>1</v>
      </c>
      <c r="BD14" s="61" t="str">
        <f t="shared" si="3"/>
        <v>0</v>
      </c>
      <c r="BE14" s="65">
        <f t="shared" si="4"/>
        <v>9</v>
      </c>
      <c r="BJ14" s="200">
        <f t="shared" si="5"/>
        <v>7.7777777777777777</v>
      </c>
    </row>
    <row r="15" spans="1:62" ht="12" customHeight="1" x14ac:dyDescent="0.35">
      <c r="A15" s="59">
        <v>8</v>
      </c>
      <c r="B15" s="60" t="str">
        <f>'C. FILIACION'!B15</f>
        <v>GONZALES ZUAZO KALEB RAMSES</v>
      </c>
      <c r="C15" s="48" t="s">
        <v>62</v>
      </c>
      <c r="D15" s="48" t="s">
        <v>62</v>
      </c>
      <c r="E15" s="48" t="s">
        <v>62</v>
      </c>
      <c r="F15" s="48" t="s">
        <v>62</v>
      </c>
      <c r="G15" s="48" t="s">
        <v>62</v>
      </c>
      <c r="H15" s="48" t="s">
        <v>62</v>
      </c>
      <c r="I15" s="199" t="s">
        <v>62</v>
      </c>
      <c r="J15" s="48" t="s">
        <v>62</v>
      </c>
      <c r="K15" s="48" t="s">
        <v>62</v>
      </c>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9</v>
      </c>
      <c r="BB15" s="61" t="str">
        <f t="shared" si="1"/>
        <v>0</v>
      </c>
      <c r="BC15" s="61" t="str">
        <f t="shared" si="2"/>
        <v>0</v>
      </c>
      <c r="BD15" s="61" t="str">
        <f t="shared" si="3"/>
        <v>0</v>
      </c>
      <c r="BE15" s="65">
        <f t="shared" si="4"/>
        <v>9</v>
      </c>
      <c r="BJ15" s="200">
        <f t="shared" si="5"/>
        <v>10</v>
      </c>
    </row>
    <row r="16" spans="1:62" ht="12" customHeight="1" x14ac:dyDescent="0.35">
      <c r="A16" s="59">
        <v>9</v>
      </c>
      <c r="B16" s="60" t="str">
        <f>'C. FILIACION'!B16</f>
        <v>LEDEZMA AGUILAR ELVIS JHEFERSON</v>
      </c>
      <c r="C16" s="48" t="s">
        <v>62</v>
      </c>
      <c r="D16" s="48" t="s">
        <v>62</v>
      </c>
      <c r="E16" s="48" t="s">
        <v>62</v>
      </c>
      <c r="F16" s="48" t="s">
        <v>62</v>
      </c>
      <c r="G16" s="48" t="s">
        <v>62</v>
      </c>
      <c r="H16" s="48" t="s">
        <v>62</v>
      </c>
      <c r="I16" s="199" t="s">
        <v>62</v>
      </c>
      <c r="J16" s="48" t="s">
        <v>62</v>
      </c>
      <c r="K16" s="48" t="s">
        <v>62</v>
      </c>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9</v>
      </c>
      <c r="BB16" s="61" t="str">
        <f t="shared" si="1"/>
        <v>0</v>
      </c>
      <c r="BC16" s="61" t="str">
        <f t="shared" si="2"/>
        <v>0</v>
      </c>
      <c r="BD16" s="61" t="str">
        <f t="shared" si="3"/>
        <v>0</v>
      </c>
      <c r="BE16" s="65">
        <f t="shared" si="4"/>
        <v>9</v>
      </c>
      <c r="BJ16" s="200">
        <f t="shared" si="5"/>
        <v>10</v>
      </c>
    </row>
    <row r="17" spans="1:62" ht="12" customHeight="1" x14ac:dyDescent="0.35">
      <c r="A17" s="59">
        <v>10</v>
      </c>
      <c r="B17" s="60" t="str">
        <f>'C. FILIACION'!B17</f>
        <v>LOBATON RODRIGUEZ JHONATAN A.</v>
      </c>
      <c r="C17" s="48" t="s">
        <v>62</v>
      </c>
      <c r="D17" s="48" t="s">
        <v>62</v>
      </c>
      <c r="E17" s="48" t="s">
        <v>63</v>
      </c>
      <c r="F17" s="48" t="s">
        <v>62</v>
      </c>
      <c r="G17" s="48" t="s">
        <v>62</v>
      </c>
      <c r="H17" s="48" t="s">
        <v>62</v>
      </c>
      <c r="I17" s="199" t="s">
        <v>62</v>
      </c>
      <c r="J17" s="48" t="s">
        <v>63</v>
      </c>
      <c r="K17" s="48" t="s">
        <v>63</v>
      </c>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61">
        <f t="shared" si="1"/>
        <v>3</v>
      </c>
      <c r="BC17" s="61" t="str">
        <f t="shared" si="2"/>
        <v>0</v>
      </c>
      <c r="BD17" s="61" t="str">
        <f t="shared" si="3"/>
        <v>0</v>
      </c>
      <c r="BE17" s="65">
        <f t="shared" si="4"/>
        <v>9</v>
      </c>
      <c r="BJ17" s="200">
        <f t="shared" si="5"/>
        <v>6.666666666666667</v>
      </c>
    </row>
    <row r="18" spans="1:62" ht="12" customHeight="1" x14ac:dyDescent="0.35">
      <c r="A18" s="59">
        <v>11</v>
      </c>
      <c r="B18" s="60" t="str">
        <f>'C. FILIACION'!B18</f>
        <v>MAMANI LOPEZ DAFNE MILDRED</v>
      </c>
      <c r="C18" s="48" t="s">
        <v>62</v>
      </c>
      <c r="D18" s="48" t="s">
        <v>62</v>
      </c>
      <c r="E18" s="48" t="s">
        <v>62</v>
      </c>
      <c r="F18" s="48" t="s">
        <v>62</v>
      </c>
      <c r="G18" s="48" t="s">
        <v>63</v>
      </c>
      <c r="H18" s="48" t="s">
        <v>62</v>
      </c>
      <c r="I18" s="48" t="s">
        <v>63</v>
      </c>
      <c r="J18" s="48" t="s">
        <v>62</v>
      </c>
      <c r="K18" s="48" t="s">
        <v>62</v>
      </c>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7</v>
      </c>
      <c r="BB18" s="61">
        <f t="shared" si="1"/>
        <v>2</v>
      </c>
      <c r="BC18" s="61" t="str">
        <f t="shared" si="2"/>
        <v>0</v>
      </c>
      <c r="BD18" s="61" t="str">
        <f t="shared" si="3"/>
        <v>0</v>
      </c>
      <c r="BE18" s="65">
        <f t="shared" si="4"/>
        <v>9</v>
      </c>
      <c r="BJ18" s="200">
        <f t="shared" si="5"/>
        <v>7.7777777777777777</v>
      </c>
    </row>
    <row r="19" spans="1:62" ht="12" customHeight="1" x14ac:dyDescent="0.35">
      <c r="A19" s="59">
        <v>12</v>
      </c>
      <c r="B19" s="60" t="str">
        <f>'C. FILIACION'!B19</f>
        <v>MARCONI PEREZ SINDEL LUANA</v>
      </c>
      <c r="C19" s="48" t="s">
        <v>63</v>
      </c>
      <c r="D19" s="48" t="s">
        <v>62</v>
      </c>
      <c r="E19" s="48" t="s">
        <v>62</v>
      </c>
      <c r="F19" s="48" t="s">
        <v>63</v>
      </c>
      <c r="G19" s="48" t="s">
        <v>63</v>
      </c>
      <c r="H19" s="48" t="s">
        <v>171</v>
      </c>
      <c r="I19" s="185" t="s">
        <v>62</v>
      </c>
      <c r="J19" s="48" t="s">
        <v>62</v>
      </c>
      <c r="K19" s="48" t="s">
        <v>63</v>
      </c>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4</v>
      </c>
      <c r="BB19" s="61">
        <f t="shared" si="1"/>
        <v>4</v>
      </c>
      <c r="BC19" s="61">
        <f t="shared" si="2"/>
        <v>1</v>
      </c>
      <c r="BD19" s="61" t="str">
        <f t="shared" si="3"/>
        <v>0</v>
      </c>
      <c r="BE19" s="65">
        <f t="shared" si="4"/>
        <v>9</v>
      </c>
      <c r="BJ19" s="200">
        <f t="shared" si="5"/>
        <v>5.5555555555555554</v>
      </c>
    </row>
    <row r="20" spans="1:62" ht="12" customHeight="1" x14ac:dyDescent="0.35">
      <c r="A20" s="59">
        <v>13</v>
      </c>
      <c r="B20" s="60" t="str">
        <f>'C. FILIACION'!B20</f>
        <v>MENACHO LINEO ANDREA KIMBERLY</v>
      </c>
      <c r="C20" s="48" t="s">
        <v>62</v>
      </c>
      <c r="D20" s="48" t="s">
        <v>62</v>
      </c>
      <c r="E20" s="48" t="s">
        <v>62</v>
      </c>
      <c r="F20" s="48" t="s">
        <v>62</v>
      </c>
      <c r="G20" s="48" t="s">
        <v>62</v>
      </c>
      <c r="H20" s="48" t="s">
        <v>62</v>
      </c>
      <c r="I20" s="48" t="s">
        <v>62</v>
      </c>
      <c r="J20" s="48" t="s">
        <v>62</v>
      </c>
      <c r="K20" s="48" t="s">
        <v>63</v>
      </c>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8</v>
      </c>
      <c r="BB20" s="61">
        <f t="shared" si="1"/>
        <v>1</v>
      </c>
      <c r="BC20" s="61" t="str">
        <f t="shared" si="2"/>
        <v>0</v>
      </c>
      <c r="BD20" s="61" t="str">
        <f t="shared" si="3"/>
        <v>0</v>
      </c>
      <c r="BE20" s="65">
        <f t="shared" si="4"/>
        <v>9</v>
      </c>
      <c r="BJ20" s="200">
        <f t="shared" si="5"/>
        <v>8.8888888888888893</v>
      </c>
    </row>
    <row r="21" spans="1:62" ht="12" customHeight="1" x14ac:dyDescent="0.35">
      <c r="A21" s="59">
        <v>14</v>
      </c>
      <c r="B21" s="60" t="str">
        <f>'C. FILIACION'!B21</f>
        <v>PILLCO APAZA MARIAN ALEXANDRA</v>
      </c>
      <c r="C21" s="48" t="s">
        <v>62</v>
      </c>
      <c r="D21" s="48" t="s">
        <v>62</v>
      </c>
      <c r="E21" s="48" t="s">
        <v>62</v>
      </c>
      <c r="F21" s="48" t="s">
        <v>62</v>
      </c>
      <c r="G21" s="48" t="s">
        <v>62</v>
      </c>
      <c r="H21" s="48" t="s">
        <v>62</v>
      </c>
      <c r="I21" s="48" t="s">
        <v>62</v>
      </c>
      <c r="J21" s="48" t="s">
        <v>62</v>
      </c>
      <c r="K21" s="48" t="s">
        <v>62</v>
      </c>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9</v>
      </c>
      <c r="BB21" s="61" t="str">
        <f t="shared" si="1"/>
        <v>0</v>
      </c>
      <c r="BC21" s="61" t="str">
        <f t="shared" si="2"/>
        <v>0</v>
      </c>
      <c r="BD21" s="61" t="str">
        <f t="shared" si="3"/>
        <v>0</v>
      </c>
      <c r="BE21" s="65">
        <f t="shared" si="4"/>
        <v>9</v>
      </c>
      <c r="BJ21" s="200">
        <f t="shared" si="5"/>
        <v>10</v>
      </c>
    </row>
    <row r="22" spans="1:62" ht="12" customHeight="1" x14ac:dyDescent="0.35">
      <c r="A22" s="59">
        <v>15</v>
      </c>
      <c r="B22" s="60" t="str">
        <f>'C. FILIACION'!B22</f>
        <v>RUEDA ALVAREZ GREGORY STEVEN</v>
      </c>
      <c r="C22" s="48" t="s">
        <v>62</v>
      </c>
      <c r="D22" s="48" t="s">
        <v>62</v>
      </c>
      <c r="E22" s="48" t="s">
        <v>62</v>
      </c>
      <c r="F22" s="48" t="s">
        <v>62</v>
      </c>
      <c r="G22" s="48" t="s">
        <v>62</v>
      </c>
      <c r="H22" s="48" t="s">
        <v>62</v>
      </c>
      <c r="I22" s="48" t="s">
        <v>62</v>
      </c>
      <c r="J22" s="48" t="s">
        <v>62</v>
      </c>
      <c r="K22" s="48" t="s">
        <v>62</v>
      </c>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9</v>
      </c>
      <c r="BB22" s="61" t="str">
        <f t="shared" si="1"/>
        <v>0</v>
      </c>
      <c r="BC22" s="61" t="str">
        <f t="shared" si="2"/>
        <v>0</v>
      </c>
      <c r="BD22" s="61" t="str">
        <f t="shared" si="3"/>
        <v>0</v>
      </c>
      <c r="BE22" s="65">
        <f t="shared" si="4"/>
        <v>9</v>
      </c>
      <c r="BJ22" s="200">
        <f t="shared" si="5"/>
        <v>10</v>
      </c>
    </row>
    <row r="23" spans="1:62" ht="12" customHeight="1" x14ac:dyDescent="0.35">
      <c r="A23" s="59">
        <v>16</v>
      </c>
      <c r="B23" s="198" t="str">
        <f>'C. FILIACION'!B23</f>
        <v>VARGAS JOYCE BELEN</v>
      </c>
      <c r="C23" s="48" t="s">
        <v>63</v>
      </c>
      <c r="D23" s="48" t="s">
        <v>171</v>
      </c>
      <c r="E23" s="48" t="s">
        <v>63</v>
      </c>
      <c r="F23" s="48" t="s">
        <v>63</v>
      </c>
      <c r="G23" s="48" t="s">
        <v>63</v>
      </c>
      <c r="H23" s="48" t="s">
        <v>63</v>
      </c>
      <c r="I23" s="48" t="s">
        <v>63</v>
      </c>
      <c r="J23" s="48" t="s">
        <v>63</v>
      </c>
      <c r="K23" s="48" t="s">
        <v>63</v>
      </c>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0</v>
      </c>
      <c r="BB23" s="61">
        <f t="shared" si="1"/>
        <v>8</v>
      </c>
      <c r="BC23" s="61">
        <f t="shared" si="2"/>
        <v>1</v>
      </c>
      <c r="BD23" s="61" t="str">
        <f t="shared" si="3"/>
        <v>0</v>
      </c>
      <c r="BE23" s="65">
        <f t="shared" si="4"/>
        <v>9</v>
      </c>
      <c r="BJ23" s="200">
        <f t="shared" si="5"/>
        <v>1.1111111111111112</v>
      </c>
    </row>
    <row r="24" spans="1:62" ht="12" customHeight="1" x14ac:dyDescent="0.35">
      <c r="A24" s="59">
        <v>17</v>
      </c>
      <c r="B24" s="60" t="str">
        <f>'C. FILIACION'!B24</f>
        <v>ZURITA JIMENEZ ELMER ARTURO</v>
      </c>
      <c r="C24" s="48" t="s">
        <v>62</v>
      </c>
      <c r="D24" s="48" t="s">
        <v>63</v>
      </c>
      <c r="E24" s="48" t="s">
        <v>62</v>
      </c>
      <c r="F24" s="48" t="s">
        <v>62</v>
      </c>
      <c r="G24" s="48" t="s">
        <v>62</v>
      </c>
      <c r="H24" s="48" t="s">
        <v>62</v>
      </c>
      <c r="I24" s="48" t="s">
        <v>62</v>
      </c>
      <c r="J24" s="48" t="s">
        <v>62</v>
      </c>
      <c r="K24" s="48" t="s">
        <v>62</v>
      </c>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8</v>
      </c>
      <c r="BB24" s="61">
        <f t="shared" si="1"/>
        <v>1</v>
      </c>
      <c r="BC24" s="61" t="str">
        <f t="shared" si="2"/>
        <v>0</v>
      </c>
      <c r="BD24" s="61" t="str">
        <f t="shared" si="3"/>
        <v>0</v>
      </c>
      <c r="BE24" s="65">
        <f t="shared" si="4"/>
        <v>9</v>
      </c>
      <c r="BJ24" s="200">
        <f t="shared" si="5"/>
        <v>8.8888888888888893</v>
      </c>
    </row>
    <row r="25" spans="1:62" ht="12" customHeight="1" x14ac:dyDescent="0.35">
      <c r="A25" s="59">
        <v>18</v>
      </c>
      <c r="B25" s="198" t="str">
        <f>'C. FILIACION'!B25</f>
        <v>ADRIAN FLORES EDDY BEYMAR</v>
      </c>
      <c r="C25" s="48" t="s">
        <v>63</v>
      </c>
      <c r="D25" s="48" t="s">
        <v>62</v>
      </c>
      <c r="E25" s="48" t="s">
        <v>171</v>
      </c>
      <c r="F25" s="48" t="s">
        <v>62</v>
      </c>
      <c r="G25" s="48" t="s">
        <v>63</v>
      </c>
      <c r="H25" s="48" t="s">
        <v>63</v>
      </c>
      <c r="I25" s="48" t="s">
        <v>63</v>
      </c>
      <c r="J25" s="48" t="s">
        <v>63</v>
      </c>
      <c r="K25" s="48" t="s">
        <v>62</v>
      </c>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3</v>
      </c>
      <c r="BB25" s="61">
        <f t="shared" si="1"/>
        <v>5</v>
      </c>
      <c r="BC25" s="61">
        <f t="shared" si="2"/>
        <v>1</v>
      </c>
      <c r="BD25" s="61" t="str">
        <f t="shared" si="3"/>
        <v>0</v>
      </c>
      <c r="BE25" s="65">
        <f t="shared" si="4"/>
        <v>9</v>
      </c>
      <c r="BJ25" s="200">
        <f t="shared" si="5"/>
        <v>4.4444444444444446</v>
      </c>
    </row>
    <row r="26" spans="1:62" ht="12" customHeight="1" x14ac:dyDescent="0.35">
      <c r="A26" s="59">
        <v>19</v>
      </c>
      <c r="B26" s="60" t="str">
        <f>'C. FILIACION'!B26</f>
        <v xml:space="preserve">VENTURA CHOQUE DANELY </v>
      </c>
      <c r="C26" s="48" t="s">
        <v>62</v>
      </c>
      <c r="D26" s="48" t="s">
        <v>171</v>
      </c>
      <c r="E26" s="48" t="s">
        <v>62</v>
      </c>
      <c r="F26" s="48" t="s">
        <v>171</v>
      </c>
      <c r="G26" s="48" t="s">
        <v>62</v>
      </c>
      <c r="H26" s="48" t="s">
        <v>62</v>
      </c>
      <c r="I26" s="48" t="s">
        <v>62</v>
      </c>
      <c r="J26" s="48" t="s">
        <v>62</v>
      </c>
      <c r="K26" s="48" t="s">
        <v>62</v>
      </c>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f t="shared" si="0"/>
        <v>7</v>
      </c>
      <c r="BB26" s="61" t="str">
        <f t="shared" si="1"/>
        <v>0</v>
      </c>
      <c r="BC26" s="61">
        <f t="shared" si="2"/>
        <v>2</v>
      </c>
      <c r="BD26" s="61" t="str">
        <f t="shared" si="3"/>
        <v>0</v>
      </c>
      <c r="BE26" s="65">
        <f t="shared" si="4"/>
        <v>9</v>
      </c>
      <c r="BJ26" s="200">
        <f t="shared" si="5"/>
        <v>10</v>
      </c>
    </row>
    <row r="27" spans="1:62"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ref="BA27:BA43" si="6">IF(COUNTIF(C27:AZ27,"A")=0,"",COUNTIF(C27:AZ27,"A"))</f>
        <v/>
      </c>
      <c r="BB27" s="48" t="str">
        <f t="shared" ref="BB27:BB43" si="7">IF(COUNTIF(C27:AZ27,"F")=0,"",COUNTIF(C27:AZ27,"F"))</f>
        <v/>
      </c>
      <c r="BC27" s="48" t="str">
        <f t="shared" ref="BC27:BC43" si="8">IF(COUNTIF(C27:AZ27,"R")=0,"",COUNTIF(C27:AZ27,"R"))</f>
        <v/>
      </c>
      <c r="BD27" s="48" t="str">
        <f t="shared" ref="BD27:BD43" si="9">IF(COUNTIF(C27:AZ27,"L")=0,"",COUNTIF(C27:AZ27,"L"))</f>
        <v/>
      </c>
      <c r="BE27" s="65" t="str">
        <f t="shared" ref="BE27:BE43" si="10">IF(COUNTIF(C27:AZ27,"L")=0,"",COUNTIF(C27:AZ27,"L"))</f>
        <v/>
      </c>
    </row>
    <row r="28" spans="1:62"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6"/>
        <v/>
      </c>
      <c r="BB28" s="48" t="str">
        <f t="shared" si="7"/>
        <v/>
      </c>
      <c r="BC28" s="48" t="str">
        <f t="shared" si="8"/>
        <v/>
      </c>
      <c r="BD28" s="48" t="str">
        <f t="shared" si="9"/>
        <v/>
      </c>
      <c r="BE28" s="65" t="str">
        <f t="shared" si="10"/>
        <v/>
      </c>
    </row>
    <row r="29" spans="1:62"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6"/>
        <v/>
      </c>
      <c r="BB29" s="48" t="str">
        <f t="shared" si="7"/>
        <v/>
      </c>
      <c r="BC29" s="48" t="str">
        <f t="shared" si="8"/>
        <v/>
      </c>
      <c r="BD29" s="48" t="str">
        <f t="shared" si="9"/>
        <v/>
      </c>
      <c r="BE29" s="65" t="str">
        <f t="shared" si="10"/>
        <v/>
      </c>
    </row>
    <row r="30" spans="1:62"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6"/>
        <v/>
      </c>
      <c r="BB30" s="48" t="str">
        <f t="shared" si="7"/>
        <v/>
      </c>
      <c r="BC30" s="48" t="str">
        <f t="shared" si="8"/>
        <v/>
      </c>
      <c r="BD30" s="48" t="str">
        <f t="shared" si="9"/>
        <v/>
      </c>
      <c r="BE30" s="65" t="str">
        <f t="shared" si="10"/>
        <v/>
      </c>
    </row>
    <row r="31" spans="1:62"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6"/>
        <v/>
      </c>
      <c r="BB31" s="48" t="str">
        <f t="shared" si="7"/>
        <v/>
      </c>
      <c r="BC31" s="48" t="str">
        <f t="shared" si="8"/>
        <v/>
      </c>
      <c r="BD31" s="48" t="str">
        <f t="shared" si="9"/>
        <v/>
      </c>
      <c r="BE31" s="65" t="str">
        <f t="shared" si="10"/>
        <v/>
      </c>
    </row>
    <row r="32" spans="1:62"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6"/>
        <v/>
      </c>
      <c r="BB32" s="48" t="str">
        <f t="shared" si="7"/>
        <v/>
      </c>
      <c r="BC32" s="48" t="str">
        <f t="shared" si="8"/>
        <v/>
      </c>
      <c r="BD32" s="48" t="str">
        <f t="shared" si="9"/>
        <v/>
      </c>
      <c r="BE32" s="65" t="str">
        <f t="shared" si="10"/>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6"/>
        <v/>
      </c>
      <c r="BB33" s="48" t="str">
        <f t="shared" si="7"/>
        <v/>
      </c>
      <c r="BC33" s="48" t="str">
        <f t="shared" si="8"/>
        <v/>
      </c>
      <c r="BD33" s="48" t="str">
        <f t="shared" si="9"/>
        <v/>
      </c>
      <c r="BE33" s="65" t="str">
        <f t="shared" si="10"/>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6"/>
        <v/>
      </c>
      <c r="BB34" s="48" t="str">
        <f t="shared" si="7"/>
        <v/>
      </c>
      <c r="BC34" s="48" t="str">
        <f t="shared" si="8"/>
        <v/>
      </c>
      <c r="BD34" s="48" t="str">
        <f t="shared" si="9"/>
        <v/>
      </c>
      <c r="BE34" s="65" t="str">
        <f t="shared" si="10"/>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6"/>
        <v/>
      </c>
      <c r="BB35" s="48" t="str">
        <f t="shared" si="7"/>
        <v/>
      </c>
      <c r="BC35" s="48" t="str">
        <f t="shared" si="8"/>
        <v/>
      </c>
      <c r="BD35" s="48" t="str">
        <f t="shared" si="9"/>
        <v/>
      </c>
      <c r="BE35" s="65" t="str">
        <f t="shared" si="10"/>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6"/>
        <v/>
      </c>
      <c r="BB36" s="48" t="str">
        <f t="shared" si="7"/>
        <v/>
      </c>
      <c r="BC36" s="48" t="str">
        <f t="shared" si="8"/>
        <v/>
      </c>
      <c r="BD36" s="48" t="str">
        <f t="shared" si="9"/>
        <v/>
      </c>
      <c r="BE36" s="65" t="str">
        <f t="shared" si="10"/>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6"/>
        <v/>
      </c>
      <c r="BB37" s="48" t="str">
        <f t="shared" si="7"/>
        <v/>
      </c>
      <c r="BC37" s="48" t="str">
        <f t="shared" si="8"/>
        <v/>
      </c>
      <c r="BD37" s="48" t="str">
        <f t="shared" si="9"/>
        <v/>
      </c>
      <c r="BE37" s="65" t="str">
        <f t="shared" si="10"/>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6"/>
        <v/>
      </c>
      <c r="BB38" s="48" t="str">
        <f t="shared" si="7"/>
        <v/>
      </c>
      <c r="BC38" s="48" t="str">
        <f t="shared" si="8"/>
        <v/>
      </c>
      <c r="BD38" s="48" t="str">
        <f t="shared" si="9"/>
        <v/>
      </c>
      <c r="BE38" s="65" t="str">
        <f t="shared" si="10"/>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6"/>
        <v/>
      </c>
      <c r="BB39" s="48" t="str">
        <f t="shared" si="7"/>
        <v/>
      </c>
      <c r="BC39" s="48" t="str">
        <f t="shared" si="8"/>
        <v/>
      </c>
      <c r="BD39" s="48" t="str">
        <f t="shared" si="9"/>
        <v/>
      </c>
      <c r="BE39" s="65" t="str">
        <f t="shared" si="10"/>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6"/>
        <v/>
      </c>
      <c r="BB40" s="48" t="str">
        <f t="shared" si="7"/>
        <v/>
      </c>
      <c r="BC40" s="48" t="str">
        <f t="shared" si="8"/>
        <v/>
      </c>
      <c r="BD40" s="48" t="str">
        <f t="shared" si="9"/>
        <v/>
      </c>
      <c r="BE40" s="65" t="str">
        <f t="shared" si="10"/>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6"/>
        <v/>
      </c>
      <c r="BB41" s="48" t="str">
        <f t="shared" si="7"/>
        <v/>
      </c>
      <c r="BC41" s="48" t="str">
        <f t="shared" si="8"/>
        <v/>
      </c>
      <c r="BD41" s="48" t="str">
        <f t="shared" si="9"/>
        <v/>
      </c>
      <c r="BE41" s="65" t="str">
        <f t="shared" si="10"/>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6"/>
        <v/>
      </c>
      <c r="BB42" s="48" t="str">
        <f t="shared" si="7"/>
        <v/>
      </c>
      <c r="BC42" s="48" t="str">
        <f t="shared" si="8"/>
        <v/>
      </c>
      <c r="BD42" s="48" t="str">
        <f t="shared" si="9"/>
        <v/>
      </c>
      <c r="BE42" s="65" t="str">
        <f t="shared" si="10"/>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6"/>
        <v/>
      </c>
      <c r="BB43" s="48" t="str">
        <f t="shared" si="7"/>
        <v/>
      </c>
      <c r="BC43" s="48" t="str">
        <f t="shared" si="8"/>
        <v/>
      </c>
      <c r="BD43" s="48" t="str">
        <f t="shared" si="9"/>
        <v/>
      </c>
      <c r="BE43" s="65" t="str">
        <f t="shared" si="10"/>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pageSetUpPr fitToPage="1"/>
  </sheetPr>
  <dimension ref="A1:AV1000"/>
  <sheetViews>
    <sheetView workbookViewId="0">
      <selection activeCell="V27" sqref="V27"/>
    </sheetView>
  </sheetViews>
  <sheetFormatPr baseColWidth="10" defaultColWidth="9.13281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91" t="s">
        <v>74</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5"/>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89" t="s">
        <v>50</v>
      </c>
      <c r="AD3" s="284"/>
      <c r="AE3" s="284"/>
      <c r="AF3" s="284"/>
      <c r="AG3" s="284"/>
      <c r="AH3" s="285"/>
      <c r="AI3" s="251">
        <f>CARÁTULA!$H$14</f>
        <v>44228</v>
      </c>
      <c r="AJ3" s="233"/>
      <c r="AK3" s="233"/>
      <c r="AL3" s="233"/>
      <c r="AM3" s="233"/>
      <c r="AN3" s="292" t="s">
        <v>51</v>
      </c>
      <c r="AO3" s="224"/>
      <c r="AP3" s="224"/>
      <c r="AQ3" s="224"/>
      <c r="AR3" s="225"/>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t="str">
        <f>CARÁTULA!$C$19</f>
        <v>JOSÉ COAQUIRA COPA</v>
      </c>
      <c r="T4" s="76"/>
      <c r="U4" s="76"/>
      <c r="V4" s="76"/>
      <c r="W4" s="76"/>
      <c r="X4" s="76"/>
      <c r="Y4" s="76"/>
      <c r="Z4" s="76"/>
      <c r="AA4" s="76"/>
      <c r="AB4" s="76"/>
      <c r="AC4" s="289" t="s">
        <v>53</v>
      </c>
      <c r="AD4" s="284"/>
      <c r="AE4" s="284"/>
      <c r="AF4" s="284"/>
      <c r="AG4" s="284"/>
      <c r="AH4" s="285"/>
      <c r="AI4" s="251">
        <f>CARÁTULA!$J$14</f>
        <v>44323</v>
      </c>
      <c r="AJ4" s="233"/>
      <c r="AK4" s="233"/>
      <c r="AL4" s="233"/>
      <c r="AM4" s="233"/>
      <c r="AN4" s="282">
        <f ca="1">AI4-AI5</f>
        <v>-220</v>
      </c>
      <c r="AO4" s="243"/>
      <c r="AP4" s="243"/>
      <c r="AQ4" s="243"/>
      <c r="AR4" s="244"/>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97">
        <f ca="1">TODAY()</f>
        <v>44543</v>
      </c>
      <c r="T5" s="224"/>
      <c r="U5" s="224"/>
      <c r="V5" s="224"/>
      <c r="W5" s="224"/>
      <c r="X5" s="224"/>
      <c r="Y5" s="224"/>
      <c r="Z5" s="224"/>
      <c r="AA5" s="225"/>
      <c r="AB5" s="76"/>
      <c r="AC5" s="290" t="s">
        <v>54</v>
      </c>
      <c r="AD5" s="284"/>
      <c r="AE5" s="284"/>
      <c r="AF5" s="284"/>
      <c r="AG5" s="284"/>
      <c r="AH5" s="285"/>
      <c r="AI5" s="293">
        <f ca="1">TODAY()</f>
        <v>44543</v>
      </c>
      <c r="AJ5" s="233"/>
      <c r="AK5" s="233"/>
      <c r="AL5" s="233"/>
      <c r="AM5" s="233"/>
      <c r="AN5" s="245"/>
      <c r="AO5" s="246"/>
      <c r="AP5" s="246"/>
      <c r="AQ5" s="246"/>
      <c r="AR5" s="247"/>
    </row>
    <row r="6" spans="1:48" ht="12.75" customHeight="1" x14ac:dyDescent="0.4">
      <c r="A6" s="71"/>
      <c r="B6" s="74"/>
      <c r="C6" s="239" t="s">
        <v>75</v>
      </c>
      <c r="D6" s="240"/>
      <c r="E6" s="240"/>
      <c r="F6" s="240"/>
      <c r="G6" s="240"/>
      <c r="H6" s="240"/>
      <c r="I6" s="240"/>
      <c r="J6" s="240"/>
      <c r="K6" s="240"/>
      <c r="L6" s="240"/>
      <c r="M6" s="240"/>
      <c r="N6" s="240"/>
      <c r="O6" s="240"/>
      <c r="P6" s="240"/>
      <c r="Q6" s="240"/>
      <c r="R6" s="240"/>
      <c r="S6" s="240"/>
      <c r="T6" s="240"/>
      <c r="U6" s="240"/>
      <c r="V6" s="240"/>
      <c r="W6" s="240"/>
      <c r="X6" s="240"/>
      <c r="Y6" s="240"/>
      <c r="Z6" s="240"/>
      <c r="AA6" s="241"/>
      <c r="AB6" s="298" t="s">
        <v>76</v>
      </c>
      <c r="AC6" s="284"/>
      <c r="AD6" s="284"/>
      <c r="AE6" s="285"/>
      <c r="AF6" s="80"/>
      <c r="AG6" s="81"/>
      <c r="AH6" s="81"/>
      <c r="AI6" s="82"/>
      <c r="AJ6" s="83"/>
      <c r="AK6" s="83"/>
      <c r="AL6" s="83"/>
      <c r="AM6" s="83"/>
      <c r="AN6" s="84"/>
      <c r="AO6" s="84"/>
      <c r="AP6" s="84"/>
      <c r="AQ6" s="84"/>
      <c r="AR6" s="84"/>
    </row>
    <row r="7" spans="1:48" ht="12" customHeight="1" x14ac:dyDescent="0.4">
      <c r="A7" s="71"/>
      <c r="B7" s="85"/>
      <c r="C7" s="299" t="s">
        <v>77</v>
      </c>
      <c r="D7" s="300" t="s">
        <v>78</v>
      </c>
      <c r="E7" s="284"/>
      <c r="F7" s="284"/>
      <c r="G7" s="284"/>
      <c r="H7" s="284"/>
      <c r="I7" s="284"/>
      <c r="J7" s="284"/>
      <c r="K7" s="284"/>
      <c r="L7" s="284"/>
      <c r="M7" s="284"/>
      <c r="N7" s="284"/>
      <c r="O7" s="296" t="s">
        <v>79</v>
      </c>
      <c r="P7" s="300" t="s">
        <v>80</v>
      </c>
      <c r="Q7" s="284"/>
      <c r="R7" s="284"/>
      <c r="S7" s="284"/>
      <c r="T7" s="284"/>
      <c r="U7" s="284"/>
      <c r="V7" s="284"/>
      <c r="W7" s="284"/>
      <c r="X7" s="284"/>
      <c r="Y7" s="284"/>
      <c r="Z7" s="284"/>
      <c r="AA7" s="294" t="s">
        <v>81</v>
      </c>
      <c r="AB7" s="296" t="s">
        <v>79</v>
      </c>
      <c r="AC7" s="294" t="s">
        <v>82</v>
      </c>
      <c r="AD7" s="294" t="s">
        <v>83</v>
      </c>
      <c r="AE7" s="296" t="s">
        <v>79</v>
      </c>
      <c r="AF7" s="301" t="s">
        <v>84</v>
      </c>
      <c r="AG7" s="302" t="s">
        <v>85</v>
      </c>
      <c r="AH7" s="303" t="s">
        <v>86</v>
      </c>
      <c r="AI7" s="240"/>
      <c r="AJ7" s="240"/>
      <c r="AK7" s="240"/>
      <c r="AL7" s="240"/>
      <c r="AM7" s="241"/>
      <c r="AN7" s="86"/>
      <c r="AO7" s="76"/>
      <c r="AP7" s="76"/>
      <c r="AQ7" s="76"/>
      <c r="AR7" s="71"/>
    </row>
    <row r="8" spans="1:48" ht="149.4" x14ac:dyDescent="0.35">
      <c r="A8" s="48" t="s">
        <v>55</v>
      </c>
      <c r="B8" s="49" t="s">
        <v>56</v>
      </c>
      <c r="C8" s="295"/>
      <c r="D8" s="87" t="s">
        <v>87</v>
      </c>
      <c r="E8" s="87" t="s">
        <v>88</v>
      </c>
      <c r="F8" s="87" t="s">
        <v>89</v>
      </c>
      <c r="G8" s="87" t="s">
        <v>90</v>
      </c>
      <c r="H8" s="87" t="s">
        <v>91</v>
      </c>
      <c r="I8" s="53"/>
      <c r="J8" s="53"/>
      <c r="K8" s="54"/>
      <c r="L8" s="54"/>
      <c r="M8" s="54"/>
      <c r="N8" s="55"/>
      <c r="O8" s="295"/>
      <c r="P8" s="87" t="s">
        <v>92</v>
      </c>
      <c r="Q8" s="87" t="s">
        <v>93</v>
      </c>
      <c r="R8" s="87" t="s">
        <v>94</v>
      </c>
      <c r="S8" s="87" t="s">
        <v>95</v>
      </c>
      <c r="T8" s="87" t="s">
        <v>96</v>
      </c>
      <c r="U8" s="87"/>
      <c r="V8" s="54"/>
      <c r="W8" s="54"/>
      <c r="X8" s="54"/>
      <c r="Y8" s="54"/>
      <c r="Z8" s="54"/>
      <c r="AA8" s="295"/>
      <c r="AB8" s="295"/>
      <c r="AC8" s="295"/>
      <c r="AD8" s="295"/>
      <c r="AE8" s="295"/>
      <c r="AF8" s="295"/>
      <c r="AG8" s="295"/>
      <c r="AH8" s="304"/>
      <c r="AI8" s="305"/>
      <c r="AJ8" s="305"/>
      <c r="AK8" s="305"/>
      <c r="AL8" s="305"/>
      <c r="AM8" s="306"/>
      <c r="AN8" s="88"/>
      <c r="AO8" s="88"/>
      <c r="AP8" s="88"/>
      <c r="AQ8" s="88"/>
      <c r="AR8" s="89"/>
    </row>
    <row r="9" spans="1:48" ht="12" customHeight="1" x14ac:dyDescent="0.35">
      <c r="A9" s="59">
        <v>1</v>
      </c>
      <c r="B9" s="90" t="str">
        <f>'C. FILIACION'!B8</f>
        <v>ALTAMIRANO RAMOS ESTEFANI MILENKA</v>
      </c>
      <c r="C9" s="31">
        <v>10</v>
      </c>
      <c r="D9" s="91">
        <v>31</v>
      </c>
      <c r="E9" s="91">
        <v>31</v>
      </c>
      <c r="F9" s="91">
        <v>31</v>
      </c>
      <c r="G9" s="91">
        <v>29</v>
      </c>
      <c r="H9" s="91">
        <v>29</v>
      </c>
      <c r="I9" s="31"/>
      <c r="J9" s="91"/>
      <c r="K9" s="31"/>
      <c r="L9" s="31"/>
      <c r="M9" s="31"/>
      <c r="N9" s="31"/>
      <c r="O9" s="92">
        <f t="shared" ref="O9:O44" si="0">IFERROR(ROUND(AVERAGE(D9:N9),0),"")</f>
        <v>30</v>
      </c>
      <c r="P9" s="91">
        <v>31</v>
      </c>
      <c r="Q9" s="91">
        <v>24</v>
      </c>
      <c r="R9" s="91">
        <v>31</v>
      </c>
      <c r="S9" s="91">
        <v>31</v>
      </c>
      <c r="T9" s="91">
        <v>31</v>
      </c>
      <c r="U9" s="31"/>
      <c r="V9" s="31"/>
      <c r="W9" s="31"/>
      <c r="X9" s="31"/>
      <c r="Y9" s="31"/>
      <c r="Z9" s="31"/>
      <c r="AA9" s="31">
        <f>(AB9+O9)/2*10/35</f>
        <v>8.5714285714285712</v>
      </c>
      <c r="AB9" s="92">
        <f t="shared" ref="AB9:AB44" si="1">IFERROR(ROUND(AVERAGE(P9:Z9),0),"")</f>
        <v>30</v>
      </c>
      <c r="AC9" s="31">
        <v>5</v>
      </c>
      <c r="AD9" s="31">
        <v>5</v>
      </c>
      <c r="AE9" s="92">
        <f t="shared" ref="AE9:AE44" si="2">IFERROR((SUM(AC9,AD9)),"")</f>
        <v>10</v>
      </c>
      <c r="AF9" s="93" t="str">
        <f t="shared" ref="AF9:AF44" si="3">IF(AG9&lt;51,"ED",IF(AG9&lt;67,"DA",IF(AG9&lt;85,"DO","DP")))</f>
        <v>DP</v>
      </c>
      <c r="AG9" s="208">
        <f t="shared" ref="AG9:AG44" si="4">IFERROR((SUM(C9,O9,AA9,AB9,AE9)),"")</f>
        <v>88.571428571428569</v>
      </c>
      <c r="AH9" s="283" t="str">
        <f t="shared" ref="AH9:AH44" si="5">IF(AG9="","",(IF(AND(AG9&gt;=1,AG9&lt;=50.499),"REPROBADO",IF(AND(AG9&gt;=50.5,AG9&lt;=100),"APROBADO"))))</f>
        <v>APROBADO</v>
      </c>
      <c r="AI9" s="284"/>
      <c r="AJ9" s="284"/>
      <c r="AK9" s="284"/>
      <c r="AL9" s="284"/>
      <c r="AM9" s="285"/>
      <c r="AN9" s="94" t="s">
        <v>97</v>
      </c>
      <c r="AO9" s="307">
        <f>COUNTIF(AF9:AF44,"ED")</f>
        <v>6</v>
      </c>
      <c r="AP9" s="285"/>
      <c r="AQ9" s="95"/>
      <c r="AR9" s="95"/>
    </row>
    <row r="10" spans="1:48" ht="12" customHeight="1" x14ac:dyDescent="0.35">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91">
        <f t="shared" ref="AA10:AA26" si="6">(AB10+O10)/2*10/35</f>
        <v>8.5714285714285712</v>
      </c>
      <c r="AB10" s="92">
        <f t="shared" si="1"/>
        <v>30</v>
      </c>
      <c r="AC10" s="31">
        <v>5</v>
      </c>
      <c r="AD10" s="31">
        <v>5</v>
      </c>
      <c r="AE10" s="92">
        <f t="shared" si="2"/>
        <v>10</v>
      </c>
      <c r="AF10" s="93" t="str">
        <f t="shared" si="3"/>
        <v>DP</v>
      </c>
      <c r="AG10" s="208">
        <f t="shared" si="4"/>
        <v>88.571428571428569</v>
      </c>
      <c r="AH10" s="283" t="str">
        <f t="shared" si="5"/>
        <v>APROBADO</v>
      </c>
      <c r="AI10" s="284"/>
      <c r="AJ10" s="284"/>
      <c r="AK10" s="284"/>
      <c r="AL10" s="284"/>
      <c r="AM10" s="285"/>
      <c r="AN10" s="48" t="s">
        <v>98</v>
      </c>
      <c r="AO10" s="307">
        <f>COUNTIF(AF9:AF44,"DA")</f>
        <v>3</v>
      </c>
      <c r="AP10" s="285"/>
      <c r="AQ10" s="95"/>
      <c r="AR10" s="95"/>
    </row>
    <row r="11" spans="1:48" ht="12" customHeight="1" x14ac:dyDescent="0.35">
      <c r="A11" s="59">
        <v>3</v>
      </c>
      <c r="B11" s="90" t="str">
        <f>'C. FILIACION'!B10</f>
        <v>BOLAÑOS OVANDO MIJHAIL ALEXANDER</v>
      </c>
      <c r="C11" s="31">
        <v>7</v>
      </c>
      <c r="D11" s="91">
        <v>21</v>
      </c>
      <c r="E11" s="91">
        <v>17</v>
      </c>
      <c r="F11" s="91">
        <v>23</v>
      </c>
      <c r="G11" s="91">
        <v>10</v>
      </c>
      <c r="H11" s="91">
        <v>25</v>
      </c>
      <c r="I11" s="31"/>
      <c r="J11" s="91"/>
      <c r="K11" s="31"/>
      <c r="L11" s="31"/>
      <c r="M11" s="31"/>
      <c r="N11" s="31"/>
      <c r="O11" s="92">
        <f t="shared" si="0"/>
        <v>19</v>
      </c>
      <c r="P11" s="91">
        <v>15</v>
      </c>
      <c r="Q11" s="91">
        <v>20</v>
      </c>
      <c r="R11" s="91">
        <v>20</v>
      </c>
      <c r="S11" s="91">
        <v>15</v>
      </c>
      <c r="T11" s="91">
        <v>15</v>
      </c>
      <c r="U11" s="31"/>
      <c r="V11" s="31"/>
      <c r="W11" s="31"/>
      <c r="X11" s="31"/>
      <c r="Y11" s="31"/>
      <c r="Z11" s="31"/>
      <c r="AA11" s="91">
        <f t="shared" si="6"/>
        <v>5.1428571428571432</v>
      </c>
      <c r="AB11" s="92">
        <f t="shared" si="1"/>
        <v>17</v>
      </c>
      <c r="AC11" s="31">
        <v>3</v>
      </c>
      <c r="AD11" s="31">
        <v>3</v>
      </c>
      <c r="AE11" s="92">
        <f t="shared" si="2"/>
        <v>6</v>
      </c>
      <c r="AF11" s="93" t="str">
        <f t="shared" si="3"/>
        <v>DA</v>
      </c>
      <c r="AG11" s="208">
        <f t="shared" si="4"/>
        <v>54.142857142857139</v>
      </c>
      <c r="AH11" s="283" t="str">
        <f t="shared" si="5"/>
        <v>APROBADO</v>
      </c>
      <c r="AI11" s="284"/>
      <c r="AJ11" s="284"/>
      <c r="AK11" s="284"/>
      <c r="AL11" s="284"/>
      <c r="AM11" s="285"/>
      <c r="AN11" s="48" t="s">
        <v>99</v>
      </c>
      <c r="AO11" s="307">
        <f>COUNTIF(AF9:AF44,"DO")</f>
        <v>7</v>
      </c>
      <c r="AP11" s="285"/>
      <c r="AQ11" s="95"/>
      <c r="AR11" s="95"/>
    </row>
    <row r="12" spans="1:48" ht="12" customHeight="1" x14ac:dyDescent="0.35">
      <c r="A12" s="59">
        <v>4</v>
      </c>
      <c r="B12" s="90" t="str">
        <f>'C. FILIACION'!B11</f>
        <v>BRICHER ETHELBERT ISMAEL</v>
      </c>
      <c r="C12" s="31">
        <v>3</v>
      </c>
      <c r="D12" s="91">
        <v>30</v>
      </c>
      <c r="E12" s="91">
        <v>10</v>
      </c>
      <c r="F12" s="91">
        <v>10</v>
      </c>
      <c r="G12" s="91">
        <v>10</v>
      </c>
      <c r="H12" s="91">
        <v>10</v>
      </c>
      <c r="I12" s="31"/>
      <c r="J12" s="91"/>
      <c r="K12" s="31"/>
      <c r="L12" s="31"/>
      <c r="M12" s="31"/>
      <c r="N12" s="31"/>
      <c r="O12" s="92">
        <f t="shared" si="0"/>
        <v>14</v>
      </c>
      <c r="P12" s="91">
        <v>9</v>
      </c>
      <c r="Q12" s="91">
        <v>7</v>
      </c>
      <c r="R12" s="91">
        <v>7</v>
      </c>
      <c r="S12" s="91">
        <v>5</v>
      </c>
      <c r="T12" s="91">
        <v>10</v>
      </c>
      <c r="U12" s="31"/>
      <c r="V12" s="31"/>
      <c r="W12" s="31"/>
      <c r="X12" s="31"/>
      <c r="Y12" s="31"/>
      <c r="Z12" s="31"/>
      <c r="AA12" s="91">
        <f t="shared" si="6"/>
        <v>3.1428571428571428</v>
      </c>
      <c r="AB12" s="92">
        <f t="shared" si="1"/>
        <v>8</v>
      </c>
      <c r="AC12" s="31">
        <v>2</v>
      </c>
      <c r="AD12" s="31">
        <v>2</v>
      </c>
      <c r="AE12" s="92">
        <f t="shared" si="2"/>
        <v>4</v>
      </c>
      <c r="AF12" s="93" t="str">
        <f t="shared" si="3"/>
        <v>ED</v>
      </c>
      <c r="AG12" s="208">
        <f t="shared" si="4"/>
        <v>32.142857142857139</v>
      </c>
      <c r="AH12" s="283" t="str">
        <f t="shared" si="5"/>
        <v>REPROBADO</v>
      </c>
      <c r="AI12" s="284"/>
      <c r="AJ12" s="284"/>
      <c r="AK12" s="284"/>
      <c r="AL12" s="284"/>
      <c r="AM12" s="285"/>
      <c r="AN12" s="48" t="s">
        <v>100</v>
      </c>
      <c r="AO12" s="307">
        <f>COUNTIF(AF9:AF44,"DP")</f>
        <v>20</v>
      </c>
      <c r="AP12" s="285"/>
      <c r="AQ12" s="95"/>
      <c r="AR12" s="95"/>
    </row>
    <row r="13" spans="1:48" ht="12" customHeight="1" x14ac:dyDescent="0.35">
      <c r="A13" s="59">
        <v>5</v>
      </c>
      <c r="B13" s="90" t="str">
        <f>'C. FILIACION'!B12</f>
        <v>CANAVIRI QUISBERT ALEJANDRA ELENA</v>
      </c>
      <c r="C13" s="31">
        <v>10</v>
      </c>
      <c r="D13" s="91">
        <v>30</v>
      </c>
      <c r="E13" s="91">
        <v>10</v>
      </c>
      <c r="F13" s="91">
        <v>20</v>
      </c>
      <c r="G13" s="91">
        <v>23</v>
      </c>
      <c r="H13" s="91">
        <v>18</v>
      </c>
      <c r="I13" s="31"/>
      <c r="J13" s="91"/>
      <c r="K13" s="31"/>
      <c r="L13" s="31"/>
      <c r="M13" s="31"/>
      <c r="N13" s="31"/>
      <c r="O13" s="92">
        <f t="shared" si="0"/>
        <v>20</v>
      </c>
      <c r="P13" s="91">
        <v>10</v>
      </c>
      <c r="Q13" s="91">
        <v>10</v>
      </c>
      <c r="R13" s="91">
        <v>26</v>
      </c>
      <c r="S13" s="91">
        <v>30</v>
      </c>
      <c r="T13" s="91">
        <v>30</v>
      </c>
      <c r="U13" s="31"/>
      <c r="V13" s="31"/>
      <c r="W13" s="31"/>
      <c r="X13" s="31"/>
      <c r="Y13" s="31"/>
      <c r="Z13" s="31"/>
      <c r="AA13" s="91">
        <f t="shared" si="6"/>
        <v>5.8571428571428568</v>
      </c>
      <c r="AB13" s="92">
        <f t="shared" si="1"/>
        <v>21</v>
      </c>
      <c r="AC13" s="31">
        <v>4</v>
      </c>
      <c r="AD13" s="31">
        <v>5</v>
      </c>
      <c r="AE13" s="92">
        <f t="shared" si="2"/>
        <v>9</v>
      </c>
      <c r="AF13" s="93" t="str">
        <f t="shared" si="3"/>
        <v>DA</v>
      </c>
      <c r="AG13" s="208">
        <f t="shared" si="4"/>
        <v>65.857142857142861</v>
      </c>
      <c r="AH13" s="283" t="str">
        <f t="shared" si="5"/>
        <v>APROBADO</v>
      </c>
      <c r="AI13" s="284"/>
      <c r="AJ13" s="284"/>
      <c r="AK13" s="284"/>
      <c r="AL13" s="284"/>
      <c r="AM13" s="285"/>
      <c r="AN13" s="95"/>
      <c r="AO13" s="95"/>
      <c r="AP13" s="95"/>
      <c r="AQ13" s="95"/>
      <c r="AR13" s="95"/>
    </row>
    <row r="14" spans="1:48" ht="12" customHeight="1" x14ac:dyDescent="0.35">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20</v>
      </c>
      <c r="Q14" s="91">
        <v>20</v>
      </c>
      <c r="R14" s="91">
        <v>25</v>
      </c>
      <c r="S14" s="91">
        <v>25</v>
      </c>
      <c r="T14" s="91">
        <v>30</v>
      </c>
      <c r="U14" s="31"/>
      <c r="V14" s="31"/>
      <c r="W14" s="31"/>
      <c r="X14" s="31"/>
      <c r="Y14" s="31"/>
      <c r="Z14" s="31"/>
      <c r="AA14" s="91">
        <f t="shared" si="6"/>
        <v>7.7142857142857144</v>
      </c>
      <c r="AB14" s="92">
        <f t="shared" si="1"/>
        <v>24</v>
      </c>
      <c r="AC14" s="31">
        <v>4</v>
      </c>
      <c r="AD14" s="31">
        <v>5</v>
      </c>
      <c r="AE14" s="92">
        <f t="shared" si="2"/>
        <v>9</v>
      </c>
      <c r="AF14" s="93" t="str">
        <f t="shared" si="3"/>
        <v>DO</v>
      </c>
      <c r="AG14" s="208">
        <f t="shared" si="4"/>
        <v>80.714285714285722</v>
      </c>
      <c r="AH14" s="283" t="str">
        <f t="shared" si="5"/>
        <v>APROBADO</v>
      </c>
      <c r="AI14" s="284"/>
      <c r="AJ14" s="284"/>
      <c r="AK14" s="284"/>
      <c r="AL14" s="284"/>
      <c r="AM14" s="285"/>
      <c r="AN14" s="95"/>
      <c r="AO14" s="95"/>
      <c r="AP14" s="95"/>
      <c r="AQ14" s="95"/>
      <c r="AR14" s="95"/>
    </row>
    <row r="15" spans="1:48" ht="12" customHeight="1" x14ac:dyDescent="0.35">
      <c r="A15" s="59">
        <v>7</v>
      </c>
      <c r="B15" s="90" t="str">
        <f>'C. FILIACION'!B14</f>
        <v>GOMEZ COSME MELANY KARINA</v>
      </c>
      <c r="C15" s="31">
        <v>5</v>
      </c>
      <c r="D15" s="91">
        <v>18</v>
      </c>
      <c r="E15" s="91">
        <v>10</v>
      </c>
      <c r="F15" s="91">
        <v>8</v>
      </c>
      <c r="G15" s="91">
        <v>17</v>
      </c>
      <c r="H15" s="91">
        <v>5</v>
      </c>
      <c r="I15" s="31"/>
      <c r="J15" s="91"/>
      <c r="K15" s="31"/>
      <c r="L15" s="31"/>
      <c r="M15" s="31"/>
      <c r="N15" s="31"/>
      <c r="O15" s="92">
        <f t="shared" si="0"/>
        <v>12</v>
      </c>
      <c r="P15" s="91">
        <v>5</v>
      </c>
      <c r="Q15" s="91">
        <v>5</v>
      </c>
      <c r="R15" s="91">
        <v>17</v>
      </c>
      <c r="S15" s="91">
        <v>5</v>
      </c>
      <c r="T15" s="91">
        <v>30</v>
      </c>
      <c r="U15" s="31"/>
      <c r="V15" s="31"/>
      <c r="W15" s="31"/>
      <c r="X15" s="31"/>
      <c r="Y15" s="31"/>
      <c r="Z15" s="31"/>
      <c r="AA15" s="91">
        <f t="shared" si="6"/>
        <v>3.4285714285714284</v>
      </c>
      <c r="AB15" s="92">
        <f t="shared" si="1"/>
        <v>12</v>
      </c>
      <c r="AC15" s="31">
        <v>4</v>
      </c>
      <c r="AD15" s="31">
        <v>3</v>
      </c>
      <c r="AE15" s="92">
        <f t="shared" si="2"/>
        <v>7</v>
      </c>
      <c r="AF15" s="93" t="str">
        <f t="shared" si="3"/>
        <v>ED</v>
      </c>
      <c r="AG15" s="208">
        <f t="shared" si="4"/>
        <v>39.428571428571431</v>
      </c>
      <c r="AH15" s="283" t="str">
        <f t="shared" si="5"/>
        <v>REPROBADO</v>
      </c>
      <c r="AI15" s="284"/>
      <c r="AJ15" s="284"/>
      <c r="AK15" s="284"/>
      <c r="AL15" s="284"/>
      <c r="AM15" s="285"/>
      <c r="AN15" s="95"/>
      <c r="AO15" s="95"/>
      <c r="AP15" s="95"/>
      <c r="AQ15" s="95"/>
      <c r="AR15" s="95"/>
    </row>
    <row r="16" spans="1:48" ht="12" customHeight="1" x14ac:dyDescent="0.35">
      <c r="A16" s="59">
        <v>8</v>
      </c>
      <c r="B16" s="90" t="str">
        <f>'C. FILIACION'!B15</f>
        <v>GONZALES ZUAZO KALEB RAMSES</v>
      </c>
      <c r="C16" s="31">
        <v>10</v>
      </c>
      <c r="D16" s="91">
        <v>30</v>
      </c>
      <c r="E16" s="91">
        <v>29</v>
      </c>
      <c r="F16" s="91">
        <v>29</v>
      </c>
      <c r="G16" s="91">
        <v>23</v>
      </c>
      <c r="H16" s="91">
        <v>21</v>
      </c>
      <c r="I16" s="31"/>
      <c r="J16" s="91"/>
      <c r="K16" s="31"/>
      <c r="L16" s="31"/>
      <c r="M16" s="31"/>
      <c r="N16" s="31"/>
      <c r="O16" s="92">
        <f t="shared" si="0"/>
        <v>26</v>
      </c>
      <c r="P16" s="91">
        <v>10</v>
      </c>
      <c r="Q16" s="91">
        <v>22</v>
      </c>
      <c r="R16" s="91">
        <v>15</v>
      </c>
      <c r="S16" s="91">
        <v>20</v>
      </c>
      <c r="T16" s="91">
        <v>25</v>
      </c>
      <c r="U16" s="31"/>
      <c r="V16" s="31"/>
      <c r="W16" s="31"/>
      <c r="X16" s="31"/>
      <c r="Y16" s="31"/>
      <c r="Z16" s="31"/>
      <c r="AA16" s="91">
        <f t="shared" si="6"/>
        <v>6.2857142857142856</v>
      </c>
      <c r="AB16" s="92">
        <f t="shared" si="1"/>
        <v>18</v>
      </c>
      <c r="AC16" s="31">
        <v>5</v>
      </c>
      <c r="AD16" s="31">
        <v>5</v>
      </c>
      <c r="AE16" s="92">
        <f t="shared" si="2"/>
        <v>10</v>
      </c>
      <c r="AF16" s="93" t="str">
        <f t="shared" si="3"/>
        <v>DO</v>
      </c>
      <c r="AG16" s="208">
        <f t="shared" si="4"/>
        <v>70.285714285714278</v>
      </c>
      <c r="AH16" s="283" t="str">
        <f t="shared" si="5"/>
        <v>APROBADO</v>
      </c>
      <c r="AI16" s="284"/>
      <c r="AJ16" s="284"/>
      <c r="AK16" s="284"/>
      <c r="AL16" s="284"/>
      <c r="AM16" s="285"/>
      <c r="AN16" s="95"/>
      <c r="AO16" s="95"/>
      <c r="AP16" s="95"/>
      <c r="AQ16" s="95"/>
      <c r="AR16" s="95"/>
    </row>
    <row r="17" spans="1:44" ht="12" customHeight="1" x14ac:dyDescent="0.35">
      <c r="A17" s="59">
        <v>9</v>
      </c>
      <c r="B17" s="90" t="str">
        <f>'C. FILIACION'!B16</f>
        <v>LEDEZMA AGUILAR ELVIS JHEFERSON</v>
      </c>
      <c r="C17" s="31">
        <v>10</v>
      </c>
      <c r="D17" s="91">
        <v>20</v>
      </c>
      <c r="E17" s="91">
        <v>30</v>
      </c>
      <c r="F17" s="91">
        <v>30</v>
      </c>
      <c r="G17" s="91">
        <v>30</v>
      </c>
      <c r="H17" s="91">
        <v>30</v>
      </c>
      <c r="I17" s="31"/>
      <c r="J17" s="91"/>
      <c r="K17" s="31"/>
      <c r="L17" s="31"/>
      <c r="M17" s="31"/>
      <c r="N17" s="31"/>
      <c r="O17" s="92">
        <f t="shared" si="0"/>
        <v>28</v>
      </c>
      <c r="P17" s="91">
        <v>30</v>
      </c>
      <c r="Q17" s="91">
        <v>30</v>
      </c>
      <c r="R17" s="91">
        <v>30</v>
      </c>
      <c r="S17" s="91">
        <v>33</v>
      </c>
      <c r="T17" s="91">
        <v>30</v>
      </c>
      <c r="U17" s="31"/>
      <c r="V17" s="31"/>
      <c r="W17" s="31"/>
      <c r="X17" s="31"/>
      <c r="Y17" s="31"/>
      <c r="Z17" s="31"/>
      <c r="AA17" s="91">
        <f t="shared" si="6"/>
        <v>8.4285714285714288</v>
      </c>
      <c r="AB17" s="92">
        <f t="shared" si="1"/>
        <v>31</v>
      </c>
      <c r="AC17" s="31">
        <v>5</v>
      </c>
      <c r="AD17" s="31">
        <v>5</v>
      </c>
      <c r="AE17" s="92">
        <f t="shared" si="2"/>
        <v>10</v>
      </c>
      <c r="AF17" s="93" t="str">
        <f t="shared" si="3"/>
        <v>DP</v>
      </c>
      <c r="AG17" s="208">
        <f t="shared" si="4"/>
        <v>87.428571428571431</v>
      </c>
      <c r="AH17" s="283" t="str">
        <f t="shared" si="5"/>
        <v>APROBADO</v>
      </c>
      <c r="AI17" s="284"/>
      <c r="AJ17" s="284"/>
      <c r="AK17" s="284"/>
      <c r="AL17" s="284"/>
      <c r="AM17" s="285"/>
      <c r="AN17" s="95"/>
      <c r="AO17" s="95"/>
      <c r="AP17" s="95"/>
      <c r="AQ17" s="95"/>
      <c r="AR17" s="95"/>
    </row>
    <row r="18" spans="1:44" ht="12" customHeight="1" x14ac:dyDescent="0.35">
      <c r="A18" s="59">
        <v>10</v>
      </c>
      <c r="B18" s="90" t="str">
        <f>'C. FILIACION'!B17</f>
        <v>LOBATON RODRIGUEZ JHONATAN A.</v>
      </c>
      <c r="C18" s="31">
        <v>8</v>
      </c>
      <c r="D18" s="91">
        <v>30</v>
      </c>
      <c r="E18" s="91">
        <v>18</v>
      </c>
      <c r="F18" s="91">
        <v>30</v>
      </c>
      <c r="G18" s="91">
        <v>20</v>
      </c>
      <c r="H18" s="91">
        <v>17</v>
      </c>
      <c r="I18" s="31"/>
      <c r="J18" s="91"/>
      <c r="K18" s="31"/>
      <c r="L18" s="31"/>
      <c r="M18" s="31"/>
      <c r="N18" s="31"/>
      <c r="O18" s="92">
        <f t="shared" si="0"/>
        <v>23</v>
      </c>
      <c r="P18" s="91">
        <v>16</v>
      </c>
      <c r="Q18" s="91">
        <v>20</v>
      </c>
      <c r="R18" s="91">
        <v>16</v>
      </c>
      <c r="S18" s="91">
        <v>18</v>
      </c>
      <c r="T18" s="91">
        <v>19</v>
      </c>
      <c r="U18" s="31"/>
      <c r="V18" s="31"/>
      <c r="W18" s="31"/>
      <c r="X18" s="31"/>
      <c r="Y18" s="31"/>
      <c r="Z18" s="31"/>
      <c r="AA18" s="91">
        <f t="shared" si="6"/>
        <v>5.8571428571428568</v>
      </c>
      <c r="AB18" s="92">
        <f t="shared" si="1"/>
        <v>18</v>
      </c>
      <c r="AC18" s="31">
        <v>4</v>
      </c>
      <c r="AD18" s="31">
        <v>5</v>
      </c>
      <c r="AE18" s="92">
        <f t="shared" si="2"/>
        <v>9</v>
      </c>
      <c r="AF18" s="93" t="str">
        <f t="shared" si="3"/>
        <v>DA</v>
      </c>
      <c r="AG18" s="208">
        <f t="shared" si="4"/>
        <v>63.857142857142854</v>
      </c>
      <c r="AH18" s="283" t="str">
        <f t="shared" si="5"/>
        <v>APROBADO</v>
      </c>
      <c r="AI18" s="284"/>
      <c r="AJ18" s="284"/>
      <c r="AK18" s="284"/>
      <c r="AL18" s="284"/>
      <c r="AM18" s="285"/>
      <c r="AN18" s="95"/>
      <c r="AO18" s="95"/>
      <c r="AP18" s="95"/>
      <c r="AQ18" s="95"/>
      <c r="AR18" s="95"/>
    </row>
    <row r="19" spans="1:44" ht="12" customHeight="1" x14ac:dyDescent="0.35">
      <c r="A19" s="59">
        <v>11</v>
      </c>
      <c r="B19" s="90" t="str">
        <f>'C. FILIACION'!B18</f>
        <v>MAMANI LOPEZ DAFNE MILDRED</v>
      </c>
      <c r="C19" s="31">
        <v>7</v>
      </c>
      <c r="D19" s="91">
        <v>16</v>
      </c>
      <c r="E19" s="91">
        <v>5</v>
      </c>
      <c r="F19" s="91">
        <v>15</v>
      </c>
      <c r="G19" s="91">
        <v>5</v>
      </c>
      <c r="H19" s="91">
        <v>5</v>
      </c>
      <c r="I19" s="31"/>
      <c r="J19" s="91"/>
      <c r="K19" s="31"/>
      <c r="L19" s="31"/>
      <c r="M19" s="31"/>
      <c r="N19" s="31"/>
      <c r="O19" s="92">
        <f t="shared" si="0"/>
        <v>9</v>
      </c>
      <c r="P19" s="91">
        <v>15</v>
      </c>
      <c r="Q19" s="91">
        <v>10</v>
      </c>
      <c r="R19" s="91">
        <v>10</v>
      </c>
      <c r="S19" s="91">
        <v>8</v>
      </c>
      <c r="T19" s="91">
        <v>30</v>
      </c>
      <c r="U19" s="31"/>
      <c r="V19" s="31"/>
      <c r="W19" s="31"/>
      <c r="X19" s="31"/>
      <c r="Y19" s="31"/>
      <c r="Z19" s="31"/>
      <c r="AA19" s="91">
        <f t="shared" si="6"/>
        <v>3.4285714285714284</v>
      </c>
      <c r="AB19" s="92">
        <f t="shared" si="1"/>
        <v>15</v>
      </c>
      <c r="AC19" s="31">
        <v>4</v>
      </c>
      <c r="AD19" s="31">
        <v>4</v>
      </c>
      <c r="AE19" s="92">
        <f t="shared" si="2"/>
        <v>8</v>
      </c>
      <c r="AF19" s="93" t="str">
        <f t="shared" si="3"/>
        <v>ED</v>
      </c>
      <c r="AG19" s="208">
        <f t="shared" si="4"/>
        <v>42.428571428571431</v>
      </c>
      <c r="AH19" s="283" t="str">
        <f t="shared" si="5"/>
        <v>REPROBADO</v>
      </c>
      <c r="AI19" s="284"/>
      <c r="AJ19" s="284"/>
      <c r="AK19" s="284"/>
      <c r="AL19" s="284"/>
      <c r="AM19" s="285"/>
      <c r="AN19" s="95"/>
      <c r="AO19" s="95"/>
      <c r="AP19" s="95"/>
      <c r="AQ19" s="95"/>
      <c r="AR19" s="95"/>
    </row>
    <row r="20" spans="1:44" ht="12" customHeight="1" x14ac:dyDescent="0.35">
      <c r="A20" s="59">
        <v>12</v>
      </c>
      <c r="B20" s="90" t="str">
        <f>'C. FILIACION'!B19</f>
        <v>MARCONI PEREZ SINDEL LUANA</v>
      </c>
      <c r="C20" s="31">
        <v>6</v>
      </c>
      <c r="D20" s="91">
        <v>15</v>
      </c>
      <c r="E20" s="91">
        <v>10</v>
      </c>
      <c r="F20" s="91">
        <v>10</v>
      </c>
      <c r="G20" s="91">
        <v>18</v>
      </c>
      <c r="H20" s="91">
        <v>15</v>
      </c>
      <c r="I20" s="31"/>
      <c r="J20" s="31"/>
      <c r="K20" s="31"/>
      <c r="L20" s="31"/>
      <c r="M20" s="31"/>
      <c r="N20" s="31"/>
      <c r="O20" s="92">
        <f t="shared" si="0"/>
        <v>14</v>
      </c>
      <c r="P20" s="91">
        <v>5</v>
      </c>
      <c r="Q20" s="91">
        <v>20</v>
      </c>
      <c r="R20" s="91">
        <v>17</v>
      </c>
      <c r="S20" s="91">
        <v>5</v>
      </c>
      <c r="T20" s="91">
        <v>5</v>
      </c>
      <c r="U20" s="31"/>
      <c r="V20" s="31"/>
      <c r="W20" s="31"/>
      <c r="X20" s="31"/>
      <c r="Y20" s="31"/>
      <c r="Z20" s="31"/>
      <c r="AA20" s="91">
        <f t="shared" si="6"/>
        <v>3.4285714285714284</v>
      </c>
      <c r="AB20" s="92">
        <f t="shared" si="1"/>
        <v>10</v>
      </c>
      <c r="AC20" s="31">
        <v>4</v>
      </c>
      <c r="AD20" s="31">
        <v>4</v>
      </c>
      <c r="AE20" s="92">
        <f t="shared" si="2"/>
        <v>8</v>
      </c>
      <c r="AF20" s="93" t="str">
        <f t="shared" si="3"/>
        <v>ED</v>
      </c>
      <c r="AG20" s="208">
        <f t="shared" si="4"/>
        <v>41.428571428571431</v>
      </c>
      <c r="AH20" s="283" t="str">
        <f t="shared" si="5"/>
        <v>REPROBADO</v>
      </c>
      <c r="AI20" s="284"/>
      <c r="AJ20" s="284"/>
      <c r="AK20" s="284"/>
      <c r="AL20" s="284"/>
      <c r="AM20" s="285"/>
      <c r="AN20" s="95"/>
      <c r="AO20" s="95"/>
      <c r="AP20" s="95"/>
      <c r="AQ20" s="95"/>
      <c r="AR20" s="95"/>
    </row>
    <row r="21" spans="1:44" ht="12" customHeight="1" x14ac:dyDescent="0.35">
      <c r="A21" s="59">
        <v>13</v>
      </c>
      <c r="B21" s="90" t="str">
        <f>'C. FILIACION'!B20</f>
        <v>MENACHO LINEO ANDREA KIMBERLY</v>
      </c>
      <c r="C21" s="31">
        <v>10</v>
      </c>
      <c r="D21" s="91">
        <v>27</v>
      </c>
      <c r="E21" s="91">
        <v>25</v>
      </c>
      <c r="F21" s="91">
        <v>30</v>
      </c>
      <c r="G21" s="91">
        <v>27</v>
      </c>
      <c r="H21" s="91">
        <v>30</v>
      </c>
      <c r="I21" s="31"/>
      <c r="J21" s="91"/>
      <c r="K21" s="31"/>
      <c r="L21" s="31"/>
      <c r="M21" s="31"/>
      <c r="N21" s="31"/>
      <c r="O21" s="92">
        <f t="shared" si="0"/>
        <v>28</v>
      </c>
      <c r="P21" s="91">
        <v>30</v>
      </c>
      <c r="Q21" s="91">
        <v>20</v>
      </c>
      <c r="R21" s="91">
        <v>30</v>
      </c>
      <c r="S21" s="91">
        <v>30</v>
      </c>
      <c r="T21" s="91">
        <v>20</v>
      </c>
      <c r="U21" s="31"/>
      <c r="V21" s="31"/>
      <c r="W21" s="31"/>
      <c r="X21" s="31"/>
      <c r="Y21" s="31"/>
      <c r="Z21" s="31"/>
      <c r="AA21" s="91">
        <f t="shared" si="6"/>
        <v>7.7142857142857144</v>
      </c>
      <c r="AB21" s="92">
        <f t="shared" si="1"/>
        <v>26</v>
      </c>
      <c r="AC21" s="31">
        <v>4</v>
      </c>
      <c r="AD21" s="31">
        <v>4</v>
      </c>
      <c r="AE21" s="92">
        <f t="shared" si="2"/>
        <v>8</v>
      </c>
      <c r="AF21" s="93" t="str">
        <f t="shared" si="3"/>
        <v>DO</v>
      </c>
      <c r="AG21" s="208">
        <f t="shared" si="4"/>
        <v>79.714285714285722</v>
      </c>
      <c r="AH21" s="283" t="str">
        <f t="shared" si="5"/>
        <v>APROBADO</v>
      </c>
      <c r="AI21" s="284"/>
      <c r="AJ21" s="284"/>
      <c r="AK21" s="284"/>
      <c r="AL21" s="284"/>
      <c r="AM21" s="285"/>
      <c r="AN21" s="95"/>
      <c r="AO21" s="95"/>
      <c r="AP21" s="95"/>
      <c r="AQ21" s="95"/>
      <c r="AR21" s="95"/>
    </row>
    <row r="22" spans="1:44" ht="12" customHeight="1" x14ac:dyDescent="0.35">
      <c r="A22" s="59">
        <v>14</v>
      </c>
      <c r="B22" s="90" t="str">
        <f>'C. FILIACION'!B21</f>
        <v>PILLCO APAZA MARIAN ALEXANDRA</v>
      </c>
      <c r="C22" s="31">
        <v>10</v>
      </c>
      <c r="D22" s="91">
        <v>20</v>
      </c>
      <c r="E22" s="91">
        <v>30</v>
      </c>
      <c r="F22" s="91">
        <v>20</v>
      </c>
      <c r="G22" s="91">
        <v>30</v>
      </c>
      <c r="H22" s="91">
        <v>22</v>
      </c>
      <c r="I22" s="31"/>
      <c r="J22" s="31"/>
      <c r="K22" s="31"/>
      <c r="L22" s="31"/>
      <c r="M22" s="31"/>
      <c r="N22" s="31"/>
      <c r="O22" s="92">
        <f t="shared" si="0"/>
        <v>24</v>
      </c>
      <c r="P22" s="91">
        <v>20</v>
      </c>
      <c r="Q22" s="91">
        <v>31</v>
      </c>
      <c r="R22" s="91">
        <v>31</v>
      </c>
      <c r="S22" s="91">
        <v>32</v>
      </c>
      <c r="T22" s="91">
        <v>10</v>
      </c>
      <c r="U22" s="31"/>
      <c r="V22" s="31"/>
      <c r="W22" s="31"/>
      <c r="X22" s="31"/>
      <c r="Y22" s="31"/>
      <c r="Z22" s="31"/>
      <c r="AA22" s="91">
        <f t="shared" si="6"/>
        <v>7</v>
      </c>
      <c r="AB22" s="92">
        <f t="shared" si="1"/>
        <v>25</v>
      </c>
      <c r="AC22" s="31">
        <v>4</v>
      </c>
      <c r="AD22" s="31">
        <v>4</v>
      </c>
      <c r="AE22" s="92">
        <f t="shared" si="2"/>
        <v>8</v>
      </c>
      <c r="AF22" s="93" t="str">
        <f t="shared" si="3"/>
        <v>DO</v>
      </c>
      <c r="AG22" s="208">
        <f t="shared" si="4"/>
        <v>74</v>
      </c>
      <c r="AH22" s="283" t="str">
        <f t="shared" si="5"/>
        <v>APROBADO</v>
      </c>
      <c r="AI22" s="284"/>
      <c r="AJ22" s="284"/>
      <c r="AK22" s="284"/>
      <c r="AL22" s="284"/>
      <c r="AM22" s="285"/>
      <c r="AN22" s="95"/>
      <c r="AO22" s="95"/>
      <c r="AP22" s="95"/>
      <c r="AQ22" s="95"/>
      <c r="AR22" s="95"/>
    </row>
    <row r="23" spans="1:44" ht="12" customHeight="1" x14ac:dyDescent="0.35">
      <c r="A23" s="59">
        <v>15</v>
      </c>
      <c r="B23" s="90" t="str">
        <f>'C. FILIACION'!B22</f>
        <v>RUEDA ALVAREZ GREGORY STEVEN</v>
      </c>
      <c r="C23" s="31">
        <v>10</v>
      </c>
      <c r="D23" s="91">
        <v>30</v>
      </c>
      <c r="E23" s="91">
        <v>30</v>
      </c>
      <c r="F23" s="91">
        <v>27</v>
      </c>
      <c r="G23" s="91">
        <v>30</v>
      </c>
      <c r="H23" s="91">
        <v>20</v>
      </c>
      <c r="I23" s="31"/>
      <c r="J23" s="91"/>
      <c r="K23" s="31"/>
      <c r="L23" s="31"/>
      <c r="M23" s="31"/>
      <c r="N23" s="31"/>
      <c r="O23" s="92">
        <f t="shared" si="0"/>
        <v>27</v>
      </c>
      <c r="P23" s="91">
        <v>20</v>
      </c>
      <c r="Q23" s="91">
        <v>25</v>
      </c>
      <c r="R23" s="91">
        <v>20</v>
      </c>
      <c r="S23" s="91">
        <v>15</v>
      </c>
      <c r="T23" s="91">
        <v>20</v>
      </c>
      <c r="U23" s="31"/>
      <c r="V23" s="31"/>
      <c r="W23" s="31"/>
      <c r="X23" s="31"/>
      <c r="Y23" s="31"/>
      <c r="Z23" s="31"/>
      <c r="AA23" s="91">
        <f t="shared" si="6"/>
        <v>6.7142857142857144</v>
      </c>
      <c r="AB23" s="92">
        <f t="shared" si="1"/>
        <v>20</v>
      </c>
      <c r="AC23" s="31">
        <v>4</v>
      </c>
      <c r="AD23" s="31">
        <v>5</v>
      </c>
      <c r="AE23" s="92">
        <f t="shared" si="2"/>
        <v>9</v>
      </c>
      <c r="AF23" s="93" t="str">
        <f t="shared" si="3"/>
        <v>DO</v>
      </c>
      <c r="AG23" s="208">
        <f t="shared" si="4"/>
        <v>72.714285714285722</v>
      </c>
      <c r="AH23" s="283" t="str">
        <f t="shared" si="5"/>
        <v>APROBADO</v>
      </c>
      <c r="AI23" s="284"/>
      <c r="AJ23" s="284"/>
      <c r="AK23" s="284"/>
      <c r="AL23" s="284"/>
      <c r="AM23" s="285"/>
      <c r="AN23" s="95"/>
      <c r="AO23" s="95"/>
      <c r="AP23" s="95"/>
      <c r="AQ23" s="95"/>
      <c r="AR23" s="95"/>
    </row>
    <row r="24" spans="1:44" ht="12" customHeight="1" x14ac:dyDescent="0.35">
      <c r="A24" s="59">
        <v>16</v>
      </c>
      <c r="B24" s="90" t="str">
        <f>'C. FILIACION'!B23</f>
        <v>VARGAS JOYCE BELEN</v>
      </c>
      <c r="C24" s="31">
        <v>3</v>
      </c>
      <c r="D24" s="91">
        <v>10</v>
      </c>
      <c r="E24" s="91">
        <v>10</v>
      </c>
      <c r="F24" s="91">
        <v>10</v>
      </c>
      <c r="G24" s="91">
        <v>10</v>
      </c>
      <c r="H24" s="91">
        <v>5</v>
      </c>
      <c r="I24" s="31"/>
      <c r="J24" s="31"/>
      <c r="K24" s="31"/>
      <c r="L24" s="31"/>
      <c r="M24" s="31"/>
      <c r="N24" s="31"/>
      <c r="O24" s="92">
        <f t="shared" si="0"/>
        <v>9</v>
      </c>
      <c r="P24" s="91">
        <v>5</v>
      </c>
      <c r="Q24" s="91">
        <v>8</v>
      </c>
      <c r="R24" s="91">
        <v>10</v>
      </c>
      <c r="S24" s="91">
        <v>10</v>
      </c>
      <c r="T24" s="91">
        <v>30</v>
      </c>
      <c r="U24" s="31"/>
      <c r="V24" s="31"/>
      <c r="W24" s="31"/>
      <c r="X24" s="31"/>
      <c r="Y24" s="31"/>
      <c r="Z24" s="31"/>
      <c r="AA24" s="91">
        <f t="shared" si="6"/>
        <v>3.1428571428571428</v>
      </c>
      <c r="AB24" s="92">
        <f t="shared" si="1"/>
        <v>13</v>
      </c>
      <c r="AC24" s="31">
        <v>1</v>
      </c>
      <c r="AD24" s="31">
        <v>1</v>
      </c>
      <c r="AE24" s="92">
        <f t="shared" si="2"/>
        <v>2</v>
      </c>
      <c r="AF24" s="93" t="str">
        <f t="shared" si="3"/>
        <v>ED</v>
      </c>
      <c r="AG24" s="208">
        <f t="shared" si="4"/>
        <v>30.142857142857142</v>
      </c>
      <c r="AH24" s="283" t="str">
        <f t="shared" si="5"/>
        <v>REPROBADO</v>
      </c>
      <c r="AI24" s="284"/>
      <c r="AJ24" s="284"/>
      <c r="AK24" s="284"/>
      <c r="AL24" s="284"/>
      <c r="AM24" s="285"/>
      <c r="AN24" s="95"/>
      <c r="AO24" s="95"/>
      <c r="AP24" s="95"/>
      <c r="AQ24" s="95"/>
      <c r="AR24" s="95"/>
    </row>
    <row r="25" spans="1:44" ht="12" customHeight="1" x14ac:dyDescent="0.35">
      <c r="A25" s="59">
        <v>17</v>
      </c>
      <c r="B25" s="90" t="str">
        <f>'C. FILIACION'!B24</f>
        <v>ZURITA JIMENEZ ELMER ARTURO</v>
      </c>
      <c r="C25" s="31">
        <v>10</v>
      </c>
      <c r="D25" s="91">
        <v>30</v>
      </c>
      <c r="E25" s="91">
        <v>30</v>
      </c>
      <c r="F25" s="91">
        <v>20</v>
      </c>
      <c r="G25" s="91">
        <v>30</v>
      </c>
      <c r="H25" s="91">
        <v>30</v>
      </c>
      <c r="I25" s="31"/>
      <c r="J25" s="31"/>
      <c r="K25" s="31"/>
      <c r="L25" s="31"/>
      <c r="M25" s="31"/>
      <c r="N25" s="31"/>
      <c r="O25" s="92">
        <f t="shared" si="0"/>
        <v>28</v>
      </c>
      <c r="P25" s="91">
        <v>30</v>
      </c>
      <c r="Q25" s="91">
        <v>30</v>
      </c>
      <c r="R25" s="91">
        <v>30</v>
      </c>
      <c r="S25" s="91">
        <v>20</v>
      </c>
      <c r="T25" s="91">
        <v>30</v>
      </c>
      <c r="U25" s="31"/>
      <c r="V25" s="31"/>
      <c r="W25" s="31"/>
      <c r="X25" s="31"/>
      <c r="Y25" s="31"/>
      <c r="Z25" s="31"/>
      <c r="AA25" s="91">
        <f t="shared" si="6"/>
        <v>8</v>
      </c>
      <c r="AB25" s="92">
        <f t="shared" si="1"/>
        <v>28</v>
      </c>
      <c r="AC25" s="31">
        <v>5</v>
      </c>
      <c r="AD25" s="31">
        <v>5</v>
      </c>
      <c r="AE25" s="92">
        <f t="shared" si="2"/>
        <v>10</v>
      </c>
      <c r="AF25" s="93" t="str">
        <f t="shared" si="3"/>
        <v>DO</v>
      </c>
      <c r="AG25" s="208">
        <f t="shared" si="4"/>
        <v>84</v>
      </c>
      <c r="AH25" s="283" t="str">
        <f t="shared" si="5"/>
        <v>APROBADO</v>
      </c>
      <c r="AI25" s="284"/>
      <c r="AJ25" s="284"/>
      <c r="AK25" s="284"/>
      <c r="AL25" s="284"/>
      <c r="AM25" s="285"/>
      <c r="AN25" s="95"/>
      <c r="AO25" s="95"/>
      <c r="AP25" s="95"/>
      <c r="AQ25" s="95"/>
      <c r="AR25" s="95"/>
    </row>
    <row r="26" spans="1:44" ht="12" customHeight="1" x14ac:dyDescent="0.35">
      <c r="A26" s="59">
        <v>18</v>
      </c>
      <c r="B26" s="90" t="str">
        <f>'C. FILIACION'!B25</f>
        <v>ADRIAN FLORES EDDY BEYMAR</v>
      </c>
      <c r="C26" s="31">
        <v>2</v>
      </c>
      <c r="D26" s="31">
        <v>10</v>
      </c>
      <c r="E26" s="31">
        <v>9</v>
      </c>
      <c r="F26" s="31">
        <v>9</v>
      </c>
      <c r="G26" s="31">
        <v>9</v>
      </c>
      <c r="H26" s="31">
        <v>9</v>
      </c>
      <c r="I26" s="31"/>
      <c r="J26" s="31"/>
      <c r="K26" s="31"/>
      <c r="L26" s="31"/>
      <c r="M26" s="31"/>
      <c r="N26" s="31"/>
      <c r="O26" s="92">
        <f t="shared" si="0"/>
        <v>9</v>
      </c>
      <c r="P26" s="31">
        <v>8</v>
      </c>
      <c r="Q26" s="31">
        <v>8</v>
      </c>
      <c r="R26" s="31">
        <v>8</v>
      </c>
      <c r="S26" s="31">
        <v>10</v>
      </c>
      <c r="T26" s="31">
        <v>35</v>
      </c>
      <c r="U26" s="31"/>
      <c r="V26" s="31"/>
      <c r="W26" s="31"/>
      <c r="X26" s="31"/>
      <c r="Y26" s="31"/>
      <c r="Z26" s="31"/>
      <c r="AA26" s="91">
        <f t="shared" si="6"/>
        <v>3.2857142857142856</v>
      </c>
      <c r="AB26" s="92">
        <f t="shared" si="1"/>
        <v>14</v>
      </c>
      <c r="AC26" s="31">
        <v>1</v>
      </c>
      <c r="AD26" s="31">
        <v>1</v>
      </c>
      <c r="AE26" s="92">
        <f t="shared" si="2"/>
        <v>2</v>
      </c>
      <c r="AF26" s="93" t="str">
        <f t="shared" si="3"/>
        <v>ED</v>
      </c>
      <c r="AG26" s="208">
        <f t="shared" si="4"/>
        <v>30.285714285714285</v>
      </c>
      <c r="AH26" s="283" t="str">
        <f t="shared" si="5"/>
        <v>REPROBADO</v>
      </c>
      <c r="AI26" s="284"/>
      <c r="AJ26" s="284"/>
      <c r="AK26" s="284"/>
      <c r="AL26" s="284"/>
      <c r="AM26" s="285"/>
      <c r="AN26" s="95"/>
      <c r="AO26" s="95"/>
      <c r="AP26" s="95"/>
      <c r="AQ26" s="95"/>
      <c r="AR26" s="95"/>
    </row>
    <row r="27" spans="1:44" ht="12" customHeight="1" x14ac:dyDescent="0.35">
      <c r="A27" s="59">
        <v>19</v>
      </c>
      <c r="B27" s="204" t="str">
        <f>'C. FILIACION'!B26</f>
        <v xml:space="preserve">VENTURA CHOQUE DANELY </v>
      </c>
      <c r="C27" s="205">
        <v>10</v>
      </c>
      <c r="D27" s="205">
        <v>35</v>
      </c>
      <c r="E27" s="205">
        <v>35</v>
      </c>
      <c r="F27" s="205">
        <v>35</v>
      </c>
      <c r="G27" s="205">
        <v>0</v>
      </c>
      <c r="H27" s="205">
        <v>0</v>
      </c>
      <c r="I27" s="205"/>
      <c r="J27" s="205"/>
      <c r="K27" s="205"/>
      <c r="L27" s="205"/>
      <c r="M27" s="205"/>
      <c r="N27" s="205"/>
      <c r="O27" s="206">
        <f t="shared" si="0"/>
        <v>21</v>
      </c>
      <c r="P27" s="205">
        <v>35</v>
      </c>
      <c r="Q27" s="205">
        <v>35</v>
      </c>
      <c r="R27" s="205">
        <v>35</v>
      </c>
      <c r="S27" s="205">
        <v>0</v>
      </c>
      <c r="T27" s="205">
        <v>12</v>
      </c>
      <c r="U27" s="205"/>
      <c r="V27" s="205"/>
      <c r="W27" s="205"/>
      <c r="X27" s="205"/>
      <c r="Y27" s="205"/>
      <c r="Z27" s="205"/>
      <c r="AA27" s="205">
        <v>9</v>
      </c>
      <c r="AB27" s="206">
        <f t="shared" si="1"/>
        <v>23</v>
      </c>
      <c r="AC27" s="205">
        <v>4</v>
      </c>
      <c r="AD27" s="205">
        <v>4</v>
      </c>
      <c r="AE27" s="206">
        <f t="shared" si="2"/>
        <v>8</v>
      </c>
      <c r="AF27" s="207" t="str">
        <f t="shared" si="3"/>
        <v>DO</v>
      </c>
      <c r="AG27" s="211">
        <f t="shared" si="4"/>
        <v>71</v>
      </c>
      <c r="AH27" s="286" t="str">
        <f t="shared" si="5"/>
        <v>APROBADO</v>
      </c>
      <c r="AI27" s="287"/>
      <c r="AJ27" s="287"/>
      <c r="AK27" s="287"/>
      <c r="AL27" s="287"/>
      <c r="AM27" s="288"/>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83" t="str">
        <f t="shared" si="5"/>
        <v>APROBADO</v>
      </c>
      <c r="AI28" s="284"/>
      <c r="AJ28" s="284"/>
      <c r="AK28" s="284"/>
      <c r="AL28" s="284"/>
      <c r="AM28" s="285"/>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83" t="str">
        <f t="shared" si="5"/>
        <v>APROBADO</v>
      </c>
      <c r="AI29" s="284"/>
      <c r="AJ29" s="284"/>
      <c r="AK29" s="284"/>
      <c r="AL29" s="284"/>
      <c r="AM29" s="285"/>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83" t="str">
        <f t="shared" si="5"/>
        <v>APROBADO</v>
      </c>
      <c r="AI30" s="284"/>
      <c r="AJ30" s="284"/>
      <c r="AK30" s="284"/>
      <c r="AL30" s="284"/>
      <c r="AM30" s="285"/>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83" t="str">
        <f t="shared" si="5"/>
        <v>APROBADO</v>
      </c>
      <c r="AI31" s="284"/>
      <c r="AJ31" s="284"/>
      <c r="AK31" s="284"/>
      <c r="AL31" s="284"/>
      <c r="AM31" s="285"/>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83" t="str">
        <f t="shared" si="5"/>
        <v>APROBADO</v>
      </c>
      <c r="AI32" s="284"/>
      <c r="AJ32" s="284"/>
      <c r="AK32" s="284"/>
      <c r="AL32" s="284"/>
      <c r="AM32" s="285"/>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83" t="str">
        <f t="shared" si="5"/>
        <v>APROBADO</v>
      </c>
      <c r="AI33" s="284"/>
      <c r="AJ33" s="284"/>
      <c r="AK33" s="284"/>
      <c r="AL33" s="284"/>
      <c r="AM33" s="285"/>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83" t="str">
        <f t="shared" si="5"/>
        <v>APROBADO</v>
      </c>
      <c r="AI34" s="284"/>
      <c r="AJ34" s="284"/>
      <c r="AK34" s="284"/>
      <c r="AL34" s="284"/>
      <c r="AM34" s="285"/>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83" t="str">
        <f t="shared" si="5"/>
        <v>APROBADO</v>
      </c>
      <c r="AI35" s="284"/>
      <c r="AJ35" s="284"/>
      <c r="AK35" s="284"/>
      <c r="AL35" s="284"/>
      <c r="AM35" s="285"/>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83" t="str">
        <f t="shared" si="5"/>
        <v>APROBADO</v>
      </c>
      <c r="AI36" s="284"/>
      <c r="AJ36" s="284"/>
      <c r="AK36" s="284"/>
      <c r="AL36" s="284"/>
      <c r="AM36" s="285"/>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83" t="str">
        <f t="shared" si="5"/>
        <v>APROBADO</v>
      </c>
      <c r="AI37" s="284"/>
      <c r="AJ37" s="284"/>
      <c r="AK37" s="284"/>
      <c r="AL37" s="284"/>
      <c r="AM37" s="285"/>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83" t="str">
        <f t="shared" si="5"/>
        <v>APROBADO</v>
      </c>
      <c r="AI38" s="284"/>
      <c r="AJ38" s="284"/>
      <c r="AK38" s="284"/>
      <c r="AL38" s="284"/>
      <c r="AM38" s="285"/>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83" t="str">
        <f t="shared" si="5"/>
        <v>APROBADO</v>
      </c>
      <c r="AI39" s="284"/>
      <c r="AJ39" s="284"/>
      <c r="AK39" s="284"/>
      <c r="AL39" s="284"/>
      <c r="AM39" s="285"/>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83" t="str">
        <f t="shared" si="5"/>
        <v>APROBADO</v>
      </c>
      <c r="AI40" s="284"/>
      <c r="AJ40" s="284"/>
      <c r="AK40" s="284"/>
      <c r="AL40" s="284"/>
      <c r="AM40" s="285"/>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83" t="str">
        <f t="shared" si="5"/>
        <v>APROBADO</v>
      </c>
      <c r="AI41" s="284"/>
      <c r="AJ41" s="284"/>
      <c r="AK41" s="284"/>
      <c r="AL41" s="284"/>
      <c r="AM41" s="285"/>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83" t="str">
        <f t="shared" si="5"/>
        <v>APROBADO</v>
      </c>
      <c r="AI42" s="284"/>
      <c r="AJ42" s="284"/>
      <c r="AK42" s="284"/>
      <c r="AL42" s="284"/>
      <c r="AM42" s="285"/>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83" t="str">
        <f t="shared" si="5"/>
        <v>APROBADO</v>
      </c>
      <c r="AI43" s="284"/>
      <c r="AJ43" s="284"/>
      <c r="AK43" s="284"/>
      <c r="AL43" s="284"/>
      <c r="AM43" s="285"/>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83" t="str">
        <f t="shared" si="5"/>
        <v>APROBADO</v>
      </c>
      <c r="AI44" s="284"/>
      <c r="AJ44" s="284"/>
      <c r="AK44" s="284"/>
      <c r="AL44" s="284"/>
      <c r="AM44" s="285"/>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pageSetUpPr fitToPage="1"/>
  </sheetPr>
  <dimension ref="A1:AV1000"/>
  <sheetViews>
    <sheetView topLeftCell="A7" workbookViewId="0">
      <selection activeCell="H24" sqref="H24"/>
    </sheetView>
  </sheetViews>
  <sheetFormatPr baseColWidth="10" defaultColWidth="9.13281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91" t="s">
        <v>101</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5"/>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89" t="s">
        <v>50</v>
      </c>
      <c r="AD3" s="284"/>
      <c r="AE3" s="284"/>
      <c r="AF3" s="284"/>
      <c r="AG3" s="284"/>
      <c r="AH3" s="285"/>
      <c r="AI3" s="251">
        <f>CARÁTULA!$H$19</f>
        <v>44326</v>
      </c>
      <c r="AJ3" s="233"/>
      <c r="AK3" s="233"/>
      <c r="AL3" s="233"/>
      <c r="AM3" s="233"/>
      <c r="AN3" s="292" t="s">
        <v>51</v>
      </c>
      <c r="AO3" s="224"/>
      <c r="AP3" s="224"/>
      <c r="AQ3" s="224"/>
      <c r="AR3" s="225"/>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t="str">
        <f>CARÁTULA!$C$19</f>
        <v>JOSÉ COAQUIRA COPA</v>
      </c>
      <c r="T4" s="76"/>
      <c r="U4" s="76"/>
      <c r="V4" s="76"/>
      <c r="W4" s="76"/>
      <c r="X4" s="76"/>
      <c r="Y4" s="76"/>
      <c r="Z4" s="76"/>
      <c r="AA4" s="76"/>
      <c r="AB4" s="76"/>
      <c r="AC4" s="289" t="s">
        <v>53</v>
      </c>
      <c r="AD4" s="284"/>
      <c r="AE4" s="284"/>
      <c r="AF4" s="284"/>
      <c r="AG4" s="284"/>
      <c r="AH4" s="285"/>
      <c r="AI4" s="251">
        <f>CARÁTULA!$J$19</f>
        <v>44439</v>
      </c>
      <c r="AJ4" s="233"/>
      <c r="AK4" s="233"/>
      <c r="AL4" s="233"/>
      <c r="AM4" s="233"/>
      <c r="AN4" s="282">
        <f ca="1">AI4-AI5</f>
        <v>-104</v>
      </c>
      <c r="AO4" s="243"/>
      <c r="AP4" s="243"/>
      <c r="AQ4" s="243"/>
      <c r="AR4" s="244"/>
    </row>
    <row r="5" spans="1:48" ht="12.75" customHeight="1" x14ac:dyDescent="0.4">
      <c r="A5" s="71"/>
      <c r="B5" s="74" t="s">
        <v>22</v>
      </c>
      <c r="C5" s="75" t="str">
        <f>CARÁTULA!$C$23</f>
        <v>6to de Secundaria</v>
      </c>
      <c r="D5" s="76"/>
      <c r="E5" s="76"/>
      <c r="F5" s="76"/>
      <c r="G5" s="74"/>
      <c r="H5" s="74"/>
      <c r="I5" s="74"/>
      <c r="J5" s="74"/>
      <c r="K5" s="74"/>
      <c r="L5" s="74"/>
      <c r="M5" s="74"/>
      <c r="N5" s="74"/>
      <c r="O5" s="74" t="s">
        <v>23</v>
      </c>
      <c r="P5" s="79"/>
      <c r="Q5" s="79"/>
      <c r="R5" s="79"/>
      <c r="S5" s="297">
        <f ca="1">TODAY()</f>
        <v>44543</v>
      </c>
      <c r="T5" s="224"/>
      <c r="U5" s="224"/>
      <c r="V5" s="224"/>
      <c r="W5" s="224"/>
      <c r="X5" s="224"/>
      <c r="Y5" s="224"/>
      <c r="Z5" s="224"/>
      <c r="AA5" s="225"/>
      <c r="AB5" s="76"/>
      <c r="AC5" s="290" t="s">
        <v>54</v>
      </c>
      <c r="AD5" s="284"/>
      <c r="AE5" s="284"/>
      <c r="AF5" s="284"/>
      <c r="AG5" s="284"/>
      <c r="AH5" s="285"/>
      <c r="AI5" s="293">
        <f ca="1">TODAY()</f>
        <v>44543</v>
      </c>
      <c r="AJ5" s="233"/>
      <c r="AK5" s="233"/>
      <c r="AL5" s="233"/>
      <c r="AM5" s="233"/>
      <c r="AN5" s="245"/>
      <c r="AO5" s="246"/>
      <c r="AP5" s="246"/>
      <c r="AQ5" s="246"/>
      <c r="AR5" s="247"/>
    </row>
    <row r="6" spans="1:48" ht="12.75" customHeight="1" x14ac:dyDescent="0.4">
      <c r="A6" s="71"/>
      <c r="B6" s="74"/>
      <c r="C6" s="239" t="s">
        <v>75</v>
      </c>
      <c r="D6" s="240"/>
      <c r="E6" s="240"/>
      <c r="F6" s="240"/>
      <c r="G6" s="240"/>
      <c r="H6" s="240"/>
      <c r="I6" s="240"/>
      <c r="J6" s="240"/>
      <c r="K6" s="240"/>
      <c r="L6" s="240"/>
      <c r="M6" s="240"/>
      <c r="N6" s="240"/>
      <c r="O6" s="240"/>
      <c r="P6" s="240"/>
      <c r="Q6" s="240"/>
      <c r="R6" s="240"/>
      <c r="S6" s="240"/>
      <c r="T6" s="240"/>
      <c r="U6" s="240"/>
      <c r="V6" s="240"/>
      <c r="W6" s="240"/>
      <c r="X6" s="240"/>
      <c r="Y6" s="240"/>
      <c r="Z6" s="240"/>
      <c r="AA6" s="241"/>
      <c r="AB6" s="298" t="s">
        <v>76</v>
      </c>
      <c r="AC6" s="284"/>
      <c r="AD6" s="284"/>
      <c r="AE6" s="285"/>
      <c r="AF6" s="80"/>
      <c r="AG6" s="81"/>
      <c r="AH6" s="81"/>
      <c r="AI6" s="82"/>
      <c r="AJ6" s="83"/>
      <c r="AK6" s="83"/>
      <c r="AL6" s="83"/>
      <c r="AM6" s="83"/>
      <c r="AN6" s="84"/>
      <c r="AO6" s="84"/>
      <c r="AP6" s="84"/>
      <c r="AQ6" s="84"/>
      <c r="AR6" s="84"/>
    </row>
    <row r="7" spans="1:48" ht="12" customHeight="1" x14ac:dyDescent="0.4">
      <c r="A7" s="71"/>
      <c r="B7" s="85"/>
      <c r="C7" s="299" t="s">
        <v>77</v>
      </c>
      <c r="D7" s="300" t="s">
        <v>78</v>
      </c>
      <c r="E7" s="284"/>
      <c r="F7" s="284"/>
      <c r="G7" s="284"/>
      <c r="H7" s="284"/>
      <c r="I7" s="284"/>
      <c r="J7" s="284"/>
      <c r="K7" s="284"/>
      <c r="L7" s="284"/>
      <c r="M7" s="284"/>
      <c r="N7" s="284"/>
      <c r="O7" s="296" t="s">
        <v>79</v>
      </c>
      <c r="P7" s="300" t="s">
        <v>80</v>
      </c>
      <c r="Q7" s="284"/>
      <c r="R7" s="284"/>
      <c r="S7" s="284"/>
      <c r="T7" s="284"/>
      <c r="U7" s="284"/>
      <c r="V7" s="284"/>
      <c r="W7" s="284"/>
      <c r="X7" s="284"/>
      <c r="Y7" s="284"/>
      <c r="Z7" s="284"/>
      <c r="AA7" s="294" t="s">
        <v>81</v>
      </c>
      <c r="AB7" s="296" t="s">
        <v>79</v>
      </c>
      <c r="AC7" s="294" t="s">
        <v>82</v>
      </c>
      <c r="AD7" s="294" t="s">
        <v>83</v>
      </c>
      <c r="AE7" s="296" t="s">
        <v>79</v>
      </c>
      <c r="AF7" s="301" t="s">
        <v>84</v>
      </c>
      <c r="AG7" s="302" t="s">
        <v>85</v>
      </c>
      <c r="AH7" s="303" t="s">
        <v>86</v>
      </c>
      <c r="AI7" s="240"/>
      <c r="AJ7" s="240"/>
      <c r="AK7" s="240"/>
      <c r="AL7" s="240"/>
      <c r="AM7" s="241"/>
      <c r="AN7" s="86"/>
      <c r="AO7" s="76"/>
      <c r="AP7" s="76"/>
      <c r="AQ7" s="76"/>
      <c r="AR7" s="71"/>
    </row>
    <row r="8" spans="1:48" ht="136.94999999999999" customHeight="1" x14ac:dyDescent="0.35">
      <c r="A8" s="48" t="s">
        <v>55</v>
      </c>
      <c r="B8" s="49" t="s">
        <v>56</v>
      </c>
      <c r="C8" s="295"/>
      <c r="D8" s="50" t="s">
        <v>238</v>
      </c>
      <c r="E8" s="50" t="s">
        <v>184</v>
      </c>
      <c r="F8" s="54" t="s">
        <v>183</v>
      </c>
      <c r="G8" s="50" t="s">
        <v>248</v>
      </c>
      <c r="H8" s="54" t="s">
        <v>252</v>
      </c>
      <c r="I8" s="54"/>
      <c r="J8" s="54"/>
      <c r="K8" s="54"/>
      <c r="L8" s="54"/>
      <c r="M8" s="54"/>
      <c r="N8" s="55"/>
      <c r="O8" s="295"/>
      <c r="P8" s="96" t="s">
        <v>236</v>
      </c>
      <c r="Q8" s="54" t="s">
        <v>241</v>
      </c>
      <c r="R8" s="50" t="s">
        <v>243</v>
      </c>
      <c r="S8" s="54" t="s">
        <v>245</v>
      </c>
      <c r="T8" s="54"/>
      <c r="U8" s="54"/>
      <c r="V8" s="54"/>
      <c r="W8" s="54"/>
      <c r="X8" s="54"/>
      <c r="Y8" s="54"/>
      <c r="Z8" s="54"/>
      <c r="AA8" s="295"/>
      <c r="AB8" s="295"/>
      <c r="AC8" s="295"/>
      <c r="AD8" s="295"/>
      <c r="AE8" s="295"/>
      <c r="AF8" s="295"/>
      <c r="AG8" s="295"/>
      <c r="AH8" s="304"/>
      <c r="AI8" s="305"/>
      <c r="AJ8" s="305"/>
      <c r="AK8" s="305"/>
      <c r="AL8" s="305"/>
      <c r="AM8" s="306"/>
      <c r="AN8" s="88"/>
      <c r="AO8" s="88"/>
      <c r="AP8" s="88"/>
      <c r="AQ8" s="88"/>
      <c r="AR8" s="89"/>
    </row>
    <row r="9" spans="1:48" ht="12" customHeight="1" x14ac:dyDescent="0.35">
      <c r="A9" s="59">
        <v>1</v>
      </c>
      <c r="B9" s="90" t="str">
        <f>'C. FILIACION'!B8</f>
        <v>ALTAMIRANO RAMOS ESTEFANI MILENKA</v>
      </c>
      <c r="C9" s="31">
        <v>10</v>
      </c>
      <c r="D9" s="61">
        <v>32</v>
      </c>
      <c r="E9" s="61">
        <v>33</v>
      </c>
      <c r="F9" s="61">
        <v>32</v>
      </c>
      <c r="G9" s="61">
        <v>24</v>
      </c>
      <c r="H9" s="61">
        <v>32</v>
      </c>
      <c r="I9" s="31"/>
      <c r="J9" s="31"/>
      <c r="K9" s="31"/>
      <c r="L9" s="31"/>
      <c r="M9" s="31"/>
      <c r="N9" s="31"/>
      <c r="O9" s="92">
        <f t="shared" ref="O9:O44" si="0">IFERROR(ROUND(AVERAGE(D9:N9),0),"")</f>
        <v>31</v>
      </c>
      <c r="P9" s="31">
        <v>28</v>
      </c>
      <c r="Q9" s="31">
        <v>35</v>
      </c>
      <c r="R9" s="31">
        <v>32</v>
      </c>
      <c r="S9" s="31">
        <v>30</v>
      </c>
      <c r="T9" s="31"/>
      <c r="U9" s="31"/>
      <c r="V9" s="31"/>
      <c r="W9" s="31"/>
      <c r="X9" s="31"/>
      <c r="Y9" s="31"/>
      <c r="Z9" s="31"/>
      <c r="AA9" s="31">
        <v>10</v>
      </c>
      <c r="AB9" s="92">
        <f t="shared" ref="AB9:AB44" si="1">IFERROR(ROUND(AVERAGE(P9:Z9),0),"")</f>
        <v>31</v>
      </c>
      <c r="AC9" s="31">
        <v>3</v>
      </c>
      <c r="AD9" s="31">
        <v>4</v>
      </c>
      <c r="AE9" s="92">
        <f t="shared" ref="AE9:AE44" si="2">IFERROR((SUM(AC9,AD9)),"")</f>
        <v>7</v>
      </c>
      <c r="AF9" s="93" t="str">
        <f t="shared" ref="AF9:AF44" si="3">IF(AG9&lt;51,"ED",IF(AG9&lt;67,"DA",IF(AG9&lt;85,"DO","DP")))</f>
        <v>DP</v>
      </c>
      <c r="AG9" s="92">
        <f t="shared" ref="AG9:AG44" si="4">IFERROR((SUM(C9,O9,AA9,AB9,AE9)),"")</f>
        <v>89</v>
      </c>
      <c r="AH9" s="283" t="str">
        <f t="shared" ref="AH9:AH44" si="5">IF(AG9="","",(IF(AND(AG9&gt;=1,AG9&lt;=50.499),"REPROBADO",IF(AND(AG9&gt;=50.5,AG9&lt;=100),"APROBADO"))))</f>
        <v>APROBADO</v>
      </c>
      <c r="AI9" s="284"/>
      <c r="AJ9" s="284"/>
      <c r="AK9" s="284"/>
      <c r="AL9" s="284"/>
      <c r="AM9" s="285"/>
      <c r="AN9" s="94" t="s">
        <v>97</v>
      </c>
      <c r="AO9" s="307">
        <f>COUNTIF(AF9:AF44,"ED")</f>
        <v>3</v>
      </c>
      <c r="AP9" s="285"/>
      <c r="AQ9" s="95"/>
      <c r="AR9" s="95"/>
    </row>
    <row r="10" spans="1:48" ht="12" customHeight="1" x14ac:dyDescent="0.35">
      <c r="A10" s="59">
        <v>2</v>
      </c>
      <c r="B10" s="90" t="str">
        <f>'C. FILIACION'!B9</f>
        <v>APAZA LINO TATIANA JAZMIN</v>
      </c>
      <c r="C10" s="31">
        <v>10</v>
      </c>
      <c r="D10" s="61">
        <v>35</v>
      </c>
      <c r="E10" s="61">
        <v>34</v>
      </c>
      <c r="F10" s="61">
        <v>35</v>
      </c>
      <c r="G10" s="61">
        <v>30</v>
      </c>
      <c r="H10" s="61">
        <v>32</v>
      </c>
      <c r="I10" s="31"/>
      <c r="J10" s="31"/>
      <c r="K10" s="31"/>
      <c r="L10" s="31"/>
      <c r="M10" s="31"/>
      <c r="N10" s="31"/>
      <c r="O10" s="92">
        <f t="shared" si="0"/>
        <v>33</v>
      </c>
      <c r="P10" s="31">
        <v>27</v>
      </c>
      <c r="Q10" s="31">
        <v>32</v>
      </c>
      <c r="R10" s="31">
        <v>30</v>
      </c>
      <c r="S10" s="31">
        <v>30</v>
      </c>
      <c r="T10" s="31"/>
      <c r="U10" s="31"/>
      <c r="V10" s="31"/>
      <c r="W10" s="31"/>
      <c r="X10" s="31"/>
      <c r="Y10" s="31"/>
      <c r="Z10" s="31"/>
      <c r="AA10" s="31">
        <v>10</v>
      </c>
      <c r="AB10" s="92">
        <f t="shared" si="1"/>
        <v>30</v>
      </c>
      <c r="AC10" s="31">
        <v>5</v>
      </c>
      <c r="AD10" s="31">
        <v>5</v>
      </c>
      <c r="AE10" s="92">
        <f t="shared" si="2"/>
        <v>10</v>
      </c>
      <c r="AF10" s="93" t="str">
        <f t="shared" si="3"/>
        <v>DP</v>
      </c>
      <c r="AG10" s="92">
        <f t="shared" si="4"/>
        <v>93</v>
      </c>
      <c r="AH10" s="283" t="str">
        <f t="shared" si="5"/>
        <v>APROBADO</v>
      </c>
      <c r="AI10" s="284"/>
      <c r="AJ10" s="284"/>
      <c r="AK10" s="284"/>
      <c r="AL10" s="284"/>
      <c r="AM10" s="285"/>
      <c r="AN10" s="48" t="s">
        <v>98</v>
      </c>
      <c r="AO10" s="307">
        <f>COUNTIF(AF9:AF44,"DA")</f>
        <v>6</v>
      </c>
      <c r="AP10" s="285"/>
      <c r="AQ10" s="95"/>
      <c r="AR10" s="95"/>
    </row>
    <row r="11" spans="1:48" ht="12" customHeight="1" x14ac:dyDescent="0.35">
      <c r="A11" s="59">
        <v>3</v>
      </c>
      <c r="B11" s="90" t="str">
        <f>'C. FILIACION'!B10</f>
        <v>BOLAÑOS OVANDO MIJHAIL ALEXANDER</v>
      </c>
      <c r="C11" s="31">
        <v>7.6923076923076925</v>
      </c>
      <c r="D11" s="61">
        <v>0</v>
      </c>
      <c r="E11" s="61">
        <v>18</v>
      </c>
      <c r="F11" s="61">
        <v>0</v>
      </c>
      <c r="G11" s="61">
        <v>0</v>
      </c>
      <c r="H11" s="61">
        <v>24</v>
      </c>
      <c r="I11" s="31"/>
      <c r="J11" s="31"/>
      <c r="K11" s="31"/>
      <c r="L11" s="31"/>
      <c r="M11" s="31"/>
      <c r="N11" s="31"/>
      <c r="O11" s="92">
        <f t="shared" si="0"/>
        <v>8</v>
      </c>
      <c r="P11" s="31">
        <v>0</v>
      </c>
      <c r="Q11" s="31">
        <v>34</v>
      </c>
      <c r="R11" s="31">
        <v>0</v>
      </c>
      <c r="S11" s="31">
        <v>0</v>
      </c>
      <c r="T11" s="31"/>
      <c r="U11" s="31"/>
      <c r="V11" s="31"/>
      <c r="W11" s="31"/>
      <c r="X11" s="31"/>
      <c r="Y11" s="31"/>
      <c r="Z11" s="31"/>
      <c r="AA11" s="31">
        <v>3</v>
      </c>
      <c r="AB11" s="92">
        <f t="shared" si="1"/>
        <v>9</v>
      </c>
      <c r="AC11" s="31">
        <v>5</v>
      </c>
      <c r="AD11" s="31">
        <v>5</v>
      </c>
      <c r="AE11" s="92">
        <f t="shared" si="2"/>
        <v>10</v>
      </c>
      <c r="AF11" s="93" t="str">
        <f t="shared" si="3"/>
        <v>ED</v>
      </c>
      <c r="AG11" s="92">
        <f t="shared" si="4"/>
        <v>37.692307692307693</v>
      </c>
      <c r="AH11" s="283" t="str">
        <f t="shared" si="5"/>
        <v>REPROBADO</v>
      </c>
      <c r="AI11" s="284"/>
      <c r="AJ11" s="284"/>
      <c r="AK11" s="284"/>
      <c r="AL11" s="284"/>
      <c r="AM11" s="285"/>
      <c r="AN11" s="48" t="s">
        <v>99</v>
      </c>
      <c r="AO11" s="307">
        <f>COUNTIF(AF9:AF44,"DO")</f>
        <v>7</v>
      </c>
      <c r="AP11" s="285"/>
      <c r="AQ11" s="95"/>
      <c r="AR11" s="95"/>
      <c r="AS11" t="s">
        <v>253</v>
      </c>
    </row>
    <row r="12" spans="1:48" ht="12" customHeight="1" x14ac:dyDescent="0.35">
      <c r="A12" s="59">
        <v>4</v>
      </c>
      <c r="B12" s="194" t="str">
        <f>'C. FILIACION'!B11</f>
        <v>BRICHER ETHELBERT ISMAEL</v>
      </c>
      <c r="C12" s="195">
        <v>1.5384615384615385</v>
      </c>
      <c r="D12" s="189">
        <v>0</v>
      </c>
      <c r="E12" s="189">
        <v>0</v>
      </c>
      <c r="F12" s="189">
        <v>0</v>
      </c>
      <c r="G12" s="189">
        <v>0</v>
      </c>
      <c r="H12" s="189"/>
      <c r="I12" s="195"/>
      <c r="J12" s="195"/>
      <c r="K12" s="195"/>
      <c r="L12" s="195"/>
      <c r="M12" s="195"/>
      <c r="N12" s="195"/>
      <c r="O12" s="196">
        <f t="shared" si="0"/>
        <v>0</v>
      </c>
      <c r="P12" s="195">
        <v>0</v>
      </c>
      <c r="Q12" s="195">
        <v>0</v>
      </c>
      <c r="R12" s="195">
        <v>0</v>
      </c>
      <c r="S12" s="195">
        <v>0</v>
      </c>
      <c r="T12" s="195"/>
      <c r="U12" s="195"/>
      <c r="V12" s="195"/>
      <c r="W12" s="195"/>
      <c r="X12" s="195"/>
      <c r="Y12" s="195"/>
      <c r="Z12" s="195"/>
      <c r="AA12" s="195">
        <v>10</v>
      </c>
      <c r="AB12" s="196">
        <f t="shared" si="1"/>
        <v>0</v>
      </c>
      <c r="AC12" s="195">
        <v>5</v>
      </c>
      <c r="AD12" s="195">
        <v>5</v>
      </c>
      <c r="AE12" s="196">
        <f t="shared" si="2"/>
        <v>10</v>
      </c>
      <c r="AF12" s="197" t="str">
        <f t="shared" si="3"/>
        <v>ED</v>
      </c>
      <c r="AG12" s="196">
        <f t="shared" si="4"/>
        <v>21.53846153846154</v>
      </c>
      <c r="AH12" s="311" t="str">
        <f t="shared" si="5"/>
        <v>REPROBADO</v>
      </c>
      <c r="AI12" s="312"/>
      <c r="AJ12" s="312"/>
      <c r="AK12" s="312"/>
      <c r="AL12" s="312"/>
      <c r="AM12" s="313"/>
      <c r="AN12" s="185" t="s">
        <v>100</v>
      </c>
      <c r="AO12" s="307">
        <f>COUNTIF(AF9:AF44,"DP")</f>
        <v>20</v>
      </c>
      <c r="AP12" s="285"/>
      <c r="AQ12" s="95"/>
      <c r="AR12" s="95"/>
    </row>
    <row r="13" spans="1:48" ht="12" customHeight="1" x14ac:dyDescent="0.35">
      <c r="A13" s="59">
        <v>5</v>
      </c>
      <c r="B13" s="90" t="str">
        <f>'C. FILIACION'!B12</f>
        <v>CANAVIRI QUISBERT ALEJANDRA ELENA</v>
      </c>
      <c r="C13" s="31">
        <v>6.1538461538461542</v>
      </c>
      <c r="D13" s="61">
        <v>32</v>
      </c>
      <c r="E13" s="61">
        <v>10</v>
      </c>
      <c r="F13" s="61">
        <v>30</v>
      </c>
      <c r="G13" s="61">
        <v>18</v>
      </c>
      <c r="H13" s="61">
        <v>27</v>
      </c>
      <c r="I13" s="31"/>
      <c r="J13" s="31"/>
      <c r="K13" s="31"/>
      <c r="L13" s="31"/>
      <c r="M13" s="31"/>
      <c r="N13" s="31"/>
      <c r="O13" s="92">
        <f t="shared" si="0"/>
        <v>23</v>
      </c>
      <c r="P13" s="31">
        <v>28</v>
      </c>
      <c r="Q13" s="31">
        <v>33</v>
      </c>
      <c r="R13" s="31">
        <v>30</v>
      </c>
      <c r="S13" s="31">
        <v>18</v>
      </c>
      <c r="T13" s="31"/>
      <c r="U13" s="31"/>
      <c r="V13" s="31"/>
      <c r="W13" s="31"/>
      <c r="X13" s="31"/>
      <c r="Y13" s="31"/>
      <c r="Z13" s="31"/>
      <c r="AA13" s="31">
        <v>8</v>
      </c>
      <c r="AB13" s="92">
        <f t="shared" si="1"/>
        <v>27</v>
      </c>
      <c r="AC13" s="31">
        <v>3</v>
      </c>
      <c r="AD13" s="31">
        <v>5</v>
      </c>
      <c r="AE13" s="92">
        <f t="shared" si="2"/>
        <v>8</v>
      </c>
      <c r="AF13" s="93" t="str">
        <f t="shared" si="3"/>
        <v>DO</v>
      </c>
      <c r="AG13" s="92">
        <f t="shared" si="4"/>
        <v>72.15384615384616</v>
      </c>
      <c r="AH13" s="283" t="str">
        <f t="shared" si="5"/>
        <v>APROBADO</v>
      </c>
      <c r="AI13" s="284"/>
      <c r="AJ13" s="284"/>
      <c r="AK13" s="284"/>
      <c r="AL13" s="284"/>
      <c r="AM13" s="285"/>
      <c r="AN13" s="95"/>
      <c r="AO13" s="95"/>
      <c r="AP13" s="95"/>
      <c r="AQ13" s="95"/>
      <c r="AR13" s="95"/>
    </row>
    <row r="14" spans="1:48" ht="12" customHeight="1" x14ac:dyDescent="0.35">
      <c r="A14" s="59">
        <v>6</v>
      </c>
      <c r="B14" s="90" t="str">
        <f>'C. FILIACION'!B13</f>
        <v>GOMEZ BELTRAN ALBERT NORMAN</v>
      </c>
      <c r="C14" s="31">
        <v>10</v>
      </c>
      <c r="D14" s="61">
        <v>15</v>
      </c>
      <c r="E14" s="61">
        <v>35</v>
      </c>
      <c r="F14" s="61">
        <v>32</v>
      </c>
      <c r="G14" s="61">
        <v>18</v>
      </c>
      <c r="H14" s="61">
        <v>32</v>
      </c>
      <c r="I14" s="31"/>
      <c r="J14" s="31"/>
      <c r="K14" s="31"/>
      <c r="L14" s="31"/>
      <c r="M14" s="31"/>
      <c r="N14" s="31"/>
      <c r="O14" s="92">
        <f t="shared" si="0"/>
        <v>26</v>
      </c>
      <c r="P14" s="31">
        <v>30</v>
      </c>
      <c r="Q14" s="31">
        <v>32</v>
      </c>
      <c r="R14" s="31">
        <v>32</v>
      </c>
      <c r="S14" s="31">
        <v>18</v>
      </c>
      <c r="T14" s="31"/>
      <c r="U14" s="31"/>
      <c r="V14" s="31"/>
      <c r="W14" s="31"/>
      <c r="X14" s="31"/>
      <c r="Y14" s="31"/>
      <c r="Z14" s="31"/>
      <c r="AA14" s="31">
        <v>8</v>
      </c>
      <c r="AB14" s="92">
        <f t="shared" si="1"/>
        <v>28</v>
      </c>
      <c r="AC14" s="31">
        <v>4</v>
      </c>
      <c r="AD14" s="31">
        <v>4</v>
      </c>
      <c r="AE14" s="92">
        <f t="shared" si="2"/>
        <v>8</v>
      </c>
      <c r="AF14" s="93" t="str">
        <f t="shared" si="3"/>
        <v>DO</v>
      </c>
      <c r="AG14" s="92">
        <f t="shared" si="4"/>
        <v>80</v>
      </c>
      <c r="AH14" s="283" t="str">
        <f t="shared" si="5"/>
        <v>APROBADO</v>
      </c>
      <c r="AI14" s="284"/>
      <c r="AJ14" s="284"/>
      <c r="AK14" s="284"/>
      <c r="AL14" s="284"/>
      <c r="AM14" s="285"/>
      <c r="AN14" s="95"/>
      <c r="AO14" s="95"/>
      <c r="AP14" s="95"/>
      <c r="AQ14" s="95"/>
      <c r="AR14" s="95"/>
    </row>
    <row r="15" spans="1:48" ht="12" customHeight="1" x14ac:dyDescent="0.35">
      <c r="A15" s="59">
        <v>7</v>
      </c>
      <c r="B15" s="183" t="str">
        <f>'C. FILIACION'!B14</f>
        <v>GOMEZ COSME MELANY KARINA</v>
      </c>
      <c r="C15" s="184">
        <v>6.1538461538461542</v>
      </c>
      <c r="D15" s="185">
        <v>18</v>
      </c>
      <c r="E15" s="185">
        <v>18</v>
      </c>
      <c r="F15" s="185">
        <v>18</v>
      </c>
      <c r="G15" s="61">
        <v>18</v>
      </c>
      <c r="H15" s="185">
        <v>10</v>
      </c>
      <c r="I15" s="184"/>
      <c r="J15" s="184"/>
      <c r="K15" s="184"/>
      <c r="L15" s="184"/>
      <c r="M15" s="184"/>
      <c r="N15" s="184"/>
      <c r="O15" s="186">
        <f t="shared" si="0"/>
        <v>16</v>
      </c>
      <c r="P15" s="184">
        <v>0</v>
      </c>
      <c r="Q15" s="184">
        <v>10</v>
      </c>
      <c r="R15" s="184">
        <v>18</v>
      </c>
      <c r="S15" s="184">
        <v>15</v>
      </c>
      <c r="T15" s="184"/>
      <c r="U15" s="184"/>
      <c r="V15" s="184"/>
      <c r="W15" s="184"/>
      <c r="X15" s="184"/>
      <c r="Y15" s="184"/>
      <c r="Z15" s="184"/>
      <c r="AA15" s="184">
        <v>10</v>
      </c>
      <c r="AB15" s="186">
        <f t="shared" si="1"/>
        <v>11</v>
      </c>
      <c r="AC15" s="184">
        <v>5</v>
      </c>
      <c r="AD15" s="184">
        <v>5</v>
      </c>
      <c r="AE15" s="186">
        <f t="shared" si="2"/>
        <v>10</v>
      </c>
      <c r="AF15" s="187" t="str">
        <f t="shared" si="3"/>
        <v>DA</v>
      </c>
      <c r="AG15" s="186">
        <f t="shared" si="4"/>
        <v>53.153846153846153</v>
      </c>
      <c r="AH15" s="308" t="str">
        <f t="shared" si="5"/>
        <v>APROBADO</v>
      </c>
      <c r="AI15" s="309"/>
      <c r="AJ15" s="309"/>
      <c r="AK15" s="309"/>
      <c r="AL15" s="309"/>
      <c r="AM15" s="310"/>
      <c r="AN15" s="95"/>
      <c r="AO15" s="95"/>
      <c r="AP15" s="95"/>
      <c r="AQ15" s="95"/>
      <c r="AR15" s="95"/>
    </row>
    <row r="16" spans="1:48" ht="12" customHeight="1" x14ac:dyDescent="0.35">
      <c r="A16" s="59">
        <v>8</v>
      </c>
      <c r="B16" s="90" t="str">
        <f>'C. FILIACION'!B15</f>
        <v>GONZALES ZUAZO KALEB RAMSES</v>
      </c>
      <c r="C16" s="31">
        <v>10</v>
      </c>
      <c r="D16" s="61">
        <v>21</v>
      </c>
      <c r="E16" s="61">
        <v>33</v>
      </c>
      <c r="F16" s="61">
        <v>30</v>
      </c>
      <c r="G16" s="61">
        <v>0</v>
      </c>
      <c r="H16" s="61">
        <v>20</v>
      </c>
      <c r="I16" s="31"/>
      <c r="J16" s="31"/>
      <c r="K16" s="31"/>
      <c r="L16" s="31"/>
      <c r="M16" s="31"/>
      <c r="N16" s="31"/>
      <c r="O16" s="92">
        <f t="shared" si="0"/>
        <v>21</v>
      </c>
      <c r="P16" s="31">
        <v>0</v>
      </c>
      <c r="Q16" s="31">
        <v>30</v>
      </c>
      <c r="R16" s="31">
        <v>30</v>
      </c>
      <c r="S16" s="31">
        <v>0</v>
      </c>
      <c r="T16" s="31"/>
      <c r="U16" s="31"/>
      <c r="V16" s="31"/>
      <c r="W16" s="31"/>
      <c r="X16" s="31"/>
      <c r="Y16" s="31"/>
      <c r="Z16" s="31"/>
      <c r="AA16" s="31">
        <v>5</v>
      </c>
      <c r="AB16" s="92">
        <f t="shared" si="1"/>
        <v>15</v>
      </c>
      <c r="AC16" s="31">
        <v>3</v>
      </c>
      <c r="AD16" s="31">
        <v>3</v>
      </c>
      <c r="AE16" s="92">
        <f t="shared" si="2"/>
        <v>6</v>
      </c>
      <c r="AF16" s="93" t="str">
        <f t="shared" si="3"/>
        <v>DA</v>
      </c>
      <c r="AG16" s="92">
        <f t="shared" si="4"/>
        <v>57</v>
      </c>
      <c r="AH16" s="283" t="str">
        <f t="shared" si="5"/>
        <v>APROBADO</v>
      </c>
      <c r="AI16" s="284"/>
      <c r="AJ16" s="284"/>
      <c r="AK16" s="284"/>
      <c r="AL16" s="284"/>
      <c r="AM16" s="285"/>
      <c r="AN16" s="95"/>
      <c r="AO16" s="95"/>
      <c r="AP16" s="95"/>
      <c r="AQ16" s="95"/>
      <c r="AR16" s="95"/>
    </row>
    <row r="17" spans="1:44" ht="12" customHeight="1" x14ac:dyDescent="0.35">
      <c r="A17" s="59">
        <v>9</v>
      </c>
      <c r="B17" s="90" t="str">
        <f>'C. FILIACION'!B16</f>
        <v>LEDEZMA AGUILAR ELVIS JHEFERSON</v>
      </c>
      <c r="C17" s="31">
        <v>10</v>
      </c>
      <c r="D17" s="61">
        <v>31</v>
      </c>
      <c r="E17" s="61">
        <v>35</v>
      </c>
      <c r="F17" s="61">
        <v>32</v>
      </c>
      <c r="G17" s="61">
        <v>18</v>
      </c>
      <c r="H17" s="61">
        <v>26</v>
      </c>
      <c r="I17" s="31"/>
      <c r="J17" s="31"/>
      <c r="K17" s="31"/>
      <c r="L17" s="31"/>
      <c r="M17" s="31"/>
      <c r="N17" s="31"/>
      <c r="O17" s="92">
        <f t="shared" si="0"/>
        <v>28</v>
      </c>
      <c r="P17" s="31">
        <v>20</v>
      </c>
      <c r="Q17" s="31">
        <v>35</v>
      </c>
      <c r="R17" s="31">
        <v>32</v>
      </c>
      <c r="S17" s="31">
        <v>35</v>
      </c>
      <c r="T17" s="31"/>
      <c r="U17" s="31"/>
      <c r="V17" s="31"/>
      <c r="W17" s="31"/>
      <c r="X17" s="31"/>
      <c r="Y17" s="31"/>
      <c r="Z17" s="31"/>
      <c r="AA17" s="31">
        <v>9</v>
      </c>
      <c r="AB17" s="92">
        <f t="shared" si="1"/>
        <v>31</v>
      </c>
      <c r="AC17" s="31">
        <v>4</v>
      </c>
      <c r="AD17" s="31">
        <v>5</v>
      </c>
      <c r="AE17" s="92">
        <f t="shared" si="2"/>
        <v>9</v>
      </c>
      <c r="AF17" s="93" t="str">
        <f t="shared" si="3"/>
        <v>DP</v>
      </c>
      <c r="AG17" s="92">
        <f t="shared" si="4"/>
        <v>87</v>
      </c>
      <c r="AH17" s="283" t="str">
        <f t="shared" si="5"/>
        <v>APROBADO</v>
      </c>
      <c r="AI17" s="284"/>
      <c r="AJ17" s="284"/>
      <c r="AK17" s="284"/>
      <c r="AL17" s="284"/>
      <c r="AM17" s="285"/>
      <c r="AN17" s="95"/>
      <c r="AO17" s="95"/>
      <c r="AP17" s="95"/>
      <c r="AQ17" s="95"/>
      <c r="AR17" s="95"/>
    </row>
    <row r="18" spans="1:44" ht="12" customHeight="1" x14ac:dyDescent="0.35">
      <c r="A18" s="59">
        <v>10</v>
      </c>
      <c r="B18" s="90" t="str">
        <f>'C. FILIACION'!B17</f>
        <v>LOBATON RODRIGUEZ JHONATAN A.</v>
      </c>
      <c r="C18" s="31">
        <v>7.6923076923076925</v>
      </c>
      <c r="D18" s="61">
        <v>28</v>
      </c>
      <c r="E18" s="61">
        <v>30</v>
      </c>
      <c r="F18" s="61">
        <v>30</v>
      </c>
      <c r="G18" s="61">
        <v>0</v>
      </c>
      <c r="H18" s="61">
        <v>15</v>
      </c>
      <c r="I18" s="31"/>
      <c r="J18" s="31"/>
      <c r="K18" s="31"/>
      <c r="L18" s="31"/>
      <c r="M18" s="31"/>
      <c r="N18" s="31"/>
      <c r="O18" s="92">
        <f t="shared" si="0"/>
        <v>21</v>
      </c>
      <c r="P18" s="31">
        <v>10</v>
      </c>
      <c r="Q18" s="31">
        <v>25</v>
      </c>
      <c r="R18" s="31">
        <v>30</v>
      </c>
      <c r="S18" s="31">
        <v>10</v>
      </c>
      <c r="T18" s="31"/>
      <c r="U18" s="31"/>
      <c r="V18" s="31"/>
      <c r="W18" s="31"/>
      <c r="X18" s="31"/>
      <c r="Y18" s="31"/>
      <c r="Z18" s="31"/>
      <c r="AA18" s="31">
        <v>7</v>
      </c>
      <c r="AB18" s="92">
        <f t="shared" si="1"/>
        <v>19</v>
      </c>
      <c r="AC18" s="31">
        <v>5</v>
      </c>
      <c r="AD18" s="31">
        <v>5</v>
      </c>
      <c r="AE18" s="92">
        <f t="shared" si="2"/>
        <v>10</v>
      </c>
      <c r="AF18" s="93" t="str">
        <f t="shared" si="3"/>
        <v>DA</v>
      </c>
      <c r="AG18" s="92">
        <f t="shared" si="4"/>
        <v>64.692307692307693</v>
      </c>
      <c r="AH18" s="283" t="str">
        <f t="shared" si="5"/>
        <v>APROBADO</v>
      </c>
      <c r="AI18" s="284"/>
      <c r="AJ18" s="284"/>
      <c r="AK18" s="284"/>
      <c r="AL18" s="284"/>
      <c r="AM18" s="285"/>
      <c r="AN18" s="95"/>
      <c r="AO18" s="95"/>
      <c r="AP18" s="95"/>
      <c r="AQ18" s="95"/>
      <c r="AR18" s="95"/>
    </row>
    <row r="19" spans="1:44" ht="12" customHeight="1" x14ac:dyDescent="0.35">
      <c r="A19" s="59">
        <v>11</v>
      </c>
      <c r="B19" s="90" t="str">
        <f>'C. FILIACION'!B18</f>
        <v>MAMANI LOPEZ DAFNE MILDRED</v>
      </c>
      <c r="C19" s="31">
        <v>4.615384615384615</v>
      </c>
      <c r="D19" s="61">
        <v>25</v>
      </c>
      <c r="E19" s="61">
        <v>28</v>
      </c>
      <c r="F19" s="61">
        <v>32</v>
      </c>
      <c r="G19" s="61">
        <v>0</v>
      </c>
      <c r="H19" s="61">
        <v>14</v>
      </c>
      <c r="I19" s="31"/>
      <c r="J19" s="31"/>
      <c r="K19" s="31"/>
      <c r="L19" s="31"/>
      <c r="M19" s="31"/>
      <c r="N19" s="31"/>
      <c r="O19" s="92">
        <f t="shared" si="0"/>
        <v>20</v>
      </c>
      <c r="P19" s="31">
        <v>10</v>
      </c>
      <c r="Q19" s="31">
        <v>10</v>
      </c>
      <c r="R19" s="31">
        <v>32</v>
      </c>
      <c r="S19" s="31">
        <v>10</v>
      </c>
      <c r="T19" s="31"/>
      <c r="U19" s="31"/>
      <c r="V19" s="31"/>
      <c r="W19" s="31"/>
      <c r="X19" s="31"/>
      <c r="Y19" s="31"/>
      <c r="Z19" s="31"/>
      <c r="AA19" s="31">
        <v>6</v>
      </c>
      <c r="AB19" s="92">
        <f t="shared" si="1"/>
        <v>16</v>
      </c>
      <c r="AC19" s="31">
        <v>3</v>
      </c>
      <c r="AD19" s="31">
        <v>3</v>
      </c>
      <c r="AE19" s="92">
        <f t="shared" si="2"/>
        <v>6</v>
      </c>
      <c r="AF19" s="93" t="str">
        <f t="shared" si="3"/>
        <v>DA</v>
      </c>
      <c r="AG19" s="92">
        <f t="shared" si="4"/>
        <v>52.615384615384613</v>
      </c>
      <c r="AH19" s="283" t="str">
        <f t="shared" si="5"/>
        <v>APROBADO</v>
      </c>
      <c r="AI19" s="284"/>
      <c r="AJ19" s="284"/>
      <c r="AK19" s="284"/>
      <c r="AL19" s="284"/>
      <c r="AM19" s="285"/>
      <c r="AN19" s="95"/>
      <c r="AO19" s="95"/>
      <c r="AP19" s="95"/>
      <c r="AQ19" s="95"/>
      <c r="AR19" s="95"/>
    </row>
    <row r="20" spans="1:44" ht="12" customHeight="1" x14ac:dyDescent="0.35">
      <c r="A20" s="59">
        <v>12</v>
      </c>
      <c r="B20" s="90" t="str">
        <f>'C. FILIACION'!B19</f>
        <v>MARCONI PEREZ SINDEL LUANA</v>
      </c>
      <c r="C20" s="31">
        <v>6.1538461538461542</v>
      </c>
      <c r="D20" s="61">
        <v>35</v>
      </c>
      <c r="E20" s="61">
        <v>0</v>
      </c>
      <c r="F20" s="61">
        <v>30</v>
      </c>
      <c r="G20" s="61">
        <v>0</v>
      </c>
      <c r="H20" s="61">
        <v>26</v>
      </c>
      <c r="I20" s="31"/>
      <c r="J20" s="31"/>
      <c r="K20" s="31"/>
      <c r="L20" s="31"/>
      <c r="M20" s="31"/>
      <c r="N20" s="31"/>
      <c r="O20" s="92">
        <f t="shared" si="0"/>
        <v>18</v>
      </c>
      <c r="P20" s="31">
        <v>5</v>
      </c>
      <c r="Q20" s="31">
        <v>10</v>
      </c>
      <c r="R20" s="31">
        <v>30</v>
      </c>
      <c r="S20" s="31">
        <v>10</v>
      </c>
      <c r="T20" s="31"/>
      <c r="U20" s="31"/>
      <c r="V20" s="31"/>
      <c r="W20" s="31"/>
      <c r="X20" s="31"/>
      <c r="Y20" s="31"/>
      <c r="Z20" s="31"/>
      <c r="AA20" s="31">
        <v>7</v>
      </c>
      <c r="AB20" s="92">
        <f t="shared" si="1"/>
        <v>14</v>
      </c>
      <c r="AC20" s="31">
        <v>3</v>
      </c>
      <c r="AD20" s="31">
        <v>3</v>
      </c>
      <c r="AE20" s="92">
        <f t="shared" si="2"/>
        <v>6</v>
      </c>
      <c r="AF20" s="93" t="str">
        <f t="shared" si="3"/>
        <v>DA</v>
      </c>
      <c r="AG20" s="92">
        <f t="shared" si="4"/>
        <v>51.153846153846153</v>
      </c>
      <c r="AH20" s="283" t="str">
        <f t="shared" si="5"/>
        <v>APROBADO</v>
      </c>
      <c r="AI20" s="284"/>
      <c r="AJ20" s="284"/>
      <c r="AK20" s="284"/>
      <c r="AL20" s="284"/>
      <c r="AM20" s="285"/>
      <c r="AN20" s="95"/>
      <c r="AO20" s="95"/>
      <c r="AP20" s="95"/>
      <c r="AQ20" s="95"/>
      <c r="AR20" s="95"/>
    </row>
    <row r="21" spans="1:44" ht="12" customHeight="1" x14ac:dyDescent="0.35">
      <c r="A21" s="59">
        <v>13</v>
      </c>
      <c r="B21" s="90" t="str">
        <f>'C. FILIACION'!B20</f>
        <v>MENACHO LINEO ANDREA KIMBERLY</v>
      </c>
      <c r="C21" s="31">
        <v>10</v>
      </c>
      <c r="D21" s="61">
        <v>32</v>
      </c>
      <c r="E21" s="61">
        <v>20</v>
      </c>
      <c r="F21" s="61">
        <v>30</v>
      </c>
      <c r="G21" s="61">
        <v>0</v>
      </c>
      <c r="H21" s="61">
        <v>25</v>
      </c>
      <c r="I21" s="31"/>
      <c r="J21" s="31"/>
      <c r="K21" s="31"/>
      <c r="L21" s="31"/>
      <c r="M21" s="31"/>
      <c r="N21" s="31"/>
      <c r="O21" s="92">
        <f t="shared" si="0"/>
        <v>21</v>
      </c>
      <c r="P21" s="31">
        <v>0</v>
      </c>
      <c r="Q21" s="31">
        <v>32</v>
      </c>
      <c r="R21" s="31">
        <v>30</v>
      </c>
      <c r="S21" s="31">
        <v>32</v>
      </c>
      <c r="T21" s="31"/>
      <c r="U21" s="31"/>
      <c r="V21" s="31"/>
      <c r="W21" s="31"/>
      <c r="X21" s="31"/>
      <c r="Y21" s="31"/>
      <c r="Z21" s="31"/>
      <c r="AA21" s="31">
        <v>8</v>
      </c>
      <c r="AB21" s="92">
        <f t="shared" si="1"/>
        <v>24</v>
      </c>
      <c r="AC21" s="31">
        <v>3</v>
      </c>
      <c r="AD21" s="31">
        <v>4</v>
      </c>
      <c r="AE21" s="92">
        <f t="shared" si="2"/>
        <v>7</v>
      </c>
      <c r="AF21" s="93" t="str">
        <f t="shared" si="3"/>
        <v>DO</v>
      </c>
      <c r="AG21" s="92">
        <f t="shared" si="4"/>
        <v>70</v>
      </c>
      <c r="AH21" s="283" t="str">
        <f t="shared" si="5"/>
        <v>APROBADO</v>
      </c>
      <c r="AI21" s="284"/>
      <c r="AJ21" s="284"/>
      <c r="AK21" s="284"/>
      <c r="AL21" s="284"/>
      <c r="AM21" s="285"/>
      <c r="AN21" s="95"/>
      <c r="AO21" s="95"/>
      <c r="AP21" s="95"/>
      <c r="AQ21" s="95"/>
      <c r="AR21" s="95"/>
    </row>
    <row r="22" spans="1:44" ht="12" customHeight="1" x14ac:dyDescent="0.35">
      <c r="A22" s="59">
        <v>14</v>
      </c>
      <c r="B22" s="90" t="str">
        <f>'C. FILIACION'!B21</f>
        <v>PILLCO APAZA MARIAN ALEXANDRA</v>
      </c>
      <c r="C22" s="31">
        <v>10</v>
      </c>
      <c r="D22" s="61">
        <v>24</v>
      </c>
      <c r="E22" s="61">
        <v>25</v>
      </c>
      <c r="F22" s="61">
        <v>30</v>
      </c>
      <c r="G22" s="61">
        <v>25</v>
      </c>
      <c r="H22" s="61">
        <v>22</v>
      </c>
      <c r="I22" s="31"/>
      <c r="J22" s="31"/>
      <c r="K22" s="31"/>
      <c r="L22" s="31"/>
      <c r="M22" s="31"/>
      <c r="N22" s="31"/>
      <c r="O22" s="92">
        <f t="shared" si="0"/>
        <v>25</v>
      </c>
      <c r="P22" s="31">
        <v>0</v>
      </c>
      <c r="Q22" s="31">
        <v>30</v>
      </c>
      <c r="R22" s="31">
        <v>30</v>
      </c>
      <c r="S22" s="31">
        <v>10</v>
      </c>
      <c r="T22" s="31"/>
      <c r="U22" s="31"/>
      <c r="V22" s="31"/>
      <c r="W22" s="31"/>
      <c r="X22" s="31"/>
      <c r="Y22" s="31"/>
      <c r="Z22" s="31"/>
      <c r="AA22" s="31">
        <v>8</v>
      </c>
      <c r="AB22" s="92">
        <f t="shared" si="1"/>
        <v>18</v>
      </c>
      <c r="AC22" s="31">
        <v>5</v>
      </c>
      <c r="AD22" s="31">
        <v>5</v>
      </c>
      <c r="AE22" s="92">
        <f t="shared" si="2"/>
        <v>10</v>
      </c>
      <c r="AF22" s="93" t="str">
        <f t="shared" si="3"/>
        <v>DO</v>
      </c>
      <c r="AG22" s="92">
        <f t="shared" si="4"/>
        <v>71</v>
      </c>
      <c r="AH22" s="283" t="str">
        <f t="shared" si="5"/>
        <v>APROBADO</v>
      </c>
      <c r="AI22" s="284"/>
      <c r="AJ22" s="284"/>
      <c r="AK22" s="284"/>
      <c r="AL22" s="284"/>
      <c r="AM22" s="285"/>
      <c r="AN22" s="95"/>
      <c r="AO22" s="95"/>
      <c r="AP22" s="95"/>
      <c r="AQ22" s="95"/>
      <c r="AR22" s="95"/>
    </row>
    <row r="23" spans="1:44" ht="12" customHeight="1" x14ac:dyDescent="0.35">
      <c r="A23" s="59">
        <v>15</v>
      </c>
      <c r="B23" s="90" t="str">
        <f>'C. FILIACION'!B22</f>
        <v>RUEDA ALVAREZ GREGORY STEVEN</v>
      </c>
      <c r="C23" s="31">
        <v>10</v>
      </c>
      <c r="D23" s="61">
        <v>15</v>
      </c>
      <c r="E23" s="61">
        <v>30</v>
      </c>
      <c r="F23" s="61">
        <v>32</v>
      </c>
      <c r="G23" s="61">
        <v>10</v>
      </c>
      <c r="H23" s="61">
        <v>20</v>
      </c>
      <c r="I23" s="31"/>
      <c r="J23" s="31"/>
      <c r="K23" s="31"/>
      <c r="L23" s="31"/>
      <c r="M23" s="31"/>
      <c r="N23" s="31"/>
      <c r="O23" s="92">
        <f t="shared" si="0"/>
        <v>21</v>
      </c>
      <c r="P23" s="31">
        <v>27</v>
      </c>
      <c r="Q23" s="31">
        <v>30</v>
      </c>
      <c r="R23" s="31">
        <v>32</v>
      </c>
      <c r="S23" s="31">
        <v>10</v>
      </c>
      <c r="T23" s="31"/>
      <c r="U23" s="31"/>
      <c r="V23" s="31"/>
      <c r="W23" s="31"/>
      <c r="X23" s="31"/>
      <c r="Y23" s="31"/>
      <c r="Z23" s="31"/>
      <c r="AA23" s="31">
        <v>9</v>
      </c>
      <c r="AB23" s="92">
        <f t="shared" si="1"/>
        <v>25</v>
      </c>
      <c r="AC23" s="31">
        <v>4</v>
      </c>
      <c r="AD23" s="31">
        <v>3</v>
      </c>
      <c r="AE23" s="92">
        <f t="shared" si="2"/>
        <v>7</v>
      </c>
      <c r="AF23" s="93" t="str">
        <f t="shared" si="3"/>
        <v>DO</v>
      </c>
      <c r="AG23" s="92">
        <f t="shared" si="4"/>
        <v>72</v>
      </c>
      <c r="AH23" s="283" t="str">
        <f t="shared" si="5"/>
        <v>APROBADO</v>
      </c>
      <c r="AI23" s="284"/>
      <c r="AJ23" s="284"/>
      <c r="AK23" s="284"/>
      <c r="AL23" s="284"/>
      <c r="AM23" s="285"/>
      <c r="AN23" s="95"/>
      <c r="AO23" s="95"/>
      <c r="AP23" s="95"/>
      <c r="AQ23" s="95"/>
      <c r="AR23" s="95"/>
    </row>
    <row r="24" spans="1:44" ht="12" customHeight="1" x14ac:dyDescent="0.35">
      <c r="A24" s="59">
        <v>16</v>
      </c>
      <c r="B24" s="194" t="str">
        <f>'C. FILIACION'!B23</f>
        <v>VARGAS JOYCE BELEN</v>
      </c>
      <c r="C24" s="195">
        <v>4</v>
      </c>
      <c r="D24" s="189">
        <v>10</v>
      </c>
      <c r="E24" s="189">
        <v>10</v>
      </c>
      <c r="F24" s="189">
        <v>10</v>
      </c>
      <c r="G24" s="189">
        <v>10</v>
      </c>
      <c r="H24" s="189">
        <v>10</v>
      </c>
      <c r="I24" s="195"/>
      <c r="J24" s="195"/>
      <c r="K24" s="195"/>
      <c r="L24" s="195"/>
      <c r="M24" s="195"/>
      <c r="N24" s="195"/>
      <c r="O24" s="196">
        <f t="shared" si="0"/>
        <v>10</v>
      </c>
      <c r="P24" s="195">
        <v>10</v>
      </c>
      <c r="Q24" s="195">
        <v>10</v>
      </c>
      <c r="R24" s="195">
        <v>10</v>
      </c>
      <c r="S24" s="195">
        <v>10</v>
      </c>
      <c r="T24" s="195"/>
      <c r="U24" s="195"/>
      <c r="V24" s="195"/>
      <c r="W24" s="195"/>
      <c r="X24" s="195"/>
      <c r="Y24" s="195"/>
      <c r="Z24" s="195"/>
      <c r="AA24" s="195">
        <v>5</v>
      </c>
      <c r="AB24" s="196">
        <f t="shared" si="1"/>
        <v>10</v>
      </c>
      <c r="AC24" s="195">
        <v>5</v>
      </c>
      <c r="AD24" s="195">
        <v>5</v>
      </c>
      <c r="AE24" s="196">
        <f t="shared" si="2"/>
        <v>10</v>
      </c>
      <c r="AF24" s="197" t="str">
        <f t="shared" si="3"/>
        <v>ED</v>
      </c>
      <c r="AG24" s="196">
        <f t="shared" si="4"/>
        <v>39</v>
      </c>
      <c r="AH24" s="311" t="str">
        <f t="shared" si="5"/>
        <v>REPROBADO</v>
      </c>
      <c r="AI24" s="312"/>
      <c r="AJ24" s="312"/>
      <c r="AK24" s="312"/>
      <c r="AL24" s="312"/>
      <c r="AM24" s="313"/>
      <c r="AN24" s="95"/>
      <c r="AO24" s="95"/>
      <c r="AP24" s="95"/>
      <c r="AQ24" s="95"/>
      <c r="AR24" s="95"/>
    </row>
    <row r="25" spans="1:44" ht="12" customHeight="1" x14ac:dyDescent="0.35">
      <c r="A25" s="59">
        <v>17</v>
      </c>
      <c r="B25" s="90" t="str">
        <f>'C. FILIACION'!B24</f>
        <v>ZURITA JIMENEZ ELMER ARTURO</v>
      </c>
      <c r="C25" s="31">
        <v>10</v>
      </c>
      <c r="D25" s="61">
        <v>32</v>
      </c>
      <c r="E25" s="61">
        <v>20</v>
      </c>
      <c r="F25" s="61">
        <v>30</v>
      </c>
      <c r="G25" s="61">
        <v>0</v>
      </c>
      <c r="H25" s="61">
        <v>22</v>
      </c>
      <c r="I25" s="31"/>
      <c r="J25" s="31"/>
      <c r="K25" s="31"/>
      <c r="L25" s="31"/>
      <c r="M25" s="31"/>
      <c r="N25" s="31"/>
      <c r="O25" s="92">
        <f t="shared" si="0"/>
        <v>21</v>
      </c>
      <c r="P25" s="31">
        <v>30</v>
      </c>
      <c r="Q25" s="31">
        <v>30</v>
      </c>
      <c r="R25" s="31">
        <v>30</v>
      </c>
      <c r="S25" s="31">
        <v>35</v>
      </c>
      <c r="T25" s="31"/>
      <c r="U25" s="31"/>
      <c r="V25" s="31"/>
      <c r="W25" s="31"/>
      <c r="X25" s="31"/>
      <c r="Y25" s="31"/>
      <c r="Z25" s="31"/>
      <c r="AA25" s="31">
        <v>10</v>
      </c>
      <c r="AB25" s="92">
        <f t="shared" si="1"/>
        <v>31</v>
      </c>
      <c r="AC25" s="31">
        <v>4</v>
      </c>
      <c r="AD25" s="31">
        <v>4</v>
      </c>
      <c r="AE25" s="92">
        <f t="shared" si="2"/>
        <v>8</v>
      </c>
      <c r="AF25" s="93" t="str">
        <f t="shared" si="3"/>
        <v>DO</v>
      </c>
      <c r="AG25" s="92">
        <f t="shared" si="4"/>
        <v>80</v>
      </c>
      <c r="AH25" s="283" t="str">
        <f t="shared" si="5"/>
        <v>APROBADO</v>
      </c>
      <c r="AI25" s="284"/>
      <c r="AJ25" s="284"/>
      <c r="AK25" s="284"/>
      <c r="AL25" s="284"/>
      <c r="AM25" s="285"/>
      <c r="AN25" s="95"/>
      <c r="AO25" s="95"/>
      <c r="AP25" s="95"/>
      <c r="AQ25" s="95"/>
      <c r="AR25" s="95"/>
    </row>
    <row r="26" spans="1:44" ht="12" customHeight="1" x14ac:dyDescent="0.35">
      <c r="A26" s="59">
        <v>18</v>
      </c>
      <c r="B26" s="183" t="str">
        <f>'C. FILIACION'!B25</f>
        <v>ADRIAN FLORES EDDY BEYMAR</v>
      </c>
      <c r="C26" s="184">
        <v>6.1538461538461542</v>
      </c>
      <c r="D26" s="185">
        <v>18</v>
      </c>
      <c r="E26" s="185">
        <v>18</v>
      </c>
      <c r="F26" s="185">
        <v>18</v>
      </c>
      <c r="G26" s="185">
        <v>10</v>
      </c>
      <c r="H26" s="185">
        <v>18</v>
      </c>
      <c r="I26" s="184"/>
      <c r="J26" s="184"/>
      <c r="K26" s="184"/>
      <c r="L26" s="184"/>
      <c r="M26" s="184"/>
      <c r="N26" s="184"/>
      <c r="O26" s="186">
        <f t="shared" si="0"/>
        <v>16</v>
      </c>
      <c r="P26" s="184">
        <v>10</v>
      </c>
      <c r="Q26" s="184">
        <v>10</v>
      </c>
      <c r="R26" s="184">
        <v>10</v>
      </c>
      <c r="S26" s="184">
        <v>15</v>
      </c>
      <c r="T26" s="184"/>
      <c r="U26" s="184"/>
      <c r="V26" s="184"/>
      <c r="W26" s="184"/>
      <c r="X26" s="184"/>
      <c r="Y26" s="184"/>
      <c r="Z26" s="184"/>
      <c r="AA26" s="184">
        <v>10</v>
      </c>
      <c r="AB26" s="186">
        <f t="shared" si="1"/>
        <v>11</v>
      </c>
      <c r="AC26" s="184">
        <v>5</v>
      </c>
      <c r="AD26" s="184">
        <v>5</v>
      </c>
      <c r="AE26" s="186">
        <f t="shared" si="2"/>
        <v>10</v>
      </c>
      <c r="AF26" s="187" t="str">
        <f t="shared" si="3"/>
        <v>DA</v>
      </c>
      <c r="AG26" s="186">
        <f t="shared" si="4"/>
        <v>53.153846153846153</v>
      </c>
      <c r="AH26" s="308" t="str">
        <f t="shared" si="5"/>
        <v>APROBADO</v>
      </c>
      <c r="AI26" s="309"/>
      <c r="AJ26" s="309"/>
      <c r="AK26" s="309"/>
      <c r="AL26" s="309"/>
      <c r="AM26" s="310"/>
      <c r="AN26" s="95"/>
      <c r="AO26" s="95"/>
      <c r="AP26" s="95"/>
      <c r="AQ26" s="95"/>
      <c r="AR26" s="95"/>
    </row>
    <row r="27" spans="1:44" ht="12" customHeight="1" x14ac:dyDescent="0.35">
      <c r="A27" s="59">
        <v>19</v>
      </c>
      <c r="B27" s="90" t="str">
        <f>'C. FILIACION'!B26</f>
        <v xml:space="preserve">VENTURA CHOQUE DANELY </v>
      </c>
      <c r="C27" s="31">
        <v>8.75</v>
      </c>
      <c r="D27" s="61"/>
      <c r="E27" s="61"/>
      <c r="F27" s="61">
        <v>14</v>
      </c>
      <c r="G27" s="61">
        <v>14</v>
      </c>
      <c r="H27" s="61">
        <v>27</v>
      </c>
      <c r="I27" s="31"/>
      <c r="J27" s="31"/>
      <c r="K27" s="31"/>
      <c r="L27" s="31"/>
      <c r="M27" s="31"/>
      <c r="N27" s="31"/>
      <c r="O27" s="92">
        <f t="shared" si="0"/>
        <v>18</v>
      </c>
      <c r="P27" s="31"/>
      <c r="Q27" s="31">
        <v>30</v>
      </c>
      <c r="R27" s="31">
        <v>10</v>
      </c>
      <c r="S27" s="31">
        <v>34</v>
      </c>
      <c r="T27" s="31"/>
      <c r="U27" s="31"/>
      <c r="V27" s="31"/>
      <c r="W27" s="31"/>
      <c r="X27" s="31"/>
      <c r="Y27" s="31"/>
      <c r="Z27" s="31"/>
      <c r="AA27" s="31">
        <v>10</v>
      </c>
      <c r="AB27" s="92">
        <f t="shared" si="1"/>
        <v>25</v>
      </c>
      <c r="AC27" s="31">
        <v>4</v>
      </c>
      <c r="AD27" s="31">
        <v>4</v>
      </c>
      <c r="AE27" s="92">
        <f t="shared" si="2"/>
        <v>8</v>
      </c>
      <c r="AF27" s="93" t="str">
        <f t="shared" si="3"/>
        <v>DO</v>
      </c>
      <c r="AG27" s="92">
        <f t="shared" si="4"/>
        <v>69.75</v>
      </c>
      <c r="AH27" s="283" t="str">
        <f t="shared" si="5"/>
        <v>APROBADO</v>
      </c>
      <c r="AI27" s="284"/>
      <c r="AJ27" s="284"/>
      <c r="AK27" s="284"/>
      <c r="AL27" s="284"/>
      <c r="AM27" s="285"/>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83" t="str">
        <f t="shared" si="5"/>
        <v>APROBADO</v>
      </c>
      <c r="AI28" s="284"/>
      <c r="AJ28" s="284"/>
      <c r="AK28" s="284"/>
      <c r="AL28" s="284"/>
      <c r="AM28" s="285"/>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83" t="str">
        <f t="shared" si="5"/>
        <v>APROBADO</v>
      </c>
      <c r="AI29" s="284"/>
      <c r="AJ29" s="284"/>
      <c r="AK29" s="284"/>
      <c r="AL29" s="284"/>
      <c r="AM29" s="285"/>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83" t="str">
        <f t="shared" si="5"/>
        <v>APROBADO</v>
      </c>
      <c r="AI30" s="284"/>
      <c r="AJ30" s="284"/>
      <c r="AK30" s="284"/>
      <c r="AL30" s="284"/>
      <c r="AM30" s="285"/>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83" t="str">
        <f t="shared" si="5"/>
        <v>APROBADO</v>
      </c>
      <c r="AI31" s="284"/>
      <c r="AJ31" s="284"/>
      <c r="AK31" s="284"/>
      <c r="AL31" s="284"/>
      <c r="AM31" s="285"/>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83" t="str">
        <f t="shared" si="5"/>
        <v>APROBADO</v>
      </c>
      <c r="AI32" s="284"/>
      <c r="AJ32" s="284"/>
      <c r="AK32" s="284"/>
      <c r="AL32" s="284"/>
      <c r="AM32" s="285"/>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83" t="str">
        <f t="shared" si="5"/>
        <v>APROBADO</v>
      </c>
      <c r="AI33" s="284"/>
      <c r="AJ33" s="284"/>
      <c r="AK33" s="284"/>
      <c r="AL33" s="284"/>
      <c r="AM33" s="285"/>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83" t="str">
        <f t="shared" si="5"/>
        <v>APROBADO</v>
      </c>
      <c r="AI34" s="284"/>
      <c r="AJ34" s="284"/>
      <c r="AK34" s="284"/>
      <c r="AL34" s="284"/>
      <c r="AM34" s="285"/>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83" t="str">
        <f t="shared" si="5"/>
        <v>APROBADO</v>
      </c>
      <c r="AI35" s="284"/>
      <c r="AJ35" s="284"/>
      <c r="AK35" s="284"/>
      <c r="AL35" s="284"/>
      <c r="AM35" s="285"/>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83" t="str">
        <f t="shared" si="5"/>
        <v>APROBADO</v>
      </c>
      <c r="AI36" s="284"/>
      <c r="AJ36" s="284"/>
      <c r="AK36" s="284"/>
      <c r="AL36" s="284"/>
      <c r="AM36" s="285"/>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83" t="str">
        <f t="shared" si="5"/>
        <v>APROBADO</v>
      </c>
      <c r="AI37" s="284"/>
      <c r="AJ37" s="284"/>
      <c r="AK37" s="284"/>
      <c r="AL37" s="284"/>
      <c r="AM37" s="285"/>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83" t="str">
        <f t="shared" si="5"/>
        <v>APROBADO</v>
      </c>
      <c r="AI38" s="284"/>
      <c r="AJ38" s="284"/>
      <c r="AK38" s="284"/>
      <c r="AL38" s="284"/>
      <c r="AM38" s="285"/>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83" t="str">
        <f t="shared" si="5"/>
        <v>APROBADO</v>
      </c>
      <c r="AI39" s="284"/>
      <c r="AJ39" s="284"/>
      <c r="AK39" s="284"/>
      <c r="AL39" s="284"/>
      <c r="AM39" s="285"/>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83" t="str">
        <f t="shared" si="5"/>
        <v>APROBADO</v>
      </c>
      <c r="AI40" s="284"/>
      <c r="AJ40" s="284"/>
      <c r="AK40" s="284"/>
      <c r="AL40" s="284"/>
      <c r="AM40" s="285"/>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83" t="str">
        <f t="shared" si="5"/>
        <v>APROBADO</v>
      </c>
      <c r="AI41" s="284"/>
      <c r="AJ41" s="284"/>
      <c r="AK41" s="284"/>
      <c r="AL41" s="284"/>
      <c r="AM41" s="285"/>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83" t="str">
        <f t="shared" si="5"/>
        <v>APROBADO</v>
      </c>
      <c r="AI42" s="284"/>
      <c r="AJ42" s="284"/>
      <c r="AK42" s="284"/>
      <c r="AL42" s="284"/>
      <c r="AM42" s="285"/>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83" t="str">
        <f t="shared" si="5"/>
        <v>APROBADO</v>
      </c>
      <c r="AI43" s="284"/>
      <c r="AJ43" s="284"/>
      <c r="AK43" s="284"/>
      <c r="AL43" s="284"/>
      <c r="AM43" s="285"/>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83" t="str">
        <f t="shared" si="5"/>
        <v>APROBADO</v>
      </c>
      <c r="AI44" s="284"/>
      <c r="AJ44" s="284"/>
      <c r="AK44" s="284"/>
      <c r="AL44" s="284"/>
      <c r="AM44" s="285"/>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scale="95"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pageSetUpPr fitToPage="1"/>
  </sheetPr>
  <dimension ref="A1:AV1000"/>
  <sheetViews>
    <sheetView tabSelected="1" workbookViewId="0">
      <selection activeCell="AR27" sqref="A1:AR27"/>
    </sheetView>
  </sheetViews>
  <sheetFormatPr baseColWidth="10" defaultColWidth="9.13281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91" t="s">
        <v>102</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5"/>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89" t="s">
        <v>50</v>
      </c>
      <c r="AD3" s="284"/>
      <c r="AE3" s="284"/>
      <c r="AF3" s="284"/>
      <c r="AG3" s="284"/>
      <c r="AH3" s="285"/>
      <c r="AI3" s="251">
        <f>CARÁTULA!$H$24</f>
        <v>44440</v>
      </c>
      <c r="AJ3" s="233"/>
      <c r="AK3" s="233"/>
      <c r="AL3" s="233"/>
      <c r="AM3" s="233"/>
      <c r="AN3" s="292" t="s">
        <v>51</v>
      </c>
      <c r="AO3" s="224"/>
      <c r="AP3" s="224"/>
      <c r="AQ3" s="224"/>
      <c r="AR3" s="225"/>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t="str">
        <f>CARÁTULA!$C$19</f>
        <v>JOSÉ COAQUIRA COPA</v>
      </c>
      <c r="T4" s="76"/>
      <c r="U4" s="76"/>
      <c r="V4" s="76"/>
      <c r="W4" s="76"/>
      <c r="X4" s="76"/>
      <c r="Y4" s="76"/>
      <c r="Z4" s="76"/>
      <c r="AA4" s="76"/>
      <c r="AB4" s="76"/>
      <c r="AC4" s="289" t="s">
        <v>53</v>
      </c>
      <c r="AD4" s="284"/>
      <c r="AE4" s="284"/>
      <c r="AF4" s="284"/>
      <c r="AG4" s="284"/>
      <c r="AH4" s="285"/>
      <c r="AI4" s="251">
        <f>CARÁTULA!$J$24</f>
        <v>44531</v>
      </c>
      <c r="AJ4" s="233"/>
      <c r="AK4" s="233"/>
      <c r="AL4" s="233"/>
      <c r="AM4" s="233"/>
      <c r="AN4" s="282">
        <f ca="1">AI4-AI5</f>
        <v>-12</v>
      </c>
      <c r="AO4" s="243"/>
      <c r="AP4" s="243"/>
      <c r="AQ4" s="243"/>
      <c r="AR4" s="244"/>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97">
        <f ca="1">TODAY()</f>
        <v>44543</v>
      </c>
      <c r="T5" s="224"/>
      <c r="U5" s="224"/>
      <c r="V5" s="224"/>
      <c r="W5" s="224"/>
      <c r="X5" s="224"/>
      <c r="Y5" s="224"/>
      <c r="Z5" s="224"/>
      <c r="AA5" s="225"/>
      <c r="AB5" s="76"/>
      <c r="AC5" s="290" t="s">
        <v>54</v>
      </c>
      <c r="AD5" s="284"/>
      <c r="AE5" s="284"/>
      <c r="AF5" s="284"/>
      <c r="AG5" s="284"/>
      <c r="AH5" s="285"/>
      <c r="AI5" s="293">
        <f ca="1">TODAY()</f>
        <v>44543</v>
      </c>
      <c r="AJ5" s="233"/>
      <c r="AK5" s="233"/>
      <c r="AL5" s="233"/>
      <c r="AM5" s="233"/>
      <c r="AN5" s="245"/>
      <c r="AO5" s="246"/>
      <c r="AP5" s="246"/>
      <c r="AQ5" s="246"/>
      <c r="AR5" s="247"/>
    </row>
    <row r="6" spans="1:48" ht="12.75" customHeight="1" x14ac:dyDescent="0.4">
      <c r="A6" s="71"/>
      <c r="B6" s="74"/>
      <c r="C6" s="239" t="s">
        <v>75</v>
      </c>
      <c r="D6" s="240"/>
      <c r="E6" s="240"/>
      <c r="F6" s="240"/>
      <c r="G6" s="240"/>
      <c r="H6" s="240"/>
      <c r="I6" s="240"/>
      <c r="J6" s="240"/>
      <c r="K6" s="240"/>
      <c r="L6" s="240"/>
      <c r="M6" s="240"/>
      <c r="N6" s="240"/>
      <c r="O6" s="240"/>
      <c r="P6" s="240"/>
      <c r="Q6" s="240"/>
      <c r="R6" s="240"/>
      <c r="S6" s="240"/>
      <c r="T6" s="240"/>
      <c r="U6" s="240"/>
      <c r="V6" s="240"/>
      <c r="W6" s="240"/>
      <c r="X6" s="240"/>
      <c r="Y6" s="240"/>
      <c r="Z6" s="240"/>
      <c r="AA6" s="241"/>
      <c r="AB6" s="298" t="s">
        <v>76</v>
      </c>
      <c r="AC6" s="284"/>
      <c r="AD6" s="284"/>
      <c r="AE6" s="285"/>
      <c r="AF6" s="80"/>
      <c r="AG6" s="81"/>
      <c r="AH6" s="81"/>
      <c r="AI6" s="82"/>
      <c r="AJ6" s="83"/>
      <c r="AK6" s="83"/>
      <c r="AL6" s="83"/>
      <c r="AM6" s="83"/>
      <c r="AN6" s="84"/>
      <c r="AO6" s="84"/>
      <c r="AP6" s="84"/>
      <c r="AQ6" s="84"/>
      <c r="AR6" s="84"/>
    </row>
    <row r="7" spans="1:48" ht="12" customHeight="1" x14ac:dyDescent="0.4">
      <c r="A7" s="71"/>
      <c r="B7" s="85"/>
      <c r="C7" s="299" t="s">
        <v>77</v>
      </c>
      <c r="D7" s="300" t="s">
        <v>78</v>
      </c>
      <c r="E7" s="284"/>
      <c r="F7" s="284"/>
      <c r="G7" s="284"/>
      <c r="H7" s="284"/>
      <c r="I7" s="284"/>
      <c r="J7" s="284"/>
      <c r="K7" s="284"/>
      <c r="L7" s="284"/>
      <c r="M7" s="284"/>
      <c r="N7" s="284"/>
      <c r="O7" s="296" t="s">
        <v>79</v>
      </c>
      <c r="P7" s="300" t="s">
        <v>80</v>
      </c>
      <c r="Q7" s="284"/>
      <c r="R7" s="284"/>
      <c r="S7" s="284"/>
      <c r="T7" s="284"/>
      <c r="U7" s="284"/>
      <c r="V7" s="284"/>
      <c r="W7" s="284"/>
      <c r="X7" s="284"/>
      <c r="Y7" s="284"/>
      <c r="Z7" s="284"/>
      <c r="AA7" s="294" t="s">
        <v>81</v>
      </c>
      <c r="AB7" s="296" t="s">
        <v>79</v>
      </c>
      <c r="AC7" s="294" t="s">
        <v>82</v>
      </c>
      <c r="AD7" s="294" t="s">
        <v>83</v>
      </c>
      <c r="AE7" s="296" t="s">
        <v>79</v>
      </c>
      <c r="AF7" s="301" t="s">
        <v>84</v>
      </c>
      <c r="AG7" s="302" t="s">
        <v>85</v>
      </c>
      <c r="AH7" s="303" t="s">
        <v>86</v>
      </c>
      <c r="AI7" s="240"/>
      <c r="AJ7" s="240"/>
      <c r="AK7" s="240"/>
      <c r="AL7" s="240"/>
      <c r="AM7" s="241"/>
      <c r="AN7" s="86"/>
      <c r="AO7" s="76"/>
      <c r="AP7" s="76"/>
      <c r="AQ7" s="76"/>
      <c r="AR7" s="71"/>
    </row>
    <row r="8" spans="1:48" ht="195.6" customHeight="1" x14ac:dyDescent="0.35">
      <c r="A8" s="48" t="s">
        <v>55</v>
      </c>
      <c r="B8" s="49" t="s">
        <v>56</v>
      </c>
      <c r="C8" s="295"/>
      <c r="D8" s="54" t="s">
        <v>255</v>
      </c>
      <c r="E8" s="54" t="s">
        <v>259</v>
      </c>
      <c r="F8" s="54"/>
      <c r="G8" s="54"/>
      <c r="H8" s="54"/>
      <c r="I8" s="54"/>
      <c r="J8" s="54"/>
      <c r="K8" s="54"/>
      <c r="L8" s="54"/>
      <c r="M8" s="54"/>
      <c r="N8" s="55"/>
      <c r="O8" s="295"/>
      <c r="P8" s="96" t="s">
        <v>254</v>
      </c>
      <c r="Q8" s="54" t="s">
        <v>256</v>
      </c>
      <c r="R8" s="54" t="s">
        <v>258</v>
      </c>
      <c r="S8" s="54"/>
      <c r="T8" s="54"/>
      <c r="U8" s="54"/>
      <c r="V8" s="54"/>
      <c r="W8" s="54"/>
      <c r="X8" s="54"/>
      <c r="Y8" s="54"/>
      <c r="Z8" s="54"/>
      <c r="AA8" s="295"/>
      <c r="AB8" s="295"/>
      <c r="AC8" s="295"/>
      <c r="AD8" s="295"/>
      <c r="AE8" s="295"/>
      <c r="AF8" s="295"/>
      <c r="AG8" s="295"/>
      <c r="AH8" s="304"/>
      <c r="AI8" s="305"/>
      <c r="AJ8" s="305"/>
      <c r="AK8" s="305"/>
      <c r="AL8" s="305"/>
      <c r="AM8" s="306"/>
      <c r="AN8" s="88"/>
      <c r="AO8" s="88"/>
      <c r="AP8" s="88"/>
      <c r="AQ8" s="88"/>
      <c r="AR8" s="89"/>
    </row>
    <row r="9" spans="1:48" ht="12" customHeight="1" x14ac:dyDescent="0.35">
      <c r="A9" s="59">
        <v>1</v>
      </c>
      <c r="B9" s="90" t="str">
        <f>'C. FILIACION'!B8</f>
        <v>ALTAMIRANO RAMOS ESTEFANI MILENKA</v>
      </c>
      <c r="C9" s="201">
        <f>'ASIS 3 TRIM'!BJ8</f>
        <v>10</v>
      </c>
      <c r="D9" s="91">
        <v>34</v>
      </c>
      <c r="E9" s="91">
        <v>31</v>
      </c>
      <c r="F9" s="31"/>
      <c r="G9" s="31"/>
      <c r="H9" s="31"/>
      <c r="I9" s="31"/>
      <c r="J9" s="31"/>
      <c r="K9" s="31"/>
      <c r="L9" s="31"/>
      <c r="M9" s="31"/>
      <c r="N9" s="31"/>
      <c r="O9" s="92">
        <f t="shared" ref="O9:O44" si="0">IFERROR(ROUND(AVERAGE(D9:N9),0),"")</f>
        <v>33</v>
      </c>
      <c r="P9" s="31">
        <v>35</v>
      </c>
      <c r="Q9" s="91">
        <v>34</v>
      </c>
      <c r="R9" s="91">
        <v>30</v>
      </c>
      <c r="S9" s="31"/>
      <c r="T9" s="31"/>
      <c r="U9" s="31"/>
      <c r="V9" s="31"/>
      <c r="W9" s="31"/>
      <c r="X9" s="31"/>
      <c r="Y9" s="31"/>
      <c r="Z9" s="31"/>
      <c r="AA9" s="31">
        <f>(O9+AB9)/2*10/35</f>
        <v>9.4285714285714288</v>
      </c>
      <c r="AB9" s="92">
        <f t="shared" ref="AB9:AB44" si="1">IFERROR(ROUND(AVERAGE(P9:Z9),0),"")</f>
        <v>33</v>
      </c>
      <c r="AC9" s="31">
        <v>4</v>
      </c>
      <c r="AD9" s="31">
        <v>4</v>
      </c>
      <c r="AE9" s="92">
        <f t="shared" ref="AE9:AE44" si="2">IFERROR((SUM(AC9,AD9)),"")</f>
        <v>8</v>
      </c>
      <c r="AF9" s="93" t="str">
        <f t="shared" ref="AF9:AF44" si="3">IF(AG9&lt;51,"ED",IF(AG9&lt;67,"DA",IF(AG9&lt;85,"DO","DP")))</f>
        <v>DP</v>
      </c>
      <c r="AG9" s="208">
        <f t="shared" ref="AG9:AG44" si="4">IFERROR((SUM(C9,O9,AA9,AB9,AE9)),"")</f>
        <v>93.428571428571431</v>
      </c>
      <c r="AH9" s="283" t="str">
        <f t="shared" ref="AH9:AH44" si="5">IF(AG9="","",(IF(AND(AG9&gt;=1,AG9&lt;=50.499),"REPROBADO",IF(AND(AG9&gt;=50.5,AG9&lt;=100),"APROBADO"))))</f>
        <v>APROBADO</v>
      </c>
      <c r="AI9" s="284"/>
      <c r="AJ9" s="284"/>
      <c r="AK9" s="284"/>
      <c r="AL9" s="284"/>
      <c r="AM9" s="285"/>
      <c r="AN9" s="94" t="s">
        <v>97</v>
      </c>
      <c r="AO9" s="307">
        <f>COUNTIF(AF9:AF44,"ED")</f>
        <v>5</v>
      </c>
      <c r="AP9" s="285"/>
      <c r="AQ9" s="95"/>
      <c r="AR9" s="95"/>
    </row>
    <row r="10" spans="1:48" ht="12" customHeight="1" x14ac:dyDescent="0.35">
      <c r="A10" s="59">
        <v>2</v>
      </c>
      <c r="B10" s="90" t="str">
        <f>'C. FILIACION'!B9</f>
        <v>APAZA LINO TATIANA JAZMIN</v>
      </c>
      <c r="C10" s="201">
        <f>'ASIS 3 TRIM'!BJ9</f>
        <v>10</v>
      </c>
      <c r="D10" s="91">
        <v>34</v>
      </c>
      <c r="E10" s="91">
        <v>31</v>
      </c>
      <c r="F10" s="31"/>
      <c r="G10" s="31"/>
      <c r="H10" s="31"/>
      <c r="I10" s="31"/>
      <c r="J10" s="31"/>
      <c r="K10" s="31"/>
      <c r="L10" s="31"/>
      <c r="M10" s="31"/>
      <c r="N10" s="31"/>
      <c r="O10" s="92">
        <f t="shared" si="0"/>
        <v>33</v>
      </c>
      <c r="P10" s="31">
        <v>35</v>
      </c>
      <c r="Q10" s="91">
        <v>35</v>
      </c>
      <c r="R10" s="91">
        <v>30</v>
      </c>
      <c r="S10" s="31"/>
      <c r="T10" s="31"/>
      <c r="U10" s="31"/>
      <c r="V10" s="31"/>
      <c r="W10" s="31"/>
      <c r="X10" s="31"/>
      <c r="Y10" s="31"/>
      <c r="Z10" s="31"/>
      <c r="AA10" s="91">
        <f t="shared" ref="AA10:AA27" si="6">(O10+AB10)/2*10/35</f>
        <v>9.4285714285714288</v>
      </c>
      <c r="AB10" s="92">
        <f t="shared" si="1"/>
        <v>33</v>
      </c>
      <c r="AC10" s="31">
        <v>5</v>
      </c>
      <c r="AD10" s="31">
        <v>5</v>
      </c>
      <c r="AE10" s="92">
        <f t="shared" si="2"/>
        <v>10</v>
      </c>
      <c r="AF10" s="93" t="str">
        <f t="shared" si="3"/>
        <v>DP</v>
      </c>
      <c r="AG10" s="208">
        <f t="shared" si="4"/>
        <v>95.428571428571431</v>
      </c>
      <c r="AH10" s="283" t="str">
        <f t="shared" si="5"/>
        <v>APROBADO</v>
      </c>
      <c r="AI10" s="284"/>
      <c r="AJ10" s="284"/>
      <c r="AK10" s="284"/>
      <c r="AL10" s="284"/>
      <c r="AM10" s="285"/>
      <c r="AN10" s="48" t="s">
        <v>98</v>
      </c>
      <c r="AO10" s="307">
        <f>COUNTIF(AF9:AF44,"DA")</f>
        <v>3</v>
      </c>
      <c r="AP10" s="285"/>
      <c r="AQ10" s="95"/>
      <c r="AR10" s="95"/>
    </row>
    <row r="11" spans="1:48" ht="12" customHeight="1" x14ac:dyDescent="0.35">
      <c r="A11" s="59">
        <v>3</v>
      </c>
      <c r="B11" s="183" t="str">
        <f>'C. FILIACION'!B10</f>
        <v>BOLAÑOS OVANDO MIJHAIL ALEXANDER</v>
      </c>
      <c r="C11" s="203">
        <f>'ASIS 3 TRIM'!BJ10</f>
        <v>6.666666666666667</v>
      </c>
      <c r="D11" s="184">
        <v>15</v>
      </c>
      <c r="E11" s="184">
        <v>13</v>
      </c>
      <c r="F11" s="184"/>
      <c r="G11" s="184"/>
      <c r="H11" s="184"/>
      <c r="I11" s="184"/>
      <c r="J11" s="184"/>
      <c r="K11" s="184"/>
      <c r="L11" s="184"/>
      <c r="M11" s="184"/>
      <c r="N11" s="184"/>
      <c r="O11" s="186">
        <f t="shared" si="0"/>
        <v>14</v>
      </c>
      <c r="P11" s="184">
        <v>13</v>
      </c>
      <c r="Q11" s="184">
        <v>14</v>
      </c>
      <c r="R11" s="184">
        <v>10</v>
      </c>
      <c r="S11" s="184"/>
      <c r="T11" s="184"/>
      <c r="U11" s="184"/>
      <c r="V11" s="184"/>
      <c r="W11" s="184"/>
      <c r="X11" s="184"/>
      <c r="Y11" s="184"/>
      <c r="Z11" s="184"/>
      <c r="AA11" s="184">
        <f t="shared" si="6"/>
        <v>3.7142857142857144</v>
      </c>
      <c r="AB11" s="186">
        <f t="shared" si="1"/>
        <v>12</v>
      </c>
      <c r="AC11" s="184">
        <v>5</v>
      </c>
      <c r="AD11" s="184">
        <v>4</v>
      </c>
      <c r="AE11" s="186">
        <f t="shared" si="2"/>
        <v>9</v>
      </c>
      <c r="AF11" s="187" t="str">
        <f t="shared" si="3"/>
        <v>ED</v>
      </c>
      <c r="AG11" s="209">
        <f t="shared" si="4"/>
        <v>45.38095238095238</v>
      </c>
      <c r="AH11" s="308" t="str">
        <f t="shared" si="5"/>
        <v>REPROBADO</v>
      </c>
      <c r="AI11" s="309"/>
      <c r="AJ11" s="309"/>
      <c r="AK11" s="309"/>
      <c r="AL11" s="309"/>
      <c r="AM11" s="310"/>
      <c r="AN11" s="48" t="s">
        <v>99</v>
      </c>
      <c r="AO11" s="307">
        <f>COUNTIF(AF9:AF44,"DO")</f>
        <v>5</v>
      </c>
      <c r="AP11" s="285"/>
      <c r="AQ11" s="95"/>
      <c r="AR11" s="95"/>
    </row>
    <row r="12" spans="1:48" ht="12" customHeight="1" x14ac:dyDescent="0.35">
      <c r="A12" s="59">
        <v>4</v>
      </c>
      <c r="B12" s="194" t="str">
        <f>'C. FILIACION'!B11</f>
        <v>BRICHER ETHELBERT ISMAEL</v>
      </c>
      <c r="C12" s="202">
        <f>'ASIS 3 TRIM'!BJ11</f>
        <v>0</v>
      </c>
      <c r="D12" s="195">
        <v>0</v>
      </c>
      <c r="E12" s="195">
        <v>0</v>
      </c>
      <c r="F12" s="195"/>
      <c r="G12" s="195"/>
      <c r="H12" s="195"/>
      <c r="I12" s="195"/>
      <c r="J12" s="195"/>
      <c r="K12" s="195"/>
      <c r="L12" s="195"/>
      <c r="M12" s="195"/>
      <c r="N12" s="195"/>
      <c r="O12" s="196">
        <f t="shared" si="0"/>
        <v>0</v>
      </c>
      <c r="P12" s="195">
        <v>0</v>
      </c>
      <c r="Q12" s="195">
        <v>0</v>
      </c>
      <c r="R12" s="195">
        <v>0</v>
      </c>
      <c r="S12" s="195"/>
      <c r="T12" s="195"/>
      <c r="U12" s="195"/>
      <c r="V12" s="195"/>
      <c r="W12" s="195"/>
      <c r="X12" s="195"/>
      <c r="Y12" s="195"/>
      <c r="Z12" s="195"/>
      <c r="AA12" s="195">
        <f t="shared" si="6"/>
        <v>0</v>
      </c>
      <c r="AB12" s="196">
        <f t="shared" si="1"/>
        <v>0</v>
      </c>
      <c r="AC12" s="195"/>
      <c r="AD12" s="195"/>
      <c r="AE12" s="196">
        <f t="shared" si="2"/>
        <v>0</v>
      </c>
      <c r="AF12" s="197" t="str">
        <f t="shared" si="3"/>
        <v>ED</v>
      </c>
      <c r="AG12" s="210">
        <f t="shared" si="4"/>
        <v>0</v>
      </c>
      <c r="AH12" s="311" t="b">
        <f t="shared" si="5"/>
        <v>0</v>
      </c>
      <c r="AI12" s="312"/>
      <c r="AJ12" s="312"/>
      <c r="AK12" s="312"/>
      <c r="AL12" s="312"/>
      <c r="AM12" s="313"/>
      <c r="AN12" s="48" t="s">
        <v>100</v>
      </c>
      <c r="AO12" s="307">
        <f>COUNTIF(AF9:AF44,"DP")</f>
        <v>23</v>
      </c>
      <c r="AP12" s="285"/>
      <c r="AQ12" s="95"/>
      <c r="AR12" s="95"/>
    </row>
    <row r="13" spans="1:48" ht="12" customHeight="1" x14ac:dyDescent="0.35">
      <c r="A13" s="59">
        <v>5</v>
      </c>
      <c r="B13" s="90" t="str">
        <f>'C. FILIACION'!B12</f>
        <v>CANAVIRI QUISBERT ALEJANDRA ELENA</v>
      </c>
      <c r="C13" s="201">
        <f>'ASIS 3 TRIM'!BJ12</f>
        <v>6.666666666666667</v>
      </c>
      <c r="D13" s="91">
        <v>34</v>
      </c>
      <c r="E13" s="91">
        <v>22</v>
      </c>
      <c r="F13" s="31"/>
      <c r="G13" s="31"/>
      <c r="H13" s="31"/>
      <c r="I13" s="31"/>
      <c r="J13" s="31"/>
      <c r="K13" s="31"/>
      <c r="L13" s="31"/>
      <c r="M13" s="31"/>
      <c r="N13" s="31"/>
      <c r="O13" s="92">
        <f t="shared" si="0"/>
        <v>28</v>
      </c>
      <c r="P13" s="31">
        <v>35</v>
      </c>
      <c r="Q13" s="91">
        <v>30</v>
      </c>
      <c r="R13" s="91">
        <v>10</v>
      </c>
      <c r="S13" s="31"/>
      <c r="T13" s="31"/>
      <c r="U13" s="31"/>
      <c r="V13" s="31"/>
      <c r="W13" s="31"/>
      <c r="X13" s="31"/>
      <c r="Y13" s="31"/>
      <c r="Z13" s="31"/>
      <c r="AA13" s="91">
        <f t="shared" si="6"/>
        <v>7.5714285714285712</v>
      </c>
      <c r="AB13" s="92">
        <f t="shared" si="1"/>
        <v>25</v>
      </c>
      <c r="AC13" s="31">
        <v>3</v>
      </c>
      <c r="AD13" s="31">
        <v>4</v>
      </c>
      <c r="AE13" s="92">
        <f t="shared" si="2"/>
        <v>7</v>
      </c>
      <c r="AF13" s="93" t="str">
        <f t="shared" si="3"/>
        <v>DO</v>
      </c>
      <c r="AG13" s="208">
        <f t="shared" si="4"/>
        <v>74.238095238095241</v>
      </c>
      <c r="AH13" s="283" t="str">
        <f t="shared" si="5"/>
        <v>APROBADO</v>
      </c>
      <c r="AI13" s="284"/>
      <c r="AJ13" s="284"/>
      <c r="AK13" s="284"/>
      <c r="AL13" s="284"/>
      <c r="AM13" s="285"/>
      <c r="AN13" s="95"/>
      <c r="AO13" s="95"/>
      <c r="AP13" s="95"/>
      <c r="AQ13" s="95"/>
      <c r="AR13" s="95"/>
    </row>
    <row r="14" spans="1:48" ht="12" customHeight="1" x14ac:dyDescent="0.35">
      <c r="A14" s="59">
        <v>6</v>
      </c>
      <c r="B14" s="90" t="str">
        <f>'C. FILIACION'!B13</f>
        <v>GOMEZ BELTRAN ALBERT NORMAN</v>
      </c>
      <c r="C14" s="201">
        <f>'ASIS 3 TRIM'!BJ13</f>
        <v>8.8888888888888893</v>
      </c>
      <c r="D14" s="91">
        <v>28</v>
      </c>
      <c r="E14" s="91">
        <v>31</v>
      </c>
      <c r="F14" s="31"/>
      <c r="G14" s="31"/>
      <c r="H14" s="31"/>
      <c r="I14" s="31"/>
      <c r="J14" s="31"/>
      <c r="K14" s="31"/>
      <c r="L14" s="31"/>
      <c r="M14" s="31"/>
      <c r="N14" s="31"/>
      <c r="O14" s="92">
        <f t="shared" si="0"/>
        <v>30</v>
      </c>
      <c r="P14" s="31">
        <v>35</v>
      </c>
      <c r="Q14" s="91">
        <v>34</v>
      </c>
      <c r="R14" s="91">
        <v>30</v>
      </c>
      <c r="S14" s="31"/>
      <c r="T14" s="31"/>
      <c r="U14" s="31"/>
      <c r="V14" s="31"/>
      <c r="W14" s="31"/>
      <c r="X14" s="31"/>
      <c r="Y14" s="31"/>
      <c r="Z14" s="31"/>
      <c r="AA14" s="91">
        <f t="shared" si="6"/>
        <v>9</v>
      </c>
      <c r="AB14" s="92">
        <f t="shared" si="1"/>
        <v>33</v>
      </c>
      <c r="AC14" s="31">
        <v>4</v>
      </c>
      <c r="AD14" s="31">
        <v>5</v>
      </c>
      <c r="AE14" s="92">
        <f t="shared" si="2"/>
        <v>9</v>
      </c>
      <c r="AF14" s="93" t="str">
        <f t="shared" si="3"/>
        <v>DP</v>
      </c>
      <c r="AG14" s="208">
        <f t="shared" si="4"/>
        <v>89.888888888888886</v>
      </c>
      <c r="AH14" s="283" t="str">
        <f t="shared" si="5"/>
        <v>APROBADO</v>
      </c>
      <c r="AI14" s="284"/>
      <c r="AJ14" s="284"/>
      <c r="AK14" s="284"/>
      <c r="AL14" s="284"/>
      <c r="AM14" s="285"/>
      <c r="AN14" s="95"/>
      <c r="AO14" s="95"/>
      <c r="AP14" s="95"/>
      <c r="AQ14" s="95"/>
      <c r="AR14" s="95"/>
    </row>
    <row r="15" spans="1:48" ht="12" customHeight="1" x14ac:dyDescent="0.35">
      <c r="A15" s="59">
        <v>7</v>
      </c>
      <c r="B15" s="90" t="str">
        <f>'C. FILIACION'!B14</f>
        <v>GOMEZ COSME MELANY KARINA</v>
      </c>
      <c r="C15" s="201">
        <f>'ASIS 3 TRIM'!BJ14</f>
        <v>7.7777777777777777</v>
      </c>
      <c r="D15" s="91">
        <v>10</v>
      </c>
      <c r="E15" s="91">
        <v>18</v>
      </c>
      <c r="F15" s="31"/>
      <c r="G15" s="31"/>
      <c r="H15" s="31"/>
      <c r="I15" s="31"/>
      <c r="J15" s="31"/>
      <c r="K15" s="31"/>
      <c r="L15" s="31"/>
      <c r="M15" s="31"/>
      <c r="N15" s="31"/>
      <c r="O15" s="92">
        <f t="shared" si="0"/>
        <v>14</v>
      </c>
      <c r="P15" s="31">
        <v>15</v>
      </c>
      <c r="Q15" s="91">
        <v>10</v>
      </c>
      <c r="R15" s="91">
        <v>30</v>
      </c>
      <c r="S15" s="31"/>
      <c r="T15" s="31"/>
      <c r="U15" s="31"/>
      <c r="V15" s="31"/>
      <c r="W15" s="31"/>
      <c r="X15" s="31"/>
      <c r="Y15" s="31"/>
      <c r="Z15" s="31"/>
      <c r="AA15" s="91">
        <f t="shared" si="6"/>
        <v>4.5714285714285712</v>
      </c>
      <c r="AB15" s="92">
        <f t="shared" si="1"/>
        <v>18</v>
      </c>
      <c r="AC15" s="31">
        <v>3</v>
      </c>
      <c r="AD15" s="31">
        <v>4</v>
      </c>
      <c r="AE15" s="92">
        <f t="shared" si="2"/>
        <v>7</v>
      </c>
      <c r="AF15" s="93" t="str">
        <f t="shared" si="3"/>
        <v>DA</v>
      </c>
      <c r="AG15" s="208">
        <f t="shared" si="4"/>
        <v>51.349206349206348</v>
      </c>
      <c r="AH15" s="283" t="str">
        <f t="shared" si="5"/>
        <v>APROBADO</v>
      </c>
      <c r="AI15" s="284"/>
      <c r="AJ15" s="284"/>
      <c r="AK15" s="284"/>
      <c r="AL15" s="284"/>
      <c r="AM15" s="285"/>
      <c r="AN15" s="95"/>
      <c r="AO15" s="95"/>
      <c r="AP15" s="95"/>
      <c r="AQ15" s="95"/>
      <c r="AR15" s="95"/>
    </row>
    <row r="16" spans="1:48" ht="12" customHeight="1" x14ac:dyDescent="0.35">
      <c r="A16" s="59">
        <v>8</v>
      </c>
      <c r="B16" s="90" t="str">
        <f>'C. FILIACION'!B15</f>
        <v>GONZALES ZUAZO KALEB RAMSES</v>
      </c>
      <c r="C16" s="201">
        <f>'ASIS 3 TRIM'!BJ15</f>
        <v>10</v>
      </c>
      <c r="D16" s="91">
        <v>33</v>
      </c>
      <c r="E16" s="91">
        <v>25</v>
      </c>
      <c r="F16" s="31"/>
      <c r="G16" s="31"/>
      <c r="H16" s="31"/>
      <c r="I16" s="31"/>
      <c r="J16" s="31"/>
      <c r="K16" s="31"/>
      <c r="L16" s="31"/>
      <c r="M16" s="31"/>
      <c r="N16" s="31"/>
      <c r="O16" s="92">
        <f t="shared" si="0"/>
        <v>29</v>
      </c>
      <c r="P16" s="31">
        <v>10</v>
      </c>
      <c r="Q16" s="91">
        <v>10</v>
      </c>
      <c r="R16" s="91">
        <v>30</v>
      </c>
      <c r="S16" s="31"/>
      <c r="T16" s="31"/>
      <c r="U16" s="31"/>
      <c r="V16" s="31"/>
      <c r="W16" s="31"/>
      <c r="X16" s="31"/>
      <c r="Y16" s="31"/>
      <c r="Z16" s="31"/>
      <c r="AA16" s="91">
        <f t="shared" si="6"/>
        <v>6.5714285714285712</v>
      </c>
      <c r="AB16" s="92">
        <f t="shared" si="1"/>
        <v>17</v>
      </c>
      <c r="AC16" s="31">
        <v>4</v>
      </c>
      <c r="AD16" s="31">
        <v>3</v>
      </c>
      <c r="AE16" s="92">
        <f t="shared" si="2"/>
        <v>7</v>
      </c>
      <c r="AF16" s="93" t="str">
        <f t="shared" si="3"/>
        <v>DO</v>
      </c>
      <c r="AG16" s="208">
        <f t="shared" si="4"/>
        <v>69.571428571428569</v>
      </c>
      <c r="AH16" s="283" t="str">
        <f t="shared" si="5"/>
        <v>APROBADO</v>
      </c>
      <c r="AI16" s="284"/>
      <c r="AJ16" s="284"/>
      <c r="AK16" s="284"/>
      <c r="AL16" s="284"/>
      <c r="AM16" s="285"/>
      <c r="AN16" s="95"/>
      <c r="AO16" s="95"/>
      <c r="AP16" s="95"/>
      <c r="AQ16" s="95"/>
      <c r="AR16" s="95"/>
    </row>
    <row r="17" spans="1:44" ht="12" customHeight="1" x14ac:dyDescent="0.35">
      <c r="A17" s="59">
        <v>9</v>
      </c>
      <c r="B17" s="90" t="str">
        <f>'C. FILIACION'!B16</f>
        <v>LEDEZMA AGUILAR ELVIS JHEFERSON</v>
      </c>
      <c r="C17" s="201">
        <f>'ASIS 3 TRIM'!BJ16</f>
        <v>10</v>
      </c>
      <c r="D17" s="91">
        <v>29</v>
      </c>
      <c r="E17" s="91">
        <v>27</v>
      </c>
      <c r="F17" s="31"/>
      <c r="G17" s="31"/>
      <c r="H17" s="31"/>
      <c r="I17" s="31"/>
      <c r="J17" s="31"/>
      <c r="K17" s="31"/>
      <c r="L17" s="31"/>
      <c r="M17" s="31"/>
      <c r="N17" s="31"/>
      <c r="O17" s="92">
        <f t="shared" si="0"/>
        <v>28</v>
      </c>
      <c r="P17" s="31">
        <v>32</v>
      </c>
      <c r="Q17" s="91">
        <v>34</v>
      </c>
      <c r="R17" s="91">
        <v>30</v>
      </c>
      <c r="S17" s="31"/>
      <c r="T17" s="31"/>
      <c r="U17" s="31"/>
      <c r="V17" s="31"/>
      <c r="W17" s="31"/>
      <c r="X17" s="31"/>
      <c r="Y17" s="31"/>
      <c r="Z17" s="31"/>
      <c r="AA17" s="91">
        <f t="shared" si="6"/>
        <v>8.5714285714285712</v>
      </c>
      <c r="AB17" s="92">
        <f t="shared" si="1"/>
        <v>32</v>
      </c>
      <c r="AC17" s="31">
        <v>5</v>
      </c>
      <c r="AD17" s="31">
        <v>5</v>
      </c>
      <c r="AE17" s="92">
        <f t="shared" si="2"/>
        <v>10</v>
      </c>
      <c r="AF17" s="93" t="str">
        <f t="shared" si="3"/>
        <v>DP</v>
      </c>
      <c r="AG17" s="208">
        <f t="shared" si="4"/>
        <v>88.571428571428569</v>
      </c>
      <c r="AH17" s="283" t="str">
        <f t="shared" si="5"/>
        <v>APROBADO</v>
      </c>
      <c r="AI17" s="284"/>
      <c r="AJ17" s="284"/>
      <c r="AK17" s="284"/>
      <c r="AL17" s="284"/>
      <c r="AM17" s="285"/>
      <c r="AN17" s="95"/>
      <c r="AO17" s="95"/>
      <c r="AP17" s="95"/>
      <c r="AQ17" s="95"/>
      <c r="AR17" s="95"/>
    </row>
    <row r="18" spans="1:44" ht="12" customHeight="1" x14ac:dyDescent="0.35">
      <c r="A18" s="59">
        <v>10</v>
      </c>
      <c r="B18" s="90" t="str">
        <f>'C. FILIACION'!B17</f>
        <v>LOBATON RODRIGUEZ JHONATAN A.</v>
      </c>
      <c r="C18" s="201">
        <f>'ASIS 3 TRIM'!BJ17</f>
        <v>6.666666666666667</v>
      </c>
      <c r="D18" s="91">
        <v>30</v>
      </c>
      <c r="E18" s="91">
        <v>22</v>
      </c>
      <c r="F18" s="31"/>
      <c r="G18" s="31"/>
      <c r="H18" s="31"/>
      <c r="I18" s="31"/>
      <c r="J18" s="31"/>
      <c r="K18" s="31"/>
      <c r="L18" s="31"/>
      <c r="M18" s="31"/>
      <c r="N18" s="31"/>
      <c r="O18" s="92">
        <f t="shared" si="0"/>
        <v>26</v>
      </c>
      <c r="P18" s="31">
        <v>10</v>
      </c>
      <c r="Q18" s="91">
        <v>10</v>
      </c>
      <c r="R18" s="91">
        <v>30</v>
      </c>
      <c r="S18" s="31"/>
      <c r="T18" s="31"/>
      <c r="U18" s="31"/>
      <c r="V18" s="31"/>
      <c r="W18" s="31"/>
      <c r="X18" s="31"/>
      <c r="Y18" s="31"/>
      <c r="Z18" s="31"/>
      <c r="AA18" s="91">
        <f t="shared" si="6"/>
        <v>6.1428571428571432</v>
      </c>
      <c r="AB18" s="92">
        <f t="shared" si="1"/>
        <v>17</v>
      </c>
      <c r="AC18" s="31">
        <v>4</v>
      </c>
      <c r="AD18" s="31">
        <v>4</v>
      </c>
      <c r="AE18" s="92">
        <f t="shared" si="2"/>
        <v>8</v>
      </c>
      <c r="AF18" s="93" t="str">
        <f t="shared" si="3"/>
        <v>DA</v>
      </c>
      <c r="AG18" s="208">
        <f t="shared" si="4"/>
        <v>63.80952380952381</v>
      </c>
      <c r="AH18" s="283" t="str">
        <f t="shared" si="5"/>
        <v>APROBADO</v>
      </c>
      <c r="AI18" s="284"/>
      <c r="AJ18" s="284"/>
      <c r="AK18" s="284"/>
      <c r="AL18" s="284"/>
      <c r="AM18" s="285"/>
      <c r="AN18" s="95"/>
      <c r="AO18" s="95"/>
      <c r="AP18" s="95"/>
      <c r="AQ18" s="95"/>
      <c r="AR18" s="95"/>
    </row>
    <row r="19" spans="1:44" ht="12" customHeight="1" x14ac:dyDescent="0.35">
      <c r="A19" s="59">
        <v>11</v>
      </c>
      <c r="B19" s="183" t="str">
        <f>'C. FILIACION'!B18</f>
        <v>MAMANI LOPEZ DAFNE MILDRED</v>
      </c>
      <c r="C19" s="203">
        <f>'ASIS 3 TRIM'!BJ18</f>
        <v>7.7777777777777777</v>
      </c>
      <c r="D19" s="184">
        <v>20</v>
      </c>
      <c r="E19" s="184">
        <v>21</v>
      </c>
      <c r="F19" s="184"/>
      <c r="G19" s="184"/>
      <c r="H19" s="184"/>
      <c r="I19" s="184"/>
      <c r="J19" s="184"/>
      <c r="K19" s="184"/>
      <c r="L19" s="184"/>
      <c r="M19" s="184"/>
      <c r="N19" s="184"/>
      <c r="O19" s="186">
        <f t="shared" si="0"/>
        <v>21</v>
      </c>
      <c r="P19" s="184">
        <v>10</v>
      </c>
      <c r="Q19" s="184">
        <v>10</v>
      </c>
      <c r="R19" s="184">
        <v>10</v>
      </c>
      <c r="S19" s="184"/>
      <c r="T19" s="184"/>
      <c r="U19" s="184"/>
      <c r="V19" s="184"/>
      <c r="W19" s="184"/>
      <c r="X19" s="184"/>
      <c r="Y19" s="184"/>
      <c r="Z19" s="184"/>
      <c r="AA19" s="184">
        <f t="shared" si="6"/>
        <v>4.4285714285714288</v>
      </c>
      <c r="AB19" s="186">
        <f t="shared" si="1"/>
        <v>10</v>
      </c>
      <c r="AC19" s="184">
        <v>3</v>
      </c>
      <c r="AD19" s="184">
        <v>4</v>
      </c>
      <c r="AE19" s="186">
        <f t="shared" si="2"/>
        <v>7</v>
      </c>
      <c r="AF19" s="187" t="str">
        <f t="shared" si="3"/>
        <v>ED</v>
      </c>
      <c r="AG19" s="209">
        <f t="shared" si="4"/>
        <v>50.206349206349209</v>
      </c>
      <c r="AH19" s="308" t="str">
        <f t="shared" si="5"/>
        <v>REPROBADO</v>
      </c>
      <c r="AI19" s="309"/>
      <c r="AJ19" s="309"/>
      <c r="AK19" s="309"/>
      <c r="AL19" s="309"/>
      <c r="AM19" s="310"/>
      <c r="AN19" s="95"/>
      <c r="AO19" s="95"/>
      <c r="AP19" s="95"/>
      <c r="AQ19" s="95"/>
      <c r="AR19" s="95"/>
    </row>
    <row r="20" spans="1:44" ht="12" customHeight="1" x14ac:dyDescent="0.35">
      <c r="A20" s="59">
        <v>12</v>
      </c>
      <c r="B20" s="183" t="str">
        <f>'C. FILIACION'!B19</f>
        <v>MARCONI PEREZ SINDEL LUANA</v>
      </c>
      <c r="C20" s="203">
        <f>'ASIS 3 TRIM'!BJ19</f>
        <v>5.5555555555555554</v>
      </c>
      <c r="D20" s="184">
        <v>15</v>
      </c>
      <c r="E20" s="184">
        <v>18</v>
      </c>
      <c r="F20" s="184"/>
      <c r="G20" s="184"/>
      <c r="H20" s="184"/>
      <c r="I20" s="184"/>
      <c r="J20" s="184"/>
      <c r="K20" s="184"/>
      <c r="L20" s="184"/>
      <c r="M20" s="184"/>
      <c r="N20" s="184"/>
      <c r="O20" s="186">
        <f t="shared" si="0"/>
        <v>17</v>
      </c>
      <c r="P20" s="184">
        <v>18</v>
      </c>
      <c r="Q20" s="184">
        <v>16</v>
      </c>
      <c r="R20" s="184">
        <v>28</v>
      </c>
      <c r="S20" s="184"/>
      <c r="T20" s="184"/>
      <c r="U20" s="184"/>
      <c r="V20" s="184"/>
      <c r="W20" s="184"/>
      <c r="X20" s="184"/>
      <c r="Y20" s="184"/>
      <c r="Z20" s="184"/>
      <c r="AA20" s="184">
        <f t="shared" si="6"/>
        <v>5.4285714285714288</v>
      </c>
      <c r="AB20" s="186">
        <f t="shared" si="1"/>
        <v>21</v>
      </c>
      <c r="AC20" s="184">
        <v>4</v>
      </c>
      <c r="AD20" s="184">
        <v>4</v>
      </c>
      <c r="AE20" s="186">
        <f t="shared" si="2"/>
        <v>8</v>
      </c>
      <c r="AF20" s="187" t="str">
        <f t="shared" si="3"/>
        <v>DA</v>
      </c>
      <c r="AG20" s="209">
        <f t="shared" si="4"/>
        <v>56.984126984126988</v>
      </c>
      <c r="AH20" s="308" t="str">
        <f t="shared" si="5"/>
        <v>APROBADO</v>
      </c>
      <c r="AI20" s="309"/>
      <c r="AJ20" s="309"/>
      <c r="AK20" s="309"/>
      <c r="AL20" s="309"/>
      <c r="AM20" s="310"/>
      <c r="AN20" s="95"/>
      <c r="AO20" s="95"/>
      <c r="AP20" s="95"/>
      <c r="AQ20" s="95"/>
      <c r="AR20" s="95"/>
    </row>
    <row r="21" spans="1:44" ht="12" customHeight="1" x14ac:dyDescent="0.35">
      <c r="A21" s="59">
        <v>13</v>
      </c>
      <c r="B21" s="90" t="str">
        <f>'C. FILIACION'!B20</f>
        <v>MENACHO LINEO ANDREA KIMBERLY</v>
      </c>
      <c r="C21" s="201">
        <f>'ASIS 3 TRIM'!BJ20</f>
        <v>8.8888888888888893</v>
      </c>
      <c r="D21" s="91">
        <v>27</v>
      </c>
      <c r="E21" s="91">
        <v>23</v>
      </c>
      <c r="F21" s="31"/>
      <c r="G21" s="31"/>
      <c r="H21" s="31"/>
      <c r="I21" s="31"/>
      <c r="J21" s="31"/>
      <c r="K21" s="31"/>
      <c r="L21" s="31"/>
      <c r="M21" s="31"/>
      <c r="N21" s="31"/>
      <c r="O21" s="92">
        <f t="shared" si="0"/>
        <v>25</v>
      </c>
      <c r="P21" s="31">
        <v>35</v>
      </c>
      <c r="Q21" s="91">
        <v>30</v>
      </c>
      <c r="R21" s="91">
        <v>28</v>
      </c>
      <c r="S21" s="31"/>
      <c r="T21" s="31"/>
      <c r="U21" s="31"/>
      <c r="V21" s="31"/>
      <c r="W21" s="31"/>
      <c r="X21" s="31"/>
      <c r="Y21" s="31"/>
      <c r="Z21" s="31"/>
      <c r="AA21" s="91">
        <f t="shared" si="6"/>
        <v>8</v>
      </c>
      <c r="AB21" s="92">
        <f t="shared" si="1"/>
        <v>31</v>
      </c>
      <c r="AC21" s="31">
        <v>3</v>
      </c>
      <c r="AD21" s="31">
        <v>4</v>
      </c>
      <c r="AE21" s="92">
        <f t="shared" si="2"/>
        <v>7</v>
      </c>
      <c r="AF21" s="93" t="str">
        <f t="shared" si="3"/>
        <v>DO</v>
      </c>
      <c r="AG21" s="208">
        <f t="shared" si="4"/>
        <v>79.888888888888886</v>
      </c>
      <c r="AH21" s="283" t="str">
        <f t="shared" si="5"/>
        <v>APROBADO</v>
      </c>
      <c r="AI21" s="284"/>
      <c r="AJ21" s="284"/>
      <c r="AK21" s="284"/>
      <c r="AL21" s="284"/>
      <c r="AM21" s="285"/>
      <c r="AN21" s="95"/>
      <c r="AO21" s="95"/>
      <c r="AP21" s="95"/>
      <c r="AQ21" s="95"/>
      <c r="AR21" s="95"/>
    </row>
    <row r="22" spans="1:44" ht="12" customHeight="1" x14ac:dyDescent="0.35">
      <c r="A22" s="59">
        <v>14</v>
      </c>
      <c r="B22" s="90" t="str">
        <f>'C. FILIACION'!B21</f>
        <v>PILLCO APAZA MARIAN ALEXANDRA</v>
      </c>
      <c r="C22" s="201">
        <f>'ASIS 3 TRIM'!BJ21</f>
        <v>10</v>
      </c>
      <c r="D22" s="91">
        <v>30</v>
      </c>
      <c r="E22" s="91">
        <v>30</v>
      </c>
      <c r="F22" s="31"/>
      <c r="G22" s="31"/>
      <c r="H22" s="31"/>
      <c r="I22" s="31"/>
      <c r="J22" s="31"/>
      <c r="K22" s="31"/>
      <c r="L22" s="31"/>
      <c r="M22" s="31"/>
      <c r="N22" s="31"/>
      <c r="O22" s="92">
        <f t="shared" si="0"/>
        <v>30</v>
      </c>
      <c r="P22" s="31">
        <v>10</v>
      </c>
      <c r="Q22" s="91">
        <v>34</v>
      </c>
      <c r="R22" s="91">
        <v>28</v>
      </c>
      <c r="S22" s="31"/>
      <c r="T22" s="31"/>
      <c r="U22" s="31"/>
      <c r="V22" s="31"/>
      <c r="W22" s="31"/>
      <c r="X22" s="31"/>
      <c r="Y22" s="31"/>
      <c r="Z22" s="31"/>
      <c r="AA22" s="91">
        <f t="shared" si="6"/>
        <v>7.7142857142857144</v>
      </c>
      <c r="AB22" s="92">
        <f t="shared" si="1"/>
        <v>24</v>
      </c>
      <c r="AC22" s="31">
        <v>4</v>
      </c>
      <c r="AD22" s="31">
        <v>5</v>
      </c>
      <c r="AE22" s="92">
        <f t="shared" si="2"/>
        <v>9</v>
      </c>
      <c r="AF22" s="93" t="str">
        <f t="shared" si="3"/>
        <v>DO</v>
      </c>
      <c r="AG22" s="208">
        <f t="shared" si="4"/>
        <v>80.714285714285722</v>
      </c>
      <c r="AH22" s="283" t="str">
        <f t="shared" si="5"/>
        <v>APROBADO</v>
      </c>
      <c r="AI22" s="284"/>
      <c r="AJ22" s="284"/>
      <c r="AK22" s="284"/>
      <c r="AL22" s="284"/>
      <c r="AM22" s="285"/>
      <c r="AN22" s="95"/>
      <c r="AO22" s="95"/>
      <c r="AP22" s="95"/>
      <c r="AQ22" s="95"/>
      <c r="AR22" s="95"/>
    </row>
    <row r="23" spans="1:44" ht="12" customHeight="1" x14ac:dyDescent="0.35">
      <c r="A23" s="59">
        <v>15</v>
      </c>
      <c r="B23" s="90" t="str">
        <f>'C. FILIACION'!B22</f>
        <v>RUEDA ALVAREZ GREGORY STEVEN</v>
      </c>
      <c r="C23" s="201">
        <f>'ASIS 3 TRIM'!BJ22</f>
        <v>10</v>
      </c>
      <c r="D23" s="91">
        <v>32</v>
      </c>
      <c r="E23" s="91">
        <v>25</v>
      </c>
      <c r="F23" s="31"/>
      <c r="G23" s="31"/>
      <c r="H23" s="31"/>
      <c r="I23" s="31"/>
      <c r="J23" s="31"/>
      <c r="K23" s="31"/>
      <c r="L23" s="31"/>
      <c r="M23" s="31"/>
      <c r="N23" s="31"/>
      <c r="O23" s="92">
        <f t="shared" si="0"/>
        <v>29</v>
      </c>
      <c r="P23" s="31">
        <v>10</v>
      </c>
      <c r="Q23" s="91">
        <v>35</v>
      </c>
      <c r="R23" s="91">
        <v>28</v>
      </c>
      <c r="S23" s="31"/>
      <c r="T23" s="31"/>
      <c r="U23" s="31"/>
      <c r="V23" s="31"/>
      <c r="W23" s="31"/>
      <c r="X23" s="31"/>
      <c r="Y23" s="31"/>
      <c r="Z23" s="31"/>
      <c r="AA23" s="91">
        <f t="shared" si="6"/>
        <v>7.5714285714285712</v>
      </c>
      <c r="AB23" s="92">
        <f t="shared" si="1"/>
        <v>24</v>
      </c>
      <c r="AC23" s="31">
        <v>4</v>
      </c>
      <c r="AD23" s="31">
        <v>4</v>
      </c>
      <c r="AE23" s="92">
        <f t="shared" si="2"/>
        <v>8</v>
      </c>
      <c r="AF23" s="93" t="str">
        <f t="shared" si="3"/>
        <v>DO</v>
      </c>
      <c r="AG23" s="208">
        <f t="shared" si="4"/>
        <v>78.571428571428569</v>
      </c>
      <c r="AH23" s="283" t="str">
        <f t="shared" si="5"/>
        <v>APROBADO</v>
      </c>
      <c r="AI23" s="284"/>
      <c r="AJ23" s="284"/>
      <c r="AK23" s="284"/>
      <c r="AL23" s="284"/>
      <c r="AM23" s="285"/>
      <c r="AN23" s="95"/>
      <c r="AO23" s="95"/>
      <c r="AP23" s="95"/>
      <c r="AQ23" s="95"/>
      <c r="AR23" s="95"/>
    </row>
    <row r="24" spans="1:44" ht="12" customHeight="1" x14ac:dyDescent="0.35">
      <c r="A24" s="59">
        <v>16</v>
      </c>
      <c r="B24" s="194" t="str">
        <f>'C. FILIACION'!B23</f>
        <v>VARGAS JOYCE BELEN</v>
      </c>
      <c r="C24" s="202">
        <f>'ASIS 3 TRIM'!BJ23</f>
        <v>1.1111111111111112</v>
      </c>
      <c r="D24" s="195">
        <v>10</v>
      </c>
      <c r="E24" s="195">
        <v>10</v>
      </c>
      <c r="F24" s="195"/>
      <c r="G24" s="195"/>
      <c r="H24" s="195"/>
      <c r="I24" s="195"/>
      <c r="J24" s="195"/>
      <c r="K24" s="195"/>
      <c r="L24" s="195"/>
      <c r="M24" s="195"/>
      <c r="N24" s="195"/>
      <c r="O24" s="196">
        <f t="shared" si="0"/>
        <v>10</v>
      </c>
      <c r="P24" s="195">
        <v>10</v>
      </c>
      <c r="Q24" s="195">
        <v>10</v>
      </c>
      <c r="R24" s="195">
        <v>10</v>
      </c>
      <c r="S24" s="195"/>
      <c r="T24" s="195"/>
      <c r="U24" s="195"/>
      <c r="V24" s="195"/>
      <c r="W24" s="195"/>
      <c r="X24" s="195"/>
      <c r="Y24" s="195"/>
      <c r="Z24" s="195"/>
      <c r="AA24" s="195">
        <f t="shared" si="6"/>
        <v>2.8571428571428572</v>
      </c>
      <c r="AB24" s="196">
        <f t="shared" si="1"/>
        <v>10</v>
      </c>
      <c r="AC24" s="195">
        <v>3</v>
      </c>
      <c r="AD24" s="195">
        <v>3</v>
      </c>
      <c r="AE24" s="196">
        <f t="shared" si="2"/>
        <v>6</v>
      </c>
      <c r="AF24" s="197" t="str">
        <f t="shared" si="3"/>
        <v>ED</v>
      </c>
      <c r="AG24" s="210">
        <f t="shared" si="4"/>
        <v>29.968253968253968</v>
      </c>
      <c r="AH24" s="311" t="str">
        <f t="shared" si="5"/>
        <v>REPROBADO</v>
      </c>
      <c r="AI24" s="312"/>
      <c r="AJ24" s="312"/>
      <c r="AK24" s="312"/>
      <c r="AL24" s="312"/>
      <c r="AM24" s="313"/>
      <c r="AN24" s="95"/>
      <c r="AO24" s="95"/>
      <c r="AP24" s="95"/>
      <c r="AQ24" s="95"/>
      <c r="AR24" s="95"/>
    </row>
    <row r="25" spans="1:44" ht="12" customHeight="1" x14ac:dyDescent="0.35">
      <c r="A25" s="59">
        <v>17</v>
      </c>
      <c r="B25" s="90" t="str">
        <f>'C. FILIACION'!B24</f>
        <v>ZURITA JIMENEZ ELMER ARTURO</v>
      </c>
      <c r="C25" s="201">
        <f>'ASIS 3 TRIM'!BJ24</f>
        <v>8.8888888888888893</v>
      </c>
      <c r="D25" s="91">
        <v>34</v>
      </c>
      <c r="E25" s="91">
        <v>30</v>
      </c>
      <c r="F25" s="31"/>
      <c r="G25" s="31"/>
      <c r="H25" s="31"/>
      <c r="I25" s="31"/>
      <c r="J25" s="31"/>
      <c r="K25" s="31"/>
      <c r="L25" s="31"/>
      <c r="M25" s="31"/>
      <c r="N25" s="31"/>
      <c r="O25" s="92">
        <f t="shared" si="0"/>
        <v>32</v>
      </c>
      <c r="P25" s="31">
        <v>35</v>
      </c>
      <c r="Q25" s="91">
        <v>34</v>
      </c>
      <c r="R25" s="91">
        <v>28</v>
      </c>
      <c r="S25" s="31"/>
      <c r="T25" s="31"/>
      <c r="U25" s="31"/>
      <c r="V25" s="31"/>
      <c r="W25" s="31"/>
      <c r="X25" s="31"/>
      <c r="Y25" s="31"/>
      <c r="Z25" s="31"/>
      <c r="AA25" s="91">
        <f t="shared" si="6"/>
        <v>9.1428571428571423</v>
      </c>
      <c r="AB25" s="92">
        <f t="shared" si="1"/>
        <v>32</v>
      </c>
      <c r="AC25" s="31">
        <v>3</v>
      </c>
      <c r="AD25" s="31">
        <v>4</v>
      </c>
      <c r="AE25" s="92">
        <f t="shared" si="2"/>
        <v>7</v>
      </c>
      <c r="AF25" s="93" t="str">
        <f t="shared" si="3"/>
        <v>DP</v>
      </c>
      <c r="AG25" s="208">
        <f t="shared" si="4"/>
        <v>89.031746031746025</v>
      </c>
      <c r="AH25" s="283" t="str">
        <f t="shared" si="5"/>
        <v>APROBADO</v>
      </c>
      <c r="AI25" s="284"/>
      <c r="AJ25" s="284"/>
      <c r="AK25" s="284"/>
      <c r="AL25" s="284"/>
      <c r="AM25" s="285"/>
      <c r="AN25" s="95"/>
      <c r="AO25" s="95"/>
      <c r="AP25" s="95"/>
      <c r="AQ25" s="95"/>
      <c r="AR25" s="95"/>
    </row>
    <row r="26" spans="1:44" ht="12" customHeight="1" x14ac:dyDescent="0.35">
      <c r="A26" s="59">
        <v>18</v>
      </c>
      <c r="B26" s="194" t="str">
        <f>'C. FILIACION'!B25</f>
        <v>ADRIAN FLORES EDDY BEYMAR</v>
      </c>
      <c r="C26" s="202">
        <f>'ASIS 3 TRIM'!BJ25</f>
        <v>4.4444444444444446</v>
      </c>
      <c r="D26" s="195">
        <v>10</v>
      </c>
      <c r="E26" s="195">
        <v>10</v>
      </c>
      <c r="F26" s="195"/>
      <c r="G26" s="195"/>
      <c r="H26" s="195"/>
      <c r="I26" s="195"/>
      <c r="J26" s="195"/>
      <c r="K26" s="195"/>
      <c r="L26" s="195"/>
      <c r="M26" s="195"/>
      <c r="N26" s="195"/>
      <c r="O26" s="196">
        <f t="shared" si="0"/>
        <v>10</v>
      </c>
      <c r="P26" s="195">
        <v>10</v>
      </c>
      <c r="Q26" s="195">
        <v>10</v>
      </c>
      <c r="R26" s="195">
        <v>10</v>
      </c>
      <c r="S26" s="195"/>
      <c r="T26" s="195"/>
      <c r="U26" s="195"/>
      <c r="V26" s="195"/>
      <c r="W26" s="195"/>
      <c r="X26" s="195"/>
      <c r="Y26" s="195"/>
      <c r="Z26" s="195"/>
      <c r="AA26" s="195">
        <f t="shared" si="6"/>
        <v>2.8571428571428572</v>
      </c>
      <c r="AB26" s="196">
        <f t="shared" si="1"/>
        <v>10</v>
      </c>
      <c r="AC26" s="195">
        <v>2</v>
      </c>
      <c r="AD26" s="195">
        <v>3</v>
      </c>
      <c r="AE26" s="196">
        <f t="shared" si="2"/>
        <v>5</v>
      </c>
      <c r="AF26" s="197" t="str">
        <f t="shared" si="3"/>
        <v>ED</v>
      </c>
      <c r="AG26" s="210">
        <f t="shared" si="4"/>
        <v>32.301587301587304</v>
      </c>
      <c r="AH26" s="311" t="str">
        <f t="shared" si="5"/>
        <v>REPROBADO</v>
      </c>
      <c r="AI26" s="312"/>
      <c r="AJ26" s="312"/>
      <c r="AK26" s="312"/>
      <c r="AL26" s="312"/>
      <c r="AM26" s="313"/>
      <c r="AN26" s="95"/>
      <c r="AO26" s="95"/>
      <c r="AP26" s="95"/>
      <c r="AQ26" s="95"/>
      <c r="AR26" s="95"/>
    </row>
    <row r="27" spans="1:44" ht="12" customHeight="1" x14ac:dyDescent="0.35">
      <c r="A27" s="59">
        <v>19</v>
      </c>
      <c r="B27" s="90" t="str">
        <f>'C. FILIACION'!B26</f>
        <v xml:space="preserve">VENTURA CHOQUE DANELY </v>
      </c>
      <c r="C27" s="201">
        <f>'ASIS 3 TRIM'!BJ26</f>
        <v>10</v>
      </c>
      <c r="D27" s="91">
        <v>29</v>
      </c>
      <c r="E27" s="91">
        <v>20</v>
      </c>
      <c r="F27" s="31"/>
      <c r="G27" s="31"/>
      <c r="H27" s="31"/>
      <c r="I27" s="31"/>
      <c r="J27" s="31"/>
      <c r="K27" s="31"/>
      <c r="L27" s="31"/>
      <c r="M27" s="31"/>
      <c r="N27" s="31"/>
      <c r="O27" s="92">
        <f t="shared" si="0"/>
        <v>25</v>
      </c>
      <c r="P27" s="31">
        <v>35</v>
      </c>
      <c r="Q27" s="91">
        <v>34</v>
      </c>
      <c r="R27" s="31">
        <v>28</v>
      </c>
      <c r="S27" s="31"/>
      <c r="T27" s="31"/>
      <c r="U27" s="31"/>
      <c r="V27" s="31"/>
      <c r="W27" s="31"/>
      <c r="X27" s="31"/>
      <c r="Y27" s="31"/>
      <c r="Z27" s="31"/>
      <c r="AA27" s="91">
        <f t="shared" si="6"/>
        <v>8.1428571428571423</v>
      </c>
      <c r="AB27" s="92">
        <f t="shared" si="1"/>
        <v>32</v>
      </c>
      <c r="AC27" s="31">
        <v>5</v>
      </c>
      <c r="AD27" s="31">
        <v>5</v>
      </c>
      <c r="AE27" s="92">
        <f t="shared" si="2"/>
        <v>10</v>
      </c>
      <c r="AF27" s="93" t="str">
        <f t="shared" si="3"/>
        <v>DP</v>
      </c>
      <c r="AG27" s="208">
        <f t="shared" si="4"/>
        <v>85.142857142857139</v>
      </c>
      <c r="AH27" s="283" t="str">
        <f t="shared" si="5"/>
        <v>APROBADO</v>
      </c>
      <c r="AI27" s="284"/>
      <c r="AJ27" s="284"/>
      <c r="AK27" s="284"/>
      <c r="AL27" s="284"/>
      <c r="AM27" s="285"/>
      <c r="AN27" s="95"/>
      <c r="AO27" s="95"/>
      <c r="AP27" s="95"/>
      <c r="AQ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83" t="str">
        <f t="shared" si="5"/>
        <v>APROBADO</v>
      </c>
      <c r="AI28" s="284"/>
      <c r="AJ28" s="284"/>
      <c r="AK28" s="284"/>
      <c r="AL28" s="284"/>
      <c r="AM28" s="285"/>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83" t="str">
        <f t="shared" si="5"/>
        <v>APROBADO</v>
      </c>
      <c r="AI29" s="284"/>
      <c r="AJ29" s="284"/>
      <c r="AK29" s="284"/>
      <c r="AL29" s="284"/>
      <c r="AM29" s="285"/>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83" t="str">
        <f t="shared" si="5"/>
        <v>APROBADO</v>
      </c>
      <c r="AI30" s="284"/>
      <c r="AJ30" s="284"/>
      <c r="AK30" s="284"/>
      <c r="AL30" s="284"/>
      <c r="AM30" s="285"/>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83" t="str">
        <f t="shared" si="5"/>
        <v>APROBADO</v>
      </c>
      <c r="AI31" s="284"/>
      <c r="AJ31" s="284"/>
      <c r="AK31" s="284"/>
      <c r="AL31" s="284"/>
      <c r="AM31" s="285"/>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83" t="str">
        <f t="shared" si="5"/>
        <v>APROBADO</v>
      </c>
      <c r="AI32" s="284"/>
      <c r="AJ32" s="284"/>
      <c r="AK32" s="284"/>
      <c r="AL32" s="284"/>
      <c r="AM32" s="285"/>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83" t="str">
        <f t="shared" si="5"/>
        <v>APROBADO</v>
      </c>
      <c r="AI33" s="284"/>
      <c r="AJ33" s="284"/>
      <c r="AK33" s="284"/>
      <c r="AL33" s="284"/>
      <c r="AM33" s="285"/>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83" t="str">
        <f t="shared" si="5"/>
        <v>APROBADO</v>
      </c>
      <c r="AI34" s="284"/>
      <c r="AJ34" s="284"/>
      <c r="AK34" s="284"/>
      <c r="AL34" s="284"/>
      <c r="AM34" s="285"/>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83" t="str">
        <f t="shared" si="5"/>
        <v>APROBADO</v>
      </c>
      <c r="AI35" s="284"/>
      <c r="AJ35" s="284"/>
      <c r="AK35" s="284"/>
      <c r="AL35" s="284"/>
      <c r="AM35" s="285"/>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83" t="str">
        <f t="shared" si="5"/>
        <v>APROBADO</v>
      </c>
      <c r="AI36" s="284"/>
      <c r="AJ36" s="284"/>
      <c r="AK36" s="284"/>
      <c r="AL36" s="284"/>
      <c r="AM36" s="285"/>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83" t="str">
        <f t="shared" si="5"/>
        <v>APROBADO</v>
      </c>
      <c r="AI37" s="284"/>
      <c r="AJ37" s="284"/>
      <c r="AK37" s="284"/>
      <c r="AL37" s="284"/>
      <c r="AM37" s="285"/>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83" t="str">
        <f t="shared" si="5"/>
        <v>APROBADO</v>
      </c>
      <c r="AI38" s="284"/>
      <c r="AJ38" s="284"/>
      <c r="AK38" s="284"/>
      <c r="AL38" s="284"/>
      <c r="AM38" s="285"/>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83" t="str">
        <f t="shared" si="5"/>
        <v>APROBADO</v>
      </c>
      <c r="AI39" s="284"/>
      <c r="AJ39" s="284"/>
      <c r="AK39" s="284"/>
      <c r="AL39" s="284"/>
      <c r="AM39" s="285"/>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83" t="str">
        <f t="shared" si="5"/>
        <v>APROBADO</v>
      </c>
      <c r="AI40" s="284"/>
      <c r="AJ40" s="284"/>
      <c r="AK40" s="284"/>
      <c r="AL40" s="284"/>
      <c r="AM40" s="285"/>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83" t="str">
        <f t="shared" si="5"/>
        <v>APROBADO</v>
      </c>
      <c r="AI41" s="284"/>
      <c r="AJ41" s="284"/>
      <c r="AK41" s="284"/>
      <c r="AL41" s="284"/>
      <c r="AM41" s="285"/>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83" t="str">
        <f t="shared" si="5"/>
        <v>APROBADO</v>
      </c>
      <c r="AI42" s="284"/>
      <c r="AJ42" s="284"/>
      <c r="AK42" s="284"/>
      <c r="AL42" s="284"/>
      <c r="AM42" s="285"/>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83" t="str">
        <f t="shared" si="5"/>
        <v>APROBADO</v>
      </c>
      <c r="AI43" s="284"/>
      <c r="AJ43" s="284"/>
      <c r="AK43" s="284"/>
      <c r="AL43" s="284"/>
      <c r="AM43" s="285"/>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83" t="str">
        <f t="shared" si="5"/>
        <v>APROBADO</v>
      </c>
      <c r="AI44" s="284"/>
      <c r="AJ44" s="284"/>
      <c r="AK44" s="284"/>
      <c r="AL44" s="284"/>
      <c r="AM44" s="285"/>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25" right="0.25" top="0.75" bottom="0.75" header="0.3" footer="0.3"/>
  <pageSetup scale="74"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D1000"/>
  <sheetViews>
    <sheetView workbookViewId="0">
      <selection activeCell="V27" sqref="A1:X27"/>
    </sheetView>
  </sheetViews>
  <sheetFormatPr baseColWidth="10" defaultColWidth="9.1328125" defaultRowHeight="15" customHeight="1" x14ac:dyDescent="0.35"/>
  <cols>
    <col min="1" max="1" width="1.6640625" customWidth="1"/>
    <col min="2" max="2" width="20.6640625" customWidth="1"/>
    <col min="3" max="7" width="2.1328125" customWidth="1"/>
    <col min="8" max="8" width="3.1328125" customWidth="1"/>
    <col min="9" max="13" width="2.1328125" customWidth="1"/>
    <col min="14" max="14" width="3.1328125" customWidth="1"/>
    <col min="15" max="19" width="2.1328125" customWidth="1"/>
    <col min="20" max="21" width="3.1328125" customWidth="1"/>
    <col min="22" max="22" width="9" customWidth="1"/>
    <col min="23" max="24" width="2.1328125" customWidth="1"/>
    <col min="25" max="28" width="1.6640625" customWidth="1"/>
  </cols>
  <sheetData>
    <row r="1" spans="1:30" ht="4.5" customHeight="1" x14ac:dyDescent="0.35"/>
    <row r="2" spans="1:30" ht="12.75" customHeight="1" x14ac:dyDescent="0.35">
      <c r="B2" s="237" t="s">
        <v>103</v>
      </c>
      <c r="C2" s="233"/>
      <c r="D2" s="233"/>
      <c r="E2" s="233"/>
      <c r="F2" s="233"/>
      <c r="G2" s="233"/>
      <c r="H2" s="233"/>
      <c r="I2" s="233"/>
      <c r="J2" s="233"/>
      <c r="K2" s="233"/>
      <c r="L2" s="233"/>
      <c r="M2" s="233"/>
      <c r="N2" s="233"/>
      <c r="O2" s="233"/>
      <c r="P2" s="233"/>
      <c r="Q2" s="233"/>
      <c r="R2" s="233"/>
      <c r="S2" s="233"/>
      <c r="T2" s="233"/>
      <c r="U2" s="233"/>
      <c r="V2" s="233"/>
      <c r="W2" s="233"/>
      <c r="X2" s="233"/>
      <c r="Y2" s="73"/>
      <c r="Z2" s="73"/>
      <c r="AA2" s="73"/>
      <c r="AB2" s="73"/>
    </row>
    <row r="3" spans="1:30"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Seguridad en sistemas informaticos</v>
      </c>
      <c r="V3" s="42"/>
      <c r="W3" s="42"/>
      <c r="X3" s="42"/>
    </row>
    <row r="4" spans="1:30"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t="str">
        <f>CARÁTULA!$C$19</f>
        <v>JOSÉ COAQUIRA COPA</v>
      </c>
      <c r="V4" s="40"/>
      <c r="W4" s="40"/>
      <c r="X4" s="40"/>
    </row>
    <row r="5" spans="1:30" ht="12.75" customHeight="1" x14ac:dyDescent="0.35">
      <c r="B5" s="38" t="s">
        <v>22</v>
      </c>
      <c r="C5" s="97" t="str">
        <f>CARÁTULA!$C$23</f>
        <v>6to de Secundaria</v>
      </c>
      <c r="D5" s="40"/>
      <c r="E5" s="40"/>
      <c r="F5" s="40"/>
      <c r="G5" s="40"/>
      <c r="H5" s="40"/>
      <c r="I5" s="40"/>
      <c r="J5" s="40"/>
      <c r="K5" s="40"/>
      <c r="L5" s="40"/>
      <c r="M5" s="40"/>
      <c r="N5" s="38"/>
      <c r="O5" s="38"/>
      <c r="P5" s="38"/>
      <c r="Q5" s="38"/>
      <c r="R5" s="43" t="s">
        <v>23</v>
      </c>
      <c r="S5" s="44"/>
      <c r="T5" s="44"/>
      <c r="U5" s="251">
        <f ca="1">TODAY()</f>
        <v>44543</v>
      </c>
      <c r="V5" s="233"/>
      <c r="W5" s="233"/>
      <c r="X5" s="233"/>
    </row>
    <row r="6" spans="1:30" ht="12.75" customHeight="1" x14ac:dyDescent="0.35">
      <c r="B6" s="38"/>
      <c r="C6" s="314" t="s">
        <v>4</v>
      </c>
      <c r="D6" s="284"/>
      <c r="E6" s="284"/>
      <c r="F6" s="284"/>
      <c r="G6" s="284"/>
      <c r="H6" s="285"/>
      <c r="I6" s="314" t="s">
        <v>10</v>
      </c>
      <c r="J6" s="284"/>
      <c r="K6" s="284"/>
      <c r="L6" s="284"/>
      <c r="M6" s="284"/>
      <c r="N6" s="285"/>
      <c r="O6" s="314" t="s">
        <v>16</v>
      </c>
      <c r="P6" s="284"/>
      <c r="Q6" s="284"/>
      <c r="R6" s="284"/>
      <c r="S6" s="284"/>
      <c r="T6" s="285"/>
      <c r="U6" s="319" t="s">
        <v>104</v>
      </c>
      <c r="V6" s="315" t="s">
        <v>105</v>
      </c>
      <c r="W6" s="68"/>
      <c r="X6" s="68"/>
    </row>
    <row r="7" spans="1:30" ht="12" customHeight="1" x14ac:dyDescent="0.35">
      <c r="B7" s="47"/>
      <c r="C7" s="317"/>
      <c r="D7" s="284"/>
      <c r="E7" s="284"/>
      <c r="F7" s="284"/>
      <c r="G7" s="285"/>
      <c r="H7" s="318" t="s">
        <v>106</v>
      </c>
      <c r="I7" s="317"/>
      <c r="J7" s="284"/>
      <c r="K7" s="284"/>
      <c r="L7" s="284"/>
      <c r="M7" s="285"/>
      <c r="N7" s="318" t="s">
        <v>106</v>
      </c>
      <c r="O7" s="317"/>
      <c r="P7" s="284"/>
      <c r="Q7" s="284"/>
      <c r="R7" s="284"/>
      <c r="S7" s="285"/>
      <c r="T7" s="299" t="s">
        <v>106</v>
      </c>
      <c r="U7" s="316"/>
      <c r="V7" s="316"/>
      <c r="W7" s="40"/>
      <c r="X7" s="40"/>
    </row>
    <row r="8" spans="1:30" ht="67.5" customHeight="1" x14ac:dyDescent="0.35">
      <c r="A8" s="48" t="s">
        <v>55</v>
      </c>
      <c r="B8" s="49" t="s">
        <v>56</v>
      </c>
      <c r="C8" s="98" t="s">
        <v>77</v>
      </c>
      <c r="D8" s="99" t="s">
        <v>78</v>
      </c>
      <c r="E8" s="99" t="s">
        <v>80</v>
      </c>
      <c r="F8" s="99" t="s">
        <v>81</v>
      </c>
      <c r="G8" s="99" t="s">
        <v>107</v>
      </c>
      <c r="H8" s="295"/>
      <c r="I8" s="98" t="s">
        <v>77</v>
      </c>
      <c r="J8" s="99" t="s">
        <v>78</v>
      </c>
      <c r="K8" s="99" t="s">
        <v>80</v>
      </c>
      <c r="L8" s="99" t="s">
        <v>81</v>
      </c>
      <c r="M8" s="99" t="s">
        <v>107</v>
      </c>
      <c r="N8" s="295"/>
      <c r="O8" s="98" t="s">
        <v>77</v>
      </c>
      <c r="P8" s="99" t="s">
        <v>78</v>
      </c>
      <c r="Q8" s="99" t="s">
        <v>80</v>
      </c>
      <c r="R8" s="99" t="s">
        <v>81</v>
      </c>
      <c r="S8" s="99" t="s">
        <v>107</v>
      </c>
      <c r="T8" s="295"/>
      <c r="U8" s="295"/>
      <c r="V8" s="295"/>
      <c r="W8" s="100"/>
      <c r="X8" s="100"/>
    </row>
    <row r="9" spans="1:30" ht="12" customHeight="1" x14ac:dyDescent="0.35">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88.571428571428569</v>
      </c>
      <c r="I9" s="31">
        <f>'VAL 2 TRIM'!C9</f>
        <v>10</v>
      </c>
      <c r="J9" s="31">
        <f>'VAL 2 TRIM'!O9</f>
        <v>31</v>
      </c>
      <c r="K9" s="31">
        <f>'VAL 2 TRIM'!AB9</f>
        <v>31</v>
      </c>
      <c r="L9" s="31">
        <f>'VAL 2 TRIM'!AA9</f>
        <v>10</v>
      </c>
      <c r="M9" s="31">
        <f>'VAL 2 TRIM'!AE9</f>
        <v>7</v>
      </c>
      <c r="N9" s="101">
        <f>'VAL 2 TRIM'!AG9</f>
        <v>89</v>
      </c>
      <c r="O9" s="31">
        <f>'VAL 3 TRIM'!C9</f>
        <v>10</v>
      </c>
      <c r="P9" s="31">
        <f>'VAL 3 TRIM'!O9</f>
        <v>33</v>
      </c>
      <c r="Q9" s="31">
        <f>'VAL 3 TRIM'!AB9</f>
        <v>33</v>
      </c>
      <c r="R9" s="31">
        <f>'VAL 3 TRIM'!AA9</f>
        <v>9.4285714285714288</v>
      </c>
      <c r="S9" s="31">
        <f>'VAL 3 TRIM'!AE9</f>
        <v>8</v>
      </c>
      <c r="T9" s="101">
        <f>'VAL 3 TRIM'!AG9</f>
        <v>93.428571428571431</v>
      </c>
      <c r="U9" s="102">
        <f t="shared" ref="U9:U44" si="0">AVERAGE(H9,N9,T9)</f>
        <v>90.333333333333329</v>
      </c>
      <c r="V9" s="103" t="str">
        <f t="shared" ref="V9:V44" si="1">IF(U9="","",(IF(AND(U9&gt;=1,U9&lt;=50.499),"REPROBADO",IF(AND(U9&gt;=50.5,U9&lt;=100),"APROBADO"))))</f>
        <v>APROBADO</v>
      </c>
      <c r="W9" s="104"/>
      <c r="X9" s="104"/>
      <c r="AC9" s="102">
        <v>87.899159663865547</v>
      </c>
      <c r="AD9" s="219">
        <f>(U9+AC9)/2</f>
        <v>89.116246498599438</v>
      </c>
    </row>
    <row r="10" spans="1:30" ht="12" customHeight="1" x14ac:dyDescent="0.35">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88.571428571428569</v>
      </c>
      <c r="I10" s="31">
        <f>'VAL 2 TRIM'!C10</f>
        <v>10</v>
      </c>
      <c r="J10" s="31">
        <f>'VAL 2 TRIM'!O10</f>
        <v>33</v>
      </c>
      <c r="K10" s="31">
        <f>'VAL 2 TRIM'!AB10</f>
        <v>30</v>
      </c>
      <c r="L10" s="31">
        <f>'VAL 2 TRIM'!AA10</f>
        <v>10</v>
      </c>
      <c r="M10" s="31">
        <f>'VAL 2 TRIM'!AE10</f>
        <v>10</v>
      </c>
      <c r="N10" s="101">
        <f>'VAL 2 TRIM'!AG10</f>
        <v>93</v>
      </c>
      <c r="O10" s="31">
        <f>'VAL 3 TRIM'!C10</f>
        <v>10</v>
      </c>
      <c r="P10" s="31">
        <f>'VAL 3 TRIM'!O10</f>
        <v>33</v>
      </c>
      <c r="Q10" s="31">
        <f>'VAL 3 TRIM'!AB10</f>
        <v>33</v>
      </c>
      <c r="R10" s="31">
        <f>'VAL 3 TRIM'!AA10</f>
        <v>9.4285714285714288</v>
      </c>
      <c r="S10" s="48">
        <f>'VAL 3 TRIM'!AE10</f>
        <v>10</v>
      </c>
      <c r="T10" s="101">
        <f>'VAL 3 TRIM'!AG10</f>
        <v>95.428571428571431</v>
      </c>
      <c r="U10" s="102">
        <f t="shared" si="0"/>
        <v>92.333333333333329</v>
      </c>
      <c r="V10" s="103" t="str">
        <f t="shared" si="1"/>
        <v>APROBADO</v>
      </c>
      <c r="W10" s="104"/>
      <c r="X10" s="104"/>
      <c r="AC10" s="102">
        <v>92.095238095238088</v>
      </c>
      <c r="AD10" s="219">
        <f t="shared" ref="AD10:AD27" si="2">(U10+AC10)/2</f>
        <v>92.214285714285708</v>
      </c>
    </row>
    <row r="11" spans="1:30" ht="12" customHeight="1" x14ac:dyDescent="0.35">
      <c r="A11" s="59">
        <v>3</v>
      </c>
      <c r="B11" s="198" t="str">
        <f>'C. FILIACION'!B10</f>
        <v>BOLAÑOS OVANDO MIJHAIL ALEXANDER</v>
      </c>
      <c r="C11" s="185">
        <f>'VAL 1 TRIM '!C11</f>
        <v>7</v>
      </c>
      <c r="D11" s="185">
        <f>'VAL 1 TRIM '!O11</f>
        <v>19</v>
      </c>
      <c r="E11" s="185">
        <f>'VAL 1 TRIM '!AB11</f>
        <v>17</v>
      </c>
      <c r="F11" s="185">
        <f>'VAL 1 TRIM '!AE11</f>
        <v>6</v>
      </c>
      <c r="G11" s="185">
        <f>'VAL 1 TRIM '!AE11</f>
        <v>6</v>
      </c>
      <c r="H11" s="212">
        <f>'VAL 1 TRIM '!AG11</f>
        <v>54.142857142857139</v>
      </c>
      <c r="I11" s="184">
        <f>'VAL 2 TRIM'!C11</f>
        <v>7.6923076923076925</v>
      </c>
      <c r="J11" s="184">
        <f>'VAL 2 TRIM'!O11</f>
        <v>8</v>
      </c>
      <c r="K11" s="184">
        <f>'VAL 2 TRIM'!AB11</f>
        <v>9</v>
      </c>
      <c r="L11" s="184">
        <f>'VAL 2 TRIM'!AA11</f>
        <v>3</v>
      </c>
      <c r="M11" s="184">
        <f>'VAL 2 TRIM'!AE11</f>
        <v>10</v>
      </c>
      <c r="N11" s="212">
        <f>'VAL 2 TRIM'!AG11</f>
        <v>37.692307692307693</v>
      </c>
      <c r="O11" s="184">
        <f>'VAL 3 TRIM'!C11</f>
        <v>6.666666666666667</v>
      </c>
      <c r="P11" s="184">
        <f>'VAL 3 TRIM'!O11</f>
        <v>14</v>
      </c>
      <c r="Q11" s="184">
        <f>'VAL 3 TRIM'!AB11</f>
        <v>12</v>
      </c>
      <c r="R11" s="184">
        <f>'VAL 3 TRIM'!AA11</f>
        <v>3.7142857142857144</v>
      </c>
      <c r="S11" s="185">
        <f>'VAL 3 TRIM'!AE11</f>
        <v>9</v>
      </c>
      <c r="T11" s="212">
        <f>'VAL 3 TRIM'!AG11</f>
        <v>45.38095238095238</v>
      </c>
      <c r="U11" s="213">
        <f t="shared" si="0"/>
        <v>45.738705738705733</v>
      </c>
      <c r="V11" s="214" t="str">
        <f t="shared" si="1"/>
        <v>REPROBADO</v>
      </c>
      <c r="W11" s="104"/>
      <c r="X11" s="104"/>
      <c r="AC11" s="102">
        <v>63.607843137254896</v>
      </c>
      <c r="AD11" s="219">
        <f t="shared" si="2"/>
        <v>54.673274437980311</v>
      </c>
    </row>
    <row r="12" spans="1:30" ht="12" customHeight="1" x14ac:dyDescent="0.35">
      <c r="A12" s="59">
        <v>4</v>
      </c>
      <c r="B12" s="188" t="str">
        <f>'C. FILIACION'!B11</f>
        <v>BRICHER ETHELBERT ISMAEL</v>
      </c>
      <c r="C12" s="189">
        <f>'VAL 1 TRIM '!C12</f>
        <v>3</v>
      </c>
      <c r="D12" s="189">
        <f>'VAL 1 TRIM '!O12</f>
        <v>14</v>
      </c>
      <c r="E12" s="189">
        <f>'VAL 1 TRIM '!AB12</f>
        <v>8</v>
      </c>
      <c r="F12" s="189">
        <f>'VAL 1 TRIM '!AE12</f>
        <v>4</v>
      </c>
      <c r="G12" s="189">
        <f>'VAL 1 TRIM '!AE12</f>
        <v>4</v>
      </c>
      <c r="H12" s="215">
        <f>'VAL 1 TRIM '!AG12</f>
        <v>32.142857142857139</v>
      </c>
      <c r="I12" s="195">
        <f>'VAL 2 TRIM'!C12</f>
        <v>1.5384615384615385</v>
      </c>
      <c r="J12" s="195">
        <f>'VAL 2 TRIM'!O12</f>
        <v>0</v>
      </c>
      <c r="K12" s="195">
        <f>'VAL 2 TRIM'!AB12</f>
        <v>0</v>
      </c>
      <c r="L12" s="195">
        <f>'VAL 2 TRIM'!AA12</f>
        <v>10</v>
      </c>
      <c r="M12" s="195">
        <f>'VAL 2 TRIM'!AE12</f>
        <v>10</v>
      </c>
      <c r="N12" s="215">
        <f>'VAL 2 TRIM'!AG12</f>
        <v>21.53846153846154</v>
      </c>
      <c r="O12" s="195">
        <f>'VAL 3 TRIM'!C12</f>
        <v>0</v>
      </c>
      <c r="P12" s="195">
        <f>'VAL 3 TRIM'!O12</f>
        <v>0</v>
      </c>
      <c r="Q12" s="195">
        <f>'VAL 3 TRIM'!AB12</f>
        <v>0</v>
      </c>
      <c r="R12" s="195">
        <f>'VAL 3 TRIM'!AA12</f>
        <v>0</v>
      </c>
      <c r="S12" s="189">
        <f>'VAL 3 TRIM'!AE12</f>
        <v>0</v>
      </c>
      <c r="T12" s="215">
        <f>'VAL 3 TRIM'!AG12</f>
        <v>0</v>
      </c>
      <c r="U12" s="216">
        <f t="shared" si="0"/>
        <v>17.893772893772894</v>
      </c>
      <c r="V12" s="217" t="str">
        <f t="shared" si="1"/>
        <v>REPROBADO</v>
      </c>
      <c r="W12" s="104"/>
      <c r="X12" s="104"/>
      <c r="AC12" s="216">
        <v>16.333333333333332</v>
      </c>
      <c r="AD12" s="219">
        <f t="shared" si="2"/>
        <v>17.113553113553113</v>
      </c>
    </row>
    <row r="13" spans="1:30" ht="12" customHeight="1" x14ac:dyDescent="0.35">
      <c r="A13" s="59">
        <v>5</v>
      </c>
      <c r="B13" s="60" t="str">
        <f>'C. FILIACION'!B12</f>
        <v>CANAVIRI QUISBERT ALEJANDRA ELENA</v>
      </c>
      <c r="C13" s="48">
        <f>'VAL 1 TRIM '!C13</f>
        <v>10</v>
      </c>
      <c r="D13" s="48">
        <f>'VAL 1 TRIM '!O13</f>
        <v>20</v>
      </c>
      <c r="E13" s="48">
        <f>'VAL 1 TRIM '!AB13</f>
        <v>21</v>
      </c>
      <c r="F13" s="48">
        <f>'VAL 1 TRIM '!AE13</f>
        <v>9</v>
      </c>
      <c r="G13" s="48">
        <f>'VAL 1 TRIM '!AE13</f>
        <v>9</v>
      </c>
      <c r="H13" s="101">
        <f>'VAL 1 TRIM '!AG13</f>
        <v>65.857142857142861</v>
      </c>
      <c r="I13" s="31">
        <f>'VAL 2 TRIM'!C13</f>
        <v>6.1538461538461542</v>
      </c>
      <c r="J13" s="31">
        <f>'VAL 2 TRIM'!O13</f>
        <v>23</v>
      </c>
      <c r="K13" s="31">
        <f>'VAL 2 TRIM'!AB13</f>
        <v>27</v>
      </c>
      <c r="L13" s="31">
        <f>'VAL 2 TRIM'!AA13</f>
        <v>8</v>
      </c>
      <c r="M13" s="31">
        <f>'VAL 2 TRIM'!AE13</f>
        <v>8</v>
      </c>
      <c r="N13" s="101">
        <f>'VAL 2 TRIM'!AG13</f>
        <v>72.15384615384616</v>
      </c>
      <c r="O13" s="31">
        <f>'VAL 3 TRIM'!C13</f>
        <v>6.666666666666667</v>
      </c>
      <c r="P13" s="31">
        <f>'VAL 3 TRIM'!O13</f>
        <v>28</v>
      </c>
      <c r="Q13" s="31">
        <f>'VAL 3 TRIM'!AB13</f>
        <v>25</v>
      </c>
      <c r="R13" s="31">
        <f>'VAL 3 TRIM'!AA13</f>
        <v>7.5714285714285712</v>
      </c>
      <c r="S13" s="48">
        <f>'VAL 3 TRIM'!AE13</f>
        <v>7</v>
      </c>
      <c r="T13" s="101">
        <f>'VAL 3 TRIM'!AG13</f>
        <v>74.238095238095241</v>
      </c>
      <c r="U13" s="102">
        <f t="shared" si="0"/>
        <v>70.749694749694754</v>
      </c>
      <c r="V13" s="103" t="str">
        <f t="shared" si="1"/>
        <v>APROBADO</v>
      </c>
      <c r="W13" s="104"/>
      <c r="X13" s="104"/>
      <c r="AC13" s="102">
        <v>73.358543417366946</v>
      </c>
      <c r="AD13" s="219">
        <f t="shared" si="2"/>
        <v>72.05411908353085</v>
      </c>
    </row>
    <row r="14" spans="1:30" ht="12" customHeight="1" x14ac:dyDescent="0.35">
      <c r="A14" s="59">
        <v>6</v>
      </c>
      <c r="B14" s="60" t="str">
        <f>'C. FILIACION'!B13</f>
        <v>GOMEZ BELTRAN ALBERT NORMAN</v>
      </c>
      <c r="C14" s="48">
        <f>'VAL 1 TRIM '!C14</f>
        <v>10</v>
      </c>
      <c r="D14" s="48">
        <f>'VAL 1 TRIM '!O14</f>
        <v>30</v>
      </c>
      <c r="E14" s="48">
        <f>'VAL 1 TRIM '!AB14</f>
        <v>24</v>
      </c>
      <c r="F14" s="48">
        <f>'VAL 1 TRIM '!AE14</f>
        <v>9</v>
      </c>
      <c r="G14" s="48">
        <f>'VAL 1 TRIM '!AE14</f>
        <v>9</v>
      </c>
      <c r="H14" s="101">
        <f>'VAL 1 TRIM '!AG14</f>
        <v>80.714285714285722</v>
      </c>
      <c r="I14" s="31">
        <f>'VAL 2 TRIM'!C14</f>
        <v>10</v>
      </c>
      <c r="J14" s="31">
        <f>'VAL 2 TRIM'!O14</f>
        <v>26</v>
      </c>
      <c r="K14" s="31">
        <f>'VAL 2 TRIM'!AB14</f>
        <v>28</v>
      </c>
      <c r="L14" s="31">
        <f>'VAL 2 TRIM'!AA14</f>
        <v>8</v>
      </c>
      <c r="M14" s="31">
        <f>'VAL 2 TRIM'!AE14</f>
        <v>8</v>
      </c>
      <c r="N14" s="101">
        <f>'VAL 2 TRIM'!AG14</f>
        <v>80</v>
      </c>
      <c r="O14" s="31">
        <f>'VAL 3 TRIM'!C14</f>
        <v>8.8888888888888893</v>
      </c>
      <c r="P14" s="31">
        <f>'VAL 3 TRIM'!O14</f>
        <v>30</v>
      </c>
      <c r="Q14" s="31">
        <f>'VAL 3 TRIM'!AB14</f>
        <v>33</v>
      </c>
      <c r="R14" s="31">
        <f>'VAL 3 TRIM'!AA14</f>
        <v>9</v>
      </c>
      <c r="S14" s="48">
        <f>'VAL 3 TRIM'!AE14</f>
        <v>9</v>
      </c>
      <c r="T14" s="101">
        <f>'VAL 3 TRIM'!AG14</f>
        <v>89.888888888888886</v>
      </c>
      <c r="U14" s="102">
        <f t="shared" si="0"/>
        <v>83.534391534391531</v>
      </c>
      <c r="V14" s="103" t="str">
        <f t="shared" si="1"/>
        <v>APROBADO</v>
      </c>
      <c r="W14" s="104"/>
      <c r="X14" s="104"/>
      <c r="AC14" s="102">
        <v>81.952380952380949</v>
      </c>
      <c r="AD14" s="219">
        <f t="shared" si="2"/>
        <v>82.74338624338624</v>
      </c>
    </row>
    <row r="15" spans="1:30" ht="12" customHeight="1" x14ac:dyDescent="0.35">
      <c r="A15" s="59">
        <v>7</v>
      </c>
      <c r="B15" s="60" t="str">
        <f>'C. FILIACION'!B14</f>
        <v>GOMEZ COSME MELANY KARINA</v>
      </c>
      <c r="C15" s="48">
        <f>'VAL 1 TRIM '!C15</f>
        <v>5</v>
      </c>
      <c r="D15" s="48">
        <f>'VAL 1 TRIM '!O15</f>
        <v>12</v>
      </c>
      <c r="E15" s="48">
        <f>'VAL 1 TRIM '!AB15</f>
        <v>12</v>
      </c>
      <c r="F15" s="48">
        <f>'VAL 1 TRIM '!AE15</f>
        <v>7</v>
      </c>
      <c r="G15" s="48">
        <f>'VAL 1 TRIM '!AE15</f>
        <v>7</v>
      </c>
      <c r="H15" s="101">
        <f>'VAL 1 TRIM '!AG15</f>
        <v>39.428571428571431</v>
      </c>
      <c r="I15" s="31">
        <f>'VAL 2 TRIM'!C15</f>
        <v>6.1538461538461542</v>
      </c>
      <c r="J15" s="31">
        <f>'VAL 2 TRIM'!O15</f>
        <v>16</v>
      </c>
      <c r="K15" s="31">
        <f>'VAL 2 TRIM'!AB15</f>
        <v>11</v>
      </c>
      <c r="L15" s="31">
        <f>'VAL 2 TRIM'!AA15</f>
        <v>10</v>
      </c>
      <c r="M15" s="31">
        <f>'VAL 2 TRIM'!AE15</f>
        <v>10</v>
      </c>
      <c r="N15" s="101">
        <f>'VAL 2 TRIM'!AG15</f>
        <v>53.153846153846153</v>
      </c>
      <c r="O15" s="31">
        <f>'VAL 3 TRIM'!C15</f>
        <v>7.7777777777777777</v>
      </c>
      <c r="P15" s="31">
        <f>'VAL 3 TRIM'!O15</f>
        <v>14</v>
      </c>
      <c r="Q15" s="31">
        <f>'VAL 3 TRIM'!AB15</f>
        <v>18</v>
      </c>
      <c r="R15" s="31">
        <f>'VAL 3 TRIM'!AA15</f>
        <v>4.5714285714285712</v>
      </c>
      <c r="S15" s="48">
        <f>'VAL 3 TRIM'!AE15</f>
        <v>7</v>
      </c>
      <c r="T15" s="101">
        <f>'VAL 3 TRIM'!AG15</f>
        <v>51.349206349206348</v>
      </c>
      <c r="U15" s="102">
        <f t="shared" si="0"/>
        <v>47.977207977207975</v>
      </c>
      <c r="V15" s="103" t="str">
        <f t="shared" si="1"/>
        <v>REPROBADO</v>
      </c>
      <c r="W15" s="104"/>
      <c r="X15" s="104"/>
      <c r="AC15" s="213">
        <v>56.924369747899163</v>
      </c>
      <c r="AD15" s="219">
        <f t="shared" si="2"/>
        <v>52.450788862553566</v>
      </c>
    </row>
    <row r="16" spans="1:30" ht="12" customHeight="1" x14ac:dyDescent="0.35">
      <c r="A16" s="59">
        <v>8</v>
      </c>
      <c r="B16" s="60" t="str">
        <f>'C. FILIACION'!B15</f>
        <v>GONZALES ZUAZO KALEB RAMSES</v>
      </c>
      <c r="C16" s="48">
        <f>'VAL 1 TRIM '!C16</f>
        <v>10</v>
      </c>
      <c r="D16" s="48">
        <f>'VAL 1 TRIM '!O16</f>
        <v>26</v>
      </c>
      <c r="E16" s="48">
        <f>'VAL 1 TRIM '!AB16</f>
        <v>18</v>
      </c>
      <c r="F16" s="48">
        <f>'VAL 1 TRIM '!AE16</f>
        <v>10</v>
      </c>
      <c r="G16" s="48">
        <f>'VAL 1 TRIM '!AE16</f>
        <v>10</v>
      </c>
      <c r="H16" s="101">
        <f>'VAL 1 TRIM '!AG16</f>
        <v>70.285714285714278</v>
      </c>
      <c r="I16" s="31">
        <f>'VAL 2 TRIM'!C16</f>
        <v>10</v>
      </c>
      <c r="J16" s="31">
        <f>'VAL 2 TRIM'!O16</f>
        <v>21</v>
      </c>
      <c r="K16" s="31">
        <f>'VAL 2 TRIM'!AB16</f>
        <v>15</v>
      </c>
      <c r="L16" s="31">
        <f>'VAL 2 TRIM'!AA16</f>
        <v>5</v>
      </c>
      <c r="M16" s="31">
        <f>'VAL 2 TRIM'!AE16</f>
        <v>6</v>
      </c>
      <c r="N16" s="101">
        <f>'VAL 2 TRIM'!AG16</f>
        <v>57</v>
      </c>
      <c r="O16" s="31">
        <f>'VAL 3 TRIM'!C16</f>
        <v>10</v>
      </c>
      <c r="P16" s="31">
        <f>'VAL 3 TRIM'!O16</f>
        <v>29</v>
      </c>
      <c r="Q16" s="31">
        <f>'VAL 3 TRIM'!AB16</f>
        <v>17</v>
      </c>
      <c r="R16" s="31">
        <f>'VAL 3 TRIM'!AA16</f>
        <v>6.5714285714285712</v>
      </c>
      <c r="S16" s="48">
        <f>'VAL 3 TRIM'!AE16</f>
        <v>7</v>
      </c>
      <c r="T16" s="101">
        <f>'VAL 3 TRIM'!AG16</f>
        <v>69.571428571428569</v>
      </c>
      <c r="U16" s="102">
        <f t="shared" si="0"/>
        <v>65.619047619047606</v>
      </c>
      <c r="V16" s="103" t="str">
        <f t="shared" si="1"/>
        <v>APROBADO</v>
      </c>
      <c r="W16" s="104"/>
      <c r="X16" s="104"/>
      <c r="AC16" s="102">
        <v>74.61904761904762</v>
      </c>
      <c r="AD16" s="219">
        <f t="shared" si="2"/>
        <v>70.11904761904762</v>
      </c>
    </row>
    <row r="17" spans="1:30" ht="12" customHeight="1" x14ac:dyDescent="0.35">
      <c r="A17" s="59">
        <v>9</v>
      </c>
      <c r="B17" s="60" t="str">
        <f>'C. FILIACION'!B16</f>
        <v>LEDEZMA AGUILAR ELVIS JHEFERSON</v>
      </c>
      <c r="C17" s="48">
        <f>'VAL 1 TRIM '!C17</f>
        <v>10</v>
      </c>
      <c r="D17" s="48">
        <f>'VAL 1 TRIM '!O17</f>
        <v>28</v>
      </c>
      <c r="E17" s="48">
        <f>'VAL 1 TRIM '!AB17</f>
        <v>31</v>
      </c>
      <c r="F17" s="48">
        <f>'VAL 1 TRIM '!AE17</f>
        <v>10</v>
      </c>
      <c r="G17" s="48">
        <f>'VAL 1 TRIM '!AE17</f>
        <v>10</v>
      </c>
      <c r="H17" s="101">
        <f>'VAL 1 TRIM '!AG17</f>
        <v>87.428571428571431</v>
      </c>
      <c r="I17" s="31">
        <f>'VAL 2 TRIM'!C17</f>
        <v>10</v>
      </c>
      <c r="J17" s="31">
        <f>'VAL 2 TRIM'!O17</f>
        <v>28</v>
      </c>
      <c r="K17" s="31">
        <f>'VAL 2 TRIM'!AB17</f>
        <v>31</v>
      </c>
      <c r="L17" s="31">
        <f>'VAL 2 TRIM'!AA17</f>
        <v>9</v>
      </c>
      <c r="M17" s="31">
        <f>'VAL 2 TRIM'!AE17</f>
        <v>9</v>
      </c>
      <c r="N17" s="101">
        <f>'VAL 2 TRIM'!AG17</f>
        <v>87</v>
      </c>
      <c r="O17" s="31">
        <f>'VAL 3 TRIM'!C17</f>
        <v>10</v>
      </c>
      <c r="P17" s="31">
        <f>'VAL 3 TRIM'!O17</f>
        <v>28</v>
      </c>
      <c r="Q17" s="31">
        <f>'VAL 3 TRIM'!AB17</f>
        <v>32</v>
      </c>
      <c r="R17" s="31">
        <f>'VAL 3 TRIM'!AA17</f>
        <v>8.5714285714285712</v>
      </c>
      <c r="S17" s="48">
        <f>'VAL 3 TRIM'!AE17</f>
        <v>10</v>
      </c>
      <c r="T17" s="101">
        <f>'VAL 3 TRIM'!AG17</f>
        <v>88.571428571428569</v>
      </c>
      <c r="U17" s="102">
        <f t="shared" si="0"/>
        <v>87.666666666666671</v>
      </c>
      <c r="V17" s="103" t="str">
        <f t="shared" si="1"/>
        <v>APROBADO</v>
      </c>
      <c r="W17" s="104"/>
      <c r="X17" s="104"/>
      <c r="AC17" s="102">
        <v>81.137254901960787</v>
      </c>
      <c r="AD17" s="219">
        <f t="shared" si="2"/>
        <v>84.401960784313729</v>
      </c>
    </row>
    <row r="18" spans="1:30" ht="12" customHeight="1" x14ac:dyDescent="0.35">
      <c r="A18" s="59">
        <v>10</v>
      </c>
      <c r="B18" s="60" t="str">
        <f>'C. FILIACION'!B17</f>
        <v>LOBATON RODRIGUEZ JHONATAN A.</v>
      </c>
      <c r="C18" s="48">
        <f>'VAL 1 TRIM '!C18</f>
        <v>8</v>
      </c>
      <c r="D18" s="48">
        <f>'VAL 1 TRIM '!O18</f>
        <v>23</v>
      </c>
      <c r="E18" s="48">
        <f>'VAL 1 TRIM '!AB18</f>
        <v>18</v>
      </c>
      <c r="F18" s="48">
        <f>'VAL 1 TRIM '!AE18</f>
        <v>9</v>
      </c>
      <c r="G18" s="48">
        <f>'VAL 1 TRIM '!AE18</f>
        <v>9</v>
      </c>
      <c r="H18" s="101">
        <f>'VAL 1 TRIM '!AG18</f>
        <v>63.857142857142854</v>
      </c>
      <c r="I18" s="31">
        <f>'VAL 2 TRIM'!C18</f>
        <v>7.6923076923076925</v>
      </c>
      <c r="J18" s="31">
        <f>'VAL 2 TRIM'!O18</f>
        <v>21</v>
      </c>
      <c r="K18" s="31">
        <f>'VAL 2 TRIM'!AB18</f>
        <v>19</v>
      </c>
      <c r="L18" s="31">
        <f>'VAL 2 TRIM'!AA18</f>
        <v>7</v>
      </c>
      <c r="M18" s="31">
        <f>'VAL 2 TRIM'!AE18</f>
        <v>10</v>
      </c>
      <c r="N18" s="101">
        <f>'VAL 2 TRIM'!AG18</f>
        <v>64.692307692307693</v>
      </c>
      <c r="O18" s="31">
        <f>'VAL 3 TRIM'!C18</f>
        <v>6.666666666666667</v>
      </c>
      <c r="P18" s="31">
        <f>'VAL 3 TRIM'!O18</f>
        <v>26</v>
      </c>
      <c r="Q18" s="31">
        <f>'VAL 3 TRIM'!AB18</f>
        <v>17</v>
      </c>
      <c r="R18" s="31">
        <f>'VAL 3 TRIM'!AA18</f>
        <v>6.1428571428571432</v>
      </c>
      <c r="S18" s="48">
        <f>'VAL 3 TRIM'!AE18</f>
        <v>8</v>
      </c>
      <c r="T18" s="101">
        <f>'VAL 3 TRIM'!AG18</f>
        <v>63.80952380952381</v>
      </c>
      <c r="U18" s="102">
        <f t="shared" si="0"/>
        <v>64.119658119658126</v>
      </c>
      <c r="V18" s="103" t="str">
        <f t="shared" si="1"/>
        <v>APROBADO</v>
      </c>
      <c r="W18" s="104"/>
      <c r="X18" s="104"/>
      <c r="AC18" s="102">
        <v>68.745098039215691</v>
      </c>
      <c r="AD18" s="219">
        <f t="shared" si="2"/>
        <v>66.432378079436916</v>
      </c>
    </row>
    <row r="19" spans="1:30" ht="12" customHeight="1" x14ac:dyDescent="0.35">
      <c r="A19" s="59">
        <v>11</v>
      </c>
      <c r="B19" s="60" t="str">
        <f>'C. FILIACION'!B18</f>
        <v>MAMANI LOPEZ DAFNE MILDRED</v>
      </c>
      <c r="C19" s="48">
        <f>'VAL 1 TRIM '!C19</f>
        <v>7</v>
      </c>
      <c r="D19" s="48">
        <f>'VAL 1 TRIM '!O19</f>
        <v>9</v>
      </c>
      <c r="E19" s="48">
        <f>'VAL 1 TRIM '!AB19</f>
        <v>15</v>
      </c>
      <c r="F19" s="48">
        <f>'VAL 1 TRIM '!AE19</f>
        <v>8</v>
      </c>
      <c r="G19" s="48">
        <f>'VAL 1 TRIM '!AE19</f>
        <v>8</v>
      </c>
      <c r="H19" s="101">
        <f>'VAL 1 TRIM '!AG19</f>
        <v>42.428571428571431</v>
      </c>
      <c r="I19" s="31">
        <f>'VAL 2 TRIM'!C19</f>
        <v>4.615384615384615</v>
      </c>
      <c r="J19" s="31">
        <f>'VAL 2 TRIM'!O19</f>
        <v>20</v>
      </c>
      <c r="K19" s="31">
        <f>'VAL 2 TRIM'!AB19</f>
        <v>16</v>
      </c>
      <c r="L19" s="31">
        <f>'VAL 2 TRIM'!AA19</f>
        <v>6</v>
      </c>
      <c r="M19" s="31">
        <f>'VAL 2 TRIM'!AE19</f>
        <v>6</v>
      </c>
      <c r="N19" s="101">
        <f>'VAL 2 TRIM'!AG19</f>
        <v>52.615384615384613</v>
      </c>
      <c r="O19" s="31">
        <f>'VAL 3 TRIM'!C19</f>
        <v>7.7777777777777777</v>
      </c>
      <c r="P19" s="31">
        <f>'VAL 3 TRIM'!O19</f>
        <v>21</v>
      </c>
      <c r="Q19" s="31">
        <f>'VAL 3 TRIM'!AB19</f>
        <v>10</v>
      </c>
      <c r="R19" s="31">
        <f>'VAL 3 TRIM'!AA19</f>
        <v>4.4285714285714288</v>
      </c>
      <c r="S19" s="48">
        <f>'VAL 3 TRIM'!AE19</f>
        <v>7</v>
      </c>
      <c r="T19" s="101">
        <f>'VAL 3 TRIM'!AG19</f>
        <v>50.206349206349209</v>
      </c>
      <c r="U19" s="102">
        <f t="shared" si="0"/>
        <v>48.416768416768413</v>
      </c>
      <c r="V19" s="103" t="str">
        <f t="shared" si="1"/>
        <v>REPROBADO</v>
      </c>
      <c r="W19" s="104"/>
      <c r="X19" s="104"/>
      <c r="AC19" s="102">
        <v>59.268907563025209</v>
      </c>
      <c r="AD19" s="219">
        <f t="shared" si="2"/>
        <v>53.842837989896807</v>
      </c>
    </row>
    <row r="20" spans="1:30" ht="12" customHeight="1" x14ac:dyDescent="0.35">
      <c r="A20" s="59">
        <v>12</v>
      </c>
      <c r="B20" s="60" t="str">
        <f>'C. FILIACION'!B19</f>
        <v>MARCONI PEREZ SINDEL LUANA</v>
      </c>
      <c r="C20" s="48">
        <f>'VAL 1 TRIM '!C20</f>
        <v>6</v>
      </c>
      <c r="D20" s="48">
        <f>'VAL 1 TRIM '!O20</f>
        <v>14</v>
      </c>
      <c r="E20" s="48">
        <f>'VAL 1 TRIM '!AB20</f>
        <v>10</v>
      </c>
      <c r="F20" s="48">
        <f>'VAL 1 TRIM '!AE20</f>
        <v>8</v>
      </c>
      <c r="G20" s="48">
        <f>'VAL 1 TRIM '!AE20</f>
        <v>8</v>
      </c>
      <c r="H20" s="101">
        <f>'VAL 1 TRIM '!AG20</f>
        <v>41.428571428571431</v>
      </c>
      <c r="I20" s="31">
        <f>'VAL 2 TRIM'!C20</f>
        <v>6.1538461538461542</v>
      </c>
      <c r="J20" s="31">
        <f>'VAL 2 TRIM'!O20</f>
        <v>18</v>
      </c>
      <c r="K20" s="31">
        <f>'VAL 2 TRIM'!AB20</f>
        <v>14</v>
      </c>
      <c r="L20" s="31">
        <f>'VAL 2 TRIM'!AA20</f>
        <v>7</v>
      </c>
      <c r="M20" s="31">
        <f>'VAL 2 TRIM'!AE20</f>
        <v>6</v>
      </c>
      <c r="N20" s="101">
        <f>'VAL 2 TRIM'!AG20</f>
        <v>51.153846153846153</v>
      </c>
      <c r="O20" s="31">
        <f>'VAL 3 TRIM'!C20</f>
        <v>5.5555555555555554</v>
      </c>
      <c r="P20" s="31">
        <f>'VAL 3 TRIM'!O20</f>
        <v>17</v>
      </c>
      <c r="Q20" s="31">
        <f>'VAL 3 TRIM'!AB20</f>
        <v>21</v>
      </c>
      <c r="R20" s="31">
        <f>'VAL 3 TRIM'!AA20</f>
        <v>5.4285714285714288</v>
      </c>
      <c r="S20" s="48">
        <f>'VAL 3 TRIM'!AE20</f>
        <v>8</v>
      </c>
      <c r="T20" s="101">
        <f>'VAL 3 TRIM'!AG20</f>
        <v>56.984126984126988</v>
      </c>
      <c r="U20" s="102">
        <f t="shared" si="0"/>
        <v>49.855514855514855</v>
      </c>
      <c r="V20" s="103" t="str">
        <f t="shared" si="1"/>
        <v>REPROBADO</v>
      </c>
      <c r="W20" s="104"/>
      <c r="X20" s="104"/>
      <c r="AC20" s="213">
        <v>53</v>
      </c>
      <c r="AD20" s="219">
        <f t="shared" si="2"/>
        <v>51.427757427757427</v>
      </c>
    </row>
    <row r="21" spans="1:30" ht="12" customHeight="1" x14ac:dyDescent="0.35">
      <c r="A21" s="59">
        <v>13</v>
      </c>
      <c r="B21" s="60" t="str">
        <f>'C. FILIACION'!B20</f>
        <v>MENACHO LINEO ANDREA KIMBERLY</v>
      </c>
      <c r="C21" s="48">
        <f>'VAL 1 TRIM '!C21</f>
        <v>10</v>
      </c>
      <c r="D21" s="48">
        <f>'VAL 1 TRIM '!O21</f>
        <v>28</v>
      </c>
      <c r="E21" s="48">
        <f>'VAL 1 TRIM '!AB21</f>
        <v>26</v>
      </c>
      <c r="F21" s="48">
        <f>'VAL 1 TRIM '!AE21</f>
        <v>8</v>
      </c>
      <c r="G21" s="48">
        <f>'VAL 1 TRIM '!AE21</f>
        <v>8</v>
      </c>
      <c r="H21" s="101">
        <f>'VAL 1 TRIM '!AG21</f>
        <v>79.714285714285722</v>
      </c>
      <c r="I21" s="31">
        <f>'VAL 2 TRIM'!C21</f>
        <v>10</v>
      </c>
      <c r="J21" s="31">
        <f>'VAL 2 TRIM'!O21</f>
        <v>21</v>
      </c>
      <c r="K21" s="31">
        <f>'VAL 2 TRIM'!AB21</f>
        <v>24</v>
      </c>
      <c r="L21" s="31">
        <f>'VAL 2 TRIM'!AA21</f>
        <v>8</v>
      </c>
      <c r="M21" s="31">
        <f>'VAL 2 TRIM'!AE21</f>
        <v>7</v>
      </c>
      <c r="N21" s="101">
        <f>'VAL 2 TRIM'!AG21</f>
        <v>70</v>
      </c>
      <c r="O21" s="31">
        <f>'VAL 3 TRIM'!C21</f>
        <v>8.8888888888888893</v>
      </c>
      <c r="P21" s="31">
        <f>'VAL 3 TRIM'!O21</f>
        <v>25</v>
      </c>
      <c r="Q21" s="31">
        <f>'VAL 3 TRIM'!AB21</f>
        <v>31</v>
      </c>
      <c r="R21" s="31">
        <f>'VAL 3 TRIM'!AA21</f>
        <v>8</v>
      </c>
      <c r="S21" s="48">
        <f>'VAL 3 TRIM'!AE21</f>
        <v>7</v>
      </c>
      <c r="T21" s="101">
        <f>'VAL 3 TRIM'!AG21</f>
        <v>79.888888888888886</v>
      </c>
      <c r="U21" s="102">
        <f t="shared" si="0"/>
        <v>76.534391534391531</v>
      </c>
      <c r="V21" s="103" t="str">
        <f t="shared" si="1"/>
        <v>APROBADO</v>
      </c>
      <c r="W21" s="104"/>
      <c r="X21" s="104"/>
      <c r="AC21" s="102">
        <v>69.047619047619051</v>
      </c>
      <c r="AD21" s="219">
        <f t="shared" si="2"/>
        <v>72.791005291005291</v>
      </c>
    </row>
    <row r="22" spans="1:30" ht="12" customHeight="1" x14ac:dyDescent="0.35">
      <c r="A22" s="59">
        <v>14</v>
      </c>
      <c r="B22" s="60" t="str">
        <f>'C. FILIACION'!B21</f>
        <v>PILLCO APAZA MARIAN ALEXANDRA</v>
      </c>
      <c r="C22" s="48">
        <f>'VAL 1 TRIM '!C22</f>
        <v>10</v>
      </c>
      <c r="D22" s="48">
        <f>'VAL 1 TRIM '!O22</f>
        <v>24</v>
      </c>
      <c r="E22" s="48">
        <f>'VAL 1 TRIM '!AB22</f>
        <v>25</v>
      </c>
      <c r="F22" s="48">
        <f>'VAL 1 TRIM '!AE22</f>
        <v>8</v>
      </c>
      <c r="G22" s="48">
        <f>'VAL 1 TRIM '!AE22</f>
        <v>8</v>
      </c>
      <c r="H22" s="101">
        <f>'VAL 1 TRIM '!AG22</f>
        <v>74</v>
      </c>
      <c r="I22" s="31">
        <f>'VAL 2 TRIM'!C22</f>
        <v>10</v>
      </c>
      <c r="J22" s="31">
        <f>'VAL 2 TRIM'!O22</f>
        <v>25</v>
      </c>
      <c r="K22" s="31">
        <f>'VAL 2 TRIM'!AB22</f>
        <v>18</v>
      </c>
      <c r="L22" s="31">
        <f>'VAL 2 TRIM'!AA22</f>
        <v>8</v>
      </c>
      <c r="M22" s="31">
        <f>'VAL 2 TRIM'!AE22</f>
        <v>10</v>
      </c>
      <c r="N22" s="101">
        <f>'VAL 2 TRIM'!AG22</f>
        <v>71</v>
      </c>
      <c r="O22" s="31">
        <f>'VAL 3 TRIM'!C22</f>
        <v>10</v>
      </c>
      <c r="P22" s="31">
        <f>'VAL 3 TRIM'!O22</f>
        <v>30</v>
      </c>
      <c r="Q22" s="31">
        <f>'VAL 3 TRIM'!AB22</f>
        <v>24</v>
      </c>
      <c r="R22" s="31">
        <f>'VAL 3 TRIM'!AA22</f>
        <v>7.7142857142857144</v>
      </c>
      <c r="S22" s="48">
        <f>'VAL 3 TRIM'!AE22</f>
        <v>9</v>
      </c>
      <c r="T22" s="101">
        <f>'VAL 3 TRIM'!AG22</f>
        <v>80.714285714285722</v>
      </c>
      <c r="U22" s="102">
        <f t="shared" si="0"/>
        <v>75.238095238095241</v>
      </c>
      <c r="V22" s="103" t="str">
        <f t="shared" si="1"/>
        <v>APROBADO</v>
      </c>
      <c r="W22" s="104"/>
      <c r="X22" s="104"/>
      <c r="AC22" s="102">
        <v>73.666666666666671</v>
      </c>
      <c r="AD22" s="219">
        <f t="shared" si="2"/>
        <v>74.452380952380963</v>
      </c>
    </row>
    <row r="23" spans="1:30" ht="12" customHeight="1" x14ac:dyDescent="0.35">
      <c r="A23" s="59">
        <v>15</v>
      </c>
      <c r="B23" s="60" t="str">
        <f>'C. FILIACION'!B22</f>
        <v>RUEDA ALVAREZ GREGORY STEVEN</v>
      </c>
      <c r="C23" s="48">
        <f>'VAL 1 TRIM '!C23</f>
        <v>10</v>
      </c>
      <c r="D23" s="48">
        <f>'VAL 1 TRIM '!O23</f>
        <v>27</v>
      </c>
      <c r="E23" s="48">
        <f>'VAL 1 TRIM '!AB23</f>
        <v>20</v>
      </c>
      <c r="F23" s="48">
        <f>'VAL 1 TRIM '!AE23</f>
        <v>9</v>
      </c>
      <c r="G23" s="48">
        <f>'VAL 1 TRIM '!AE23</f>
        <v>9</v>
      </c>
      <c r="H23" s="101">
        <f>'VAL 1 TRIM '!AG23</f>
        <v>72.714285714285722</v>
      </c>
      <c r="I23" s="31">
        <f>'VAL 2 TRIM'!C23</f>
        <v>10</v>
      </c>
      <c r="J23" s="31">
        <f>'VAL 2 TRIM'!O23</f>
        <v>21</v>
      </c>
      <c r="K23" s="31">
        <f>'VAL 2 TRIM'!AB23</f>
        <v>25</v>
      </c>
      <c r="L23" s="31">
        <f>'VAL 2 TRIM'!AA23</f>
        <v>9</v>
      </c>
      <c r="M23" s="31">
        <f>'VAL 2 TRIM'!AE23</f>
        <v>7</v>
      </c>
      <c r="N23" s="101">
        <f>'VAL 2 TRIM'!AG23</f>
        <v>72</v>
      </c>
      <c r="O23" s="31">
        <f>'VAL 3 TRIM'!C23</f>
        <v>10</v>
      </c>
      <c r="P23" s="31">
        <f>'VAL 3 TRIM'!O23</f>
        <v>29</v>
      </c>
      <c r="Q23" s="31">
        <f>'VAL 3 TRIM'!AB23</f>
        <v>24</v>
      </c>
      <c r="R23" s="31">
        <f>'VAL 3 TRIM'!AA23</f>
        <v>7.5714285714285712</v>
      </c>
      <c r="S23" s="48">
        <f>'VAL 3 TRIM'!AE23</f>
        <v>8</v>
      </c>
      <c r="T23" s="101">
        <f>'VAL 3 TRIM'!AG23</f>
        <v>78.571428571428569</v>
      </c>
      <c r="U23" s="102">
        <f t="shared" si="0"/>
        <v>74.428571428571431</v>
      </c>
      <c r="V23" s="103" t="str">
        <f t="shared" si="1"/>
        <v>APROBADO</v>
      </c>
      <c r="W23" s="104"/>
      <c r="X23" s="104"/>
      <c r="AC23" s="102">
        <v>72.476190476190482</v>
      </c>
      <c r="AD23" s="219">
        <f t="shared" si="2"/>
        <v>73.452380952380963</v>
      </c>
    </row>
    <row r="24" spans="1:30" ht="12" customHeight="1" x14ac:dyDescent="0.35">
      <c r="A24" s="59">
        <v>16</v>
      </c>
      <c r="B24" s="188" t="str">
        <f>'C. FILIACION'!B23</f>
        <v>VARGAS JOYCE BELEN</v>
      </c>
      <c r="C24" s="189">
        <f>'VAL 1 TRIM '!C24</f>
        <v>3</v>
      </c>
      <c r="D24" s="189">
        <f>'VAL 1 TRIM '!O24</f>
        <v>9</v>
      </c>
      <c r="E24" s="189">
        <f>'VAL 1 TRIM '!AB24</f>
        <v>13</v>
      </c>
      <c r="F24" s="189">
        <f>'VAL 1 TRIM '!AE24</f>
        <v>2</v>
      </c>
      <c r="G24" s="189">
        <f>'VAL 1 TRIM '!AE24</f>
        <v>2</v>
      </c>
      <c r="H24" s="215">
        <f>'VAL 1 TRIM '!AG24</f>
        <v>30.142857142857142</v>
      </c>
      <c r="I24" s="195">
        <f>'VAL 2 TRIM'!C24</f>
        <v>4</v>
      </c>
      <c r="J24" s="195">
        <f>'VAL 2 TRIM'!O24</f>
        <v>10</v>
      </c>
      <c r="K24" s="195">
        <f>'VAL 2 TRIM'!AB24</f>
        <v>10</v>
      </c>
      <c r="L24" s="195">
        <f>'VAL 2 TRIM'!AA24</f>
        <v>5</v>
      </c>
      <c r="M24" s="195">
        <f>'VAL 2 TRIM'!AE24</f>
        <v>10</v>
      </c>
      <c r="N24" s="215">
        <f>'VAL 2 TRIM'!AG24</f>
        <v>39</v>
      </c>
      <c r="O24" s="195">
        <f>'VAL 3 TRIM'!C24</f>
        <v>1.1111111111111112</v>
      </c>
      <c r="P24" s="195">
        <f>'VAL 3 TRIM'!O24</f>
        <v>10</v>
      </c>
      <c r="Q24" s="195">
        <f>'VAL 3 TRIM'!AB24</f>
        <v>10</v>
      </c>
      <c r="R24" s="195">
        <f>'VAL 3 TRIM'!AA24</f>
        <v>2.8571428571428572</v>
      </c>
      <c r="S24" s="189">
        <f>'VAL 3 TRIM'!AE24</f>
        <v>6</v>
      </c>
      <c r="T24" s="215">
        <f>'VAL 3 TRIM'!AG24</f>
        <v>29.968253968253968</v>
      </c>
      <c r="U24" s="216">
        <f t="shared" si="0"/>
        <v>33.037037037037038</v>
      </c>
      <c r="V24" s="217" t="str">
        <f t="shared" si="1"/>
        <v>REPROBADO</v>
      </c>
      <c r="W24" s="104"/>
      <c r="X24" s="104"/>
      <c r="AC24" s="216">
        <v>30.896825396825395</v>
      </c>
      <c r="AD24" s="219">
        <f t="shared" si="2"/>
        <v>31.966931216931215</v>
      </c>
    </row>
    <row r="25" spans="1:30" ht="12" customHeight="1" x14ac:dyDescent="0.35">
      <c r="A25" s="59">
        <v>17</v>
      </c>
      <c r="B25" s="60" t="str">
        <f>'C. FILIACION'!B24</f>
        <v>ZURITA JIMENEZ ELMER ARTURO</v>
      </c>
      <c r="C25" s="48">
        <f>'VAL 1 TRIM '!C25</f>
        <v>10</v>
      </c>
      <c r="D25" s="48">
        <f>'VAL 1 TRIM '!O25</f>
        <v>28</v>
      </c>
      <c r="E25" s="48">
        <f>'VAL 1 TRIM '!AB25</f>
        <v>28</v>
      </c>
      <c r="F25" s="48">
        <f>'VAL 1 TRIM '!AE25</f>
        <v>10</v>
      </c>
      <c r="G25" s="48">
        <f>'VAL 1 TRIM '!AE25</f>
        <v>10</v>
      </c>
      <c r="H25" s="101">
        <f>'VAL 1 TRIM '!AG25</f>
        <v>84</v>
      </c>
      <c r="I25" s="31">
        <f>'VAL 2 TRIM'!C25</f>
        <v>10</v>
      </c>
      <c r="J25" s="31">
        <f>'VAL 2 TRIM'!O25</f>
        <v>21</v>
      </c>
      <c r="K25" s="31">
        <f>'VAL 2 TRIM'!AB25</f>
        <v>31</v>
      </c>
      <c r="L25" s="31">
        <f>'VAL 2 TRIM'!AA25</f>
        <v>10</v>
      </c>
      <c r="M25" s="31">
        <f>'VAL 2 TRIM'!AE25</f>
        <v>8</v>
      </c>
      <c r="N25" s="101">
        <f>'VAL 2 TRIM'!AG25</f>
        <v>80</v>
      </c>
      <c r="O25" s="31">
        <f>'VAL 3 TRIM'!C25</f>
        <v>8.8888888888888893</v>
      </c>
      <c r="P25" s="31">
        <f>'VAL 3 TRIM'!O25</f>
        <v>32</v>
      </c>
      <c r="Q25" s="31">
        <f>'VAL 3 TRIM'!AB25</f>
        <v>32</v>
      </c>
      <c r="R25" s="31">
        <f>'VAL 3 TRIM'!AA25</f>
        <v>9.1428571428571423</v>
      </c>
      <c r="S25" s="48">
        <f>'VAL 3 TRIM'!AE25</f>
        <v>7</v>
      </c>
      <c r="T25" s="101">
        <f>'VAL 3 TRIM'!AG25</f>
        <v>89.031746031746025</v>
      </c>
      <c r="U25" s="102">
        <f t="shared" si="0"/>
        <v>84.343915343915342</v>
      </c>
      <c r="V25" s="103" t="str">
        <f t="shared" si="1"/>
        <v>APROBADO</v>
      </c>
      <c r="W25" s="104"/>
      <c r="X25" s="104"/>
      <c r="AC25" s="102">
        <v>81.666666666666671</v>
      </c>
      <c r="AD25" s="219">
        <f t="shared" si="2"/>
        <v>83.005291005291014</v>
      </c>
    </row>
    <row r="26" spans="1:30" ht="12" customHeight="1" x14ac:dyDescent="0.35">
      <c r="A26" s="59">
        <v>18</v>
      </c>
      <c r="B26" s="60" t="str">
        <f>'C. FILIACION'!B25</f>
        <v>ADRIAN FLORES EDDY BEYMAR</v>
      </c>
      <c r="C26" s="48">
        <f>'VAL 1 TRIM '!C26</f>
        <v>2</v>
      </c>
      <c r="D26" s="48">
        <f>'VAL 1 TRIM '!O26</f>
        <v>9</v>
      </c>
      <c r="E26" s="48">
        <f>'VAL 1 TRIM '!AB26</f>
        <v>14</v>
      </c>
      <c r="F26" s="48">
        <f>'VAL 1 TRIM '!AE26</f>
        <v>2</v>
      </c>
      <c r="G26" s="48">
        <f>'VAL 1 TRIM '!AE26</f>
        <v>2</v>
      </c>
      <c r="H26" s="101">
        <f>'VAL 1 TRIM '!AG26</f>
        <v>30.285714285714285</v>
      </c>
      <c r="I26" s="31">
        <f>'VAL 2 TRIM'!C26</f>
        <v>6.1538461538461542</v>
      </c>
      <c r="J26" s="31">
        <f>'VAL 2 TRIM'!O26</f>
        <v>16</v>
      </c>
      <c r="K26" s="31">
        <f>'VAL 2 TRIM'!AB26</f>
        <v>11</v>
      </c>
      <c r="L26" s="31">
        <f>'VAL 2 TRIM'!AA26</f>
        <v>10</v>
      </c>
      <c r="M26" s="31">
        <f>'VAL 2 TRIM'!AE26</f>
        <v>10</v>
      </c>
      <c r="N26" s="101">
        <f>'VAL 2 TRIM'!AG26</f>
        <v>53.153846153846153</v>
      </c>
      <c r="O26" s="31">
        <f>'VAL 3 TRIM'!C26</f>
        <v>4.4444444444444446</v>
      </c>
      <c r="P26" s="31">
        <f>'VAL 3 TRIM'!O26</f>
        <v>10</v>
      </c>
      <c r="Q26" s="31">
        <f>'VAL 3 TRIM'!AB26</f>
        <v>10</v>
      </c>
      <c r="R26" s="31">
        <f>'VAL 3 TRIM'!AA26</f>
        <v>2.8571428571428572</v>
      </c>
      <c r="S26" s="48">
        <f>'VAL 3 TRIM'!AE26</f>
        <v>5</v>
      </c>
      <c r="T26" s="101">
        <f>'VAL 3 TRIM'!AG26</f>
        <v>32.301587301587304</v>
      </c>
      <c r="U26" s="102">
        <f t="shared" si="0"/>
        <v>38.580382580382583</v>
      </c>
      <c r="V26" s="103" t="str">
        <f t="shared" si="1"/>
        <v>REPROBADO</v>
      </c>
      <c r="W26" s="104"/>
      <c r="X26" s="104"/>
      <c r="AC26" s="213">
        <v>37.831932773109244</v>
      </c>
      <c r="AD26" s="219">
        <f t="shared" si="2"/>
        <v>38.206157676745917</v>
      </c>
    </row>
    <row r="27" spans="1:30" ht="12" customHeight="1" x14ac:dyDescent="0.35">
      <c r="A27" s="59">
        <v>19</v>
      </c>
      <c r="B27" s="60" t="str">
        <f>'C. FILIACION'!B26</f>
        <v xml:space="preserve">VENTURA CHOQUE DANELY </v>
      </c>
      <c r="C27" s="48">
        <f>'VAL 1 TRIM '!C27</f>
        <v>10</v>
      </c>
      <c r="D27" s="48">
        <f>'VAL 1 TRIM '!O27</f>
        <v>21</v>
      </c>
      <c r="E27" s="48">
        <f>'VAL 1 TRIM '!AB27</f>
        <v>23</v>
      </c>
      <c r="F27" s="48">
        <f>'VAL 1 TRIM '!AE27</f>
        <v>8</v>
      </c>
      <c r="G27" s="48">
        <f>'VAL 1 TRIM '!AE27</f>
        <v>8</v>
      </c>
      <c r="H27" s="101">
        <f>'VAL 1 TRIM '!AG27</f>
        <v>71</v>
      </c>
      <c r="I27" s="31">
        <f>'VAL 2 TRIM'!C27</f>
        <v>8.75</v>
      </c>
      <c r="J27" s="31">
        <f>'VAL 2 TRIM'!O27</f>
        <v>18</v>
      </c>
      <c r="K27" s="31">
        <f>'VAL 2 TRIM'!AB27</f>
        <v>25</v>
      </c>
      <c r="L27" s="31">
        <f>'VAL 2 TRIM'!AA27</f>
        <v>10</v>
      </c>
      <c r="M27" s="31">
        <f>'VAL 2 TRIM'!AE27</f>
        <v>8</v>
      </c>
      <c r="N27" s="101">
        <f>'VAL 2 TRIM'!AG27</f>
        <v>69.75</v>
      </c>
      <c r="O27" s="31">
        <f>'VAL 3 TRIM'!C27</f>
        <v>10</v>
      </c>
      <c r="P27" s="31">
        <f>'VAL 3 TRIM'!O27</f>
        <v>25</v>
      </c>
      <c r="Q27" s="31">
        <f>'VAL 3 TRIM'!AB27</f>
        <v>32</v>
      </c>
      <c r="R27" s="31">
        <f>'VAL 3 TRIM'!AA27</f>
        <v>8.1428571428571423</v>
      </c>
      <c r="S27" s="48">
        <f>'VAL 3 TRIM'!AE27</f>
        <v>10</v>
      </c>
      <c r="T27" s="101">
        <f>'VAL 3 TRIM'!AG27</f>
        <v>85.142857142857139</v>
      </c>
      <c r="U27" s="102">
        <f t="shared" si="0"/>
        <v>75.297619047619051</v>
      </c>
      <c r="V27" s="103" t="str">
        <f t="shared" si="1"/>
        <v>APROBADO</v>
      </c>
      <c r="W27" s="104"/>
      <c r="X27" s="104"/>
      <c r="AC27" s="218">
        <v>59.285714285714285</v>
      </c>
      <c r="AD27" s="219">
        <f t="shared" si="2"/>
        <v>67.291666666666671</v>
      </c>
    </row>
    <row r="28" spans="1:30" ht="12" customHeight="1" x14ac:dyDescent="0.35">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30" ht="12" customHeight="1" x14ac:dyDescent="0.35">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30" ht="12" customHeight="1" x14ac:dyDescent="0.35">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30" ht="12" customHeight="1" x14ac:dyDescent="0.35">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30" ht="12" customHeight="1" x14ac:dyDescent="0.35">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5">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5">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5">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5">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5">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5">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5">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5">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5">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5">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5">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5">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328125" defaultRowHeight="15" customHeight="1" x14ac:dyDescent="0.35"/>
  <cols>
    <col min="1" max="1" width="1.6640625" customWidth="1"/>
    <col min="2" max="2" width="20.6640625" customWidth="1"/>
    <col min="3" max="6" width="3.6640625" customWidth="1"/>
    <col min="7" max="7" width="9" customWidth="1"/>
    <col min="8" max="8" width="1.1328125" customWidth="1"/>
    <col min="9" max="11" width="3.6640625" customWidth="1"/>
    <col min="12" max="13" width="4.6640625" customWidth="1"/>
    <col min="14" max="26" width="8.73046875" customWidth="1"/>
  </cols>
  <sheetData>
    <row r="1" spans="1:13" ht="4.5" customHeight="1" x14ac:dyDescent="0.35"/>
    <row r="2" spans="1:13" ht="12.75" customHeight="1" x14ac:dyDescent="0.35">
      <c r="B2" s="237" t="s">
        <v>103</v>
      </c>
      <c r="C2" s="233"/>
      <c r="D2" s="233"/>
      <c r="E2" s="233"/>
      <c r="F2" s="233"/>
      <c r="G2" s="233"/>
      <c r="H2" s="233"/>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6"/>
      <c r="L3" s="39" t="str">
        <f>CARÁTULA!$C$25</f>
        <v>Seguridad en sistemas informaticos</v>
      </c>
      <c r="M3" s="106"/>
    </row>
    <row r="4" spans="1:13" ht="12.75" customHeight="1" x14ac:dyDescent="0.35">
      <c r="B4" s="38" t="s">
        <v>14</v>
      </c>
      <c r="C4" s="39" t="str">
        <f>CARÁTULA!$C$21</f>
        <v>Secundaria</v>
      </c>
      <c r="D4" s="41"/>
      <c r="E4" s="40"/>
      <c r="F4" s="39"/>
      <c r="G4" s="40"/>
      <c r="H4" s="40"/>
      <c r="I4" s="40"/>
      <c r="J4" s="38" t="s">
        <v>52</v>
      </c>
      <c r="K4" s="106"/>
      <c r="L4" s="39" t="str">
        <f>CARÁTULA!$C$19</f>
        <v>JOSÉ COAQUIRA COPA</v>
      </c>
      <c r="M4" s="106"/>
    </row>
    <row r="5" spans="1:13" ht="12.75" customHeight="1" x14ac:dyDescent="0.35">
      <c r="B5" s="38" t="s">
        <v>22</v>
      </c>
      <c r="C5" s="39" t="str">
        <f>CARÁTULA!$C$23</f>
        <v>6to de Secundaria</v>
      </c>
      <c r="D5" s="38"/>
      <c r="E5" s="44"/>
      <c r="F5" s="322"/>
      <c r="G5" s="305"/>
      <c r="H5" s="44"/>
      <c r="I5" s="44"/>
      <c r="J5" s="38" t="s">
        <v>23</v>
      </c>
      <c r="K5" s="106"/>
      <c r="L5" s="251">
        <f ca="1">TODAY()</f>
        <v>44543</v>
      </c>
      <c r="M5" s="233"/>
    </row>
    <row r="6" spans="1:13" ht="12.75" customHeight="1" x14ac:dyDescent="0.35">
      <c r="B6" s="38"/>
      <c r="C6" s="323" t="s">
        <v>108</v>
      </c>
      <c r="D6" s="284"/>
      <c r="E6" s="285"/>
      <c r="F6" s="319" t="s">
        <v>104</v>
      </c>
      <c r="G6" s="315" t="s">
        <v>105</v>
      </c>
      <c r="H6" s="68"/>
      <c r="I6" s="68"/>
    </row>
    <row r="7" spans="1:13" ht="12" customHeight="1" x14ac:dyDescent="0.35">
      <c r="B7" s="47"/>
      <c r="C7" s="320" t="s">
        <v>4</v>
      </c>
      <c r="D7" s="320" t="s">
        <v>109</v>
      </c>
      <c r="E7" s="321" t="s">
        <v>16</v>
      </c>
      <c r="F7" s="316"/>
      <c r="G7" s="316"/>
      <c r="H7" s="40"/>
      <c r="I7" s="40"/>
    </row>
    <row r="8" spans="1:13" ht="67.5" customHeight="1" x14ac:dyDescent="0.35">
      <c r="A8" s="48" t="s">
        <v>55</v>
      </c>
      <c r="B8" s="49" t="s">
        <v>56</v>
      </c>
      <c r="C8" s="295"/>
      <c r="D8" s="295"/>
      <c r="E8" s="295"/>
      <c r="F8" s="295"/>
      <c r="G8" s="295"/>
      <c r="H8" s="100"/>
      <c r="I8" s="100" t="s">
        <v>110</v>
      </c>
      <c r="J8" s="100" t="s">
        <v>111</v>
      </c>
      <c r="K8" s="100" t="s">
        <v>112</v>
      </c>
    </row>
    <row r="9" spans="1:13" ht="12" customHeight="1" x14ac:dyDescent="0.35">
      <c r="A9" s="59">
        <v>1</v>
      </c>
      <c r="B9" s="60" t="str">
        <f>'C. FILIACION'!B8</f>
        <v>ALTAMIRANO RAMOS ESTEFANI MILENKA</v>
      </c>
      <c r="C9" s="101">
        <f>'VAL 1 TRIM '!AG9</f>
        <v>88.571428571428569</v>
      </c>
      <c r="D9" s="101">
        <f>'VAL 2 TRIM'!AG9</f>
        <v>89</v>
      </c>
      <c r="E9" s="101">
        <f>'VAL 3 TRIM'!AG9</f>
        <v>93.428571428571431</v>
      </c>
      <c r="F9" s="102">
        <f>'CENTRAL 1'!U9</f>
        <v>90.333333333333329</v>
      </c>
      <c r="G9" s="103" t="str">
        <f t="shared" ref="G9:G44" si="0">IF(F9="","",(IF(AND(F9&gt;=1,F9&lt;=50.499),"REPROBADO",IF(AND(F9&gt;=50.5,F9&lt;=100),"APROBADO"))))</f>
        <v>APROBADO</v>
      </c>
      <c r="H9" s="104"/>
      <c r="I9" s="31">
        <f t="shared" ref="I9:K9" si="1">COUNTIF(C9:C44,"&gt;=51")</f>
        <v>30</v>
      </c>
      <c r="J9" s="107">
        <f t="shared" si="1"/>
        <v>33</v>
      </c>
      <c r="K9" s="107">
        <f t="shared" si="1"/>
        <v>31</v>
      </c>
    </row>
    <row r="10" spans="1:13" ht="12" customHeight="1" x14ac:dyDescent="0.35">
      <c r="A10" s="59">
        <v>2</v>
      </c>
      <c r="B10" s="60" t="str">
        <f>'C. FILIACION'!B9</f>
        <v>APAZA LINO TATIANA JAZMIN</v>
      </c>
      <c r="C10" s="101">
        <f>'VAL 1 TRIM '!AG10</f>
        <v>88.571428571428569</v>
      </c>
      <c r="D10" s="101">
        <f>'VAL 2 TRIM'!AG10</f>
        <v>93</v>
      </c>
      <c r="E10" s="101">
        <f>'VAL 3 TRIM'!AG10</f>
        <v>95.428571428571431</v>
      </c>
      <c r="F10" s="102">
        <f>'CENTRAL 1'!U10</f>
        <v>92.333333333333329</v>
      </c>
      <c r="G10" s="103" t="str">
        <f t="shared" si="0"/>
        <v>APROBADO</v>
      </c>
      <c r="H10" s="104"/>
      <c r="I10" s="108" t="s">
        <v>113</v>
      </c>
      <c r="J10" s="109"/>
    </row>
    <row r="11" spans="1:13" ht="12" customHeight="1" x14ac:dyDescent="0.35">
      <c r="A11" s="59">
        <v>3</v>
      </c>
      <c r="B11" s="60" t="str">
        <f>'C. FILIACION'!B10</f>
        <v>BOLAÑOS OVANDO MIJHAIL ALEXANDER</v>
      </c>
      <c r="C11" s="101">
        <f>'VAL 1 TRIM '!AG11</f>
        <v>54.142857142857139</v>
      </c>
      <c r="D11" s="101">
        <f>'VAL 2 TRIM'!AG11</f>
        <v>37.692307692307693</v>
      </c>
      <c r="E11" s="101">
        <f>'VAL 3 TRIM'!AG11</f>
        <v>45.38095238095238</v>
      </c>
      <c r="F11" s="102">
        <f>'CENTRAL 1'!U11</f>
        <v>45.738705738705733</v>
      </c>
      <c r="G11" s="103" t="str">
        <f t="shared" si="0"/>
        <v>REPROBADO</v>
      </c>
      <c r="H11" s="104"/>
      <c r="I11" s="104"/>
    </row>
    <row r="12" spans="1:13" ht="12" customHeight="1" x14ac:dyDescent="0.35">
      <c r="A12" s="59">
        <v>4</v>
      </c>
      <c r="B12" s="60" t="str">
        <f>'C. FILIACION'!B11</f>
        <v>BRICHER ETHELBERT ISMAEL</v>
      </c>
      <c r="C12" s="101">
        <f>'VAL 1 TRIM '!AG12</f>
        <v>32.142857142857139</v>
      </c>
      <c r="D12" s="101">
        <f>'VAL 2 TRIM'!AG12</f>
        <v>21.53846153846154</v>
      </c>
      <c r="E12" s="101">
        <f>'VAL 3 TRIM'!AG12</f>
        <v>0</v>
      </c>
      <c r="F12" s="102">
        <f>'CENTRAL 1'!U12</f>
        <v>17.893772893772894</v>
      </c>
      <c r="G12" s="103" t="str">
        <f t="shared" si="0"/>
        <v>REPROBADO</v>
      </c>
      <c r="H12" s="104"/>
      <c r="I12" s="104"/>
    </row>
    <row r="13" spans="1:13" ht="12" customHeight="1" x14ac:dyDescent="0.35">
      <c r="A13" s="59">
        <v>5</v>
      </c>
      <c r="B13" s="60" t="str">
        <f>'C. FILIACION'!B12</f>
        <v>CANAVIRI QUISBERT ALEJANDRA ELENA</v>
      </c>
      <c r="C13" s="101">
        <f>'VAL 1 TRIM '!AG13</f>
        <v>65.857142857142861</v>
      </c>
      <c r="D13" s="101">
        <f>'VAL 2 TRIM'!AG13</f>
        <v>72.15384615384616</v>
      </c>
      <c r="E13" s="101">
        <f>'VAL 3 TRIM'!AG13</f>
        <v>74.238095238095241</v>
      </c>
      <c r="F13" s="102">
        <f>'CENTRAL 1'!U13</f>
        <v>70.749694749694754</v>
      </c>
      <c r="G13" s="103" t="str">
        <f t="shared" si="0"/>
        <v>APROBADO</v>
      </c>
      <c r="H13" s="104"/>
      <c r="I13" s="107">
        <f t="shared" ref="I13:K13" si="2">COUNTIF(C9:C44,"&lt;=51")</f>
        <v>6</v>
      </c>
      <c r="J13" s="107">
        <f t="shared" si="2"/>
        <v>3</v>
      </c>
      <c r="K13" s="107">
        <f t="shared" si="2"/>
        <v>5</v>
      </c>
    </row>
    <row r="14" spans="1:13" ht="12" customHeight="1" x14ac:dyDescent="0.35">
      <c r="A14" s="59">
        <v>6</v>
      </c>
      <c r="B14" s="60" t="str">
        <f>'C. FILIACION'!B13</f>
        <v>GOMEZ BELTRAN ALBERT NORMAN</v>
      </c>
      <c r="C14" s="101">
        <f>'VAL 1 TRIM '!AG14</f>
        <v>80.714285714285722</v>
      </c>
      <c r="D14" s="101">
        <f>'VAL 2 TRIM'!AG14</f>
        <v>80</v>
      </c>
      <c r="E14" s="101">
        <f>'VAL 3 TRIM'!AG14</f>
        <v>89.888888888888886</v>
      </c>
      <c r="F14" s="102">
        <f>'CENTRAL 1'!U14</f>
        <v>83.534391534391531</v>
      </c>
      <c r="G14" s="103" t="str">
        <f t="shared" si="0"/>
        <v>APROBADO</v>
      </c>
      <c r="H14" s="104"/>
      <c r="I14" s="108" t="s">
        <v>114</v>
      </c>
    </row>
    <row r="15" spans="1:13" ht="12" customHeight="1" x14ac:dyDescent="0.35">
      <c r="A15" s="59">
        <v>7</v>
      </c>
      <c r="B15" s="60" t="str">
        <f>'C. FILIACION'!B14</f>
        <v>GOMEZ COSME MELANY KARINA</v>
      </c>
      <c r="C15" s="101">
        <f>'VAL 1 TRIM '!AG15</f>
        <v>39.428571428571431</v>
      </c>
      <c r="D15" s="101">
        <f>'VAL 2 TRIM'!AG15</f>
        <v>53.153846153846153</v>
      </c>
      <c r="E15" s="101">
        <f>'VAL 3 TRIM'!AG15</f>
        <v>51.349206349206348</v>
      </c>
      <c r="F15" s="102">
        <f>'CENTRAL 1'!U15</f>
        <v>47.977207977207975</v>
      </c>
      <c r="G15" s="103" t="str">
        <f t="shared" si="0"/>
        <v>REPROBADO</v>
      </c>
      <c r="H15" s="104"/>
      <c r="I15" s="104"/>
    </row>
    <row r="16" spans="1:13" ht="12" customHeight="1" x14ac:dyDescent="0.35">
      <c r="A16" s="59">
        <v>8</v>
      </c>
      <c r="B16" s="60" t="str">
        <f>'C. FILIACION'!B15</f>
        <v>GONZALES ZUAZO KALEB RAMSES</v>
      </c>
      <c r="C16" s="101">
        <f>'VAL 1 TRIM '!AG16</f>
        <v>70.285714285714278</v>
      </c>
      <c r="D16" s="101">
        <f>'VAL 2 TRIM'!AG16</f>
        <v>57</v>
      </c>
      <c r="E16" s="101">
        <f>'VAL 3 TRIM'!AG16</f>
        <v>69.571428571428569</v>
      </c>
      <c r="F16" s="102">
        <f>'CENTRAL 1'!U16</f>
        <v>65.619047619047606</v>
      </c>
      <c r="G16" s="103" t="str">
        <f t="shared" si="0"/>
        <v>APROBADO</v>
      </c>
      <c r="H16" s="104"/>
      <c r="I16" s="104"/>
    </row>
    <row r="17" spans="1:9" ht="12" customHeight="1" x14ac:dyDescent="0.35">
      <c r="A17" s="59">
        <v>9</v>
      </c>
      <c r="B17" s="60" t="str">
        <f>'C. FILIACION'!B16</f>
        <v>LEDEZMA AGUILAR ELVIS JHEFERSON</v>
      </c>
      <c r="C17" s="101">
        <f>'VAL 1 TRIM '!AG17</f>
        <v>87.428571428571431</v>
      </c>
      <c r="D17" s="101">
        <f>'VAL 2 TRIM'!AG17</f>
        <v>87</v>
      </c>
      <c r="E17" s="101">
        <f>'VAL 3 TRIM'!AG17</f>
        <v>88.571428571428569</v>
      </c>
      <c r="F17" s="102">
        <f>'CENTRAL 1'!U17</f>
        <v>87.666666666666671</v>
      </c>
      <c r="G17" s="103" t="str">
        <f t="shared" si="0"/>
        <v>APROBADO</v>
      </c>
      <c r="H17" s="104"/>
      <c r="I17" s="104"/>
    </row>
    <row r="18" spans="1:9" ht="12" customHeight="1" x14ac:dyDescent="0.35">
      <c r="A18" s="59">
        <v>10</v>
      </c>
      <c r="B18" s="60" t="str">
        <f>'C. FILIACION'!B17</f>
        <v>LOBATON RODRIGUEZ JHONATAN A.</v>
      </c>
      <c r="C18" s="101">
        <f>'VAL 1 TRIM '!AG18</f>
        <v>63.857142857142854</v>
      </c>
      <c r="D18" s="101">
        <f>'VAL 2 TRIM'!AG18</f>
        <v>64.692307692307693</v>
      </c>
      <c r="E18" s="101">
        <f>'VAL 3 TRIM'!AG18</f>
        <v>63.80952380952381</v>
      </c>
      <c r="F18" s="102">
        <f>'CENTRAL 1'!U18</f>
        <v>64.119658119658126</v>
      </c>
      <c r="G18" s="103" t="str">
        <f t="shared" si="0"/>
        <v>APROBADO</v>
      </c>
      <c r="H18" s="104"/>
      <c r="I18" s="104"/>
    </row>
    <row r="19" spans="1:9" ht="12" customHeight="1" x14ac:dyDescent="0.35">
      <c r="A19" s="59">
        <v>11</v>
      </c>
      <c r="B19" s="60" t="str">
        <f>'C. FILIACION'!B18</f>
        <v>MAMANI LOPEZ DAFNE MILDRED</v>
      </c>
      <c r="C19" s="101">
        <f>'VAL 1 TRIM '!AG19</f>
        <v>42.428571428571431</v>
      </c>
      <c r="D19" s="101">
        <f>'VAL 2 TRIM'!AG19</f>
        <v>52.615384615384613</v>
      </c>
      <c r="E19" s="101">
        <f>'VAL 3 TRIM'!AG19</f>
        <v>50.206349206349209</v>
      </c>
      <c r="F19" s="102">
        <f>'CENTRAL 1'!U19</f>
        <v>48.416768416768413</v>
      </c>
      <c r="G19" s="103" t="str">
        <f t="shared" si="0"/>
        <v>REPROBADO</v>
      </c>
      <c r="H19" s="104"/>
      <c r="I19" s="104"/>
    </row>
    <row r="20" spans="1:9" ht="12" customHeight="1" x14ac:dyDescent="0.35">
      <c r="A20" s="59">
        <v>12</v>
      </c>
      <c r="B20" s="60" t="str">
        <f>'C. FILIACION'!B19</f>
        <v>MARCONI PEREZ SINDEL LUANA</v>
      </c>
      <c r="C20" s="101">
        <f>'VAL 1 TRIM '!AG20</f>
        <v>41.428571428571431</v>
      </c>
      <c r="D20" s="101">
        <f>'VAL 2 TRIM'!AG20</f>
        <v>51.153846153846153</v>
      </c>
      <c r="E20" s="101">
        <f>'VAL 3 TRIM'!AG20</f>
        <v>56.984126984126988</v>
      </c>
      <c r="F20" s="102">
        <f>'CENTRAL 1'!U20</f>
        <v>49.855514855514855</v>
      </c>
      <c r="G20" s="103" t="str">
        <f t="shared" si="0"/>
        <v>REPROBADO</v>
      </c>
      <c r="H20" s="104"/>
      <c r="I20" s="104"/>
    </row>
    <row r="21" spans="1:9" ht="12" customHeight="1" x14ac:dyDescent="0.35">
      <c r="A21" s="59">
        <v>13</v>
      </c>
      <c r="B21" s="60" t="str">
        <f>'C. FILIACION'!B20</f>
        <v>MENACHO LINEO ANDREA KIMBERLY</v>
      </c>
      <c r="C21" s="101">
        <f>'VAL 1 TRIM '!AG21</f>
        <v>79.714285714285722</v>
      </c>
      <c r="D21" s="101">
        <f>'VAL 2 TRIM'!AG21</f>
        <v>70</v>
      </c>
      <c r="E21" s="101">
        <f>'VAL 3 TRIM'!AG21</f>
        <v>79.888888888888886</v>
      </c>
      <c r="F21" s="102">
        <f>'CENTRAL 1'!U21</f>
        <v>76.534391534391531</v>
      </c>
      <c r="G21" s="103" t="str">
        <f t="shared" si="0"/>
        <v>APROBADO</v>
      </c>
      <c r="H21" s="104"/>
      <c r="I21" s="104"/>
    </row>
    <row r="22" spans="1:9" ht="12" customHeight="1" x14ac:dyDescent="0.35">
      <c r="A22" s="59">
        <v>14</v>
      </c>
      <c r="B22" s="60" t="str">
        <f>'C. FILIACION'!B21</f>
        <v>PILLCO APAZA MARIAN ALEXANDRA</v>
      </c>
      <c r="C22" s="101">
        <f>'VAL 1 TRIM '!AG22</f>
        <v>74</v>
      </c>
      <c r="D22" s="101">
        <f>'VAL 2 TRIM'!AG22</f>
        <v>71</v>
      </c>
      <c r="E22" s="101">
        <f>'VAL 3 TRIM'!AG22</f>
        <v>80.714285714285722</v>
      </c>
      <c r="F22" s="102">
        <f>'CENTRAL 1'!U22</f>
        <v>75.238095238095241</v>
      </c>
      <c r="G22" s="103" t="str">
        <f t="shared" si="0"/>
        <v>APROBADO</v>
      </c>
      <c r="H22" s="104"/>
      <c r="I22" s="104"/>
    </row>
    <row r="23" spans="1:9" ht="12" customHeight="1" x14ac:dyDescent="0.35">
      <c r="A23" s="59">
        <v>15</v>
      </c>
      <c r="B23" s="60" t="str">
        <f>'C. FILIACION'!B22</f>
        <v>RUEDA ALVAREZ GREGORY STEVEN</v>
      </c>
      <c r="C23" s="101">
        <f>'VAL 1 TRIM '!AG23</f>
        <v>72.714285714285722</v>
      </c>
      <c r="D23" s="101">
        <f>'VAL 2 TRIM'!AG23</f>
        <v>72</v>
      </c>
      <c r="E23" s="101">
        <f>'VAL 3 TRIM'!AG23</f>
        <v>78.571428571428569</v>
      </c>
      <c r="F23" s="102">
        <f>'CENTRAL 1'!U23</f>
        <v>74.428571428571431</v>
      </c>
      <c r="G23" s="103" t="str">
        <f t="shared" si="0"/>
        <v>APROBADO</v>
      </c>
      <c r="H23" s="104"/>
      <c r="I23" s="104"/>
    </row>
    <row r="24" spans="1:9" ht="12" customHeight="1" x14ac:dyDescent="0.35">
      <c r="A24" s="59">
        <v>16</v>
      </c>
      <c r="B24" s="60" t="str">
        <f>'C. FILIACION'!B23</f>
        <v>VARGAS JOYCE BELEN</v>
      </c>
      <c r="C24" s="101">
        <f>'VAL 1 TRIM '!AG24</f>
        <v>30.142857142857142</v>
      </c>
      <c r="D24" s="101">
        <f>'VAL 2 TRIM'!AG24</f>
        <v>39</v>
      </c>
      <c r="E24" s="101">
        <f>'VAL 3 TRIM'!AG24</f>
        <v>29.968253968253968</v>
      </c>
      <c r="F24" s="102">
        <f>'CENTRAL 1'!U24</f>
        <v>33.037037037037038</v>
      </c>
      <c r="G24" s="103" t="str">
        <f t="shared" si="0"/>
        <v>REPROBADO</v>
      </c>
      <c r="H24" s="104"/>
      <c r="I24" s="104"/>
    </row>
    <row r="25" spans="1:9" ht="12" customHeight="1" x14ac:dyDescent="0.35">
      <c r="A25" s="59">
        <v>17</v>
      </c>
      <c r="B25" s="60" t="str">
        <f>'C. FILIACION'!B24</f>
        <v>ZURITA JIMENEZ ELMER ARTURO</v>
      </c>
      <c r="C25" s="101">
        <f>'VAL 1 TRIM '!AG25</f>
        <v>84</v>
      </c>
      <c r="D25" s="101">
        <f>'VAL 2 TRIM'!AG25</f>
        <v>80</v>
      </c>
      <c r="E25" s="101">
        <f>'VAL 3 TRIM'!AG25</f>
        <v>89.031746031746025</v>
      </c>
      <c r="F25" s="102">
        <f>'CENTRAL 1'!U25</f>
        <v>84.343915343915342</v>
      </c>
      <c r="G25" s="103" t="str">
        <f t="shared" si="0"/>
        <v>APROBADO</v>
      </c>
      <c r="H25" s="104"/>
      <c r="I25" s="104"/>
    </row>
    <row r="26" spans="1:9" ht="12" customHeight="1" x14ac:dyDescent="0.35">
      <c r="A26" s="59">
        <v>18</v>
      </c>
      <c r="B26" s="60" t="str">
        <f>'C. FILIACION'!B25</f>
        <v>ADRIAN FLORES EDDY BEYMAR</v>
      </c>
      <c r="C26" s="101">
        <f>'VAL 1 TRIM '!AG26</f>
        <v>30.285714285714285</v>
      </c>
      <c r="D26" s="101">
        <f>'VAL 2 TRIM'!AG26</f>
        <v>53.153846153846153</v>
      </c>
      <c r="E26" s="101">
        <f>'VAL 3 TRIM'!AG26</f>
        <v>32.301587301587304</v>
      </c>
      <c r="F26" s="102">
        <f>'CENTRAL 1'!U26</f>
        <v>38.580382580382583</v>
      </c>
      <c r="G26" s="103" t="str">
        <f t="shared" si="0"/>
        <v>REPROBADO</v>
      </c>
      <c r="H26" s="104"/>
      <c r="I26" s="104"/>
    </row>
    <row r="27" spans="1:9" ht="12" customHeight="1" x14ac:dyDescent="0.35">
      <c r="A27" s="59">
        <v>19</v>
      </c>
      <c r="B27" s="60" t="str">
        <f>'C. FILIACION'!B26</f>
        <v xml:space="preserve">VENTURA CHOQUE DANELY </v>
      </c>
      <c r="C27" s="101">
        <f>'VAL 1 TRIM '!AG27</f>
        <v>71</v>
      </c>
      <c r="D27" s="101">
        <f>'VAL 2 TRIM'!AG27</f>
        <v>69.75</v>
      </c>
      <c r="E27" s="101">
        <f>'VAL 3 TRIM'!AG27</f>
        <v>85.142857142857139</v>
      </c>
      <c r="F27" s="102">
        <f>'CENTRAL 1'!U27</f>
        <v>75.297619047619051</v>
      </c>
      <c r="G27" s="103" t="str">
        <f t="shared" si="0"/>
        <v>APROBADO</v>
      </c>
      <c r="H27" s="104"/>
      <c r="I27" s="104"/>
    </row>
    <row r="28" spans="1:9" ht="12" customHeight="1" x14ac:dyDescent="0.35">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5">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5">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5">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5">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5">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5">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5">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5">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5">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5">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5">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5">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5">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5">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5">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5">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27" t="s">
        <v>139</v>
      </c>
      <c r="C2" s="233"/>
      <c r="D2" s="233"/>
      <c r="E2" s="233"/>
      <c r="F2" s="233"/>
      <c r="G2" s="233"/>
      <c r="H2" s="233"/>
      <c r="I2" s="233"/>
      <c r="J2" s="233"/>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t="str">
        <f>CARÁTULA!$C$19</f>
        <v>JOSÉ COAQUIRA COPA</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44543</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116</v>
      </c>
      <c r="J6" s="110"/>
      <c r="K6" s="110"/>
      <c r="L6" s="110"/>
      <c r="M6" s="110"/>
      <c r="N6" s="110"/>
      <c r="O6" s="110"/>
      <c r="P6" s="110"/>
      <c r="Q6" s="110"/>
      <c r="R6" s="110"/>
      <c r="S6" s="110"/>
      <c r="T6" s="110"/>
      <c r="U6" s="110"/>
      <c r="V6" s="110"/>
      <c r="W6" s="110"/>
      <c r="X6" s="110"/>
      <c r="Y6" s="110"/>
      <c r="Z6" s="110"/>
    </row>
    <row r="7" spans="1:26" ht="20.399999999999999" x14ac:dyDescent="0.35">
      <c r="A7" s="110"/>
      <c r="B7" s="115" t="s">
        <v>97</v>
      </c>
      <c r="C7" s="114" t="s">
        <v>117</v>
      </c>
      <c r="D7" s="115" t="s">
        <v>118</v>
      </c>
      <c r="E7" s="116" t="s">
        <v>119</v>
      </c>
      <c r="F7" s="110"/>
      <c r="G7" s="117" t="s">
        <v>120</v>
      </c>
      <c r="H7" s="115">
        <f>'VAL 2 TRIM'!$AO$9</f>
        <v>3</v>
      </c>
      <c r="I7" s="118">
        <f>H7/H11</f>
        <v>8.3333333333333329E-2</v>
      </c>
      <c r="J7" s="110"/>
      <c r="K7" s="110"/>
      <c r="L7" s="110"/>
      <c r="M7" s="110"/>
      <c r="N7" s="110"/>
      <c r="O7" s="110"/>
      <c r="P7" s="110"/>
      <c r="Q7" s="110"/>
      <c r="R7" s="110"/>
      <c r="S7" s="110"/>
      <c r="T7" s="110"/>
      <c r="U7" s="110"/>
      <c r="V7" s="110"/>
      <c r="W7" s="110"/>
      <c r="X7" s="110"/>
      <c r="Y7" s="110"/>
      <c r="Z7" s="110"/>
    </row>
    <row r="8" spans="1:26" ht="20.399999999999999" x14ac:dyDescent="0.35">
      <c r="A8" s="110"/>
      <c r="B8" s="115" t="s">
        <v>98</v>
      </c>
      <c r="C8" s="114" t="s">
        <v>121</v>
      </c>
      <c r="D8" s="115" t="s">
        <v>122</v>
      </c>
      <c r="E8" s="116" t="s">
        <v>123</v>
      </c>
      <c r="F8" s="110"/>
      <c r="G8" s="117" t="s">
        <v>124</v>
      </c>
      <c r="H8" s="115">
        <f>'VAL 2 TRIM'!$AO$10</f>
        <v>6</v>
      </c>
      <c r="I8" s="118">
        <f>H8/H11</f>
        <v>0.16666666666666666</v>
      </c>
      <c r="J8" s="110"/>
      <c r="K8" s="110"/>
      <c r="L8" s="110"/>
      <c r="M8" s="110"/>
      <c r="N8" s="110"/>
      <c r="O8" s="110"/>
      <c r="P8" s="110"/>
      <c r="Q8" s="110"/>
      <c r="R8" s="110"/>
      <c r="S8" s="110"/>
      <c r="T8" s="110"/>
      <c r="U8" s="110"/>
      <c r="V8" s="110"/>
      <c r="W8" s="110"/>
      <c r="X8" s="110"/>
      <c r="Y8" s="110"/>
      <c r="Z8" s="110"/>
    </row>
    <row r="9" spans="1:26" ht="20.399999999999999" x14ac:dyDescent="0.35">
      <c r="A9" s="110"/>
      <c r="B9" s="115" t="s">
        <v>99</v>
      </c>
      <c r="C9" s="114" t="s">
        <v>125</v>
      </c>
      <c r="D9" s="115" t="s">
        <v>126</v>
      </c>
      <c r="E9" s="116" t="s">
        <v>123</v>
      </c>
      <c r="F9" s="110"/>
      <c r="G9" s="119" t="s">
        <v>127</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100</v>
      </c>
      <c r="C10" s="114" t="s">
        <v>128</v>
      </c>
      <c r="D10" s="115" t="s">
        <v>129</v>
      </c>
      <c r="E10" s="116" t="s">
        <v>123</v>
      </c>
      <c r="F10" s="110"/>
      <c r="G10" s="119" t="s">
        <v>130</v>
      </c>
      <c r="H10" s="115">
        <f>'VAL 2 TRIM'!$AO$12</f>
        <v>20</v>
      </c>
      <c r="I10" s="118">
        <f>H10/H11</f>
        <v>0.55555555555555558</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131</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28" t="s">
        <v>132</v>
      </c>
      <c r="C13" s="233"/>
      <c r="D13" s="233"/>
      <c r="E13" s="233"/>
      <c r="F13" s="233"/>
      <c r="G13" s="233"/>
      <c r="H13" s="233"/>
      <c r="I13" s="233"/>
      <c r="J13" s="233"/>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24" t="s">
        <v>133</v>
      </c>
      <c r="C15" s="240"/>
      <c r="D15" s="240"/>
      <c r="E15" s="240"/>
      <c r="F15" s="240"/>
      <c r="G15" s="240"/>
      <c r="H15" s="240"/>
      <c r="I15" s="240"/>
      <c r="J15" s="241"/>
      <c r="K15" s="110"/>
      <c r="L15" s="110"/>
      <c r="M15" s="110"/>
      <c r="N15" s="110"/>
      <c r="O15" s="110"/>
      <c r="P15" s="110"/>
      <c r="Q15" s="110"/>
      <c r="R15" s="110"/>
      <c r="S15" s="110"/>
      <c r="T15" s="110"/>
      <c r="U15" s="110"/>
      <c r="V15" s="110"/>
      <c r="W15" s="110"/>
      <c r="X15" s="110"/>
      <c r="Y15" s="110"/>
      <c r="Z15" s="110"/>
    </row>
    <row r="16" spans="1:26" ht="16.5" customHeight="1" x14ac:dyDescent="0.35">
      <c r="A16" s="110"/>
      <c r="B16" s="325"/>
      <c r="C16" s="233"/>
      <c r="D16" s="233"/>
      <c r="E16" s="233"/>
      <c r="F16" s="233"/>
      <c r="G16" s="233"/>
      <c r="H16" s="233"/>
      <c r="I16" s="233"/>
      <c r="J16" s="326"/>
      <c r="K16" s="110"/>
      <c r="L16" s="110"/>
      <c r="M16" s="110"/>
      <c r="N16" s="110"/>
      <c r="O16" s="110"/>
      <c r="P16" s="110"/>
      <c r="Q16" s="110"/>
      <c r="R16" s="110"/>
      <c r="S16" s="110"/>
      <c r="T16" s="110"/>
      <c r="U16" s="110"/>
      <c r="V16" s="110"/>
      <c r="W16" s="110"/>
      <c r="X16" s="110"/>
      <c r="Y16" s="110"/>
      <c r="Z16" s="110"/>
    </row>
    <row r="17" spans="1:26" ht="16.5" customHeight="1" x14ac:dyDescent="0.35">
      <c r="A17" s="110"/>
      <c r="B17" s="304"/>
      <c r="C17" s="305"/>
      <c r="D17" s="305"/>
      <c r="E17" s="305"/>
      <c r="F17" s="305"/>
      <c r="G17" s="305"/>
      <c r="H17" s="305"/>
      <c r="I17" s="305"/>
      <c r="J17" s="306"/>
      <c r="K17" s="110"/>
      <c r="L17" s="110"/>
      <c r="M17" s="110"/>
      <c r="N17" s="110"/>
      <c r="O17" s="110"/>
      <c r="P17" s="110"/>
      <c r="Q17" s="110"/>
      <c r="R17" s="110"/>
      <c r="S17" s="110"/>
      <c r="T17" s="110"/>
      <c r="U17" s="110"/>
      <c r="V17" s="110"/>
      <c r="W17" s="110"/>
      <c r="X17" s="110"/>
      <c r="Y17" s="110"/>
      <c r="Z17" s="110"/>
    </row>
    <row r="18" spans="1:26" ht="16.5" customHeight="1" x14ac:dyDescent="0.35">
      <c r="A18" s="110"/>
      <c r="B18" s="324" t="s">
        <v>134</v>
      </c>
      <c r="C18" s="240"/>
      <c r="D18" s="240"/>
      <c r="E18" s="240"/>
      <c r="F18" s="240"/>
      <c r="G18" s="240"/>
      <c r="H18" s="240"/>
      <c r="I18" s="240"/>
      <c r="J18" s="241"/>
      <c r="K18" s="110"/>
      <c r="L18" s="110"/>
      <c r="M18" s="110"/>
      <c r="N18" s="110"/>
      <c r="O18" s="110"/>
      <c r="P18" s="110"/>
      <c r="Q18" s="110"/>
      <c r="R18" s="110"/>
      <c r="S18" s="110"/>
      <c r="T18" s="110"/>
      <c r="U18" s="110"/>
      <c r="V18" s="110"/>
      <c r="W18" s="110"/>
      <c r="X18" s="110"/>
      <c r="Y18" s="110"/>
      <c r="Z18" s="110"/>
    </row>
    <row r="19" spans="1:26" ht="16.5" customHeight="1" x14ac:dyDescent="0.35">
      <c r="A19" s="110"/>
      <c r="B19" s="325"/>
      <c r="C19" s="233"/>
      <c r="D19" s="233"/>
      <c r="E19" s="233"/>
      <c r="F19" s="233"/>
      <c r="G19" s="233"/>
      <c r="H19" s="233"/>
      <c r="I19" s="233"/>
      <c r="J19" s="326"/>
      <c r="K19" s="110"/>
      <c r="L19" s="110"/>
      <c r="M19" s="110"/>
      <c r="N19" s="110"/>
      <c r="O19" s="110"/>
      <c r="P19" s="110"/>
      <c r="Q19" s="110"/>
      <c r="R19" s="110"/>
      <c r="S19" s="110"/>
      <c r="T19" s="110"/>
      <c r="U19" s="110"/>
      <c r="V19" s="110"/>
      <c r="W19" s="110"/>
      <c r="X19" s="110"/>
      <c r="Y19" s="110"/>
      <c r="Z19" s="110"/>
    </row>
    <row r="20" spans="1:26" ht="16.5" customHeight="1" x14ac:dyDescent="0.35">
      <c r="A20" s="110"/>
      <c r="B20" s="304"/>
      <c r="C20" s="305"/>
      <c r="D20" s="305"/>
      <c r="E20" s="305"/>
      <c r="F20" s="305"/>
      <c r="G20" s="305"/>
      <c r="H20" s="305"/>
      <c r="I20" s="305"/>
      <c r="J20" s="306"/>
      <c r="K20" s="110"/>
      <c r="L20" s="110"/>
      <c r="M20" s="110"/>
      <c r="N20" s="110"/>
      <c r="O20" s="110"/>
      <c r="P20" s="110"/>
      <c r="Q20" s="110"/>
      <c r="R20" s="110"/>
      <c r="S20" s="110"/>
      <c r="T20" s="110"/>
      <c r="U20" s="110"/>
      <c r="V20" s="110"/>
      <c r="W20" s="110"/>
      <c r="X20" s="110"/>
      <c r="Y20" s="110"/>
      <c r="Z20" s="110"/>
    </row>
    <row r="21" spans="1:26" ht="16.5" customHeight="1" x14ac:dyDescent="0.35">
      <c r="A21" s="110"/>
      <c r="B21" s="324" t="s">
        <v>135</v>
      </c>
      <c r="C21" s="240"/>
      <c r="D21" s="240"/>
      <c r="E21" s="240"/>
      <c r="F21" s="240"/>
      <c r="G21" s="240"/>
      <c r="H21" s="240"/>
      <c r="I21" s="240"/>
      <c r="J21" s="241"/>
      <c r="K21" s="110"/>
      <c r="L21" s="110"/>
      <c r="M21" s="110"/>
      <c r="N21" s="110"/>
      <c r="O21" s="110"/>
      <c r="P21" s="110"/>
      <c r="Q21" s="110"/>
      <c r="R21" s="110"/>
      <c r="S21" s="110"/>
      <c r="T21" s="110"/>
      <c r="U21" s="110"/>
      <c r="V21" s="110"/>
      <c r="W21" s="110"/>
      <c r="X21" s="110"/>
      <c r="Y21" s="110"/>
      <c r="Z21" s="110"/>
    </row>
    <row r="22" spans="1:26" ht="16.5" customHeight="1" x14ac:dyDescent="0.35">
      <c r="A22" s="110"/>
      <c r="B22" s="325"/>
      <c r="C22" s="233"/>
      <c r="D22" s="233"/>
      <c r="E22" s="233"/>
      <c r="F22" s="233"/>
      <c r="G22" s="233"/>
      <c r="H22" s="233"/>
      <c r="I22" s="233"/>
      <c r="J22" s="326"/>
      <c r="K22" s="110"/>
      <c r="L22" s="110"/>
      <c r="M22" s="110"/>
      <c r="N22" s="110"/>
      <c r="O22" s="110"/>
      <c r="P22" s="110"/>
      <c r="Q22" s="110"/>
      <c r="R22" s="110"/>
      <c r="S22" s="110"/>
      <c r="T22" s="110"/>
      <c r="U22" s="110"/>
      <c r="V22" s="110"/>
      <c r="W22" s="110"/>
      <c r="X22" s="110"/>
      <c r="Y22" s="110"/>
      <c r="Z22" s="110"/>
    </row>
    <row r="23" spans="1:26" ht="16.5" customHeight="1" x14ac:dyDescent="0.35">
      <c r="A23" s="110"/>
      <c r="B23" s="304"/>
      <c r="C23" s="305"/>
      <c r="D23" s="305"/>
      <c r="E23" s="305"/>
      <c r="F23" s="305"/>
      <c r="G23" s="305"/>
      <c r="H23" s="305"/>
      <c r="I23" s="305"/>
      <c r="J23" s="306"/>
      <c r="K23" s="110"/>
      <c r="L23" s="110"/>
      <c r="M23" s="110"/>
      <c r="N23" s="110"/>
      <c r="O23" s="110"/>
      <c r="P23" s="110"/>
      <c r="Q23" s="110"/>
      <c r="R23" s="110"/>
      <c r="S23" s="110"/>
      <c r="T23" s="110"/>
      <c r="U23" s="110"/>
      <c r="V23" s="110"/>
      <c r="W23" s="110"/>
      <c r="X23" s="110"/>
      <c r="Y23" s="110"/>
      <c r="Z23" s="110"/>
    </row>
    <row r="24" spans="1:26" ht="16.5" customHeight="1" x14ac:dyDescent="0.35">
      <c r="A24" s="110"/>
      <c r="B24" s="324" t="s">
        <v>136</v>
      </c>
      <c r="C24" s="240"/>
      <c r="D24" s="240"/>
      <c r="E24" s="240"/>
      <c r="F24" s="240"/>
      <c r="G24" s="240"/>
      <c r="H24" s="240"/>
      <c r="I24" s="240"/>
      <c r="J24" s="241"/>
      <c r="K24" s="110"/>
      <c r="L24" s="110"/>
      <c r="M24" s="110"/>
      <c r="N24" s="110"/>
      <c r="O24" s="110"/>
      <c r="P24" s="110"/>
      <c r="Q24" s="110"/>
      <c r="R24" s="110"/>
      <c r="S24" s="110"/>
      <c r="T24" s="110"/>
      <c r="U24" s="110"/>
      <c r="V24" s="110"/>
      <c r="W24" s="110"/>
      <c r="X24" s="110"/>
      <c r="Y24" s="110"/>
      <c r="Z24" s="110"/>
    </row>
    <row r="25" spans="1:26" ht="16.5" customHeight="1" x14ac:dyDescent="0.35">
      <c r="A25" s="110"/>
      <c r="B25" s="325"/>
      <c r="C25" s="233"/>
      <c r="D25" s="233"/>
      <c r="E25" s="233"/>
      <c r="F25" s="233"/>
      <c r="G25" s="233"/>
      <c r="H25" s="233"/>
      <c r="I25" s="233"/>
      <c r="J25" s="326"/>
      <c r="K25" s="110"/>
      <c r="L25" s="110"/>
      <c r="M25" s="110"/>
      <c r="N25" s="110"/>
      <c r="O25" s="110"/>
      <c r="P25" s="110"/>
      <c r="Q25" s="110"/>
      <c r="R25" s="110"/>
      <c r="S25" s="110"/>
      <c r="T25" s="110"/>
      <c r="U25" s="110"/>
      <c r="V25" s="110"/>
      <c r="W25" s="110"/>
      <c r="X25" s="110"/>
      <c r="Y25" s="110"/>
      <c r="Z25" s="110"/>
    </row>
    <row r="26" spans="1:26" ht="16.5" customHeight="1" x14ac:dyDescent="0.35">
      <c r="A26" s="110"/>
      <c r="B26" s="304"/>
      <c r="C26" s="305"/>
      <c r="D26" s="305"/>
      <c r="E26" s="305"/>
      <c r="F26" s="305"/>
      <c r="G26" s="305"/>
      <c r="H26" s="305"/>
      <c r="I26" s="305"/>
      <c r="J26" s="306"/>
      <c r="K26" s="110"/>
      <c r="L26" s="110"/>
      <c r="M26" s="110"/>
      <c r="N26" s="110"/>
      <c r="O26" s="110"/>
      <c r="P26" s="110"/>
      <c r="Q26" s="110"/>
      <c r="R26" s="110"/>
      <c r="S26" s="110"/>
      <c r="T26" s="110"/>
      <c r="U26" s="110"/>
      <c r="V26" s="110"/>
      <c r="W26" s="110"/>
      <c r="X26" s="110"/>
      <c r="Y26" s="110"/>
      <c r="Z26" s="110"/>
    </row>
    <row r="27" spans="1:26" ht="16.5" customHeight="1" x14ac:dyDescent="0.35">
      <c r="A27" s="110"/>
      <c r="B27" s="324" t="s">
        <v>137</v>
      </c>
      <c r="C27" s="240"/>
      <c r="D27" s="240"/>
      <c r="E27" s="240"/>
      <c r="F27" s="240"/>
      <c r="G27" s="240"/>
      <c r="H27" s="240"/>
      <c r="I27" s="240"/>
      <c r="J27" s="241"/>
      <c r="K27" s="110"/>
      <c r="L27" s="110"/>
      <c r="M27" s="110"/>
      <c r="N27" s="110"/>
      <c r="O27" s="110"/>
      <c r="P27" s="110"/>
      <c r="Q27" s="110"/>
      <c r="R27" s="110"/>
      <c r="S27" s="110"/>
      <c r="T27" s="110"/>
      <c r="U27" s="110"/>
      <c r="V27" s="110"/>
      <c r="W27" s="110"/>
      <c r="X27" s="110"/>
      <c r="Y27" s="110"/>
      <c r="Z27" s="110"/>
    </row>
    <row r="28" spans="1:26" ht="16.5" customHeight="1" x14ac:dyDescent="0.35">
      <c r="A28" s="110"/>
      <c r="B28" s="325"/>
      <c r="C28" s="233"/>
      <c r="D28" s="233"/>
      <c r="E28" s="233"/>
      <c r="F28" s="233"/>
      <c r="G28" s="233"/>
      <c r="H28" s="233"/>
      <c r="I28" s="233"/>
      <c r="J28" s="326"/>
      <c r="K28" s="110"/>
      <c r="L28" s="110"/>
      <c r="M28" s="110"/>
      <c r="N28" s="110"/>
      <c r="O28" s="110"/>
      <c r="P28" s="110"/>
      <c r="Q28" s="110"/>
      <c r="R28" s="110"/>
      <c r="S28" s="110"/>
      <c r="T28" s="110"/>
      <c r="U28" s="110"/>
      <c r="V28" s="110"/>
      <c r="W28" s="110"/>
      <c r="X28" s="110"/>
      <c r="Y28" s="110"/>
      <c r="Z28" s="110"/>
    </row>
    <row r="29" spans="1:26" ht="16.5" customHeight="1" x14ac:dyDescent="0.35">
      <c r="A29" s="110"/>
      <c r="B29" s="304"/>
      <c r="C29" s="305"/>
      <c r="D29" s="305"/>
      <c r="E29" s="305"/>
      <c r="F29" s="305"/>
      <c r="G29" s="305"/>
      <c r="H29" s="305"/>
      <c r="I29" s="305"/>
      <c r="J29" s="306"/>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t="str">
        <f>CARÁTULA!$C$19</f>
        <v>JOSÉ COAQUIRA COPA</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138</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27" t="s">
        <v>115</v>
      </c>
      <c r="C2" s="233"/>
      <c r="D2" s="233"/>
      <c r="E2" s="233"/>
      <c r="F2" s="233"/>
      <c r="G2" s="233"/>
      <c r="H2" s="233"/>
      <c r="I2" s="233"/>
      <c r="J2" s="233"/>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t="str">
        <f>CARÁTULA!$C$19</f>
        <v>JOSÉ COAQUIRA COPA</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44543</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116</v>
      </c>
      <c r="J6" s="110"/>
      <c r="K6" s="110"/>
      <c r="L6" s="110"/>
      <c r="M6" s="110"/>
      <c r="N6" s="110"/>
      <c r="O6" s="110"/>
      <c r="P6" s="110"/>
      <c r="Q6" s="110"/>
      <c r="R6" s="110"/>
      <c r="S6" s="110"/>
      <c r="T6" s="110"/>
      <c r="U6" s="110"/>
      <c r="V6" s="110"/>
      <c r="W6" s="110"/>
      <c r="X6" s="110"/>
      <c r="Y6" s="110"/>
      <c r="Z6" s="110"/>
    </row>
    <row r="7" spans="1:26" ht="20.399999999999999" x14ac:dyDescent="0.35">
      <c r="A7" s="110"/>
      <c r="B7" s="115" t="s">
        <v>97</v>
      </c>
      <c r="C7" s="114" t="s">
        <v>117</v>
      </c>
      <c r="D7" s="115" t="s">
        <v>118</v>
      </c>
      <c r="E7" s="116" t="s">
        <v>119</v>
      </c>
      <c r="F7" s="110"/>
      <c r="G7" s="117" t="s">
        <v>120</v>
      </c>
      <c r="H7" s="115">
        <f>'VAL 1 TRIM '!$AO$9</f>
        <v>6</v>
      </c>
      <c r="I7" s="118">
        <f>H7/H11</f>
        <v>0.16666666666666666</v>
      </c>
      <c r="J7" s="110"/>
      <c r="K7" s="110"/>
      <c r="L7" s="110"/>
      <c r="M7" s="110"/>
      <c r="N7" s="110"/>
      <c r="O7" s="110"/>
      <c r="P7" s="110"/>
      <c r="Q7" s="110"/>
      <c r="R7" s="110"/>
      <c r="S7" s="110"/>
      <c r="T7" s="110"/>
      <c r="U7" s="110"/>
      <c r="V7" s="110"/>
      <c r="W7" s="110"/>
      <c r="X7" s="110"/>
      <c r="Y7" s="110"/>
      <c r="Z7" s="110"/>
    </row>
    <row r="8" spans="1:26" ht="20.399999999999999" x14ac:dyDescent="0.35">
      <c r="A8" s="110"/>
      <c r="B8" s="115" t="s">
        <v>98</v>
      </c>
      <c r="C8" s="114" t="s">
        <v>121</v>
      </c>
      <c r="D8" s="115" t="s">
        <v>122</v>
      </c>
      <c r="E8" s="116" t="s">
        <v>123</v>
      </c>
      <c r="F8" s="110"/>
      <c r="G8" s="117" t="s">
        <v>124</v>
      </c>
      <c r="H8" s="115">
        <f>'VAL 1 TRIM '!$AO$10</f>
        <v>3</v>
      </c>
      <c r="I8" s="118">
        <f>H8/H11</f>
        <v>8.3333333333333329E-2</v>
      </c>
      <c r="J8" s="110"/>
      <c r="K8" s="110"/>
      <c r="L8" s="110"/>
      <c r="M8" s="110"/>
      <c r="N8" s="110"/>
      <c r="O8" s="110"/>
      <c r="P8" s="110"/>
      <c r="Q8" s="110"/>
      <c r="R8" s="110"/>
      <c r="S8" s="110"/>
      <c r="T8" s="110"/>
      <c r="U8" s="110"/>
      <c r="V8" s="110"/>
      <c r="W8" s="110"/>
      <c r="X8" s="110"/>
      <c r="Y8" s="110"/>
      <c r="Z8" s="110"/>
    </row>
    <row r="9" spans="1:26" ht="20.399999999999999" x14ac:dyDescent="0.35">
      <c r="A9" s="110"/>
      <c r="B9" s="115" t="s">
        <v>99</v>
      </c>
      <c r="C9" s="114" t="s">
        <v>125</v>
      </c>
      <c r="D9" s="115" t="s">
        <v>126</v>
      </c>
      <c r="E9" s="116" t="s">
        <v>123</v>
      </c>
      <c r="F9" s="110"/>
      <c r="G9" s="119" t="s">
        <v>127</v>
      </c>
      <c r="H9" s="115">
        <f>'VAL 1 TRIM '!$AO$11</f>
        <v>7</v>
      </c>
      <c r="I9" s="118">
        <f>H9/H11</f>
        <v>0.19444444444444445</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100</v>
      </c>
      <c r="C10" s="114" t="s">
        <v>128</v>
      </c>
      <c r="D10" s="115" t="s">
        <v>129</v>
      </c>
      <c r="E10" s="116" t="s">
        <v>123</v>
      </c>
      <c r="F10" s="110"/>
      <c r="G10" s="119" t="s">
        <v>130</v>
      </c>
      <c r="H10" s="115">
        <f>'VAL 1 TRIM '!$AO$12</f>
        <v>20</v>
      </c>
      <c r="I10" s="118">
        <f>H10/H11</f>
        <v>0.55555555555555558</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131</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28" t="s">
        <v>132</v>
      </c>
      <c r="C13" s="233"/>
      <c r="D13" s="233"/>
      <c r="E13" s="233"/>
      <c r="F13" s="233"/>
      <c r="G13" s="233"/>
      <c r="H13" s="233"/>
      <c r="I13" s="233"/>
      <c r="J13" s="233"/>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24" t="s">
        <v>133</v>
      </c>
      <c r="C15" s="240"/>
      <c r="D15" s="240"/>
      <c r="E15" s="240"/>
      <c r="F15" s="240"/>
      <c r="G15" s="240"/>
      <c r="H15" s="240"/>
      <c r="I15" s="240"/>
      <c r="J15" s="241"/>
      <c r="K15" s="110"/>
      <c r="L15" s="110"/>
      <c r="M15" s="110"/>
      <c r="N15" s="110"/>
      <c r="O15" s="110"/>
      <c r="P15" s="110"/>
      <c r="Q15" s="110"/>
      <c r="R15" s="110"/>
      <c r="S15" s="110"/>
      <c r="T15" s="110"/>
      <c r="U15" s="110"/>
      <c r="V15" s="110"/>
      <c r="W15" s="110"/>
      <c r="X15" s="110"/>
      <c r="Y15" s="110"/>
      <c r="Z15" s="110"/>
    </row>
    <row r="16" spans="1:26" ht="16.5" customHeight="1" x14ac:dyDescent="0.35">
      <c r="A16" s="110"/>
      <c r="B16" s="325"/>
      <c r="C16" s="233"/>
      <c r="D16" s="233"/>
      <c r="E16" s="233"/>
      <c r="F16" s="233"/>
      <c r="G16" s="233"/>
      <c r="H16" s="233"/>
      <c r="I16" s="233"/>
      <c r="J16" s="326"/>
      <c r="K16" s="110"/>
      <c r="L16" s="110"/>
      <c r="M16" s="110"/>
      <c r="N16" s="110"/>
      <c r="O16" s="110"/>
      <c r="P16" s="110"/>
      <c r="Q16" s="110"/>
      <c r="R16" s="110"/>
      <c r="S16" s="110"/>
      <c r="T16" s="110"/>
      <c r="U16" s="110"/>
      <c r="V16" s="110"/>
      <c r="W16" s="110"/>
      <c r="X16" s="110"/>
      <c r="Y16" s="110"/>
      <c r="Z16" s="110"/>
    </row>
    <row r="17" spans="1:26" ht="16.5" customHeight="1" x14ac:dyDescent="0.35">
      <c r="A17" s="110"/>
      <c r="B17" s="304"/>
      <c r="C17" s="305"/>
      <c r="D17" s="305"/>
      <c r="E17" s="305"/>
      <c r="F17" s="305"/>
      <c r="G17" s="305"/>
      <c r="H17" s="305"/>
      <c r="I17" s="305"/>
      <c r="J17" s="306"/>
      <c r="K17" s="110"/>
      <c r="L17" s="110"/>
      <c r="M17" s="110"/>
      <c r="N17" s="110"/>
      <c r="O17" s="110"/>
      <c r="P17" s="110"/>
      <c r="Q17" s="110"/>
      <c r="R17" s="110"/>
      <c r="S17" s="110"/>
      <c r="T17" s="110"/>
      <c r="U17" s="110"/>
      <c r="V17" s="110"/>
      <c r="W17" s="110"/>
      <c r="X17" s="110"/>
      <c r="Y17" s="110"/>
      <c r="Z17" s="110"/>
    </row>
    <row r="18" spans="1:26" ht="16.5" customHeight="1" x14ac:dyDescent="0.35">
      <c r="A18" s="110"/>
      <c r="B18" s="324" t="s">
        <v>134</v>
      </c>
      <c r="C18" s="240"/>
      <c r="D18" s="240"/>
      <c r="E18" s="240"/>
      <c r="F18" s="240"/>
      <c r="G18" s="240"/>
      <c r="H18" s="240"/>
      <c r="I18" s="240"/>
      <c r="J18" s="241"/>
      <c r="K18" s="110"/>
      <c r="L18" s="110"/>
      <c r="M18" s="110"/>
      <c r="N18" s="110"/>
      <c r="O18" s="110"/>
      <c r="P18" s="110"/>
      <c r="Q18" s="110"/>
      <c r="R18" s="110"/>
      <c r="S18" s="110"/>
      <c r="T18" s="110"/>
      <c r="U18" s="110"/>
      <c r="V18" s="110"/>
      <c r="W18" s="110"/>
      <c r="X18" s="110"/>
      <c r="Y18" s="110"/>
      <c r="Z18" s="110"/>
    </row>
    <row r="19" spans="1:26" ht="16.5" customHeight="1" x14ac:dyDescent="0.35">
      <c r="A19" s="110"/>
      <c r="B19" s="325"/>
      <c r="C19" s="233"/>
      <c r="D19" s="233"/>
      <c r="E19" s="233"/>
      <c r="F19" s="233"/>
      <c r="G19" s="233"/>
      <c r="H19" s="233"/>
      <c r="I19" s="233"/>
      <c r="J19" s="326"/>
      <c r="K19" s="110"/>
      <c r="L19" s="110"/>
      <c r="M19" s="110"/>
      <c r="N19" s="110"/>
      <c r="O19" s="110"/>
      <c r="P19" s="110"/>
      <c r="Q19" s="110"/>
      <c r="R19" s="110"/>
      <c r="S19" s="110"/>
      <c r="T19" s="110"/>
      <c r="U19" s="110"/>
      <c r="V19" s="110"/>
      <c r="W19" s="110"/>
      <c r="X19" s="110"/>
      <c r="Y19" s="110"/>
      <c r="Z19" s="110"/>
    </row>
    <row r="20" spans="1:26" ht="16.5" customHeight="1" x14ac:dyDescent="0.35">
      <c r="A20" s="110"/>
      <c r="B20" s="304"/>
      <c r="C20" s="305"/>
      <c r="D20" s="305"/>
      <c r="E20" s="305"/>
      <c r="F20" s="305"/>
      <c r="G20" s="305"/>
      <c r="H20" s="305"/>
      <c r="I20" s="305"/>
      <c r="J20" s="306"/>
      <c r="K20" s="110"/>
      <c r="L20" s="110"/>
      <c r="M20" s="110"/>
      <c r="N20" s="110"/>
      <c r="O20" s="110"/>
      <c r="P20" s="110"/>
      <c r="Q20" s="110"/>
      <c r="R20" s="110"/>
      <c r="S20" s="110"/>
      <c r="T20" s="110"/>
      <c r="U20" s="110"/>
      <c r="V20" s="110"/>
      <c r="W20" s="110"/>
      <c r="X20" s="110"/>
      <c r="Y20" s="110"/>
      <c r="Z20" s="110"/>
    </row>
    <row r="21" spans="1:26" ht="16.5" customHeight="1" x14ac:dyDescent="0.35">
      <c r="A21" s="110"/>
      <c r="B21" s="324" t="s">
        <v>135</v>
      </c>
      <c r="C21" s="240"/>
      <c r="D21" s="240"/>
      <c r="E21" s="240"/>
      <c r="F21" s="240"/>
      <c r="G21" s="240"/>
      <c r="H21" s="240"/>
      <c r="I21" s="240"/>
      <c r="J21" s="241"/>
      <c r="K21" s="110"/>
      <c r="L21" s="110"/>
      <c r="M21" s="110"/>
      <c r="N21" s="110"/>
      <c r="O21" s="110"/>
      <c r="P21" s="110"/>
      <c r="Q21" s="110"/>
      <c r="R21" s="110"/>
      <c r="S21" s="110"/>
      <c r="T21" s="110"/>
      <c r="U21" s="110"/>
      <c r="V21" s="110"/>
      <c r="W21" s="110"/>
      <c r="X21" s="110"/>
      <c r="Y21" s="110"/>
      <c r="Z21" s="110"/>
    </row>
    <row r="22" spans="1:26" ht="16.5" customHeight="1" x14ac:dyDescent="0.35">
      <c r="A22" s="110"/>
      <c r="B22" s="325"/>
      <c r="C22" s="233"/>
      <c r="D22" s="233"/>
      <c r="E22" s="233"/>
      <c r="F22" s="233"/>
      <c r="G22" s="233"/>
      <c r="H22" s="233"/>
      <c r="I22" s="233"/>
      <c r="J22" s="326"/>
      <c r="K22" s="110"/>
      <c r="L22" s="110"/>
      <c r="M22" s="110"/>
      <c r="N22" s="110"/>
      <c r="O22" s="110"/>
      <c r="P22" s="110"/>
      <c r="Q22" s="110"/>
      <c r="R22" s="110"/>
      <c r="S22" s="110"/>
      <c r="T22" s="110"/>
      <c r="U22" s="110"/>
      <c r="V22" s="110"/>
      <c r="W22" s="110"/>
      <c r="X22" s="110"/>
      <c r="Y22" s="110"/>
      <c r="Z22" s="110"/>
    </row>
    <row r="23" spans="1:26" ht="16.5" customHeight="1" x14ac:dyDescent="0.35">
      <c r="A23" s="110"/>
      <c r="B23" s="304"/>
      <c r="C23" s="305"/>
      <c r="D23" s="305"/>
      <c r="E23" s="305"/>
      <c r="F23" s="305"/>
      <c r="G23" s="305"/>
      <c r="H23" s="305"/>
      <c r="I23" s="305"/>
      <c r="J23" s="306"/>
      <c r="K23" s="110"/>
      <c r="L23" s="110"/>
      <c r="M23" s="110"/>
      <c r="N23" s="110"/>
      <c r="O23" s="110"/>
      <c r="P23" s="110"/>
      <c r="Q23" s="110"/>
      <c r="R23" s="110"/>
      <c r="S23" s="110"/>
      <c r="T23" s="110"/>
      <c r="U23" s="110"/>
      <c r="V23" s="110"/>
      <c r="W23" s="110"/>
      <c r="X23" s="110"/>
      <c r="Y23" s="110"/>
      <c r="Z23" s="110"/>
    </row>
    <row r="24" spans="1:26" ht="16.5" customHeight="1" x14ac:dyDescent="0.35">
      <c r="A24" s="110"/>
      <c r="B24" s="324" t="s">
        <v>136</v>
      </c>
      <c r="C24" s="240"/>
      <c r="D24" s="240"/>
      <c r="E24" s="240"/>
      <c r="F24" s="240"/>
      <c r="G24" s="240"/>
      <c r="H24" s="240"/>
      <c r="I24" s="240"/>
      <c r="J24" s="241"/>
      <c r="K24" s="110"/>
      <c r="L24" s="110"/>
      <c r="M24" s="110"/>
      <c r="N24" s="110"/>
      <c r="O24" s="110"/>
      <c r="P24" s="110"/>
      <c r="Q24" s="110"/>
      <c r="R24" s="110"/>
      <c r="S24" s="110"/>
      <c r="T24" s="110"/>
      <c r="U24" s="110"/>
      <c r="V24" s="110"/>
      <c r="W24" s="110"/>
      <c r="X24" s="110"/>
      <c r="Y24" s="110"/>
      <c r="Z24" s="110"/>
    </row>
    <row r="25" spans="1:26" ht="16.5" customHeight="1" x14ac:dyDescent="0.35">
      <c r="A25" s="110"/>
      <c r="B25" s="325"/>
      <c r="C25" s="233"/>
      <c r="D25" s="233"/>
      <c r="E25" s="233"/>
      <c r="F25" s="233"/>
      <c r="G25" s="233"/>
      <c r="H25" s="233"/>
      <c r="I25" s="233"/>
      <c r="J25" s="326"/>
      <c r="K25" s="110"/>
      <c r="L25" s="110"/>
      <c r="M25" s="110"/>
      <c r="N25" s="110"/>
      <c r="O25" s="110"/>
      <c r="P25" s="110"/>
      <c r="Q25" s="110"/>
      <c r="R25" s="110"/>
      <c r="S25" s="110"/>
      <c r="T25" s="110"/>
      <c r="U25" s="110"/>
      <c r="V25" s="110"/>
      <c r="W25" s="110"/>
      <c r="X25" s="110"/>
      <c r="Y25" s="110"/>
      <c r="Z25" s="110"/>
    </row>
    <row r="26" spans="1:26" ht="16.5" customHeight="1" x14ac:dyDescent="0.35">
      <c r="A26" s="110"/>
      <c r="B26" s="304"/>
      <c r="C26" s="305"/>
      <c r="D26" s="305"/>
      <c r="E26" s="305"/>
      <c r="F26" s="305"/>
      <c r="G26" s="305"/>
      <c r="H26" s="305"/>
      <c r="I26" s="305"/>
      <c r="J26" s="306"/>
      <c r="K26" s="110"/>
      <c r="L26" s="110"/>
      <c r="M26" s="110"/>
      <c r="N26" s="110"/>
      <c r="O26" s="110"/>
      <c r="P26" s="110"/>
      <c r="Q26" s="110"/>
      <c r="R26" s="110"/>
      <c r="S26" s="110"/>
      <c r="T26" s="110"/>
      <c r="U26" s="110"/>
      <c r="V26" s="110"/>
      <c r="W26" s="110"/>
      <c r="X26" s="110"/>
      <c r="Y26" s="110"/>
      <c r="Z26" s="110"/>
    </row>
    <row r="27" spans="1:26" ht="16.5" customHeight="1" x14ac:dyDescent="0.35">
      <c r="A27" s="110"/>
      <c r="B27" s="324" t="s">
        <v>137</v>
      </c>
      <c r="C27" s="240"/>
      <c r="D27" s="240"/>
      <c r="E27" s="240"/>
      <c r="F27" s="240"/>
      <c r="G27" s="240"/>
      <c r="H27" s="240"/>
      <c r="I27" s="240"/>
      <c r="J27" s="241"/>
      <c r="K27" s="110"/>
      <c r="L27" s="110"/>
      <c r="M27" s="110"/>
      <c r="N27" s="110"/>
      <c r="O27" s="110"/>
      <c r="P27" s="110"/>
      <c r="Q27" s="110"/>
      <c r="R27" s="110"/>
      <c r="S27" s="110"/>
      <c r="T27" s="110"/>
      <c r="U27" s="110"/>
      <c r="V27" s="110"/>
      <c r="W27" s="110"/>
      <c r="X27" s="110"/>
      <c r="Y27" s="110"/>
      <c r="Z27" s="110"/>
    </row>
    <row r="28" spans="1:26" ht="16.5" customHeight="1" x14ac:dyDescent="0.35">
      <c r="A28" s="110"/>
      <c r="B28" s="325"/>
      <c r="C28" s="233"/>
      <c r="D28" s="233"/>
      <c r="E28" s="233"/>
      <c r="F28" s="233"/>
      <c r="G28" s="233"/>
      <c r="H28" s="233"/>
      <c r="I28" s="233"/>
      <c r="J28" s="326"/>
      <c r="K28" s="110"/>
      <c r="L28" s="110"/>
      <c r="M28" s="110"/>
      <c r="N28" s="110"/>
      <c r="O28" s="110"/>
      <c r="P28" s="110"/>
      <c r="Q28" s="110"/>
      <c r="R28" s="110"/>
      <c r="S28" s="110"/>
      <c r="T28" s="110"/>
      <c r="U28" s="110"/>
      <c r="V28" s="110"/>
      <c r="W28" s="110"/>
      <c r="X28" s="110"/>
      <c r="Y28" s="110"/>
      <c r="Z28" s="110"/>
    </row>
    <row r="29" spans="1:26" ht="16.5" customHeight="1" x14ac:dyDescent="0.35">
      <c r="A29" s="110"/>
      <c r="B29" s="304"/>
      <c r="C29" s="305"/>
      <c r="D29" s="305"/>
      <c r="E29" s="305"/>
      <c r="F29" s="305"/>
      <c r="G29" s="305"/>
      <c r="H29" s="305"/>
      <c r="I29" s="305"/>
      <c r="J29" s="306"/>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t="str">
        <f>CARÁTULA!$C$19</f>
        <v>JOSÉ COAQUIRA COPA</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138</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27" t="s">
        <v>140</v>
      </c>
      <c r="C2" s="233"/>
      <c r="D2" s="233"/>
      <c r="E2" s="233"/>
      <c r="F2" s="233"/>
      <c r="G2" s="233"/>
      <c r="H2" s="233"/>
      <c r="I2" s="233"/>
      <c r="J2" s="233"/>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t="str">
        <f>CARÁTULA!$C$19</f>
        <v>JOSÉ COAQUIRA COPA</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44543</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116</v>
      </c>
      <c r="J6" s="110"/>
      <c r="K6" s="110"/>
      <c r="L6" s="110"/>
      <c r="M6" s="110"/>
      <c r="N6" s="110"/>
      <c r="O6" s="110"/>
      <c r="P6" s="110"/>
      <c r="Q6" s="110"/>
      <c r="R6" s="110"/>
      <c r="S6" s="110"/>
      <c r="T6" s="110"/>
      <c r="U6" s="110"/>
      <c r="V6" s="110"/>
      <c r="W6" s="110"/>
      <c r="X6" s="110"/>
      <c r="Y6" s="110"/>
      <c r="Z6" s="110"/>
    </row>
    <row r="7" spans="1:26" ht="20.399999999999999" x14ac:dyDescent="0.35">
      <c r="A7" s="110"/>
      <c r="B7" s="115" t="s">
        <v>97</v>
      </c>
      <c r="C7" s="114" t="s">
        <v>117</v>
      </c>
      <c r="D7" s="115" t="s">
        <v>118</v>
      </c>
      <c r="E7" s="116" t="s">
        <v>119</v>
      </c>
      <c r="F7" s="110"/>
      <c r="G7" s="117" t="s">
        <v>120</v>
      </c>
      <c r="H7" s="115">
        <f>'VAL 3 TRIM'!$AO$9</f>
        <v>5</v>
      </c>
      <c r="I7" s="118">
        <f>H7/H11</f>
        <v>0.1388888888888889</v>
      </c>
      <c r="J7" s="110"/>
      <c r="K7" s="110"/>
      <c r="L7" s="110"/>
      <c r="M7" s="110"/>
      <c r="N7" s="110"/>
      <c r="O7" s="110"/>
      <c r="P7" s="110"/>
      <c r="Q7" s="110"/>
      <c r="R7" s="110"/>
      <c r="S7" s="110"/>
      <c r="T7" s="110"/>
      <c r="U7" s="110"/>
      <c r="V7" s="110"/>
      <c r="W7" s="110"/>
      <c r="X7" s="110"/>
      <c r="Y7" s="110"/>
      <c r="Z7" s="110"/>
    </row>
    <row r="8" spans="1:26" ht="20.399999999999999" x14ac:dyDescent="0.35">
      <c r="A8" s="110"/>
      <c r="B8" s="115" t="s">
        <v>98</v>
      </c>
      <c r="C8" s="114" t="s">
        <v>121</v>
      </c>
      <c r="D8" s="115" t="s">
        <v>122</v>
      </c>
      <c r="E8" s="116" t="s">
        <v>123</v>
      </c>
      <c r="F8" s="110"/>
      <c r="G8" s="117" t="s">
        <v>124</v>
      </c>
      <c r="H8" s="115">
        <f>'VAL 3 TRIM'!$AO$10</f>
        <v>3</v>
      </c>
      <c r="I8" s="118">
        <f>H8/H11</f>
        <v>8.3333333333333329E-2</v>
      </c>
      <c r="J8" s="110"/>
      <c r="K8" s="110"/>
      <c r="L8" s="110"/>
      <c r="M8" s="110"/>
      <c r="N8" s="110"/>
      <c r="O8" s="110"/>
      <c r="P8" s="110"/>
      <c r="Q8" s="110"/>
      <c r="R8" s="110"/>
      <c r="S8" s="110"/>
      <c r="T8" s="110"/>
      <c r="U8" s="110"/>
      <c r="V8" s="110"/>
      <c r="W8" s="110"/>
      <c r="X8" s="110"/>
      <c r="Y8" s="110"/>
      <c r="Z8" s="110"/>
    </row>
    <row r="9" spans="1:26" ht="20.399999999999999" x14ac:dyDescent="0.35">
      <c r="A9" s="110"/>
      <c r="B9" s="115" t="s">
        <v>99</v>
      </c>
      <c r="C9" s="114" t="s">
        <v>125</v>
      </c>
      <c r="D9" s="115" t="s">
        <v>126</v>
      </c>
      <c r="E9" s="116" t="s">
        <v>123</v>
      </c>
      <c r="F9" s="110"/>
      <c r="G9" s="119" t="s">
        <v>127</v>
      </c>
      <c r="H9" s="115">
        <f>'VAL 3 TRIM'!$AO$11</f>
        <v>5</v>
      </c>
      <c r="I9" s="118">
        <f>H9/H11</f>
        <v>0.1388888888888889</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100</v>
      </c>
      <c r="C10" s="114" t="s">
        <v>128</v>
      </c>
      <c r="D10" s="115" t="s">
        <v>129</v>
      </c>
      <c r="E10" s="116" t="s">
        <v>123</v>
      </c>
      <c r="F10" s="110"/>
      <c r="G10" s="119" t="s">
        <v>130</v>
      </c>
      <c r="H10" s="115">
        <f>'VAL 3 TRIM'!$AO$12</f>
        <v>23</v>
      </c>
      <c r="I10" s="118">
        <f>H10/H11</f>
        <v>0.63888888888888884</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131</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28" t="s">
        <v>132</v>
      </c>
      <c r="C13" s="233"/>
      <c r="D13" s="233"/>
      <c r="E13" s="233"/>
      <c r="F13" s="233"/>
      <c r="G13" s="233"/>
      <c r="H13" s="233"/>
      <c r="I13" s="233"/>
      <c r="J13" s="233"/>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24" t="s">
        <v>133</v>
      </c>
      <c r="C15" s="240"/>
      <c r="D15" s="240"/>
      <c r="E15" s="240"/>
      <c r="F15" s="240"/>
      <c r="G15" s="240"/>
      <c r="H15" s="240"/>
      <c r="I15" s="240"/>
      <c r="J15" s="241"/>
      <c r="K15" s="110"/>
      <c r="L15" s="110"/>
      <c r="M15" s="110"/>
      <c r="N15" s="110"/>
      <c r="O15" s="110"/>
      <c r="P15" s="110"/>
      <c r="Q15" s="110"/>
      <c r="R15" s="110"/>
      <c r="S15" s="110"/>
      <c r="T15" s="110"/>
      <c r="U15" s="110"/>
      <c r="V15" s="110"/>
      <c r="W15" s="110"/>
      <c r="X15" s="110"/>
      <c r="Y15" s="110"/>
      <c r="Z15" s="110"/>
    </row>
    <row r="16" spans="1:26" ht="16.5" customHeight="1" x14ac:dyDescent="0.35">
      <c r="A16" s="110"/>
      <c r="B16" s="325"/>
      <c r="C16" s="233"/>
      <c r="D16" s="233"/>
      <c r="E16" s="233"/>
      <c r="F16" s="233"/>
      <c r="G16" s="233"/>
      <c r="H16" s="233"/>
      <c r="I16" s="233"/>
      <c r="J16" s="326"/>
      <c r="K16" s="110"/>
      <c r="L16" s="110"/>
      <c r="M16" s="110"/>
      <c r="N16" s="110"/>
      <c r="O16" s="110"/>
      <c r="P16" s="110"/>
      <c r="Q16" s="110"/>
      <c r="R16" s="110"/>
      <c r="S16" s="110"/>
      <c r="T16" s="110"/>
      <c r="U16" s="110"/>
      <c r="V16" s="110"/>
      <c r="W16" s="110"/>
      <c r="X16" s="110"/>
      <c r="Y16" s="110"/>
      <c r="Z16" s="110"/>
    </row>
    <row r="17" spans="1:26" ht="16.5" customHeight="1" x14ac:dyDescent="0.35">
      <c r="A17" s="110"/>
      <c r="B17" s="304"/>
      <c r="C17" s="305"/>
      <c r="D17" s="305"/>
      <c r="E17" s="305"/>
      <c r="F17" s="305"/>
      <c r="G17" s="305"/>
      <c r="H17" s="305"/>
      <c r="I17" s="305"/>
      <c r="J17" s="306"/>
      <c r="K17" s="110"/>
      <c r="L17" s="110"/>
      <c r="M17" s="110"/>
      <c r="N17" s="110"/>
      <c r="O17" s="110"/>
      <c r="P17" s="110"/>
      <c r="Q17" s="110"/>
      <c r="R17" s="110"/>
      <c r="S17" s="110"/>
      <c r="T17" s="110"/>
      <c r="U17" s="110"/>
      <c r="V17" s="110"/>
      <c r="W17" s="110"/>
      <c r="X17" s="110"/>
      <c r="Y17" s="110"/>
      <c r="Z17" s="110"/>
    </row>
    <row r="18" spans="1:26" ht="16.5" customHeight="1" x14ac:dyDescent="0.35">
      <c r="A18" s="110"/>
      <c r="B18" s="324" t="s">
        <v>134</v>
      </c>
      <c r="C18" s="240"/>
      <c r="D18" s="240"/>
      <c r="E18" s="240"/>
      <c r="F18" s="240"/>
      <c r="G18" s="240"/>
      <c r="H18" s="240"/>
      <c r="I18" s="240"/>
      <c r="J18" s="241"/>
      <c r="K18" s="110"/>
      <c r="L18" s="110"/>
      <c r="M18" s="110"/>
      <c r="N18" s="110"/>
      <c r="O18" s="110"/>
      <c r="P18" s="110"/>
      <c r="Q18" s="110"/>
      <c r="R18" s="110"/>
      <c r="S18" s="110"/>
      <c r="T18" s="110"/>
      <c r="U18" s="110"/>
      <c r="V18" s="110"/>
      <c r="W18" s="110"/>
      <c r="X18" s="110"/>
      <c r="Y18" s="110"/>
      <c r="Z18" s="110"/>
    </row>
    <row r="19" spans="1:26" ht="16.5" customHeight="1" x14ac:dyDescent="0.35">
      <c r="A19" s="110"/>
      <c r="B19" s="325"/>
      <c r="C19" s="233"/>
      <c r="D19" s="233"/>
      <c r="E19" s="233"/>
      <c r="F19" s="233"/>
      <c r="G19" s="233"/>
      <c r="H19" s="233"/>
      <c r="I19" s="233"/>
      <c r="J19" s="326"/>
      <c r="K19" s="110"/>
      <c r="L19" s="110"/>
      <c r="M19" s="110"/>
      <c r="N19" s="110"/>
      <c r="O19" s="110"/>
      <c r="P19" s="110"/>
      <c r="Q19" s="110"/>
      <c r="R19" s="110"/>
      <c r="S19" s="110"/>
      <c r="T19" s="110"/>
      <c r="U19" s="110"/>
      <c r="V19" s="110"/>
      <c r="W19" s="110"/>
      <c r="X19" s="110"/>
      <c r="Y19" s="110"/>
      <c r="Z19" s="110"/>
    </row>
    <row r="20" spans="1:26" ht="16.5" customHeight="1" x14ac:dyDescent="0.35">
      <c r="A20" s="110"/>
      <c r="B20" s="304"/>
      <c r="C20" s="305"/>
      <c r="D20" s="305"/>
      <c r="E20" s="305"/>
      <c r="F20" s="305"/>
      <c r="G20" s="305"/>
      <c r="H20" s="305"/>
      <c r="I20" s="305"/>
      <c r="J20" s="306"/>
      <c r="K20" s="110"/>
      <c r="L20" s="110"/>
      <c r="M20" s="110"/>
      <c r="N20" s="110"/>
      <c r="O20" s="110"/>
      <c r="P20" s="110"/>
      <c r="Q20" s="110"/>
      <c r="R20" s="110"/>
      <c r="S20" s="110"/>
      <c r="T20" s="110"/>
      <c r="U20" s="110"/>
      <c r="V20" s="110"/>
      <c r="W20" s="110"/>
      <c r="X20" s="110"/>
      <c r="Y20" s="110"/>
      <c r="Z20" s="110"/>
    </row>
    <row r="21" spans="1:26" ht="16.5" customHeight="1" x14ac:dyDescent="0.35">
      <c r="A21" s="110"/>
      <c r="B21" s="324" t="s">
        <v>135</v>
      </c>
      <c r="C21" s="240"/>
      <c r="D21" s="240"/>
      <c r="E21" s="240"/>
      <c r="F21" s="240"/>
      <c r="G21" s="240"/>
      <c r="H21" s="240"/>
      <c r="I21" s="240"/>
      <c r="J21" s="241"/>
      <c r="K21" s="110"/>
      <c r="L21" s="110"/>
      <c r="M21" s="110"/>
      <c r="N21" s="110"/>
      <c r="O21" s="110"/>
      <c r="P21" s="110"/>
      <c r="Q21" s="110"/>
      <c r="R21" s="110"/>
      <c r="S21" s="110"/>
      <c r="T21" s="110"/>
      <c r="U21" s="110"/>
      <c r="V21" s="110"/>
      <c r="W21" s="110"/>
      <c r="X21" s="110"/>
      <c r="Y21" s="110"/>
      <c r="Z21" s="110"/>
    </row>
    <row r="22" spans="1:26" ht="16.5" customHeight="1" x14ac:dyDescent="0.35">
      <c r="A22" s="110"/>
      <c r="B22" s="325"/>
      <c r="C22" s="233"/>
      <c r="D22" s="233"/>
      <c r="E22" s="233"/>
      <c r="F22" s="233"/>
      <c r="G22" s="233"/>
      <c r="H22" s="233"/>
      <c r="I22" s="233"/>
      <c r="J22" s="326"/>
      <c r="K22" s="110"/>
      <c r="L22" s="110"/>
      <c r="M22" s="110"/>
      <c r="N22" s="110"/>
      <c r="O22" s="110"/>
      <c r="P22" s="110"/>
      <c r="Q22" s="110"/>
      <c r="R22" s="110"/>
      <c r="S22" s="110"/>
      <c r="T22" s="110"/>
      <c r="U22" s="110"/>
      <c r="V22" s="110"/>
      <c r="W22" s="110"/>
      <c r="X22" s="110"/>
      <c r="Y22" s="110"/>
      <c r="Z22" s="110"/>
    </row>
    <row r="23" spans="1:26" ht="16.5" customHeight="1" x14ac:dyDescent="0.35">
      <c r="A23" s="110"/>
      <c r="B23" s="304"/>
      <c r="C23" s="305"/>
      <c r="D23" s="305"/>
      <c r="E23" s="305"/>
      <c r="F23" s="305"/>
      <c r="G23" s="305"/>
      <c r="H23" s="305"/>
      <c r="I23" s="305"/>
      <c r="J23" s="306"/>
      <c r="K23" s="110"/>
      <c r="L23" s="110"/>
      <c r="M23" s="110"/>
      <c r="N23" s="110"/>
      <c r="O23" s="110"/>
      <c r="P23" s="110"/>
      <c r="Q23" s="110"/>
      <c r="R23" s="110"/>
      <c r="S23" s="110"/>
      <c r="T23" s="110"/>
      <c r="U23" s="110"/>
      <c r="V23" s="110"/>
      <c r="W23" s="110"/>
      <c r="X23" s="110"/>
      <c r="Y23" s="110"/>
      <c r="Z23" s="110"/>
    </row>
    <row r="24" spans="1:26" ht="16.5" customHeight="1" x14ac:dyDescent="0.35">
      <c r="A24" s="110"/>
      <c r="B24" s="324" t="s">
        <v>136</v>
      </c>
      <c r="C24" s="240"/>
      <c r="D24" s="240"/>
      <c r="E24" s="240"/>
      <c r="F24" s="240"/>
      <c r="G24" s="240"/>
      <c r="H24" s="240"/>
      <c r="I24" s="240"/>
      <c r="J24" s="241"/>
      <c r="K24" s="110"/>
      <c r="L24" s="110"/>
      <c r="M24" s="110"/>
      <c r="N24" s="110"/>
      <c r="O24" s="110"/>
      <c r="P24" s="110"/>
      <c r="Q24" s="110"/>
      <c r="R24" s="110"/>
      <c r="S24" s="110"/>
      <c r="T24" s="110"/>
      <c r="U24" s="110"/>
      <c r="V24" s="110"/>
      <c r="W24" s="110"/>
      <c r="X24" s="110"/>
      <c r="Y24" s="110"/>
      <c r="Z24" s="110"/>
    </row>
    <row r="25" spans="1:26" ht="16.5" customHeight="1" x14ac:dyDescent="0.35">
      <c r="A25" s="110"/>
      <c r="B25" s="325"/>
      <c r="C25" s="233"/>
      <c r="D25" s="233"/>
      <c r="E25" s="233"/>
      <c r="F25" s="233"/>
      <c r="G25" s="233"/>
      <c r="H25" s="233"/>
      <c r="I25" s="233"/>
      <c r="J25" s="326"/>
      <c r="K25" s="110"/>
      <c r="L25" s="110"/>
      <c r="M25" s="110"/>
      <c r="N25" s="110"/>
      <c r="O25" s="110"/>
      <c r="P25" s="110"/>
      <c r="Q25" s="110"/>
      <c r="R25" s="110"/>
      <c r="S25" s="110"/>
      <c r="T25" s="110"/>
      <c r="U25" s="110"/>
      <c r="V25" s="110"/>
      <c r="W25" s="110"/>
      <c r="X25" s="110"/>
      <c r="Y25" s="110"/>
      <c r="Z25" s="110"/>
    </row>
    <row r="26" spans="1:26" ht="16.5" customHeight="1" x14ac:dyDescent="0.35">
      <c r="A26" s="110"/>
      <c r="B26" s="304"/>
      <c r="C26" s="305"/>
      <c r="D26" s="305"/>
      <c r="E26" s="305"/>
      <c r="F26" s="305"/>
      <c r="G26" s="305"/>
      <c r="H26" s="305"/>
      <c r="I26" s="305"/>
      <c r="J26" s="306"/>
      <c r="K26" s="110"/>
      <c r="L26" s="110"/>
      <c r="M26" s="110"/>
      <c r="N26" s="110"/>
      <c r="O26" s="110"/>
      <c r="P26" s="110"/>
      <c r="Q26" s="110"/>
      <c r="R26" s="110"/>
      <c r="S26" s="110"/>
      <c r="T26" s="110"/>
      <c r="U26" s="110"/>
      <c r="V26" s="110"/>
      <c r="W26" s="110"/>
      <c r="X26" s="110"/>
      <c r="Y26" s="110"/>
      <c r="Z26" s="110"/>
    </row>
    <row r="27" spans="1:26" ht="16.5" customHeight="1" x14ac:dyDescent="0.35">
      <c r="A27" s="110"/>
      <c r="B27" s="324" t="s">
        <v>137</v>
      </c>
      <c r="C27" s="240"/>
      <c r="D27" s="240"/>
      <c r="E27" s="240"/>
      <c r="F27" s="240"/>
      <c r="G27" s="240"/>
      <c r="H27" s="240"/>
      <c r="I27" s="240"/>
      <c r="J27" s="241"/>
      <c r="K27" s="110"/>
      <c r="L27" s="110"/>
      <c r="M27" s="110"/>
      <c r="N27" s="110"/>
      <c r="O27" s="110"/>
      <c r="P27" s="110"/>
      <c r="Q27" s="110"/>
      <c r="R27" s="110"/>
      <c r="S27" s="110"/>
      <c r="T27" s="110"/>
      <c r="U27" s="110"/>
      <c r="V27" s="110"/>
      <c r="W27" s="110"/>
      <c r="X27" s="110"/>
      <c r="Y27" s="110"/>
      <c r="Z27" s="110"/>
    </row>
    <row r="28" spans="1:26" ht="16.5" customHeight="1" x14ac:dyDescent="0.35">
      <c r="A28" s="110"/>
      <c r="B28" s="325"/>
      <c r="C28" s="233"/>
      <c r="D28" s="233"/>
      <c r="E28" s="233"/>
      <c r="F28" s="233"/>
      <c r="G28" s="233"/>
      <c r="H28" s="233"/>
      <c r="I28" s="233"/>
      <c r="J28" s="326"/>
      <c r="K28" s="110"/>
      <c r="L28" s="110"/>
      <c r="M28" s="110"/>
      <c r="N28" s="110"/>
      <c r="O28" s="110"/>
      <c r="P28" s="110"/>
      <c r="Q28" s="110"/>
      <c r="R28" s="110"/>
      <c r="S28" s="110"/>
      <c r="T28" s="110"/>
      <c r="U28" s="110"/>
      <c r="V28" s="110"/>
      <c r="W28" s="110"/>
      <c r="X28" s="110"/>
      <c r="Y28" s="110"/>
      <c r="Z28" s="110"/>
    </row>
    <row r="29" spans="1:26" ht="16.5" customHeight="1" x14ac:dyDescent="0.35">
      <c r="A29" s="110"/>
      <c r="B29" s="304"/>
      <c r="C29" s="305"/>
      <c r="D29" s="305"/>
      <c r="E29" s="305"/>
      <c r="F29" s="305"/>
      <c r="G29" s="305"/>
      <c r="H29" s="305"/>
      <c r="I29" s="305"/>
      <c r="J29" s="306"/>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t="str">
        <f>CARÁTULA!$C$19</f>
        <v>JOSÉ COAQUIRA COPA</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138</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328125" defaultRowHeight="15" customHeight="1" x14ac:dyDescent="0.35"/>
  <cols>
    <col min="1" max="1" width="1.6640625" customWidth="1"/>
    <col min="2" max="2" width="4.4648437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7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37" t="s">
        <v>141</v>
      </c>
      <c r="D2" s="233"/>
      <c r="E2" s="233"/>
      <c r="F2" s="233"/>
      <c r="G2" s="233"/>
      <c r="H2" s="233"/>
      <c r="I2" s="233"/>
      <c r="J2" s="233"/>
      <c r="K2" s="233"/>
      <c r="L2" s="233"/>
      <c r="M2" s="233"/>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t="str">
        <f>CARÁTULA!$C$25</f>
        <v>Seguridad en sistemas informaticos</v>
      </c>
      <c r="L3" s="39"/>
      <c r="M3" s="39"/>
      <c r="N3" s="39"/>
      <c r="O3" s="40"/>
      <c r="P3" s="40"/>
      <c r="Q3" s="40"/>
      <c r="R3" s="40"/>
      <c r="S3" s="40"/>
      <c r="T3" s="40"/>
      <c r="U3" s="40"/>
      <c r="V3" s="40"/>
      <c r="W3" s="40"/>
      <c r="X3" s="40"/>
      <c r="Y3" s="40"/>
      <c r="Z3" s="40"/>
    </row>
    <row r="4" spans="1:26" ht="13.5" customHeight="1" x14ac:dyDescent="0.35">
      <c r="A4" s="40"/>
      <c r="B4" s="123" t="s">
        <v>14</v>
      </c>
      <c r="C4" s="40"/>
      <c r="D4" s="40"/>
      <c r="E4" s="40" t="str">
        <f>CARÁTULA!$C$21</f>
        <v>Secundaria</v>
      </c>
      <c r="F4" s="40"/>
      <c r="G4" s="40"/>
      <c r="H4" s="40"/>
      <c r="I4" s="40"/>
      <c r="J4" s="43" t="s">
        <v>52</v>
      </c>
      <c r="K4" s="39" t="str">
        <f>CARÁTULA!$C$19</f>
        <v>JOSÉ COAQUIRA COPA</v>
      </c>
      <c r="L4" s="39"/>
      <c r="M4" s="39"/>
      <c r="N4" s="39"/>
      <c r="O4" s="40"/>
      <c r="P4" s="40"/>
      <c r="Q4" s="40"/>
      <c r="R4" s="40"/>
      <c r="S4" s="40"/>
      <c r="T4" s="40"/>
      <c r="U4" s="40"/>
      <c r="V4" s="40"/>
      <c r="W4" s="40"/>
      <c r="X4" s="40"/>
      <c r="Y4" s="40"/>
      <c r="Z4" s="40"/>
    </row>
    <row r="5" spans="1:26" ht="13.5" customHeight="1" x14ac:dyDescent="0.35">
      <c r="A5" s="40"/>
      <c r="B5" s="123" t="s">
        <v>22</v>
      </c>
      <c r="C5" s="40"/>
      <c r="D5" s="40"/>
      <c r="E5" s="40" t="str">
        <f>CARÁTULA!$C$23</f>
        <v>6to de Secundaria</v>
      </c>
      <c r="F5" s="40"/>
      <c r="G5" s="40"/>
      <c r="H5" s="40"/>
      <c r="I5" s="40"/>
      <c r="J5" s="43" t="s">
        <v>23</v>
      </c>
      <c r="K5" s="68">
        <f ca="1">TODAY()</f>
        <v>44543</v>
      </c>
      <c r="L5" s="39"/>
      <c r="M5" s="39"/>
      <c r="N5" s="39"/>
      <c r="O5" s="40"/>
      <c r="P5" s="40"/>
      <c r="Q5" s="40"/>
      <c r="R5" s="40"/>
      <c r="S5" s="40"/>
      <c r="T5" s="40"/>
      <c r="U5" s="40"/>
      <c r="V5" s="40"/>
      <c r="W5" s="40"/>
      <c r="X5" s="40"/>
      <c r="Y5" s="40"/>
      <c r="Z5" s="40"/>
    </row>
    <row r="6" spans="1:26" ht="13.5" customHeight="1" x14ac:dyDescent="0.3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81" t="s">
        <v>142</v>
      </c>
      <c r="D10" s="233"/>
      <c r="E10" s="124"/>
      <c r="F10" s="40"/>
      <c r="G10" s="43" t="s">
        <v>143</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5" t="s">
        <v>144</v>
      </c>
      <c r="D11" s="40"/>
      <c r="E11" s="126">
        <f>'CENTRAL 2'!$I$9</f>
        <v>30</v>
      </c>
      <c r="F11" s="124"/>
      <c r="G11" s="127">
        <f t="shared" ref="G11:G12" si="0">E11/$E$13</f>
        <v>0.83333333333333337</v>
      </c>
      <c r="H11" s="128"/>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9" t="s">
        <v>145</v>
      </c>
      <c r="D12" s="40"/>
      <c r="E12" s="129">
        <f>'CENTRAL 2'!$I$13</f>
        <v>6</v>
      </c>
      <c r="F12" s="124"/>
      <c r="G12" s="127">
        <f t="shared" si="0"/>
        <v>0.16666666666666666</v>
      </c>
      <c r="H12" s="128"/>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146</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81" t="s">
        <v>147</v>
      </c>
      <c r="D23" s="233"/>
      <c r="E23" s="40"/>
      <c r="F23" s="40"/>
      <c r="G23" s="43" t="s">
        <v>148</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5" t="s">
        <v>144</v>
      </c>
      <c r="D24" s="40"/>
      <c r="E24" s="126">
        <f>'CENTRAL 2'!$J$9</f>
        <v>33</v>
      </c>
      <c r="F24" s="40"/>
      <c r="G24" s="127">
        <f t="shared" ref="G24:G25" si="1">E24/$E$26</f>
        <v>0.91666666666666663</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9" t="s">
        <v>145</v>
      </c>
      <c r="D25" s="40"/>
      <c r="E25" s="129">
        <f>'CENTRAL 2'!$J$13</f>
        <v>3</v>
      </c>
      <c r="F25" s="40"/>
      <c r="G25" s="127">
        <f t="shared" si="1"/>
        <v>8.3333333333333329E-2</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146</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81" t="s">
        <v>149</v>
      </c>
      <c r="D35" s="233"/>
      <c r="E35" s="40"/>
      <c r="F35" s="40"/>
      <c r="G35" s="123" t="s">
        <v>150</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5" t="s">
        <v>144</v>
      </c>
      <c r="D36" s="40"/>
      <c r="E36" s="126">
        <f>'CENTRAL 2'!$K$9</f>
        <v>31</v>
      </c>
      <c r="F36" s="40"/>
      <c r="G36" s="127">
        <f t="shared" ref="G36:G37" si="2">E36/$E$26</f>
        <v>0.86111111111111116</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9" t="s">
        <v>145</v>
      </c>
      <c r="D37" s="40"/>
      <c r="E37" s="129">
        <f>'CENTRAL 2'!$K$13</f>
        <v>5</v>
      </c>
      <c r="F37" s="40"/>
      <c r="G37" s="127">
        <f t="shared" si="2"/>
        <v>0.1388888888888889</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146</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328125" defaultRowHeight="15" customHeight="1" x14ac:dyDescent="0.35"/>
  <cols>
    <col min="1" max="1" width="1.6640625" customWidth="1"/>
    <col min="2" max="2" width="5.6640625" customWidth="1"/>
    <col min="3" max="3" width="4.33203125" customWidth="1"/>
    <col min="4" max="4" width="6.1328125" customWidth="1"/>
    <col min="5" max="5" width="7.46484375" customWidth="1"/>
    <col min="6" max="6" width="13.33203125" customWidth="1"/>
    <col min="7" max="7" width="10.73046875" customWidth="1"/>
    <col min="8" max="8" width="8.1328125" customWidth="1"/>
    <col min="9" max="26" width="5.6640625" customWidth="1"/>
  </cols>
  <sheetData>
    <row r="1" spans="1:26" ht="13.5" customHeight="1" x14ac:dyDescent="0.3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5">
      <c r="A2" s="128"/>
      <c r="B2" s="128"/>
      <c r="C2" s="330" t="s">
        <v>151</v>
      </c>
      <c r="D2" s="233"/>
      <c r="E2" s="233"/>
      <c r="F2" s="233"/>
      <c r="G2" s="233"/>
      <c r="H2" s="233"/>
      <c r="I2" s="233"/>
      <c r="J2" s="128"/>
      <c r="K2" s="128"/>
      <c r="L2" s="128"/>
      <c r="M2" s="128"/>
      <c r="N2" s="128"/>
      <c r="O2" s="128"/>
      <c r="P2" s="128"/>
      <c r="Q2" s="128"/>
      <c r="R2" s="128"/>
      <c r="S2" s="128"/>
      <c r="T2" s="128"/>
      <c r="U2" s="128"/>
      <c r="V2" s="128"/>
      <c r="W2" s="128"/>
      <c r="X2" s="128"/>
      <c r="Y2" s="128"/>
      <c r="Z2" s="128"/>
    </row>
    <row r="3" spans="1:26" ht="13.5" customHeight="1" x14ac:dyDescent="0.35">
      <c r="A3" s="128"/>
      <c r="B3" s="132" t="s">
        <v>8</v>
      </c>
      <c r="C3" s="133"/>
      <c r="D3" s="133"/>
      <c r="E3" s="133" t="str">
        <f>CARÁTULA!$C$15</f>
        <v>Instituto Tecnico Humanistico Jauzel Arrieta</v>
      </c>
      <c r="F3" s="133"/>
      <c r="G3" s="132" t="s">
        <v>19</v>
      </c>
      <c r="H3" s="133" t="str">
        <f>CARÁTULA!$C$25</f>
        <v>Seguridad en sistemas informaticos</v>
      </c>
      <c r="I3" s="133"/>
      <c r="J3" s="133"/>
      <c r="K3" s="128"/>
      <c r="L3" s="128"/>
      <c r="M3" s="128"/>
      <c r="N3" s="128"/>
      <c r="O3" s="128"/>
      <c r="P3" s="128"/>
      <c r="Q3" s="128"/>
      <c r="R3" s="128"/>
      <c r="S3" s="128"/>
      <c r="T3" s="128"/>
      <c r="U3" s="128"/>
      <c r="V3" s="128"/>
      <c r="W3" s="128"/>
      <c r="X3" s="128"/>
      <c r="Y3" s="128"/>
      <c r="Z3" s="128"/>
    </row>
    <row r="4" spans="1:26" ht="13.5" customHeight="1" x14ac:dyDescent="0.35">
      <c r="A4" s="128"/>
      <c r="B4" s="132" t="s">
        <v>14</v>
      </c>
      <c r="C4" s="133"/>
      <c r="D4" s="133"/>
      <c r="E4" s="133" t="str">
        <f>CARÁTULA!$C$21</f>
        <v>Secundaria</v>
      </c>
      <c r="F4" s="133"/>
      <c r="G4" s="132" t="s">
        <v>52</v>
      </c>
      <c r="H4" s="133" t="str">
        <f>CARÁTULA!$C$19</f>
        <v>JOSÉ COAQUIRA COPA</v>
      </c>
      <c r="I4" s="133"/>
      <c r="J4" s="133"/>
      <c r="K4" s="128"/>
      <c r="L4" s="128"/>
      <c r="M4" s="128"/>
      <c r="N4" s="128"/>
      <c r="O4" s="128"/>
      <c r="P4" s="128"/>
      <c r="Q4" s="128"/>
      <c r="R4" s="128"/>
      <c r="S4" s="128"/>
      <c r="T4" s="128"/>
      <c r="U4" s="128"/>
      <c r="V4" s="128"/>
      <c r="W4" s="128"/>
      <c r="X4" s="128"/>
      <c r="Y4" s="128"/>
      <c r="Z4" s="128"/>
    </row>
    <row r="5" spans="1:26" ht="13.5" customHeight="1" x14ac:dyDescent="0.35">
      <c r="A5" s="128"/>
      <c r="B5" s="132" t="s">
        <v>22</v>
      </c>
      <c r="C5" s="133"/>
      <c r="D5" s="133"/>
      <c r="E5" s="133" t="str">
        <f>CARÁTULA!$C$23</f>
        <v>6to de Secundaria</v>
      </c>
      <c r="F5" s="133"/>
      <c r="G5" s="132" t="s">
        <v>23</v>
      </c>
      <c r="H5" s="134">
        <f ca="1">TODAY()</f>
        <v>44543</v>
      </c>
      <c r="I5" s="133"/>
      <c r="J5" s="133"/>
      <c r="K5" s="128"/>
      <c r="L5" s="128"/>
      <c r="M5" s="128"/>
      <c r="N5" s="128"/>
      <c r="O5" s="128"/>
      <c r="P5" s="128"/>
      <c r="Q5" s="128"/>
      <c r="R5" s="128"/>
      <c r="S5" s="128"/>
      <c r="T5" s="128"/>
      <c r="U5" s="128"/>
      <c r="V5" s="128"/>
      <c r="W5" s="128"/>
      <c r="X5" s="128"/>
      <c r="Y5" s="128"/>
      <c r="Z5" s="128"/>
    </row>
    <row r="6" spans="1:26" ht="13.5" customHeight="1" x14ac:dyDescent="0.3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5">
      <c r="A8" s="128"/>
      <c r="B8" s="128"/>
      <c r="C8" s="329" t="s">
        <v>152</v>
      </c>
      <c r="D8" s="136" t="s">
        <v>153</v>
      </c>
      <c r="E8" s="136" t="s">
        <v>154</v>
      </c>
      <c r="F8" s="137" t="s">
        <v>155</v>
      </c>
      <c r="G8" s="136" t="s">
        <v>156</v>
      </c>
      <c r="H8" s="136" t="s">
        <v>157</v>
      </c>
      <c r="I8" s="128"/>
      <c r="J8" s="128"/>
      <c r="K8" s="128"/>
      <c r="L8" s="128"/>
      <c r="M8" s="128"/>
      <c r="N8" s="128"/>
      <c r="O8" s="128"/>
      <c r="P8" s="128"/>
      <c r="Q8" s="128"/>
      <c r="R8" s="128"/>
      <c r="S8" s="128"/>
      <c r="T8" s="128"/>
      <c r="U8" s="128"/>
      <c r="V8" s="128"/>
      <c r="W8" s="128"/>
      <c r="X8" s="128"/>
      <c r="Y8" s="128"/>
      <c r="Z8" s="128"/>
    </row>
    <row r="9" spans="1:26" ht="13.5" customHeight="1" x14ac:dyDescent="0.35">
      <c r="A9" s="128"/>
      <c r="B9" s="128"/>
      <c r="C9" s="316"/>
      <c r="D9" s="138" t="s">
        <v>158</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5">
      <c r="A10" s="128"/>
      <c r="B10" s="128"/>
      <c r="C10" s="316"/>
      <c r="D10" s="138" t="s">
        <v>159</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5">
      <c r="A11" s="128"/>
      <c r="B11" s="128"/>
      <c r="C11" s="316"/>
      <c r="D11" s="138" t="s">
        <v>160</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5">
      <c r="A12" s="128"/>
      <c r="B12" s="128"/>
      <c r="C12" s="295"/>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5">
      <c r="A15" s="128"/>
      <c r="B15" s="128"/>
      <c r="C15" s="329" t="s">
        <v>161</v>
      </c>
      <c r="D15" s="136" t="s">
        <v>153</v>
      </c>
      <c r="E15" s="136" t="s">
        <v>154</v>
      </c>
      <c r="F15" s="137" t="s">
        <v>155</v>
      </c>
      <c r="G15" s="136" t="s">
        <v>156</v>
      </c>
      <c r="H15" s="136" t="s">
        <v>157</v>
      </c>
      <c r="I15" s="128"/>
      <c r="J15" s="128"/>
      <c r="K15" s="128"/>
      <c r="L15" s="128"/>
      <c r="M15" s="128"/>
      <c r="N15" s="128"/>
      <c r="O15" s="128"/>
      <c r="P15" s="128"/>
      <c r="Q15" s="128"/>
      <c r="R15" s="128"/>
      <c r="S15" s="128"/>
      <c r="T15" s="128"/>
      <c r="U15" s="128"/>
      <c r="V15" s="128"/>
      <c r="W15" s="128"/>
      <c r="X15" s="128"/>
      <c r="Y15" s="128"/>
      <c r="Z15" s="128"/>
    </row>
    <row r="16" spans="1:26" ht="13.5" customHeight="1" x14ac:dyDescent="0.35">
      <c r="A16" s="128"/>
      <c r="B16" s="128"/>
      <c r="C16" s="316"/>
      <c r="D16" s="138" t="s">
        <v>158</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5">
      <c r="A17" s="128"/>
      <c r="B17" s="128"/>
      <c r="C17" s="316"/>
      <c r="D17" s="138" t="s">
        <v>159</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5">
      <c r="A18" s="128"/>
      <c r="B18" s="128"/>
      <c r="C18" s="316"/>
      <c r="D18" s="138" t="s">
        <v>160</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5">
      <c r="A19" s="128"/>
      <c r="B19" s="128"/>
      <c r="C19" s="295"/>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5">
      <c r="A22" s="128"/>
      <c r="B22" s="128"/>
      <c r="C22" s="329" t="s">
        <v>162</v>
      </c>
      <c r="D22" s="136" t="s">
        <v>153</v>
      </c>
      <c r="E22" s="136" t="s">
        <v>154</v>
      </c>
      <c r="F22" s="137" t="s">
        <v>155</v>
      </c>
      <c r="G22" s="136" t="s">
        <v>156</v>
      </c>
      <c r="H22" s="136" t="s">
        <v>157</v>
      </c>
      <c r="I22" s="128"/>
      <c r="J22" s="128"/>
      <c r="K22" s="128"/>
      <c r="L22" s="128"/>
      <c r="M22" s="128"/>
      <c r="N22" s="128"/>
      <c r="O22" s="128"/>
      <c r="P22" s="128"/>
      <c r="Q22" s="128"/>
      <c r="R22" s="128"/>
      <c r="S22" s="128"/>
      <c r="T22" s="128"/>
      <c r="U22" s="128"/>
      <c r="V22" s="128"/>
      <c r="W22" s="128"/>
      <c r="X22" s="128"/>
      <c r="Y22" s="128"/>
      <c r="Z22" s="128"/>
    </row>
    <row r="23" spans="1:26" ht="13.5" customHeight="1" x14ac:dyDescent="0.35">
      <c r="A23" s="128"/>
      <c r="B23" s="128"/>
      <c r="C23" s="316"/>
      <c r="D23" s="138" t="s">
        <v>158</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5">
      <c r="A24" s="128"/>
      <c r="B24" s="128"/>
      <c r="C24" s="316"/>
      <c r="D24" s="138" t="s">
        <v>159</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5">
      <c r="A25" s="128"/>
      <c r="B25" s="128"/>
      <c r="C25" s="316"/>
      <c r="D25" s="138" t="s">
        <v>160</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5">
      <c r="A26" s="128"/>
      <c r="B26" s="128"/>
      <c r="C26" s="295"/>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5">
      <c r="A29" s="128"/>
      <c r="B29" s="128"/>
      <c r="C29" s="329" t="s">
        <v>163</v>
      </c>
      <c r="D29" s="136" t="s">
        <v>153</v>
      </c>
      <c r="E29" s="136" t="s">
        <v>154</v>
      </c>
      <c r="F29" s="137" t="s">
        <v>155</v>
      </c>
      <c r="G29" s="136" t="s">
        <v>156</v>
      </c>
      <c r="H29" s="136" t="s">
        <v>157</v>
      </c>
      <c r="I29" s="128"/>
      <c r="J29" s="128"/>
      <c r="K29" s="128"/>
      <c r="L29" s="128"/>
      <c r="M29" s="128"/>
      <c r="N29" s="128"/>
      <c r="O29" s="128"/>
      <c r="P29" s="128"/>
      <c r="Q29" s="128"/>
      <c r="R29" s="128"/>
      <c r="S29" s="128"/>
      <c r="T29" s="128"/>
      <c r="U29" s="128"/>
      <c r="V29" s="128"/>
      <c r="W29" s="128"/>
      <c r="X29" s="128"/>
      <c r="Y29" s="128"/>
      <c r="Z29" s="128"/>
    </row>
    <row r="30" spans="1:26" ht="13.5" customHeight="1" x14ac:dyDescent="0.35">
      <c r="A30" s="128"/>
      <c r="B30" s="128"/>
      <c r="C30" s="316"/>
      <c r="D30" s="138" t="s">
        <v>158</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5">
      <c r="A31" s="128"/>
      <c r="B31" s="128"/>
      <c r="C31" s="316"/>
      <c r="D31" s="138" t="s">
        <v>159</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5">
      <c r="A32" s="128"/>
      <c r="B32" s="128"/>
      <c r="C32" s="316"/>
      <c r="D32" s="138" t="s">
        <v>160</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5">
      <c r="A33" s="128"/>
      <c r="B33" s="128"/>
      <c r="C33" s="295"/>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5">
      <c r="A36" s="128"/>
      <c r="B36" s="128"/>
      <c r="C36" s="329" t="s">
        <v>164</v>
      </c>
      <c r="D36" s="136" t="s">
        <v>153</v>
      </c>
      <c r="E36" s="136" t="s">
        <v>154</v>
      </c>
      <c r="F36" s="137" t="s">
        <v>155</v>
      </c>
      <c r="G36" s="136" t="s">
        <v>156</v>
      </c>
      <c r="H36" s="136" t="s">
        <v>157</v>
      </c>
      <c r="I36" s="128"/>
      <c r="J36" s="128"/>
      <c r="K36" s="128"/>
      <c r="L36" s="128"/>
      <c r="M36" s="128"/>
      <c r="N36" s="128"/>
      <c r="O36" s="128"/>
      <c r="P36" s="128"/>
      <c r="Q36" s="128"/>
      <c r="R36" s="128"/>
      <c r="S36" s="128"/>
      <c r="T36" s="128"/>
      <c r="U36" s="128"/>
      <c r="V36" s="128"/>
      <c r="W36" s="128"/>
      <c r="X36" s="128"/>
      <c r="Y36" s="128"/>
      <c r="Z36" s="128"/>
    </row>
    <row r="37" spans="1:26" ht="13.5" customHeight="1" x14ac:dyDescent="0.35">
      <c r="A37" s="128"/>
      <c r="B37" s="128"/>
      <c r="C37" s="316"/>
      <c r="D37" s="138" t="s">
        <v>158</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5">
      <c r="A38" s="128"/>
      <c r="B38" s="128"/>
      <c r="C38" s="316"/>
      <c r="D38" s="138" t="s">
        <v>159</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5">
      <c r="A39" s="128"/>
      <c r="B39" s="128"/>
      <c r="C39" s="316"/>
      <c r="D39" s="138" t="s">
        <v>160</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5">
      <c r="A40" s="128"/>
      <c r="B40" s="128"/>
      <c r="C40" s="295"/>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5">
      <c r="A43" s="128"/>
      <c r="B43" s="128"/>
      <c r="C43" s="329" t="s">
        <v>165</v>
      </c>
      <c r="D43" s="136" t="s">
        <v>153</v>
      </c>
      <c r="E43" s="136" t="s">
        <v>154</v>
      </c>
      <c r="F43" s="137" t="s">
        <v>155</v>
      </c>
      <c r="G43" s="136" t="s">
        <v>156</v>
      </c>
      <c r="H43" s="136" t="s">
        <v>157</v>
      </c>
      <c r="I43" s="128"/>
      <c r="J43" s="128"/>
      <c r="K43" s="128"/>
      <c r="L43" s="128"/>
      <c r="M43" s="128"/>
      <c r="N43" s="128"/>
      <c r="O43" s="128"/>
      <c r="P43" s="128"/>
      <c r="Q43" s="128"/>
      <c r="R43" s="128"/>
      <c r="S43" s="128"/>
      <c r="T43" s="128"/>
      <c r="U43" s="128"/>
      <c r="V43" s="128"/>
      <c r="W43" s="128"/>
      <c r="X43" s="128"/>
      <c r="Y43" s="128"/>
      <c r="Z43" s="128"/>
    </row>
    <row r="44" spans="1:26" ht="13.5" customHeight="1" x14ac:dyDescent="0.35">
      <c r="A44" s="128"/>
      <c r="B44" s="128"/>
      <c r="C44" s="316"/>
      <c r="D44" s="138" t="s">
        <v>158</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5">
      <c r="A45" s="128"/>
      <c r="B45" s="128"/>
      <c r="C45" s="316"/>
      <c r="D45" s="138" t="s">
        <v>159</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5">
      <c r="A46" s="128"/>
      <c r="B46" s="128"/>
      <c r="C46" s="316"/>
      <c r="D46" s="138" t="s">
        <v>160</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5">
      <c r="A47" s="128"/>
      <c r="B47" s="128"/>
      <c r="C47" s="295"/>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328125" defaultRowHeight="15" customHeight="1" x14ac:dyDescent="0.35"/>
  <cols>
    <col min="1" max="4" width="1.6640625" customWidth="1"/>
    <col min="5" max="6" width="4.6640625" customWidth="1"/>
    <col min="7" max="7" width="26.6640625" customWidth="1"/>
    <col min="8" max="8" width="7.46484375" customWidth="1"/>
    <col min="9" max="10" width="10.796875" customWidth="1"/>
    <col min="11" max="26" width="10.3984375" customWidth="1"/>
  </cols>
  <sheetData>
    <row r="1" spans="1:26" ht="7.5" customHeight="1"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5">
      <c r="A3" s="143"/>
      <c r="B3" s="19"/>
      <c r="C3" s="19"/>
      <c r="D3" s="19"/>
      <c r="E3" s="331" t="s">
        <v>166</v>
      </c>
      <c r="F3" s="233"/>
      <c r="G3" s="233"/>
      <c r="H3" s="233"/>
      <c r="I3" s="233"/>
      <c r="J3" s="143"/>
      <c r="K3" s="143"/>
      <c r="L3" s="143"/>
      <c r="M3" s="143"/>
      <c r="N3" s="143"/>
      <c r="O3" s="143"/>
      <c r="P3" s="143"/>
      <c r="Q3" s="143"/>
      <c r="R3" s="143"/>
      <c r="S3" s="143"/>
      <c r="T3" s="143"/>
      <c r="U3" s="143"/>
      <c r="V3" s="143"/>
      <c r="W3" s="143"/>
      <c r="X3" s="143"/>
      <c r="Y3" s="143"/>
      <c r="Z3" s="143"/>
    </row>
    <row r="4" spans="1:26" ht="6.75" customHeight="1" x14ac:dyDescent="0.3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5">
      <c r="A6" s="143"/>
      <c r="B6" s="144" t="s">
        <v>8</v>
      </c>
      <c r="C6" s="19"/>
      <c r="D6" s="19"/>
      <c r="E6" s="19"/>
      <c r="F6" s="19"/>
      <c r="G6" s="19" t="str">
        <f>CARÁTULA!$C$15</f>
        <v>Instituto Tecnico Humanistico Jauzel Arrieta</v>
      </c>
      <c r="H6" s="144" t="s">
        <v>19</v>
      </c>
      <c r="I6" s="40" t="str">
        <f>CARÁTULA!$C$25</f>
        <v>Seguridad en sistemas informaticos</v>
      </c>
      <c r="J6" s="143"/>
      <c r="K6" s="143"/>
      <c r="L6" s="143"/>
      <c r="M6" s="143"/>
      <c r="N6" s="143"/>
      <c r="O6" s="143"/>
      <c r="P6" s="143"/>
      <c r="Q6" s="143"/>
      <c r="R6" s="143"/>
      <c r="S6" s="143"/>
      <c r="T6" s="143"/>
      <c r="U6" s="143"/>
      <c r="V6" s="143"/>
      <c r="W6" s="143"/>
      <c r="X6" s="143"/>
      <c r="Y6" s="143"/>
      <c r="Z6" s="143"/>
    </row>
    <row r="7" spans="1:26" ht="12.75" customHeight="1" x14ac:dyDescent="0.35">
      <c r="A7" s="143"/>
      <c r="B7" s="144" t="s">
        <v>14</v>
      </c>
      <c r="C7" s="19"/>
      <c r="D7" s="19"/>
      <c r="E7" s="19"/>
      <c r="F7" s="19"/>
      <c r="G7" s="40" t="str">
        <f>CARÁTULA!$C$21</f>
        <v>Secundaria</v>
      </c>
      <c r="H7" s="144" t="s">
        <v>52</v>
      </c>
      <c r="I7" s="19" t="str">
        <f>CARÁTULA!$C$19</f>
        <v>JOSÉ COAQUIRA COPA</v>
      </c>
      <c r="J7" s="143"/>
      <c r="K7" s="143"/>
      <c r="L7" s="143"/>
      <c r="M7" s="143"/>
      <c r="N7" s="143"/>
      <c r="O7" s="143"/>
      <c r="P7" s="143"/>
      <c r="Q7" s="143"/>
      <c r="R7" s="143"/>
      <c r="S7" s="143"/>
      <c r="T7" s="143"/>
      <c r="U7" s="143"/>
      <c r="V7" s="143"/>
      <c r="W7" s="143"/>
      <c r="X7" s="143"/>
      <c r="Y7" s="143"/>
      <c r="Z7" s="143"/>
    </row>
    <row r="8" spans="1:26" ht="12.75" customHeight="1" x14ac:dyDescent="0.35">
      <c r="A8" s="143"/>
      <c r="B8" s="144" t="s">
        <v>22</v>
      </c>
      <c r="C8" s="19"/>
      <c r="D8" s="19"/>
      <c r="E8" s="19"/>
      <c r="F8" s="19"/>
      <c r="G8" s="40" t="str">
        <f>CARÁTULA!$C$23</f>
        <v>6to de Secundaria</v>
      </c>
      <c r="H8" s="144" t="s">
        <v>23</v>
      </c>
      <c r="I8" s="134">
        <f ca="1">TODAY()</f>
        <v>44543</v>
      </c>
      <c r="J8" s="143"/>
      <c r="K8" s="143"/>
      <c r="L8" s="143"/>
      <c r="M8" s="143"/>
      <c r="N8" s="143"/>
      <c r="O8" s="143"/>
      <c r="P8" s="143"/>
      <c r="Q8" s="143"/>
      <c r="R8" s="143"/>
      <c r="S8" s="143"/>
      <c r="T8" s="143"/>
      <c r="U8" s="143"/>
      <c r="V8" s="143"/>
      <c r="W8" s="143"/>
      <c r="X8" s="143"/>
      <c r="Y8" s="143"/>
      <c r="Z8" s="143"/>
    </row>
    <row r="9" spans="1:26" ht="6.75" customHeight="1" x14ac:dyDescent="0.3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5">
      <c r="A16" s="143"/>
      <c r="B16" s="143"/>
      <c r="C16" s="143"/>
      <c r="D16" s="143"/>
      <c r="E16" s="332" t="s">
        <v>167</v>
      </c>
      <c r="F16" s="333"/>
      <c r="G16" s="146" t="s">
        <v>24</v>
      </c>
      <c r="H16" s="147" t="s">
        <v>168</v>
      </c>
      <c r="I16" s="148"/>
      <c r="J16" s="143"/>
      <c r="K16" s="143"/>
      <c r="L16" s="143"/>
      <c r="M16" s="143"/>
      <c r="N16" s="143"/>
      <c r="O16" s="143"/>
      <c r="P16" s="143"/>
      <c r="Q16" s="143"/>
      <c r="R16" s="143"/>
      <c r="S16" s="143"/>
      <c r="T16" s="143"/>
      <c r="U16" s="143"/>
      <c r="V16" s="143"/>
      <c r="W16" s="143"/>
      <c r="X16" s="143"/>
      <c r="Y16" s="143"/>
      <c r="Z16" s="143"/>
    </row>
    <row r="17" spans="1:26" ht="12.75" customHeight="1" x14ac:dyDescent="0.35">
      <c r="A17" s="143"/>
      <c r="B17" s="143"/>
      <c r="C17" s="143"/>
      <c r="D17" s="143"/>
      <c r="E17" s="334"/>
      <c r="F17" s="285"/>
      <c r="G17" s="149" t="str">
        <f>'C. FILIACION'!B8</f>
        <v>ALTAMIRANO RAMOS ESTEFANI MILENKA</v>
      </c>
      <c r="H17" s="150">
        <f>'CENTRAL 2'!F9</f>
        <v>90.333333333333329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5">
      <c r="A18" s="143"/>
      <c r="B18" s="143"/>
      <c r="C18" s="143"/>
      <c r="D18" s="143"/>
      <c r="E18" s="334"/>
      <c r="F18" s="285"/>
      <c r="G18" s="149" t="str">
        <f>'C. FILIACION'!B9</f>
        <v>APAZA LINO TATIANA JAZMIN</v>
      </c>
      <c r="H18" s="150">
        <f>'CENTRAL 2'!F10</f>
        <v>92.333333333333329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5">
      <c r="A19" s="143"/>
      <c r="B19" s="143"/>
      <c r="C19" s="143"/>
      <c r="D19" s="143"/>
      <c r="E19" s="334"/>
      <c r="F19" s="285"/>
      <c r="G19" s="149" t="str">
        <f>'C. FILIACION'!B10</f>
        <v>BOLAÑOS OVANDO MIJHAIL ALEXANDER</v>
      </c>
      <c r="H19" s="150">
        <f>'CENTRAL 2'!F11</f>
        <v>45.738705738705733</v>
      </c>
      <c r="I19" s="143"/>
      <c r="J19" s="143"/>
      <c r="K19" s="143"/>
      <c r="L19" s="143"/>
      <c r="M19" s="143"/>
      <c r="N19" s="143"/>
      <c r="O19" s="143"/>
      <c r="P19" s="143"/>
      <c r="Q19" s="143"/>
      <c r="R19" s="143"/>
      <c r="S19" s="143"/>
      <c r="T19" s="143"/>
      <c r="U19" s="143"/>
      <c r="V19" s="143"/>
      <c r="W19" s="143"/>
      <c r="X19" s="143"/>
      <c r="Y19" s="143"/>
      <c r="Z19" s="143"/>
    </row>
    <row r="20" spans="1:26" ht="12.75" customHeight="1" x14ac:dyDescent="0.35">
      <c r="A20" s="143"/>
      <c r="B20" s="143"/>
      <c r="C20" s="143"/>
      <c r="D20" s="143"/>
      <c r="E20" s="334"/>
      <c r="F20" s="285"/>
      <c r="G20" s="149" t="str">
        <f>'C. FILIACION'!B11</f>
        <v>BRICHER ETHELBERT ISMAEL</v>
      </c>
      <c r="H20" s="150">
        <f>'CENTRAL 2'!F12</f>
        <v>17.893772893772894</v>
      </c>
      <c r="I20" s="143"/>
      <c r="J20" s="143"/>
      <c r="K20" s="143"/>
      <c r="L20" s="143"/>
      <c r="M20" s="143"/>
      <c r="N20" s="143"/>
      <c r="O20" s="143"/>
      <c r="P20" s="143"/>
      <c r="Q20" s="143"/>
      <c r="R20" s="143"/>
      <c r="S20" s="143"/>
      <c r="T20" s="143"/>
      <c r="U20" s="143"/>
      <c r="V20" s="143"/>
      <c r="W20" s="143"/>
      <c r="X20" s="143"/>
      <c r="Y20" s="143"/>
      <c r="Z20" s="143"/>
    </row>
    <row r="21" spans="1:26" ht="12.75" customHeight="1" x14ac:dyDescent="0.35">
      <c r="A21" s="143"/>
      <c r="B21" s="143"/>
      <c r="C21" s="143"/>
      <c r="D21" s="143"/>
      <c r="E21" s="334"/>
      <c r="F21" s="285"/>
      <c r="G21" s="149" t="str">
        <f>'C. FILIACION'!B12</f>
        <v>CANAVIRI QUISBERT ALEJANDRA ELENA</v>
      </c>
      <c r="H21" s="150">
        <f>'CENTRAL 2'!F13</f>
        <v>70.749694749694754</v>
      </c>
      <c r="I21" s="143"/>
      <c r="J21" s="143"/>
      <c r="K21" s="143"/>
      <c r="L21" s="143"/>
      <c r="M21" s="143"/>
      <c r="N21" s="143"/>
      <c r="O21" s="143"/>
      <c r="P21" s="143"/>
      <c r="Q21" s="143"/>
      <c r="R21" s="143"/>
      <c r="S21" s="143"/>
      <c r="T21" s="143"/>
      <c r="U21" s="143"/>
      <c r="V21" s="143"/>
      <c r="W21" s="143"/>
      <c r="X21" s="143"/>
      <c r="Y21" s="143"/>
      <c r="Z21" s="143"/>
    </row>
    <row r="22" spans="1:26" ht="12.75" customHeight="1" x14ac:dyDescent="0.35">
      <c r="A22" s="143"/>
      <c r="B22" s="143"/>
      <c r="C22" s="143"/>
      <c r="D22" s="143"/>
      <c r="E22" s="334"/>
      <c r="F22" s="285"/>
      <c r="G22" s="149" t="str">
        <f>'C. FILIACION'!B13</f>
        <v>GOMEZ BELTRAN ALBERT NORMAN</v>
      </c>
      <c r="H22" s="150">
        <f>'CENTRAL 2'!F14</f>
        <v>83.534391534391531</v>
      </c>
      <c r="I22" s="143"/>
      <c r="J22" s="143"/>
      <c r="K22" s="143"/>
      <c r="L22" s="143"/>
      <c r="M22" s="143"/>
      <c r="N22" s="143"/>
      <c r="O22" s="143"/>
      <c r="P22" s="143"/>
      <c r="Q22" s="143"/>
      <c r="R22" s="143"/>
      <c r="S22" s="143"/>
      <c r="T22" s="143"/>
      <c r="U22" s="143"/>
      <c r="V22" s="143"/>
      <c r="W22" s="143"/>
      <c r="X22" s="143"/>
      <c r="Y22" s="143"/>
      <c r="Z22" s="143"/>
    </row>
    <row r="23" spans="1:26" ht="12.75" customHeight="1" x14ac:dyDescent="0.35">
      <c r="A23" s="143"/>
      <c r="B23" s="143"/>
      <c r="C23" s="143"/>
      <c r="D23" s="143"/>
      <c r="E23" s="334"/>
      <c r="F23" s="285"/>
      <c r="G23" s="149" t="str">
        <f>'C. FILIACION'!B14</f>
        <v>GOMEZ COSME MELANY KARINA</v>
      </c>
      <c r="H23" s="150">
        <f>'CENTRAL 2'!F15</f>
        <v>47.977207977207975</v>
      </c>
      <c r="I23" s="143"/>
      <c r="J23" s="143"/>
      <c r="K23" s="143"/>
      <c r="L23" s="143"/>
      <c r="M23" s="143"/>
      <c r="N23" s="143"/>
      <c r="O23" s="143"/>
      <c r="P23" s="143"/>
      <c r="Q23" s="143"/>
      <c r="R23" s="143"/>
      <c r="S23" s="143"/>
      <c r="T23" s="143"/>
      <c r="U23" s="143"/>
      <c r="V23" s="143"/>
      <c r="W23" s="143"/>
      <c r="X23" s="143"/>
      <c r="Y23" s="143"/>
      <c r="Z23" s="143"/>
    </row>
    <row r="24" spans="1:26" ht="12.75" customHeight="1" x14ac:dyDescent="0.35">
      <c r="A24" s="143"/>
      <c r="B24" s="143"/>
      <c r="C24" s="143"/>
      <c r="D24" s="143"/>
      <c r="E24" s="334"/>
      <c r="F24" s="285"/>
      <c r="G24" s="149" t="str">
        <f>'C. FILIACION'!B15</f>
        <v>GONZALES ZUAZO KALEB RAMSES</v>
      </c>
      <c r="H24" s="150">
        <f>'CENTRAL 2'!F16</f>
        <v>65.619047619047606</v>
      </c>
      <c r="I24" s="143"/>
      <c r="J24" s="143"/>
      <c r="K24" s="143"/>
      <c r="L24" s="143"/>
      <c r="M24" s="143"/>
      <c r="N24" s="143"/>
      <c r="O24" s="143"/>
      <c r="P24" s="143"/>
      <c r="Q24" s="143"/>
      <c r="R24" s="143"/>
      <c r="S24" s="143"/>
      <c r="T24" s="143"/>
      <c r="U24" s="143"/>
      <c r="V24" s="143"/>
      <c r="W24" s="143"/>
      <c r="X24" s="143"/>
      <c r="Y24" s="143"/>
      <c r="Z24" s="143"/>
    </row>
    <row r="25" spans="1:26" ht="12.75" customHeight="1" x14ac:dyDescent="0.35">
      <c r="A25" s="143"/>
      <c r="B25" s="143"/>
      <c r="C25" s="143"/>
      <c r="D25" s="143"/>
      <c r="E25" s="334"/>
      <c r="F25" s="285"/>
      <c r="G25" s="149" t="str">
        <f>'C. FILIACION'!B16</f>
        <v>LEDEZMA AGUILAR ELVIS JHEFERSON</v>
      </c>
      <c r="H25" s="150">
        <f>'CENTRAL 2'!F17</f>
        <v>87.666666666666671</v>
      </c>
      <c r="I25" s="143"/>
      <c r="J25" s="143"/>
      <c r="K25" s="143"/>
      <c r="L25" s="143"/>
      <c r="M25" s="143"/>
      <c r="N25" s="143"/>
      <c r="O25" s="143"/>
      <c r="P25" s="143"/>
      <c r="Q25" s="143"/>
      <c r="R25" s="143"/>
      <c r="S25" s="143"/>
      <c r="T25" s="143"/>
      <c r="U25" s="143"/>
      <c r="V25" s="143"/>
      <c r="W25" s="143"/>
      <c r="X25" s="143"/>
      <c r="Y25" s="143"/>
      <c r="Z25" s="143"/>
    </row>
    <row r="26" spans="1:26" ht="12.75" customHeight="1" x14ac:dyDescent="0.35">
      <c r="A26" s="143"/>
      <c r="B26" s="143"/>
      <c r="C26" s="143"/>
      <c r="D26" s="143"/>
      <c r="E26" s="334"/>
      <c r="F26" s="285"/>
      <c r="G26" s="149" t="str">
        <f>'C. FILIACION'!B17</f>
        <v>LOBATON RODRIGUEZ JHONATAN A.</v>
      </c>
      <c r="H26" s="150">
        <f>'CENTRAL 2'!F18</f>
        <v>64.119658119658126</v>
      </c>
      <c r="I26" s="143"/>
      <c r="J26" s="143"/>
      <c r="K26" s="143"/>
      <c r="L26" s="143"/>
      <c r="M26" s="143"/>
      <c r="N26" s="143"/>
      <c r="O26" s="143"/>
      <c r="P26" s="143"/>
      <c r="Q26" s="143"/>
      <c r="R26" s="143"/>
      <c r="S26" s="143"/>
      <c r="T26" s="143"/>
      <c r="U26" s="143"/>
      <c r="V26" s="143"/>
      <c r="W26" s="143"/>
      <c r="X26" s="143"/>
      <c r="Y26" s="143"/>
      <c r="Z26" s="143"/>
    </row>
    <row r="27" spans="1:26" ht="12.75" customHeight="1" x14ac:dyDescent="0.35">
      <c r="A27" s="143"/>
      <c r="B27" s="143"/>
      <c r="C27" s="143"/>
      <c r="D27" s="143"/>
      <c r="E27" s="334"/>
      <c r="F27" s="285"/>
      <c r="G27" s="149" t="str">
        <f>'C. FILIACION'!B18</f>
        <v>MAMANI LOPEZ DAFNE MILDRED</v>
      </c>
      <c r="H27" s="150">
        <f>'CENTRAL 2'!F19</f>
        <v>48.416768416768413</v>
      </c>
      <c r="I27" s="143"/>
      <c r="J27" s="143"/>
      <c r="K27" s="143"/>
      <c r="L27" s="143"/>
      <c r="M27" s="143"/>
      <c r="N27" s="143"/>
      <c r="O27" s="143"/>
      <c r="P27" s="143"/>
      <c r="Q27" s="143"/>
      <c r="R27" s="143"/>
      <c r="S27" s="143"/>
      <c r="T27" s="143"/>
      <c r="U27" s="143"/>
      <c r="V27" s="143"/>
      <c r="W27" s="143"/>
      <c r="X27" s="143"/>
      <c r="Y27" s="143"/>
      <c r="Z27" s="143"/>
    </row>
    <row r="28" spans="1:26" ht="12.75" customHeight="1" x14ac:dyDescent="0.35">
      <c r="A28" s="143"/>
      <c r="B28" s="143"/>
      <c r="C28" s="143"/>
      <c r="D28" s="143"/>
      <c r="E28" s="334"/>
      <c r="F28" s="285"/>
      <c r="G28" s="149" t="str">
        <f>'C. FILIACION'!B19</f>
        <v>MARCONI PEREZ SINDEL LUANA</v>
      </c>
      <c r="H28" s="150">
        <f>'CENTRAL 2'!F20</f>
        <v>49.855514855514855</v>
      </c>
      <c r="I28" s="143"/>
      <c r="J28" s="143"/>
      <c r="K28" s="143"/>
      <c r="L28" s="143"/>
      <c r="M28" s="143"/>
      <c r="N28" s="143"/>
      <c r="O28" s="143"/>
      <c r="P28" s="143"/>
      <c r="Q28" s="143"/>
      <c r="R28" s="143"/>
      <c r="S28" s="143"/>
      <c r="T28" s="143"/>
      <c r="U28" s="143"/>
      <c r="V28" s="143"/>
      <c r="W28" s="143"/>
      <c r="X28" s="143"/>
      <c r="Y28" s="143"/>
      <c r="Z28" s="143"/>
    </row>
    <row r="29" spans="1:26" ht="12.75" customHeight="1" x14ac:dyDescent="0.35">
      <c r="A29" s="143"/>
      <c r="B29" s="143"/>
      <c r="C29" s="143"/>
      <c r="D29" s="143"/>
      <c r="E29" s="334"/>
      <c r="F29" s="285"/>
      <c r="G29" s="149" t="str">
        <f>'C. FILIACION'!B20</f>
        <v>MENACHO LINEO ANDREA KIMBERLY</v>
      </c>
      <c r="H29" s="150">
        <f>'CENTRAL 2'!F21</f>
        <v>76.534391534391531</v>
      </c>
      <c r="I29" s="143"/>
      <c r="J29" s="143"/>
      <c r="K29" s="143"/>
      <c r="L29" s="143"/>
      <c r="M29" s="143"/>
      <c r="N29" s="143"/>
      <c r="O29" s="143"/>
      <c r="P29" s="143"/>
      <c r="Q29" s="143"/>
      <c r="R29" s="143"/>
      <c r="S29" s="143"/>
      <c r="T29" s="143"/>
      <c r="U29" s="143"/>
      <c r="V29" s="143"/>
      <c r="W29" s="143"/>
      <c r="X29" s="143"/>
      <c r="Y29" s="143"/>
      <c r="Z29" s="143"/>
    </row>
    <row r="30" spans="1:26" ht="12.75" customHeight="1" x14ac:dyDescent="0.35">
      <c r="A30" s="143"/>
      <c r="B30" s="143"/>
      <c r="C30" s="143"/>
      <c r="D30" s="143"/>
      <c r="E30" s="334"/>
      <c r="F30" s="285"/>
      <c r="G30" s="149" t="str">
        <f>'C. FILIACION'!B21</f>
        <v>PILLCO APAZA MARIAN ALEXANDRA</v>
      </c>
      <c r="H30" s="150">
        <f>'CENTRAL 2'!F22</f>
        <v>75.238095238095241</v>
      </c>
      <c r="I30" s="143"/>
      <c r="J30" s="143"/>
      <c r="K30" s="143"/>
      <c r="L30" s="143"/>
      <c r="M30" s="143"/>
      <c r="N30" s="143"/>
      <c r="O30" s="143"/>
      <c r="P30" s="143"/>
      <c r="Q30" s="143"/>
      <c r="R30" s="143"/>
      <c r="S30" s="143"/>
      <c r="T30" s="143"/>
      <c r="U30" s="143"/>
      <c r="V30" s="143"/>
      <c r="W30" s="143"/>
      <c r="X30" s="143"/>
      <c r="Y30" s="143"/>
      <c r="Z30" s="143"/>
    </row>
    <row r="31" spans="1:26" ht="12.75" customHeight="1" x14ac:dyDescent="0.35">
      <c r="A31" s="143"/>
      <c r="B31" s="143"/>
      <c r="C31" s="143"/>
      <c r="D31" s="143"/>
      <c r="E31" s="334"/>
      <c r="F31" s="285"/>
      <c r="G31" s="149" t="str">
        <f>'C. FILIACION'!B22</f>
        <v>RUEDA ALVAREZ GREGORY STEVEN</v>
      </c>
      <c r="H31" s="150">
        <f>'CENTRAL 2'!F23</f>
        <v>74.428571428571431</v>
      </c>
      <c r="I31" s="143"/>
      <c r="J31" s="143"/>
      <c r="K31" s="143"/>
      <c r="L31" s="143"/>
      <c r="M31" s="143"/>
      <c r="N31" s="143"/>
      <c r="O31" s="143"/>
      <c r="P31" s="143"/>
      <c r="Q31" s="143"/>
      <c r="R31" s="143"/>
      <c r="S31" s="143"/>
      <c r="T31" s="143"/>
      <c r="U31" s="143"/>
      <c r="V31" s="143"/>
      <c r="W31" s="143"/>
      <c r="X31" s="143"/>
      <c r="Y31" s="143"/>
      <c r="Z31" s="143"/>
    </row>
    <row r="32" spans="1:26" ht="12.75" customHeight="1" x14ac:dyDescent="0.35">
      <c r="A32" s="143"/>
      <c r="B32" s="143"/>
      <c r="C32" s="143"/>
      <c r="D32" s="143"/>
      <c r="E32" s="334"/>
      <c r="F32" s="285"/>
      <c r="G32" s="149" t="str">
        <f>'C. FILIACION'!B23</f>
        <v>VARGAS JOYCE BELEN</v>
      </c>
      <c r="H32" s="150">
        <f>'CENTRAL 2'!F24</f>
        <v>33.037037037037038</v>
      </c>
      <c r="I32" s="143"/>
      <c r="J32" s="143"/>
      <c r="K32" s="143"/>
      <c r="L32" s="143"/>
      <c r="M32" s="143"/>
      <c r="N32" s="143"/>
      <c r="O32" s="143"/>
      <c r="P32" s="143"/>
      <c r="Q32" s="143"/>
      <c r="R32" s="143"/>
      <c r="S32" s="143"/>
      <c r="T32" s="143"/>
      <c r="U32" s="143"/>
      <c r="V32" s="143"/>
      <c r="W32" s="143"/>
      <c r="X32" s="143"/>
      <c r="Y32" s="143"/>
      <c r="Z32" s="143"/>
    </row>
    <row r="33" spans="1:26" ht="12.75" customHeight="1" x14ac:dyDescent="0.35">
      <c r="A33" s="143"/>
      <c r="B33" s="143"/>
      <c r="C33" s="143"/>
      <c r="D33" s="143"/>
      <c r="E33" s="334"/>
      <c r="F33" s="285"/>
      <c r="G33" s="149" t="str">
        <f>'C. FILIACION'!B24</f>
        <v>ZURITA JIMENEZ ELMER ARTURO</v>
      </c>
      <c r="H33" s="150">
        <f>'CENTRAL 2'!F25</f>
        <v>84.343915343915342</v>
      </c>
      <c r="I33" s="143"/>
      <c r="J33" s="143"/>
      <c r="K33" s="143"/>
      <c r="L33" s="143"/>
      <c r="M33" s="143"/>
      <c r="N33" s="143"/>
      <c r="O33" s="143"/>
      <c r="P33" s="143"/>
      <c r="Q33" s="143"/>
      <c r="R33" s="143"/>
      <c r="S33" s="143"/>
      <c r="T33" s="143"/>
      <c r="U33" s="143"/>
      <c r="V33" s="143"/>
      <c r="W33" s="143"/>
      <c r="X33" s="143"/>
      <c r="Y33" s="143"/>
      <c r="Z33" s="143"/>
    </row>
    <row r="34" spans="1:26" ht="12.75" customHeight="1" x14ac:dyDescent="0.35">
      <c r="A34" s="143"/>
      <c r="B34" s="143"/>
      <c r="C34" s="143"/>
      <c r="D34" s="143"/>
      <c r="E34" s="334"/>
      <c r="F34" s="285"/>
      <c r="G34" s="149" t="str">
        <f>'C. FILIACION'!B25</f>
        <v>ADRIAN FLORES EDDY BEYMAR</v>
      </c>
      <c r="H34" s="150">
        <f>'CENTRAL 2'!F26</f>
        <v>38.580382580382583</v>
      </c>
      <c r="I34" s="143"/>
      <c r="J34" s="143"/>
      <c r="K34" s="143"/>
      <c r="L34" s="143"/>
      <c r="M34" s="143"/>
      <c r="N34" s="143"/>
      <c r="O34" s="143"/>
      <c r="P34" s="143"/>
      <c r="Q34" s="143"/>
      <c r="R34" s="143"/>
      <c r="S34" s="143"/>
      <c r="T34" s="143"/>
      <c r="U34" s="143"/>
      <c r="V34" s="143"/>
      <c r="W34" s="143"/>
      <c r="X34" s="143"/>
      <c r="Y34" s="143"/>
      <c r="Z34" s="143"/>
    </row>
    <row r="35" spans="1:26" ht="12.75" customHeight="1" x14ac:dyDescent="0.35">
      <c r="A35" s="143"/>
      <c r="B35" s="143"/>
      <c r="C35" s="143"/>
      <c r="D35" s="143"/>
      <c r="E35" s="335"/>
      <c r="F35" s="285"/>
      <c r="G35" s="149" t="str">
        <f>'C. FILIACION'!B26</f>
        <v xml:space="preserve">VENTURA CHOQUE DANELY </v>
      </c>
      <c r="H35" s="150">
        <f>'CENTRAL 2'!F27</f>
        <v>75.297619047619051</v>
      </c>
      <c r="I35" s="143"/>
      <c r="J35" s="143"/>
      <c r="K35" s="143"/>
      <c r="L35" s="143"/>
      <c r="M35" s="143"/>
      <c r="N35" s="143"/>
      <c r="O35" s="143"/>
      <c r="P35" s="143"/>
      <c r="Q35" s="143"/>
      <c r="R35" s="143"/>
      <c r="S35" s="143"/>
      <c r="T35" s="143"/>
      <c r="U35" s="143"/>
      <c r="V35" s="143"/>
      <c r="W35" s="143"/>
      <c r="X35" s="143"/>
      <c r="Y35" s="143"/>
      <c r="Z35" s="143"/>
    </row>
    <row r="36" spans="1:26" ht="12.75" customHeight="1" x14ac:dyDescent="0.35">
      <c r="A36" s="143"/>
      <c r="B36" s="143"/>
      <c r="C36" s="143"/>
      <c r="D36" s="143"/>
      <c r="E36" s="334"/>
      <c r="F36" s="285"/>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5">
      <c r="A37" s="143"/>
      <c r="B37" s="143"/>
      <c r="C37" s="143"/>
      <c r="D37" s="143"/>
      <c r="E37" s="334"/>
      <c r="F37" s="285"/>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5">
      <c r="A38" s="143"/>
      <c r="B38" s="143"/>
      <c r="C38" s="143"/>
      <c r="D38" s="143"/>
      <c r="E38" s="334"/>
      <c r="F38" s="285"/>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5">
      <c r="A39" s="143"/>
      <c r="B39" s="143"/>
      <c r="C39" s="143"/>
      <c r="D39" s="143"/>
      <c r="E39" s="334"/>
      <c r="F39" s="285"/>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5">
      <c r="A40" s="143"/>
      <c r="B40" s="143"/>
      <c r="C40" s="143"/>
      <c r="D40" s="143"/>
      <c r="E40" s="334"/>
      <c r="F40" s="285"/>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5">
      <c r="A41" s="143"/>
      <c r="B41" s="143"/>
      <c r="C41" s="143"/>
      <c r="D41" s="143"/>
      <c r="E41" s="334"/>
      <c r="F41" s="285"/>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5">
      <c r="A42" s="143"/>
      <c r="B42" s="143"/>
      <c r="C42" s="143"/>
      <c r="D42" s="143"/>
      <c r="E42" s="334"/>
      <c r="F42" s="285"/>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5">
      <c r="A43" s="143"/>
      <c r="B43" s="143"/>
      <c r="C43" s="143"/>
      <c r="D43" s="143"/>
      <c r="E43" s="334"/>
      <c r="F43" s="285"/>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5">
      <c r="A44" s="143"/>
      <c r="B44" s="143"/>
      <c r="C44" s="143"/>
      <c r="D44" s="143"/>
      <c r="E44" s="334"/>
      <c r="F44" s="285"/>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5">
      <c r="A45" s="143"/>
      <c r="B45" s="143"/>
      <c r="C45" s="143"/>
      <c r="D45" s="143"/>
      <c r="E45" s="334"/>
      <c r="F45" s="285"/>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5">
      <c r="A46" s="143"/>
      <c r="B46" s="143"/>
      <c r="C46" s="143"/>
      <c r="D46" s="143"/>
      <c r="E46" s="334"/>
      <c r="F46" s="285"/>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5">
      <c r="A47" s="143"/>
      <c r="B47" s="143"/>
      <c r="C47" s="143"/>
      <c r="D47" s="143"/>
      <c r="E47" s="334"/>
      <c r="F47" s="285"/>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5">
      <c r="A48" s="143"/>
      <c r="B48" s="143"/>
      <c r="C48" s="143"/>
      <c r="D48" s="143"/>
      <c r="E48" s="334"/>
      <c r="F48" s="285"/>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5">
      <c r="A49" s="143"/>
      <c r="B49" s="143"/>
      <c r="C49" s="143"/>
      <c r="D49" s="143"/>
      <c r="E49" s="334"/>
      <c r="F49" s="285"/>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5">
      <c r="A50" s="143"/>
      <c r="B50" s="143"/>
      <c r="C50" s="143"/>
      <c r="D50" s="143"/>
      <c r="E50" s="334"/>
      <c r="F50" s="285"/>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5">
      <c r="A51" s="143"/>
      <c r="B51" s="143"/>
      <c r="C51" s="143"/>
      <c r="D51" s="143"/>
      <c r="E51" s="334"/>
      <c r="F51" s="285"/>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5">
      <c r="A52" s="143"/>
      <c r="B52" s="143"/>
      <c r="C52" s="143"/>
      <c r="D52" s="143"/>
      <c r="E52" s="334"/>
      <c r="F52" s="285"/>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5">
      <c r="A53" s="143"/>
      <c r="B53" s="143"/>
      <c r="C53" s="143"/>
      <c r="D53" s="143"/>
      <c r="E53" s="334"/>
      <c r="F53" s="285"/>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5">
      <c r="A54" s="143"/>
      <c r="B54" s="143"/>
      <c r="C54" s="143"/>
      <c r="D54" s="143"/>
      <c r="E54" s="334"/>
      <c r="F54" s="285"/>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5">
      <c r="A55" s="143"/>
      <c r="B55" s="143"/>
      <c r="C55" s="143"/>
      <c r="D55" s="143"/>
      <c r="E55" s="334"/>
      <c r="F55" s="285"/>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5">
      <c r="A56" s="143"/>
      <c r="B56" s="143"/>
      <c r="C56" s="143"/>
      <c r="D56" s="143"/>
      <c r="E56" s="334"/>
      <c r="F56" s="285"/>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5">
      <c r="A57" s="143"/>
      <c r="B57" s="143"/>
      <c r="C57" s="143"/>
      <c r="D57" s="143"/>
      <c r="E57" s="334"/>
      <c r="F57" s="285"/>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5">
      <c r="A58" s="143"/>
      <c r="B58" s="143"/>
      <c r="C58" s="143"/>
      <c r="D58" s="143"/>
      <c r="E58" s="334"/>
      <c r="F58" s="285"/>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5">
      <c r="A59" s="143"/>
      <c r="B59" s="143"/>
      <c r="C59" s="143"/>
      <c r="D59" s="143"/>
      <c r="E59" s="334"/>
      <c r="F59" s="285"/>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5">
      <c r="A60" s="143"/>
      <c r="B60" s="143"/>
      <c r="C60" s="143"/>
      <c r="D60" s="143"/>
      <c r="E60" s="336"/>
      <c r="F60" s="337"/>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Rendimiento por estudiante</vt:lpstr>
      <vt:lpstr>ASIS 3 TRIM</vt:lpstr>
      <vt:lpstr>VAL 1 TRIM </vt:lpstr>
      <vt:lpstr>VAL 2 TRIM</vt:lpstr>
      <vt:lpstr>VAL 3 TRIM</vt:lpstr>
      <vt:lpstr>CENTRAL 1</vt:lpstr>
      <vt:lpstr>CENTRAL 2</vt:lpstr>
      <vt:lpstr>DIMEN 2</vt:lpstr>
      <vt:lpstr>DIMEN 1</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2021-12-13T17:15:03Z</cp:lastPrinted>
  <dcterms:created xsi:type="dcterms:W3CDTF">2020-01-23T13:58:13Z</dcterms:created>
  <dcterms:modified xsi:type="dcterms:W3CDTF">2021-12-13T18:16:54Z</dcterms:modified>
</cp:coreProperties>
</file>