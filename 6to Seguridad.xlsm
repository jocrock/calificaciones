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02E39214-7855-40CF-8D0E-33FE247A8DA7}" xr6:coauthVersionLast="47" xr6:coauthVersionMax="47" xr10:uidLastSave="{00000000-0000-0000-0000-000000000000}"/>
  <bookViews>
    <workbookView xWindow="-23148" yWindow="-108" windowWidth="23256" windowHeight="12576" firstSheet="3" activeTab="7"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BJ9" i="4" l="1"/>
  <c r="BJ10" i="4"/>
  <c r="BJ11" i="4"/>
  <c r="BJ12" i="4"/>
  <c r="BJ13" i="4"/>
  <c r="BJ14" i="4"/>
  <c r="BJ15" i="4"/>
  <c r="BJ16" i="4"/>
  <c r="BJ17" i="4"/>
  <c r="BJ18" i="4"/>
  <c r="BJ19" i="4"/>
  <c r="BJ20" i="4"/>
  <c r="BJ21" i="4"/>
  <c r="BJ22" i="4"/>
  <c r="BJ23" i="4"/>
  <c r="BJ24" i="4"/>
  <c r="BJ25" i="4"/>
  <c r="BJ26" i="4"/>
  <c r="BJ8" i="4"/>
  <c r="I25" i="17"/>
  <c r="AC25" i="17" s="1"/>
  <c r="I24" i="17"/>
  <c r="AC24" i="17" s="1"/>
  <c r="I23" i="17"/>
  <c r="AC23" i="17" s="1"/>
  <c r="I22" i="17"/>
  <c r="AC22" i="17" s="1"/>
  <c r="I17" i="17"/>
  <c r="AC17" i="17" s="1"/>
  <c r="I16" i="17"/>
  <c r="AC16" i="17" s="1"/>
  <c r="I15" i="17"/>
  <c r="AC15" i="17" s="1"/>
  <c r="A25" i="17"/>
  <c r="A24" i="17"/>
  <c r="A23" i="17"/>
  <c r="A22" i="17"/>
  <c r="A17" i="17"/>
  <c r="A16" i="17"/>
  <c r="A15" i="17"/>
  <c r="AD26" i="17"/>
  <c r="R4" i="17"/>
  <c r="F4" i="17"/>
  <c r="M11" i="17"/>
  <c r="U11" i="17"/>
  <c r="L11" i="17"/>
  <c r="AF11" i="17"/>
  <c r="M10" i="17"/>
  <c r="N10" i="17"/>
  <c r="O10" i="17"/>
  <c r="P10" i="17"/>
  <c r="Q10" i="17"/>
  <c r="R10" i="17"/>
  <c r="S10" i="17"/>
  <c r="T10" i="17"/>
  <c r="U10" i="17"/>
  <c r="L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W11" i="17" l="1"/>
  <c r="I26" i="17"/>
  <c r="I18" i="17"/>
  <c r="AC26" i="17"/>
  <c r="AC18" i="17"/>
  <c r="AG11" i="17"/>
  <c r="X11" i="17" l="1"/>
  <c r="AC27" i="17"/>
  <c r="AH11" i="17"/>
  <c r="O11" i="17" l="1"/>
  <c r="Y11" i="17"/>
  <c r="AI11" i="17"/>
  <c r="P11" i="17" l="1"/>
  <c r="AJ11" i="17"/>
  <c r="AK11" i="17" l="1"/>
  <c r="Q11" i="17"/>
  <c r="AL11" i="17" l="1"/>
  <c r="R11" i="17"/>
  <c r="AM11" i="17" l="1"/>
  <c r="T11" i="17" s="1"/>
  <c r="S11"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G20" i="7"/>
  <c r="N20" i="9" s="1"/>
  <c r="AG17" i="7"/>
  <c r="AF17" i="7" s="1"/>
  <c r="AG25" i="7"/>
  <c r="AF25"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27" i="17" l="1"/>
  <c r="N25" i="9"/>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2" i="9" l="1"/>
  <c r="F22" i="10" s="1"/>
  <c r="U16" i="9"/>
  <c r="F16" i="10" s="1"/>
  <c r="F23" i="10"/>
  <c r="V23" i="9"/>
  <c r="F39" i="10"/>
  <c r="V39" i="9"/>
  <c r="F15" i="10"/>
  <c r="V15" i="9"/>
  <c r="F31" i="10"/>
  <c r="V31" i="9"/>
  <c r="F17" i="10"/>
  <c r="V17" i="9"/>
  <c r="U11" i="9"/>
  <c r="F35" i="10"/>
  <c r="V35" i="9"/>
  <c r="U12" i="9"/>
  <c r="I9" i="10"/>
  <c r="E11" i="14" s="1"/>
  <c r="I13" i="10"/>
  <c r="E12" i="14" s="1"/>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16" i="9" l="1"/>
  <c r="V22" i="9"/>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I11" i="12" l="1"/>
  <c r="G38" i="14"/>
  <c r="I11" i="13"/>
</calcChain>
</file>

<file path=xl/sharedStrings.xml><?xml version="1.0" encoding="utf-8"?>
<sst xmlns="http://schemas.openxmlformats.org/spreadsheetml/2006/main" count="926" uniqueCount="257">
  <si>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</si>
  <si>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</si>
  <si>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</si>
  <si>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</si>
  <si>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</si>
  <si>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</si>
  <si>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</si>
  <si>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</si>
  <si>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</si>
  <si>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</si>
  <si>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</si>
  <si>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</si>
  <si>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</si>
  <si>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</si>
  <si>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</si>
  <si>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</si>
  <si>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</si>
  <si>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</si>
  <si>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</si>
  <si>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</si>
  <si>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</si>
  <si>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</si>
  <si>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</si>
  <si>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</si>
  <si>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</si>
  <si>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</si>
  <si>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</si>
  <si>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</si>
  <si>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</si>
  <si>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</si>
  <si>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</si>
  <si>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</si>
  <si>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</si>
  <si>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</si>
  <si>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</si>
  <si>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</si>
  <si>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</si>
  <si>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</si>
  <si>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</si>
  <si>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</si>
  <si>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</si>
  <si>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</si>
  <si>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</si>
  <si>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</si>
  <si>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</si>
  <si>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</si>
  <si>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</si>
  <si>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</si>
  <si>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</si>
  <si>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</si>
  <si>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</si>
  <si>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</si>
  <si>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</si>
  <si>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</si>
  <si>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</si>
  <si>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</si>
  <si>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</si>
  <si>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</si>
  <si>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</si>
  <si>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</si>
  <si>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</si>
  <si>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</si>
  <si>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</si>
  <si>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</si>
  <si>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</si>
  <si>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</si>
  <si>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</si>
  <si>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</si>
  <si>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</si>
  <si>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</si>
  <si>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</si>
  <si>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</si>
  <si>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</si>
  <si>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</si>
  <si>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</si>
  <si>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</si>
  <si>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</si>
  <si>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</si>
  <si>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</si>
  <si>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</si>
  <si>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</si>
  <si>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</si>
  <si>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</si>
  <si>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</si>
  <si>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</si>
  <si>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</si>
  <si>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</si>
  <si>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</si>
  <si>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</si>
  <si>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</si>
  <si>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</si>
  <si>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</si>
  <si>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</si>
  <si>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</si>
  <si>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</si>
  <si>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</si>
  <si>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</si>
  <si>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</si>
  <si>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</si>
  <si>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</si>
  <si>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</si>
  <si>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</si>
  <si>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</si>
  <si>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</si>
  <si>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</si>
  <si>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</si>
  <si>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</si>
  <si>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</si>
  <si>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</si>
  <si>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</si>
  <si>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</si>
  <si>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</si>
  <si>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</si>
  <si>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</si>
  <si>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</si>
  <si>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</si>
  <si>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</si>
  <si>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</si>
  <si>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</si>
  <si>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</si>
  <si>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</si>
  <si>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</si>
  <si>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</si>
  <si>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</si>
  <si>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</si>
  <si>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</si>
  <si>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</si>
  <si>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</si>
  <si>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</si>
  <si>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</si>
  <si>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</si>
  <si>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</si>
  <si>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</si>
  <si>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</si>
  <si>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</si>
  <si>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</si>
  <si>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</si>
  <si>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</si>
  <si>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</si>
  <si>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</si>
  <si>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</si>
  <si>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</si>
  <si>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</si>
  <si>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</si>
  <si>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</si>
  <si>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</si>
  <si>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</si>
  <si>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</si>
  <si>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</si>
  <si>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</si>
  <si>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</si>
  <si>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</si>
  <si>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</si>
  <si>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</si>
  <si>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</si>
  <si>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</si>
  <si>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</si>
  <si>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</si>
  <si>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</si>
  <si>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</si>
  <si>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</si>
  <si>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</si>
  <si>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</si>
  <si>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</si>
  <si>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</si>
  <si>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</si>
  <si>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</si>
  <si>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</si>
  <si>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</si>
  <si>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</si>
  <si>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</si>
  <si>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</si>
  <si>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</si>
  <si>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</si>
  <si>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</si>
  <si>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</si>
  <si>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</si>
  <si>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</si>
  <si>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</si>
  <si>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</si>
  <si>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</si>
  <si>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</si>
  <si>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</si>
  <si>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</si>
  <si>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</si>
  <si>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</si>
  <si>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</si>
  <si>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</si>
  <si>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</si>
  <si>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</si>
  <si>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</si>
  <si>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</si>
  <si>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</si>
  <si>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</si>
  <si>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</si>
  <si>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</si>
  <si>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</si>
  <si>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</si>
  <si>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</si>
  <si>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</si>
  <si>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</si>
  <si>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</si>
  <si>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</si>
  <si>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</si>
  <si>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</si>
  <si>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</si>
  <si>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</si>
  <si>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</si>
  <si>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</si>
  <si>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</si>
  <si>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</si>
  <si>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</si>
  <si>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</si>
  <si>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</si>
  <si>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</si>
  <si>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</si>
  <si>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</si>
  <si>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</si>
  <si>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</si>
  <si>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</si>
  <si>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</si>
  <si>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</si>
  <si>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</si>
  <si>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</si>
  <si>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</si>
  <si>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</si>
  <si>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</si>
  <si>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</si>
  <si>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</si>
  <si>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</si>
  <si>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</si>
  <si>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</si>
  <si>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</si>
  <si>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</si>
  <si>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</si>
  <si>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</si>
  <si>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</si>
  <si>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</si>
  <si>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</si>
  <si>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</si>
  <si>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</si>
  <si>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</si>
  <si>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</si>
  <si>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</si>
  <si>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</si>
  <si>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</si>
  <si>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</si>
  <si>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</si>
  <si>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</si>
  <si>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</si>
  <si>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</si>
  <si>
    <t>19/8/2021</t>
  </si>
  <si>
    <t>19/08/2021 (Desarrollo de Matriz LR)</t>
  </si>
  <si>
    <t>26/8/2021</t>
  </si>
  <si>
    <t>2/9/2021</t>
  </si>
  <si>
    <t>9/9/2021</t>
  </si>
  <si>
    <t>16/09/2021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</si>
</sst>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b/>
      <sz val="9"/>
      <color theme="0"/>
      <name val="Calibri"/>
      <family val="2"/>
    </font>
    <font>
      <u/>
      <sz val="16"/>
      <color theme="10"/>
      <name val="Arial"/>
      <family val="2"/>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1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66" fontId="47" fillId="0" borderId="19" xfId="1" applyNumberFormat="1" applyFont="1" applyFill="1" applyBorder="1" applyAlignment="1">
      <alignment horizontal="left" vertical="center"/>
    </xf>
    <xf numFmtId="0" fontId="0" fillId="0" borderId="15" xfId="0" applyBorder="1"/>
    <xf numFmtId="166"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9" fillId="14" borderId="19" xfId="0" applyFont="1" applyFill="1" applyBorder="1" applyAlignment="1">
      <alignment horizontal="left" vertical="center"/>
    </xf>
    <xf numFmtId="0" fontId="9" fillId="14" borderId="19" xfId="0" applyFont="1" applyFill="1" applyBorder="1" applyAlignment="1">
      <alignment horizontal="center" vertical="center"/>
    </xf>
    <xf numFmtId="0" fontId="9" fillId="14" borderId="39" xfId="0" applyFont="1" applyFill="1" applyBorder="1" applyAlignment="1">
      <alignment horizontal="center" vertical="center"/>
    </xf>
    <xf numFmtId="0" fontId="9" fillId="14" borderId="26" xfId="0" applyFont="1" applyFill="1" applyBorder="1" applyAlignment="1">
      <alignment horizontal="center" vertical="center"/>
    </xf>
    <xf numFmtId="0" fontId="0" fillId="14" borderId="0" xfId="0" applyFont="1" applyFill="1" applyAlignment="1"/>
    <xf numFmtId="1" fontId="0" fillId="0" borderId="0" xfId="0" applyNumberFormat="1" applyFont="1" applyAlignment="1"/>
    <xf numFmtId="0" fontId="10" fillId="14" borderId="19" xfId="0" applyFont="1" applyFill="1" applyBorder="1" applyAlignment="1">
      <alignment horizontal="left" vertical="center"/>
    </xf>
    <xf numFmtId="0" fontId="10" fillId="14" borderId="19" xfId="0" applyFont="1" applyFill="1" applyBorder="1" applyAlignment="1">
      <alignment horizontal="center" vertical="center"/>
    </xf>
    <xf numFmtId="0" fontId="25" fillId="15" borderId="19" xfId="0" applyFont="1" applyFill="1" applyBorder="1" applyAlignment="1">
      <alignment horizontal="center" vertical="center"/>
    </xf>
    <xf numFmtId="0" fontId="26" fillId="16"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45" fillId="0" borderId="59" xfId="0" applyNumberFormat="1" applyFont="1" applyBorder="1" applyAlignment="1">
      <alignment horizontal="right" vertical="center"/>
    </xf>
    <xf numFmtId="0" fontId="45" fillId="0" borderId="59" xfId="0" applyFont="1" applyBorder="1" applyAlignment="1">
      <alignment horizontal="right" vertical="center"/>
    </xf>
    <xf numFmtId="0" fontId="51" fillId="0" borderId="59" xfId="0" applyFont="1" applyBorder="1" applyAlignment="1">
      <alignment horizontal="center"/>
    </xf>
    <xf numFmtId="0" fontId="42" fillId="0" borderId="15" xfId="0" applyFont="1" applyBorder="1" applyAlignment="1">
      <alignment horizontal="center"/>
    </xf>
    <xf numFmtId="0" fontId="43" fillId="0" borderId="59" xfId="0" applyFont="1" applyBorder="1" applyAlignment="1">
      <alignment horizontal="left"/>
    </xf>
    <xf numFmtId="0" fontId="50" fillId="0" borderId="59" xfId="0" applyFont="1" applyBorder="1" applyAlignment="1">
      <alignment horizontal="center"/>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53" fillId="0" borderId="59" xfId="2" applyFont="1" applyFill="1" applyBorder="1" applyAlignment="1">
      <alignment horizontal="left"/>
    </xf>
    <xf numFmtId="0" fontId="54" fillId="0" borderId="59" xfId="2" applyFont="1" applyFill="1" applyBorder="1" applyAlignment="1">
      <alignment horizontal="left"/>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0" fillId="0" borderId="63" xfId="0" applyFont="1" applyBorder="1" applyAlignment="1">
      <alignment horizontal="left"/>
    </xf>
    <xf numFmtId="0" fontId="44" fillId="0" borderId="59" xfId="0" applyFont="1" applyBorder="1" applyAlignment="1">
      <alignment horizontal="center" vertical="center"/>
    </xf>
    <xf numFmtId="0" fontId="49" fillId="0" borderId="59" xfId="0" applyFont="1" applyBorder="1" applyAlignment="1">
      <alignment horizontal="left"/>
    </xf>
    <xf numFmtId="0" fontId="44" fillId="0" borderId="15" xfId="0" applyFont="1" applyBorder="1" applyAlignment="1">
      <alignment horizontal="center"/>
    </xf>
    <xf numFmtId="0" fontId="47" fillId="0" borderId="59" xfId="0" applyFont="1" applyBorder="1" applyAlignment="1">
      <alignment horizontal="right" vertical="center"/>
    </xf>
    <xf numFmtId="0" fontId="46" fillId="0" borderId="59" xfId="0" applyFont="1" applyBorder="1" applyAlignment="1">
      <alignment horizontal="right" vertical="center"/>
    </xf>
    <xf numFmtId="1" fontId="52" fillId="0" borderId="59" xfId="0" applyNumberFormat="1" applyFont="1" applyBorder="1" applyAlignment="1">
      <alignment horizont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49" fillId="0" borderId="59" xfId="0" applyFont="1" applyBorder="1" applyAlignment="1">
      <alignment horizontal="center"/>
    </xf>
    <xf numFmtId="14" fontId="47" fillId="0" borderId="59" xfId="0" applyNumberFormat="1"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4" borderId="39" xfId="0" applyFont="1" applyFill="1" applyBorder="1" applyAlignment="1">
      <alignment horizontal="center" vertical="center"/>
    </xf>
    <xf numFmtId="0" fontId="3" fillId="14" borderId="40" xfId="0" applyFont="1" applyFill="1" applyBorder="1"/>
    <xf numFmtId="0" fontId="3" fillId="14"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0.91666666666666663</c:v>
                </c:pt>
                <c:pt idx="1">
                  <c:v>8.3333333333333329E-2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59" dataDxfId="58" tableBorderDxfId="57">
  <autoFilter ref="A7:BE26" xr:uid="{9BC78988-FDDA-4AD2-BEC0-B52BDE7BFD27}"/>
  <tableColumns count="57">
    <tableColumn id="1" xr3:uid="{D0ED20DB-9863-4F6A-8AB1-CD207807908B}" name="Nº" dataDxfId="56"/>
    <tableColumn id="2" xr3:uid="{46706CF6-0882-4610-88A5-2FE53F9FA267}" name="NÓMINA DE ESTUDIANTES" dataDxfId="55"/>
    <tableColumn id="3" xr3:uid="{42FDFAB5-F922-4F3D-8A2F-02BF4764710A}" name="13/5/2020" dataDxfId="54"/>
    <tableColumn id="4" xr3:uid="{659C7EBD-166B-4362-88D5-D94533F650CF}" name="20/5/2020" dataDxfId="53"/>
    <tableColumn id="5" xr3:uid="{8C67B9F7-9DCF-4B0F-8933-A50CC84CB762}" name="27/5/2021" dataDxfId="52"/>
    <tableColumn id="6" xr3:uid="{7203B26B-59EC-4D89-8F0A-84F2A42A3AAC}" name="1/7/2021" dataDxfId="51"/>
    <tableColumn id="7" xr3:uid="{6D41E0E8-99DC-43C7-AC51-7961E658271E}" name="8/7/2021" dataDxfId="50"/>
    <tableColumn id="8" xr3:uid="{8850CB14-31F0-48AA-831C-F5F49AD00F80}" name="15/7/2021" dataDxfId="49"/>
    <tableColumn id="9" xr3:uid="{76574A00-7BEC-4F86-B221-E606E6267A59}" name="22/7/2021" dataDxfId="48"/>
    <tableColumn id="10" xr3:uid="{9B5037E1-C1F1-47AB-BACE-5EB705837506}" name="29/7/2021" dataDxfId="47"/>
    <tableColumn id="11" xr3:uid="{50FB99AF-D0BE-4E89-806A-1582A3E6F048}" name="5/8/2021" dataDxfId="46"/>
    <tableColumn id="12" xr3:uid="{DAA3A428-400C-4DD3-9262-ECE698F3868B}" name="12/8/2021" dataDxfId="45"/>
    <tableColumn id="13" xr3:uid="{0EE16E89-26BC-4EF5-8866-465A6A07D385}" name="19/8/2021" dataDxfId="44"/>
    <tableColumn id="14" xr3:uid="{85683C2D-0E87-4BC4-A3C7-8DAD8D7A49A3}" name="26/8/2021" dataDxfId="43"/>
    <tableColumn id="15" xr3:uid="{27030A5F-895D-41FB-A497-C215CEE24D81}" name="2/9/2021" dataDxfId="42"/>
    <tableColumn id="16" xr3:uid="{B15DA6BA-0AAD-406C-876A-CB1746A0B16F}" name="9/9/2021" dataDxfId="41"/>
    <tableColumn id="17" xr3:uid="{B197BE99-7DB1-4073-BFEA-FC98B9AEADB6}" name="Columna5" dataDxfId="40"/>
    <tableColumn id="18" xr3:uid="{6189B7D1-756D-4FAE-8A28-804B77986C09}" name="Columna6" dataDxfId="39"/>
    <tableColumn id="19" xr3:uid="{3A9B36A1-783D-4E24-B263-AF5A6C9C7C72}" name="Columna7" dataDxfId="38"/>
    <tableColumn id="20" xr3:uid="{CA4D259F-62D3-4FE7-87AE-157EFC27BEE9}" name="Columna8" dataDxfId="37"/>
    <tableColumn id="21" xr3:uid="{B2D6FFEF-1432-431F-AC14-6E82DB0A7882}" name="Columna9" dataDxfId="36"/>
    <tableColumn id="22" xr3:uid="{84C9ADF8-8D19-4632-A3EA-A4C7BF4BE301}" name="Columna10" dataDxfId="35"/>
    <tableColumn id="23" xr3:uid="{D80E3633-607D-4E7C-AF82-DD393F362502}" name="Columna11" dataDxfId="34"/>
    <tableColumn id="24" xr3:uid="{0EC1654B-91FE-448C-BE59-D81C18EA5BC6}" name="Columna12" dataDxfId="33"/>
    <tableColumn id="25" xr3:uid="{9F9BBE5D-3EBC-415D-ABD4-3106336334DD}" name="Columna13" dataDxfId="32"/>
    <tableColumn id="26" xr3:uid="{6285E6C9-BF1D-4FDE-8D29-D7045E3FE8D4}" name="Columna14" dataDxfId="31"/>
    <tableColumn id="27" xr3:uid="{483E276C-5736-4820-AEB5-C8C76A614A1D}" name="Columna15" dataDxfId="30"/>
    <tableColumn id="28" xr3:uid="{15568F8E-2EE9-40A5-AE03-3B0D9BCBCF7D}" name="Columna16" dataDxfId="29"/>
    <tableColumn id="29" xr3:uid="{DE980EE4-1EB2-4005-945B-1D10B88A343E}" name="Columna17" dataDxfId="28"/>
    <tableColumn id="30" xr3:uid="{58133856-5E94-4D27-87E5-4051EC49BC00}" name="Columna18" dataDxfId="27"/>
    <tableColumn id="31" xr3:uid="{DAF5CC20-9661-473A-95B6-F37D2FF1949F}" name="Columna19" dataDxfId="26"/>
    <tableColumn id="32" xr3:uid="{2E5D811C-4AAB-411A-86E3-B0E97BEE9229}" name="Columna20" dataDxfId="25"/>
    <tableColumn id="33" xr3:uid="{F169A655-0226-4FD5-837F-AC7C03E0D89A}" name="Columna21" dataDxfId="24"/>
    <tableColumn id="34" xr3:uid="{14CEF7D6-1334-41BA-A06B-CF7455FC87D4}" name="Columna22" dataDxfId="23"/>
    <tableColumn id="35" xr3:uid="{06F67E50-A6D3-4674-A060-4CCFCB482C09}" name="Columna23" dataDxfId="22"/>
    <tableColumn id="36" xr3:uid="{EBD5AB1C-803D-45B8-BD10-0693437C19E8}" name="Columna24" dataDxfId="21"/>
    <tableColumn id="37" xr3:uid="{26A9C18E-1E4E-4597-A4FC-4DC37F4B62EE}" name="Columna25" dataDxfId="20"/>
    <tableColumn id="38" xr3:uid="{FE1C5ABC-0A87-4D88-AB94-126C3376418C}" name="Columna26" dataDxfId="19"/>
    <tableColumn id="39" xr3:uid="{59F9F2B9-795A-422A-9674-DCEB694E7B38}" name="Columna27" dataDxfId="18"/>
    <tableColumn id="40" xr3:uid="{78D45DD8-686A-4FCF-8FD8-C93657FA78CF}" name="Columna28" dataDxfId="17"/>
    <tableColumn id="41" xr3:uid="{E288E44A-EFA8-4D5E-B171-323D9578B0A0}" name="Columna29" dataDxfId="16"/>
    <tableColumn id="42" xr3:uid="{76D6E023-13D1-4682-9E4C-D6AB71ED7C7D}" name="Columna30" dataDxfId="15"/>
    <tableColumn id="43" xr3:uid="{241DE3B4-5030-4035-85C7-955565E9E70E}" name="Columna31" dataDxfId="14"/>
    <tableColumn id="44" xr3:uid="{8D8BCB87-277F-4EB2-A8D6-71623C9F05AF}" name="Columna32" dataDxfId="13"/>
    <tableColumn id="45" xr3:uid="{1B9F3682-AB68-4045-B914-666DB90FD54E}" name="Columna33" dataDxfId="12"/>
    <tableColumn id="46" xr3:uid="{85AA4116-2720-4D1B-9925-120360FE483F}" name="Columna34" dataDxfId="11"/>
    <tableColumn id="47" xr3:uid="{C1F2E883-1093-4036-A812-9F45662CFCFA}" name="Columna35" dataDxfId="10"/>
    <tableColumn id="48" xr3:uid="{2CEE18FC-4A19-433B-AB41-A1D24A2FA7FB}" name="Columna36" dataDxfId="9"/>
    <tableColumn id="49" xr3:uid="{25343CE0-16D4-45E3-9448-253E985F0693}" name="Columna37" dataDxfId="8"/>
    <tableColumn id="50" xr3:uid="{4AB0E361-2D6B-415D-A566-08350063CFB5}" name="Columna38" dataDxfId="7"/>
    <tableColumn id="51" xr3:uid="{D4752580-C9AF-4FB0-8A51-132DDFF98F7E}" name="Columna39" dataDxfId="6"/>
    <tableColumn id="52" xr3:uid="{8CF7A739-ED21-419A-AB35-BC15C6C9B302}" name="Columna40" dataDxfId="5"/>
    <tableColumn id="53" xr3:uid="{EE64F354-ABDC-45FC-9475-25A6894D8EE2}" name="Asist. (A)" dataDxfId="4">
      <calculatedColumnFormula>IF(COUNTIF(C8:AZ8,"A")=0,"",COUNTIF(C8:AZ8,"A"))</calculatedColumnFormula>
    </tableColumn>
    <tableColumn id="54" xr3:uid="{6EBB8F1C-D667-49D3-8976-D34E3709E7F6}" name="Faltas (F)" dataDxfId="3">
      <calculatedColumnFormula>IF(COUNTIF(C8:AZ8,"F")=0,"0",COUNTIF(C8:AZ8,"F"))</calculatedColumnFormula>
    </tableColumn>
    <tableColumn id="55" xr3:uid="{73EECF39-DB3E-482C-9101-E3126CF0F8C3}" name="Retrasos (R)" dataDxfId="2">
      <calculatedColumnFormula>IF(COUNTIF(C8:AZ8,"R")=0,"0",COUNTIF(C8:AZ8,"R"))</calculatedColumnFormula>
    </tableColumn>
    <tableColumn id="56" xr3:uid="{570FE164-6B63-49AA-912B-5460E934CDC0}" name="Licencias (L)" dataDxfId="1">
      <calculatedColumnFormula>IF(COUNTIF(C8:AZ8,"L")=0,"0",COUNTIF(C8:AZ8,"L"))</calculatedColumnFormula>
    </tableColumn>
    <tableColumn id="57" xr3:uid="{29C08112-5310-4AAD-A6F9-396D0B1E9D1C}"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26" sqref="C26"/>
    </sheetView>
  </sheetViews>
  <sheetFormatPr baseColWidth="10" defaultColWidth="9.19921875" defaultRowHeight="15" customHeight="1" x14ac:dyDescent="0.35"/>
  <cols>
    <col min="1" max="1" width="3.6640625" customWidth="1"/>
    <col min="2" max="2" width="18.6640625" customWidth="1"/>
    <col min="3" max="6" width="8.73046875" customWidth="1"/>
    <col min="7" max="7" width="1.86328125" customWidth="1"/>
    <col min="8" max="8" width="8.73046875" customWidth="1"/>
    <col min="9" max="9" width="3.6640625" customWidth="1"/>
    <col min="10" max="10" width="8.73046875" customWidth="1"/>
    <col min="11" max="11" width="1.8632812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01" t="s">
        <v>0</v>
      </c>
      <c r="D8" s="202"/>
      <c r="E8" s="203"/>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04" t="s">
        <v>1</v>
      </c>
      <c r="I9" s="205"/>
      <c r="J9" s="206"/>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07"/>
      <c r="I10" s="208"/>
      <c r="J10" s="209"/>
      <c r="K10" s="7"/>
      <c r="L10" s="1"/>
      <c r="M10" s="1"/>
      <c r="N10" s="1"/>
      <c r="O10" s="1"/>
      <c r="P10" s="1"/>
      <c r="Q10" s="1"/>
      <c r="R10" s="1"/>
      <c r="S10" s="1"/>
      <c r="T10" s="1"/>
      <c r="U10" s="1"/>
      <c r="V10" s="1"/>
      <c r="W10" s="1"/>
      <c r="X10" s="1"/>
      <c r="Y10" s="1"/>
      <c r="Z10" s="1"/>
    </row>
    <row r="11" spans="1:26" ht="15" customHeight="1" x14ac:dyDescent="0.35">
      <c r="A11" s="1"/>
      <c r="B11" s="8" t="s">
        <v>2</v>
      </c>
      <c r="C11" s="198" t="s">
        <v>3</v>
      </c>
      <c r="D11" s="199"/>
      <c r="E11" s="200"/>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10" t="s">
        <v>4</v>
      </c>
      <c r="I12" s="211"/>
      <c r="J12" s="211"/>
      <c r="K12" s="7"/>
      <c r="L12" s="1"/>
      <c r="M12" s="1"/>
      <c r="N12" s="1"/>
      <c r="O12" s="1"/>
      <c r="P12" s="1"/>
      <c r="Q12" s="1"/>
      <c r="R12" s="1"/>
      <c r="S12" s="1"/>
      <c r="T12" s="1"/>
      <c r="U12" s="1"/>
      <c r="V12" s="1"/>
      <c r="W12" s="1"/>
      <c r="X12" s="1"/>
      <c r="Y12" s="1"/>
      <c r="Z12" s="1"/>
    </row>
    <row r="13" spans="1:26" ht="20.399999999999999" x14ac:dyDescent="0.35">
      <c r="A13" s="1"/>
      <c r="B13" s="8" t="s">
        <v>5</v>
      </c>
      <c r="C13" s="198"/>
      <c r="D13" s="199"/>
      <c r="E13" s="20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98" t="s">
        <v>9</v>
      </c>
      <c r="D15" s="199"/>
      <c r="E15" s="200"/>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12" t="s">
        <v>10</v>
      </c>
      <c r="I16" s="211"/>
      <c r="J16" s="211"/>
      <c r="K16" s="7"/>
      <c r="L16" s="1"/>
      <c r="M16" s="1"/>
      <c r="N16" s="1"/>
      <c r="O16" s="1"/>
      <c r="P16" s="1"/>
      <c r="Q16" s="1"/>
      <c r="R16" s="1"/>
      <c r="S16" s="1"/>
      <c r="T16" s="1"/>
      <c r="U16" s="1"/>
      <c r="V16" s="1"/>
      <c r="W16" s="1"/>
      <c r="X16" s="1"/>
      <c r="Y16" s="1"/>
      <c r="Z16" s="1"/>
    </row>
    <row r="17" spans="1:26" ht="20.399999999999999" x14ac:dyDescent="0.35">
      <c r="A17" s="1"/>
      <c r="B17" s="8" t="s">
        <v>11</v>
      </c>
      <c r="C17" s="198" t="s">
        <v>12</v>
      </c>
      <c r="D17" s="199"/>
      <c r="E17" s="200"/>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98"/>
      <c r="D19" s="199"/>
      <c r="E19" s="200"/>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98" t="s">
        <v>15</v>
      </c>
      <c r="D21" s="199"/>
      <c r="E21" s="200"/>
      <c r="F21" s="9"/>
      <c r="G21" s="6"/>
      <c r="H21" s="212" t="s">
        <v>16</v>
      </c>
      <c r="I21" s="211"/>
      <c r="J21" s="211"/>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98" t="s">
        <v>18</v>
      </c>
      <c r="D23" s="199"/>
      <c r="E23" s="20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98" t="s">
        <v>239</v>
      </c>
      <c r="D25" s="199"/>
      <c r="E25" s="200"/>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98">
        <v>2021</v>
      </c>
      <c r="D27" s="199"/>
      <c r="E27" s="200"/>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19921875" defaultRowHeight="15" customHeight="1" x14ac:dyDescent="0.35"/>
  <cols>
    <col min="1" max="1" width="2" customWidth="1"/>
    <col min="2" max="2" width="22.19921875" customWidth="1"/>
    <col min="3" max="3" width="8.06640625" customWidth="1"/>
    <col min="4" max="4" width="3.86328125" hidden="1" customWidth="1"/>
    <col min="5" max="5" width="8.86328125" customWidth="1"/>
    <col min="6" max="6" width="10.8632812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15" t="s">
        <v>21</v>
      </c>
      <c r="C2" s="211"/>
      <c r="D2" s="211"/>
      <c r="E2" s="211"/>
      <c r="F2" s="211"/>
      <c r="G2" s="211"/>
      <c r="H2" s="211"/>
      <c r="I2" s="211"/>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13" t="str">
        <f>CARÁTULA!$C$15</f>
        <v>Instituto Tecnico Humanistico Jauzel Arrieta</v>
      </c>
      <c r="D4" s="211"/>
      <c r="E4" s="211"/>
      <c r="F4" s="22" t="s">
        <v>19</v>
      </c>
      <c r="G4" s="213" t="str">
        <f>CARÁTULA!$C$25</f>
        <v>Seguridad en sistemas informaticos</v>
      </c>
      <c r="H4" s="211"/>
      <c r="I4" s="211"/>
      <c r="J4" s="19"/>
      <c r="K4" s="19"/>
      <c r="L4" s="19"/>
      <c r="M4" s="19"/>
      <c r="N4" s="19"/>
      <c r="O4" s="19"/>
      <c r="P4" s="19"/>
      <c r="Q4" s="19"/>
      <c r="R4" s="19"/>
      <c r="S4" s="19"/>
      <c r="T4" s="19"/>
      <c r="U4" s="19"/>
      <c r="V4" s="19"/>
      <c r="W4" s="19"/>
      <c r="X4" s="19"/>
      <c r="Y4" s="19"/>
      <c r="Z4" s="19"/>
    </row>
    <row r="5" spans="1:26" ht="12" customHeight="1" x14ac:dyDescent="0.35">
      <c r="A5" s="20"/>
      <c r="B5" s="21" t="s">
        <v>14</v>
      </c>
      <c r="C5" s="213" t="str">
        <f>CARÁTULA!$C$21</f>
        <v>Secundaria</v>
      </c>
      <c r="D5" s="211"/>
      <c r="E5" s="211"/>
      <c r="F5" s="22" t="s">
        <v>13</v>
      </c>
      <c r="G5" s="213">
        <f>CARÁTULA!$C$19</f>
        <v>0</v>
      </c>
      <c r="H5" s="211"/>
      <c r="I5" s="211"/>
      <c r="J5" s="19"/>
      <c r="K5" s="19"/>
      <c r="L5" s="19"/>
      <c r="M5" s="19"/>
      <c r="N5" s="19"/>
      <c r="O5" s="19"/>
      <c r="P5" s="19"/>
      <c r="Q5" s="19"/>
      <c r="R5" s="19"/>
      <c r="S5" s="19"/>
      <c r="T5" s="19"/>
      <c r="U5" s="19"/>
      <c r="V5" s="19"/>
      <c r="W5" s="19"/>
      <c r="X5" s="19"/>
      <c r="Y5" s="19"/>
      <c r="Z5" s="19"/>
    </row>
    <row r="6" spans="1:26" ht="12" customHeight="1" x14ac:dyDescent="0.35">
      <c r="A6" s="20"/>
      <c r="B6" s="21" t="s">
        <v>22</v>
      </c>
      <c r="C6" s="213" t="str">
        <f>CARÁTULA!$C$23</f>
        <v>6to de Secundaria</v>
      </c>
      <c r="D6" s="211"/>
      <c r="E6" s="211"/>
      <c r="F6" s="22" t="s">
        <v>23</v>
      </c>
      <c r="G6" s="214">
        <f ca="1">TODAY()</f>
        <v>44460</v>
      </c>
      <c r="H6" s="211"/>
      <c r="I6" s="211"/>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44460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44460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44460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44460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44460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44460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44460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44460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44460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44460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44460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44460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44460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44460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44460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44460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c r="D24" s="30">
        <f t="shared" ca="1" si="0"/>
        <v>44460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60" t="s">
        <v>173</v>
      </c>
      <c r="C25" s="35"/>
      <c r="D25" s="30">
        <f t="shared" ca="1" si="0"/>
        <v>44460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175" t="s">
        <v>174</v>
      </c>
      <c r="C26" s="35"/>
      <c r="D26" s="30">
        <f t="shared" ca="1" si="0"/>
        <v>44460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44460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44460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44460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44460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44460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44460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44460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44460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44460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44460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44460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44460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44460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44460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44460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44460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44460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9921875" defaultRowHeight="15" customHeight="1" x14ac:dyDescent="0.35"/>
  <cols>
    <col min="1" max="1" width="1.6640625" customWidth="1"/>
    <col min="2" max="2" width="20.6640625" customWidth="1"/>
    <col min="3" max="52" width="1.19921875" customWidth="1"/>
    <col min="53" max="57" width="1.3984375" customWidth="1"/>
    <col min="58" max="61" width="1.6640625" customWidth="1"/>
  </cols>
  <sheetData>
    <row r="1" spans="1:61" ht="4.5" customHeight="1" x14ac:dyDescent="0.35"/>
    <row r="2" spans="1:61" ht="21" x14ac:dyDescent="0.35">
      <c r="B2" s="215" t="s">
        <v>49</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6">
        <f>CARÁTULA!$H$14</f>
        <v>44228</v>
      </c>
      <c r="AU3" s="211"/>
      <c r="AV3" s="211"/>
      <c r="AW3" s="211"/>
      <c r="AX3" s="211"/>
      <c r="AY3" s="211"/>
      <c r="AZ3" s="211"/>
      <c r="BA3" s="217" t="s">
        <v>51</v>
      </c>
      <c r="BB3" s="218"/>
      <c r="BC3" s="218"/>
      <c r="BD3" s="218"/>
      <c r="BE3" s="219"/>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6">
        <f>CARÁTULA!$J$14</f>
        <v>44323</v>
      </c>
      <c r="AU4" s="211"/>
      <c r="AV4" s="211"/>
      <c r="AW4" s="211"/>
      <c r="AX4" s="211"/>
      <c r="AY4" s="211"/>
      <c r="AZ4" s="211"/>
      <c r="BA4" s="220">
        <f ca="1">AT4-AT5</f>
        <v>-137</v>
      </c>
      <c r="BB4" s="221"/>
      <c r="BC4" s="221"/>
      <c r="BD4" s="221"/>
      <c r="BE4" s="222"/>
    </row>
    <row r="5" spans="1:61"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6">
        <f ca="1">TODAY()</f>
        <v>44460</v>
      </c>
      <c r="Y5" s="211"/>
      <c r="Z5" s="211"/>
      <c r="AA5" s="211"/>
      <c r="AB5" s="211"/>
      <c r="AC5" s="211"/>
      <c r="AD5" s="40"/>
      <c r="AE5" s="40"/>
      <c r="AF5" s="40"/>
      <c r="AG5" s="40"/>
      <c r="AH5" s="40"/>
      <c r="AI5" s="40"/>
      <c r="AJ5" s="40"/>
      <c r="AK5" s="45" t="s">
        <v>54</v>
      </c>
      <c r="AL5" s="46"/>
      <c r="AM5" s="46"/>
      <c r="AN5" s="46"/>
      <c r="AO5" s="46"/>
      <c r="AP5" s="46"/>
      <c r="AQ5" s="46"/>
      <c r="AR5" s="40"/>
      <c r="AS5" s="40"/>
      <c r="AT5" s="227">
        <f ca="1">TODAY()</f>
        <v>44460</v>
      </c>
      <c r="AU5" s="211"/>
      <c r="AV5" s="211"/>
      <c r="AW5" s="211"/>
      <c r="AX5" s="211"/>
      <c r="AY5" s="211"/>
      <c r="AZ5" s="211"/>
      <c r="BA5" s="223"/>
      <c r="BB5" s="224"/>
      <c r="BC5" s="224"/>
      <c r="BD5" s="224"/>
      <c r="BE5" s="22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5">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5">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5">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5">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5">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5">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5">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zoomScale="85" zoomScaleNormal="85" workbookViewId="0">
      <selection activeCell="BJ8" sqref="BJ8:BJ26"/>
    </sheetView>
  </sheetViews>
  <sheetFormatPr baseColWidth="10" defaultColWidth="9.19921875" defaultRowHeight="15" customHeight="1" x14ac:dyDescent="0.35"/>
  <cols>
    <col min="1" max="1" width="1.53125" customWidth="1"/>
    <col min="2" max="2" width="17.6640625" customWidth="1"/>
    <col min="3" max="57" width="1.53125" customWidth="1"/>
    <col min="58" max="61" width="1.6640625" customWidth="1"/>
  </cols>
  <sheetData>
    <row r="1" spans="1:62" ht="4.5" customHeight="1" x14ac:dyDescent="0.35"/>
    <row r="2" spans="1:62" ht="12.75" customHeight="1" x14ac:dyDescent="0.35">
      <c r="B2" s="215" t="s">
        <v>64</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6">
        <f>CARÁTULA!$H$19</f>
        <v>44326</v>
      </c>
      <c r="AU3" s="211"/>
      <c r="AV3" s="211"/>
      <c r="AW3" s="211"/>
      <c r="AX3" s="211"/>
      <c r="AY3" s="211"/>
      <c r="AZ3" s="211"/>
      <c r="BA3" s="217" t="s">
        <v>51</v>
      </c>
      <c r="BB3" s="218"/>
      <c r="BC3" s="218"/>
      <c r="BD3" s="218"/>
      <c r="BE3" s="219"/>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6">
        <f>CARÁTULA!$J$19</f>
        <v>44439</v>
      </c>
      <c r="AU4" s="211"/>
      <c r="AV4" s="211"/>
      <c r="AW4" s="211"/>
      <c r="AX4" s="211"/>
      <c r="AY4" s="211"/>
      <c r="AZ4" s="211"/>
      <c r="BA4" s="228">
        <f ca="1">AT4-AT5</f>
        <v>-21</v>
      </c>
      <c r="BB4" s="221"/>
      <c r="BC4" s="221"/>
      <c r="BD4" s="221"/>
      <c r="BE4" s="222"/>
    </row>
    <row r="5" spans="1:62" ht="12.75" customHeight="1" x14ac:dyDescent="0.35">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9">
        <f ca="1">TODAY()</f>
        <v>44460</v>
      </c>
      <c r="Y5" s="211"/>
      <c r="Z5" s="211"/>
      <c r="AA5" s="211"/>
      <c r="AB5" s="211"/>
      <c r="AC5" s="211"/>
      <c r="AD5" s="40"/>
      <c r="AE5" s="40"/>
      <c r="AF5" s="40"/>
      <c r="AG5" s="40"/>
      <c r="AH5" s="40"/>
      <c r="AI5" s="40"/>
      <c r="AJ5" s="40"/>
      <c r="AK5" s="45" t="s">
        <v>54</v>
      </c>
      <c r="AL5" s="46"/>
      <c r="AM5" s="46"/>
      <c r="AN5" s="46"/>
      <c r="AO5" s="46"/>
      <c r="AP5" s="46"/>
      <c r="AQ5" s="46"/>
      <c r="AR5" s="40"/>
      <c r="AS5" s="40"/>
      <c r="AT5" s="227">
        <f ca="1">TODAY()</f>
        <v>44460</v>
      </c>
      <c r="AU5" s="211"/>
      <c r="AV5" s="211"/>
      <c r="AW5" s="211"/>
      <c r="AX5" s="211"/>
      <c r="AY5" s="211"/>
      <c r="AZ5" s="211"/>
      <c r="BA5" s="223"/>
      <c r="BB5" s="224"/>
      <c r="BC5" s="224"/>
      <c r="BD5" s="224"/>
      <c r="BE5" s="225"/>
    </row>
    <row r="6" spans="1:62"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2" ht="67.5" customHeight="1" x14ac:dyDescent="0.35">
      <c r="A7" s="159" t="s">
        <v>55</v>
      </c>
      <c r="B7" s="49" t="s">
        <v>56</v>
      </c>
      <c r="C7" s="156" t="s">
        <v>177</v>
      </c>
      <c r="D7" s="157" t="s">
        <v>178</v>
      </c>
      <c r="E7" s="156" t="s">
        <v>179</v>
      </c>
      <c r="F7" s="156" t="s">
        <v>180</v>
      </c>
      <c r="G7" s="50" t="s">
        <v>181</v>
      </c>
      <c r="H7" s="50" t="s">
        <v>182</v>
      </c>
      <c r="I7" s="50" t="s">
        <v>183</v>
      </c>
      <c r="J7" s="50" t="s">
        <v>184</v>
      </c>
      <c r="K7" s="50" t="s">
        <v>185</v>
      </c>
      <c r="L7" s="50" t="s">
        <v>186</v>
      </c>
      <c r="M7" s="50" t="s">
        <v>251</v>
      </c>
      <c r="N7" s="50" t="s">
        <v>253</v>
      </c>
      <c r="O7" s="50" t="s">
        <v>254</v>
      </c>
      <c r="P7" s="50" t="s">
        <v>255</v>
      </c>
      <c r="Q7" s="50" t="s">
        <v>189</v>
      </c>
      <c r="R7" s="54" t="s">
        <v>190</v>
      </c>
      <c r="S7" s="54" t="s">
        <v>191</v>
      </c>
      <c r="T7" s="156" t="s">
        <v>192</v>
      </c>
      <c r="U7" s="157" t="s">
        <v>193</v>
      </c>
      <c r="V7" s="156" t="s">
        <v>194</v>
      </c>
      <c r="W7" s="156" t="s">
        <v>195</v>
      </c>
      <c r="X7" s="156" t="s">
        <v>196</v>
      </c>
      <c r="Y7" s="156" t="s">
        <v>197</v>
      </c>
      <c r="Z7" s="156" t="s">
        <v>198</v>
      </c>
      <c r="AA7" s="156" t="s">
        <v>199</v>
      </c>
      <c r="AB7" s="156" t="s">
        <v>200</v>
      </c>
      <c r="AC7" s="158" t="s">
        <v>201</v>
      </c>
      <c r="AD7" s="54" t="s">
        <v>202</v>
      </c>
      <c r="AE7" s="54" t="s">
        <v>203</v>
      </c>
      <c r="AF7" s="54" t="s">
        <v>204</v>
      </c>
      <c r="AG7" s="54" t="s">
        <v>205</v>
      </c>
      <c r="AH7" s="54" t="s">
        <v>206</v>
      </c>
      <c r="AI7" s="54" t="s">
        <v>207</v>
      </c>
      <c r="AJ7" s="54" t="s">
        <v>208</v>
      </c>
      <c r="AK7" s="54" t="s">
        <v>209</v>
      </c>
      <c r="AL7" s="54" t="s">
        <v>210</v>
      </c>
      <c r="AM7" s="54" t="s">
        <v>211</v>
      </c>
      <c r="AN7" s="54" t="s">
        <v>212</v>
      </c>
      <c r="AO7" s="54" t="s">
        <v>213</v>
      </c>
      <c r="AP7" s="54" t="s">
        <v>214</v>
      </c>
      <c r="AQ7" s="54" t="s">
        <v>215</v>
      </c>
      <c r="AR7" s="54" t="s">
        <v>216</v>
      </c>
      <c r="AS7" s="54" t="s">
        <v>217</v>
      </c>
      <c r="AT7" s="54" t="s">
        <v>218</v>
      </c>
      <c r="AU7" s="54" t="s">
        <v>219</v>
      </c>
      <c r="AV7" s="54" t="s">
        <v>220</v>
      </c>
      <c r="AW7" s="54" t="s">
        <v>221</v>
      </c>
      <c r="AX7" s="54" t="s">
        <v>222</v>
      </c>
      <c r="AY7" s="54" t="s">
        <v>223</v>
      </c>
      <c r="AZ7" s="55" t="s">
        <v>224</v>
      </c>
      <c r="BA7" s="56" t="s">
        <v>65</v>
      </c>
      <c r="BB7" s="57" t="s">
        <v>66</v>
      </c>
      <c r="BC7" s="57" t="s">
        <v>67</v>
      </c>
      <c r="BD7" s="57" t="s">
        <v>68</v>
      </c>
      <c r="BE7" s="161" t="s">
        <v>61</v>
      </c>
      <c r="BG7" s="50" t="s">
        <v>188</v>
      </c>
      <c r="BH7" s="54" t="s">
        <v>187</v>
      </c>
    </row>
    <row r="8" spans="1:62" ht="12" customHeight="1" x14ac:dyDescent="0.35">
      <c r="A8" s="160">
        <v>1</v>
      </c>
      <c r="B8" s="60" t="str">
        <f>'C. FILIACION'!B8</f>
        <v>ALTAMIRANO RAMOS ESTEFANI MILENKA</v>
      </c>
      <c r="C8" s="48" t="s">
        <v>62</v>
      </c>
      <c r="D8" s="48" t="s">
        <v>62</v>
      </c>
      <c r="E8" s="48"/>
      <c r="F8" s="48" t="s">
        <v>62</v>
      </c>
      <c r="G8" s="61" t="s">
        <v>62</v>
      </c>
      <c r="H8" s="61" t="s">
        <v>62</v>
      </c>
      <c r="I8" s="61" t="s">
        <v>62</v>
      </c>
      <c r="J8" s="61" t="s">
        <v>175</v>
      </c>
      <c r="K8" s="61" t="s">
        <v>62</v>
      </c>
      <c r="L8" s="61" t="s">
        <v>62</v>
      </c>
      <c r="M8" s="48" t="s">
        <v>62</v>
      </c>
      <c r="N8" s="48" t="s">
        <v>62</v>
      </c>
      <c r="O8" s="48" t="s">
        <v>62</v>
      </c>
      <c r="P8" s="48"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12</v>
      </c>
      <c r="BB8" s="48" t="str">
        <f>IF(COUNTIF(C8:AZ8,"F")=0,"0",COUNTIF(C8:AZ8,"F"))</f>
        <v>0</v>
      </c>
      <c r="BC8" s="48">
        <f>IF(COUNTIF(C8:AZ8,"R")=0,"0",COUNTIF(C8:AZ8,"R"))</f>
        <v>1</v>
      </c>
      <c r="BD8" s="48" t="str">
        <f>IF(COUNTIF(C8:AZ8,"L")=0,"0",COUNTIF(C8:AZ8,"L"))</f>
        <v>0</v>
      </c>
      <c r="BE8" s="155">
        <f>SUM(BA8:BD8)</f>
        <v>13</v>
      </c>
      <c r="BG8" s="61">
        <v>33</v>
      </c>
      <c r="BH8" s="61">
        <v>32</v>
      </c>
      <c r="BJ8" s="193">
        <f>(Tabla1[[#This Row],[Asist. (A)]]+Tabla1[[#This Row],[Retrasos (R)]]+Tabla1[[#This Row],[Licencias (L)]])*10/Tabla1[[#This Row],[DÍAS TRABAJADOS]]</f>
        <v>10</v>
      </c>
    </row>
    <row r="9" spans="1:62" ht="12" customHeight="1" x14ac:dyDescent="0.35">
      <c r="A9" s="160">
        <v>2</v>
      </c>
      <c r="B9" s="60" t="str">
        <f>'C. FILIACION'!B9</f>
        <v>APAZA LINO TATIANA JAZMIN</v>
      </c>
      <c r="C9" s="48" t="s">
        <v>62</v>
      </c>
      <c r="D9" s="48" t="s">
        <v>62</v>
      </c>
      <c r="E9" s="48"/>
      <c r="F9" s="48" t="s">
        <v>62</v>
      </c>
      <c r="G9" s="61" t="s">
        <v>62</v>
      </c>
      <c r="H9" s="61" t="s">
        <v>62</v>
      </c>
      <c r="I9" s="61" t="s">
        <v>62</v>
      </c>
      <c r="J9" s="61" t="s">
        <v>62</v>
      </c>
      <c r="K9" s="61" t="s">
        <v>62</v>
      </c>
      <c r="L9" s="61" t="s">
        <v>62</v>
      </c>
      <c r="M9" s="48" t="s">
        <v>62</v>
      </c>
      <c r="N9" s="48" t="s">
        <v>62</v>
      </c>
      <c r="O9" s="48"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13</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13</v>
      </c>
      <c r="BG9" s="61">
        <v>34</v>
      </c>
      <c r="BH9" s="61">
        <v>30</v>
      </c>
      <c r="BJ9" s="193">
        <f>(Tabla1[[#This Row],[Asist. (A)]]+Tabla1[[#This Row],[Retrasos (R)]]+Tabla1[[#This Row],[Licencias (L)]])*10/Tabla1[[#This Row],[DÍAS TRABAJADOS]]</f>
        <v>10</v>
      </c>
    </row>
    <row r="10" spans="1:62" ht="12" customHeight="1" x14ac:dyDescent="0.35">
      <c r="A10" s="160">
        <v>3</v>
      </c>
      <c r="B10" s="60" t="str">
        <f>'C. FILIACION'!B10</f>
        <v>BOLAÑOS OVANDO MIJHAIL ALEXANDER</v>
      </c>
      <c r="C10" s="48" t="s">
        <v>62</v>
      </c>
      <c r="D10" s="48" t="s">
        <v>62</v>
      </c>
      <c r="E10" s="48"/>
      <c r="F10" s="48" t="s">
        <v>62</v>
      </c>
      <c r="G10" s="61" t="s">
        <v>62</v>
      </c>
      <c r="H10" s="61" t="s">
        <v>62</v>
      </c>
      <c r="I10" s="61" t="s">
        <v>63</v>
      </c>
      <c r="J10" s="61" t="s">
        <v>62</v>
      </c>
      <c r="K10" s="61" t="s">
        <v>175</v>
      </c>
      <c r="L10" s="61" t="s">
        <v>62</v>
      </c>
      <c r="M10" s="48" t="s">
        <v>175</v>
      </c>
      <c r="N10" s="48" t="s">
        <v>63</v>
      </c>
      <c r="O10" s="48" t="s">
        <v>62</v>
      </c>
      <c r="P10" s="48" t="s">
        <v>63</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8</v>
      </c>
      <c r="BB10" s="61">
        <f t="shared" si="1"/>
        <v>3</v>
      </c>
      <c r="BC10" s="61">
        <f t="shared" si="2"/>
        <v>2</v>
      </c>
      <c r="BD10" s="61" t="str">
        <f t="shared" si="3"/>
        <v>0</v>
      </c>
      <c r="BE10" s="155">
        <f t="shared" si="4"/>
        <v>13</v>
      </c>
      <c r="BG10" s="61">
        <v>18</v>
      </c>
      <c r="BH10" s="61">
        <v>0</v>
      </c>
      <c r="BJ10" s="193">
        <f>(Tabla1[[#This Row],[Asist. (A)]]+Tabla1[[#This Row],[Retrasos (R)]]+Tabla1[[#This Row],[Licencias (L)]])*10/Tabla1[[#This Row],[DÍAS TRABAJADOS]]</f>
        <v>7.6923076923076925</v>
      </c>
    </row>
    <row r="11" spans="1:62" ht="12" customHeight="1" x14ac:dyDescent="0.35">
      <c r="A11" s="160">
        <v>4</v>
      </c>
      <c r="B11" s="188" t="str">
        <f>'C. FILIACION'!B11</f>
        <v>BRICHER ETHELBERT ISMAEL</v>
      </c>
      <c r="C11" s="189" t="s">
        <v>62</v>
      </c>
      <c r="D11" s="189" t="s">
        <v>63</v>
      </c>
      <c r="E11" s="189"/>
      <c r="F11" s="189" t="s">
        <v>62</v>
      </c>
      <c r="G11" s="189" t="s">
        <v>63</v>
      </c>
      <c r="H11" s="189" t="s">
        <v>63</v>
      </c>
      <c r="I11" s="189" t="s">
        <v>63</v>
      </c>
      <c r="J11" s="189" t="s">
        <v>63</v>
      </c>
      <c r="K11" s="189" t="s">
        <v>63</v>
      </c>
      <c r="L11" s="189" t="s">
        <v>63</v>
      </c>
      <c r="M11" s="189" t="s">
        <v>63</v>
      </c>
      <c r="N11" s="189" t="s">
        <v>63</v>
      </c>
      <c r="O11" s="189" t="s">
        <v>63</v>
      </c>
      <c r="P11" s="189" t="s">
        <v>63</v>
      </c>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90"/>
      <c r="BA11" s="191">
        <f t="shared" si="0"/>
        <v>2</v>
      </c>
      <c r="BB11" s="189">
        <f t="shared" si="1"/>
        <v>11</v>
      </c>
      <c r="BC11" s="189" t="str">
        <f t="shared" si="2"/>
        <v>0</v>
      </c>
      <c r="BD11" s="189" t="str">
        <f t="shared" si="3"/>
        <v>0</v>
      </c>
      <c r="BE11" s="190">
        <f t="shared" si="4"/>
        <v>13</v>
      </c>
      <c r="BG11" s="61"/>
      <c r="BH11" s="61">
        <v>0</v>
      </c>
      <c r="BJ11" s="193">
        <f>(Tabla1[[#This Row],[Asist. (A)]]+Tabla1[[#This Row],[Retrasos (R)]]+Tabla1[[#This Row],[Licencias (L)]])*10/Tabla1[[#This Row],[DÍAS TRABAJADOS]]</f>
        <v>1.5384615384615385</v>
      </c>
    </row>
    <row r="12" spans="1:62" ht="12" customHeight="1" x14ac:dyDescent="0.35">
      <c r="A12" s="16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t="s">
        <v>63</v>
      </c>
      <c r="N12" s="48" t="s">
        <v>62</v>
      </c>
      <c r="O12" s="48" t="s">
        <v>62</v>
      </c>
      <c r="P12" s="48" t="s">
        <v>62</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8</v>
      </c>
      <c r="BB12" s="61">
        <f t="shared" si="1"/>
        <v>5</v>
      </c>
      <c r="BC12" s="61" t="str">
        <f t="shared" si="2"/>
        <v>0</v>
      </c>
      <c r="BD12" s="61" t="str">
        <f t="shared" si="3"/>
        <v>0</v>
      </c>
      <c r="BE12" s="155">
        <f t="shared" si="4"/>
        <v>13</v>
      </c>
      <c r="BG12" s="61"/>
      <c r="BH12" s="61">
        <v>30</v>
      </c>
      <c r="BJ12" s="193">
        <f>(Tabla1[[#This Row],[Asist. (A)]]+Tabla1[[#This Row],[Retrasos (R)]]+Tabla1[[#This Row],[Licencias (L)]])*10/Tabla1[[#This Row],[DÍAS TRABAJADOS]]</f>
        <v>6.1538461538461542</v>
      </c>
    </row>
    <row r="13" spans="1:62" ht="12" customHeight="1" x14ac:dyDescent="0.35">
      <c r="A13" s="16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t="s">
        <v>62</v>
      </c>
      <c r="N13" s="48" t="s">
        <v>62</v>
      </c>
      <c r="O13" s="48" t="s">
        <v>62</v>
      </c>
      <c r="P13" s="48" t="s">
        <v>62</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13</v>
      </c>
      <c r="BB13" s="61" t="str">
        <f t="shared" si="1"/>
        <v>0</v>
      </c>
      <c r="BC13" s="61" t="str">
        <f t="shared" si="2"/>
        <v>0</v>
      </c>
      <c r="BD13" s="61" t="str">
        <f t="shared" si="3"/>
        <v>0</v>
      </c>
      <c r="BE13" s="155">
        <f t="shared" si="4"/>
        <v>13</v>
      </c>
      <c r="BG13" s="61">
        <v>35</v>
      </c>
      <c r="BH13" s="61">
        <v>32</v>
      </c>
      <c r="BJ13" s="193">
        <f>(Tabla1[[#This Row],[Asist. (A)]]+Tabla1[[#This Row],[Retrasos (R)]]+Tabla1[[#This Row],[Licencias (L)]])*10/Tabla1[[#This Row],[DÍAS TRABAJADOS]]</f>
        <v>10</v>
      </c>
    </row>
    <row r="14" spans="1:62" ht="12" customHeight="1" x14ac:dyDescent="0.35">
      <c r="A14" s="16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t="s">
        <v>62</v>
      </c>
      <c r="N14" s="48" t="s">
        <v>63</v>
      </c>
      <c r="O14" s="48"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8</v>
      </c>
      <c r="BB14" s="61">
        <f t="shared" si="1"/>
        <v>5</v>
      </c>
      <c r="BC14" s="61" t="str">
        <f t="shared" si="2"/>
        <v>0</v>
      </c>
      <c r="BD14" s="61" t="str">
        <f t="shared" si="3"/>
        <v>0</v>
      </c>
      <c r="BE14" s="155">
        <f t="shared" si="4"/>
        <v>13</v>
      </c>
      <c r="BG14" s="61">
        <v>18</v>
      </c>
      <c r="BH14" s="61">
        <v>0</v>
      </c>
      <c r="BJ14" s="193">
        <f>(Tabla1[[#This Row],[Asist. (A)]]+Tabla1[[#This Row],[Retrasos (R)]]+Tabla1[[#This Row],[Licencias (L)]])*10/Tabla1[[#This Row],[DÍAS TRABAJADOS]]</f>
        <v>6.1538461538461542</v>
      </c>
    </row>
    <row r="15" spans="1:62" ht="12" customHeight="1" x14ac:dyDescent="0.35">
      <c r="A15" s="16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t="s">
        <v>62</v>
      </c>
      <c r="N15" s="48" t="s">
        <v>62</v>
      </c>
      <c r="O15" s="48"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13</v>
      </c>
      <c r="BB15" s="61" t="str">
        <f t="shared" si="1"/>
        <v>0</v>
      </c>
      <c r="BC15" s="61" t="str">
        <f t="shared" si="2"/>
        <v>0</v>
      </c>
      <c r="BD15" s="61" t="str">
        <f t="shared" si="3"/>
        <v>0</v>
      </c>
      <c r="BE15" s="155">
        <f t="shared" si="4"/>
        <v>13</v>
      </c>
      <c r="BG15" s="61">
        <v>33</v>
      </c>
      <c r="BH15" s="61">
        <v>30</v>
      </c>
      <c r="BJ15" s="193">
        <f>(Tabla1[[#This Row],[Asist. (A)]]+Tabla1[[#This Row],[Retrasos (R)]]+Tabla1[[#This Row],[Licencias (L)]])*10/Tabla1[[#This Row],[DÍAS TRABAJADOS]]</f>
        <v>10</v>
      </c>
    </row>
    <row r="16" spans="1:62" ht="12" customHeight="1" x14ac:dyDescent="0.35">
      <c r="A16" s="16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t="s">
        <v>62</v>
      </c>
      <c r="N16" s="48" t="s">
        <v>62</v>
      </c>
      <c r="O16" s="48"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13</v>
      </c>
      <c r="BB16" s="61" t="str">
        <f t="shared" si="1"/>
        <v>0</v>
      </c>
      <c r="BC16" s="61" t="str">
        <f t="shared" si="2"/>
        <v>0</v>
      </c>
      <c r="BD16" s="61" t="str">
        <f t="shared" si="3"/>
        <v>0</v>
      </c>
      <c r="BE16" s="155">
        <f t="shared" si="4"/>
        <v>13</v>
      </c>
      <c r="BG16" s="61">
        <v>35</v>
      </c>
      <c r="BH16" s="61">
        <v>32</v>
      </c>
      <c r="BJ16" s="193">
        <f>(Tabla1[[#This Row],[Asist. (A)]]+Tabla1[[#This Row],[Retrasos (R)]]+Tabla1[[#This Row],[Licencias (L)]])*10/Tabla1[[#This Row],[DÍAS TRABAJADOS]]</f>
        <v>10</v>
      </c>
    </row>
    <row r="17" spans="1:62" ht="12" customHeight="1" x14ac:dyDescent="0.35">
      <c r="A17" s="16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t="s">
        <v>63</v>
      </c>
      <c r="N17" s="61" t="s">
        <v>62</v>
      </c>
      <c r="O17" s="48"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61">
        <f t="shared" si="1"/>
        <v>3</v>
      </c>
      <c r="BC17" s="61" t="str">
        <f t="shared" si="2"/>
        <v>0</v>
      </c>
      <c r="BD17" s="61" t="str">
        <f t="shared" si="3"/>
        <v>0</v>
      </c>
      <c r="BE17" s="155">
        <f t="shared" si="4"/>
        <v>13</v>
      </c>
      <c r="BG17" s="61">
        <v>30</v>
      </c>
      <c r="BH17" s="61">
        <v>30</v>
      </c>
      <c r="BJ17" s="193">
        <f>(Tabla1[[#This Row],[Asist. (A)]]+Tabla1[[#This Row],[Retrasos (R)]]+Tabla1[[#This Row],[Licencias (L)]])*10/Tabla1[[#This Row],[DÍAS TRABAJADOS]]</f>
        <v>7.6923076923076925</v>
      </c>
    </row>
    <row r="18" spans="1:62" ht="12" customHeight="1" x14ac:dyDescent="0.35">
      <c r="A18" s="16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t="s">
        <v>63</v>
      </c>
      <c r="N18" s="48" t="s">
        <v>63</v>
      </c>
      <c r="O18" s="48" t="s">
        <v>62</v>
      </c>
      <c r="P18" s="48" t="s">
        <v>62</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61">
        <f t="shared" si="1"/>
        <v>7</v>
      </c>
      <c r="BC18" s="61" t="str">
        <f t="shared" si="2"/>
        <v>0</v>
      </c>
      <c r="BD18" s="61" t="str">
        <f t="shared" si="3"/>
        <v>0</v>
      </c>
      <c r="BE18" s="155">
        <f t="shared" si="4"/>
        <v>13</v>
      </c>
      <c r="BG18" s="61">
        <v>28</v>
      </c>
      <c r="BH18" s="61">
        <v>32</v>
      </c>
      <c r="BJ18" s="193">
        <f>(Tabla1[[#This Row],[Asist. (A)]]+Tabla1[[#This Row],[Retrasos (R)]]+Tabla1[[#This Row],[Licencias (L)]])*10/Tabla1[[#This Row],[DÍAS TRABAJADOS]]</f>
        <v>4.615384615384615</v>
      </c>
    </row>
    <row r="19" spans="1:62" ht="12" customHeight="1" x14ac:dyDescent="0.35">
      <c r="A19" s="160">
        <v>12</v>
      </c>
      <c r="B19" s="60" t="str">
        <f>'C. FILIACION'!B19</f>
        <v>MARCONI PEREZ SINDEL LUANA</v>
      </c>
      <c r="C19" s="48" t="s">
        <v>62</v>
      </c>
      <c r="D19" s="48" t="s">
        <v>63</v>
      </c>
      <c r="E19" s="48"/>
      <c r="F19" s="48" t="s">
        <v>62</v>
      </c>
      <c r="G19" s="61" t="s">
        <v>63</v>
      </c>
      <c r="H19" s="61" t="s">
        <v>62</v>
      </c>
      <c r="I19" s="61" t="s">
        <v>62</v>
      </c>
      <c r="J19" s="61" t="s">
        <v>175</v>
      </c>
      <c r="K19" s="61" t="s">
        <v>62</v>
      </c>
      <c r="L19" s="61" t="s">
        <v>63</v>
      </c>
      <c r="M19" s="48" t="s">
        <v>62</v>
      </c>
      <c r="N19" s="61" t="s">
        <v>63</v>
      </c>
      <c r="O19" s="48" t="s">
        <v>62</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7</v>
      </c>
      <c r="BB19" s="61">
        <f t="shared" si="1"/>
        <v>5</v>
      </c>
      <c r="BC19" s="61">
        <f t="shared" si="2"/>
        <v>1</v>
      </c>
      <c r="BD19" s="61" t="str">
        <f t="shared" si="3"/>
        <v>0</v>
      </c>
      <c r="BE19" s="155">
        <f t="shared" si="4"/>
        <v>13</v>
      </c>
      <c r="BG19" s="61"/>
      <c r="BH19" s="61">
        <v>30</v>
      </c>
      <c r="BJ19" s="193">
        <f>(Tabla1[[#This Row],[Asist. (A)]]+Tabla1[[#This Row],[Retrasos (R)]]+Tabla1[[#This Row],[Licencias (L)]])*10/Tabla1[[#This Row],[DÍAS TRABAJADOS]]</f>
        <v>6.1538461538461542</v>
      </c>
    </row>
    <row r="20" spans="1:62" ht="12" customHeight="1" x14ac:dyDescent="0.35">
      <c r="A20" s="16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t="s">
        <v>62</v>
      </c>
      <c r="N20" s="48" t="s">
        <v>62</v>
      </c>
      <c r="O20" s="48" t="s">
        <v>62</v>
      </c>
      <c r="P20" s="48" t="s">
        <v>175</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12</v>
      </c>
      <c r="BB20" s="61" t="str">
        <f t="shared" si="1"/>
        <v>0</v>
      </c>
      <c r="BC20" s="61">
        <f t="shared" si="2"/>
        <v>1</v>
      </c>
      <c r="BD20" s="61" t="str">
        <f t="shared" si="3"/>
        <v>0</v>
      </c>
      <c r="BE20" s="155">
        <f t="shared" si="4"/>
        <v>13</v>
      </c>
      <c r="BG20" s="61">
        <v>20</v>
      </c>
      <c r="BH20" s="61">
        <v>30</v>
      </c>
      <c r="BJ20" s="193">
        <f>(Tabla1[[#This Row],[Asist. (A)]]+Tabla1[[#This Row],[Retrasos (R)]]+Tabla1[[#This Row],[Licencias (L)]])*10/Tabla1[[#This Row],[DÍAS TRABAJADOS]]</f>
        <v>10</v>
      </c>
    </row>
    <row r="21" spans="1:62" ht="12" customHeight="1" x14ac:dyDescent="0.35">
      <c r="A21" s="16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t="s">
        <v>62</v>
      </c>
      <c r="N21" s="48" t="s">
        <v>62</v>
      </c>
      <c r="O21" s="48" t="s">
        <v>62</v>
      </c>
      <c r="P21" s="48" t="s">
        <v>175</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12</v>
      </c>
      <c r="BB21" s="61" t="str">
        <f t="shared" si="1"/>
        <v>0</v>
      </c>
      <c r="BC21" s="61">
        <f t="shared" si="2"/>
        <v>1</v>
      </c>
      <c r="BD21" s="61" t="str">
        <f t="shared" si="3"/>
        <v>0</v>
      </c>
      <c r="BE21" s="155">
        <f t="shared" si="4"/>
        <v>13</v>
      </c>
      <c r="BG21" s="61">
        <v>25</v>
      </c>
      <c r="BH21" s="61">
        <v>30</v>
      </c>
      <c r="BJ21" s="193">
        <f>(Tabla1[[#This Row],[Asist. (A)]]+Tabla1[[#This Row],[Retrasos (R)]]+Tabla1[[#This Row],[Licencias (L)]])*10/Tabla1[[#This Row],[DÍAS TRABAJADOS]]</f>
        <v>10</v>
      </c>
    </row>
    <row r="22" spans="1:62" ht="12" customHeight="1" x14ac:dyDescent="0.35">
      <c r="A22" s="160">
        <v>15</v>
      </c>
      <c r="B22" s="60" t="str">
        <f>'C. FILIACION'!B22</f>
        <v>RUEDA ALVAREZ GREGORY STEVEN</v>
      </c>
      <c r="C22" s="48" t="s">
        <v>62</v>
      </c>
      <c r="D22" s="48" t="s">
        <v>62</v>
      </c>
      <c r="E22" s="48"/>
      <c r="F22" s="48" t="s">
        <v>62</v>
      </c>
      <c r="G22" s="61" t="s">
        <v>62</v>
      </c>
      <c r="H22" s="61" t="s">
        <v>62</v>
      </c>
      <c r="I22" s="61" t="s">
        <v>62</v>
      </c>
      <c r="J22" s="61" t="s">
        <v>62</v>
      </c>
      <c r="K22" s="61" t="s">
        <v>62</v>
      </c>
      <c r="L22" s="61" t="s">
        <v>175</v>
      </c>
      <c r="M22" s="48" t="s">
        <v>62</v>
      </c>
      <c r="N22" s="48" t="s">
        <v>62</v>
      </c>
      <c r="O22" s="48"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12</v>
      </c>
      <c r="BB22" s="61" t="str">
        <f t="shared" si="1"/>
        <v>0</v>
      </c>
      <c r="BC22" s="61">
        <f t="shared" si="2"/>
        <v>1</v>
      </c>
      <c r="BD22" s="61" t="str">
        <f t="shared" si="3"/>
        <v>0</v>
      </c>
      <c r="BE22" s="155">
        <f t="shared" si="4"/>
        <v>13</v>
      </c>
      <c r="BG22" s="61">
        <v>30</v>
      </c>
      <c r="BH22" s="61">
        <v>32</v>
      </c>
      <c r="BJ22" s="193">
        <f>(Tabla1[[#This Row],[Asist. (A)]]+Tabla1[[#This Row],[Retrasos (R)]]+Tabla1[[#This Row],[Licencias (L)]])*10/Tabla1[[#This Row],[DÍAS TRABAJADOS]]</f>
        <v>10</v>
      </c>
    </row>
    <row r="23" spans="1:62" ht="12" customHeight="1" x14ac:dyDescent="0.35">
      <c r="A23" s="160">
        <v>16</v>
      </c>
      <c r="B23" s="188" t="str">
        <f>'C. FILIACION'!B23</f>
        <v>VARGAS JOYCE BELEN</v>
      </c>
      <c r="C23" s="189" t="s">
        <v>62</v>
      </c>
      <c r="D23" s="189" t="s">
        <v>63</v>
      </c>
      <c r="E23" s="189"/>
      <c r="F23" s="189" t="s">
        <v>62</v>
      </c>
      <c r="G23" s="189" t="s">
        <v>63</v>
      </c>
      <c r="H23" s="189" t="s">
        <v>63</v>
      </c>
      <c r="I23" s="189" t="s">
        <v>63</v>
      </c>
      <c r="J23" s="189" t="s">
        <v>63</v>
      </c>
      <c r="K23" s="189" t="s">
        <v>63</v>
      </c>
      <c r="L23" s="189" t="s">
        <v>63</v>
      </c>
      <c r="M23" s="189" t="s">
        <v>63</v>
      </c>
      <c r="N23" s="189" t="s">
        <v>63</v>
      </c>
      <c r="O23" s="189" t="s">
        <v>63</v>
      </c>
      <c r="P23" s="189" t="s">
        <v>63</v>
      </c>
      <c r="Q23" s="189"/>
      <c r="R23" s="189"/>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90"/>
      <c r="BA23" s="191">
        <f t="shared" si="0"/>
        <v>2</v>
      </c>
      <c r="BB23" s="189">
        <f t="shared" si="1"/>
        <v>11</v>
      </c>
      <c r="BC23" s="189" t="str">
        <f t="shared" si="2"/>
        <v>0</v>
      </c>
      <c r="BD23" s="189" t="str">
        <f t="shared" si="3"/>
        <v>0</v>
      </c>
      <c r="BE23" s="190">
        <f t="shared" si="4"/>
        <v>13</v>
      </c>
      <c r="BF23" s="192"/>
      <c r="BG23" s="189"/>
      <c r="BH23" s="189">
        <v>0</v>
      </c>
      <c r="BJ23" s="193">
        <f>(Tabla1[[#This Row],[Asist. (A)]]+Tabla1[[#This Row],[Retrasos (R)]]+Tabla1[[#This Row],[Licencias (L)]])*10/Tabla1[[#This Row],[DÍAS TRABAJADOS]]</f>
        <v>1.5384615384615385</v>
      </c>
    </row>
    <row r="24" spans="1:62" ht="12" customHeight="1" x14ac:dyDescent="0.35">
      <c r="A24" s="16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t="s">
        <v>62</v>
      </c>
      <c r="N24" s="61" t="s">
        <v>62</v>
      </c>
      <c r="O24" s="48"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13</v>
      </c>
      <c r="BB24" s="61" t="str">
        <f t="shared" si="1"/>
        <v>0</v>
      </c>
      <c r="BC24" s="61" t="str">
        <f t="shared" si="2"/>
        <v>0</v>
      </c>
      <c r="BD24" s="61" t="str">
        <f t="shared" si="3"/>
        <v>0</v>
      </c>
      <c r="BE24" s="155">
        <f t="shared" si="4"/>
        <v>13</v>
      </c>
      <c r="BG24" s="61">
        <v>20</v>
      </c>
      <c r="BH24" s="61">
        <v>30</v>
      </c>
      <c r="BJ24" s="193">
        <f>(Tabla1[[#This Row],[Asist. (A)]]+Tabla1[[#This Row],[Retrasos (R)]]+Tabla1[[#This Row],[Licencias (L)]])*10/Tabla1[[#This Row],[DÍAS TRABAJADOS]]</f>
        <v>10</v>
      </c>
    </row>
    <row r="25" spans="1:62" ht="12" customHeight="1" x14ac:dyDescent="0.35">
      <c r="A25" s="160">
        <v>18</v>
      </c>
      <c r="B25" s="60" t="s">
        <v>173</v>
      </c>
      <c r="C25" s="48" t="s">
        <v>62</v>
      </c>
      <c r="D25" s="48" t="s">
        <v>63</v>
      </c>
      <c r="E25" s="48"/>
      <c r="F25" s="48" t="s">
        <v>62</v>
      </c>
      <c r="G25" s="61" t="s">
        <v>63</v>
      </c>
      <c r="H25" s="61" t="s">
        <v>62</v>
      </c>
      <c r="I25" s="61" t="s">
        <v>62</v>
      </c>
      <c r="J25" s="61" t="s">
        <v>62</v>
      </c>
      <c r="K25" s="61" t="s">
        <v>63</v>
      </c>
      <c r="L25" s="61" t="s">
        <v>63</v>
      </c>
      <c r="M25" s="48" t="s">
        <v>62</v>
      </c>
      <c r="N25" s="48" t="s">
        <v>63</v>
      </c>
      <c r="O25" s="48" t="s">
        <v>62</v>
      </c>
      <c r="P25" s="48" t="s">
        <v>62</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8</v>
      </c>
      <c r="BB25" s="61">
        <f t="shared" si="1"/>
        <v>5</v>
      </c>
      <c r="BC25" s="61" t="str">
        <f t="shared" si="2"/>
        <v>0</v>
      </c>
      <c r="BD25" s="61" t="str">
        <f t="shared" si="3"/>
        <v>0</v>
      </c>
      <c r="BE25" s="155">
        <f t="shared" si="4"/>
        <v>13</v>
      </c>
      <c r="BG25" s="61"/>
      <c r="BH25" s="61">
        <v>0</v>
      </c>
      <c r="BJ25" s="193">
        <f>(Tabla1[[#This Row],[Asist. (A)]]+Tabla1[[#This Row],[Retrasos (R)]]+Tabla1[[#This Row],[Licencias (L)]])*10/Tabla1[[#This Row],[DÍAS TRABAJADOS]]</f>
        <v>6.1538461538461542</v>
      </c>
    </row>
    <row r="26" spans="1:62" ht="12" customHeight="1" x14ac:dyDescent="0.35">
      <c r="A26" s="162">
        <v>19</v>
      </c>
      <c r="B26" s="163" t="s">
        <v>174</v>
      </c>
      <c r="C26" s="164"/>
      <c r="D26" s="164"/>
      <c r="E26" s="164"/>
      <c r="F26" s="164"/>
      <c r="G26" s="164"/>
      <c r="H26" s="164"/>
      <c r="I26" s="164" t="s">
        <v>63</v>
      </c>
      <c r="J26" s="164" t="s">
        <v>176</v>
      </c>
      <c r="K26" s="164" t="s">
        <v>62</v>
      </c>
      <c r="L26" s="164" t="s">
        <v>62</v>
      </c>
      <c r="M26" s="164" t="s">
        <v>62</v>
      </c>
      <c r="N26" s="164" t="s">
        <v>62</v>
      </c>
      <c r="O26" s="164" t="s">
        <v>62</v>
      </c>
      <c r="P26" s="164" t="s">
        <v>62</v>
      </c>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5"/>
      <c r="BA26" s="166">
        <f t="shared" si="0"/>
        <v>6</v>
      </c>
      <c r="BB26" s="164">
        <f t="shared" si="1"/>
        <v>1</v>
      </c>
      <c r="BC26" s="164" t="str">
        <f t="shared" si="2"/>
        <v>0</v>
      </c>
      <c r="BD26" s="164">
        <f t="shared" si="3"/>
        <v>1</v>
      </c>
      <c r="BE26" s="165">
        <f t="shared" si="4"/>
        <v>8</v>
      </c>
      <c r="BG26" s="61"/>
      <c r="BH26" s="61"/>
      <c r="BJ26" s="193">
        <f>(Tabla1[[#This Row],[Asist. (A)]]+Tabla1[[#This Row],[Retrasos (R)]]+Tabla1[[#This Row],[Licencias (L)]])*10/Tabla1[[#This Row],[DÍAS TRABAJADOS]]</f>
        <v>8.75</v>
      </c>
    </row>
    <row r="27" spans="1:62"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2"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2"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2"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2"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2"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zoomScale="70" zoomScaleNormal="70" workbookViewId="0">
      <selection activeCell="AB32" sqref="A1:AB32"/>
    </sheetView>
  </sheetViews>
  <sheetFormatPr baseColWidth="10" defaultRowHeight="20.399999999999999" x14ac:dyDescent="0.35"/>
  <cols>
    <col min="1" max="11" width="2.19921875" customWidth="1"/>
    <col min="12" max="12" width="2.796875" customWidth="1"/>
    <col min="13" max="13" width="2.19921875" customWidth="1"/>
    <col min="14" max="14" width="2.33203125" customWidth="1"/>
    <col min="15" max="26" width="2.19921875" customWidth="1"/>
    <col min="27" max="27" width="10.46484375" customWidth="1"/>
    <col min="28" max="28" width="7.3984375" customWidth="1"/>
  </cols>
  <sheetData>
    <row r="1" spans="1:40" ht="12" customHeight="1" x14ac:dyDescent="0.35">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row>
    <row r="2" spans="1:40" ht="21" x14ac:dyDescent="0.4">
      <c r="A2" s="233" t="s">
        <v>225</v>
      </c>
      <c r="B2" s="233"/>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row>
    <row r="3" spans="1:40" ht="8.5500000000000007" customHeight="1" x14ac:dyDescent="0.35">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row>
    <row r="4" spans="1:40" x14ac:dyDescent="0.35">
      <c r="A4" s="234" t="s">
        <v>226</v>
      </c>
      <c r="B4" s="234"/>
      <c r="C4" s="234"/>
      <c r="D4" s="234"/>
      <c r="E4" s="234"/>
      <c r="F4" s="235" t="str">
        <f>CARÁTULA!C25</f>
        <v>Seguridad en sistemas informaticos</v>
      </c>
      <c r="G4" s="235"/>
      <c r="H4" s="235"/>
      <c r="I4" s="235"/>
      <c r="J4" s="235"/>
      <c r="K4" s="235"/>
      <c r="L4" s="235"/>
      <c r="M4" s="235"/>
      <c r="N4" s="235"/>
      <c r="O4" s="236" t="s">
        <v>227</v>
      </c>
      <c r="P4" s="236"/>
      <c r="Q4" s="236"/>
      <c r="R4" s="237" t="str">
        <f>CARÁTULA!C23</f>
        <v>6to de Secundaria</v>
      </c>
      <c r="S4" s="238"/>
      <c r="T4" s="238"/>
      <c r="U4" s="238"/>
      <c r="V4" s="238"/>
      <c r="W4" s="238"/>
      <c r="X4" s="238"/>
      <c r="Y4" s="238"/>
      <c r="Z4" s="239"/>
      <c r="AA4" s="242" t="s">
        <v>228</v>
      </c>
      <c r="AB4" s="244" t="s">
        <v>238</v>
      </c>
    </row>
    <row r="5" spans="1:40" x14ac:dyDescent="0.35">
      <c r="A5" s="234" t="s">
        <v>229</v>
      </c>
      <c r="B5" s="234"/>
      <c r="C5" s="234"/>
      <c r="D5" s="234"/>
      <c r="E5" s="234"/>
      <c r="F5" s="245" t="s">
        <v>173</v>
      </c>
      <c r="G5" s="245"/>
      <c r="H5" s="245"/>
      <c r="I5" s="245"/>
      <c r="J5" s="245"/>
      <c r="K5" s="245"/>
      <c r="L5" s="245"/>
      <c r="M5" s="245"/>
      <c r="N5" s="245"/>
      <c r="O5" s="245"/>
      <c r="P5" s="245"/>
      <c r="Q5" s="245"/>
      <c r="R5" s="245"/>
      <c r="S5" s="245"/>
      <c r="T5" s="245"/>
      <c r="U5" s="245"/>
      <c r="V5" s="245"/>
      <c r="W5" s="245"/>
      <c r="X5" s="245"/>
      <c r="Y5" s="245"/>
      <c r="Z5" s="245"/>
      <c r="AA5" s="243"/>
      <c r="AB5" s="244"/>
    </row>
    <row r="6" spans="1:40" x14ac:dyDescent="0.35">
      <c r="A6" s="234" t="s">
        <v>230</v>
      </c>
      <c r="B6" s="234"/>
      <c r="C6" s="234"/>
      <c r="D6" s="234"/>
      <c r="E6" s="234"/>
      <c r="F6" s="246" t="s">
        <v>231</v>
      </c>
      <c r="G6" s="247"/>
      <c r="H6" s="247"/>
      <c r="I6" s="247"/>
      <c r="J6" s="247"/>
      <c r="K6" s="247"/>
      <c r="L6" s="247"/>
      <c r="M6" s="247"/>
      <c r="N6" s="247"/>
      <c r="O6" s="247"/>
      <c r="P6" s="247"/>
      <c r="Q6" s="247"/>
      <c r="R6" s="247"/>
      <c r="S6" s="247"/>
      <c r="T6" s="247"/>
      <c r="U6" s="247"/>
      <c r="V6" s="247"/>
      <c r="W6" s="247"/>
      <c r="X6" s="247"/>
      <c r="Y6" s="247"/>
      <c r="Z6" s="248"/>
      <c r="AA6" s="181" t="s">
        <v>228</v>
      </c>
      <c r="AB6" s="182" t="s">
        <v>244</v>
      </c>
    </row>
    <row r="7" spans="1:40" ht="6.6" customHeight="1" x14ac:dyDescent="0.35">
      <c r="A7" s="167"/>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80"/>
      <c r="AB7" s="171"/>
    </row>
    <row r="8" spans="1:40" x14ac:dyDescent="0.35">
      <c r="A8" s="251" t="s">
        <v>232</v>
      </c>
      <c r="B8" s="251"/>
      <c r="C8" s="251"/>
      <c r="D8" s="251"/>
      <c r="E8" s="251"/>
      <c r="F8" s="251"/>
      <c r="G8" s="251"/>
      <c r="H8" s="251"/>
      <c r="I8" s="251"/>
      <c r="J8" s="251"/>
      <c r="K8" s="251"/>
      <c r="L8" s="251"/>
      <c r="M8" s="251"/>
      <c r="N8" s="251"/>
      <c r="O8" s="251"/>
      <c r="P8" s="251"/>
      <c r="Q8" s="251"/>
      <c r="R8" s="251"/>
      <c r="S8" s="251"/>
      <c r="T8" s="251"/>
      <c r="U8" s="251"/>
      <c r="V8" s="251"/>
      <c r="W8" s="251"/>
      <c r="X8" s="251"/>
      <c r="Y8" s="251"/>
      <c r="Z8" s="251"/>
      <c r="AA8" s="251"/>
      <c r="AB8" s="251"/>
    </row>
    <row r="9" spans="1:40" ht="6" customHeight="1" x14ac:dyDescent="0.35">
      <c r="A9" s="167"/>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row>
    <row r="10" spans="1:40" ht="74.400000000000006" x14ac:dyDescent="0.35">
      <c r="A10" s="167"/>
      <c r="B10" s="173"/>
      <c r="C10" s="173"/>
      <c r="D10" s="173"/>
      <c r="E10" s="173"/>
      <c r="F10" s="173"/>
      <c r="G10" s="173"/>
      <c r="H10" s="173"/>
      <c r="I10" s="173"/>
      <c r="J10" s="173"/>
      <c r="K10" s="173"/>
      <c r="L10" s="169" t="str">
        <f>Tabla1[[#Headers],[13/5/2020]]</f>
        <v>13/5/2020</v>
      </c>
      <c r="M10" s="169" t="str">
        <f>Tabla1[[#Headers],[20/5/2020]]</f>
        <v>20/5/2020</v>
      </c>
      <c r="N10" s="169" t="str">
        <f>Tabla1[[#Headers],[27/5/2021]]</f>
        <v>27/5/2021</v>
      </c>
      <c r="O10" s="169" t="str">
        <f>Tabla1[[#Headers],[1/7/2021]]</f>
        <v>1/7/2021</v>
      </c>
      <c r="P10" s="169" t="str">
        <f>Tabla1[[#Headers],[8/7/2021]]</f>
        <v>8/7/2021</v>
      </c>
      <c r="Q10" s="169" t="str">
        <f>Tabla1[[#Headers],[15/7/2021]]</f>
        <v>15/7/2021</v>
      </c>
      <c r="R10" s="169" t="str">
        <f>Tabla1[[#Headers],[22/7/2021]]</f>
        <v>22/7/2021</v>
      </c>
      <c r="S10" s="169" t="str">
        <f>Tabla1[[#Headers],[29/7/2021]]</f>
        <v>29/7/2021</v>
      </c>
      <c r="T10" s="169" t="str">
        <f>Tabla1[[#Headers],[5/8/2021]]</f>
        <v>5/8/2021</v>
      </c>
      <c r="U10" s="169" t="str">
        <f>Tabla1[[#Headers],[12/8/2021]]</f>
        <v>12/8/2021</v>
      </c>
      <c r="V10" s="169" t="str">
        <f>'[1]ASIS 2 TRIM'!BA7</f>
        <v>Asist. (A)</v>
      </c>
      <c r="W10" s="169" t="str">
        <f>'[1]ASIS 2 TRIM'!BB7</f>
        <v>Faltas (F)</v>
      </c>
      <c r="X10" s="169" t="str">
        <f>'[1]ASIS 2 TRIM'!BC7</f>
        <v>Retrasos (R)</v>
      </c>
      <c r="Y10" s="169" t="str">
        <f>'[1]ASIS 2 TRIM'!BD7</f>
        <v>Licencias (L)</v>
      </c>
      <c r="Z10" s="169" t="str">
        <f>'[1]ASIS 2 TRIM'!BE7</f>
        <v>DÍAS TRABAJADOS</v>
      </c>
      <c r="AA10" s="167"/>
      <c r="AB10" s="167"/>
    </row>
    <row r="11" spans="1:40" x14ac:dyDescent="0.35">
      <c r="A11" s="167"/>
      <c r="B11" s="174"/>
      <c r="C11" s="174"/>
      <c r="D11" s="174"/>
      <c r="E11" s="174"/>
      <c r="F11" s="174"/>
      <c r="G11" s="174"/>
      <c r="H11" s="174"/>
      <c r="I11" s="174"/>
      <c r="J11" s="174"/>
      <c r="K11" s="174"/>
      <c r="L11" s="170" t="str">
        <f>VLOOKUP($F$5,Tabla1[[NÓMINA DE ESTUDIANTES]:[DÍAS TRABAJADOS]],1+AE11,FALSE)</f>
        <v>a</v>
      </c>
      <c r="M11" s="170" t="str">
        <f>VLOOKUP($F$5,Tabla1[[NÓMINA DE ESTUDIANTES]:[DÍAS TRABAJADOS]],1+AF11,FALSE)</f>
        <v>f</v>
      </c>
      <c r="N11" s="170"/>
      <c r="O11" s="170" t="str">
        <f>VLOOKUP($F$5,Tabla1[[NÓMINA DE ESTUDIANTES]:[DÍAS TRABAJADOS]],1+AH11,FALSE)</f>
        <v>a</v>
      </c>
      <c r="P11" s="170" t="str">
        <f>VLOOKUP($F$5,Tabla1[[NÓMINA DE ESTUDIANTES]:[DÍAS TRABAJADOS]],1+AI11,FALSE)</f>
        <v>f</v>
      </c>
      <c r="Q11" s="170" t="str">
        <f>VLOOKUP($F$5,Tabla1[[NÓMINA DE ESTUDIANTES]:[DÍAS TRABAJADOS]],1+AJ11,FALSE)</f>
        <v>a</v>
      </c>
      <c r="R11" s="170" t="str">
        <f>VLOOKUP($F$5,Tabla1[[NÓMINA DE ESTUDIANTES]:[DÍAS TRABAJADOS]],1+AK11,FALSE)</f>
        <v>a</v>
      </c>
      <c r="S11" s="170" t="str">
        <f>VLOOKUP($F$5,Tabla1[[NÓMINA DE ESTUDIANTES]:[DÍAS TRABAJADOS]],1+AL11,FALSE)</f>
        <v>a</v>
      </c>
      <c r="T11" s="170" t="str">
        <f>VLOOKUP($F$5,Tabla1[[NÓMINA DE ESTUDIANTES]:[DÍAS TRABAJADOS]],1+AM11,FALSE)</f>
        <v>f</v>
      </c>
      <c r="U11" s="170" t="str">
        <f>VLOOKUP($F$5,Tabla1[[NÓMINA DE ESTUDIANTES]:[DÍAS TRABAJADOS]],1+AN11,FALSE)</f>
        <v>f</v>
      </c>
      <c r="V11" s="170">
        <f>VLOOKUP($F$5,Tabla1[[NÓMINA DE ESTUDIANTES]:[DÍAS TRABAJADOS]],51+AE11,FALSE)</f>
        <v>8</v>
      </c>
      <c r="W11" s="170">
        <f>VLOOKUP($F$5,Tabla1[[NÓMINA DE ESTUDIANTES]:[DÍAS TRABAJADOS]],51+AF11,FALSE)</f>
        <v>5</v>
      </c>
      <c r="X11" s="170" t="str">
        <f>VLOOKUP($F$5,Tabla1[[NÓMINA DE ESTUDIANTES]:[DÍAS TRABAJADOS]],51+AG11,FALSE)</f>
        <v>0</v>
      </c>
      <c r="Y11" s="170" t="str">
        <f>VLOOKUP($F$5,Tabla1[[NÓMINA DE ESTUDIANTES]:[DÍAS TRABAJADOS]],51+AH11,FALSE)</f>
        <v>0</v>
      </c>
      <c r="Z11" s="170">
        <f>VLOOKUP($F$5,Tabla1[[NÓMINA DE ESTUDIANTES]:[DÍAS TRABAJADOS]],51+AI11,FALSE)</f>
        <v>13</v>
      </c>
      <c r="AA11" s="167"/>
      <c r="AB11" s="167"/>
      <c r="AE11" s="172">
        <v>1</v>
      </c>
      <c r="AF11" s="172">
        <f>AE11+1</f>
        <v>2</v>
      </c>
      <c r="AG11" s="172">
        <f t="shared" ref="AG11:AM11" si="0">AF11+1</f>
        <v>3</v>
      </c>
      <c r="AH11" s="172">
        <f t="shared" si="0"/>
        <v>4</v>
      </c>
      <c r="AI11" s="172">
        <f t="shared" si="0"/>
        <v>5</v>
      </c>
      <c r="AJ11" s="172">
        <f t="shared" si="0"/>
        <v>6</v>
      </c>
      <c r="AK11" s="172">
        <f t="shared" si="0"/>
        <v>7</v>
      </c>
      <c r="AL11" s="172">
        <f t="shared" si="0"/>
        <v>8</v>
      </c>
      <c r="AM11" s="172">
        <f t="shared" si="0"/>
        <v>9</v>
      </c>
      <c r="AN11">
        <v>10</v>
      </c>
    </row>
    <row r="12" spans="1:40" ht="4.95" customHeight="1" x14ac:dyDescent="0.35">
      <c r="A12" s="167"/>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row>
    <row r="13" spans="1:40" ht="15" customHeight="1" x14ac:dyDescent="0.35">
      <c r="A13" s="249" t="s">
        <v>233</v>
      </c>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row>
    <row r="14" spans="1:40" ht="15" customHeight="1" x14ac:dyDescent="0.35">
      <c r="A14" s="249" t="s">
        <v>234</v>
      </c>
      <c r="B14" s="249"/>
      <c r="C14" s="249"/>
      <c r="D14" s="249"/>
      <c r="E14" s="249"/>
      <c r="F14" s="249"/>
      <c r="G14" s="249"/>
      <c r="H14" s="249"/>
      <c r="I14" s="249" t="s">
        <v>235</v>
      </c>
      <c r="J14" s="249"/>
      <c r="K14" s="249" t="s">
        <v>236</v>
      </c>
      <c r="L14" s="249"/>
      <c r="M14" s="249"/>
      <c r="N14" s="249"/>
      <c r="O14" s="249"/>
      <c r="P14" s="249"/>
      <c r="Q14" s="249"/>
      <c r="R14" s="249"/>
      <c r="S14" s="249"/>
      <c r="T14" s="249"/>
      <c r="U14" s="249"/>
      <c r="V14" s="249"/>
      <c r="W14" s="249"/>
      <c r="X14" s="249"/>
      <c r="Y14" s="249"/>
      <c r="Z14" s="249"/>
      <c r="AA14" s="249"/>
      <c r="AB14" s="249"/>
    </row>
    <row r="15" spans="1:40" ht="15" customHeight="1" x14ac:dyDescent="0.35">
      <c r="A15" s="230" t="str">
        <f>'VAL 2 TRIM'!D$8</f>
        <v>13/5/2021 (Cuestinario Criptografia)</v>
      </c>
      <c r="B15" s="231"/>
      <c r="C15" s="231"/>
      <c r="D15" s="231"/>
      <c r="E15" s="231"/>
      <c r="F15" s="231"/>
      <c r="G15" s="231"/>
      <c r="H15" s="231"/>
      <c r="I15" s="232">
        <f>VLOOKUP($F$5,'VAL 2 TRIM'!$B$9:$Z$32,3,FALSE)</f>
        <v>18</v>
      </c>
      <c r="J15" s="232"/>
      <c r="K15" s="240" t="s">
        <v>243</v>
      </c>
      <c r="L15" s="250"/>
      <c r="M15" s="250"/>
      <c r="N15" s="250"/>
      <c r="O15" s="250"/>
      <c r="P15" s="250"/>
      <c r="Q15" s="250"/>
      <c r="R15" s="250"/>
      <c r="S15" s="250"/>
      <c r="T15" s="250"/>
      <c r="U15" s="250"/>
      <c r="V15" s="250"/>
      <c r="W15" s="250"/>
      <c r="X15" s="250"/>
      <c r="Y15" s="250"/>
      <c r="Z15" s="250"/>
      <c r="AA15" s="250"/>
      <c r="AB15" s="250"/>
      <c r="AC15" s="176">
        <f>IF(I15=0,1,0)</f>
        <v>0</v>
      </c>
      <c r="AD15" s="177">
        <v>1</v>
      </c>
      <c r="AE15" s="177">
        <v>1</v>
      </c>
    </row>
    <row r="16" spans="1:40" ht="15" customHeight="1" x14ac:dyDescent="0.35">
      <c r="A16" s="230" t="str">
        <f>'VAL 2 TRIM'!E$8</f>
        <v>8/7/2021 (defensa de algoritmo DES)</v>
      </c>
      <c r="B16" s="231"/>
      <c r="C16" s="231"/>
      <c r="D16" s="231"/>
      <c r="E16" s="231"/>
      <c r="F16" s="231"/>
      <c r="G16" s="231"/>
      <c r="H16" s="231"/>
      <c r="I16" s="232">
        <f>VLOOKUP($F$5,'VAL 2 TRIM'!$B$9:$Z$32,4,FALSE)</f>
        <v>18</v>
      </c>
      <c r="J16" s="232"/>
      <c r="K16" s="240"/>
      <c r="L16" s="250"/>
      <c r="M16" s="250"/>
      <c r="N16" s="250"/>
      <c r="O16" s="250"/>
      <c r="P16" s="250"/>
      <c r="Q16" s="250"/>
      <c r="R16" s="250"/>
      <c r="S16" s="250"/>
      <c r="T16" s="250"/>
      <c r="U16" s="250"/>
      <c r="V16" s="250"/>
      <c r="W16" s="250"/>
      <c r="X16" s="250"/>
      <c r="Y16" s="250"/>
      <c r="Z16" s="250"/>
      <c r="AA16" s="250"/>
      <c r="AB16" s="250"/>
      <c r="AC16" s="176">
        <f t="shared" ref="AC16:AC17" si="1">IF(I16=0,1,0)</f>
        <v>0</v>
      </c>
      <c r="AD16" s="177">
        <v>1</v>
      </c>
      <c r="AE16" s="177">
        <v>1</v>
      </c>
    </row>
    <row r="17" spans="1:31" ht="15" customHeight="1" x14ac:dyDescent="0.35">
      <c r="A17" s="230" t="str">
        <f>'VAL 2 TRIM'!F$8</f>
        <v>22/07/2021 (defensa de cambio de base)</v>
      </c>
      <c r="B17" s="231"/>
      <c r="C17" s="231"/>
      <c r="D17" s="231"/>
      <c r="E17" s="231"/>
      <c r="F17" s="231"/>
      <c r="G17" s="231"/>
      <c r="H17" s="231"/>
      <c r="I17" s="232">
        <f>VLOOKUP($F$5,'VAL 2 TRIM'!$B$9:$Z$32,5,FALSE)</f>
        <v>18</v>
      </c>
      <c r="J17" s="232"/>
      <c r="K17" s="240"/>
      <c r="L17" s="241"/>
      <c r="M17" s="241"/>
      <c r="N17" s="241"/>
      <c r="O17" s="241"/>
      <c r="P17" s="241"/>
      <c r="Q17" s="241"/>
      <c r="R17" s="241"/>
      <c r="S17" s="241"/>
      <c r="T17" s="241"/>
      <c r="U17" s="241"/>
      <c r="V17" s="241"/>
      <c r="W17" s="241"/>
      <c r="X17" s="241"/>
      <c r="Y17" s="241"/>
      <c r="Z17" s="241"/>
      <c r="AA17" s="241"/>
      <c r="AB17" s="241"/>
      <c r="AC17" s="176">
        <f t="shared" si="1"/>
        <v>0</v>
      </c>
      <c r="AD17" s="177">
        <v>1</v>
      </c>
      <c r="AE17" s="178"/>
    </row>
    <row r="18" spans="1:31" ht="15" customHeight="1" x14ac:dyDescent="0.35">
      <c r="A18" s="253" t="s">
        <v>83</v>
      </c>
      <c r="B18" s="252"/>
      <c r="C18" s="252"/>
      <c r="D18" s="252"/>
      <c r="E18" s="252"/>
      <c r="F18" s="252"/>
      <c r="G18" s="252"/>
      <c r="H18" s="252"/>
      <c r="I18" s="254">
        <f>SUM(I15:J17)/3</f>
        <v>18</v>
      </c>
      <c r="J18" s="254"/>
      <c r="K18" s="232"/>
      <c r="L18" s="232"/>
      <c r="M18" s="232"/>
      <c r="N18" s="232"/>
      <c r="O18" s="232"/>
      <c r="P18" s="232"/>
      <c r="Q18" s="232"/>
      <c r="R18" s="232"/>
      <c r="S18" s="232"/>
      <c r="T18" s="232"/>
      <c r="U18" s="232"/>
      <c r="V18" s="232"/>
      <c r="W18" s="232"/>
      <c r="X18" s="232"/>
      <c r="Y18" s="232"/>
      <c r="Z18" s="232"/>
      <c r="AA18" s="232"/>
      <c r="AB18" s="232"/>
      <c r="AC18" s="176">
        <f>SUM(AC15:AC17)</f>
        <v>0</v>
      </c>
      <c r="AD18" s="178"/>
      <c r="AE18" s="178"/>
    </row>
    <row r="19" spans="1:31" ht="15" customHeight="1" x14ac:dyDescent="0.35">
      <c r="A19" s="167"/>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8"/>
      <c r="AD19" s="168"/>
      <c r="AE19" s="168"/>
    </row>
    <row r="20" spans="1:31" ht="15" customHeight="1" x14ac:dyDescent="0.35">
      <c r="A20" s="249" t="s">
        <v>237</v>
      </c>
      <c r="B20" s="249"/>
      <c r="C20" s="249"/>
      <c r="D20" s="249"/>
      <c r="E20" s="249"/>
      <c r="F20" s="249"/>
      <c r="G20" s="249"/>
      <c r="H20" s="249"/>
      <c r="I20" s="249"/>
      <c r="J20" s="249"/>
      <c r="K20" s="249"/>
      <c r="L20" s="249"/>
      <c r="M20" s="249"/>
      <c r="N20" s="249"/>
      <c r="O20" s="249"/>
      <c r="P20" s="249"/>
      <c r="Q20" s="249"/>
      <c r="R20" s="249"/>
      <c r="S20" s="249"/>
      <c r="T20" s="249"/>
      <c r="U20" s="249"/>
      <c r="V20" s="249"/>
      <c r="W20" s="249"/>
      <c r="X20" s="249"/>
      <c r="Y20" s="249"/>
      <c r="Z20" s="249"/>
      <c r="AA20" s="249"/>
      <c r="AB20" s="249"/>
      <c r="AC20" s="168"/>
      <c r="AD20" s="168"/>
      <c r="AE20" s="168"/>
    </row>
    <row r="21" spans="1:31" ht="15" customHeight="1" x14ac:dyDescent="0.35">
      <c r="A21" s="249" t="s">
        <v>234</v>
      </c>
      <c r="B21" s="249"/>
      <c r="C21" s="249"/>
      <c r="D21" s="249"/>
      <c r="E21" s="249"/>
      <c r="F21" s="249"/>
      <c r="G21" s="249"/>
      <c r="H21" s="249"/>
      <c r="I21" s="249" t="s">
        <v>235</v>
      </c>
      <c r="J21" s="249"/>
      <c r="K21" s="249" t="s">
        <v>236</v>
      </c>
      <c r="L21" s="249"/>
      <c r="M21" s="249"/>
      <c r="N21" s="249"/>
      <c r="O21" s="249"/>
      <c r="P21" s="249"/>
      <c r="Q21" s="249"/>
      <c r="R21" s="249"/>
      <c r="S21" s="249"/>
      <c r="T21" s="249"/>
      <c r="U21" s="249"/>
      <c r="V21" s="249"/>
      <c r="W21" s="249"/>
      <c r="X21" s="249"/>
      <c r="Y21" s="249"/>
      <c r="Z21" s="249"/>
      <c r="AA21" s="249"/>
      <c r="AB21" s="249"/>
      <c r="AC21" s="168"/>
      <c r="AD21" s="168"/>
      <c r="AE21" s="168"/>
    </row>
    <row r="22" spans="1:31" ht="15" customHeight="1" x14ac:dyDescent="0.35">
      <c r="A22" s="252" t="str">
        <f>'VAL 2 TRIM'!P$8</f>
        <v>20/05/2021(Practica Virus)</v>
      </c>
      <c r="B22" s="252"/>
      <c r="C22" s="252"/>
      <c r="D22" s="252"/>
      <c r="E22" s="252"/>
      <c r="F22" s="252"/>
      <c r="G22" s="252"/>
      <c r="H22" s="252"/>
      <c r="I22" s="232">
        <f>VLOOKUP($F$5,'VAL 2 TRIM'!$B$9:$Z$32,15,FALSE)</f>
        <v>10</v>
      </c>
      <c r="J22" s="232"/>
      <c r="K22" s="240" t="s">
        <v>241</v>
      </c>
      <c r="L22" s="250"/>
      <c r="M22" s="250"/>
      <c r="N22" s="250"/>
      <c r="O22" s="250"/>
      <c r="P22" s="250"/>
      <c r="Q22" s="250"/>
      <c r="R22" s="250"/>
      <c r="S22" s="250"/>
      <c r="T22" s="250"/>
      <c r="U22" s="250"/>
      <c r="V22" s="250"/>
      <c r="W22" s="250"/>
      <c r="X22" s="250"/>
      <c r="Y22" s="250"/>
      <c r="Z22" s="250"/>
      <c r="AA22" s="250"/>
      <c r="AB22" s="250"/>
      <c r="AC22" s="176">
        <f>IF(I22=0,1,0)</f>
        <v>0</v>
      </c>
      <c r="AD22" s="178">
        <v>1</v>
      </c>
      <c r="AE22" s="178">
        <v>1</v>
      </c>
    </row>
    <row r="23" spans="1:31" ht="15" customHeight="1" x14ac:dyDescent="0.35">
      <c r="A23" s="252" t="str">
        <f>'VAL 2 TRIM'!Q$8</f>
        <v>01/07/2021 (encriptación DES)</v>
      </c>
      <c r="B23" s="252"/>
      <c r="C23" s="252"/>
      <c r="D23" s="252"/>
      <c r="E23" s="252"/>
      <c r="F23" s="252"/>
      <c r="G23" s="252"/>
      <c r="H23" s="252"/>
      <c r="I23" s="232">
        <f>VLOOKUP($F$5,'VAL 2 TRIM'!$B$9:$Z$32,16,FALSE)</f>
        <v>10</v>
      </c>
      <c r="J23" s="232"/>
      <c r="K23" s="240" t="s">
        <v>246</v>
      </c>
      <c r="L23" s="250"/>
      <c r="M23" s="250"/>
      <c r="N23" s="250"/>
      <c r="O23" s="250"/>
      <c r="P23" s="250"/>
      <c r="Q23" s="250"/>
      <c r="R23" s="250"/>
      <c r="S23" s="250"/>
      <c r="T23" s="250"/>
      <c r="U23" s="250"/>
      <c r="V23" s="250"/>
      <c r="W23" s="250"/>
      <c r="X23" s="250"/>
      <c r="Y23" s="250"/>
      <c r="Z23" s="250"/>
      <c r="AA23" s="250"/>
      <c r="AB23" s="250"/>
      <c r="AC23" s="176">
        <f t="shared" ref="AC23:AC25" si="2">IF(I23=0,1,0)</f>
        <v>0</v>
      </c>
      <c r="AD23" s="178">
        <v>1</v>
      </c>
      <c r="AE23" s="178">
        <v>1</v>
      </c>
    </row>
    <row r="24" spans="1:31" ht="15" customHeight="1" x14ac:dyDescent="0.35">
      <c r="A24" s="252" t="str">
        <f>'VAL 2 TRIM'!R$8</f>
        <v>15/7/2021 (Binario a Letra)</v>
      </c>
      <c r="B24" s="252"/>
      <c r="C24" s="252"/>
      <c r="D24" s="252"/>
      <c r="E24" s="252"/>
      <c r="F24" s="252"/>
      <c r="G24" s="252"/>
      <c r="H24" s="252"/>
      <c r="I24" s="232">
        <f>VLOOKUP($F$5,'VAL 2 TRIM'!$B$9:$Z$32,17,FALSE)</f>
        <v>10</v>
      </c>
      <c r="J24" s="232"/>
      <c r="K24" s="240" t="s">
        <v>248</v>
      </c>
      <c r="L24" s="250"/>
      <c r="M24" s="250"/>
      <c r="N24" s="250"/>
      <c r="O24" s="250"/>
      <c r="P24" s="250"/>
      <c r="Q24" s="250"/>
      <c r="R24" s="250"/>
      <c r="S24" s="250"/>
      <c r="T24" s="250"/>
      <c r="U24" s="250"/>
      <c r="V24" s="250"/>
      <c r="W24" s="250"/>
      <c r="X24" s="250"/>
      <c r="Y24" s="250"/>
      <c r="Z24" s="250"/>
      <c r="AA24" s="250"/>
      <c r="AB24" s="250"/>
      <c r="AC24" s="176">
        <f t="shared" si="2"/>
        <v>0</v>
      </c>
      <c r="AD24" s="176">
        <v>1</v>
      </c>
      <c r="AE24" s="178">
        <v>1</v>
      </c>
    </row>
    <row r="25" spans="1:31" ht="15" customHeight="1" x14ac:dyDescent="0.35">
      <c r="A25" s="258" t="str">
        <f>'VAL 2 TRIM'!S$8</f>
        <v>05/08/2021 (Cifrado Feistel)</v>
      </c>
      <c r="B25" s="252"/>
      <c r="C25" s="252"/>
      <c r="D25" s="252"/>
      <c r="E25" s="252"/>
      <c r="F25" s="252"/>
      <c r="G25" s="252"/>
      <c r="H25" s="252"/>
      <c r="I25" s="232">
        <f>VLOOKUP($F$5,'VAL 2 TRIM'!$B$9:$Z$32,18,FALSE)</f>
        <v>15</v>
      </c>
      <c r="J25" s="232"/>
      <c r="K25" s="240" t="s">
        <v>250</v>
      </c>
      <c r="L25" s="241"/>
      <c r="M25" s="241"/>
      <c r="N25" s="241"/>
      <c r="O25" s="241"/>
      <c r="P25" s="241"/>
      <c r="Q25" s="241"/>
      <c r="R25" s="241"/>
      <c r="S25" s="241"/>
      <c r="T25" s="241"/>
      <c r="U25" s="241"/>
      <c r="V25" s="241"/>
      <c r="W25" s="241"/>
      <c r="X25" s="241"/>
      <c r="Y25" s="241"/>
      <c r="Z25" s="241"/>
      <c r="AA25" s="241"/>
      <c r="AB25" s="241"/>
      <c r="AC25" s="176">
        <f t="shared" si="2"/>
        <v>0</v>
      </c>
      <c r="AD25" s="176">
        <v>1</v>
      </c>
      <c r="AE25" s="178"/>
    </row>
    <row r="26" spans="1:31" ht="15" customHeight="1" x14ac:dyDescent="0.35">
      <c r="A26" s="253" t="s">
        <v>83</v>
      </c>
      <c r="B26" s="252"/>
      <c r="C26" s="252"/>
      <c r="D26" s="252"/>
      <c r="E26" s="252"/>
      <c r="F26" s="252"/>
      <c r="G26" s="252"/>
      <c r="H26" s="252"/>
      <c r="I26" s="254">
        <f>SUM(I22:J25)/4</f>
        <v>11.25</v>
      </c>
      <c r="J26" s="254"/>
      <c r="K26" s="257"/>
      <c r="L26" s="257"/>
      <c r="M26" s="257"/>
      <c r="N26" s="257"/>
      <c r="O26" s="257"/>
      <c r="P26" s="257"/>
      <c r="Q26" s="257"/>
      <c r="R26" s="257"/>
      <c r="S26" s="257"/>
      <c r="T26" s="257"/>
      <c r="U26" s="257"/>
      <c r="V26" s="257"/>
      <c r="W26" s="257"/>
      <c r="X26" s="257"/>
      <c r="Y26" s="257"/>
      <c r="Z26" s="257"/>
      <c r="AA26" s="257"/>
      <c r="AB26" s="257"/>
      <c r="AC26" s="176">
        <f>SUM(AC22:AC25)</f>
        <v>0</v>
      </c>
      <c r="AD26" s="179">
        <f>SUM(AD15:AD25)</f>
        <v>7</v>
      </c>
      <c r="AE26" s="168"/>
    </row>
    <row r="27" spans="1:31" x14ac:dyDescent="0.35">
      <c r="A27" s="255"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 Ninguna</v>
      </c>
      <c r="B27" s="255"/>
      <c r="C27" s="255"/>
      <c r="D27" s="255"/>
      <c r="E27" s="255"/>
      <c r="F27" s="255"/>
      <c r="G27" s="255"/>
      <c r="H27" s="255"/>
      <c r="I27" s="255"/>
      <c r="J27" s="255"/>
      <c r="K27" s="255"/>
      <c r="L27" s="255"/>
      <c r="M27" s="255"/>
      <c r="N27" s="255"/>
      <c r="O27" s="255"/>
      <c r="P27" s="255"/>
      <c r="Q27" s="255"/>
      <c r="R27" s="255"/>
      <c r="S27" s="255"/>
      <c r="T27" s="255"/>
      <c r="U27" s="255"/>
      <c r="V27" s="255"/>
      <c r="W27" s="255"/>
      <c r="X27" s="255"/>
      <c r="Y27" s="255"/>
      <c r="Z27" s="255"/>
      <c r="AA27" s="255"/>
      <c r="AB27" s="255"/>
      <c r="AC27" s="176">
        <f>AC18+AC26</f>
        <v>0</v>
      </c>
      <c r="AD27" s="168"/>
      <c r="AE27" s="168"/>
    </row>
    <row r="28" spans="1:3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row>
    <row r="29" spans="1:31" x14ac:dyDescent="0.35">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row>
    <row r="30" spans="1:31" x14ac:dyDescent="0.35">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row>
    <row r="31" spans="1:31" x14ac:dyDescent="0.35">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row>
    <row r="32" spans="1:31" x14ac:dyDescent="0.35">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row>
    <row r="33" spans="1:28" x14ac:dyDescent="0.35">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row>
  </sheetData>
  <mergeCells count="48">
    <mergeCell ref="A27:AB28"/>
    <mergeCell ref="A26:H26"/>
    <mergeCell ref="I26:J26"/>
    <mergeCell ref="K26:AB26"/>
    <mergeCell ref="A24:H24"/>
    <mergeCell ref="I24:J24"/>
    <mergeCell ref="K24:AB24"/>
    <mergeCell ref="A25:H25"/>
    <mergeCell ref="I25:J25"/>
    <mergeCell ref="K25:AB25"/>
    <mergeCell ref="A23:H23"/>
    <mergeCell ref="I23:J23"/>
    <mergeCell ref="K23:AB23"/>
    <mergeCell ref="A18:H18"/>
    <mergeCell ref="I18:J18"/>
    <mergeCell ref="K18:AB18"/>
    <mergeCell ref="A20:AB20"/>
    <mergeCell ref="A21:H21"/>
    <mergeCell ref="I21:J21"/>
    <mergeCell ref="K21:AB21"/>
    <mergeCell ref="A22:H22"/>
    <mergeCell ref="I22:J22"/>
    <mergeCell ref="K22:AB22"/>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8:AB8"/>
    <mergeCell ref="A15:H15"/>
    <mergeCell ref="I15:J15"/>
    <mergeCell ref="A16:H16"/>
    <mergeCell ref="I16:J16"/>
    <mergeCell ref="A2:AB2"/>
    <mergeCell ref="A4:E4"/>
    <mergeCell ref="F4:N4"/>
    <mergeCell ref="O4:Q4"/>
    <mergeCell ref="R4:Z4"/>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C16" sqref="C16"/>
    </sheetView>
  </sheetViews>
  <sheetFormatPr baseColWidth="10" defaultColWidth="9.19921875" defaultRowHeight="15" customHeight="1" x14ac:dyDescent="0.35"/>
  <cols>
    <col min="1" max="1" width="1.6640625" customWidth="1"/>
    <col min="2" max="2" width="20.6640625" customWidth="1"/>
    <col min="3" max="52" width="1.19921875" customWidth="1"/>
    <col min="53" max="57" width="1.3984375" customWidth="1"/>
    <col min="58" max="61" width="1.6640625" customWidth="1"/>
  </cols>
  <sheetData>
    <row r="1" spans="1:61" ht="4.5" customHeight="1" x14ac:dyDescent="0.35"/>
    <row r="2" spans="1:61" ht="12.75" customHeight="1" x14ac:dyDescent="0.35">
      <c r="B2" s="215" t="s">
        <v>73</v>
      </c>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16">
        <f>CARÁTULA!$H$24</f>
        <v>44440</v>
      </c>
      <c r="AU3" s="211"/>
      <c r="AV3" s="211"/>
      <c r="AW3" s="211"/>
      <c r="AX3" s="211"/>
      <c r="AY3" s="211"/>
      <c r="AZ3" s="211"/>
      <c r="BA3" s="259"/>
      <c r="BB3" s="211"/>
      <c r="BC3" s="211"/>
      <c r="BD3" s="211"/>
      <c r="BE3" s="21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6">
        <f>CARÁTULA!$J$24</f>
        <v>44531</v>
      </c>
      <c r="AU4" s="211"/>
      <c r="AV4" s="211"/>
      <c r="AW4" s="211"/>
      <c r="AX4" s="211"/>
      <c r="AY4" s="211"/>
      <c r="AZ4" s="211"/>
      <c r="BA4" s="260">
        <f ca="1">AT4-AT5</f>
        <v>71</v>
      </c>
      <c r="BB4" s="221"/>
      <c r="BC4" s="221"/>
      <c r="BD4" s="221"/>
      <c r="BE4" s="222"/>
    </row>
    <row r="5" spans="1:61" ht="12.75" customHeight="1" x14ac:dyDescent="0.35">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29">
        <f ca="1">TODAY()</f>
        <v>44460</v>
      </c>
      <c r="Y5" s="211"/>
      <c r="Z5" s="211"/>
      <c r="AA5" s="211"/>
      <c r="AB5" s="211"/>
      <c r="AC5" s="211"/>
      <c r="AD5" s="40"/>
      <c r="AE5" s="40"/>
      <c r="AF5" s="40"/>
      <c r="AG5" s="40"/>
      <c r="AH5" s="40"/>
      <c r="AI5" s="40"/>
      <c r="AJ5" s="40"/>
      <c r="AK5" s="45" t="s">
        <v>54</v>
      </c>
      <c r="AL5" s="46"/>
      <c r="AM5" s="46"/>
      <c r="AN5" s="46"/>
      <c r="AO5" s="46"/>
      <c r="AP5" s="46"/>
      <c r="AQ5" s="46"/>
      <c r="AR5" s="40"/>
      <c r="AS5" s="40"/>
      <c r="AT5" s="227">
        <f ca="1">TODAY()</f>
        <v>44460</v>
      </c>
      <c r="AU5" s="211"/>
      <c r="AV5" s="211"/>
      <c r="AW5" s="211"/>
      <c r="AX5" s="211"/>
      <c r="AY5" s="211"/>
      <c r="AZ5" s="211"/>
      <c r="BA5" s="223"/>
      <c r="BB5" s="224"/>
      <c r="BC5" s="224"/>
      <c r="BD5" s="224"/>
      <c r="BE5" s="225"/>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5">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5">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5">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5">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5">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5">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5">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5">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5">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5">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5">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5">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5">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5">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5">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5">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5">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5">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5">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5">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5">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5">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5">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5">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5">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5">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5">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5">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5">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5">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5">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5">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5">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5">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5">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5">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80" t="s">
        <v>78</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78" t="s">
        <v>50</v>
      </c>
      <c r="AD3" s="262"/>
      <c r="AE3" s="262"/>
      <c r="AF3" s="262"/>
      <c r="AG3" s="262"/>
      <c r="AH3" s="263"/>
      <c r="AI3" s="229">
        <f>CARÁTULA!$H$14</f>
        <v>44228</v>
      </c>
      <c r="AJ3" s="211"/>
      <c r="AK3" s="211"/>
      <c r="AL3" s="211"/>
      <c r="AM3" s="211"/>
      <c r="AN3" s="281" t="s">
        <v>51</v>
      </c>
      <c r="AO3" s="202"/>
      <c r="AP3" s="202"/>
      <c r="AQ3" s="202"/>
      <c r="AR3" s="203"/>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8" t="s">
        <v>53</v>
      </c>
      <c r="AD4" s="262"/>
      <c r="AE4" s="262"/>
      <c r="AF4" s="262"/>
      <c r="AG4" s="262"/>
      <c r="AH4" s="263"/>
      <c r="AI4" s="229">
        <f>CARÁTULA!$J$14</f>
        <v>44323</v>
      </c>
      <c r="AJ4" s="211"/>
      <c r="AK4" s="211"/>
      <c r="AL4" s="211"/>
      <c r="AM4" s="211"/>
      <c r="AN4" s="260">
        <f ca="1">AI4-AI5</f>
        <v>-137</v>
      </c>
      <c r="AO4" s="221"/>
      <c r="AP4" s="221"/>
      <c r="AQ4" s="221"/>
      <c r="AR4" s="222"/>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74">
        <f ca="1">TODAY()</f>
        <v>44460</v>
      </c>
      <c r="T5" s="202"/>
      <c r="U5" s="202"/>
      <c r="V5" s="202"/>
      <c r="W5" s="202"/>
      <c r="X5" s="202"/>
      <c r="Y5" s="202"/>
      <c r="Z5" s="202"/>
      <c r="AA5" s="203"/>
      <c r="AB5" s="76"/>
      <c r="AC5" s="279" t="s">
        <v>54</v>
      </c>
      <c r="AD5" s="262"/>
      <c r="AE5" s="262"/>
      <c r="AF5" s="262"/>
      <c r="AG5" s="262"/>
      <c r="AH5" s="263"/>
      <c r="AI5" s="282">
        <f ca="1">TODAY()</f>
        <v>44460</v>
      </c>
      <c r="AJ5" s="211"/>
      <c r="AK5" s="211"/>
      <c r="AL5" s="211"/>
      <c r="AM5" s="211"/>
      <c r="AN5" s="223"/>
      <c r="AO5" s="224"/>
      <c r="AP5" s="224"/>
      <c r="AQ5" s="224"/>
      <c r="AR5" s="225"/>
    </row>
    <row r="6" spans="1:48" ht="12.75" customHeight="1" x14ac:dyDescent="0.4">
      <c r="A6" s="71"/>
      <c r="B6" s="74"/>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5" t="s">
        <v>80</v>
      </c>
      <c r="AC6" s="262"/>
      <c r="AD6" s="262"/>
      <c r="AE6" s="263"/>
      <c r="AF6" s="80"/>
      <c r="AG6" s="81"/>
      <c r="AH6" s="81"/>
      <c r="AI6" s="82"/>
      <c r="AJ6" s="83"/>
      <c r="AK6" s="83"/>
      <c r="AL6" s="83"/>
      <c r="AM6" s="83"/>
      <c r="AN6" s="84"/>
      <c r="AO6" s="84"/>
      <c r="AP6" s="84"/>
      <c r="AQ6" s="84"/>
      <c r="AR6" s="84"/>
    </row>
    <row r="7" spans="1:48" ht="12" customHeight="1" x14ac:dyDescent="0.4">
      <c r="A7" s="71"/>
      <c r="B7" s="85"/>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18"/>
      <c r="AJ7" s="218"/>
      <c r="AK7" s="218"/>
      <c r="AL7" s="218"/>
      <c r="AM7" s="219"/>
      <c r="AN7" s="86"/>
      <c r="AO7" s="76"/>
      <c r="AP7" s="76"/>
      <c r="AQ7" s="76"/>
      <c r="AR7" s="71"/>
    </row>
    <row r="8" spans="1:48" ht="150.6" x14ac:dyDescent="0.35">
      <c r="A8" s="48" t="s">
        <v>55</v>
      </c>
      <c r="B8" s="49" t="s">
        <v>56</v>
      </c>
      <c r="C8" s="266"/>
      <c r="D8" s="87" t="s">
        <v>91</v>
      </c>
      <c r="E8" s="87" t="s">
        <v>92</v>
      </c>
      <c r="F8" s="87" t="s">
        <v>93</v>
      </c>
      <c r="G8" s="87" t="s">
        <v>94</v>
      </c>
      <c r="H8" s="87" t="s">
        <v>95</v>
      </c>
      <c r="I8" s="53"/>
      <c r="J8" s="53"/>
      <c r="K8" s="54"/>
      <c r="L8" s="54"/>
      <c r="M8" s="54"/>
      <c r="N8" s="55"/>
      <c r="O8" s="266"/>
      <c r="P8" s="87" t="s">
        <v>96</v>
      </c>
      <c r="Q8" s="87" t="s">
        <v>97</v>
      </c>
      <c r="R8" s="87" t="s">
        <v>98</v>
      </c>
      <c r="S8" s="87" t="s">
        <v>99</v>
      </c>
      <c r="T8" s="87" t="s">
        <v>100</v>
      </c>
      <c r="U8" s="87"/>
      <c r="V8" s="54"/>
      <c r="W8" s="54"/>
      <c r="X8" s="54"/>
      <c r="Y8" s="54"/>
      <c r="Z8" s="54"/>
      <c r="AA8" s="266"/>
      <c r="AB8" s="266"/>
      <c r="AC8" s="266"/>
      <c r="AD8" s="266"/>
      <c r="AE8" s="266"/>
      <c r="AF8" s="266"/>
      <c r="AG8" s="266"/>
      <c r="AH8" s="269"/>
      <c r="AI8" s="270"/>
      <c r="AJ8" s="270"/>
      <c r="AK8" s="270"/>
      <c r="AL8" s="270"/>
      <c r="AM8" s="271"/>
      <c r="AN8" s="88"/>
      <c r="AO8" s="88"/>
      <c r="AP8" s="88"/>
      <c r="AQ8" s="88"/>
      <c r="AR8" s="89"/>
    </row>
    <row r="9" spans="1:48" ht="12" customHeight="1" x14ac:dyDescent="0.35">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61" t="str">
        <f t="shared" ref="AH9:AH44" si="5">IF(AG9="","",(IF(AND(AG9&gt;=1,AG9&lt;=50.499),"REPROBADO",IF(AND(AG9&gt;=50.5,AG9&lt;=100),"APROBADO"))))</f>
        <v>APROBADO</v>
      </c>
      <c r="AI9" s="262"/>
      <c r="AJ9" s="262"/>
      <c r="AK9" s="262"/>
      <c r="AL9" s="262"/>
      <c r="AM9" s="263"/>
      <c r="AN9" s="94" t="s">
        <v>101</v>
      </c>
      <c r="AO9" s="264">
        <f>COUNTIF(AF9:AF44,"ED")</f>
        <v>1</v>
      </c>
      <c r="AP9" s="263"/>
      <c r="AQ9" s="95"/>
      <c r="AR9" s="95"/>
    </row>
    <row r="10" spans="1:48" ht="12" customHeight="1" x14ac:dyDescent="0.35">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61" t="str">
        <f t="shared" si="5"/>
        <v>APROBADO</v>
      </c>
      <c r="AI10" s="262"/>
      <c r="AJ10" s="262"/>
      <c r="AK10" s="262"/>
      <c r="AL10" s="262"/>
      <c r="AM10" s="263"/>
      <c r="AN10" s="48" t="s">
        <v>102</v>
      </c>
      <c r="AO10" s="264">
        <f>COUNTIF(AF9:AF44,"DA")</f>
        <v>0</v>
      </c>
      <c r="AP10" s="263"/>
      <c r="AQ10" s="95"/>
      <c r="AR10" s="95"/>
    </row>
    <row r="11" spans="1:48" ht="12" customHeight="1" x14ac:dyDescent="0.35">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61" t="str">
        <f t="shared" si="5"/>
        <v>APROBADO</v>
      </c>
      <c r="AI11" s="262"/>
      <c r="AJ11" s="262"/>
      <c r="AK11" s="262"/>
      <c r="AL11" s="262"/>
      <c r="AM11" s="263"/>
      <c r="AN11" s="48" t="s">
        <v>103</v>
      </c>
      <c r="AO11" s="264">
        <f>COUNTIF(AF9:AF44,"DO")</f>
        <v>0</v>
      </c>
      <c r="AP11" s="263"/>
      <c r="AQ11" s="95"/>
      <c r="AR11" s="95"/>
    </row>
    <row r="12" spans="1:48" ht="12" customHeight="1" x14ac:dyDescent="0.35">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61" t="str">
        <f t="shared" si="5"/>
        <v>REPROBADO</v>
      </c>
      <c r="AI12" s="262"/>
      <c r="AJ12" s="262"/>
      <c r="AK12" s="262"/>
      <c r="AL12" s="262"/>
      <c r="AM12" s="263"/>
      <c r="AN12" s="48" t="s">
        <v>104</v>
      </c>
      <c r="AO12" s="264">
        <f>COUNTIF(AF9:AF44,"DP")</f>
        <v>35</v>
      </c>
      <c r="AP12" s="263"/>
      <c r="AQ12" s="95"/>
      <c r="AR12" s="95"/>
    </row>
    <row r="13" spans="1:48" ht="12" customHeight="1" x14ac:dyDescent="0.35">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61" t="str">
        <f t="shared" si="5"/>
        <v>APROBADO</v>
      </c>
      <c r="AI13" s="262"/>
      <c r="AJ13" s="262"/>
      <c r="AK13" s="262"/>
      <c r="AL13" s="262"/>
      <c r="AM13" s="263"/>
      <c r="AN13" s="95"/>
      <c r="AO13" s="95"/>
      <c r="AP13" s="95"/>
      <c r="AQ13" s="95"/>
      <c r="AR13" s="95"/>
    </row>
    <row r="14" spans="1:48" ht="12" customHeight="1" x14ac:dyDescent="0.35">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61" t="str">
        <f t="shared" si="5"/>
        <v>APROBADO</v>
      </c>
      <c r="AI14" s="262"/>
      <c r="AJ14" s="262"/>
      <c r="AK14" s="262"/>
      <c r="AL14" s="262"/>
      <c r="AM14" s="263"/>
      <c r="AN14" s="95"/>
      <c r="AO14" s="95"/>
      <c r="AP14" s="95"/>
      <c r="AQ14" s="95"/>
      <c r="AR14" s="95"/>
    </row>
    <row r="15" spans="1:48" ht="12" customHeight="1" x14ac:dyDescent="0.35">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61" t="str">
        <f t="shared" si="5"/>
        <v>APROBADO</v>
      </c>
      <c r="AI15" s="262"/>
      <c r="AJ15" s="262"/>
      <c r="AK15" s="262"/>
      <c r="AL15" s="262"/>
      <c r="AM15" s="263"/>
      <c r="AN15" s="95"/>
      <c r="AO15" s="95"/>
      <c r="AP15" s="95"/>
      <c r="AQ15" s="95"/>
      <c r="AR15" s="95"/>
    </row>
    <row r="16" spans="1:48" ht="12" customHeight="1" x14ac:dyDescent="0.35">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61" t="str">
        <f t="shared" si="5"/>
        <v>APROBADO</v>
      </c>
      <c r="AI16" s="262"/>
      <c r="AJ16" s="262"/>
      <c r="AK16" s="262"/>
      <c r="AL16" s="262"/>
      <c r="AM16" s="263"/>
      <c r="AN16" s="95"/>
      <c r="AO16" s="95"/>
      <c r="AP16" s="95"/>
      <c r="AQ16" s="95"/>
      <c r="AR16" s="95"/>
    </row>
    <row r="17" spans="1:44" ht="12" customHeight="1" x14ac:dyDescent="0.35">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61" t="str">
        <f t="shared" si="5"/>
        <v>APROBADO</v>
      </c>
      <c r="AI17" s="262"/>
      <c r="AJ17" s="262"/>
      <c r="AK17" s="262"/>
      <c r="AL17" s="262"/>
      <c r="AM17" s="263"/>
      <c r="AN17" s="95"/>
      <c r="AO17" s="95"/>
      <c r="AP17" s="95"/>
      <c r="AQ17" s="95"/>
      <c r="AR17" s="95"/>
    </row>
    <row r="18" spans="1:44" ht="12" customHeight="1" x14ac:dyDescent="0.35">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61" t="str">
        <f t="shared" si="5"/>
        <v>APROBADO</v>
      </c>
      <c r="AI18" s="262"/>
      <c r="AJ18" s="262"/>
      <c r="AK18" s="262"/>
      <c r="AL18" s="262"/>
      <c r="AM18" s="263"/>
      <c r="AN18" s="95"/>
      <c r="AO18" s="95"/>
      <c r="AP18" s="95"/>
      <c r="AQ18" s="95"/>
      <c r="AR18" s="95"/>
    </row>
    <row r="19" spans="1:44" ht="12" customHeight="1" x14ac:dyDescent="0.35">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61" t="str">
        <f t="shared" si="5"/>
        <v>APROBADO</v>
      </c>
      <c r="AI19" s="262"/>
      <c r="AJ19" s="262"/>
      <c r="AK19" s="262"/>
      <c r="AL19" s="262"/>
      <c r="AM19" s="263"/>
      <c r="AN19" s="95"/>
      <c r="AO19" s="95"/>
      <c r="AP19" s="95"/>
      <c r="AQ19" s="95"/>
      <c r="AR19" s="95"/>
    </row>
    <row r="20" spans="1:44" ht="12" customHeight="1" x14ac:dyDescent="0.35">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61" t="str">
        <f t="shared" si="5"/>
        <v>APROBADO</v>
      </c>
      <c r="AI20" s="262"/>
      <c r="AJ20" s="262"/>
      <c r="AK20" s="262"/>
      <c r="AL20" s="262"/>
      <c r="AM20" s="263"/>
      <c r="AN20" s="95"/>
      <c r="AO20" s="95"/>
      <c r="AP20" s="95"/>
      <c r="AQ20" s="95"/>
      <c r="AR20" s="95"/>
    </row>
    <row r="21" spans="1:44" ht="12" customHeight="1" x14ac:dyDescent="0.35">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61" t="str">
        <f t="shared" si="5"/>
        <v>APROBADO</v>
      </c>
      <c r="AI21" s="262"/>
      <c r="AJ21" s="262"/>
      <c r="AK21" s="262"/>
      <c r="AL21" s="262"/>
      <c r="AM21" s="263"/>
      <c r="AN21" s="95"/>
      <c r="AO21" s="95"/>
      <c r="AP21" s="95"/>
      <c r="AQ21" s="95"/>
      <c r="AR21" s="95"/>
    </row>
    <row r="22" spans="1:44" ht="12" customHeight="1" x14ac:dyDescent="0.35">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61" t="str">
        <f t="shared" si="5"/>
        <v>APROBADO</v>
      </c>
      <c r="AI22" s="262"/>
      <c r="AJ22" s="262"/>
      <c r="AK22" s="262"/>
      <c r="AL22" s="262"/>
      <c r="AM22" s="263"/>
      <c r="AN22" s="95"/>
      <c r="AO22" s="95"/>
      <c r="AP22" s="95"/>
      <c r="AQ22" s="95"/>
      <c r="AR22" s="95"/>
    </row>
    <row r="23" spans="1:44" ht="12" customHeight="1" x14ac:dyDescent="0.35">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61" t="str">
        <f t="shared" si="5"/>
        <v>APROBADO</v>
      </c>
      <c r="AI23" s="262"/>
      <c r="AJ23" s="262"/>
      <c r="AK23" s="262"/>
      <c r="AL23" s="262"/>
      <c r="AM23" s="263"/>
      <c r="AN23" s="95"/>
      <c r="AO23" s="95"/>
      <c r="AP23" s="95"/>
      <c r="AQ23" s="95"/>
      <c r="AR23" s="95"/>
    </row>
    <row r="24" spans="1:44" ht="12" customHeight="1" x14ac:dyDescent="0.35">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61" t="str">
        <f t="shared" si="5"/>
        <v>APROBADO</v>
      </c>
      <c r="AI24" s="262"/>
      <c r="AJ24" s="262"/>
      <c r="AK24" s="262"/>
      <c r="AL24" s="262"/>
      <c r="AM24" s="263"/>
      <c r="AN24" s="95"/>
      <c r="AO24" s="95"/>
      <c r="AP24" s="95"/>
      <c r="AQ24" s="95"/>
      <c r="AR24" s="95"/>
    </row>
    <row r="25" spans="1:44" ht="12" customHeight="1" x14ac:dyDescent="0.35">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61" t="str">
        <f t="shared" si="5"/>
        <v>APROBADO</v>
      </c>
      <c r="AI25" s="262"/>
      <c r="AJ25" s="262"/>
      <c r="AK25" s="262"/>
      <c r="AL25" s="262"/>
      <c r="AM25" s="263"/>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61" t="str">
        <f t="shared" si="5"/>
        <v>APROBADO</v>
      </c>
      <c r="AI26" s="262"/>
      <c r="AJ26" s="262"/>
      <c r="AK26" s="262"/>
      <c r="AL26" s="262"/>
      <c r="AM26" s="263"/>
      <c r="AN26" s="95"/>
      <c r="AO26" s="95"/>
      <c r="AP26" s="95"/>
      <c r="AQ26" s="95"/>
      <c r="AR26" s="95"/>
    </row>
    <row r="27" spans="1:44" ht="12" customHeight="1" x14ac:dyDescent="0.35">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61" t="str">
        <f t="shared" si="5"/>
        <v>APROBADO</v>
      </c>
      <c r="AI27" s="262"/>
      <c r="AJ27" s="262"/>
      <c r="AK27" s="262"/>
      <c r="AL27" s="262"/>
      <c r="AM27" s="263"/>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1" t="str">
        <f t="shared" si="5"/>
        <v>APROBADO</v>
      </c>
      <c r="AI28" s="262"/>
      <c r="AJ28" s="262"/>
      <c r="AK28" s="262"/>
      <c r="AL28" s="262"/>
      <c r="AM28" s="263"/>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1" t="str">
        <f t="shared" si="5"/>
        <v>APROBADO</v>
      </c>
      <c r="AI29" s="262"/>
      <c r="AJ29" s="262"/>
      <c r="AK29" s="262"/>
      <c r="AL29" s="262"/>
      <c r="AM29" s="263"/>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1" t="str">
        <f t="shared" si="5"/>
        <v>APROBADO</v>
      </c>
      <c r="AI30" s="262"/>
      <c r="AJ30" s="262"/>
      <c r="AK30" s="262"/>
      <c r="AL30" s="262"/>
      <c r="AM30" s="263"/>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1" t="str">
        <f t="shared" si="5"/>
        <v>APROBADO</v>
      </c>
      <c r="AI31" s="262"/>
      <c r="AJ31" s="262"/>
      <c r="AK31" s="262"/>
      <c r="AL31" s="262"/>
      <c r="AM31" s="263"/>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1" t="str">
        <f t="shared" si="5"/>
        <v>APROBADO</v>
      </c>
      <c r="AI32" s="262"/>
      <c r="AJ32" s="262"/>
      <c r="AK32" s="262"/>
      <c r="AL32" s="262"/>
      <c r="AM32" s="263"/>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1" t="str">
        <f t="shared" si="5"/>
        <v>APROBADO</v>
      </c>
      <c r="AI33" s="262"/>
      <c r="AJ33" s="262"/>
      <c r="AK33" s="262"/>
      <c r="AL33" s="262"/>
      <c r="AM33" s="263"/>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1" t="str">
        <f t="shared" si="5"/>
        <v>APROBADO</v>
      </c>
      <c r="AI34" s="262"/>
      <c r="AJ34" s="262"/>
      <c r="AK34" s="262"/>
      <c r="AL34" s="262"/>
      <c r="AM34" s="263"/>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1" t="str">
        <f t="shared" si="5"/>
        <v>APROBADO</v>
      </c>
      <c r="AI35" s="262"/>
      <c r="AJ35" s="262"/>
      <c r="AK35" s="262"/>
      <c r="AL35" s="262"/>
      <c r="AM35" s="263"/>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1" t="str">
        <f t="shared" si="5"/>
        <v>APROBADO</v>
      </c>
      <c r="AI36" s="262"/>
      <c r="AJ36" s="262"/>
      <c r="AK36" s="262"/>
      <c r="AL36" s="262"/>
      <c r="AM36" s="263"/>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1" t="str">
        <f t="shared" si="5"/>
        <v>APROBADO</v>
      </c>
      <c r="AI37" s="262"/>
      <c r="AJ37" s="262"/>
      <c r="AK37" s="262"/>
      <c r="AL37" s="262"/>
      <c r="AM37" s="263"/>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1" t="str">
        <f t="shared" si="5"/>
        <v>APROBADO</v>
      </c>
      <c r="AI38" s="262"/>
      <c r="AJ38" s="262"/>
      <c r="AK38" s="262"/>
      <c r="AL38" s="262"/>
      <c r="AM38" s="263"/>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1" t="str">
        <f t="shared" si="5"/>
        <v>APROBADO</v>
      </c>
      <c r="AI39" s="262"/>
      <c r="AJ39" s="262"/>
      <c r="AK39" s="262"/>
      <c r="AL39" s="262"/>
      <c r="AM39" s="263"/>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1" t="str">
        <f t="shared" si="5"/>
        <v>APROBADO</v>
      </c>
      <c r="AI40" s="262"/>
      <c r="AJ40" s="262"/>
      <c r="AK40" s="262"/>
      <c r="AL40" s="262"/>
      <c r="AM40" s="263"/>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1" t="str">
        <f t="shared" si="5"/>
        <v>APROBADO</v>
      </c>
      <c r="AI41" s="262"/>
      <c r="AJ41" s="262"/>
      <c r="AK41" s="262"/>
      <c r="AL41" s="262"/>
      <c r="AM41" s="263"/>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1" t="str">
        <f t="shared" si="5"/>
        <v>APROBADO</v>
      </c>
      <c r="AI42" s="262"/>
      <c r="AJ42" s="262"/>
      <c r="AK42" s="262"/>
      <c r="AL42" s="262"/>
      <c r="AM42" s="263"/>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1" t="str">
        <f t="shared" si="5"/>
        <v>APROBADO</v>
      </c>
      <c r="AI43" s="262"/>
      <c r="AJ43" s="262"/>
      <c r="AK43" s="262"/>
      <c r="AL43" s="262"/>
      <c r="AM43" s="263"/>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1" t="str">
        <f t="shared" si="5"/>
        <v>APROBADO</v>
      </c>
      <c r="AI44" s="262"/>
      <c r="AJ44" s="262"/>
      <c r="AK44" s="262"/>
      <c r="AL44" s="262"/>
      <c r="AM44" s="26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workbookViewId="0">
      <selection activeCell="AG11" sqref="AG11"/>
    </sheetView>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80" t="s">
        <v>105</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78" t="s">
        <v>50</v>
      </c>
      <c r="AD3" s="262"/>
      <c r="AE3" s="262"/>
      <c r="AF3" s="262"/>
      <c r="AG3" s="262"/>
      <c r="AH3" s="263"/>
      <c r="AI3" s="229">
        <f>CARÁTULA!$H$19</f>
        <v>44326</v>
      </c>
      <c r="AJ3" s="211"/>
      <c r="AK3" s="211"/>
      <c r="AL3" s="211"/>
      <c r="AM3" s="211"/>
      <c r="AN3" s="281" t="s">
        <v>51</v>
      </c>
      <c r="AO3" s="202"/>
      <c r="AP3" s="202"/>
      <c r="AQ3" s="202"/>
      <c r="AR3" s="203"/>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8" t="s">
        <v>53</v>
      </c>
      <c r="AD4" s="262"/>
      <c r="AE4" s="262"/>
      <c r="AF4" s="262"/>
      <c r="AG4" s="262"/>
      <c r="AH4" s="263"/>
      <c r="AI4" s="229">
        <f>CARÁTULA!$J$19</f>
        <v>44439</v>
      </c>
      <c r="AJ4" s="211"/>
      <c r="AK4" s="211"/>
      <c r="AL4" s="211"/>
      <c r="AM4" s="211"/>
      <c r="AN4" s="260">
        <f ca="1">AI4-AI5</f>
        <v>-21</v>
      </c>
      <c r="AO4" s="221"/>
      <c r="AP4" s="221"/>
      <c r="AQ4" s="221"/>
      <c r="AR4" s="222"/>
    </row>
    <row r="5" spans="1:48" ht="12.75" customHeight="1" x14ac:dyDescent="0.4">
      <c r="A5" s="71"/>
      <c r="B5" s="74" t="s">
        <v>22</v>
      </c>
      <c r="C5" s="75" t="str">
        <f>CARÁTULA!$C$23</f>
        <v>6to de Secundaria</v>
      </c>
      <c r="D5" s="76"/>
      <c r="E5" s="76"/>
      <c r="F5" s="76"/>
      <c r="G5" s="74"/>
      <c r="H5" s="74"/>
      <c r="I5" s="74"/>
      <c r="J5" s="74"/>
      <c r="K5" s="74"/>
      <c r="L5" s="74"/>
      <c r="M5" s="74"/>
      <c r="N5" s="74"/>
      <c r="O5" s="74" t="s">
        <v>23</v>
      </c>
      <c r="P5" s="79"/>
      <c r="Q5" s="79"/>
      <c r="R5" s="79"/>
      <c r="S5" s="274">
        <f ca="1">TODAY()</f>
        <v>44460</v>
      </c>
      <c r="T5" s="202"/>
      <c r="U5" s="202"/>
      <c r="V5" s="202"/>
      <c r="W5" s="202"/>
      <c r="X5" s="202"/>
      <c r="Y5" s="202"/>
      <c r="Z5" s="202"/>
      <c r="AA5" s="203"/>
      <c r="AB5" s="76"/>
      <c r="AC5" s="279" t="s">
        <v>54</v>
      </c>
      <c r="AD5" s="262"/>
      <c r="AE5" s="262"/>
      <c r="AF5" s="262"/>
      <c r="AG5" s="262"/>
      <c r="AH5" s="263"/>
      <c r="AI5" s="282">
        <f ca="1">TODAY()</f>
        <v>44460</v>
      </c>
      <c r="AJ5" s="211"/>
      <c r="AK5" s="211"/>
      <c r="AL5" s="211"/>
      <c r="AM5" s="211"/>
      <c r="AN5" s="223"/>
      <c r="AO5" s="224"/>
      <c r="AP5" s="224"/>
      <c r="AQ5" s="224"/>
      <c r="AR5" s="225"/>
    </row>
    <row r="6" spans="1:48" ht="12.75" customHeight="1" x14ac:dyDescent="0.4">
      <c r="A6" s="71"/>
      <c r="B6" s="74"/>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5" t="s">
        <v>80</v>
      </c>
      <c r="AC6" s="262"/>
      <c r="AD6" s="262"/>
      <c r="AE6" s="263"/>
      <c r="AF6" s="80"/>
      <c r="AG6" s="81"/>
      <c r="AH6" s="81"/>
      <c r="AI6" s="82"/>
      <c r="AJ6" s="83"/>
      <c r="AK6" s="83"/>
      <c r="AL6" s="83"/>
      <c r="AM6" s="83"/>
      <c r="AN6" s="84"/>
      <c r="AO6" s="84"/>
      <c r="AP6" s="84"/>
      <c r="AQ6" s="84"/>
      <c r="AR6" s="84"/>
    </row>
    <row r="7" spans="1:48" ht="12" customHeight="1" x14ac:dyDescent="0.4">
      <c r="A7" s="71"/>
      <c r="B7" s="85"/>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18"/>
      <c r="AJ7" s="218"/>
      <c r="AK7" s="218"/>
      <c r="AL7" s="218"/>
      <c r="AM7" s="219"/>
      <c r="AN7" s="86"/>
      <c r="AO7" s="76"/>
      <c r="AP7" s="76"/>
      <c r="AQ7" s="76"/>
      <c r="AR7" s="71"/>
    </row>
    <row r="8" spans="1:48" ht="136.80000000000001" customHeight="1" x14ac:dyDescent="0.35">
      <c r="A8" s="48" t="s">
        <v>55</v>
      </c>
      <c r="B8" s="49" t="s">
        <v>56</v>
      </c>
      <c r="C8" s="266"/>
      <c r="D8" s="50" t="s">
        <v>242</v>
      </c>
      <c r="E8" s="50" t="s">
        <v>188</v>
      </c>
      <c r="F8" s="54" t="s">
        <v>187</v>
      </c>
      <c r="G8" s="50" t="s">
        <v>252</v>
      </c>
      <c r="H8" s="54" t="s">
        <v>256</v>
      </c>
      <c r="I8" s="54"/>
      <c r="J8" s="54"/>
      <c r="K8" s="54"/>
      <c r="L8" s="54"/>
      <c r="M8" s="54"/>
      <c r="N8" s="55"/>
      <c r="O8" s="266"/>
      <c r="P8" s="96" t="s">
        <v>240</v>
      </c>
      <c r="Q8" s="54" t="s">
        <v>245</v>
      </c>
      <c r="R8" s="50" t="s">
        <v>247</v>
      </c>
      <c r="S8" s="54" t="s">
        <v>249</v>
      </c>
      <c r="T8" s="54"/>
      <c r="U8" s="54"/>
      <c r="V8" s="54"/>
      <c r="W8" s="54"/>
      <c r="X8" s="54"/>
      <c r="Y8" s="54"/>
      <c r="Z8" s="54"/>
      <c r="AA8" s="266"/>
      <c r="AB8" s="266"/>
      <c r="AC8" s="266"/>
      <c r="AD8" s="266"/>
      <c r="AE8" s="266"/>
      <c r="AF8" s="266"/>
      <c r="AG8" s="266"/>
      <c r="AH8" s="269"/>
      <c r="AI8" s="270"/>
      <c r="AJ8" s="270"/>
      <c r="AK8" s="270"/>
      <c r="AL8" s="270"/>
      <c r="AM8" s="271"/>
      <c r="AN8" s="88"/>
      <c r="AO8" s="88"/>
      <c r="AP8" s="88"/>
      <c r="AQ8" s="88"/>
      <c r="AR8" s="89"/>
    </row>
    <row r="9" spans="1:48" ht="12" customHeight="1" x14ac:dyDescent="0.35">
      <c r="A9" s="59">
        <v>1</v>
      </c>
      <c r="B9" s="90" t="str">
        <f>'C. FILIACION'!B8</f>
        <v>ALTAMIRANO RAMOS ESTEFANI MILENKA</v>
      </c>
      <c r="C9" s="31">
        <v>10</v>
      </c>
      <c r="D9" s="61">
        <v>32</v>
      </c>
      <c r="E9" s="61">
        <v>33</v>
      </c>
      <c r="F9" s="61">
        <v>32</v>
      </c>
      <c r="G9" s="61">
        <v>24</v>
      </c>
      <c r="H9" s="61">
        <v>32</v>
      </c>
      <c r="I9" s="31"/>
      <c r="J9" s="31"/>
      <c r="K9" s="31"/>
      <c r="L9" s="31"/>
      <c r="M9" s="31"/>
      <c r="N9" s="31"/>
      <c r="O9" s="92">
        <f t="shared" ref="O9:O44" si="0">IFERROR(ROUND(AVERAGE(D9:N9),0),"")</f>
        <v>31</v>
      </c>
      <c r="P9" s="31">
        <v>28</v>
      </c>
      <c r="Q9" s="31">
        <v>35</v>
      </c>
      <c r="R9" s="31">
        <v>32</v>
      </c>
      <c r="S9" s="31">
        <v>30</v>
      </c>
      <c r="T9" s="31"/>
      <c r="U9" s="31"/>
      <c r="V9" s="31"/>
      <c r="W9" s="31"/>
      <c r="X9" s="31"/>
      <c r="Y9" s="31"/>
      <c r="Z9" s="31"/>
      <c r="AA9" s="31">
        <v>10</v>
      </c>
      <c r="AB9" s="92">
        <f t="shared" ref="AB9:AB44" si="1">IFERROR(ROUND(AVERAGE(P9:Z9),0),"")</f>
        <v>31</v>
      </c>
      <c r="AC9" s="31">
        <v>3</v>
      </c>
      <c r="AD9" s="31">
        <v>4</v>
      </c>
      <c r="AE9" s="92">
        <f t="shared" ref="AE9:AE44" si="2">IFERROR((SUM(AC9,AD9)),"")</f>
        <v>7</v>
      </c>
      <c r="AF9" s="93" t="str">
        <f t="shared" ref="AF9:AF44" si="3">IF(AG9&lt;51,"ED",IF(AG9&lt;67,"DA",IF(AG9&lt;85,"DO","DP")))</f>
        <v>DP</v>
      </c>
      <c r="AG9" s="92">
        <f t="shared" ref="AG9:AG44" si="4">IFERROR((SUM(C9,O9,AA9,AB9,AE9)),"")</f>
        <v>89</v>
      </c>
      <c r="AH9" s="261" t="str">
        <f t="shared" ref="AH9:AH44" si="5">IF(AG9="","",(IF(AND(AG9&gt;=1,AG9&lt;=50.499),"REPROBADO",IF(AND(AG9&gt;=50.5,AG9&lt;=100),"APROBADO"))))</f>
        <v>APROBADO</v>
      </c>
      <c r="AI9" s="262"/>
      <c r="AJ9" s="262"/>
      <c r="AK9" s="262"/>
      <c r="AL9" s="262"/>
      <c r="AM9" s="263"/>
      <c r="AN9" s="94" t="s">
        <v>101</v>
      </c>
      <c r="AO9" s="264">
        <f>COUNTIF(AF9:AF44,"ED")</f>
        <v>3</v>
      </c>
      <c r="AP9" s="263"/>
      <c r="AQ9" s="95"/>
      <c r="AR9" s="95"/>
    </row>
    <row r="10" spans="1:48" ht="12" customHeight="1" x14ac:dyDescent="0.35">
      <c r="A10" s="59">
        <v>2</v>
      </c>
      <c r="B10" s="90" t="str">
        <f>'C. FILIACION'!B9</f>
        <v>APAZA LINO TATIANA JAZMIN</v>
      </c>
      <c r="C10" s="31">
        <v>10</v>
      </c>
      <c r="D10" s="61">
        <v>35</v>
      </c>
      <c r="E10" s="61">
        <v>34</v>
      </c>
      <c r="F10" s="61">
        <v>35</v>
      </c>
      <c r="G10" s="61">
        <v>30</v>
      </c>
      <c r="H10" s="61">
        <v>32</v>
      </c>
      <c r="I10" s="31"/>
      <c r="J10" s="31"/>
      <c r="K10" s="31"/>
      <c r="L10" s="31"/>
      <c r="M10" s="31"/>
      <c r="N10" s="31"/>
      <c r="O10" s="92">
        <f t="shared" si="0"/>
        <v>33</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93</v>
      </c>
      <c r="AH10" s="261" t="str">
        <f t="shared" si="5"/>
        <v>APROBADO</v>
      </c>
      <c r="AI10" s="262"/>
      <c r="AJ10" s="262"/>
      <c r="AK10" s="262"/>
      <c r="AL10" s="262"/>
      <c r="AM10" s="263"/>
      <c r="AN10" s="48" t="s">
        <v>102</v>
      </c>
      <c r="AO10" s="264">
        <f>COUNTIF(AF9:AF44,"DA")</f>
        <v>6</v>
      </c>
      <c r="AP10" s="263"/>
      <c r="AQ10" s="95"/>
      <c r="AR10" s="95"/>
    </row>
    <row r="11" spans="1:48" ht="12" customHeight="1" x14ac:dyDescent="0.35">
      <c r="A11" s="59">
        <v>3</v>
      </c>
      <c r="B11" s="90" t="str">
        <f>'C. FILIACION'!B10</f>
        <v>BOLAÑOS OVANDO MIJHAIL ALEXANDER</v>
      </c>
      <c r="C11" s="31">
        <v>7.6923076923076925</v>
      </c>
      <c r="D11" s="61">
        <v>0</v>
      </c>
      <c r="E11" s="61">
        <v>18</v>
      </c>
      <c r="F11" s="61">
        <v>0</v>
      </c>
      <c r="G11" s="61">
        <v>0</v>
      </c>
      <c r="H11" s="61">
        <v>24</v>
      </c>
      <c r="I11" s="31"/>
      <c r="J11" s="31"/>
      <c r="K11" s="31"/>
      <c r="L11" s="31"/>
      <c r="M11" s="31"/>
      <c r="N11" s="31"/>
      <c r="O11" s="92">
        <f t="shared" si="0"/>
        <v>8</v>
      </c>
      <c r="P11" s="31">
        <v>0</v>
      </c>
      <c r="Q11" s="31">
        <v>34</v>
      </c>
      <c r="R11" s="31">
        <v>0</v>
      </c>
      <c r="S11" s="31">
        <v>0</v>
      </c>
      <c r="T11" s="31"/>
      <c r="U11" s="31"/>
      <c r="V11" s="31"/>
      <c r="W11" s="31"/>
      <c r="X11" s="31"/>
      <c r="Y11" s="31"/>
      <c r="Z11" s="31"/>
      <c r="AA11" s="31">
        <v>3</v>
      </c>
      <c r="AB11" s="92">
        <f t="shared" si="1"/>
        <v>9</v>
      </c>
      <c r="AC11" s="31">
        <v>5</v>
      </c>
      <c r="AD11" s="31">
        <v>5</v>
      </c>
      <c r="AE11" s="92">
        <f t="shared" si="2"/>
        <v>10</v>
      </c>
      <c r="AF11" s="93" t="str">
        <f t="shared" si="3"/>
        <v>ED</v>
      </c>
      <c r="AG11" s="92">
        <f t="shared" si="4"/>
        <v>37.692307692307693</v>
      </c>
      <c r="AH11" s="261" t="str">
        <f t="shared" si="5"/>
        <v>REPROBADO</v>
      </c>
      <c r="AI11" s="262"/>
      <c r="AJ11" s="262"/>
      <c r="AK11" s="262"/>
      <c r="AL11" s="262"/>
      <c r="AM11" s="263"/>
      <c r="AN11" s="48" t="s">
        <v>103</v>
      </c>
      <c r="AO11" s="264">
        <f>COUNTIF(AF9:AF44,"DO")</f>
        <v>7</v>
      </c>
      <c r="AP11" s="263"/>
      <c r="AQ11" s="95"/>
      <c r="AR11" s="95"/>
    </row>
    <row r="12" spans="1:48" ht="12" customHeight="1" x14ac:dyDescent="0.35">
      <c r="A12" s="59">
        <v>4</v>
      </c>
      <c r="B12" s="194" t="str">
        <f>'C. FILIACION'!B11</f>
        <v>BRICHER ETHELBERT ISMAEL</v>
      </c>
      <c r="C12" s="195">
        <v>1.5384615384615385</v>
      </c>
      <c r="D12" s="189">
        <v>0</v>
      </c>
      <c r="E12" s="189">
        <v>0</v>
      </c>
      <c r="F12" s="189">
        <v>0</v>
      </c>
      <c r="G12" s="189">
        <v>0</v>
      </c>
      <c r="H12" s="189"/>
      <c r="I12" s="195"/>
      <c r="J12" s="195"/>
      <c r="K12" s="195"/>
      <c r="L12" s="195"/>
      <c r="M12" s="195"/>
      <c r="N12" s="195"/>
      <c r="O12" s="196">
        <f t="shared" si="0"/>
        <v>0</v>
      </c>
      <c r="P12" s="195">
        <v>0</v>
      </c>
      <c r="Q12" s="195">
        <v>0</v>
      </c>
      <c r="R12" s="195">
        <v>0</v>
      </c>
      <c r="S12" s="195">
        <v>0</v>
      </c>
      <c r="T12" s="195"/>
      <c r="U12" s="195"/>
      <c r="V12" s="195"/>
      <c r="W12" s="195"/>
      <c r="X12" s="195"/>
      <c r="Y12" s="195"/>
      <c r="Z12" s="195"/>
      <c r="AA12" s="195">
        <v>10</v>
      </c>
      <c r="AB12" s="196">
        <f t="shared" si="1"/>
        <v>0</v>
      </c>
      <c r="AC12" s="195">
        <v>5</v>
      </c>
      <c r="AD12" s="195">
        <v>5</v>
      </c>
      <c r="AE12" s="196">
        <f t="shared" si="2"/>
        <v>10</v>
      </c>
      <c r="AF12" s="197" t="str">
        <f t="shared" si="3"/>
        <v>ED</v>
      </c>
      <c r="AG12" s="196">
        <f t="shared" si="4"/>
        <v>21.53846153846154</v>
      </c>
      <c r="AH12" s="283" t="str">
        <f t="shared" si="5"/>
        <v>REPROBADO</v>
      </c>
      <c r="AI12" s="284"/>
      <c r="AJ12" s="284"/>
      <c r="AK12" s="284"/>
      <c r="AL12" s="284"/>
      <c r="AM12" s="285"/>
      <c r="AN12" s="185" t="s">
        <v>104</v>
      </c>
      <c r="AO12" s="264">
        <f>COUNTIF(AF9:AF44,"DP")</f>
        <v>20</v>
      </c>
      <c r="AP12" s="263"/>
      <c r="AQ12" s="95"/>
      <c r="AR12" s="95"/>
    </row>
    <row r="13" spans="1:48" ht="12" customHeight="1" x14ac:dyDescent="0.35">
      <c r="A13" s="59">
        <v>5</v>
      </c>
      <c r="B13" s="90" t="str">
        <f>'C. FILIACION'!B12</f>
        <v>CANAVIRI QUISBERT ALEJANDRA ELENA</v>
      </c>
      <c r="C13" s="31">
        <v>6.1538461538461542</v>
      </c>
      <c r="D13" s="61">
        <v>32</v>
      </c>
      <c r="E13" s="61">
        <v>10</v>
      </c>
      <c r="F13" s="61">
        <v>30</v>
      </c>
      <c r="G13" s="61">
        <v>18</v>
      </c>
      <c r="H13" s="61">
        <v>27</v>
      </c>
      <c r="I13" s="31"/>
      <c r="J13" s="31"/>
      <c r="K13" s="31"/>
      <c r="L13" s="31"/>
      <c r="M13" s="31"/>
      <c r="N13" s="31"/>
      <c r="O13" s="92">
        <f t="shared" si="0"/>
        <v>23</v>
      </c>
      <c r="P13" s="31">
        <v>28</v>
      </c>
      <c r="Q13" s="31">
        <v>33</v>
      </c>
      <c r="R13" s="31">
        <v>30</v>
      </c>
      <c r="S13" s="31">
        <v>18</v>
      </c>
      <c r="T13" s="31"/>
      <c r="U13" s="31"/>
      <c r="V13" s="31"/>
      <c r="W13" s="31"/>
      <c r="X13" s="31"/>
      <c r="Y13" s="31"/>
      <c r="Z13" s="31"/>
      <c r="AA13" s="31">
        <v>8</v>
      </c>
      <c r="AB13" s="92">
        <f t="shared" si="1"/>
        <v>27</v>
      </c>
      <c r="AC13" s="31">
        <v>3</v>
      </c>
      <c r="AD13" s="31">
        <v>5</v>
      </c>
      <c r="AE13" s="92">
        <f t="shared" si="2"/>
        <v>8</v>
      </c>
      <c r="AF13" s="93" t="str">
        <f t="shared" si="3"/>
        <v>DO</v>
      </c>
      <c r="AG13" s="92">
        <f t="shared" si="4"/>
        <v>72.15384615384616</v>
      </c>
      <c r="AH13" s="261" t="str">
        <f t="shared" si="5"/>
        <v>APROBADO</v>
      </c>
      <c r="AI13" s="262"/>
      <c r="AJ13" s="262"/>
      <c r="AK13" s="262"/>
      <c r="AL13" s="262"/>
      <c r="AM13" s="263"/>
      <c r="AN13" s="95"/>
      <c r="AO13" s="95"/>
      <c r="AP13" s="95"/>
      <c r="AQ13" s="95"/>
      <c r="AR13" s="95"/>
    </row>
    <row r="14" spans="1:48" ht="12" customHeight="1" x14ac:dyDescent="0.35">
      <c r="A14" s="59">
        <v>6</v>
      </c>
      <c r="B14" s="90" t="str">
        <f>'C. FILIACION'!B13</f>
        <v>GOMEZ BELTRAN ALBERT NORMAN</v>
      </c>
      <c r="C14" s="31">
        <v>10</v>
      </c>
      <c r="D14" s="61">
        <v>15</v>
      </c>
      <c r="E14" s="61">
        <v>35</v>
      </c>
      <c r="F14" s="61">
        <v>32</v>
      </c>
      <c r="G14" s="61">
        <v>18</v>
      </c>
      <c r="H14" s="61">
        <v>32</v>
      </c>
      <c r="I14" s="31"/>
      <c r="J14" s="31"/>
      <c r="K14" s="31"/>
      <c r="L14" s="31"/>
      <c r="M14" s="31"/>
      <c r="N14" s="31"/>
      <c r="O14" s="92">
        <f t="shared" si="0"/>
        <v>26</v>
      </c>
      <c r="P14" s="31">
        <v>30</v>
      </c>
      <c r="Q14" s="31">
        <v>32</v>
      </c>
      <c r="R14" s="31">
        <v>32</v>
      </c>
      <c r="S14" s="31">
        <v>18</v>
      </c>
      <c r="T14" s="31"/>
      <c r="U14" s="31"/>
      <c r="V14" s="31"/>
      <c r="W14" s="31"/>
      <c r="X14" s="31"/>
      <c r="Y14" s="31"/>
      <c r="Z14" s="31"/>
      <c r="AA14" s="31">
        <v>8</v>
      </c>
      <c r="AB14" s="92">
        <f t="shared" si="1"/>
        <v>28</v>
      </c>
      <c r="AC14" s="31">
        <v>4</v>
      </c>
      <c r="AD14" s="31">
        <v>4</v>
      </c>
      <c r="AE14" s="92">
        <f t="shared" si="2"/>
        <v>8</v>
      </c>
      <c r="AF14" s="93" t="str">
        <f t="shared" si="3"/>
        <v>DO</v>
      </c>
      <c r="AG14" s="92">
        <f t="shared" si="4"/>
        <v>80</v>
      </c>
      <c r="AH14" s="261" t="str">
        <f t="shared" si="5"/>
        <v>APROBADO</v>
      </c>
      <c r="AI14" s="262"/>
      <c r="AJ14" s="262"/>
      <c r="AK14" s="262"/>
      <c r="AL14" s="262"/>
      <c r="AM14" s="263"/>
      <c r="AN14" s="95"/>
      <c r="AO14" s="95"/>
      <c r="AP14" s="95"/>
      <c r="AQ14" s="95"/>
      <c r="AR14" s="95"/>
    </row>
    <row r="15" spans="1:48" ht="12" customHeight="1" x14ac:dyDescent="0.35">
      <c r="A15" s="59">
        <v>7</v>
      </c>
      <c r="B15" s="183" t="str">
        <f>'C. FILIACION'!B14</f>
        <v>GOMEZ COSME MELANY KARINA</v>
      </c>
      <c r="C15" s="184">
        <v>6.1538461538461542</v>
      </c>
      <c r="D15" s="185">
        <v>18</v>
      </c>
      <c r="E15" s="185">
        <v>18</v>
      </c>
      <c r="F15" s="185">
        <v>18</v>
      </c>
      <c r="G15" s="61">
        <v>18</v>
      </c>
      <c r="H15" s="185">
        <v>10</v>
      </c>
      <c r="I15" s="184"/>
      <c r="J15" s="184"/>
      <c r="K15" s="184"/>
      <c r="L15" s="184"/>
      <c r="M15" s="184"/>
      <c r="N15" s="184"/>
      <c r="O15" s="186">
        <f t="shared" si="0"/>
        <v>16</v>
      </c>
      <c r="P15" s="184">
        <v>0</v>
      </c>
      <c r="Q15" s="184">
        <v>10</v>
      </c>
      <c r="R15" s="184">
        <v>18</v>
      </c>
      <c r="S15" s="184">
        <v>15</v>
      </c>
      <c r="T15" s="184"/>
      <c r="U15" s="184"/>
      <c r="V15" s="184"/>
      <c r="W15" s="184"/>
      <c r="X15" s="184"/>
      <c r="Y15" s="184"/>
      <c r="Z15" s="184"/>
      <c r="AA15" s="184">
        <v>10</v>
      </c>
      <c r="AB15" s="186">
        <f t="shared" si="1"/>
        <v>11</v>
      </c>
      <c r="AC15" s="184">
        <v>5</v>
      </c>
      <c r="AD15" s="184">
        <v>5</v>
      </c>
      <c r="AE15" s="186">
        <f t="shared" si="2"/>
        <v>10</v>
      </c>
      <c r="AF15" s="187" t="str">
        <f t="shared" si="3"/>
        <v>DA</v>
      </c>
      <c r="AG15" s="186">
        <f t="shared" si="4"/>
        <v>53.153846153846153</v>
      </c>
      <c r="AH15" s="286" t="str">
        <f t="shared" si="5"/>
        <v>APROBADO</v>
      </c>
      <c r="AI15" s="287"/>
      <c r="AJ15" s="287"/>
      <c r="AK15" s="287"/>
      <c r="AL15" s="287"/>
      <c r="AM15" s="288"/>
      <c r="AN15" s="95"/>
      <c r="AO15" s="95"/>
      <c r="AP15" s="95"/>
      <c r="AQ15" s="95"/>
      <c r="AR15" s="95"/>
    </row>
    <row r="16" spans="1:48" ht="12" customHeight="1" x14ac:dyDescent="0.35">
      <c r="A16" s="59">
        <v>8</v>
      </c>
      <c r="B16" s="90" t="str">
        <f>'C. FILIACION'!B15</f>
        <v>GONZALES ZUAZO KALEB RAMSES</v>
      </c>
      <c r="C16" s="31">
        <v>10</v>
      </c>
      <c r="D16" s="61">
        <v>21</v>
      </c>
      <c r="E16" s="61">
        <v>33</v>
      </c>
      <c r="F16" s="61">
        <v>30</v>
      </c>
      <c r="G16" s="61">
        <v>0</v>
      </c>
      <c r="H16" s="61">
        <v>20</v>
      </c>
      <c r="I16" s="31"/>
      <c r="J16" s="31"/>
      <c r="K16" s="31"/>
      <c r="L16" s="31"/>
      <c r="M16" s="31"/>
      <c r="N16" s="31"/>
      <c r="O16" s="92">
        <f t="shared" si="0"/>
        <v>21</v>
      </c>
      <c r="P16" s="31">
        <v>0</v>
      </c>
      <c r="Q16" s="31">
        <v>30</v>
      </c>
      <c r="R16" s="31">
        <v>30</v>
      </c>
      <c r="S16" s="31">
        <v>0</v>
      </c>
      <c r="T16" s="31"/>
      <c r="U16" s="31"/>
      <c r="V16" s="31"/>
      <c r="W16" s="31"/>
      <c r="X16" s="31"/>
      <c r="Y16" s="31"/>
      <c r="Z16" s="31"/>
      <c r="AA16" s="31">
        <v>5</v>
      </c>
      <c r="AB16" s="92">
        <f t="shared" si="1"/>
        <v>15</v>
      </c>
      <c r="AC16" s="31">
        <v>3</v>
      </c>
      <c r="AD16" s="31">
        <v>3</v>
      </c>
      <c r="AE16" s="92">
        <f t="shared" si="2"/>
        <v>6</v>
      </c>
      <c r="AF16" s="93" t="str">
        <f t="shared" si="3"/>
        <v>DA</v>
      </c>
      <c r="AG16" s="92">
        <f t="shared" si="4"/>
        <v>57</v>
      </c>
      <c r="AH16" s="261" t="str">
        <f t="shared" si="5"/>
        <v>APROBADO</v>
      </c>
      <c r="AI16" s="262"/>
      <c r="AJ16" s="262"/>
      <c r="AK16" s="262"/>
      <c r="AL16" s="262"/>
      <c r="AM16" s="263"/>
      <c r="AN16" s="95"/>
      <c r="AO16" s="95"/>
      <c r="AP16" s="95"/>
      <c r="AQ16" s="95"/>
      <c r="AR16" s="95"/>
    </row>
    <row r="17" spans="1:44" ht="12" customHeight="1" x14ac:dyDescent="0.35">
      <c r="A17" s="59">
        <v>9</v>
      </c>
      <c r="B17" s="90" t="str">
        <f>'C. FILIACION'!B16</f>
        <v>LEDEZMA AGUILAR ELVIS JHEFERSON</v>
      </c>
      <c r="C17" s="31">
        <v>10</v>
      </c>
      <c r="D17" s="61">
        <v>31</v>
      </c>
      <c r="E17" s="61">
        <v>35</v>
      </c>
      <c r="F17" s="61">
        <v>32</v>
      </c>
      <c r="G17" s="61">
        <v>18</v>
      </c>
      <c r="H17" s="61">
        <v>26</v>
      </c>
      <c r="I17" s="31"/>
      <c r="J17" s="31"/>
      <c r="K17" s="31"/>
      <c r="L17" s="31"/>
      <c r="M17" s="31"/>
      <c r="N17" s="31"/>
      <c r="O17" s="92">
        <f t="shared" si="0"/>
        <v>28</v>
      </c>
      <c r="P17" s="31">
        <v>20</v>
      </c>
      <c r="Q17" s="31">
        <v>35</v>
      </c>
      <c r="R17" s="31">
        <v>32</v>
      </c>
      <c r="S17" s="31">
        <v>35</v>
      </c>
      <c r="T17" s="31"/>
      <c r="U17" s="31"/>
      <c r="V17" s="31"/>
      <c r="W17" s="31"/>
      <c r="X17" s="31"/>
      <c r="Y17" s="31"/>
      <c r="Z17" s="31"/>
      <c r="AA17" s="31">
        <v>9</v>
      </c>
      <c r="AB17" s="92">
        <f t="shared" si="1"/>
        <v>31</v>
      </c>
      <c r="AC17" s="31">
        <v>4</v>
      </c>
      <c r="AD17" s="31">
        <v>5</v>
      </c>
      <c r="AE17" s="92">
        <f t="shared" si="2"/>
        <v>9</v>
      </c>
      <c r="AF17" s="93" t="str">
        <f t="shared" si="3"/>
        <v>DP</v>
      </c>
      <c r="AG17" s="92">
        <f t="shared" si="4"/>
        <v>87</v>
      </c>
      <c r="AH17" s="261" t="str">
        <f t="shared" si="5"/>
        <v>APROBADO</v>
      </c>
      <c r="AI17" s="262"/>
      <c r="AJ17" s="262"/>
      <c r="AK17" s="262"/>
      <c r="AL17" s="262"/>
      <c r="AM17" s="263"/>
      <c r="AN17" s="95"/>
      <c r="AO17" s="95"/>
      <c r="AP17" s="95"/>
      <c r="AQ17" s="95"/>
      <c r="AR17" s="95"/>
    </row>
    <row r="18" spans="1:44" ht="12" customHeight="1" x14ac:dyDescent="0.35">
      <c r="A18" s="59">
        <v>10</v>
      </c>
      <c r="B18" s="90" t="str">
        <f>'C. FILIACION'!B17</f>
        <v>LOBATON RODRIGUEZ JHONATAN A.</v>
      </c>
      <c r="C18" s="31">
        <v>7.6923076923076925</v>
      </c>
      <c r="D18" s="61">
        <v>28</v>
      </c>
      <c r="E18" s="61">
        <v>30</v>
      </c>
      <c r="F18" s="61">
        <v>30</v>
      </c>
      <c r="G18" s="61">
        <v>0</v>
      </c>
      <c r="H18" s="61">
        <v>15</v>
      </c>
      <c r="I18" s="31"/>
      <c r="J18" s="31"/>
      <c r="K18" s="31"/>
      <c r="L18" s="31"/>
      <c r="M18" s="31"/>
      <c r="N18" s="31"/>
      <c r="O18" s="92">
        <f t="shared" si="0"/>
        <v>21</v>
      </c>
      <c r="P18" s="31">
        <v>10</v>
      </c>
      <c r="Q18" s="31">
        <v>25</v>
      </c>
      <c r="R18" s="31">
        <v>30</v>
      </c>
      <c r="S18" s="31">
        <v>10</v>
      </c>
      <c r="T18" s="31"/>
      <c r="U18" s="31"/>
      <c r="V18" s="31"/>
      <c r="W18" s="31"/>
      <c r="X18" s="31"/>
      <c r="Y18" s="31"/>
      <c r="Z18" s="31"/>
      <c r="AA18" s="31">
        <v>7</v>
      </c>
      <c r="AB18" s="92">
        <f t="shared" si="1"/>
        <v>19</v>
      </c>
      <c r="AC18" s="31">
        <v>5</v>
      </c>
      <c r="AD18" s="31">
        <v>5</v>
      </c>
      <c r="AE18" s="92">
        <f t="shared" si="2"/>
        <v>10</v>
      </c>
      <c r="AF18" s="93" t="str">
        <f t="shared" si="3"/>
        <v>DA</v>
      </c>
      <c r="AG18" s="92">
        <f t="shared" si="4"/>
        <v>64.692307692307693</v>
      </c>
      <c r="AH18" s="261" t="str">
        <f t="shared" si="5"/>
        <v>APROBADO</v>
      </c>
      <c r="AI18" s="262"/>
      <c r="AJ18" s="262"/>
      <c r="AK18" s="262"/>
      <c r="AL18" s="262"/>
      <c r="AM18" s="263"/>
      <c r="AN18" s="95"/>
      <c r="AO18" s="95"/>
      <c r="AP18" s="95"/>
      <c r="AQ18" s="95"/>
      <c r="AR18" s="95"/>
    </row>
    <row r="19" spans="1:44" ht="12" customHeight="1" x14ac:dyDescent="0.35">
      <c r="A19" s="59">
        <v>11</v>
      </c>
      <c r="B19" s="90" t="str">
        <f>'C. FILIACION'!B18</f>
        <v>MAMANI LOPEZ DAFNE MILDRED</v>
      </c>
      <c r="C19" s="31">
        <v>4.615384615384615</v>
      </c>
      <c r="D19" s="61">
        <v>25</v>
      </c>
      <c r="E19" s="61">
        <v>28</v>
      </c>
      <c r="F19" s="61">
        <v>32</v>
      </c>
      <c r="G19" s="61">
        <v>0</v>
      </c>
      <c r="H19" s="61">
        <v>14</v>
      </c>
      <c r="I19" s="31"/>
      <c r="J19" s="31"/>
      <c r="K19" s="31"/>
      <c r="L19" s="31"/>
      <c r="M19" s="31"/>
      <c r="N19" s="31"/>
      <c r="O19" s="92">
        <f t="shared" si="0"/>
        <v>20</v>
      </c>
      <c r="P19" s="31">
        <v>10</v>
      </c>
      <c r="Q19" s="31">
        <v>10</v>
      </c>
      <c r="R19" s="31">
        <v>32</v>
      </c>
      <c r="S19" s="31">
        <v>10</v>
      </c>
      <c r="T19" s="31"/>
      <c r="U19" s="31"/>
      <c r="V19" s="31"/>
      <c r="W19" s="31"/>
      <c r="X19" s="31"/>
      <c r="Y19" s="31"/>
      <c r="Z19" s="31"/>
      <c r="AA19" s="31">
        <v>6</v>
      </c>
      <c r="AB19" s="92">
        <f t="shared" si="1"/>
        <v>16</v>
      </c>
      <c r="AC19" s="31">
        <v>3</v>
      </c>
      <c r="AD19" s="31">
        <v>3</v>
      </c>
      <c r="AE19" s="92">
        <f t="shared" si="2"/>
        <v>6</v>
      </c>
      <c r="AF19" s="93" t="str">
        <f t="shared" si="3"/>
        <v>DA</v>
      </c>
      <c r="AG19" s="92">
        <f t="shared" si="4"/>
        <v>52.615384615384613</v>
      </c>
      <c r="AH19" s="261" t="str">
        <f t="shared" si="5"/>
        <v>APROBADO</v>
      </c>
      <c r="AI19" s="262"/>
      <c r="AJ19" s="262"/>
      <c r="AK19" s="262"/>
      <c r="AL19" s="262"/>
      <c r="AM19" s="263"/>
      <c r="AN19" s="95"/>
      <c r="AO19" s="95"/>
      <c r="AP19" s="95"/>
      <c r="AQ19" s="95"/>
      <c r="AR19" s="95"/>
    </row>
    <row r="20" spans="1:44" ht="12" customHeight="1" x14ac:dyDescent="0.35">
      <c r="A20" s="59">
        <v>12</v>
      </c>
      <c r="B20" s="90" t="str">
        <f>'C. FILIACION'!B19</f>
        <v>MARCONI PEREZ SINDEL LUANA</v>
      </c>
      <c r="C20" s="31">
        <v>6.1538461538461542</v>
      </c>
      <c r="D20" s="61">
        <v>35</v>
      </c>
      <c r="E20" s="61">
        <v>0</v>
      </c>
      <c r="F20" s="61">
        <v>30</v>
      </c>
      <c r="G20" s="61">
        <v>0</v>
      </c>
      <c r="H20" s="61">
        <v>26</v>
      </c>
      <c r="I20" s="31"/>
      <c r="J20" s="31"/>
      <c r="K20" s="31"/>
      <c r="L20" s="31"/>
      <c r="M20" s="31"/>
      <c r="N20" s="31"/>
      <c r="O20" s="92">
        <f t="shared" si="0"/>
        <v>18</v>
      </c>
      <c r="P20" s="31">
        <v>5</v>
      </c>
      <c r="Q20" s="31">
        <v>10</v>
      </c>
      <c r="R20" s="31">
        <v>30</v>
      </c>
      <c r="S20" s="31">
        <v>10</v>
      </c>
      <c r="T20" s="31"/>
      <c r="U20" s="31"/>
      <c r="V20" s="31"/>
      <c r="W20" s="31"/>
      <c r="X20" s="31"/>
      <c r="Y20" s="31"/>
      <c r="Z20" s="31"/>
      <c r="AA20" s="31">
        <v>7</v>
      </c>
      <c r="AB20" s="92">
        <f t="shared" si="1"/>
        <v>14</v>
      </c>
      <c r="AC20" s="31">
        <v>3</v>
      </c>
      <c r="AD20" s="31">
        <v>3</v>
      </c>
      <c r="AE20" s="92">
        <f t="shared" si="2"/>
        <v>6</v>
      </c>
      <c r="AF20" s="93" t="str">
        <f t="shared" si="3"/>
        <v>DA</v>
      </c>
      <c r="AG20" s="92">
        <f t="shared" si="4"/>
        <v>51.153846153846153</v>
      </c>
      <c r="AH20" s="261" t="str">
        <f t="shared" si="5"/>
        <v>APROBADO</v>
      </c>
      <c r="AI20" s="262"/>
      <c r="AJ20" s="262"/>
      <c r="AK20" s="262"/>
      <c r="AL20" s="262"/>
      <c r="AM20" s="263"/>
      <c r="AN20" s="95"/>
      <c r="AO20" s="95"/>
      <c r="AP20" s="95"/>
      <c r="AQ20" s="95"/>
      <c r="AR20" s="95"/>
    </row>
    <row r="21" spans="1:44" ht="12" customHeight="1" x14ac:dyDescent="0.35">
      <c r="A21" s="59">
        <v>13</v>
      </c>
      <c r="B21" s="90" t="str">
        <f>'C. FILIACION'!B20</f>
        <v>MENACHO LINEO ANDREA KIMBERLY</v>
      </c>
      <c r="C21" s="31">
        <v>10</v>
      </c>
      <c r="D21" s="61">
        <v>32</v>
      </c>
      <c r="E21" s="61">
        <v>20</v>
      </c>
      <c r="F21" s="61">
        <v>30</v>
      </c>
      <c r="G21" s="61">
        <v>0</v>
      </c>
      <c r="H21" s="61">
        <v>25</v>
      </c>
      <c r="I21" s="31"/>
      <c r="J21" s="31"/>
      <c r="K21" s="31"/>
      <c r="L21" s="31"/>
      <c r="M21" s="31"/>
      <c r="N21" s="31"/>
      <c r="O21" s="92">
        <f t="shared" si="0"/>
        <v>21</v>
      </c>
      <c r="P21" s="31">
        <v>0</v>
      </c>
      <c r="Q21" s="31">
        <v>32</v>
      </c>
      <c r="R21" s="31">
        <v>30</v>
      </c>
      <c r="S21" s="31">
        <v>32</v>
      </c>
      <c r="T21" s="31"/>
      <c r="U21" s="31"/>
      <c r="V21" s="31"/>
      <c r="W21" s="31"/>
      <c r="X21" s="31"/>
      <c r="Y21" s="31"/>
      <c r="Z21" s="31"/>
      <c r="AA21" s="31">
        <v>8</v>
      </c>
      <c r="AB21" s="92">
        <f t="shared" si="1"/>
        <v>24</v>
      </c>
      <c r="AC21" s="31">
        <v>3</v>
      </c>
      <c r="AD21" s="31">
        <v>4</v>
      </c>
      <c r="AE21" s="92">
        <f t="shared" si="2"/>
        <v>7</v>
      </c>
      <c r="AF21" s="93" t="str">
        <f t="shared" si="3"/>
        <v>DO</v>
      </c>
      <c r="AG21" s="92">
        <f t="shared" si="4"/>
        <v>70</v>
      </c>
      <c r="AH21" s="261" t="str">
        <f t="shared" si="5"/>
        <v>APROBADO</v>
      </c>
      <c r="AI21" s="262"/>
      <c r="AJ21" s="262"/>
      <c r="AK21" s="262"/>
      <c r="AL21" s="262"/>
      <c r="AM21" s="263"/>
      <c r="AN21" s="95"/>
      <c r="AO21" s="95"/>
      <c r="AP21" s="95"/>
      <c r="AQ21" s="95"/>
      <c r="AR21" s="95"/>
    </row>
    <row r="22" spans="1:44" ht="12" customHeight="1" x14ac:dyDescent="0.35">
      <c r="A22" s="59">
        <v>14</v>
      </c>
      <c r="B22" s="90" t="str">
        <f>'C. FILIACION'!B21</f>
        <v>PILLCO APAZA MARIAN ALEXANDRA</v>
      </c>
      <c r="C22" s="31">
        <v>10</v>
      </c>
      <c r="D22" s="61">
        <v>24</v>
      </c>
      <c r="E22" s="61">
        <v>25</v>
      </c>
      <c r="F22" s="61">
        <v>30</v>
      </c>
      <c r="G22" s="61">
        <v>25</v>
      </c>
      <c r="H22" s="61">
        <v>22</v>
      </c>
      <c r="I22" s="31"/>
      <c r="J22" s="31"/>
      <c r="K22" s="31"/>
      <c r="L22" s="31"/>
      <c r="M22" s="31"/>
      <c r="N22" s="31"/>
      <c r="O22" s="92">
        <f t="shared" si="0"/>
        <v>25</v>
      </c>
      <c r="P22" s="31">
        <v>0</v>
      </c>
      <c r="Q22" s="31">
        <v>30</v>
      </c>
      <c r="R22" s="31">
        <v>30</v>
      </c>
      <c r="S22" s="31">
        <v>10</v>
      </c>
      <c r="T22" s="31"/>
      <c r="U22" s="31"/>
      <c r="V22" s="31"/>
      <c r="W22" s="31"/>
      <c r="X22" s="31"/>
      <c r="Y22" s="31"/>
      <c r="Z22" s="31"/>
      <c r="AA22" s="31">
        <v>8</v>
      </c>
      <c r="AB22" s="92">
        <f t="shared" si="1"/>
        <v>18</v>
      </c>
      <c r="AC22" s="31">
        <v>5</v>
      </c>
      <c r="AD22" s="31">
        <v>5</v>
      </c>
      <c r="AE22" s="92">
        <f t="shared" si="2"/>
        <v>10</v>
      </c>
      <c r="AF22" s="93" t="str">
        <f t="shared" si="3"/>
        <v>DO</v>
      </c>
      <c r="AG22" s="92">
        <f t="shared" si="4"/>
        <v>71</v>
      </c>
      <c r="AH22" s="261" t="str">
        <f t="shared" si="5"/>
        <v>APROBADO</v>
      </c>
      <c r="AI22" s="262"/>
      <c r="AJ22" s="262"/>
      <c r="AK22" s="262"/>
      <c r="AL22" s="262"/>
      <c r="AM22" s="263"/>
      <c r="AN22" s="95"/>
      <c r="AO22" s="95"/>
      <c r="AP22" s="95"/>
      <c r="AQ22" s="95"/>
      <c r="AR22" s="95"/>
    </row>
    <row r="23" spans="1:44" ht="12" customHeight="1" x14ac:dyDescent="0.35">
      <c r="A23" s="59">
        <v>15</v>
      </c>
      <c r="B23" s="90" t="str">
        <f>'C. FILIACION'!B22</f>
        <v>RUEDA ALVAREZ GREGORY STEVEN</v>
      </c>
      <c r="C23" s="31">
        <v>10</v>
      </c>
      <c r="D23" s="61">
        <v>15</v>
      </c>
      <c r="E23" s="61">
        <v>30</v>
      </c>
      <c r="F23" s="61">
        <v>32</v>
      </c>
      <c r="G23" s="61">
        <v>10</v>
      </c>
      <c r="H23" s="61">
        <v>20</v>
      </c>
      <c r="I23" s="31"/>
      <c r="J23" s="31"/>
      <c r="K23" s="31"/>
      <c r="L23" s="31"/>
      <c r="M23" s="31"/>
      <c r="N23" s="31"/>
      <c r="O23" s="92">
        <f t="shared" si="0"/>
        <v>21</v>
      </c>
      <c r="P23" s="31">
        <v>27</v>
      </c>
      <c r="Q23" s="31">
        <v>30</v>
      </c>
      <c r="R23" s="31">
        <v>32</v>
      </c>
      <c r="S23" s="31">
        <v>10</v>
      </c>
      <c r="T23" s="31"/>
      <c r="U23" s="31"/>
      <c r="V23" s="31"/>
      <c r="W23" s="31"/>
      <c r="X23" s="31"/>
      <c r="Y23" s="31"/>
      <c r="Z23" s="31"/>
      <c r="AA23" s="31">
        <v>9</v>
      </c>
      <c r="AB23" s="92">
        <f t="shared" si="1"/>
        <v>25</v>
      </c>
      <c r="AC23" s="31">
        <v>4</v>
      </c>
      <c r="AD23" s="31">
        <v>3</v>
      </c>
      <c r="AE23" s="92">
        <f t="shared" si="2"/>
        <v>7</v>
      </c>
      <c r="AF23" s="93" t="str">
        <f t="shared" si="3"/>
        <v>DO</v>
      </c>
      <c r="AG23" s="92">
        <f t="shared" si="4"/>
        <v>72</v>
      </c>
      <c r="AH23" s="261" t="str">
        <f t="shared" si="5"/>
        <v>APROBADO</v>
      </c>
      <c r="AI23" s="262"/>
      <c r="AJ23" s="262"/>
      <c r="AK23" s="262"/>
      <c r="AL23" s="262"/>
      <c r="AM23" s="263"/>
      <c r="AN23" s="95"/>
      <c r="AO23" s="95"/>
      <c r="AP23" s="95"/>
      <c r="AQ23" s="95"/>
      <c r="AR23" s="95"/>
    </row>
    <row r="24" spans="1:44" ht="12" customHeight="1" x14ac:dyDescent="0.35">
      <c r="A24" s="59">
        <v>16</v>
      </c>
      <c r="B24" s="194" t="str">
        <f>'C. FILIACION'!B23</f>
        <v>VARGAS JOYCE BELEN</v>
      </c>
      <c r="C24" s="195">
        <v>1.5384615384615385</v>
      </c>
      <c r="D24" s="189">
        <v>0</v>
      </c>
      <c r="E24" s="189">
        <v>0</v>
      </c>
      <c r="F24" s="189">
        <v>0</v>
      </c>
      <c r="G24" s="189">
        <v>10</v>
      </c>
      <c r="H24" s="189">
        <v>10</v>
      </c>
      <c r="I24" s="195"/>
      <c r="J24" s="195"/>
      <c r="K24" s="195"/>
      <c r="L24" s="195"/>
      <c r="M24" s="195"/>
      <c r="N24" s="195"/>
      <c r="O24" s="196">
        <f t="shared" si="0"/>
        <v>4</v>
      </c>
      <c r="P24" s="195">
        <v>10</v>
      </c>
      <c r="Q24" s="195">
        <v>10</v>
      </c>
      <c r="R24" s="195">
        <v>10</v>
      </c>
      <c r="S24" s="195">
        <v>6</v>
      </c>
      <c r="T24" s="195"/>
      <c r="U24" s="195"/>
      <c r="V24" s="195"/>
      <c r="W24" s="195"/>
      <c r="X24" s="195"/>
      <c r="Y24" s="195"/>
      <c r="Z24" s="195"/>
      <c r="AA24" s="195">
        <v>5</v>
      </c>
      <c r="AB24" s="196">
        <f t="shared" si="1"/>
        <v>9</v>
      </c>
      <c r="AC24" s="195">
        <v>5</v>
      </c>
      <c r="AD24" s="195">
        <v>5</v>
      </c>
      <c r="AE24" s="196">
        <f t="shared" si="2"/>
        <v>10</v>
      </c>
      <c r="AF24" s="197" t="str">
        <f t="shared" si="3"/>
        <v>ED</v>
      </c>
      <c r="AG24" s="196">
        <f t="shared" si="4"/>
        <v>29.53846153846154</v>
      </c>
      <c r="AH24" s="283" t="str">
        <f t="shared" si="5"/>
        <v>REPROBADO</v>
      </c>
      <c r="AI24" s="284"/>
      <c r="AJ24" s="284"/>
      <c r="AK24" s="284"/>
      <c r="AL24" s="284"/>
      <c r="AM24" s="285"/>
      <c r="AN24" s="95"/>
      <c r="AO24" s="95"/>
      <c r="AP24" s="95"/>
      <c r="AQ24" s="95"/>
      <c r="AR24" s="95"/>
    </row>
    <row r="25" spans="1:44" ht="12" customHeight="1" x14ac:dyDescent="0.35">
      <c r="A25" s="59">
        <v>17</v>
      </c>
      <c r="B25" s="90" t="str">
        <f>'C. FILIACION'!B24</f>
        <v>ZURITA JIMENEZ ELMER ARTURO</v>
      </c>
      <c r="C25" s="31">
        <v>10</v>
      </c>
      <c r="D25" s="61">
        <v>32</v>
      </c>
      <c r="E25" s="61">
        <v>20</v>
      </c>
      <c r="F25" s="61">
        <v>30</v>
      </c>
      <c r="G25" s="61">
        <v>0</v>
      </c>
      <c r="H25" s="61">
        <v>22</v>
      </c>
      <c r="I25" s="31"/>
      <c r="J25" s="31"/>
      <c r="K25" s="31"/>
      <c r="L25" s="31"/>
      <c r="M25" s="31"/>
      <c r="N25" s="31"/>
      <c r="O25" s="92">
        <f t="shared" si="0"/>
        <v>21</v>
      </c>
      <c r="P25" s="31">
        <v>30</v>
      </c>
      <c r="Q25" s="31">
        <v>30</v>
      </c>
      <c r="R25" s="31">
        <v>30</v>
      </c>
      <c r="S25" s="31">
        <v>35</v>
      </c>
      <c r="T25" s="31"/>
      <c r="U25" s="31"/>
      <c r="V25" s="31"/>
      <c r="W25" s="31"/>
      <c r="X25" s="31"/>
      <c r="Y25" s="31"/>
      <c r="Z25" s="31"/>
      <c r="AA25" s="31">
        <v>10</v>
      </c>
      <c r="AB25" s="92">
        <f t="shared" si="1"/>
        <v>31</v>
      </c>
      <c r="AC25" s="31">
        <v>4</v>
      </c>
      <c r="AD25" s="31">
        <v>4</v>
      </c>
      <c r="AE25" s="92">
        <f t="shared" si="2"/>
        <v>8</v>
      </c>
      <c r="AF25" s="93" t="str">
        <f t="shared" si="3"/>
        <v>DO</v>
      </c>
      <c r="AG25" s="92">
        <f t="shared" si="4"/>
        <v>80</v>
      </c>
      <c r="AH25" s="261" t="str">
        <f t="shared" si="5"/>
        <v>APROBADO</v>
      </c>
      <c r="AI25" s="262"/>
      <c r="AJ25" s="262"/>
      <c r="AK25" s="262"/>
      <c r="AL25" s="262"/>
      <c r="AM25" s="263"/>
      <c r="AN25" s="95"/>
      <c r="AO25" s="95"/>
      <c r="AP25" s="95"/>
      <c r="AQ25" s="95"/>
      <c r="AR25" s="95"/>
    </row>
    <row r="26" spans="1:44" ht="12" customHeight="1" x14ac:dyDescent="0.35">
      <c r="A26" s="59">
        <v>18</v>
      </c>
      <c r="B26" s="183" t="str">
        <f>'C. FILIACION'!B25</f>
        <v>ADRIAN FLORES EDDY BEYMAR</v>
      </c>
      <c r="C26" s="184">
        <v>6.1538461538461542</v>
      </c>
      <c r="D26" s="185">
        <v>18</v>
      </c>
      <c r="E26" s="185">
        <v>18</v>
      </c>
      <c r="F26" s="185">
        <v>18</v>
      </c>
      <c r="G26" s="185">
        <v>10</v>
      </c>
      <c r="H26" s="185">
        <v>18</v>
      </c>
      <c r="I26" s="184"/>
      <c r="J26" s="184"/>
      <c r="K26" s="184"/>
      <c r="L26" s="184"/>
      <c r="M26" s="184"/>
      <c r="N26" s="184"/>
      <c r="O26" s="186">
        <f t="shared" si="0"/>
        <v>16</v>
      </c>
      <c r="P26" s="184">
        <v>10</v>
      </c>
      <c r="Q26" s="184">
        <v>10</v>
      </c>
      <c r="R26" s="184">
        <v>10</v>
      </c>
      <c r="S26" s="184">
        <v>15</v>
      </c>
      <c r="T26" s="184"/>
      <c r="U26" s="184"/>
      <c r="V26" s="184"/>
      <c r="W26" s="184"/>
      <c r="X26" s="184"/>
      <c r="Y26" s="184"/>
      <c r="Z26" s="184"/>
      <c r="AA26" s="184">
        <v>10</v>
      </c>
      <c r="AB26" s="186">
        <f t="shared" si="1"/>
        <v>11</v>
      </c>
      <c r="AC26" s="184">
        <v>5</v>
      </c>
      <c r="AD26" s="184">
        <v>5</v>
      </c>
      <c r="AE26" s="186">
        <f t="shared" si="2"/>
        <v>10</v>
      </c>
      <c r="AF26" s="187" t="str">
        <f t="shared" si="3"/>
        <v>DA</v>
      </c>
      <c r="AG26" s="186">
        <f t="shared" si="4"/>
        <v>53.153846153846153</v>
      </c>
      <c r="AH26" s="286" t="str">
        <f t="shared" si="5"/>
        <v>APROBADO</v>
      </c>
      <c r="AI26" s="287"/>
      <c r="AJ26" s="287"/>
      <c r="AK26" s="287"/>
      <c r="AL26" s="287"/>
      <c r="AM26" s="288"/>
      <c r="AN26" s="95"/>
      <c r="AO26" s="95"/>
      <c r="AP26" s="95"/>
      <c r="AQ26" s="95"/>
      <c r="AR26" s="95"/>
    </row>
    <row r="27" spans="1:44" ht="12" customHeight="1" x14ac:dyDescent="0.35">
      <c r="A27" s="59">
        <v>19</v>
      </c>
      <c r="B27" s="90" t="str">
        <f>'C. FILIACION'!B26</f>
        <v xml:space="preserve">VENTURA CHOQUE DANELY </v>
      </c>
      <c r="C27" s="31">
        <v>8.75</v>
      </c>
      <c r="D27" s="61"/>
      <c r="E27" s="61"/>
      <c r="F27" s="61">
        <v>14</v>
      </c>
      <c r="G27" s="61">
        <v>14</v>
      </c>
      <c r="H27" s="61">
        <v>27</v>
      </c>
      <c r="I27" s="31"/>
      <c r="J27" s="31"/>
      <c r="K27" s="31"/>
      <c r="L27" s="31"/>
      <c r="M27" s="31"/>
      <c r="N27" s="31"/>
      <c r="O27" s="92">
        <f t="shared" si="0"/>
        <v>18</v>
      </c>
      <c r="P27" s="31"/>
      <c r="Q27" s="31">
        <v>30</v>
      </c>
      <c r="R27" s="31">
        <v>10</v>
      </c>
      <c r="S27" s="31">
        <v>34</v>
      </c>
      <c r="T27" s="31"/>
      <c r="U27" s="31"/>
      <c r="V27" s="31"/>
      <c r="W27" s="31"/>
      <c r="X27" s="31"/>
      <c r="Y27" s="31"/>
      <c r="Z27" s="31"/>
      <c r="AA27" s="31">
        <v>10</v>
      </c>
      <c r="AB27" s="92">
        <f t="shared" si="1"/>
        <v>25</v>
      </c>
      <c r="AC27" s="31">
        <v>4</v>
      </c>
      <c r="AD27" s="31">
        <v>4</v>
      </c>
      <c r="AE27" s="92">
        <f t="shared" si="2"/>
        <v>8</v>
      </c>
      <c r="AF27" s="93" t="str">
        <f t="shared" si="3"/>
        <v>DO</v>
      </c>
      <c r="AG27" s="92">
        <f t="shared" si="4"/>
        <v>69.75</v>
      </c>
      <c r="AH27" s="261" t="str">
        <f t="shared" si="5"/>
        <v>APROBADO</v>
      </c>
      <c r="AI27" s="262"/>
      <c r="AJ27" s="262"/>
      <c r="AK27" s="262"/>
      <c r="AL27" s="262"/>
      <c r="AM27" s="263"/>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1" t="str">
        <f t="shared" si="5"/>
        <v>APROBADO</v>
      </c>
      <c r="AI28" s="262"/>
      <c r="AJ28" s="262"/>
      <c r="AK28" s="262"/>
      <c r="AL28" s="262"/>
      <c r="AM28" s="263"/>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1" t="str">
        <f t="shared" si="5"/>
        <v>APROBADO</v>
      </c>
      <c r="AI29" s="262"/>
      <c r="AJ29" s="262"/>
      <c r="AK29" s="262"/>
      <c r="AL29" s="262"/>
      <c r="AM29" s="263"/>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1" t="str">
        <f t="shared" si="5"/>
        <v>APROBADO</v>
      </c>
      <c r="AI30" s="262"/>
      <c r="AJ30" s="262"/>
      <c r="AK30" s="262"/>
      <c r="AL30" s="262"/>
      <c r="AM30" s="263"/>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1" t="str">
        <f t="shared" si="5"/>
        <v>APROBADO</v>
      </c>
      <c r="AI31" s="262"/>
      <c r="AJ31" s="262"/>
      <c r="AK31" s="262"/>
      <c r="AL31" s="262"/>
      <c r="AM31" s="263"/>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1" t="str">
        <f t="shared" si="5"/>
        <v>APROBADO</v>
      </c>
      <c r="AI32" s="262"/>
      <c r="AJ32" s="262"/>
      <c r="AK32" s="262"/>
      <c r="AL32" s="262"/>
      <c r="AM32" s="263"/>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1" t="str">
        <f t="shared" si="5"/>
        <v>APROBADO</v>
      </c>
      <c r="AI33" s="262"/>
      <c r="AJ33" s="262"/>
      <c r="AK33" s="262"/>
      <c r="AL33" s="262"/>
      <c r="AM33" s="263"/>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1" t="str">
        <f t="shared" si="5"/>
        <v>APROBADO</v>
      </c>
      <c r="AI34" s="262"/>
      <c r="AJ34" s="262"/>
      <c r="AK34" s="262"/>
      <c r="AL34" s="262"/>
      <c r="AM34" s="263"/>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1" t="str">
        <f t="shared" si="5"/>
        <v>APROBADO</v>
      </c>
      <c r="AI35" s="262"/>
      <c r="AJ35" s="262"/>
      <c r="AK35" s="262"/>
      <c r="AL35" s="262"/>
      <c r="AM35" s="263"/>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1" t="str">
        <f t="shared" si="5"/>
        <v>APROBADO</v>
      </c>
      <c r="AI36" s="262"/>
      <c r="AJ36" s="262"/>
      <c r="AK36" s="262"/>
      <c r="AL36" s="262"/>
      <c r="AM36" s="263"/>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1" t="str">
        <f t="shared" si="5"/>
        <v>APROBADO</v>
      </c>
      <c r="AI37" s="262"/>
      <c r="AJ37" s="262"/>
      <c r="AK37" s="262"/>
      <c r="AL37" s="262"/>
      <c r="AM37" s="263"/>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1" t="str">
        <f t="shared" si="5"/>
        <v>APROBADO</v>
      </c>
      <c r="AI38" s="262"/>
      <c r="AJ38" s="262"/>
      <c r="AK38" s="262"/>
      <c r="AL38" s="262"/>
      <c r="AM38" s="263"/>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1" t="str">
        <f t="shared" si="5"/>
        <v>APROBADO</v>
      </c>
      <c r="AI39" s="262"/>
      <c r="AJ39" s="262"/>
      <c r="AK39" s="262"/>
      <c r="AL39" s="262"/>
      <c r="AM39" s="263"/>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1" t="str">
        <f t="shared" si="5"/>
        <v>APROBADO</v>
      </c>
      <c r="AI40" s="262"/>
      <c r="AJ40" s="262"/>
      <c r="AK40" s="262"/>
      <c r="AL40" s="262"/>
      <c r="AM40" s="263"/>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1" t="str">
        <f t="shared" si="5"/>
        <v>APROBADO</v>
      </c>
      <c r="AI41" s="262"/>
      <c r="AJ41" s="262"/>
      <c r="AK41" s="262"/>
      <c r="AL41" s="262"/>
      <c r="AM41" s="263"/>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1" t="str">
        <f t="shared" si="5"/>
        <v>APROBADO</v>
      </c>
      <c r="AI42" s="262"/>
      <c r="AJ42" s="262"/>
      <c r="AK42" s="262"/>
      <c r="AL42" s="262"/>
      <c r="AM42" s="263"/>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1" t="str">
        <f t="shared" si="5"/>
        <v>APROBADO</v>
      </c>
      <c r="AI43" s="262"/>
      <c r="AJ43" s="262"/>
      <c r="AK43" s="262"/>
      <c r="AL43" s="262"/>
      <c r="AM43" s="263"/>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1" t="str">
        <f t="shared" si="5"/>
        <v>APROBADO</v>
      </c>
      <c r="AI44" s="262"/>
      <c r="AJ44" s="262"/>
      <c r="AK44" s="262"/>
      <c r="AL44" s="262"/>
      <c r="AM44" s="26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992187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992187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80" t="s">
        <v>106</v>
      </c>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c r="AN2" s="202"/>
      <c r="AO2" s="202"/>
      <c r="AP2" s="202"/>
      <c r="AQ2" s="202"/>
      <c r="AR2" s="203"/>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78" t="s">
        <v>50</v>
      </c>
      <c r="AD3" s="262"/>
      <c r="AE3" s="262"/>
      <c r="AF3" s="262"/>
      <c r="AG3" s="262"/>
      <c r="AH3" s="263"/>
      <c r="AI3" s="229">
        <f>CARÁTULA!$H$24</f>
        <v>44440</v>
      </c>
      <c r="AJ3" s="211"/>
      <c r="AK3" s="211"/>
      <c r="AL3" s="211"/>
      <c r="AM3" s="211"/>
      <c r="AN3" s="281" t="s">
        <v>51</v>
      </c>
      <c r="AO3" s="202"/>
      <c r="AP3" s="202"/>
      <c r="AQ3" s="202"/>
      <c r="AR3" s="203"/>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8" t="s">
        <v>53</v>
      </c>
      <c r="AD4" s="262"/>
      <c r="AE4" s="262"/>
      <c r="AF4" s="262"/>
      <c r="AG4" s="262"/>
      <c r="AH4" s="263"/>
      <c r="AI4" s="229">
        <f>CARÁTULA!$J$24</f>
        <v>44531</v>
      </c>
      <c r="AJ4" s="211"/>
      <c r="AK4" s="211"/>
      <c r="AL4" s="211"/>
      <c r="AM4" s="211"/>
      <c r="AN4" s="260">
        <f ca="1">AI4-AI5</f>
        <v>71</v>
      </c>
      <c r="AO4" s="221"/>
      <c r="AP4" s="221"/>
      <c r="AQ4" s="221"/>
      <c r="AR4" s="222"/>
    </row>
    <row r="5" spans="1:48" ht="12.75" customHeight="1" x14ac:dyDescent="0.4">
      <c r="A5" s="71"/>
      <c r="B5" s="74" t="s">
        <v>22</v>
      </c>
      <c r="C5" s="75" t="str">
        <f>CARÁTULA!$C$23</f>
        <v>6to de Secundaria</v>
      </c>
      <c r="D5" s="76"/>
      <c r="E5" s="76"/>
      <c r="F5" s="76"/>
      <c r="G5" s="74"/>
      <c r="H5" s="74"/>
      <c r="I5" s="74"/>
      <c r="J5" s="74"/>
      <c r="K5" s="74"/>
      <c r="L5" s="74"/>
      <c r="M5" s="74"/>
      <c r="N5" s="74"/>
      <c r="O5" s="77" t="s">
        <v>23</v>
      </c>
      <c r="P5" s="79"/>
      <c r="Q5" s="79"/>
      <c r="R5" s="79"/>
      <c r="S5" s="274">
        <f ca="1">TODAY()</f>
        <v>44460</v>
      </c>
      <c r="T5" s="202"/>
      <c r="U5" s="202"/>
      <c r="V5" s="202"/>
      <c r="W5" s="202"/>
      <c r="X5" s="202"/>
      <c r="Y5" s="202"/>
      <c r="Z5" s="202"/>
      <c r="AA5" s="203"/>
      <c r="AB5" s="76"/>
      <c r="AC5" s="279" t="s">
        <v>54</v>
      </c>
      <c r="AD5" s="262"/>
      <c r="AE5" s="262"/>
      <c r="AF5" s="262"/>
      <c r="AG5" s="262"/>
      <c r="AH5" s="263"/>
      <c r="AI5" s="282">
        <f ca="1">TODAY()</f>
        <v>44460</v>
      </c>
      <c r="AJ5" s="211"/>
      <c r="AK5" s="211"/>
      <c r="AL5" s="211"/>
      <c r="AM5" s="211"/>
      <c r="AN5" s="223"/>
      <c r="AO5" s="224"/>
      <c r="AP5" s="224"/>
      <c r="AQ5" s="224"/>
      <c r="AR5" s="225"/>
    </row>
    <row r="6" spans="1:48" ht="12.75" customHeight="1" x14ac:dyDescent="0.4">
      <c r="A6" s="71"/>
      <c r="B6" s="74"/>
      <c r="C6" s="217" t="s">
        <v>79</v>
      </c>
      <c r="D6" s="218"/>
      <c r="E6" s="218"/>
      <c r="F6" s="218"/>
      <c r="G6" s="218"/>
      <c r="H6" s="218"/>
      <c r="I6" s="218"/>
      <c r="J6" s="218"/>
      <c r="K6" s="218"/>
      <c r="L6" s="218"/>
      <c r="M6" s="218"/>
      <c r="N6" s="218"/>
      <c r="O6" s="218"/>
      <c r="P6" s="218"/>
      <c r="Q6" s="218"/>
      <c r="R6" s="218"/>
      <c r="S6" s="218"/>
      <c r="T6" s="218"/>
      <c r="U6" s="218"/>
      <c r="V6" s="218"/>
      <c r="W6" s="218"/>
      <c r="X6" s="218"/>
      <c r="Y6" s="218"/>
      <c r="Z6" s="218"/>
      <c r="AA6" s="219"/>
      <c r="AB6" s="275" t="s">
        <v>80</v>
      </c>
      <c r="AC6" s="262"/>
      <c r="AD6" s="262"/>
      <c r="AE6" s="263"/>
      <c r="AF6" s="80"/>
      <c r="AG6" s="81"/>
      <c r="AH6" s="81"/>
      <c r="AI6" s="82"/>
      <c r="AJ6" s="83"/>
      <c r="AK6" s="83"/>
      <c r="AL6" s="83"/>
      <c r="AM6" s="83"/>
      <c r="AN6" s="84"/>
      <c r="AO6" s="84"/>
      <c r="AP6" s="84"/>
      <c r="AQ6" s="84"/>
      <c r="AR6" s="84"/>
    </row>
    <row r="7" spans="1:48" ht="12" customHeight="1" x14ac:dyDescent="0.4">
      <c r="A7" s="71"/>
      <c r="B7" s="85"/>
      <c r="C7" s="276" t="s">
        <v>81</v>
      </c>
      <c r="D7" s="277" t="s">
        <v>82</v>
      </c>
      <c r="E7" s="262"/>
      <c r="F7" s="262"/>
      <c r="G7" s="262"/>
      <c r="H7" s="262"/>
      <c r="I7" s="262"/>
      <c r="J7" s="262"/>
      <c r="K7" s="262"/>
      <c r="L7" s="262"/>
      <c r="M7" s="262"/>
      <c r="N7" s="262"/>
      <c r="O7" s="273" t="s">
        <v>83</v>
      </c>
      <c r="P7" s="277" t="s">
        <v>84</v>
      </c>
      <c r="Q7" s="262"/>
      <c r="R7" s="262"/>
      <c r="S7" s="262"/>
      <c r="T7" s="262"/>
      <c r="U7" s="262"/>
      <c r="V7" s="262"/>
      <c r="W7" s="262"/>
      <c r="X7" s="262"/>
      <c r="Y7" s="262"/>
      <c r="Z7" s="262"/>
      <c r="AA7" s="272" t="s">
        <v>85</v>
      </c>
      <c r="AB7" s="273" t="s">
        <v>83</v>
      </c>
      <c r="AC7" s="272" t="s">
        <v>86</v>
      </c>
      <c r="AD7" s="272" t="s">
        <v>87</v>
      </c>
      <c r="AE7" s="273" t="s">
        <v>83</v>
      </c>
      <c r="AF7" s="265" t="s">
        <v>88</v>
      </c>
      <c r="AG7" s="267" t="s">
        <v>89</v>
      </c>
      <c r="AH7" s="268" t="s">
        <v>90</v>
      </c>
      <c r="AI7" s="218"/>
      <c r="AJ7" s="218"/>
      <c r="AK7" s="218"/>
      <c r="AL7" s="218"/>
      <c r="AM7" s="219"/>
      <c r="AN7" s="86"/>
      <c r="AO7" s="76"/>
      <c r="AP7" s="76"/>
      <c r="AQ7" s="76"/>
      <c r="AR7" s="71"/>
    </row>
    <row r="8" spans="1:48" ht="67.5" customHeight="1" x14ac:dyDescent="0.35">
      <c r="A8" s="48" t="s">
        <v>55</v>
      </c>
      <c r="B8" s="49" t="s">
        <v>56</v>
      </c>
      <c r="C8" s="266"/>
      <c r="D8" s="54"/>
      <c r="E8" s="54"/>
      <c r="F8" s="54"/>
      <c r="G8" s="54"/>
      <c r="H8" s="54"/>
      <c r="I8" s="54"/>
      <c r="J8" s="54"/>
      <c r="K8" s="54"/>
      <c r="L8" s="54"/>
      <c r="M8" s="54"/>
      <c r="N8" s="55"/>
      <c r="O8" s="266"/>
      <c r="P8" s="96"/>
      <c r="Q8" s="54"/>
      <c r="R8" s="54"/>
      <c r="S8" s="54"/>
      <c r="T8" s="54"/>
      <c r="U8" s="54"/>
      <c r="V8" s="54"/>
      <c r="W8" s="54"/>
      <c r="X8" s="54"/>
      <c r="Y8" s="54"/>
      <c r="Z8" s="54"/>
      <c r="AA8" s="266"/>
      <c r="AB8" s="266"/>
      <c r="AC8" s="266"/>
      <c r="AD8" s="266"/>
      <c r="AE8" s="266"/>
      <c r="AF8" s="266"/>
      <c r="AG8" s="266"/>
      <c r="AH8" s="269"/>
      <c r="AI8" s="270"/>
      <c r="AJ8" s="270"/>
      <c r="AK8" s="270"/>
      <c r="AL8" s="270"/>
      <c r="AM8" s="271"/>
      <c r="AN8" s="88"/>
      <c r="AO8" s="88"/>
      <c r="AP8" s="88"/>
      <c r="AQ8" s="88"/>
      <c r="AR8" s="89"/>
    </row>
    <row r="9" spans="1:48" ht="12" customHeight="1" x14ac:dyDescent="0.35">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61" t="str">
        <f t="shared" ref="AH9:AH44" si="5">IF(AG9="","",(IF(AND(AG9&gt;=1,AG9&lt;=50.499),"REPROBADO",IF(AND(AG9&gt;=50.5,AG9&lt;=100),"APROBADO"))))</f>
        <v>APROBADO</v>
      </c>
      <c r="AI9" s="262"/>
      <c r="AJ9" s="262"/>
      <c r="AK9" s="262"/>
      <c r="AL9" s="262"/>
      <c r="AM9" s="263"/>
      <c r="AN9" s="94" t="s">
        <v>101</v>
      </c>
      <c r="AO9" s="264">
        <f>COUNTIF(AF9:AF44,"ED")</f>
        <v>0</v>
      </c>
      <c r="AP9" s="263"/>
      <c r="AQ9" s="95"/>
      <c r="AR9" s="95"/>
    </row>
    <row r="10" spans="1:48" ht="12" customHeight="1" x14ac:dyDescent="0.35">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61" t="str">
        <f t="shared" si="5"/>
        <v>APROBADO</v>
      </c>
      <c r="AI10" s="262"/>
      <c r="AJ10" s="262"/>
      <c r="AK10" s="262"/>
      <c r="AL10" s="262"/>
      <c r="AM10" s="263"/>
      <c r="AN10" s="48" t="s">
        <v>102</v>
      </c>
      <c r="AO10" s="264">
        <f>COUNTIF(AF9:AF44,"DA")</f>
        <v>0</v>
      </c>
      <c r="AP10" s="263"/>
      <c r="AQ10" s="95"/>
      <c r="AR10" s="95"/>
    </row>
    <row r="11" spans="1:48" ht="12" customHeight="1" x14ac:dyDescent="0.35">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61" t="str">
        <f t="shared" si="5"/>
        <v>APROBADO</v>
      </c>
      <c r="AI11" s="262"/>
      <c r="AJ11" s="262"/>
      <c r="AK11" s="262"/>
      <c r="AL11" s="262"/>
      <c r="AM11" s="263"/>
      <c r="AN11" s="48" t="s">
        <v>103</v>
      </c>
      <c r="AO11" s="264">
        <f>COUNTIF(AF9:AF44,"DO")</f>
        <v>0</v>
      </c>
      <c r="AP11" s="263"/>
      <c r="AQ11" s="95"/>
      <c r="AR11" s="95"/>
    </row>
    <row r="12" spans="1:48" ht="12" customHeight="1" x14ac:dyDescent="0.35">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61" t="str">
        <f t="shared" si="5"/>
        <v>APROBADO</v>
      </c>
      <c r="AI12" s="262"/>
      <c r="AJ12" s="262"/>
      <c r="AK12" s="262"/>
      <c r="AL12" s="262"/>
      <c r="AM12" s="263"/>
      <c r="AN12" s="48" t="s">
        <v>104</v>
      </c>
      <c r="AO12" s="264">
        <f>COUNTIF(AF9:AF44,"DP")</f>
        <v>36</v>
      </c>
      <c r="AP12" s="263"/>
      <c r="AQ12" s="95"/>
      <c r="AR12" s="95"/>
    </row>
    <row r="13" spans="1:48" ht="12" customHeight="1" x14ac:dyDescent="0.35">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61" t="str">
        <f t="shared" si="5"/>
        <v>APROBADO</v>
      </c>
      <c r="AI13" s="262"/>
      <c r="AJ13" s="262"/>
      <c r="AK13" s="262"/>
      <c r="AL13" s="262"/>
      <c r="AM13" s="263"/>
      <c r="AN13" s="95"/>
      <c r="AO13" s="95"/>
      <c r="AP13" s="95"/>
      <c r="AQ13" s="95"/>
      <c r="AR13" s="95"/>
    </row>
    <row r="14" spans="1:48" ht="12" customHeight="1" x14ac:dyDescent="0.35">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61" t="str">
        <f t="shared" si="5"/>
        <v>APROBADO</v>
      </c>
      <c r="AI14" s="262"/>
      <c r="AJ14" s="262"/>
      <c r="AK14" s="262"/>
      <c r="AL14" s="262"/>
      <c r="AM14" s="263"/>
      <c r="AN14" s="95"/>
      <c r="AO14" s="95"/>
      <c r="AP14" s="95"/>
      <c r="AQ14" s="95"/>
      <c r="AR14" s="95"/>
    </row>
    <row r="15" spans="1:48" ht="12" customHeight="1" x14ac:dyDescent="0.35">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61" t="str">
        <f t="shared" si="5"/>
        <v>APROBADO</v>
      </c>
      <c r="AI15" s="262"/>
      <c r="AJ15" s="262"/>
      <c r="AK15" s="262"/>
      <c r="AL15" s="262"/>
      <c r="AM15" s="263"/>
      <c r="AN15" s="95"/>
      <c r="AO15" s="95"/>
      <c r="AP15" s="95"/>
      <c r="AQ15" s="95"/>
      <c r="AR15" s="95"/>
    </row>
    <row r="16" spans="1:48" ht="12" customHeight="1" x14ac:dyDescent="0.35">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61" t="str">
        <f t="shared" si="5"/>
        <v>APROBADO</v>
      </c>
      <c r="AI16" s="262"/>
      <c r="AJ16" s="262"/>
      <c r="AK16" s="262"/>
      <c r="AL16" s="262"/>
      <c r="AM16" s="263"/>
      <c r="AN16" s="95"/>
      <c r="AO16" s="95"/>
      <c r="AP16" s="95"/>
      <c r="AQ16" s="95"/>
      <c r="AR16" s="95"/>
    </row>
    <row r="17" spans="1:44" ht="12" customHeight="1" x14ac:dyDescent="0.35">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61" t="str">
        <f t="shared" si="5"/>
        <v>APROBADO</v>
      </c>
      <c r="AI17" s="262"/>
      <c r="AJ17" s="262"/>
      <c r="AK17" s="262"/>
      <c r="AL17" s="262"/>
      <c r="AM17" s="263"/>
      <c r="AN17" s="95"/>
      <c r="AO17" s="95"/>
      <c r="AP17" s="95"/>
      <c r="AQ17" s="95"/>
      <c r="AR17" s="95"/>
    </row>
    <row r="18" spans="1:44" ht="12" customHeight="1" x14ac:dyDescent="0.35">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61" t="str">
        <f t="shared" si="5"/>
        <v>APROBADO</v>
      </c>
      <c r="AI18" s="262"/>
      <c r="AJ18" s="262"/>
      <c r="AK18" s="262"/>
      <c r="AL18" s="262"/>
      <c r="AM18" s="263"/>
      <c r="AN18" s="95"/>
      <c r="AO18" s="95"/>
      <c r="AP18" s="95"/>
      <c r="AQ18" s="95"/>
      <c r="AR18" s="95"/>
    </row>
    <row r="19" spans="1:44" ht="12" customHeight="1" x14ac:dyDescent="0.35">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61" t="str">
        <f t="shared" si="5"/>
        <v>APROBADO</v>
      </c>
      <c r="AI19" s="262"/>
      <c r="AJ19" s="262"/>
      <c r="AK19" s="262"/>
      <c r="AL19" s="262"/>
      <c r="AM19" s="263"/>
      <c r="AN19" s="95"/>
      <c r="AO19" s="95"/>
      <c r="AP19" s="95"/>
      <c r="AQ19" s="95"/>
      <c r="AR19" s="95"/>
    </row>
    <row r="20" spans="1:44" ht="12" customHeight="1" x14ac:dyDescent="0.35">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61" t="str">
        <f t="shared" si="5"/>
        <v>APROBADO</v>
      </c>
      <c r="AI20" s="262"/>
      <c r="AJ20" s="262"/>
      <c r="AK20" s="262"/>
      <c r="AL20" s="262"/>
      <c r="AM20" s="263"/>
      <c r="AN20" s="95"/>
      <c r="AO20" s="95"/>
      <c r="AP20" s="95"/>
      <c r="AQ20" s="95"/>
      <c r="AR20" s="95"/>
    </row>
    <row r="21" spans="1:44" ht="12" customHeight="1" x14ac:dyDescent="0.35">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61" t="str">
        <f t="shared" si="5"/>
        <v>APROBADO</v>
      </c>
      <c r="AI21" s="262"/>
      <c r="AJ21" s="262"/>
      <c r="AK21" s="262"/>
      <c r="AL21" s="262"/>
      <c r="AM21" s="263"/>
      <c r="AN21" s="95"/>
      <c r="AO21" s="95"/>
      <c r="AP21" s="95"/>
      <c r="AQ21" s="95"/>
      <c r="AR21" s="95"/>
    </row>
    <row r="22" spans="1:44" ht="12" customHeight="1" x14ac:dyDescent="0.35">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61" t="str">
        <f t="shared" si="5"/>
        <v>APROBADO</v>
      </c>
      <c r="AI22" s="262"/>
      <c r="AJ22" s="262"/>
      <c r="AK22" s="262"/>
      <c r="AL22" s="262"/>
      <c r="AM22" s="263"/>
      <c r="AN22" s="95"/>
      <c r="AO22" s="95"/>
      <c r="AP22" s="95"/>
      <c r="AQ22" s="95"/>
      <c r="AR22" s="95"/>
    </row>
    <row r="23" spans="1:44" ht="12" customHeight="1" x14ac:dyDescent="0.35">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61" t="str">
        <f t="shared" si="5"/>
        <v>APROBADO</v>
      </c>
      <c r="AI23" s="262"/>
      <c r="AJ23" s="262"/>
      <c r="AK23" s="262"/>
      <c r="AL23" s="262"/>
      <c r="AM23" s="263"/>
      <c r="AN23" s="95"/>
      <c r="AO23" s="95"/>
      <c r="AP23" s="95"/>
      <c r="AQ23" s="95"/>
      <c r="AR23" s="95"/>
    </row>
    <row r="24" spans="1:44" ht="12" customHeight="1" x14ac:dyDescent="0.35">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61" t="str">
        <f t="shared" si="5"/>
        <v>APROBADO</v>
      </c>
      <c r="AI24" s="262"/>
      <c r="AJ24" s="262"/>
      <c r="AK24" s="262"/>
      <c r="AL24" s="262"/>
      <c r="AM24" s="263"/>
      <c r="AN24" s="95"/>
      <c r="AO24" s="95"/>
      <c r="AP24" s="95"/>
      <c r="AQ24" s="95"/>
      <c r="AR24" s="95"/>
    </row>
    <row r="25" spans="1:44" ht="12" customHeight="1" x14ac:dyDescent="0.35">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61" t="str">
        <f t="shared" si="5"/>
        <v>APROBADO</v>
      </c>
      <c r="AI25" s="262"/>
      <c r="AJ25" s="262"/>
      <c r="AK25" s="262"/>
      <c r="AL25" s="262"/>
      <c r="AM25" s="263"/>
      <c r="AN25" s="95"/>
      <c r="AO25" s="95"/>
      <c r="AP25" s="95"/>
      <c r="AQ25" s="95"/>
      <c r="AR25" s="95"/>
    </row>
    <row r="26" spans="1:44" ht="12" customHeight="1" x14ac:dyDescent="0.35">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61" t="str">
        <f t="shared" si="5"/>
        <v>APROBADO</v>
      </c>
      <c r="AI26" s="262"/>
      <c r="AJ26" s="262"/>
      <c r="AK26" s="262"/>
      <c r="AL26" s="262"/>
      <c r="AM26" s="263"/>
      <c r="AN26" s="95"/>
      <c r="AO26" s="95"/>
      <c r="AP26" s="95"/>
      <c r="AQ26" s="95"/>
      <c r="AR26" s="95"/>
    </row>
    <row r="27" spans="1:44" ht="12" customHeight="1" x14ac:dyDescent="0.35">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61" t="str">
        <f t="shared" si="5"/>
        <v>APROBADO</v>
      </c>
      <c r="AI27" s="262"/>
      <c r="AJ27" s="262"/>
      <c r="AK27" s="262"/>
      <c r="AL27" s="262"/>
      <c r="AM27" s="263"/>
      <c r="AN27" s="95"/>
      <c r="AO27" s="95"/>
      <c r="AP27" s="95"/>
      <c r="AQ27" s="95"/>
      <c r="AR27" s="95"/>
    </row>
    <row r="28" spans="1:44" ht="12" customHeight="1" x14ac:dyDescent="0.35">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61" t="str">
        <f t="shared" si="5"/>
        <v>APROBADO</v>
      </c>
      <c r="AI28" s="262"/>
      <c r="AJ28" s="262"/>
      <c r="AK28" s="262"/>
      <c r="AL28" s="262"/>
      <c r="AM28" s="263"/>
      <c r="AN28" s="95"/>
      <c r="AO28" s="95"/>
      <c r="AP28" s="95"/>
      <c r="AQ28" s="95"/>
      <c r="AR28" s="95"/>
    </row>
    <row r="29" spans="1:44" ht="12" customHeight="1" x14ac:dyDescent="0.35">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61" t="str">
        <f t="shared" si="5"/>
        <v>APROBADO</v>
      </c>
      <c r="AI29" s="262"/>
      <c r="AJ29" s="262"/>
      <c r="AK29" s="262"/>
      <c r="AL29" s="262"/>
      <c r="AM29" s="263"/>
      <c r="AN29" s="95"/>
      <c r="AO29" s="95"/>
      <c r="AP29" s="95"/>
      <c r="AQ29" s="95"/>
      <c r="AR29" s="95"/>
    </row>
    <row r="30" spans="1:44" ht="12" customHeight="1" x14ac:dyDescent="0.35">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61" t="str">
        <f t="shared" si="5"/>
        <v>APROBADO</v>
      </c>
      <c r="AI30" s="262"/>
      <c r="AJ30" s="262"/>
      <c r="AK30" s="262"/>
      <c r="AL30" s="262"/>
      <c r="AM30" s="263"/>
      <c r="AN30" s="95"/>
      <c r="AO30" s="95"/>
      <c r="AP30" s="95"/>
      <c r="AQ30" s="95"/>
      <c r="AR30" s="95"/>
    </row>
    <row r="31" spans="1:44" ht="12" customHeight="1" x14ac:dyDescent="0.35">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61" t="str">
        <f t="shared" si="5"/>
        <v>APROBADO</v>
      </c>
      <c r="AI31" s="262"/>
      <c r="AJ31" s="262"/>
      <c r="AK31" s="262"/>
      <c r="AL31" s="262"/>
      <c r="AM31" s="263"/>
      <c r="AN31" s="95"/>
      <c r="AO31" s="95"/>
      <c r="AP31" s="95"/>
      <c r="AQ31" s="95"/>
      <c r="AR31" s="95"/>
    </row>
    <row r="32" spans="1:44" ht="12" customHeight="1" x14ac:dyDescent="0.35">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61" t="str">
        <f t="shared" si="5"/>
        <v>APROBADO</v>
      </c>
      <c r="AI32" s="262"/>
      <c r="AJ32" s="262"/>
      <c r="AK32" s="262"/>
      <c r="AL32" s="262"/>
      <c r="AM32" s="263"/>
      <c r="AN32" s="95"/>
      <c r="AO32" s="95"/>
      <c r="AP32" s="95"/>
      <c r="AQ32" s="95"/>
      <c r="AR32" s="95"/>
    </row>
    <row r="33" spans="1:44" ht="12" customHeight="1" x14ac:dyDescent="0.35">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61" t="str">
        <f t="shared" si="5"/>
        <v>APROBADO</v>
      </c>
      <c r="AI33" s="262"/>
      <c r="AJ33" s="262"/>
      <c r="AK33" s="262"/>
      <c r="AL33" s="262"/>
      <c r="AM33" s="263"/>
      <c r="AN33" s="95"/>
      <c r="AO33" s="95"/>
      <c r="AP33" s="95"/>
      <c r="AQ33" s="95"/>
      <c r="AR33" s="95"/>
    </row>
    <row r="34" spans="1:44" ht="12" customHeight="1" x14ac:dyDescent="0.35">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61" t="str">
        <f t="shared" si="5"/>
        <v>APROBADO</v>
      </c>
      <c r="AI34" s="262"/>
      <c r="AJ34" s="262"/>
      <c r="AK34" s="262"/>
      <c r="AL34" s="262"/>
      <c r="AM34" s="263"/>
      <c r="AN34" s="95"/>
      <c r="AO34" s="95"/>
      <c r="AP34" s="95"/>
      <c r="AQ34" s="95"/>
      <c r="AR34" s="95"/>
    </row>
    <row r="35" spans="1:44" ht="12" customHeight="1" x14ac:dyDescent="0.35">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61" t="str">
        <f t="shared" si="5"/>
        <v>APROBADO</v>
      </c>
      <c r="AI35" s="262"/>
      <c r="AJ35" s="262"/>
      <c r="AK35" s="262"/>
      <c r="AL35" s="262"/>
      <c r="AM35" s="263"/>
      <c r="AN35" s="95"/>
      <c r="AO35" s="95"/>
      <c r="AP35" s="95"/>
      <c r="AQ35" s="95"/>
      <c r="AR35" s="95"/>
    </row>
    <row r="36" spans="1:44" ht="12" customHeight="1" x14ac:dyDescent="0.35">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61" t="str">
        <f t="shared" si="5"/>
        <v>APROBADO</v>
      </c>
      <c r="AI36" s="262"/>
      <c r="AJ36" s="262"/>
      <c r="AK36" s="262"/>
      <c r="AL36" s="262"/>
      <c r="AM36" s="263"/>
      <c r="AN36" s="95"/>
      <c r="AO36" s="95"/>
      <c r="AP36" s="95"/>
      <c r="AQ36" s="95"/>
      <c r="AR36" s="95"/>
    </row>
    <row r="37" spans="1:44" ht="12" customHeight="1" x14ac:dyDescent="0.35">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61" t="str">
        <f t="shared" si="5"/>
        <v>APROBADO</v>
      </c>
      <c r="AI37" s="262"/>
      <c r="AJ37" s="262"/>
      <c r="AK37" s="262"/>
      <c r="AL37" s="262"/>
      <c r="AM37" s="263"/>
      <c r="AN37" s="95"/>
      <c r="AO37" s="95"/>
      <c r="AP37" s="95"/>
      <c r="AQ37" s="95"/>
      <c r="AR37" s="95"/>
    </row>
    <row r="38" spans="1:44" ht="12" customHeight="1" x14ac:dyDescent="0.35">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61" t="str">
        <f t="shared" si="5"/>
        <v>APROBADO</v>
      </c>
      <c r="AI38" s="262"/>
      <c r="AJ38" s="262"/>
      <c r="AK38" s="262"/>
      <c r="AL38" s="262"/>
      <c r="AM38" s="263"/>
      <c r="AN38" s="95"/>
      <c r="AO38" s="95"/>
      <c r="AP38" s="95"/>
      <c r="AQ38" s="95"/>
      <c r="AR38" s="95"/>
    </row>
    <row r="39" spans="1:44" ht="12" customHeight="1" x14ac:dyDescent="0.35">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61" t="str">
        <f t="shared" si="5"/>
        <v>APROBADO</v>
      </c>
      <c r="AI39" s="262"/>
      <c r="AJ39" s="262"/>
      <c r="AK39" s="262"/>
      <c r="AL39" s="262"/>
      <c r="AM39" s="263"/>
      <c r="AN39" s="95"/>
      <c r="AO39" s="95"/>
      <c r="AP39" s="95"/>
      <c r="AQ39" s="95"/>
      <c r="AR39" s="95"/>
    </row>
    <row r="40" spans="1:44" ht="12" customHeight="1" x14ac:dyDescent="0.35">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61" t="str">
        <f t="shared" si="5"/>
        <v>APROBADO</v>
      </c>
      <c r="AI40" s="262"/>
      <c r="AJ40" s="262"/>
      <c r="AK40" s="262"/>
      <c r="AL40" s="262"/>
      <c r="AM40" s="263"/>
      <c r="AN40" s="95"/>
      <c r="AO40" s="95"/>
      <c r="AP40" s="95"/>
      <c r="AQ40" s="95"/>
      <c r="AR40" s="95"/>
    </row>
    <row r="41" spans="1:44" ht="12" customHeight="1" x14ac:dyDescent="0.35">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61" t="str">
        <f t="shared" si="5"/>
        <v>APROBADO</v>
      </c>
      <c r="AI41" s="262"/>
      <c r="AJ41" s="262"/>
      <c r="AK41" s="262"/>
      <c r="AL41" s="262"/>
      <c r="AM41" s="263"/>
      <c r="AN41" s="95"/>
      <c r="AO41" s="95"/>
      <c r="AP41" s="95"/>
      <c r="AQ41" s="95"/>
      <c r="AR41" s="95"/>
    </row>
    <row r="42" spans="1:44" ht="12" customHeight="1" x14ac:dyDescent="0.35">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61" t="str">
        <f t="shared" si="5"/>
        <v>APROBADO</v>
      </c>
      <c r="AI42" s="262"/>
      <c r="AJ42" s="262"/>
      <c r="AK42" s="262"/>
      <c r="AL42" s="262"/>
      <c r="AM42" s="263"/>
      <c r="AN42" s="95"/>
      <c r="AO42" s="95"/>
      <c r="AP42" s="95"/>
      <c r="AQ42" s="95"/>
      <c r="AR42" s="95"/>
    </row>
    <row r="43" spans="1:44" ht="12" customHeight="1" x14ac:dyDescent="0.35">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61" t="str">
        <f t="shared" si="5"/>
        <v>APROBADO</v>
      </c>
      <c r="AI43" s="262"/>
      <c r="AJ43" s="262"/>
      <c r="AK43" s="262"/>
      <c r="AL43" s="262"/>
      <c r="AM43" s="263"/>
      <c r="AN43" s="95"/>
      <c r="AO43" s="95"/>
      <c r="AP43" s="95"/>
      <c r="AQ43" s="95"/>
      <c r="AR43" s="95"/>
    </row>
    <row r="44" spans="1:44" ht="12" customHeight="1" x14ac:dyDescent="0.35">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61" t="str">
        <f t="shared" si="5"/>
        <v>APROBADO</v>
      </c>
      <c r="AI44" s="262"/>
      <c r="AJ44" s="262"/>
      <c r="AK44" s="262"/>
      <c r="AL44" s="262"/>
      <c r="AM44" s="263"/>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19921875" defaultRowHeight="15" customHeight="1" x14ac:dyDescent="0.35"/>
  <cols>
    <col min="1" max="1" width="1.6640625" customWidth="1"/>
    <col min="2" max="2" width="20.6640625" customWidth="1"/>
    <col min="3" max="7" width="2.19921875" customWidth="1"/>
    <col min="8" max="8" width="3.19921875" customWidth="1"/>
    <col min="9" max="13" width="2.19921875" customWidth="1"/>
    <col min="14" max="14" width="3.19921875" customWidth="1"/>
    <col min="15" max="19" width="2.19921875" customWidth="1"/>
    <col min="20" max="21" width="3.19921875" customWidth="1"/>
    <col min="22" max="22" width="9" customWidth="1"/>
    <col min="23" max="24" width="2.19921875" customWidth="1"/>
    <col min="25" max="28" width="1.6640625" customWidth="1"/>
  </cols>
  <sheetData>
    <row r="1" spans="1:28" ht="4.5" customHeight="1" x14ac:dyDescent="0.35"/>
    <row r="2" spans="1:28" ht="12.75" customHeight="1" x14ac:dyDescent="0.35">
      <c r="B2" s="215" t="s">
        <v>107</v>
      </c>
      <c r="C2" s="211"/>
      <c r="D2" s="211"/>
      <c r="E2" s="211"/>
      <c r="F2" s="211"/>
      <c r="G2" s="211"/>
      <c r="H2" s="211"/>
      <c r="I2" s="211"/>
      <c r="J2" s="211"/>
      <c r="K2" s="211"/>
      <c r="L2" s="211"/>
      <c r="M2" s="211"/>
      <c r="N2" s="211"/>
      <c r="O2" s="211"/>
      <c r="P2" s="211"/>
      <c r="Q2" s="211"/>
      <c r="R2" s="211"/>
      <c r="S2" s="211"/>
      <c r="T2" s="211"/>
      <c r="U2" s="211"/>
      <c r="V2" s="211"/>
      <c r="W2" s="211"/>
      <c r="X2" s="211"/>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5">
      <c r="B5" s="38" t="s">
        <v>22</v>
      </c>
      <c r="C5" s="97" t="str">
        <f>CARÁTULA!$C$23</f>
        <v>6to de Secundaria</v>
      </c>
      <c r="D5" s="40"/>
      <c r="E5" s="40"/>
      <c r="F5" s="40"/>
      <c r="G5" s="40"/>
      <c r="H5" s="40"/>
      <c r="I5" s="40"/>
      <c r="J5" s="40"/>
      <c r="K5" s="40"/>
      <c r="L5" s="40"/>
      <c r="M5" s="40"/>
      <c r="N5" s="38"/>
      <c r="O5" s="38"/>
      <c r="P5" s="38"/>
      <c r="Q5" s="38"/>
      <c r="R5" s="43" t="s">
        <v>23</v>
      </c>
      <c r="S5" s="44"/>
      <c r="T5" s="44"/>
      <c r="U5" s="229">
        <f ca="1">TODAY()</f>
        <v>44460</v>
      </c>
      <c r="V5" s="211"/>
      <c r="W5" s="211"/>
      <c r="X5" s="211"/>
    </row>
    <row r="6" spans="1:28" ht="12.75" customHeight="1" x14ac:dyDescent="0.35">
      <c r="B6" s="38"/>
      <c r="C6" s="289" t="s">
        <v>4</v>
      </c>
      <c r="D6" s="262"/>
      <c r="E6" s="262"/>
      <c r="F6" s="262"/>
      <c r="G6" s="262"/>
      <c r="H6" s="263"/>
      <c r="I6" s="289" t="s">
        <v>10</v>
      </c>
      <c r="J6" s="262"/>
      <c r="K6" s="262"/>
      <c r="L6" s="262"/>
      <c r="M6" s="262"/>
      <c r="N6" s="263"/>
      <c r="O6" s="289" t="s">
        <v>16</v>
      </c>
      <c r="P6" s="262"/>
      <c r="Q6" s="262"/>
      <c r="R6" s="262"/>
      <c r="S6" s="262"/>
      <c r="T6" s="263"/>
      <c r="U6" s="294" t="s">
        <v>108</v>
      </c>
      <c r="V6" s="290" t="s">
        <v>109</v>
      </c>
      <c r="W6" s="68"/>
      <c r="X6" s="68"/>
    </row>
    <row r="7" spans="1:28" ht="12" customHeight="1" x14ac:dyDescent="0.35">
      <c r="B7" s="47"/>
      <c r="C7" s="292"/>
      <c r="D7" s="262"/>
      <c r="E7" s="262"/>
      <c r="F7" s="262"/>
      <c r="G7" s="263"/>
      <c r="H7" s="293" t="s">
        <v>110</v>
      </c>
      <c r="I7" s="292"/>
      <c r="J7" s="262"/>
      <c r="K7" s="262"/>
      <c r="L7" s="262"/>
      <c r="M7" s="263"/>
      <c r="N7" s="293" t="s">
        <v>110</v>
      </c>
      <c r="O7" s="292"/>
      <c r="P7" s="262"/>
      <c r="Q7" s="262"/>
      <c r="R7" s="262"/>
      <c r="S7" s="263"/>
      <c r="T7" s="276" t="s">
        <v>110</v>
      </c>
      <c r="U7" s="291"/>
      <c r="V7" s="291"/>
      <c r="W7" s="40"/>
      <c r="X7" s="40"/>
    </row>
    <row r="8" spans="1:28" ht="67.5" customHeight="1" x14ac:dyDescent="0.35">
      <c r="A8" s="48" t="s">
        <v>55</v>
      </c>
      <c r="B8" s="49" t="s">
        <v>56</v>
      </c>
      <c r="C8" s="98" t="s">
        <v>81</v>
      </c>
      <c r="D8" s="99" t="s">
        <v>82</v>
      </c>
      <c r="E8" s="99" t="s">
        <v>84</v>
      </c>
      <c r="F8" s="99" t="s">
        <v>85</v>
      </c>
      <c r="G8" s="99" t="s">
        <v>111</v>
      </c>
      <c r="H8" s="266"/>
      <c r="I8" s="98" t="s">
        <v>81</v>
      </c>
      <c r="J8" s="99" t="s">
        <v>82</v>
      </c>
      <c r="K8" s="99" t="s">
        <v>84</v>
      </c>
      <c r="L8" s="99" t="s">
        <v>85</v>
      </c>
      <c r="M8" s="99" t="s">
        <v>111</v>
      </c>
      <c r="N8" s="266"/>
      <c r="O8" s="98" t="s">
        <v>81</v>
      </c>
      <c r="P8" s="99" t="s">
        <v>82</v>
      </c>
      <c r="Q8" s="99" t="s">
        <v>84</v>
      </c>
      <c r="R8" s="99" t="s">
        <v>85</v>
      </c>
      <c r="S8" s="99" t="s">
        <v>111</v>
      </c>
      <c r="T8" s="266"/>
      <c r="U8" s="266"/>
      <c r="V8" s="266"/>
      <c r="W8" s="100"/>
      <c r="X8" s="100"/>
    </row>
    <row r="9" spans="1:28" ht="12" customHeight="1" x14ac:dyDescent="0.35">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31</v>
      </c>
      <c r="K9" s="31">
        <f>'VAL 2 TRIM'!AB9</f>
        <v>31</v>
      </c>
      <c r="L9" s="31">
        <f>'VAL 2 TRIM'!AA9</f>
        <v>10</v>
      </c>
      <c r="M9" s="31">
        <f>'VAL 2 TRIM'!AE9</f>
        <v>7</v>
      </c>
      <c r="N9" s="101">
        <f>'VAL 2 TRIM'!AG9</f>
        <v>89</v>
      </c>
      <c r="O9" s="31">
        <f>'VAL 3 TRIM'!C9</f>
        <v>10</v>
      </c>
      <c r="P9" s="31">
        <f>'VAL 3 TRIM'!O9</f>
        <v>35</v>
      </c>
      <c r="Q9" s="31">
        <f>'VAL 3 TRIM'!AB9</f>
        <v>35</v>
      </c>
      <c r="R9" s="31">
        <f>'VAL 3 TRIM'!AA9</f>
        <v>10</v>
      </c>
      <c r="S9" s="31">
        <f>'VAL 3 TRIM'!AE9</f>
        <v>10</v>
      </c>
      <c r="T9" s="101">
        <f>'VAL 3 TRIM'!AG9</f>
        <v>100</v>
      </c>
      <c r="U9" s="102">
        <f t="shared" ref="U9:U44" si="0">AVERAGE(H9,N9,T9)</f>
        <v>93</v>
      </c>
      <c r="V9" s="103" t="str">
        <f t="shared" ref="V9:V44" si="1">IF(U9="","",(IF(AND(U9&gt;=1,U9&lt;=50.499),"REPROBADO",IF(AND(U9&gt;=50.5,U9&lt;=100),"APROBADO"))))</f>
        <v>APROBADO</v>
      </c>
      <c r="W9" s="104"/>
      <c r="X9" s="104"/>
    </row>
    <row r="10" spans="1:28" ht="12" customHeight="1" x14ac:dyDescent="0.35">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33</v>
      </c>
      <c r="K10" s="31">
        <f>'VAL 2 TRIM'!AB10</f>
        <v>30</v>
      </c>
      <c r="L10" s="31">
        <f>'VAL 2 TRIM'!AA10</f>
        <v>10</v>
      </c>
      <c r="M10" s="31">
        <f>'VAL 2 TRIM'!AE10</f>
        <v>10</v>
      </c>
      <c r="N10" s="101">
        <f>'VAL 2 TRIM'!AG10</f>
        <v>93</v>
      </c>
      <c r="O10" s="31">
        <f>'VAL 3 TRIM'!C10</f>
        <v>10</v>
      </c>
      <c r="P10" s="31">
        <f>'VAL 3 TRIM'!O10</f>
        <v>35</v>
      </c>
      <c r="Q10" s="31">
        <f>'VAL 3 TRIM'!AB10</f>
        <v>35</v>
      </c>
      <c r="R10" s="31">
        <f>'VAL 3 TRIM'!AA10</f>
        <v>10</v>
      </c>
      <c r="S10" s="48">
        <f>'VAL 3 TRIM'!AE10</f>
        <v>10</v>
      </c>
      <c r="T10" s="101">
        <f>'VAL 3 TRIM'!AG10</f>
        <v>100</v>
      </c>
      <c r="U10" s="102">
        <f t="shared" si="0"/>
        <v>94.333333333333329</v>
      </c>
      <c r="V10" s="103" t="str">
        <f t="shared" si="1"/>
        <v>APROBADO</v>
      </c>
      <c r="W10" s="104"/>
      <c r="X10" s="104"/>
    </row>
    <row r="11" spans="1:28" ht="12" customHeight="1" x14ac:dyDescent="0.35">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7.6923076923076925</v>
      </c>
      <c r="J11" s="31">
        <f>'VAL 2 TRIM'!O11</f>
        <v>8</v>
      </c>
      <c r="K11" s="31">
        <f>'VAL 2 TRIM'!AB11</f>
        <v>9</v>
      </c>
      <c r="L11" s="31">
        <f>'VAL 2 TRIM'!AA11</f>
        <v>3</v>
      </c>
      <c r="M11" s="31">
        <f>'VAL 2 TRIM'!AE11</f>
        <v>10</v>
      </c>
      <c r="N11" s="101">
        <f>'VAL 2 TRIM'!AG11</f>
        <v>37.692307692307693</v>
      </c>
      <c r="O11" s="31">
        <f>'VAL 3 TRIM'!C11</f>
        <v>10</v>
      </c>
      <c r="P11" s="31">
        <f>'VAL 3 TRIM'!O11</f>
        <v>35</v>
      </c>
      <c r="Q11" s="31">
        <f>'VAL 3 TRIM'!AB11</f>
        <v>35</v>
      </c>
      <c r="R11" s="31">
        <f>'VAL 3 TRIM'!AA11</f>
        <v>10</v>
      </c>
      <c r="S11" s="48">
        <f>'VAL 3 TRIM'!AE11</f>
        <v>10</v>
      </c>
      <c r="T11" s="101">
        <f>'VAL 3 TRIM'!AG11</f>
        <v>100</v>
      </c>
      <c r="U11" s="102">
        <f t="shared" si="0"/>
        <v>75.897435897435898</v>
      </c>
      <c r="V11" s="103" t="str">
        <f t="shared" si="1"/>
        <v>APROBADO</v>
      </c>
      <c r="W11" s="104"/>
      <c r="X11" s="104"/>
    </row>
    <row r="12" spans="1:28" ht="12" customHeight="1" x14ac:dyDescent="0.35">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1.5384615384615385</v>
      </c>
      <c r="J12" s="31">
        <f>'VAL 2 TRIM'!O12</f>
        <v>0</v>
      </c>
      <c r="K12" s="31">
        <f>'VAL 2 TRIM'!AB12</f>
        <v>0</v>
      </c>
      <c r="L12" s="31">
        <f>'VAL 2 TRIM'!AA12</f>
        <v>10</v>
      </c>
      <c r="M12" s="31">
        <f>'VAL 2 TRIM'!AE12</f>
        <v>10</v>
      </c>
      <c r="N12" s="101">
        <f>'VAL 2 TRIM'!AG12</f>
        <v>21.53846153846154</v>
      </c>
      <c r="O12" s="31">
        <f>'VAL 3 TRIM'!C12</f>
        <v>10</v>
      </c>
      <c r="P12" s="31">
        <f>'VAL 3 TRIM'!O12</f>
        <v>35</v>
      </c>
      <c r="Q12" s="31">
        <f>'VAL 3 TRIM'!AB12</f>
        <v>35</v>
      </c>
      <c r="R12" s="31">
        <f>'VAL 3 TRIM'!AA12</f>
        <v>10</v>
      </c>
      <c r="S12" s="48">
        <f>'VAL 3 TRIM'!AE12</f>
        <v>10</v>
      </c>
      <c r="T12" s="101">
        <f>'VAL 3 TRIM'!AG12</f>
        <v>100</v>
      </c>
      <c r="U12" s="102">
        <f t="shared" si="0"/>
        <v>57.179487179487182</v>
      </c>
      <c r="V12" s="103" t="str">
        <f t="shared" si="1"/>
        <v>APROBADO</v>
      </c>
      <c r="W12" s="104"/>
      <c r="X12" s="104"/>
    </row>
    <row r="13" spans="1:28" ht="12" customHeight="1" x14ac:dyDescent="0.35">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6.1538461538461542</v>
      </c>
      <c r="J13" s="31">
        <f>'VAL 2 TRIM'!O13</f>
        <v>23</v>
      </c>
      <c r="K13" s="31">
        <f>'VAL 2 TRIM'!AB13</f>
        <v>27</v>
      </c>
      <c r="L13" s="31">
        <f>'VAL 2 TRIM'!AA13</f>
        <v>8</v>
      </c>
      <c r="M13" s="31">
        <f>'VAL 2 TRIM'!AE13</f>
        <v>8</v>
      </c>
      <c r="N13" s="101">
        <f>'VAL 2 TRIM'!AG13</f>
        <v>72.15384615384616</v>
      </c>
      <c r="O13" s="31">
        <f>'VAL 3 TRIM'!C13</f>
        <v>10</v>
      </c>
      <c r="P13" s="31">
        <f>'VAL 3 TRIM'!O13</f>
        <v>35</v>
      </c>
      <c r="Q13" s="31">
        <f>'VAL 3 TRIM'!AB13</f>
        <v>35</v>
      </c>
      <c r="R13" s="31">
        <f>'VAL 3 TRIM'!AA13</f>
        <v>10</v>
      </c>
      <c r="S13" s="48">
        <f>'VAL 3 TRIM'!AE13</f>
        <v>10</v>
      </c>
      <c r="T13" s="101">
        <f>'VAL 3 TRIM'!AG13</f>
        <v>100</v>
      </c>
      <c r="U13" s="102">
        <f t="shared" si="0"/>
        <v>87.384615384615401</v>
      </c>
      <c r="V13" s="103" t="str">
        <f t="shared" si="1"/>
        <v>APROBADO</v>
      </c>
      <c r="W13" s="104"/>
      <c r="X13" s="104"/>
    </row>
    <row r="14" spans="1:28" ht="12" customHeight="1" x14ac:dyDescent="0.35">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26</v>
      </c>
      <c r="K14" s="31">
        <f>'VAL 2 TRIM'!AB14</f>
        <v>28</v>
      </c>
      <c r="L14" s="31">
        <f>'VAL 2 TRIM'!AA14</f>
        <v>8</v>
      </c>
      <c r="M14" s="31">
        <f>'VAL 2 TRIM'!AE14</f>
        <v>8</v>
      </c>
      <c r="N14" s="101">
        <f>'VAL 2 TRIM'!AG14</f>
        <v>80</v>
      </c>
      <c r="O14" s="31">
        <f>'VAL 3 TRIM'!C14</f>
        <v>10</v>
      </c>
      <c r="P14" s="31">
        <f>'VAL 3 TRIM'!O14</f>
        <v>35</v>
      </c>
      <c r="Q14" s="31">
        <f>'VAL 3 TRIM'!AB14</f>
        <v>35</v>
      </c>
      <c r="R14" s="31">
        <f>'VAL 3 TRIM'!AA14</f>
        <v>10</v>
      </c>
      <c r="S14" s="48">
        <f>'VAL 3 TRIM'!AE14</f>
        <v>10</v>
      </c>
      <c r="T14" s="101">
        <f>'VAL 3 TRIM'!AG14</f>
        <v>100</v>
      </c>
      <c r="U14" s="102">
        <f t="shared" si="0"/>
        <v>90</v>
      </c>
      <c r="V14" s="103" t="str">
        <f t="shared" si="1"/>
        <v>APROBADO</v>
      </c>
      <c r="W14" s="104"/>
      <c r="X14" s="104"/>
    </row>
    <row r="15" spans="1:28" ht="12" customHeight="1" x14ac:dyDescent="0.35">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6.1538461538461542</v>
      </c>
      <c r="J15" s="31">
        <f>'VAL 2 TRIM'!O15</f>
        <v>16</v>
      </c>
      <c r="K15" s="31">
        <f>'VAL 2 TRIM'!AB15</f>
        <v>11</v>
      </c>
      <c r="L15" s="31">
        <f>'VAL 2 TRIM'!AA15</f>
        <v>10</v>
      </c>
      <c r="M15" s="31">
        <f>'VAL 2 TRIM'!AE15</f>
        <v>10</v>
      </c>
      <c r="N15" s="101">
        <f>'VAL 2 TRIM'!AG15</f>
        <v>53.153846153846153</v>
      </c>
      <c r="O15" s="31">
        <f>'VAL 3 TRIM'!C15</f>
        <v>10</v>
      </c>
      <c r="P15" s="31">
        <f>'VAL 3 TRIM'!O15</f>
        <v>35</v>
      </c>
      <c r="Q15" s="31">
        <f>'VAL 3 TRIM'!AB15</f>
        <v>35</v>
      </c>
      <c r="R15" s="31">
        <f>'VAL 3 TRIM'!AA15</f>
        <v>10</v>
      </c>
      <c r="S15" s="48">
        <f>'VAL 3 TRIM'!AE15</f>
        <v>10</v>
      </c>
      <c r="T15" s="101">
        <f>'VAL 3 TRIM'!AG15</f>
        <v>100</v>
      </c>
      <c r="U15" s="102">
        <f t="shared" si="0"/>
        <v>81.051282051282058</v>
      </c>
      <c r="V15" s="103" t="str">
        <f t="shared" si="1"/>
        <v>APROBADO</v>
      </c>
      <c r="W15" s="104"/>
      <c r="X15" s="104"/>
    </row>
    <row r="16" spans="1:28" ht="12" customHeight="1" x14ac:dyDescent="0.35">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21</v>
      </c>
      <c r="K16" s="31">
        <f>'VAL 2 TRIM'!AB16</f>
        <v>15</v>
      </c>
      <c r="L16" s="31">
        <f>'VAL 2 TRIM'!AA16</f>
        <v>5</v>
      </c>
      <c r="M16" s="31">
        <f>'VAL 2 TRIM'!AE16</f>
        <v>6</v>
      </c>
      <c r="N16" s="101">
        <f>'VAL 2 TRIM'!AG16</f>
        <v>57</v>
      </c>
      <c r="O16" s="31">
        <f>'VAL 3 TRIM'!C16</f>
        <v>10</v>
      </c>
      <c r="P16" s="31">
        <f>'VAL 3 TRIM'!O16</f>
        <v>35</v>
      </c>
      <c r="Q16" s="31">
        <f>'VAL 3 TRIM'!AB16</f>
        <v>35</v>
      </c>
      <c r="R16" s="31">
        <f>'VAL 3 TRIM'!AA16</f>
        <v>10</v>
      </c>
      <c r="S16" s="48">
        <f>'VAL 3 TRIM'!AE16</f>
        <v>10</v>
      </c>
      <c r="T16" s="101">
        <f>'VAL 3 TRIM'!AG16</f>
        <v>100</v>
      </c>
      <c r="U16" s="102">
        <f t="shared" si="0"/>
        <v>82.333333333333329</v>
      </c>
      <c r="V16" s="103" t="str">
        <f t="shared" si="1"/>
        <v>APROBADO</v>
      </c>
      <c r="W16" s="104"/>
      <c r="X16" s="104"/>
    </row>
    <row r="17" spans="1:24" ht="12" customHeight="1" x14ac:dyDescent="0.35">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28</v>
      </c>
      <c r="K17" s="31">
        <f>'VAL 2 TRIM'!AB17</f>
        <v>31</v>
      </c>
      <c r="L17" s="31">
        <f>'VAL 2 TRIM'!AA17</f>
        <v>9</v>
      </c>
      <c r="M17" s="31">
        <f>'VAL 2 TRIM'!AE17</f>
        <v>9</v>
      </c>
      <c r="N17" s="101">
        <f>'VAL 2 TRIM'!AG17</f>
        <v>87</v>
      </c>
      <c r="O17" s="31">
        <f>'VAL 3 TRIM'!C17</f>
        <v>10</v>
      </c>
      <c r="P17" s="31">
        <f>'VAL 3 TRIM'!O17</f>
        <v>35</v>
      </c>
      <c r="Q17" s="31">
        <f>'VAL 3 TRIM'!AB17</f>
        <v>35</v>
      </c>
      <c r="R17" s="31">
        <f>'VAL 3 TRIM'!AA17</f>
        <v>10</v>
      </c>
      <c r="S17" s="48">
        <f>'VAL 3 TRIM'!AE17</f>
        <v>10</v>
      </c>
      <c r="T17" s="101">
        <f>'VAL 3 TRIM'!AG17</f>
        <v>100</v>
      </c>
      <c r="U17" s="102">
        <f t="shared" si="0"/>
        <v>92.333333333333329</v>
      </c>
      <c r="V17" s="103" t="str">
        <f t="shared" si="1"/>
        <v>APROBADO</v>
      </c>
      <c r="W17" s="104"/>
      <c r="X17" s="104"/>
    </row>
    <row r="18" spans="1:24" ht="12" customHeight="1" x14ac:dyDescent="0.35">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7.6923076923076925</v>
      </c>
      <c r="J18" s="31">
        <f>'VAL 2 TRIM'!O18</f>
        <v>21</v>
      </c>
      <c r="K18" s="31">
        <f>'VAL 2 TRIM'!AB18</f>
        <v>19</v>
      </c>
      <c r="L18" s="31">
        <f>'VAL 2 TRIM'!AA18</f>
        <v>7</v>
      </c>
      <c r="M18" s="31">
        <f>'VAL 2 TRIM'!AE18</f>
        <v>10</v>
      </c>
      <c r="N18" s="101">
        <f>'VAL 2 TRIM'!AG18</f>
        <v>64.692307692307693</v>
      </c>
      <c r="O18" s="31">
        <f>'VAL 3 TRIM'!C18</f>
        <v>10</v>
      </c>
      <c r="P18" s="31">
        <f>'VAL 3 TRIM'!O18</f>
        <v>35</v>
      </c>
      <c r="Q18" s="31">
        <f>'VAL 3 TRIM'!AB18</f>
        <v>35</v>
      </c>
      <c r="R18" s="31">
        <f>'VAL 3 TRIM'!AA18</f>
        <v>10</v>
      </c>
      <c r="S18" s="48">
        <f>'VAL 3 TRIM'!AE18</f>
        <v>10</v>
      </c>
      <c r="T18" s="101">
        <f>'VAL 3 TRIM'!AG18</f>
        <v>100</v>
      </c>
      <c r="U18" s="102">
        <f t="shared" si="0"/>
        <v>84.897435897435898</v>
      </c>
      <c r="V18" s="103" t="str">
        <f t="shared" si="1"/>
        <v>APROBADO</v>
      </c>
      <c r="W18" s="104"/>
      <c r="X18" s="104"/>
    </row>
    <row r="19" spans="1:24" ht="12" customHeight="1" x14ac:dyDescent="0.35">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4.615384615384615</v>
      </c>
      <c r="J19" s="31">
        <f>'VAL 2 TRIM'!O19</f>
        <v>20</v>
      </c>
      <c r="K19" s="31">
        <f>'VAL 2 TRIM'!AB19</f>
        <v>16</v>
      </c>
      <c r="L19" s="31">
        <f>'VAL 2 TRIM'!AA19</f>
        <v>6</v>
      </c>
      <c r="M19" s="31">
        <f>'VAL 2 TRIM'!AE19</f>
        <v>6</v>
      </c>
      <c r="N19" s="101">
        <f>'VAL 2 TRIM'!AG19</f>
        <v>52.615384615384613</v>
      </c>
      <c r="O19" s="31">
        <f>'VAL 3 TRIM'!C19</f>
        <v>10</v>
      </c>
      <c r="P19" s="31">
        <f>'VAL 3 TRIM'!O19</f>
        <v>35</v>
      </c>
      <c r="Q19" s="31">
        <f>'VAL 3 TRIM'!AB19</f>
        <v>35</v>
      </c>
      <c r="R19" s="31">
        <f>'VAL 3 TRIM'!AA19</f>
        <v>10</v>
      </c>
      <c r="S19" s="48">
        <f>'VAL 3 TRIM'!AE19</f>
        <v>10</v>
      </c>
      <c r="T19" s="101">
        <f>'VAL 3 TRIM'!AG19</f>
        <v>100</v>
      </c>
      <c r="U19" s="102">
        <f t="shared" si="0"/>
        <v>80.871794871794876</v>
      </c>
      <c r="V19" s="103" t="str">
        <f t="shared" si="1"/>
        <v>APROBADO</v>
      </c>
      <c r="W19" s="104"/>
      <c r="X19" s="104"/>
    </row>
    <row r="20" spans="1:24" ht="12" customHeight="1" x14ac:dyDescent="0.35">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6.1538461538461542</v>
      </c>
      <c r="J20" s="31">
        <f>'VAL 2 TRIM'!O20</f>
        <v>18</v>
      </c>
      <c r="K20" s="31">
        <f>'VAL 2 TRIM'!AB20</f>
        <v>14</v>
      </c>
      <c r="L20" s="31">
        <f>'VAL 2 TRIM'!AA20</f>
        <v>7</v>
      </c>
      <c r="M20" s="31">
        <f>'VAL 2 TRIM'!AE20</f>
        <v>6</v>
      </c>
      <c r="N20" s="101">
        <f>'VAL 2 TRIM'!AG20</f>
        <v>51.153846153846153</v>
      </c>
      <c r="O20" s="31">
        <f>'VAL 3 TRIM'!C20</f>
        <v>10</v>
      </c>
      <c r="P20" s="31">
        <f>'VAL 3 TRIM'!O20</f>
        <v>35</v>
      </c>
      <c r="Q20" s="31">
        <f>'VAL 3 TRIM'!AB20</f>
        <v>35</v>
      </c>
      <c r="R20" s="31">
        <f>'VAL 3 TRIM'!AA20</f>
        <v>10</v>
      </c>
      <c r="S20" s="48">
        <f>'VAL 3 TRIM'!AE20</f>
        <v>10</v>
      </c>
      <c r="T20" s="101">
        <f>'VAL 3 TRIM'!AG20</f>
        <v>100</v>
      </c>
      <c r="U20" s="102">
        <f t="shared" si="0"/>
        <v>80.384615384615387</v>
      </c>
      <c r="V20" s="103" t="str">
        <f t="shared" si="1"/>
        <v>APROBADO</v>
      </c>
      <c r="W20" s="104"/>
      <c r="X20" s="104"/>
    </row>
    <row r="21" spans="1:24" ht="12" customHeight="1" x14ac:dyDescent="0.35">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21</v>
      </c>
      <c r="K21" s="31">
        <f>'VAL 2 TRIM'!AB21</f>
        <v>24</v>
      </c>
      <c r="L21" s="31">
        <f>'VAL 2 TRIM'!AA21</f>
        <v>8</v>
      </c>
      <c r="M21" s="31">
        <f>'VAL 2 TRIM'!AE21</f>
        <v>7</v>
      </c>
      <c r="N21" s="101">
        <f>'VAL 2 TRIM'!AG21</f>
        <v>70</v>
      </c>
      <c r="O21" s="31">
        <f>'VAL 3 TRIM'!C21</f>
        <v>10</v>
      </c>
      <c r="P21" s="31">
        <f>'VAL 3 TRIM'!O21</f>
        <v>35</v>
      </c>
      <c r="Q21" s="31">
        <f>'VAL 3 TRIM'!AB21</f>
        <v>35</v>
      </c>
      <c r="R21" s="31">
        <f>'VAL 3 TRIM'!AA21</f>
        <v>10</v>
      </c>
      <c r="S21" s="48">
        <f>'VAL 3 TRIM'!AE21</f>
        <v>10</v>
      </c>
      <c r="T21" s="101">
        <f>'VAL 3 TRIM'!AG21</f>
        <v>100</v>
      </c>
      <c r="U21" s="102">
        <f t="shared" si="0"/>
        <v>86.666666666666671</v>
      </c>
      <c r="V21" s="103" t="str">
        <f t="shared" si="1"/>
        <v>APROBADO</v>
      </c>
      <c r="W21" s="104"/>
      <c r="X21" s="104"/>
    </row>
    <row r="22" spans="1:24" ht="12" customHeight="1" x14ac:dyDescent="0.35">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25</v>
      </c>
      <c r="K22" s="31">
        <f>'VAL 2 TRIM'!AB22</f>
        <v>18</v>
      </c>
      <c r="L22" s="31">
        <f>'VAL 2 TRIM'!AA22</f>
        <v>8</v>
      </c>
      <c r="M22" s="31">
        <f>'VAL 2 TRIM'!AE22</f>
        <v>10</v>
      </c>
      <c r="N22" s="101">
        <f>'VAL 2 TRIM'!AG22</f>
        <v>71</v>
      </c>
      <c r="O22" s="31">
        <f>'VAL 3 TRIM'!C22</f>
        <v>10</v>
      </c>
      <c r="P22" s="31">
        <f>'VAL 3 TRIM'!O22</f>
        <v>35</v>
      </c>
      <c r="Q22" s="31">
        <f>'VAL 3 TRIM'!AB22</f>
        <v>35</v>
      </c>
      <c r="R22" s="31">
        <f>'VAL 3 TRIM'!AA22</f>
        <v>10</v>
      </c>
      <c r="S22" s="48">
        <f>'VAL 3 TRIM'!AE22</f>
        <v>10</v>
      </c>
      <c r="T22" s="101">
        <f>'VAL 3 TRIM'!AG22</f>
        <v>100</v>
      </c>
      <c r="U22" s="102">
        <f t="shared" si="0"/>
        <v>87</v>
      </c>
      <c r="V22" s="103" t="str">
        <f t="shared" si="1"/>
        <v>APROBADO</v>
      </c>
      <c r="W22" s="104"/>
      <c r="X22" s="104"/>
    </row>
    <row r="23" spans="1:24" ht="12" customHeight="1" x14ac:dyDescent="0.35">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21</v>
      </c>
      <c r="K23" s="31">
        <f>'VAL 2 TRIM'!AB23</f>
        <v>25</v>
      </c>
      <c r="L23" s="31">
        <f>'VAL 2 TRIM'!AA23</f>
        <v>9</v>
      </c>
      <c r="M23" s="31">
        <f>'VAL 2 TRIM'!AE23</f>
        <v>7</v>
      </c>
      <c r="N23" s="101">
        <f>'VAL 2 TRIM'!AG23</f>
        <v>72</v>
      </c>
      <c r="O23" s="31">
        <f>'VAL 3 TRIM'!C23</f>
        <v>10</v>
      </c>
      <c r="P23" s="31">
        <f>'VAL 3 TRIM'!O23</f>
        <v>35</v>
      </c>
      <c r="Q23" s="31">
        <f>'VAL 3 TRIM'!AB23</f>
        <v>35</v>
      </c>
      <c r="R23" s="31">
        <f>'VAL 3 TRIM'!AA23</f>
        <v>10</v>
      </c>
      <c r="S23" s="48">
        <f>'VAL 3 TRIM'!AE23</f>
        <v>10</v>
      </c>
      <c r="T23" s="101">
        <f>'VAL 3 TRIM'!AG23</f>
        <v>100</v>
      </c>
      <c r="U23" s="102">
        <f t="shared" si="0"/>
        <v>87.333333333333329</v>
      </c>
      <c r="V23" s="103" t="str">
        <f t="shared" si="1"/>
        <v>APROBADO</v>
      </c>
      <c r="W23" s="104"/>
      <c r="X23" s="104"/>
    </row>
    <row r="24" spans="1:24" ht="12" customHeight="1" x14ac:dyDescent="0.35">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1.5384615384615385</v>
      </c>
      <c r="J24" s="31">
        <f>'VAL 2 TRIM'!O24</f>
        <v>4</v>
      </c>
      <c r="K24" s="31">
        <f>'VAL 2 TRIM'!AB24</f>
        <v>9</v>
      </c>
      <c r="L24" s="31">
        <f>'VAL 2 TRIM'!AA24</f>
        <v>5</v>
      </c>
      <c r="M24" s="31">
        <f>'VAL 2 TRIM'!AE24</f>
        <v>10</v>
      </c>
      <c r="N24" s="101">
        <f>'VAL 2 TRIM'!AG24</f>
        <v>29.53846153846154</v>
      </c>
      <c r="O24" s="31">
        <f>'VAL 3 TRIM'!C24</f>
        <v>10</v>
      </c>
      <c r="P24" s="31">
        <f>'VAL 3 TRIM'!O24</f>
        <v>35</v>
      </c>
      <c r="Q24" s="31">
        <f>'VAL 3 TRIM'!AB24</f>
        <v>35</v>
      </c>
      <c r="R24" s="31">
        <f>'VAL 3 TRIM'!AA24</f>
        <v>10</v>
      </c>
      <c r="S24" s="48">
        <f>'VAL 3 TRIM'!AE24</f>
        <v>10</v>
      </c>
      <c r="T24" s="101">
        <f>'VAL 3 TRIM'!AG24</f>
        <v>100</v>
      </c>
      <c r="U24" s="102">
        <f t="shared" si="0"/>
        <v>73.179487179487182</v>
      </c>
      <c r="V24" s="103" t="str">
        <f t="shared" si="1"/>
        <v>APROBADO</v>
      </c>
      <c r="W24" s="104"/>
      <c r="X24" s="104"/>
    </row>
    <row r="25" spans="1:24" ht="12" customHeight="1" x14ac:dyDescent="0.35">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21</v>
      </c>
      <c r="K25" s="31">
        <f>'VAL 2 TRIM'!AB25</f>
        <v>31</v>
      </c>
      <c r="L25" s="31">
        <f>'VAL 2 TRIM'!AA25</f>
        <v>10</v>
      </c>
      <c r="M25" s="31">
        <f>'VAL 2 TRIM'!AE25</f>
        <v>8</v>
      </c>
      <c r="N25" s="101">
        <f>'VAL 2 TRIM'!AG25</f>
        <v>80</v>
      </c>
      <c r="O25" s="31">
        <f>'VAL 3 TRIM'!C25</f>
        <v>10</v>
      </c>
      <c r="P25" s="31">
        <f>'VAL 3 TRIM'!O25</f>
        <v>35</v>
      </c>
      <c r="Q25" s="31">
        <f>'VAL 3 TRIM'!AB25</f>
        <v>35</v>
      </c>
      <c r="R25" s="31">
        <f>'VAL 3 TRIM'!AA25</f>
        <v>10</v>
      </c>
      <c r="S25" s="48">
        <f>'VAL 3 TRIM'!AE25</f>
        <v>10</v>
      </c>
      <c r="T25" s="101">
        <f>'VAL 3 TRIM'!AG25</f>
        <v>100</v>
      </c>
      <c r="U25" s="102">
        <f t="shared" si="0"/>
        <v>90</v>
      </c>
      <c r="V25" s="103" t="str">
        <f t="shared" si="1"/>
        <v>APROBADO</v>
      </c>
      <c r="W25" s="104"/>
      <c r="X25" s="104"/>
    </row>
    <row r="26" spans="1:24" ht="12" customHeight="1" x14ac:dyDescent="0.35">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6.1538461538461542</v>
      </c>
      <c r="J26" s="31">
        <f>'VAL 2 TRIM'!O26</f>
        <v>16</v>
      </c>
      <c r="K26" s="31">
        <f>'VAL 2 TRIM'!AB26</f>
        <v>11</v>
      </c>
      <c r="L26" s="31">
        <f>'VAL 2 TRIM'!AA26</f>
        <v>10</v>
      </c>
      <c r="M26" s="31">
        <f>'VAL 2 TRIM'!AE26</f>
        <v>10</v>
      </c>
      <c r="N26" s="101">
        <f>'VAL 2 TRIM'!AG26</f>
        <v>53.153846153846153</v>
      </c>
      <c r="O26" s="31">
        <f>'VAL 3 TRIM'!C26</f>
        <v>10</v>
      </c>
      <c r="P26" s="31">
        <f>'VAL 3 TRIM'!O26</f>
        <v>35</v>
      </c>
      <c r="Q26" s="31">
        <f>'VAL 3 TRIM'!AB26</f>
        <v>35</v>
      </c>
      <c r="R26" s="31">
        <f>'VAL 3 TRIM'!AA26</f>
        <v>10</v>
      </c>
      <c r="S26" s="48">
        <f>'VAL 3 TRIM'!AE26</f>
        <v>10</v>
      </c>
      <c r="T26" s="101">
        <f>'VAL 3 TRIM'!AG26</f>
        <v>100</v>
      </c>
      <c r="U26" s="102">
        <f t="shared" si="0"/>
        <v>84.384615384615387</v>
      </c>
      <c r="V26" s="103" t="str">
        <f t="shared" si="1"/>
        <v>APROBADO</v>
      </c>
      <c r="W26" s="104"/>
      <c r="X26" s="104"/>
    </row>
    <row r="27" spans="1:24" ht="12" customHeight="1" x14ac:dyDescent="0.35">
      <c r="A27" s="59">
        <v>19</v>
      </c>
      <c r="B27" s="60" t="str">
        <f>'C. FILIACION'!B26</f>
        <v xml:space="preserve">VENTURA CHOQUE DANELY </v>
      </c>
      <c r="C27" s="48">
        <f>'VAL 1 TRIM '!C27</f>
        <v>10</v>
      </c>
      <c r="D27" s="48">
        <f>'VAL 1 TRIM '!O27</f>
        <v>35</v>
      </c>
      <c r="E27" s="48">
        <f>'VAL 1 TRIM '!AB27</f>
        <v>35</v>
      </c>
      <c r="F27" s="48">
        <f>'VAL 1 TRIM '!AE27</f>
        <v>10</v>
      </c>
      <c r="G27" s="48">
        <f>'VAL 1 TRIM '!AE27</f>
        <v>10</v>
      </c>
      <c r="H27" s="101">
        <f>'VAL 1 TRIM '!AG27</f>
        <v>100</v>
      </c>
      <c r="I27" s="31">
        <f>'VAL 2 TRIM'!C27</f>
        <v>8.75</v>
      </c>
      <c r="J27" s="31">
        <f>'VAL 2 TRIM'!O27</f>
        <v>18</v>
      </c>
      <c r="K27" s="31">
        <f>'VAL 2 TRIM'!AB27</f>
        <v>25</v>
      </c>
      <c r="L27" s="31">
        <f>'VAL 2 TRIM'!AA27</f>
        <v>10</v>
      </c>
      <c r="M27" s="31">
        <f>'VAL 2 TRIM'!AE27</f>
        <v>8</v>
      </c>
      <c r="N27" s="101">
        <f>'VAL 2 TRIM'!AG27</f>
        <v>69.75</v>
      </c>
      <c r="O27" s="31">
        <f>'VAL 3 TRIM'!C27</f>
        <v>10</v>
      </c>
      <c r="P27" s="31">
        <f>'VAL 3 TRIM'!O27</f>
        <v>35</v>
      </c>
      <c r="Q27" s="31">
        <f>'VAL 3 TRIM'!AB27</f>
        <v>35</v>
      </c>
      <c r="R27" s="31">
        <f>'VAL 3 TRIM'!AA27</f>
        <v>10</v>
      </c>
      <c r="S27" s="48">
        <f>'VAL 3 TRIM'!AE27</f>
        <v>10</v>
      </c>
      <c r="T27" s="101">
        <f>'VAL 3 TRIM'!AG27</f>
        <v>100</v>
      </c>
      <c r="U27" s="102">
        <f t="shared" si="0"/>
        <v>89.916666666666671</v>
      </c>
      <c r="V27" s="103" t="str">
        <f t="shared" si="1"/>
        <v>APROBADO</v>
      </c>
      <c r="W27" s="104"/>
      <c r="X27" s="104"/>
    </row>
    <row r="28" spans="1:24" ht="12" customHeight="1" x14ac:dyDescent="0.35">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9921875" defaultRowHeight="15" customHeight="1" x14ac:dyDescent="0.35"/>
  <cols>
    <col min="1" max="1" width="1.6640625" customWidth="1"/>
    <col min="2" max="2" width="20.6640625" customWidth="1"/>
    <col min="3" max="6" width="3.6640625" customWidth="1"/>
    <col min="7" max="7" width="9" customWidth="1"/>
    <col min="8" max="8" width="1.19921875" customWidth="1"/>
    <col min="9" max="11" width="3.6640625" customWidth="1"/>
    <col min="12" max="13" width="4.6640625" customWidth="1"/>
    <col min="14" max="26" width="8.73046875" customWidth="1"/>
  </cols>
  <sheetData>
    <row r="1" spans="1:13" ht="4.5" customHeight="1" x14ac:dyDescent="0.35"/>
    <row r="2" spans="1:13" ht="12.75" customHeight="1" x14ac:dyDescent="0.35">
      <c r="B2" s="215" t="s">
        <v>107</v>
      </c>
      <c r="C2" s="211"/>
      <c r="D2" s="211"/>
      <c r="E2" s="211"/>
      <c r="F2" s="211"/>
      <c r="G2" s="211"/>
      <c r="H2" s="211"/>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35">
      <c r="B4" s="38" t="s">
        <v>14</v>
      </c>
      <c r="C4" s="39" t="str">
        <f>CARÁTULA!$C$21</f>
        <v>Secundaria</v>
      </c>
      <c r="D4" s="41"/>
      <c r="E4" s="40"/>
      <c r="F4" s="39"/>
      <c r="G4" s="40"/>
      <c r="H4" s="40"/>
      <c r="I4" s="40"/>
      <c r="J4" s="38" t="s">
        <v>52</v>
      </c>
      <c r="K4" s="106"/>
      <c r="L4" s="39">
        <f>CARÁTULA!$C$19</f>
        <v>0</v>
      </c>
      <c r="M4" s="106"/>
    </row>
    <row r="5" spans="1:13" ht="12.75" customHeight="1" x14ac:dyDescent="0.35">
      <c r="B5" s="38" t="s">
        <v>22</v>
      </c>
      <c r="C5" s="39" t="str">
        <f>CARÁTULA!$C$23</f>
        <v>6to de Secundaria</v>
      </c>
      <c r="D5" s="38"/>
      <c r="E5" s="44"/>
      <c r="F5" s="297"/>
      <c r="G5" s="270"/>
      <c r="H5" s="44"/>
      <c r="I5" s="44"/>
      <c r="J5" s="38" t="s">
        <v>23</v>
      </c>
      <c r="K5" s="106"/>
      <c r="L5" s="229">
        <f ca="1">TODAY()</f>
        <v>44460</v>
      </c>
      <c r="M5" s="211"/>
    </row>
    <row r="6" spans="1:13" ht="12.75" customHeight="1" x14ac:dyDescent="0.35">
      <c r="B6" s="38"/>
      <c r="C6" s="298" t="s">
        <v>112</v>
      </c>
      <c r="D6" s="262"/>
      <c r="E6" s="263"/>
      <c r="F6" s="294" t="s">
        <v>108</v>
      </c>
      <c r="G6" s="290" t="s">
        <v>109</v>
      </c>
      <c r="H6" s="68"/>
      <c r="I6" s="68"/>
    </row>
    <row r="7" spans="1:13" ht="12" customHeight="1" x14ac:dyDescent="0.35">
      <c r="B7" s="47"/>
      <c r="C7" s="295" t="s">
        <v>4</v>
      </c>
      <c r="D7" s="295" t="s">
        <v>113</v>
      </c>
      <c r="E7" s="296" t="s">
        <v>16</v>
      </c>
      <c r="F7" s="291"/>
      <c r="G7" s="291"/>
      <c r="H7" s="40"/>
      <c r="I7" s="40"/>
    </row>
    <row r="8" spans="1:13" ht="67.5" customHeight="1" x14ac:dyDescent="0.35">
      <c r="A8" s="48" t="s">
        <v>55</v>
      </c>
      <c r="B8" s="49" t="s">
        <v>56</v>
      </c>
      <c r="C8" s="266"/>
      <c r="D8" s="266"/>
      <c r="E8" s="266"/>
      <c r="F8" s="266"/>
      <c r="G8" s="266"/>
      <c r="H8" s="100"/>
      <c r="I8" s="100" t="s">
        <v>114</v>
      </c>
      <c r="J8" s="100" t="s">
        <v>115</v>
      </c>
      <c r="K8" s="100" t="s">
        <v>116</v>
      </c>
    </row>
    <row r="9" spans="1:13" ht="12" customHeight="1" x14ac:dyDescent="0.35">
      <c r="A9" s="59">
        <v>1</v>
      </c>
      <c r="B9" s="60" t="str">
        <f>'C. FILIACION'!B8</f>
        <v>ALTAMIRANO RAMOS ESTEFANI MILENKA</v>
      </c>
      <c r="C9" s="101">
        <f>'VAL 1 TRIM '!AG9</f>
        <v>90</v>
      </c>
      <c r="D9" s="101">
        <f>'VAL 2 TRIM'!AG9</f>
        <v>89</v>
      </c>
      <c r="E9" s="101">
        <f>'VAL 3 TRIM'!AG9</f>
        <v>100</v>
      </c>
      <c r="F9" s="102">
        <f>'CENTRAL 1'!U9</f>
        <v>93</v>
      </c>
      <c r="G9" s="103" t="str">
        <f t="shared" ref="G9:G44" si="0">IF(F9="","",(IF(AND(F9&gt;=1,F9&lt;=50.499),"REPROBADO",IF(AND(F9&gt;=50.5,F9&lt;=100),"APROBADO"))))</f>
        <v>APROBADO</v>
      </c>
      <c r="H9" s="104"/>
      <c r="I9" s="31">
        <f t="shared" ref="I9:K9" si="1">COUNTIF(C9:C44,"&gt;=51")</f>
        <v>35</v>
      </c>
      <c r="J9" s="107">
        <f t="shared" si="1"/>
        <v>33</v>
      </c>
      <c r="K9" s="107">
        <f t="shared" si="1"/>
        <v>36</v>
      </c>
    </row>
    <row r="10" spans="1:13" ht="12" customHeight="1" x14ac:dyDescent="0.35">
      <c r="A10" s="59">
        <v>2</v>
      </c>
      <c r="B10" s="60" t="str">
        <f>'C. FILIACION'!B9</f>
        <v>APAZA LINO TATIANA JAZMIN</v>
      </c>
      <c r="C10" s="101">
        <f>'VAL 1 TRIM '!AG10</f>
        <v>90</v>
      </c>
      <c r="D10" s="101">
        <f>'VAL 2 TRIM'!AG10</f>
        <v>93</v>
      </c>
      <c r="E10" s="101">
        <f>'VAL 3 TRIM'!AG10</f>
        <v>100</v>
      </c>
      <c r="F10" s="102">
        <f>'CENTRAL 1'!U10</f>
        <v>94.333333333333329</v>
      </c>
      <c r="G10" s="103" t="str">
        <f t="shared" si="0"/>
        <v>APROBADO</v>
      </c>
      <c r="H10" s="104"/>
      <c r="I10" s="108" t="s">
        <v>117</v>
      </c>
      <c r="J10" s="109"/>
    </row>
    <row r="11" spans="1:13" ht="12" customHeight="1" x14ac:dyDescent="0.35">
      <c r="A11" s="59">
        <v>3</v>
      </c>
      <c r="B11" s="60" t="str">
        <f>'C. FILIACION'!B10</f>
        <v>BOLAÑOS OVANDO MIJHAIL ALEXANDER</v>
      </c>
      <c r="C11" s="101">
        <f>'VAL 1 TRIM '!AG11</f>
        <v>90</v>
      </c>
      <c r="D11" s="101">
        <f>'VAL 2 TRIM'!AG11</f>
        <v>37.692307692307693</v>
      </c>
      <c r="E11" s="101">
        <f>'VAL 3 TRIM'!AG11</f>
        <v>100</v>
      </c>
      <c r="F11" s="102">
        <f>'CENTRAL 1'!U11</f>
        <v>75.897435897435898</v>
      </c>
      <c r="G11" s="103" t="str">
        <f t="shared" si="0"/>
        <v>APROBADO</v>
      </c>
      <c r="H11" s="104"/>
      <c r="I11" s="104"/>
    </row>
    <row r="12" spans="1:13" ht="12" customHeight="1" x14ac:dyDescent="0.35">
      <c r="A12" s="59">
        <v>4</v>
      </c>
      <c r="B12" s="60" t="str">
        <f>'C. FILIACION'!B11</f>
        <v>BRICHER ETHELBERT ISMAEL</v>
      </c>
      <c r="C12" s="101">
        <f>'VAL 1 TRIM '!AG12</f>
        <v>50</v>
      </c>
      <c r="D12" s="101">
        <f>'VAL 2 TRIM'!AG12</f>
        <v>21.53846153846154</v>
      </c>
      <c r="E12" s="101">
        <f>'VAL 3 TRIM'!AG12</f>
        <v>100</v>
      </c>
      <c r="F12" s="102">
        <f>'CENTRAL 1'!U12</f>
        <v>57.179487179487182</v>
      </c>
      <c r="G12" s="103" t="str">
        <f t="shared" si="0"/>
        <v>APROBADO</v>
      </c>
      <c r="H12" s="104"/>
      <c r="I12" s="104"/>
    </row>
    <row r="13" spans="1:13" ht="12" customHeight="1" x14ac:dyDescent="0.35">
      <c r="A13" s="59">
        <v>5</v>
      </c>
      <c r="B13" s="60" t="str">
        <f>'C. FILIACION'!B12</f>
        <v>CANAVIRI QUISBERT ALEJANDRA ELENA</v>
      </c>
      <c r="C13" s="101">
        <f>'VAL 1 TRIM '!AG13</f>
        <v>90</v>
      </c>
      <c r="D13" s="101">
        <f>'VAL 2 TRIM'!AG13</f>
        <v>72.15384615384616</v>
      </c>
      <c r="E13" s="101">
        <f>'VAL 3 TRIM'!AG13</f>
        <v>100</v>
      </c>
      <c r="F13" s="102">
        <f>'CENTRAL 1'!U13</f>
        <v>87.384615384615401</v>
      </c>
      <c r="G13" s="103" t="str">
        <f t="shared" si="0"/>
        <v>APROBADO</v>
      </c>
      <c r="H13" s="104"/>
      <c r="I13" s="107">
        <f t="shared" ref="I13:K13" si="2">COUNTIF(C9:C44,"&lt;=51")</f>
        <v>1</v>
      </c>
      <c r="J13" s="107">
        <f t="shared" si="2"/>
        <v>3</v>
      </c>
      <c r="K13" s="107">
        <f t="shared" si="2"/>
        <v>0</v>
      </c>
    </row>
    <row r="14" spans="1:13" ht="12" customHeight="1" x14ac:dyDescent="0.35">
      <c r="A14" s="59">
        <v>6</v>
      </c>
      <c r="B14" s="60" t="str">
        <f>'C. FILIACION'!B13</f>
        <v>GOMEZ BELTRAN ALBERT NORMAN</v>
      </c>
      <c r="C14" s="101">
        <f>'VAL 1 TRIM '!AG14</f>
        <v>90</v>
      </c>
      <c r="D14" s="101">
        <f>'VAL 2 TRIM'!AG14</f>
        <v>80</v>
      </c>
      <c r="E14" s="101">
        <f>'VAL 3 TRIM'!AG14</f>
        <v>100</v>
      </c>
      <c r="F14" s="102">
        <f>'CENTRAL 1'!U14</f>
        <v>90</v>
      </c>
      <c r="G14" s="103" t="str">
        <f t="shared" si="0"/>
        <v>APROBADO</v>
      </c>
      <c r="H14" s="104"/>
      <c r="I14" s="108" t="s">
        <v>118</v>
      </c>
    </row>
    <row r="15" spans="1:13" ht="12" customHeight="1" x14ac:dyDescent="0.35">
      <c r="A15" s="59">
        <v>7</v>
      </c>
      <c r="B15" s="60" t="str">
        <f>'C. FILIACION'!B14</f>
        <v>GOMEZ COSME MELANY KARINA</v>
      </c>
      <c r="C15" s="101">
        <f>'VAL 1 TRIM '!AG15</f>
        <v>90</v>
      </c>
      <c r="D15" s="101">
        <f>'VAL 2 TRIM'!AG15</f>
        <v>53.153846153846153</v>
      </c>
      <c r="E15" s="101">
        <f>'VAL 3 TRIM'!AG15</f>
        <v>100</v>
      </c>
      <c r="F15" s="102">
        <f>'CENTRAL 1'!U15</f>
        <v>81.051282051282058</v>
      </c>
      <c r="G15" s="103" t="str">
        <f t="shared" si="0"/>
        <v>APROBADO</v>
      </c>
      <c r="H15" s="104"/>
      <c r="I15" s="104"/>
    </row>
    <row r="16" spans="1:13" ht="12" customHeight="1" x14ac:dyDescent="0.35">
      <c r="A16" s="59">
        <v>8</v>
      </c>
      <c r="B16" s="60" t="str">
        <f>'C. FILIACION'!B15</f>
        <v>GONZALES ZUAZO KALEB RAMSES</v>
      </c>
      <c r="C16" s="101">
        <f>'VAL 1 TRIM '!AG16</f>
        <v>90</v>
      </c>
      <c r="D16" s="101">
        <f>'VAL 2 TRIM'!AG16</f>
        <v>57</v>
      </c>
      <c r="E16" s="101">
        <f>'VAL 3 TRIM'!AG16</f>
        <v>100</v>
      </c>
      <c r="F16" s="102">
        <f>'CENTRAL 1'!U16</f>
        <v>82.333333333333329</v>
      </c>
      <c r="G16" s="103" t="str">
        <f t="shared" si="0"/>
        <v>APROBADO</v>
      </c>
      <c r="H16" s="104"/>
      <c r="I16" s="104"/>
    </row>
    <row r="17" spans="1:9" ht="12" customHeight="1" x14ac:dyDescent="0.35">
      <c r="A17" s="59">
        <v>9</v>
      </c>
      <c r="B17" s="60" t="str">
        <f>'C. FILIACION'!B16</f>
        <v>LEDEZMA AGUILAR ELVIS JHEFERSON</v>
      </c>
      <c r="C17" s="101">
        <f>'VAL 1 TRIM '!AG17</f>
        <v>90</v>
      </c>
      <c r="D17" s="101">
        <f>'VAL 2 TRIM'!AG17</f>
        <v>87</v>
      </c>
      <c r="E17" s="101">
        <f>'VAL 3 TRIM'!AG17</f>
        <v>100</v>
      </c>
      <c r="F17" s="102">
        <f>'CENTRAL 1'!U17</f>
        <v>92.333333333333329</v>
      </c>
      <c r="G17" s="103" t="str">
        <f t="shared" si="0"/>
        <v>APROBADO</v>
      </c>
      <c r="H17" s="104"/>
      <c r="I17" s="104"/>
    </row>
    <row r="18" spans="1:9" ht="12" customHeight="1" x14ac:dyDescent="0.35">
      <c r="A18" s="59">
        <v>10</v>
      </c>
      <c r="B18" s="60" t="str">
        <f>'C. FILIACION'!B17</f>
        <v>LOBATON RODRIGUEZ JHONATAN A.</v>
      </c>
      <c r="C18" s="101">
        <f>'VAL 1 TRIM '!AG18</f>
        <v>90</v>
      </c>
      <c r="D18" s="101">
        <f>'VAL 2 TRIM'!AG18</f>
        <v>64.692307692307693</v>
      </c>
      <c r="E18" s="101">
        <f>'VAL 3 TRIM'!AG18</f>
        <v>100</v>
      </c>
      <c r="F18" s="102">
        <f>'CENTRAL 1'!U18</f>
        <v>84.897435897435898</v>
      </c>
      <c r="G18" s="103" t="str">
        <f t="shared" si="0"/>
        <v>APROBADO</v>
      </c>
      <c r="H18" s="104"/>
      <c r="I18" s="104"/>
    </row>
    <row r="19" spans="1:9" ht="12" customHeight="1" x14ac:dyDescent="0.35">
      <c r="A19" s="59">
        <v>11</v>
      </c>
      <c r="B19" s="60" t="str">
        <f>'C. FILIACION'!B18</f>
        <v>MAMANI LOPEZ DAFNE MILDRED</v>
      </c>
      <c r="C19" s="101">
        <f>'VAL 1 TRIM '!AG19</f>
        <v>90</v>
      </c>
      <c r="D19" s="101">
        <f>'VAL 2 TRIM'!AG19</f>
        <v>52.615384615384613</v>
      </c>
      <c r="E19" s="101">
        <f>'VAL 3 TRIM'!AG19</f>
        <v>100</v>
      </c>
      <c r="F19" s="102">
        <f>'CENTRAL 1'!U19</f>
        <v>80.871794871794876</v>
      </c>
      <c r="G19" s="103" t="str">
        <f t="shared" si="0"/>
        <v>APROBADO</v>
      </c>
      <c r="H19" s="104"/>
      <c r="I19" s="104"/>
    </row>
    <row r="20" spans="1:9" ht="12" customHeight="1" x14ac:dyDescent="0.35">
      <c r="A20" s="59">
        <v>12</v>
      </c>
      <c r="B20" s="60" t="str">
        <f>'C. FILIACION'!B19</f>
        <v>MARCONI PEREZ SINDEL LUANA</v>
      </c>
      <c r="C20" s="101">
        <f>'VAL 1 TRIM '!AG20</f>
        <v>90</v>
      </c>
      <c r="D20" s="101">
        <f>'VAL 2 TRIM'!AG20</f>
        <v>51.153846153846153</v>
      </c>
      <c r="E20" s="101">
        <f>'VAL 3 TRIM'!AG20</f>
        <v>100</v>
      </c>
      <c r="F20" s="102">
        <f>'CENTRAL 1'!U20</f>
        <v>80.384615384615387</v>
      </c>
      <c r="G20" s="103" t="str">
        <f t="shared" si="0"/>
        <v>APROBADO</v>
      </c>
      <c r="H20" s="104"/>
      <c r="I20" s="104"/>
    </row>
    <row r="21" spans="1:9" ht="12" customHeight="1" x14ac:dyDescent="0.35">
      <c r="A21" s="59">
        <v>13</v>
      </c>
      <c r="B21" s="60" t="str">
        <f>'C. FILIACION'!B20</f>
        <v>MENACHO LINEO ANDREA KIMBERLY</v>
      </c>
      <c r="C21" s="101">
        <f>'VAL 1 TRIM '!AG21</f>
        <v>90</v>
      </c>
      <c r="D21" s="101">
        <f>'VAL 2 TRIM'!AG21</f>
        <v>70</v>
      </c>
      <c r="E21" s="101">
        <f>'VAL 3 TRIM'!AG21</f>
        <v>100</v>
      </c>
      <c r="F21" s="102">
        <f>'CENTRAL 1'!U21</f>
        <v>86.666666666666671</v>
      </c>
      <c r="G21" s="103" t="str">
        <f t="shared" si="0"/>
        <v>APROBADO</v>
      </c>
      <c r="H21" s="104"/>
      <c r="I21" s="104"/>
    </row>
    <row r="22" spans="1:9" ht="12" customHeight="1" x14ac:dyDescent="0.35">
      <c r="A22" s="59">
        <v>14</v>
      </c>
      <c r="B22" s="60" t="str">
        <f>'C. FILIACION'!B21</f>
        <v>PILLCO APAZA MARIAN ALEXANDRA</v>
      </c>
      <c r="C22" s="101">
        <f>'VAL 1 TRIM '!AG22</f>
        <v>90</v>
      </c>
      <c r="D22" s="101">
        <f>'VAL 2 TRIM'!AG22</f>
        <v>71</v>
      </c>
      <c r="E22" s="101">
        <f>'VAL 3 TRIM'!AG22</f>
        <v>100</v>
      </c>
      <c r="F22" s="102">
        <f>'CENTRAL 1'!U22</f>
        <v>87</v>
      </c>
      <c r="G22" s="103" t="str">
        <f t="shared" si="0"/>
        <v>APROBADO</v>
      </c>
      <c r="H22" s="104"/>
      <c r="I22" s="104"/>
    </row>
    <row r="23" spans="1:9" ht="12" customHeight="1" x14ac:dyDescent="0.35">
      <c r="A23" s="59">
        <v>15</v>
      </c>
      <c r="B23" s="60" t="str">
        <f>'C. FILIACION'!B22</f>
        <v>RUEDA ALVAREZ GREGORY STEVEN</v>
      </c>
      <c r="C23" s="101">
        <f>'VAL 1 TRIM '!AG23</f>
        <v>90</v>
      </c>
      <c r="D23" s="101">
        <f>'VAL 2 TRIM'!AG23</f>
        <v>72</v>
      </c>
      <c r="E23" s="101">
        <f>'VAL 3 TRIM'!AG23</f>
        <v>100</v>
      </c>
      <c r="F23" s="102">
        <f>'CENTRAL 1'!U23</f>
        <v>87.333333333333329</v>
      </c>
      <c r="G23" s="103" t="str">
        <f t="shared" si="0"/>
        <v>APROBADO</v>
      </c>
      <c r="H23" s="104"/>
      <c r="I23" s="104"/>
    </row>
    <row r="24" spans="1:9" ht="12" customHeight="1" x14ac:dyDescent="0.35">
      <c r="A24" s="59">
        <v>16</v>
      </c>
      <c r="B24" s="60" t="str">
        <f>'C. FILIACION'!B23</f>
        <v>VARGAS JOYCE BELEN</v>
      </c>
      <c r="C24" s="101">
        <f>'VAL 1 TRIM '!AG24</f>
        <v>90</v>
      </c>
      <c r="D24" s="101">
        <f>'VAL 2 TRIM'!AG24</f>
        <v>29.53846153846154</v>
      </c>
      <c r="E24" s="101">
        <f>'VAL 3 TRIM'!AG24</f>
        <v>100</v>
      </c>
      <c r="F24" s="102">
        <f>'CENTRAL 1'!U24</f>
        <v>73.179487179487182</v>
      </c>
      <c r="G24" s="103" t="str">
        <f t="shared" si="0"/>
        <v>APROBADO</v>
      </c>
      <c r="H24" s="104"/>
      <c r="I24" s="104"/>
    </row>
    <row r="25" spans="1:9" ht="12" customHeight="1" x14ac:dyDescent="0.35">
      <c r="A25" s="59">
        <v>17</v>
      </c>
      <c r="B25" s="60" t="str">
        <f>'C. FILIACION'!B24</f>
        <v>ZURITA JIMENEZ ELMER ARTURO</v>
      </c>
      <c r="C25" s="101">
        <f>'VAL 1 TRIM '!AG25</f>
        <v>90</v>
      </c>
      <c r="D25" s="101">
        <f>'VAL 2 TRIM'!AG25</f>
        <v>80</v>
      </c>
      <c r="E25" s="101">
        <f>'VAL 3 TRIM'!AG25</f>
        <v>100</v>
      </c>
      <c r="F25" s="102">
        <f>'CENTRAL 1'!U25</f>
        <v>90</v>
      </c>
      <c r="G25" s="103" t="str">
        <f t="shared" si="0"/>
        <v>APROBADO</v>
      </c>
      <c r="H25" s="104"/>
      <c r="I25" s="104"/>
    </row>
    <row r="26" spans="1:9" ht="12" customHeight="1" x14ac:dyDescent="0.35">
      <c r="A26" s="59">
        <v>18</v>
      </c>
      <c r="B26" s="60" t="str">
        <f>'C. FILIACION'!B25</f>
        <v>ADRIAN FLORES EDDY BEYMAR</v>
      </c>
      <c r="C26" s="101">
        <f>'VAL 1 TRIM '!AG26</f>
        <v>100</v>
      </c>
      <c r="D26" s="101">
        <f>'VAL 2 TRIM'!AG26</f>
        <v>53.153846153846153</v>
      </c>
      <c r="E26" s="101">
        <f>'VAL 3 TRIM'!AG26</f>
        <v>100</v>
      </c>
      <c r="F26" s="102">
        <f>'CENTRAL 1'!U26</f>
        <v>84.384615384615387</v>
      </c>
      <c r="G26" s="103" t="str">
        <f t="shared" si="0"/>
        <v>APROBADO</v>
      </c>
      <c r="H26" s="104"/>
      <c r="I26" s="104"/>
    </row>
    <row r="27" spans="1:9" ht="12" customHeight="1" x14ac:dyDescent="0.35">
      <c r="A27" s="59">
        <v>19</v>
      </c>
      <c r="B27" s="60" t="str">
        <f>'C. FILIACION'!B26</f>
        <v xml:space="preserve">VENTURA CHOQUE DANELY </v>
      </c>
      <c r="C27" s="101">
        <f>'VAL 1 TRIM '!AG27</f>
        <v>100</v>
      </c>
      <c r="D27" s="101">
        <f>'VAL 2 TRIM'!AG27</f>
        <v>69.75</v>
      </c>
      <c r="E27" s="101">
        <f>'VAL 3 TRIM'!AG27</f>
        <v>100</v>
      </c>
      <c r="F27" s="102">
        <f>'CENTRAL 1'!U27</f>
        <v>89.916666666666671</v>
      </c>
      <c r="G27" s="103" t="str">
        <f t="shared" si="0"/>
        <v>APROBADO</v>
      </c>
      <c r="H27" s="104"/>
      <c r="I27" s="104"/>
    </row>
    <row r="28" spans="1:9" ht="12" customHeight="1" x14ac:dyDescent="0.35">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02" t="s">
        <v>143</v>
      </c>
      <c r="C2" s="211"/>
      <c r="D2" s="211"/>
      <c r="E2" s="211"/>
      <c r="F2" s="211"/>
      <c r="G2" s="211"/>
      <c r="H2" s="211"/>
      <c r="I2" s="211"/>
      <c r="J2" s="211"/>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2 TRIM'!$AO$10</f>
        <v>6</v>
      </c>
      <c r="I8" s="118">
        <f>H8/H11</f>
        <v>0.16666666666666666</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2 TRIM'!$AO$12</f>
        <v>20</v>
      </c>
      <c r="I10" s="118">
        <f>H10/H11</f>
        <v>0.55555555555555558</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03" t="s">
        <v>136</v>
      </c>
      <c r="C13" s="211"/>
      <c r="D13" s="211"/>
      <c r="E13" s="211"/>
      <c r="F13" s="211"/>
      <c r="G13" s="211"/>
      <c r="H13" s="211"/>
      <c r="I13" s="211"/>
      <c r="J13" s="211"/>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9" t="s">
        <v>137</v>
      </c>
      <c r="C15" s="218"/>
      <c r="D15" s="218"/>
      <c r="E15" s="218"/>
      <c r="F15" s="218"/>
      <c r="G15" s="218"/>
      <c r="H15" s="218"/>
      <c r="I15" s="218"/>
      <c r="J15" s="219"/>
      <c r="K15" s="110"/>
      <c r="L15" s="110"/>
      <c r="M15" s="110"/>
      <c r="N15" s="110"/>
      <c r="O15" s="110"/>
      <c r="P15" s="110"/>
      <c r="Q15" s="110"/>
      <c r="R15" s="110"/>
      <c r="S15" s="110"/>
      <c r="T15" s="110"/>
      <c r="U15" s="110"/>
      <c r="V15" s="110"/>
      <c r="W15" s="110"/>
      <c r="X15" s="110"/>
      <c r="Y15" s="110"/>
      <c r="Z15" s="110"/>
    </row>
    <row r="16" spans="1:26" ht="16.5" customHeight="1" x14ac:dyDescent="0.35">
      <c r="A16" s="110"/>
      <c r="B16" s="300"/>
      <c r="C16" s="211"/>
      <c r="D16" s="211"/>
      <c r="E16" s="211"/>
      <c r="F16" s="211"/>
      <c r="G16" s="211"/>
      <c r="H16" s="211"/>
      <c r="I16" s="211"/>
      <c r="J16" s="301"/>
      <c r="K16" s="110"/>
      <c r="L16" s="110"/>
      <c r="M16" s="110"/>
      <c r="N16" s="110"/>
      <c r="O16" s="110"/>
      <c r="P16" s="110"/>
      <c r="Q16" s="110"/>
      <c r="R16" s="110"/>
      <c r="S16" s="110"/>
      <c r="T16" s="110"/>
      <c r="U16" s="110"/>
      <c r="V16" s="110"/>
      <c r="W16" s="110"/>
      <c r="X16" s="110"/>
      <c r="Y16" s="110"/>
      <c r="Z16" s="110"/>
    </row>
    <row r="17" spans="1:26" ht="16.5" customHeight="1" x14ac:dyDescent="0.35">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35">
      <c r="A18" s="110"/>
      <c r="B18" s="299" t="s">
        <v>138</v>
      </c>
      <c r="C18" s="218"/>
      <c r="D18" s="218"/>
      <c r="E18" s="218"/>
      <c r="F18" s="218"/>
      <c r="G18" s="218"/>
      <c r="H18" s="218"/>
      <c r="I18" s="218"/>
      <c r="J18" s="219"/>
      <c r="K18" s="110"/>
      <c r="L18" s="110"/>
      <c r="M18" s="110"/>
      <c r="N18" s="110"/>
      <c r="O18" s="110"/>
      <c r="P18" s="110"/>
      <c r="Q18" s="110"/>
      <c r="R18" s="110"/>
      <c r="S18" s="110"/>
      <c r="T18" s="110"/>
      <c r="U18" s="110"/>
      <c r="V18" s="110"/>
      <c r="W18" s="110"/>
      <c r="X18" s="110"/>
      <c r="Y18" s="110"/>
      <c r="Z18" s="110"/>
    </row>
    <row r="19" spans="1:26" ht="16.5" customHeight="1" x14ac:dyDescent="0.35">
      <c r="A19" s="110"/>
      <c r="B19" s="300"/>
      <c r="C19" s="211"/>
      <c r="D19" s="211"/>
      <c r="E19" s="211"/>
      <c r="F19" s="211"/>
      <c r="G19" s="211"/>
      <c r="H19" s="211"/>
      <c r="I19" s="211"/>
      <c r="J19" s="301"/>
      <c r="K19" s="110"/>
      <c r="L19" s="110"/>
      <c r="M19" s="110"/>
      <c r="N19" s="110"/>
      <c r="O19" s="110"/>
      <c r="P19" s="110"/>
      <c r="Q19" s="110"/>
      <c r="R19" s="110"/>
      <c r="S19" s="110"/>
      <c r="T19" s="110"/>
      <c r="U19" s="110"/>
      <c r="V19" s="110"/>
      <c r="W19" s="110"/>
      <c r="X19" s="110"/>
      <c r="Y19" s="110"/>
      <c r="Z19" s="110"/>
    </row>
    <row r="20" spans="1:26" ht="16.5" customHeight="1" x14ac:dyDescent="0.35">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35">
      <c r="A21" s="110"/>
      <c r="B21" s="299" t="s">
        <v>139</v>
      </c>
      <c r="C21" s="218"/>
      <c r="D21" s="218"/>
      <c r="E21" s="218"/>
      <c r="F21" s="218"/>
      <c r="G21" s="218"/>
      <c r="H21" s="218"/>
      <c r="I21" s="218"/>
      <c r="J21" s="219"/>
      <c r="K21" s="110"/>
      <c r="L21" s="110"/>
      <c r="M21" s="110"/>
      <c r="N21" s="110"/>
      <c r="O21" s="110"/>
      <c r="P21" s="110"/>
      <c r="Q21" s="110"/>
      <c r="R21" s="110"/>
      <c r="S21" s="110"/>
      <c r="T21" s="110"/>
      <c r="U21" s="110"/>
      <c r="V21" s="110"/>
      <c r="W21" s="110"/>
      <c r="X21" s="110"/>
      <c r="Y21" s="110"/>
      <c r="Z21" s="110"/>
    </row>
    <row r="22" spans="1:26" ht="16.5" customHeight="1" x14ac:dyDescent="0.35">
      <c r="A22" s="110"/>
      <c r="B22" s="300"/>
      <c r="C22" s="211"/>
      <c r="D22" s="211"/>
      <c r="E22" s="211"/>
      <c r="F22" s="211"/>
      <c r="G22" s="211"/>
      <c r="H22" s="211"/>
      <c r="I22" s="211"/>
      <c r="J22" s="301"/>
      <c r="K22" s="110"/>
      <c r="L22" s="110"/>
      <c r="M22" s="110"/>
      <c r="N22" s="110"/>
      <c r="O22" s="110"/>
      <c r="P22" s="110"/>
      <c r="Q22" s="110"/>
      <c r="R22" s="110"/>
      <c r="S22" s="110"/>
      <c r="T22" s="110"/>
      <c r="U22" s="110"/>
      <c r="V22" s="110"/>
      <c r="W22" s="110"/>
      <c r="X22" s="110"/>
      <c r="Y22" s="110"/>
      <c r="Z22" s="110"/>
    </row>
    <row r="23" spans="1:26" ht="16.5" customHeight="1" x14ac:dyDescent="0.35">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35">
      <c r="A24" s="110"/>
      <c r="B24" s="299" t="s">
        <v>140</v>
      </c>
      <c r="C24" s="218"/>
      <c r="D24" s="218"/>
      <c r="E24" s="218"/>
      <c r="F24" s="218"/>
      <c r="G24" s="218"/>
      <c r="H24" s="218"/>
      <c r="I24" s="218"/>
      <c r="J24" s="219"/>
      <c r="K24" s="110"/>
      <c r="L24" s="110"/>
      <c r="M24" s="110"/>
      <c r="N24" s="110"/>
      <c r="O24" s="110"/>
      <c r="P24" s="110"/>
      <c r="Q24" s="110"/>
      <c r="R24" s="110"/>
      <c r="S24" s="110"/>
      <c r="T24" s="110"/>
      <c r="U24" s="110"/>
      <c r="V24" s="110"/>
      <c r="W24" s="110"/>
      <c r="X24" s="110"/>
      <c r="Y24" s="110"/>
      <c r="Z24" s="110"/>
    </row>
    <row r="25" spans="1:26" ht="16.5" customHeight="1" x14ac:dyDescent="0.35">
      <c r="A25" s="110"/>
      <c r="B25" s="300"/>
      <c r="C25" s="211"/>
      <c r="D25" s="211"/>
      <c r="E25" s="211"/>
      <c r="F25" s="211"/>
      <c r="G25" s="211"/>
      <c r="H25" s="211"/>
      <c r="I25" s="211"/>
      <c r="J25" s="301"/>
      <c r="K25" s="110"/>
      <c r="L25" s="110"/>
      <c r="M25" s="110"/>
      <c r="N25" s="110"/>
      <c r="O25" s="110"/>
      <c r="P25" s="110"/>
      <c r="Q25" s="110"/>
      <c r="R25" s="110"/>
      <c r="S25" s="110"/>
      <c r="T25" s="110"/>
      <c r="U25" s="110"/>
      <c r="V25" s="110"/>
      <c r="W25" s="110"/>
      <c r="X25" s="110"/>
      <c r="Y25" s="110"/>
      <c r="Z25" s="110"/>
    </row>
    <row r="26" spans="1:26" ht="16.5" customHeight="1" x14ac:dyDescent="0.35">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35">
      <c r="A27" s="110"/>
      <c r="B27" s="299" t="s">
        <v>141</v>
      </c>
      <c r="C27" s="218"/>
      <c r="D27" s="218"/>
      <c r="E27" s="218"/>
      <c r="F27" s="218"/>
      <c r="G27" s="218"/>
      <c r="H27" s="218"/>
      <c r="I27" s="218"/>
      <c r="J27" s="219"/>
      <c r="K27" s="110"/>
      <c r="L27" s="110"/>
      <c r="M27" s="110"/>
      <c r="N27" s="110"/>
      <c r="O27" s="110"/>
      <c r="P27" s="110"/>
      <c r="Q27" s="110"/>
      <c r="R27" s="110"/>
      <c r="S27" s="110"/>
      <c r="T27" s="110"/>
      <c r="U27" s="110"/>
      <c r="V27" s="110"/>
      <c r="W27" s="110"/>
      <c r="X27" s="110"/>
      <c r="Y27" s="110"/>
      <c r="Z27" s="110"/>
    </row>
    <row r="28" spans="1:26" ht="16.5" customHeight="1" x14ac:dyDescent="0.35">
      <c r="A28" s="110"/>
      <c r="B28" s="300"/>
      <c r="C28" s="211"/>
      <c r="D28" s="211"/>
      <c r="E28" s="211"/>
      <c r="F28" s="211"/>
      <c r="G28" s="211"/>
      <c r="H28" s="211"/>
      <c r="I28" s="211"/>
      <c r="J28" s="301"/>
      <c r="K28" s="110"/>
      <c r="L28" s="110"/>
      <c r="M28" s="110"/>
      <c r="N28" s="110"/>
      <c r="O28" s="110"/>
      <c r="P28" s="110"/>
      <c r="Q28" s="110"/>
      <c r="R28" s="110"/>
      <c r="S28" s="110"/>
      <c r="T28" s="110"/>
      <c r="U28" s="110"/>
      <c r="V28" s="110"/>
      <c r="W28" s="110"/>
      <c r="X28" s="110"/>
      <c r="Y28" s="110"/>
      <c r="Z28" s="110"/>
    </row>
    <row r="29" spans="1:26" ht="16.5" customHeight="1" x14ac:dyDescent="0.35">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02" t="s">
        <v>119</v>
      </c>
      <c r="C2" s="211"/>
      <c r="D2" s="211"/>
      <c r="E2" s="211"/>
      <c r="F2" s="211"/>
      <c r="G2" s="211"/>
      <c r="H2" s="211"/>
      <c r="I2" s="211"/>
      <c r="J2" s="211"/>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03" t="s">
        <v>136</v>
      </c>
      <c r="C13" s="211"/>
      <c r="D13" s="211"/>
      <c r="E13" s="211"/>
      <c r="F13" s="211"/>
      <c r="G13" s="211"/>
      <c r="H13" s="211"/>
      <c r="I13" s="211"/>
      <c r="J13" s="211"/>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9" t="s">
        <v>137</v>
      </c>
      <c r="C15" s="218"/>
      <c r="D15" s="218"/>
      <c r="E15" s="218"/>
      <c r="F15" s="218"/>
      <c r="G15" s="218"/>
      <c r="H15" s="218"/>
      <c r="I15" s="218"/>
      <c r="J15" s="219"/>
      <c r="K15" s="110"/>
      <c r="L15" s="110"/>
      <c r="M15" s="110"/>
      <c r="N15" s="110"/>
      <c r="O15" s="110"/>
      <c r="P15" s="110"/>
      <c r="Q15" s="110"/>
      <c r="R15" s="110"/>
      <c r="S15" s="110"/>
      <c r="T15" s="110"/>
      <c r="U15" s="110"/>
      <c r="V15" s="110"/>
      <c r="W15" s="110"/>
      <c r="X15" s="110"/>
      <c r="Y15" s="110"/>
      <c r="Z15" s="110"/>
    </row>
    <row r="16" spans="1:26" ht="16.5" customHeight="1" x14ac:dyDescent="0.35">
      <c r="A16" s="110"/>
      <c r="B16" s="300"/>
      <c r="C16" s="211"/>
      <c r="D16" s="211"/>
      <c r="E16" s="211"/>
      <c r="F16" s="211"/>
      <c r="G16" s="211"/>
      <c r="H16" s="211"/>
      <c r="I16" s="211"/>
      <c r="J16" s="301"/>
      <c r="K16" s="110"/>
      <c r="L16" s="110"/>
      <c r="M16" s="110"/>
      <c r="N16" s="110"/>
      <c r="O16" s="110"/>
      <c r="P16" s="110"/>
      <c r="Q16" s="110"/>
      <c r="R16" s="110"/>
      <c r="S16" s="110"/>
      <c r="T16" s="110"/>
      <c r="U16" s="110"/>
      <c r="V16" s="110"/>
      <c r="W16" s="110"/>
      <c r="X16" s="110"/>
      <c r="Y16" s="110"/>
      <c r="Z16" s="110"/>
    </row>
    <row r="17" spans="1:26" ht="16.5" customHeight="1" x14ac:dyDescent="0.35">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35">
      <c r="A18" s="110"/>
      <c r="B18" s="299" t="s">
        <v>138</v>
      </c>
      <c r="C18" s="218"/>
      <c r="D18" s="218"/>
      <c r="E18" s="218"/>
      <c r="F18" s="218"/>
      <c r="G18" s="218"/>
      <c r="H18" s="218"/>
      <c r="I18" s="218"/>
      <c r="J18" s="219"/>
      <c r="K18" s="110"/>
      <c r="L18" s="110"/>
      <c r="M18" s="110"/>
      <c r="N18" s="110"/>
      <c r="O18" s="110"/>
      <c r="P18" s="110"/>
      <c r="Q18" s="110"/>
      <c r="R18" s="110"/>
      <c r="S18" s="110"/>
      <c r="T18" s="110"/>
      <c r="U18" s="110"/>
      <c r="V18" s="110"/>
      <c r="W18" s="110"/>
      <c r="X18" s="110"/>
      <c r="Y18" s="110"/>
      <c r="Z18" s="110"/>
    </row>
    <row r="19" spans="1:26" ht="16.5" customHeight="1" x14ac:dyDescent="0.35">
      <c r="A19" s="110"/>
      <c r="B19" s="300"/>
      <c r="C19" s="211"/>
      <c r="D19" s="211"/>
      <c r="E19" s="211"/>
      <c r="F19" s="211"/>
      <c r="G19" s="211"/>
      <c r="H19" s="211"/>
      <c r="I19" s="211"/>
      <c r="J19" s="301"/>
      <c r="K19" s="110"/>
      <c r="L19" s="110"/>
      <c r="M19" s="110"/>
      <c r="N19" s="110"/>
      <c r="O19" s="110"/>
      <c r="P19" s="110"/>
      <c r="Q19" s="110"/>
      <c r="R19" s="110"/>
      <c r="S19" s="110"/>
      <c r="T19" s="110"/>
      <c r="U19" s="110"/>
      <c r="V19" s="110"/>
      <c r="W19" s="110"/>
      <c r="X19" s="110"/>
      <c r="Y19" s="110"/>
      <c r="Z19" s="110"/>
    </row>
    <row r="20" spans="1:26" ht="16.5" customHeight="1" x14ac:dyDescent="0.35">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35">
      <c r="A21" s="110"/>
      <c r="B21" s="299" t="s">
        <v>139</v>
      </c>
      <c r="C21" s="218"/>
      <c r="D21" s="218"/>
      <c r="E21" s="218"/>
      <c r="F21" s="218"/>
      <c r="G21" s="218"/>
      <c r="H21" s="218"/>
      <c r="I21" s="218"/>
      <c r="J21" s="219"/>
      <c r="K21" s="110"/>
      <c r="L21" s="110"/>
      <c r="M21" s="110"/>
      <c r="N21" s="110"/>
      <c r="O21" s="110"/>
      <c r="P21" s="110"/>
      <c r="Q21" s="110"/>
      <c r="R21" s="110"/>
      <c r="S21" s="110"/>
      <c r="T21" s="110"/>
      <c r="U21" s="110"/>
      <c r="V21" s="110"/>
      <c r="W21" s="110"/>
      <c r="X21" s="110"/>
      <c r="Y21" s="110"/>
      <c r="Z21" s="110"/>
    </row>
    <row r="22" spans="1:26" ht="16.5" customHeight="1" x14ac:dyDescent="0.35">
      <c r="A22" s="110"/>
      <c r="B22" s="300"/>
      <c r="C22" s="211"/>
      <c r="D22" s="211"/>
      <c r="E22" s="211"/>
      <c r="F22" s="211"/>
      <c r="G22" s="211"/>
      <c r="H22" s="211"/>
      <c r="I22" s="211"/>
      <c r="J22" s="301"/>
      <c r="K22" s="110"/>
      <c r="L22" s="110"/>
      <c r="M22" s="110"/>
      <c r="N22" s="110"/>
      <c r="O22" s="110"/>
      <c r="P22" s="110"/>
      <c r="Q22" s="110"/>
      <c r="R22" s="110"/>
      <c r="S22" s="110"/>
      <c r="T22" s="110"/>
      <c r="U22" s="110"/>
      <c r="V22" s="110"/>
      <c r="W22" s="110"/>
      <c r="X22" s="110"/>
      <c r="Y22" s="110"/>
      <c r="Z22" s="110"/>
    </row>
    <row r="23" spans="1:26" ht="16.5" customHeight="1" x14ac:dyDescent="0.35">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35">
      <c r="A24" s="110"/>
      <c r="B24" s="299" t="s">
        <v>140</v>
      </c>
      <c r="C24" s="218"/>
      <c r="D24" s="218"/>
      <c r="E24" s="218"/>
      <c r="F24" s="218"/>
      <c r="G24" s="218"/>
      <c r="H24" s="218"/>
      <c r="I24" s="218"/>
      <c r="J24" s="219"/>
      <c r="K24" s="110"/>
      <c r="L24" s="110"/>
      <c r="M24" s="110"/>
      <c r="N24" s="110"/>
      <c r="O24" s="110"/>
      <c r="P24" s="110"/>
      <c r="Q24" s="110"/>
      <c r="R24" s="110"/>
      <c r="S24" s="110"/>
      <c r="T24" s="110"/>
      <c r="U24" s="110"/>
      <c r="V24" s="110"/>
      <c r="W24" s="110"/>
      <c r="X24" s="110"/>
      <c r="Y24" s="110"/>
      <c r="Z24" s="110"/>
    </row>
    <row r="25" spans="1:26" ht="16.5" customHeight="1" x14ac:dyDescent="0.35">
      <c r="A25" s="110"/>
      <c r="B25" s="300"/>
      <c r="C25" s="211"/>
      <c r="D25" s="211"/>
      <c r="E25" s="211"/>
      <c r="F25" s="211"/>
      <c r="G25" s="211"/>
      <c r="H25" s="211"/>
      <c r="I25" s="211"/>
      <c r="J25" s="301"/>
      <c r="K25" s="110"/>
      <c r="L25" s="110"/>
      <c r="M25" s="110"/>
      <c r="N25" s="110"/>
      <c r="O25" s="110"/>
      <c r="P25" s="110"/>
      <c r="Q25" s="110"/>
      <c r="R25" s="110"/>
      <c r="S25" s="110"/>
      <c r="T25" s="110"/>
      <c r="U25" s="110"/>
      <c r="V25" s="110"/>
      <c r="W25" s="110"/>
      <c r="X25" s="110"/>
      <c r="Y25" s="110"/>
      <c r="Z25" s="110"/>
    </row>
    <row r="26" spans="1:26" ht="16.5" customHeight="1" x14ac:dyDescent="0.35">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35">
      <c r="A27" s="110"/>
      <c r="B27" s="299" t="s">
        <v>141</v>
      </c>
      <c r="C27" s="218"/>
      <c r="D27" s="218"/>
      <c r="E27" s="218"/>
      <c r="F27" s="218"/>
      <c r="G27" s="218"/>
      <c r="H27" s="218"/>
      <c r="I27" s="218"/>
      <c r="J27" s="219"/>
      <c r="K27" s="110"/>
      <c r="L27" s="110"/>
      <c r="M27" s="110"/>
      <c r="N27" s="110"/>
      <c r="O27" s="110"/>
      <c r="P27" s="110"/>
      <c r="Q27" s="110"/>
      <c r="R27" s="110"/>
      <c r="S27" s="110"/>
      <c r="T27" s="110"/>
      <c r="U27" s="110"/>
      <c r="V27" s="110"/>
      <c r="W27" s="110"/>
      <c r="X27" s="110"/>
      <c r="Y27" s="110"/>
      <c r="Z27" s="110"/>
    </row>
    <row r="28" spans="1:26" ht="16.5" customHeight="1" x14ac:dyDescent="0.35">
      <c r="A28" s="110"/>
      <c r="B28" s="300"/>
      <c r="C28" s="211"/>
      <c r="D28" s="211"/>
      <c r="E28" s="211"/>
      <c r="F28" s="211"/>
      <c r="G28" s="211"/>
      <c r="H28" s="211"/>
      <c r="I28" s="211"/>
      <c r="J28" s="301"/>
      <c r="K28" s="110"/>
      <c r="L28" s="110"/>
      <c r="M28" s="110"/>
      <c r="N28" s="110"/>
      <c r="O28" s="110"/>
      <c r="P28" s="110"/>
      <c r="Q28" s="110"/>
      <c r="R28" s="110"/>
      <c r="S28" s="110"/>
      <c r="T28" s="110"/>
      <c r="U28" s="110"/>
      <c r="V28" s="110"/>
      <c r="W28" s="110"/>
      <c r="X28" s="110"/>
      <c r="Y28" s="110"/>
      <c r="Z28" s="110"/>
    </row>
    <row r="29" spans="1:26" ht="16.5" customHeight="1" x14ac:dyDescent="0.35">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9921875" defaultRowHeight="15" customHeight="1" x14ac:dyDescent="0.35"/>
  <cols>
    <col min="1" max="1" width="3.86328125" customWidth="1"/>
    <col min="2" max="2" width="6.19921875" customWidth="1"/>
    <col min="3" max="3" width="12.6640625" customWidth="1"/>
    <col min="4" max="4" width="5.86328125" customWidth="1"/>
    <col min="5" max="5" width="7.53125" customWidth="1"/>
    <col min="6" max="6" width="2.86328125" customWidth="1"/>
    <col min="7" max="7" width="14.73046875" customWidth="1"/>
    <col min="8" max="8" width="5.19921875" customWidth="1"/>
    <col min="9" max="10" width="10.8632812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02" t="s">
        <v>144</v>
      </c>
      <c r="C2" s="211"/>
      <c r="D2" s="211"/>
      <c r="E2" s="211"/>
      <c r="F2" s="211"/>
      <c r="G2" s="211"/>
      <c r="H2" s="211"/>
      <c r="I2" s="211"/>
      <c r="J2" s="211"/>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6to de Secundaria</v>
      </c>
      <c r="E5" s="110"/>
      <c r="F5" s="110"/>
      <c r="G5" s="110"/>
      <c r="H5" s="111" t="s">
        <v>23</v>
      </c>
      <c r="I5" s="68">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399999999999999" x14ac:dyDescent="0.35">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03" t="s">
        <v>136</v>
      </c>
      <c r="C13" s="211"/>
      <c r="D13" s="211"/>
      <c r="E13" s="211"/>
      <c r="F13" s="211"/>
      <c r="G13" s="211"/>
      <c r="H13" s="211"/>
      <c r="I13" s="211"/>
      <c r="J13" s="211"/>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9" t="s">
        <v>137</v>
      </c>
      <c r="C15" s="218"/>
      <c r="D15" s="218"/>
      <c r="E15" s="218"/>
      <c r="F15" s="218"/>
      <c r="G15" s="218"/>
      <c r="H15" s="218"/>
      <c r="I15" s="218"/>
      <c r="J15" s="219"/>
      <c r="K15" s="110"/>
      <c r="L15" s="110"/>
      <c r="M15" s="110"/>
      <c r="N15" s="110"/>
      <c r="O15" s="110"/>
      <c r="P15" s="110"/>
      <c r="Q15" s="110"/>
      <c r="R15" s="110"/>
      <c r="S15" s="110"/>
      <c r="T15" s="110"/>
      <c r="U15" s="110"/>
      <c r="V15" s="110"/>
      <c r="W15" s="110"/>
      <c r="X15" s="110"/>
      <c r="Y15" s="110"/>
      <c r="Z15" s="110"/>
    </row>
    <row r="16" spans="1:26" ht="16.5" customHeight="1" x14ac:dyDescent="0.35">
      <c r="A16" s="110"/>
      <c r="B16" s="300"/>
      <c r="C16" s="211"/>
      <c r="D16" s="211"/>
      <c r="E16" s="211"/>
      <c r="F16" s="211"/>
      <c r="G16" s="211"/>
      <c r="H16" s="211"/>
      <c r="I16" s="211"/>
      <c r="J16" s="301"/>
      <c r="K16" s="110"/>
      <c r="L16" s="110"/>
      <c r="M16" s="110"/>
      <c r="N16" s="110"/>
      <c r="O16" s="110"/>
      <c r="P16" s="110"/>
      <c r="Q16" s="110"/>
      <c r="R16" s="110"/>
      <c r="S16" s="110"/>
      <c r="T16" s="110"/>
      <c r="U16" s="110"/>
      <c r="V16" s="110"/>
      <c r="W16" s="110"/>
      <c r="X16" s="110"/>
      <c r="Y16" s="110"/>
      <c r="Z16" s="110"/>
    </row>
    <row r="17" spans="1:26" ht="16.5" customHeight="1" x14ac:dyDescent="0.35">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35">
      <c r="A18" s="110"/>
      <c r="B18" s="299" t="s">
        <v>138</v>
      </c>
      <c r="C18" s="218"/>
      <c r="D18" s="218"/>
      <c r="E18" s="218"/>
      <c r="F18" s="218"/>
      <c r="G18" s="218"/>
      <c r="H18" s="218"/>
      <c r="I18" s="218"/>
      <c r="J18" s="219"/>
      <c r="K18" s="110"/>
      <c r="L18" s="110"/>
      <c r="M18" s="110"/>
      <c r="N18" s="110"/>
      <c r="O18" s="110"/>
      <c r="P18" s="110"/>
      <c r="Q18" s="110"/>
      <c r="R18" s="110"/>
      <c r="S18" s="110"/>
      <c r="T18" s="110"/>
      <c r="U18" s="110"/>
      <c r="V18" s="110"/>
      <c r="W18" s="110"/>
      <c r="X18" s="110"/>
      <c r="Y18" s="110"/>
      <c r="Z18" s="110"/>
    </row>
    <row r="19" spans="1:26" ht="16.5" customHeight="1" x14ac:dyDescent="0.35">
      <c r="A19" s="110"/>
      <c r="B19" s="300"/>
      <c r="C19" s="211"/>
      <c r="D19" s="211"/>
      <c r="E19" s="211"/>
      <c r="F19" s="211"/>
      <c r="G19" s="211"/>
      <c r="H19" s="211"/>
      <c r="I19" s="211"/>
      <c r="J19" s="301"/>
      <c r="K19" s="110"/>
      <c r="L19" s="110"/>
      <c r="M19" s="110"/>
      <c r="N19" s="110"/>
      <c r="O19" s="110"/>
      <c r="P19" s="110"/>
      <c r="Q19" s="110"/>
      <c r="R19" s="110"/>
      <c r="S19" s="110"/>
      <c r="T19" s="110"/>
      <c r="U19" s="110"/>
      <c r="V19" s="110"/>
      <c r="W19" s="110"/>
      <c r="X19" s="110"/>
      <c r="Y19" s="110"/>
      <c r="Z19" s="110"/>
    </row>
    <row r="20" spans="1:26" ht="16.5" customHeight="1" x14ac:dyDescent="0.35">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35">
      <c r="A21" s="110"/>
      <c r="B21" s="299" t="s">
        <v>139</v>
      </c>
      <c r="C21" s="218"/>
      <c r="D21" s="218"/>
      <c r="E21" s="218"/>
      <c r="F21" s="218"/>
      <c r="G21" s="218"/>
      <c r="H21" s="218"/>
      <c r="I21" s="218"/>
      <c r="J21" s="219"/>
      <c r="K21" s="110"/>
      <c r="L21" s="110"/>
      <c r="M21" s="110"/>
      <c r="N21" s="110"/>
      <c r="O21" s="110"/>
      <c r="P21" s="110"/>
      <c r="Q21" s="110"/>
      <c r="R21" s="110"/>
      <c r="S21" s="110"/>
      <c r="T21" s="110"/>
      <c r="U21" s="110"/>
      <c r="V21" s="110"/>
      <c r="W21" s="110"/>
      <c r="X21" s="110"/>
      <c r="Y21" s="110"/>
      <c r="Z21" s="110"/>
    </row>
    <row r="22" spans="1:26" ht="16.5" customHeight="1" x14ac:dyDescent="0.35">
      <c r="A22" s="110"/>
      <c r="B22" s="300"/>
      <c r="C22" s="211"/>
      <c r="D22" s="211"/>
      <c r="E22" s="211"/>
      <c r="F22" s="211"/>
      <c r="G22" s="211"/>
      <c r="H22" s="211"/>
      <c r="I22" s="211"/>
      <c r="J22" s="301"/>
      <c r="K22" s="110"/>
      <c r="L22" s="110"/>
      <c r="M22" s="110"/>
      <c r="N22" s="110"/>
      <c r="O22" s="110"/>
      <c r="P22" s="110"/>
      <c r="Q22" s="110"/>
      <c r="R22" s="110"/>
      <c r="S22" s="110"/>
      <c r="T22" s="110"/>
      <c r="U22" s="110"/>
      <c r="V22" s="110"/>
      <c r="W22" s="110"/>
      <c r="X22" s="110"/>
      <c r="Y22" s="110"/>
      <c r="Z22" s="110"/>
    </row>
    <row r="23" spans="1:26" ht="16.5" customHeight="1" x14ac:dyDescent="0.35">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35">
      <c r="A24" s="110"/>
      <c r="B24" s="299" t="s">
        <v>140</v>
      </c>
      <c r="C24" s="218"/>
      <c r="D24" s="218"/>
      <c r="E24" s="218"/>
      <c r="F24" s="218"/>
      <c r="G24" s="218"/>
      <c r="H24" s="218"/>
      <c r="I24" s="218"/>
      <c r="J24" s="219"/>
      <c r="K24" s="110"/>
      <c r="L24" s="110"/>
      <c r="M24" s="110"/>
      <c r="N24" s="110"/>
      <c r="O24" s="110"/>
      <c r="P24" s="110"/>
      <c r="Q24" s="110"/>
      <c r="R24" s="110"/>
      <c r="S24" s="110"/>
      <c r="T24" s="110"/>
      <c r="U24" s="110"/>
      <c r="V24" s="110"/>
      <c r="W24" s="110"/>
      <c r="X24" s="110"/>
      <c r="Y24" s="110"/>
      <c r="Z24" s="110"/>
    </row>
    <row r="25" spans="1:26" ht="16.5" customHeight="1" x14ac:dyDescent="0.35">
      <c r="A25" s="110"/>
      <c r="B25" s="300"/>
      <c r="C25" s="211"/>
      <c r="D25" s="211"/>
      <c r="E25" s="211"/>
      <c r="F25" s="211"/>
      <c r="G25" s="211"/>
      <c r="H25" s="211"/>
      <c r="I25" s="211"/>
      <c r="J25" s="301"/>
      <c r="K25" s="110"/>
      <c r="L25" s="110"/>
      <c r="M25" s="110"/>
      <c r="N25" s="110"/>
      <c r="O25" s="110"/>
      <c r="P25" s="110"/>
      <c r="Q25" s="110"/>
      <c r="R25" s="110"/>
      <c r="S25" s="110"/>
      <c r="T25" s="110"/>
      <c r="U25" s="110"/>
      <c r="V25" s="110"/>
      <c r="W25" s="110"/>
      <c r="X25" s="110"/>
      <c r="Y25" s="110"/>
      <c r="Z25" s="110"/>
    </row>
    <row r="26" spans="1:26" ht="16.5" customHeight="1" x14ac:dyDescent="0.35">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35">
      <c r="A27" s="110"/>
      <c r="B27" s="299" t="s">
        <v>141</v>
      </c>
      <c r="C27" s="218"/>
      <c r="D27" s="218"/>
      <c r="E27" s="218"/>
      <c r="F27" s="218"/>
      <c r="G27" s="218"/>
      <c r="H27" s="218"/>
      <c r="I27" s="218"/>
      <c r="J27" s="219"/>
      <c r="K27" s="110"/>
      <c r="L27" s="110"/>
      <c r="M27" s="110"/>
      <c r="N27" s="110"/>
      <c r="O27" s="110"/>
      <c r="P27" s="110"/>
      <c r="Q27" s="110"/>
      <c r="R27" s="110"/>
      <c r="S27" s="110"/>
      <c r="T27" s="110"/>
      <c r="U27" s="110"/>
      <c r="V27" s="110"/>
      <c r="W27" s="110"/>
      <c r="X27" s="110"/>
      <c r="Y27" s="110"/>
      <c r="Z27" s="110"/>
    </row>
    <row r="28" spans="1:26" ht="16.5" customHeight="1" x14ac:dyDescent="0.35">
      <c r="A28" s="110"/>
      <c r="B28" s="300"/>
      <c r="C28" s="211"/>
      <c r="D28" s="211"/>
      <c r="E28" s="211"/>
      <c r="F28" s="211"/>
      <c r="G28" s="211"/>
      <c r="H28" s="211"/>
      <c r="I28" s="211"/>
      <c r="J28" s="301"/>
      <c r="K28" s="110"/>
      <c r="L28" s="110"/>
      <c r="M28" s="110"/>
      <c r="N28" s="110"/>
      <c r="O28" s="110"/>
      <c r="P28" s="110"/>
      <c r="Q28" s="110"/>
      <c r="R28" s="110"/>
      <c r="S28" s="110"/>
      <c r="T28" s="110"/>
      <c r="U28" s="110"/>
      <c r="V28" s="110"/>
      <c r="W28" s="110"/>
      <c r="X28" s="110"/>
      <c r="Y28" s="110"/>
      <c r="Z28" s="110"/>
    </row>
    <row r="29" spans="1:26" ht="16.5" customHeight="1" x14ac:dyDescent="0.35">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9921875" defaultRowHeight="15" customHeight="1" x14ac:dyDescent="0.35"/>
  <cols>
    <col min="1" max="1" width="1.6640625" customWidth="1"/>
    <col min="2" max="2" width="4.531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8632812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15" t="s">
        <v>145</v>
      </c>
      <c r="D2" s="211"/>
      <c r="E2" s="211"/>
      <c r="F2" s="211"/>
      <c r="G2" s="211"/>
      <c r="H2" s="211"/>
      <c r="I2" s="211"/>
      <c r="J2" s="211"/>
      <c r="K2" s="211"/>
      <c r="L2" s="211"/>
      <c r="M2" s="211"/>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6to de Secundaria</v>
      </c>
      <c r="F5" s="40"/>
      <c r="G5" s="40"/>
      <c r="H5" s="40"/>
      <c r="I5" s="40"/>
      <c r="J5" s="43" t="s">
        <v>23</v>
      </c>
      <c r="K5" s="68">
        <f ca="1">TODAY()</f>
        <v>44460</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9" t="s">
        <v>146</v>
      </c>
      <c r="D10" s="211"/>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9" t="s">
        <v>151</v>
      </c>
      <c r="D23" s="211"/>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148</v>
      </c>
      <c r="D24" s="40"/>
      <c r="E24" s="126">
        <f>'CENTRAL 2'!$J$9</f>
        <v>33</v>
      </c>
      <c r="F24" s="40"/>
      <c r="G24" s="127">
        <f t="shared" ref="G24:G25" si="1">E24/$E$26</f>
        <v>0.91666666666666663</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9" t="s">
        <v>149</v>
      </c>
      <c r="D25" s="40"/>
      <c r="E25" s="129">
        <f>'CENTRAL 2'!$J$13</f>
        <v>3</v>
      </c>
      <c r="F25" s="40"/>
      <c r="G25" s="127">
        <f t="shared" si="1"/>
        <v>8.3333333333333329E-2</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150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9" t="s">
        <v>153</v>
      </c>
      <c r="D35" s="211"/>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148</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150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9921875" defaultRowHeight="15" customHeight="1" x14ac:dyDescent="0.35"/>
  <cols>
    <col min="1" max="1" width="1.6640625" customWidth="1"/>
    <col min="2" max="2" width="5.6640625" customWidth="1"/>
    <col min="3" max="3" width="4.33203125" customWidth="1"/>
    <col min="4" max="4" width="6.19921875" customWidth="1"/>
    <col min="5" max="5" width="7.53125" customWidth="1"/>
    <col min="6" max="6" width="13.33203125" customWidth="1"/>
    <col min="7" max="7" width="10.73046875" customWidth="1"/>
    <col min="8" max="8" width="8.1992187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05" t="s">
        <v>155</v>
      </c>
      <c r="D2" s="211"/>
      <c r="E2" s="211"/>
      <c r="F2" s="211"/>
      <c r="G2" s="211"/>
      <c r="H2" s="211"/>
      <c r="I2" s="211"/>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6to de Secundaria</v>
      </c>
      <c r="F5" s="133"/>
      <c r="G5" s="132" t="s">
        <v>23</v>
      </c>
      <c r="H5" s="134">
        <f ca="1">TODAY()</f>
        <v>44460</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04"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291"/>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291"/>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291"/>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266"/>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04"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291"/>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291"/>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291"/>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266"/>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04"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291"/>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291"/>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291"/>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266"/>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04"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291"/>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291"/>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291"/>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266"/>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04"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291"/>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291"/>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291"/>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266"/>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04"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291"/>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291"/>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291"/>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266"/>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9921875" defaultRowHeight="15" customHeight="1" x14ac:dyDescent="0.35"/>
  <cols>
    <col min="1" max="4" width="1.6640625" customWidth="1"/>
    <col min="5" max="6" width="4.6640625" customWidth="1"/>
    <col min="7" max="7" width="26.6640625" customWidth="1"/>
    <col min="8" max="8" width="7.53125" customWidth="1"/>
    <col min="9" max="10" width="10.8632812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10" t="s">
        <v>170</v>
      </c>
      <c r="F3" s="211"/>
      <c r="G3" s="211"/>
      <c r="H3" s="211"/>
      <c r="I3" s="211"/>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6to de Secundaria</v>
      </c>
      <c r="H8" s="144" t="s">
        <v>23</v>
      </c>
      <c r="I8" s="134">
        <f ca="1">TODAY()</f>
        <v>44460</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11" t="s">
        <v>171</v>
      </c>
      <c r="F16" s="312"/>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06"/>
      <c r="F17" s="263"/>
      <c r="G17" s="149" t="str">
        <f>'C. FILIACION'!B8</f>
        <v>ALTAMIRANO RAMOS ESTEFANI MILENKA</v>
      </c>
      <c r="H17" s="150">
        <f>'CENTRAL 2'!F9</f>
        <v>93</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06"/>
      <c r="F18" s="263"/>
      <c r="G18" s="149" t="str">
        <f>'C. FILIACION'!B9</f>
        <v>APAZA LINO TATIANA JAZMIN</v>
      </c>
      <c r="H18" s="150">
        <f>'CENTRAL 2'!F10</f>
        <v>94.333333333333329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06"/>
      <c r="F19" s="263"/>
      <c r="G19" s="149" t="str">
        <f>'C. FILIACION'!B10</f>
        <v>BOLAÑOS OVANDO MIJHAIL ALEXANDER</v>
      </c>
      <c r="H19" s="150">
        <f>'CENTRAL 2'!F11</f>
        <v>75.897435897435898</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06"/>
      <c r="F20" s="263"/>
      <c r="G20" s="149" t="str">
        <f>'C. FILIACION'!B11</f>
        <v>BRICHER ETHELBERT ISMAEL</v>
      </c>
      <c r="H20" s="150">
        <f>'CENTRAL 2'!F12</f>
        <v>57.179487179487182</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06"/>
      <c r="F21" s="263"/>
      <c r="G21" s="149" t="str">
        <f>'C. FILIACION'!B12</f>
        <v>CANAVIRI QUISBERT ALEJANDRA ELENA</v>
      </c>
      <c r="H21" s="150">
        <f>'CENTRAL 2'!F13</f>
        <v>87.384615384615401</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06"/>
      <c r="F22" s="263"/>
      <c r="G22" s="149" t="str">
        <f>'C. FILIACION'!B13</f>
        <v>GOMEZ BELTRAN ALBERT NORMAN</v>
      </c>
      <c r="H22" s="150">
        <f>'CENTRAL 2'!F14</f>
        <v>90</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06"/>
      <c r="F23" s="263"/>
      <c r="G23" s="149" t="str">
        <f>'C. FILIACION'!B14</f>
        <v>GOMEZ COSME MELANY KARINA</v>
      </c>
      <c r="H23" s="150">
        <f>'CENTRAL 2'!F15</f>
        <v>81.051282051282058</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06"/>
      <c r="F24" s="263"/>
      <c r="G24" s="149" t="str">
        <f>'C. FILIACION'!B15</f>
        <v>GONZALES ZUAZO KALEB RAMSES</v>
      </c>
      <c r="H24" s="150">
        <f>'CENTRAL 2'!F16</f>
        <v>82.333333333333329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06"/>
      <c r="F25" s="263"/>
      <c r="G25" s="149" t="str">
        <f>'C. FILIACION'!B16</f>
        <v>LEDEZMA AGUILAR ELVIS JHEFERSON</v>
      </c>
      <c r="H25" s="150">
        <f>'CENTRAL 2'!F17</f>
        <v>92.333333333333329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06"/>
      <c r="F26" s="263"/>
      <c r="G26" s="149" t="str">
        <f>'C. FILIACION'!B17</f>
        <v>LOBATON RODRIGUEZ JHONATAN A.</v>
      </c>
      <c r="H26" s="150">
        <f>'CENTRAL 2'!F18</f>
        <v>84.897435897435898</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06"/>
      <c r="F27" s="263"/>
      <c r="G27" s="149" t="str">
        <f>'C. FILIACION'!B18</f>
        <v>MAMANI LOPEZ DAFNE MILDRED</v>
      </c>
      <c r="H27" s="150">
        <f>'CENTRAL 2'!F19</f>
        <v>80.871794871794876</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06"/>
      <c r="F28" s="263"/>
      <c r="G28" s="149" t="str">
        <f>'C. FILIACION'!B19</f>
        <v>MARCONI PEREZ SINDEL LUANA</v>
      </c>
      <c r="H28" s="150">
        <f>'CENTRAL 2'!F20</f>
        <v>80.384615384615387</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06"/>
      <c r="F29" s="263"/>
      <c r="G29" s="149" t="str">
        <f>'C. FILIACION'!B20</f>
        <v>MENACHO LINEO ANDREA KIMBERLY</v>
      </c>
      <c r="H29" s="150">
        <f>'CENTRAL 2'!F21</f>
        <v>86.666666666666671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06"/>
      <c r="F30" s="263"/>
      <c r="G30" s="149" t="str">
        <f>'C. FILIACION'!B21</f>
        <v>PILLCO APAZA MARIAN ALEXANDRA</v>
      </c>
      <c r="H30" s="150">
        <f>'CENTRAL 2'!F22</f>
        <v>87</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06"/>
      <c r="F31" s="263"/>
      <c r="G31" s="149" t="str">
        <f>'C. FILIACION'!B22</f>
        <v>RUEDA ALVAREZ GREGORY STEVEN</v>
      </c>
      <c r="H31" s="150">
        <f>'CENTRAL 2'!F23</f>
        <v>87.333333333333329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06"/>
      <c r="F32" s="263"/>
      <c r="G32" s="149" t="str">
        <f>'C. FILIACION'!B23</f>
        <v>VARGAS JOYCE BELEN</v>
      </c>
      <c r="H32" s="150">
        <f>'CENTRAL 2'!F24</f>
        <v>73.179487179487182</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06"/>
      <c r="F33" s="263"/>
      <c r="G33" s="149" t="str">
        <f>'C. FILIACION'!B24</f>
        <v>ZURITA JIMENEZ ELMER ARTURO</v>
      </c>
      <c r="H33" s="150">
        <f>'CENTRAL 2'!F25</f>
        <v>90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06"/>
      <c r="F34" s="263"/>
      <c r="G34" s="149" t="str">
        <f>'C. FILIACION'!B25</f>
        <v>ADRIAN FLORES EDDY BEYMAR</v>
      </c>
      <c r="H34" s="150">
        <f>'CENTRAL 2'!F26</f>
        <v>84.384615384615387</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09"/>
      <c r="F35" s="263"/>
      <c r="G35" s="149" t="str">
        <f>'C. FILIACION'!B26</f>
        <v xml:space="preserve">VENTURA CHOQUE DANELY </v>
      </c>
      <c r="H35" s="150">
        <f>'CENTRAL 2'!F27</f>
        <v>89.916666666666671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06"/>
      <c r="F36" s="263"/>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06"/>
      <c r="F37" s="263"/>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06"/>
      <c r="F38" s="263"/>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06"/>
      <c r="F39" s="263"/>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06"/>
      <c r="F40" s="263"/>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06"/>
      <c r="F41" s="263"/>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06"/>
      <c r="F42" s="263"/>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06"/>
      <c r="F43" s="263"/>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06"/>
      <c r="F44" s="263"/>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06"/>
      <c r="F45" s="263"/>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06"/>
      <c r="F46" s="263"/>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06"/>
      <c r="F47" s="263"/>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06"/>
      <c r="F48" s="263"/>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06"/>
      <c r="F49" s="263"/>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06"/>
      <c r="F50" s="263"/>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06"/>
      <c r="F51" s="263"/>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06"/>
      <c r="F52" s="263"/>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06"/>
      <c r="F53" s="263"/>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06"/>
      <c r="F54" s="263"/>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06"/>
      <c r="F55" s="263"/>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06"/>
      <c r="F56" s="263"/>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06"/>
      <c r="F57" s="263"/>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06"/>
      <c r="F58" s="263"/>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06"/>
      <c r="F59" s="263"/>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07"/>
      <c r="F60" s="308"/>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2021-08-13T20:12:10Z</cp:lastPrinted>
  <dcterms:created xsi:type="dcterms:W3CDTF">2020-01-23T13:58:13Z</dcterms:created>
  <dcterms:modified xsi:type="dcterms:W3CDTF">2021-09-21T20:25:02Z</dcterms:modified>
</cp:coreProperties>
</file>