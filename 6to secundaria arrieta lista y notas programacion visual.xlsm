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78B3E996-4B5C-4F87-BBD4-BF9288B7D048}" xr6:coauthVersionLast="47" xr6:coauthVersionMax="47" xr10:uidLastSave="{00000000-0000-0000-0000-000000000000}"/>
  <bookViews>
    <workbookView xWindow="-108" yWindow="-108" windowWidth="23256" windowHeight="12576" firstSheet="3" activeTab="3"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F4" i="17" l="1"/>
  <c r="R4" i="17" l="1"/>
  <c r="AD33" i="17"/>
  <c r="AE28" i="17"/>
  <c r="A32" i="17" l="1"/>
  <c r="A31" i="17"/>
  <c r="A30" i="17"/>
  <c r="A29" i="17"/>
  <c r="I32" i="17"/>
  <c r="AC32" i="17" s="1"/>
  <c r="I31" i="17"/>
  <c r="AC31" i="17" s="1"/>
  <c r="I30" i="17"/>
  <c r="AC30" i="17" s="1"/>
  <c r="I29" i="17"/>
  <c r="AC29" i="17" s="1"/>
  <c r="A28" i="17"/>
  <c r="A27" i="17"/>
  <c r="A26" i="17"/>
  <c r="A25" i="17"/>
  <c r="A24" i="17"/>
  <c r="I28" i="17"/>
  <c r="AC28" i="17" s="1"/>
  <c r="I27" i="17"/>
  <c r="AC27" i="17" s="1"/>
  <c r="I26" i="17"/>
  <c r="AC26" i="17" s="1"/>
  <c r="I25" i="17"/>
  <c r="AC25" i="17" s="1"/>
  <c r="I24" i="17"/>
  <c r="I19" i="17"/>
  <c r="AC19" i="17" s="1"/>
  <c r="I18" i="17"/>
  <c r="AC18" i="17" s="1"/>
  <c r="I17" i="17"/>
  <c r="AC17" i="17" s="1"/>
  <c r="I16" i="17"/>
  <c r="AC16" i="17" s="1"/>
  <c r="I15" i="17"/>
  <c r="AC15" i="17" s="1"/>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C24" i="17" l="1"/>
  <c r="AC33" i="17" s="1"/>
  <c r="I33" i="17"/>
  <c r="AC20" i="17"/>
  <c r="I20" i="17"/>
  <c r="U11" i="17"/>
  <c r="R11" i="17"/>
  <c r="M11" i="17"/>
  <c r="J11" i="17"/>
  <c r="E11" i="17"/>
  <c r="T11" i="17"/>
  <c r="L11" i="17"/>
  <c r="D11" i="17"/>
  <c r="S11" i="17"/>
  <c r="K11" i="17"/>
  <c r="C11" i="17"/>
  <c r="Q11" i="17"/>
  <c r="I11" i="17"/>
  <c r="P11" i="17"/>
  <c r="H11" i="17"/>
  <c r="Y11" i="17"/>
  <c r="O11" i="17"/>
  <c r="G11" i="17"/>
  <c r="X11" i="17"/>
  <c r="N11" i="17"/>
  <c r="F11" i="17"/>
  <c r="W11" i="17"/>
  <c r="B25"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C34" i="17"/>
  <c r="BA4" i="4"/>
  <c r="AG20" i="7"/>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34" i="17" l="1"/>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0" i="9" l="1"/>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G12" i="14"/>
  <c r="I8" i="13"/>
  <c r="H51" i="16"/>
  <c r="G43" i="10"/>
  <c r="E13" i="14"/>
  <c r="G11" i="14"/>
  <c r="H31" i="16"/>
  <c r="G23" i="10"/>
  <c r="H30" i="16" l="1"/>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<sst xmlns="http://schemas.openxmlformats.org/spreadsheetml/2006/main" count="1234" uniqueCount="271">
  <si>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</si>
  <si>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</si>
  <si>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</si>
  <si>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</si>
  <si>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</si>
  <si>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</si>
  <si>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</si>
  <si>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</si>
  <si>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</si>
  <si>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</si>
  <si>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</si>
  <si>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</si>
  <si>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</si>
  <si>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</si>
  <si>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</si>
  <si>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</si>
  <si>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</si>
  <si>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</si>
  <si>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</si>
  <si>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</si>
  <si>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</si>
  <si>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</si>
  <si>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</si>
  <si>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</si>
  <si>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</si>
  <si>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</si>
  <si>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</si>
  <si>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</si>
  <si>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</si>
  <si>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</si>
  <si>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</si>
  <si>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</si>
  <si>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</si>
  <si>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</si>
  <si>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</si>
  <si>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</si>
  <si>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</si>
  <si>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</si>
  <si>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</si>
  <si>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</si>
  <si>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</si>
  <si>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</si>
  <si>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</si>
  <si>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</si>
  <si>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</si>
  <si>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</si>
  <si>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</si>
  <si>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</si>
  <si>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</si>
  <si>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</si>
  <si>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</si>
  <si>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</si>
  <si>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</si>
  <si>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</si>
  <si>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</si>
  <si>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</si>
  <si>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</si>
  <si>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</si>
  <si>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</si>
  <si>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</si>
  <si>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</si>
  <si>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</si>
  <si>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</si>
  <si>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</si>
  <si>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</si>
  <si>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</si>
  <si>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</si>
  <si>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</si>
  <si>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</si>
  <si>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</si>
  <si>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</si>
  <si>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</si>
  <si>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</si>
  <si>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</si>
  <si>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</si>
  <si>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</si>
  <si>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</si>
  <si>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</si>
  <si>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</si>
  <si>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</si>
  <si>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</si>
  <si>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</si>
  <si>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</si>
  <si>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</si>
  <si>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</si>
  <si>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</si>
  <si>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</si>
  <si>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</si>
  <si>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</si>
  <si>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</si>
  <si>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</si>
  <si>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</si>
  <si>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</si>
  <si>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</si>
  <si>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</si>
  <si>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</si>
  <si>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</si>
  <si>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</si>
  <si>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</si>
  <si>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</si>
  <si>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</si>
  <si>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</si>
  <si>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</si>
  <si>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</si>
  <si>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</si>
  <si>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</si>
  <si>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</si>
  <si>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</si>
  <si>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</si>
  <si>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</si>
  <si>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</si>
  <si>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</si>
  <si>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</si>
  <si>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</si>
  <si>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</si>
  <si>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</si>
  <si>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</si>
  <si>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</si>
  <si>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</si>
  <si>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</si>
  <si>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</si>
  <si>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</si>
  <si>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</si>
  <si>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</si>
  <si>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</si>
  <si>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</si>
  <si>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</si>
  <si>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</si>
  <si>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</si>
  <si>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</si>
  <si>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</si>
  <si>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</si>
  <si>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</si>
  <si>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</si>
  <si>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</si>
  <si>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</si>
  <si>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</si>
  <si>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</si>
  <si>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</si>
  <si>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</si>
  <si>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</si>
  <si>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</si>
  <si>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</si>
  <si>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</si>
  <si>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</si>
  <si>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</si>
  <si>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</si>
  <si>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</si>
  <si>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</si>
  <si>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</si>
  <si>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</si>
  <si>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</si>
  <si>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</si>
  <si>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</si>
  <si>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</si>
  <si>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</si>
  <si>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</si>
  <si>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</si>
  <si>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</si>
  <si>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</si>
  <si>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</si>
  <si>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</si>
  <si>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</si>
  <si>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</si>
  <si>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</si>
  <si>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</si>
  <si>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</si>
  <si>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</si>
  <si>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</si>
  <si>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</si>
  <si>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</si>
  <si>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</si>
  <si>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</si>
  <si>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</si>
  <si>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</si>
  <si>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</si>
  <si>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</si>
  <si>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</si>
  <si>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</si>
  <si>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</si>
  <si>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</si>
  <si>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</si>
  <si>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</si>
  <si>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</si>
  <si>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</si>
  <si>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</si>
  <si>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</si>
  <si>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</si>
  <si>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</si>
  <si>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</si>
  <si>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</si>
  <si>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</si>
  <si>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</si>
  <si>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</si>
  <si>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</si>
  <si>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</si>
  <si>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</si>
  <si>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</si>
  <si>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</si>
  <si>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</si>
  <si>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</si>
  <si>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</si>
  <si>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</si>
  <si>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</si>
  <si>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</si>
  <si>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</si>
  <si>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</si>
  <si>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</si>
  <si>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</si>
  <si>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</si>
  <si>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</si>
  <si>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</si>
  <si>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</si>
  <si>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</si>
  <si>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</si>
  <si>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</si>
  <si>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</si>
  <si>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</si>
  <si>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</si>
  <si>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</si>
  <si>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</si>
  <si>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</si>
  <si>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</si>
  <si>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</si>
  <si>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</si>
  <si>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</si>
  <si>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</si>
  <si>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</si>
  <si>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</si>
  <si>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</si>
  <si>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</si>
  <si>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</si>
  <si>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</si>
  <si>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</si>
  <si>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</si>
  <si>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</si>
  <si>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</si>
  <si>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</si>
  <si>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</si>
  <si>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</si>
  <si>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</si>
  <si>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</si>
  <si>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</si>
  <si>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</si>
  <si>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</si>
  <si>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</si>
  <si>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</si>
  <si>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</si>
  <si>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</si>
  <si>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</si>
  <si>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</si>
  <si>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</si>
  <si>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</si>
  <si>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</si>
  <si>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</si>
  <si>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</si>
  <si>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</si>
  <si>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</si>
  <si>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</si>
  <si>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</si>
  <si>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</si>
  <si>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</si>
  <si>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</si>
  <si>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</si>
  <si>
    <t>23/8/2021</t>
  </si>
  <si>
    <t>25/8/2021</t>
  </si>
  <si>
    <t>30/8/2021</t>
  </si>
  <si>
    <t>1/9/2021</t>
  </si>
  <si>
    <t>6/9/2021</t>
  </si>
  <si>
    <t>8/9/2021</t>
  </si>
  <si>
    <t>13/9/2021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</si>
</sst>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s>
  <fills count="18">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theme="2"/>
        <bgColor indexed="64"/>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0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9" fillId="10" borderId="19" xfId="0" applyFont="1" applyFill="1" applyBorder="1" applyAlignment="1">
      <alignment horizontal="left" vertical="center"/>
    </xf>
    <xf numFmtId="0" fontId="9" fillId="17" borderId="19" xfId="0" applyFont="1" applyFill="1" applyBorder="1" applyAlignment="1">
      <alignment horizontal="left" vertical="center"/>
    </xf>
    <xf numFmtId="0" fontId="9" fillId="17"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4" fillId="0" borderId="58" xfId="0" applyFont="1" applyBorder="1" applyAlignment="1">
      <alignment horizontal="right" vertical="center"/>
    </xf>
    <xf numFmtId="0" fontId="49" fillId="0" borderId="58" xfId="0" applyFont="1" applyBorder="1" applyAlignment="1">
      <alignment horizontal="center"/>
    </xf>
    <xf numFmtId="0" fontId="51" fillId="0" borderId="58" xfId="1" applyFont="1" applyFill="1" applyBorder="1" applyAlignment="1">
      <alignment horizontal="left"/>
    </xf>
    <xf numFmtId="0" fontId="52" fillId="0" borderId="58" xfId="1" applyFont="1" applyFill="1" applyBorder="1" applyAlignment="1">
      <alignment horizontal="left"/>
    </xf>
    <xf numFmtId="0" fontId="56" fillId="0" borderId="58" xfId="1" applyFont="1" applyFill="1" applyBorder="1" applyAlignment="1">
      <alignment horizontal="left"/>
    </xf>
    <xf numFmtId="0" fontId="50" fillId="0" borderId="58" xfId="1" applyFont="1" applyFill="1" applyBorder="1" applyAlignment="1">
      <alignment horizontal="left"/>
    </xf>
    <xf numFmtId="14" fontId="54" fillId="0" borderId="58" xfId="0" applyNumberFormat="1" applyFont="1" applyBorder="1" applyAlignment="1">
      <alignment horizontal="right" vertical="center"/>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8" fillId="0" borderId="58" xfId="0" applyFont="1" applyBorder="1" applyAlignment="1">
      <alignment horizontal="center"/>
    </xf>
    <xf numFmtId="0" fontId="48" fillId="0" borderId="58" xfId="0" applyFont="1" applyBorder="1" applyAlignment="1">
      <alignment horizontal="left"/>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1"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6" fillId="0" borderId="58" xfId="0" applyFont="1" applyBorder="1" applyAlignment="1">
      <alignment horizontal="center" vertical="center"/>
    </xf>
    <xf numFmtId="0" fontId="43" fillId="0" borderId="59" xfId="0" applyFont="1" applyBorder="1" applyAlignment="1">
      <alignment horizontal="center"/>
    </xf>
    <xf numFmtId="0" fontId="43" fillId="0" borderId="61" xfId="0" applyFont="1" applyBorder="1" applyAlignment="1">
      <alignment horizontal="center"/>
    </xf>
    <xf numFmtId="0" fontId="57" fillId="0" borderId="15" xfId="0" applyFont="1" applyBorder="1" applyAlignment="1">
      <alignment horizontal="center"/>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0.81081081081081086</c:v>
                </c:pt>
                <c:pt idx="1">
                  <c:v>0.1891891891891892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0.97297297297297303</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23/8/2021" dataDxfId="32"/>
    <tableColumn id="26" xr3:uid="{C7656970-4D2F-4018-9C29-ECB79A24BA60}" name="25/8/2021" dataDxfId="31"/>
    <tableColumn id="27" xr3:uid="{5BB33AAE-EA1D-4A9E-A281-5D36058A9226}" name="30/8/2021" dataDxfId="30"/>
    <tableColumn id="28" xr3:uid="{EE8C2EC9-08C4-4EEB-B527-E125EA597254}" name="1/9/2021" dataDxfId="29"/>
    <tableColumn id="29" xr3:uid="{A437A227-F0D6-4C27-9243-BFA5ECC15791}" name="6/9/2021" dataDxfId="28"/>
    <tableColumn id="30" xr3:uid="{18D0A452-B4F2-4317-B448-F1108698B32C}" name="8/9/2021" dataDxfId="27"/>
    <tableColumn id="31" xr3:uid="{F5324769-2D08-467B-8781-4B5D7F095947}" name="13/9/2021"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1.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21875" defaultRowHeight="15" customHeight="1" x14ac:dyDescent="0.4"/>
  <cols>
    <col min="1" max="1" width="3.6640625" customWidth="1"/>
    <col min="2" max="2" width="18.6640625" customWidth="1"/>
    <col min="3" max="6" width="8.71875" customWidth="1"/>
    <col min="7" max="7" width="1.88671875" customWidth="1"/>
    <col min="8" max="8" width="8.71875" customWidth="1"/>
    <col min="9" max="9" width="3.6640625" customWidth="1"/>
    <col min="10" max="10" width="8.71875" customWidth="1"/>
    <col min="11" max="11" width="1.88671875" customWidth="1"/>
    <col min="12" max="26" width="8.71875" customWidth="1"/>
  </cols>
  <sheetData>
    <row r="1" spans="1:26" ht="20" x14ac:dyDescent="0.4">
      <c r="A1" s="1"/>
      <c r="B1" s="1"/>
      <c r="C1" s="1"/>
      <c r="D1" s="1"/>
      <c r="E1" s="1"/>
      <c r="F1" s="1"/>
      <c r="G1" s="1"/>
      <c r="H1" s="1"/>
      <c r="I1" s="1"/>
      <c r="J1" s="1"/>
      <c r="K1" s="1"/>
      <c r="L1" s="1"/>
      <c r="M1" s="1"/>
      <c r="N1" s="1"/>
      <c r="O1" s="1"/>
      <c r="P1" s="1"/>
      <c r="Q1" s="1"/>
      <c r="R1" s="1"/>
      <c r="S1" s="1"/>
      <c r="T1" s="1"/>
      <c r="U1" s="1"/>
      <c r="V1" s="1"/>
      <c r="W1" s="1"/>
      <c r="X1" s="1"/>
      <c r="Y1" s="1"/>
      <c r="Z1" s="1"/>
    </row>
    <row r="2" spans="1:26" ht="20" x14ac:dyDescent="0.4">
      <c r="A2" s="1"/>
      <c r="B2" s="1"/>
      <c r="C2" s="1"/>
      <c r="D2" s="1"/>
      <c r="E2" s="1"/>
      <c r="F2" s="1"/>
      <c r="G2" s="1"/>
      <c r="H2" s="1"/>
      <c r="I2" s="1"/>
      <c r="J2" s="1"/>
      <c r="K2" s="1"/>
      <c r="L2" s="1"/>
      <c r="M2" s="1"/>
      <c r="N2" s="1"/>
      <c r="O2" s="1"/>
      <c r="P2" s="1"/>
      <c r="Q2" s="1"/>
      <c r="R2" s="1"/>
      <c r="S2" s="1"/>
      <c r="T2" s="1"/>
      <c r="U2" s="1"/>
      <c r="V2" s="1"/>
      <c r="W2" s="1"/>
      <c r="X2" s="1"/>
      <c r="Y2" s="1"/>
      <c r="Z2" s="1"/>
    </row>
    <row r="3" spans="1:26" ht="20" x14ac:dyDescent="0.4">
      <c r="A3" s="1"/>
      <c r="B3" s="1"/>
      <c r="C3" s="1"/>
      <c r="D3" s="1"/>
      <c r="E3" s="1"/>
      <c r="F3" s="1"/>
      <c r="G3" s="1"/>
      <c r="H3" s="1"/>
      <c r="I3" s="1"/>
      <c r="J3" s="1"/>
      <c r="K3" s="1"/>
      <c r="L3" s="1"/>
      <c r="M3" s="1"/>
      <c r="N3" s="1"/>
      <c r="O3" s="1"/>
      <c r="P3" s="1"/>
      <c r="Q3" s="1"/>
      <c r="R3" s="1"/>
      <c r="S3" s="1"/>
      <c r="T3" s="1"/>
      <c r="U3" s="1"/>
      <c r="V3" s="1"/>
      <c r="W3" s="1"/>
      <c r="X3" s="1"/>
      <c r="Y3" s="1"/>
      <c r="Z3" s="1"/>
    </row>
    <row r="4" spans="1:26" ht="20" x14ac:dyDescent="0.4">
      <c r="A4" s="1"/>
      <c r="B4" s="1"/>
      <c r="C4" s="1"/>
      <c r="D4" s="1"/>
      <c r="E4" s="1"/>
      <c r="F4" s="1"/>
      <c r="G4" s="1"/>
      <c r="H4" s="1"/>
      <c r="I4" s="1"/>
      <c r="J4" s="1"/>
      <c r="K4" s="1"/>
      <c r="L4" s="1"/>
      <c r="M4" s="1"/>
      <c r="N4" s="1"/>
      <c r="O4" s="1"/>
      <c r="P4" s="1"/>
      <c r="Q4" s="1"/>
      <c r="R4" s="1"/>
      <c r="S4" s="1"/>
      <c r="T4" s="1"/>
      <c r="U4" s="1"/>
      <c r="V4" s="1"/>
      <c r="W4" s="1"/>
      <c r="X4" s="1"/>
      <c r="Y4" s="1"/>
      <c r="Z4" s="1"/>
    </row>
    <row r="5" spans="1:26" ht="20" x14ac:dyDescent="0.4">
      <c r="A5" s="1"/>
      <c r="B5" s="1"/>
      <c r="C5" s="1"/>
      <c r="D5" s="1"/>
      <c r="E5" s="1"/>
      <c r="F5" s="1"/>
      <c r="G5" s="1"/>
      <c r="H5" s="1"/>
      <c r="I5" s="1"/>
      <c r="J5" s="1"/>
      <c r="K5" s="1"/>
      <c r="L5" s="1"/>
      <c r="M5" s="1"/>
      <c r="N5" s="1"/>
      <c r="O5" s="1"/>
      <c r="P5" s="1"/>
      <c r="Q5" s="1"/>
      <c r="R5" s="1"/>
      <c r="S5" s="1"/>
      <c r="T5" s="1"/>
      <c r="U5" s="1"/>
      <c r="V5" s="1"/>
      <c r="W5" s="1"/>
      <c r="X5" s="1"/>
      <c r="Y5" s="1"/>
      <c r="Z5" s="1"/>
    </row>
    <row r="6" spans="1:26" ht="20" x14ac:dyDescent="0.4">
      <c r="A6" s="1"/>
      <c r="B6" s="1"/>
      <c r="C6" s="1"/>
      <c r="D6" s="1"/>
      <c r="E6" s="1"/>
      <c r="F6" s="1"/>
      <c r="G6" s="1"/>
      <c r="H6" s="1"/>
      <c r="I6" s="1"/>
      <c r="J6" s="1"/>
      <c r="K6" s="1"/>
      <c r="L6" s="1"/>
      <c r="M6" s="1"/>
      <c r="N6" s="1"/>
      <c r="O6" s="1"/>
      <c r="P6" s="1"/>
      <c r="Q6" s="1"/>
      <c r="R6" s="1"/>
      <c r="S6" s="1"/>
      <c r="T6" s="1"/>
      <c r="U6" s="1"/>
      <c r="V6" s="1"/>
      <c r="W6" s="1"/>
      <c r="X6" s="1"/>
      <c r="Y6" s="1"/>
      <c r="Z6" s="1"/>
    </row>
    <row r="7" spans="1:26" ht="20" x14ac:dyDescent="0.4">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
      <c r="A8" s="1"/>
      <c r="B8" s="1"/>
      <c r="C8" s="196" t="s">
        <v>0</v>
      </c>
      <c r="D8" s="197"/>
      <c r="E8" s="198"/>
      <c r="F8" s="2"/>
      <c r="G8" s="3"/>
      <c r="H8" s="4"/>
      <c r="I8" s="4"/>
      <c r="J8" s="4"/>
      <c r="K8" s="5"/>
      <c r="L8" s="1"/>
      <c r="M8" s="1"/>
      <c r="N8" s="1"/>
      <c r="O8" s="1"/>
      <c r="P8" s="1"/>
      <c r="Q8" s="1"/>
      <c r="R8" s="1"/>
      <c r="S8" s="1"/>
      <c r="T8" s="1"/>
      <c r="U8" s="1"/>
      <c r="V8" s="1"/>
      <c r="W8" s="1"/>
      <c r="X8" s="1"/>
      <c r="Y8" s="1"/>
      <c r="Z8" s="1"/>
    </row>
    <row r="9" spans="1:26" ht="20" x14ac:dyDescent="0.4">
      <c r="A9" s="1"/>
      <c r="B9" s="1"/>
      <c r="C9" s="1"/>
      <c r="D9" s="1"/>
      <c r="E9" s="1"/>
      <c r="F9" s="1"/>
      <c r="G9" s="6"/>
      <c r="H9" s="199" t="s">
        <v>1</v>
      </c>
      <c r="I9" s="200"/>
      <c r="J9" s="201"/>
      <c r="K9" s="7"/>
      <c r="L9" s="1"/>
      <c r="M9" s="1"/>
      <c r="N9" s="1"/>
      <c r="O9" s="1"/>
      <c r="P9" s="1"/>
      <c r="Q9" s="1"/>
      <c r="R9" s="1"/>
      <c r="S9" s="1"/>
      <c r="T9" s="1"/>
      <c r="U9" s="1"/>
      <c r="V9" s="1"/>
      <c r="W9" s="1"/>
      <c r="X9" s="1"/>
      <c r="Y9" s="1"/>
      <c r="Z9" s="1"/>
    </row>
    <row r="10" spans="1:26" ht="20" x14ac:dyDescent="0.4">
      <c r="A10" s="1"/>
      <c r="B10" s="1"/>
      <c r="C10" s="1"/>
      <c r="D10" s="1"/>
      <c r="E10" s="1"/>
      <c r="F10" s="1"/>
      <c r="G10" s="6"/>
      <c r="H10" s="202"/>
      <c r="I10" s="203"/>
      <c r="J10" s="204"/>
      <c r="K10" s="7"/>
      <c r="L10" s="1"/>
      <c r="M10" s="1"/>
      <c r="N10" s="1"/>
      <c r="O10" s="1"/>
      <c r="P10" s="1"/>
      <c r="Q10" s="1"/>
      <c r="R10" s="1"/>
      <c r="S10" s="1"/>
      <c r="T10" s="1"/>
      <c r="U10" s="1"/>
      <c r="V10" s="1"/>
      <c r="W10" s="1"/>
      <c r="X10" s="1"/>
      <c r="Y10" s="1"/>
      <c r="Z10" s="1"/>
    </row>
    <row r="11" spans="1:26" ht="15" customHeight="1" x14ac:dyDescent="0.4">
      <c r="A11" s="1"/>
      <c r="B11" s="8" t="s">
        <v>2</v>
      </c>
      <c r="C11" s="193" t="s">
        <v>3</v>
      </c>
      <c r="D11" s="194"/>
      <c r="E11" s="195"/>
      <c r="F11" s="9"/>
      <c r="G11" s="6"/>
      <c r="H11" s="10"/>
      <c r="I11" s="10"/>
      <c r="J11" s="10"/>
      <c r="K11" s="7"/>
      <c r="L11" s="1"/>
      <c r="M11" s="1"/>
      <c r="N11" s="1"/>
      <c r="O11" s="1"/>
      <c r="P11" s="1"/>
      <c r="Q11" s="1"/>
      <c r="R11" s="1"/>
      <c r="S11" s="1"/>
      <c r="T11" s="1"/>
      <c r="U11" s="1"/>
      <c r="V11" s="1"/>
      <c r="W11" s="1"/>
      <c r="X11" s="1"/>
      <c r="Y11" s="1"/>
      <c r="Z11" s="1"/>
    </row>
    <row r="12" spans="1:26" ht="15" customHeight="1" x14ac:dyDescent="0.4">
      <c r="A12" s="1"/>
      <c r="B12" s="11"/>
      <c r="C12" s="1"/>
      <c r="D12" s="1"/>
      <c r="E12" s="1"/>
      <c r="F12" s="1"/>
      <c r="G12" s="6"/>
      <c r="H12" s="205" t="s">
        <v>4</v>
      </c>
      <c r="I12" s="206"/>
      <c r="J12" s="206"/>
      <c r="K12" s="7"/>
      <c r="L12" s="1"/>
      <c r="M12" s="1"/>
      <c r="N12" s="1"/>
      <c r="O12" s="1"/>
      <c r="P12" s="1"/>
      <c r="Q12" s="1"/>
      <c r="R12" s="1"/>
      <c r="S12" s="1"/>
      <c r="T12" s="1"/>
      <c r="U12" s="1"/>
      <c r="V12" s="1"/>
      <c r="W12" s="1"/>
      <c r="X12" s="1"/>
      <c r="Y12" s="1"/>
      <c r="Z12" s="1"/>
    </row>
    <row r="13" spans="1:26" ht="20" x14ac:dyDescent="0.4">
      <c r="A13" s="1"/>
      <c r="B13" s="8" t="s">
        <v>5</v>
      </c>
      <c r="C13" s="193"/>
      <c r="D13" s="194"/>
      <c r="E13" s="19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x14ac:dyDescent="0.4">
      <c r="A15" s="1"/>
      <c r="B15" s="8" t="s">
        <v>8</v>
      </c>
      <c r="C15" s="193" t="s">
        <v>9</v>
      </c>
      <c r="D15" s="194"/>
      <c r="E15" s="195"/>
      <c r="F15" s="9"/>
      <c r="G15" s="6"/>
      <c r="H15" s="10"/>
      <c r="I15" s="10"/>
      <c r="J15" s="10"/>
      <c r="K15" s="7"/>
      <c r="L15" s="1"/>
      <c r="M15" s="1"/>
      <c r="N15" s="1"/>
      <c r="O15" s="1"/>
      <c r="P15" s="1"/>
      <c r="Q15" s="1"/>
      <c r="R15" s="1"/>
      <c r="S15" s="1"/>
      <c r="T15" s="1"/>
      <c r="U15" s="1"/>
      <c r="V15" s="1"/>
      <c r="W15" s="1"/>
      <c r="X15" s="1"/>
      <c r="Y15" s="1"/>
      <c r="Z15" s="1"/>
    </row>
    <row r="16" spans="1:26" ht="15" customHeight="1" x14ac:dyDescent="0.4">
      <c r="A16" s="1"/>
      <c r="B16" s="11"/>
      <c r="C16" s="1"/>
      <c r="D16" s="1"/>
      <c r="E16" s="1"/>
      <c r="F16" s="1"/>
      <c r="G16" s="6"/>
      <c r="H16" s="207" t="s">
        <v>10</v>
      </c>
      <c r="I16" s="206"/>
      <c r="J16" s="206"/>
      <c r="K16" s="7"/>
      <c r="L16" s="1"/>
      <c r="M16" s="1"/>
      <c r="N16" s="1"/>
      <c r="O16" s="1"/>
      <c r="P16" s="1"/>
      <c r="Q16" s="1"/>
      <c r="R16" s="1"/>
      <c r="S16" s="1"/>
      <c r="T16" s="1"/>
      <c r="U16" s="1"/>
      <c r="V16" s="1"/>
      <c r="W16" s="1"/>
      <c r="X16" s="1"/>
      <c r="Y16" s="1"/>
      <c r="Z16" s="1"/>
    </row>
    <row r="17" spans="1:26" ht="20" x14ac:dyDescent="0.4">
      <c r="A17" s="1"/>
      <c r="B17" s="8" t="s">
        <v>11</v>
      </c>
      <c r="C17" s="193" t="s">
        <v>12</v>
      </c>
      <c r="D17" s="194"/>
      <c r="E17" s="195"/>
      <c r="F17" s="9"/>
      <c r="G17" s="6"/>
      <c r="H17" s="10"/>
      <c r="I17" s="10"/>
      <c r="J17" s="10"/>
      <c r="K17" s="7"/>
      <c r="L17" s="1"/>
      <c r="M17" s="1"/>
      <c r="N17" s="1"/>
      <c r="O17" s="1"/>
      <c r="P17" s="1"/>
      <c r="Q17" s="1"/>
      <c r="R17" s="1"/>
      <c r="S17" s="1"/>
      <c r="T17" s="1"/>
      <c r="U17" s="1"/>
      <c r="V17" s="1"/>
      <c r="W17" s="1"/>
      <c r="X17" s="1"/>
      <c r="Y17" s="1"/>
      <c r="Z17" s="1"/>
    </row>
    <row r="18" spans="1:26" ht="20" x14ac:dyDescent="0.4">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x14ac:dyDescent="0.4">
      <c r="A19" s="1"/>
      <c r="B19" s="8" t="s">
        <v>13</v>
      </c>
      <c r="C19" s="193"/>
      <c r="D19" s="194"/>
      <c r="E19" s="195"/>
      <c r="F19" s="9"/>
      <c r="G19" s="6"/>
      <c r="H19" s="13">
        <v>44326</v>
      </c>
      <c r="I19" s="10"/>
      <c r="J19" s="13">
        <v>44439</v>
      </c>
      <c r="K19" s="7"/>
      <c r="L19" s="1"/>
      <c r="M19" s="1"/>
      <c r="N19" s="1"/>
      <c r="O19" s="1"/>
      <c r="P19" s="1"/>
      <c r="Q19" s="1"/>
      <c r="R19" s="1"/>
      <c r="S19" s="1"/>
      <c r="T19" s="1"/>
      <c r="U19" s="1"/>
      <c r="V19" s="1"/>
      <c r="W19" s="1"/>
      <c r="X19" s="1"/>
      <c r="Y19" s="1"/>
      <c r="Z19" s="1"/>
    </row>
    <row r="20" spans="1:26" ht="20" x14ac:dyDescent="0.4">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
      <c r="A21" s="1"/>
      <c r="B21" s="8" t="s">
        <v>14</v>
      </c>
      <c r="C21" s="193" t="s">
        <v>15</v>
      </c>
      <c r="D21" s="194"/>
      <c r="E21" s="195"/>
      <c r="F21" s="9"/>
      <c r="G21" s="6"/>
      <c r="H21" s="207" t="s">
        <v>16</v>
      </c>
      <c r="I21" s="206"/>
      <c r="J21" s="206"/>
      <c r="K21" s="7"/>
      <c r="L21" s="1"/>
      <c r="M21" s="1"/>
      <c r="N21" s="1"/>
      <c r="O21" s="1"/>
      <c r="P21" s="1"/>
      <c r="Q21" s="1"/>
      <c r="R21" s="1"/>
      <c r="S21" s="1"/>
      <c r="T21" s="1"/>
      <c r="U21" s="1"/>
      <c r="V21" s="1"/>
      <c r="W21" s="1"/>
      <c r="X21" s="1"/>
      <c r="Y21" s="1"/>
      <c r="Z21" s="1"/>
    </row>
    <row r="22" spans="1:26" ht="15.75" customHeight="1" x14ac:dyDescent="0.4">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
      <c r="A23" s="1"/>
      <c r="B23" s="8" t="s">
        <v>17</v>
      </c>
      <c r="C23" s="193" t="s">
        <v>18</v>
      </c>
      <c r="D23" s="194"/>
      <c r="E23" s="19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
      <c r="A25" s="1"/>
      <c r="B25" s="8" t="s">
        <v>19</v>
      </c>
      <c r="C25" s="193" t="s">
        <v>260</v>
      </c>
      <c r="D25" s="194"/>
      <c r="E25" s="195"/>
      <c r="F25" s="9"/>
      <c r="G25" s="14"/>
      <c r="H25" s="15"/>
      <c r="I25" s="15"/>
      <c r="J25" s="15"/>
      <c r="K25" s="16"/>
      <c r="L25" s="1"/>
      <c r="M25" s="1"/>
      <c r="N25" s="1"/>
      <c r="O25" s="1"/>
      <c r="P25" s="1"/>
      <c r="Q25" s="1"/>
      <c r="R25" s="1"/>
      <c r="S25" s="1"/>
      <c r="T25" s="1"/>
      <c r="U25" s="1"/>
      <c r="V25" s="1"/>
      <c r="W25" s="1"/>
      <c r="X25" s="1"/>
      <c r="Y25" s="1"/>
      <c r="Z25" s="1"/>
    </row>
    <row r="26" spans="1:26" ht="15.75" customHeight="1" x14ac:dyDescent="0.4">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
      <c r="A27" s="1"/>
      <c r="B27" s="8" t="s">
        <v>20</v>
      </c>
      <c r="C27" s="193">
        <v>2021</v>
      </c>
      <c r="D27" s="194"/>
      <c r="E27" s="195"/>
      <c r="F27" s="9"/>
      <c r="G27" s="1"/>
      <c r="H27" s="1"/>
      <c r="I27" s="1"/>
      <c r="J27" s="1"/>
      <c r="K27" s="1"/>
      <c r="L27" s="1"/>
      <c r="M27" s="1"/>
      <c r="N27" s="1"/>
      <c r="O27" s="1"/>
      <c r="P27" s="1"/>
      <c r="Q27" s="1"/>
      <c r="R27" s="1"/>
      <c r="S27" s="1"/>
      <c r="T27" s="1"/>
      <c r="U27" s="1"/>
      <c r="V27" s="1"/>
      <c r="W27" s="1"/>
      <c r="X27" s="1"/>
      <c r="Y27" s="1"/>
      <c r="Z27" s="1"/>
    </row>
    <row r="28" spans="1:26" ht="15.75" customHeight="1" x14ac:dyDescent="0.4">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1875" defaultRowHeight="15" customHeight="1" x14ac:dyDescent="0.4"/>
  <cols>
    <col min="1" max="1" width="2" customWidth="1"/>
    <col min="2" max="2" width="22.21875" customWidth="1"/>
    <col min="3" max="3" width="8.0546875" customWidth="1"/>
    <col min="4" max="4" width="3.88671875" hidden="1" customWidth="1"/>
    <col min="5" max="5" width="8.88671875" customWidth="1"/>
    <col min="6" max="6" width="10.88671875" customWidth="1"/>
    <col min="7" max="8" width="8.71875" customWidth="1"/>
    <col min="9" max="9" width="9.71875" customWidth="1"/>
    <col min="10" max="26" width="8.71875" customWidth="1"/>
  </cols>
  <sheetData>
    <row r="1" spans="1:26" ht="7.5" customHeight="1" x14ac:dyDescent="0.4">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
      <c r="A2" s="20"/>
      <c r="B2" s="210" t="s">
        <v>21</v>
      </c>
      <c r="C2" s="206"/>
      <c r="D2" s="206"/>
      <c r="E2" s="206"/>
      <c r="F2" s="206"/>
      <c r="G2" s="206"/>
      <c r="H2" s="206"/>
      <c r="I2" s="206"/>
      <c r="J2" s="19"/>
      <c r="K2" s="19"/>
      <c r="L2" s="19"/>
      <c r="M2" s="19"/>
      <c r="N2" s="19"/>
      <c r="O2" s="19"/>
      <c r="P2" s="19"/>
      <c r="Q2" s="19"/>
      <c r="R2" s="19"/>
      <c r="S2" s="19"/>
      <c r="T2" s="19"/>
      <c r="U2" s="19"/>
      <c r="V2" s="19"/>
      <c r="W2" s="19"/>
      <c r="X2" s="19"/>
      <c r="Y2" s="19"/>
      <c r="Z2" s="19"/>
    </row>
    <row r="3" spans="1:26" ht="4.5" customHeight="1" x14ac:dyDescent="0.4">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
      <c r="A4" s="20"/>
      <c r="B4" s="21" t="s">
        <v>8</v>
      </c>
      <c r="C4" s="208" t="str">
        <f>CARÁTULA!$C$15</f>
        <v>Instituto Tecnico Humanistico Jauzel Arrieta</v>
      </c>
      <c r="D4" s="206"/>
      <c r="E4" s="206"/>
      <c r="F4" s="22" t="s">
        <v>19</v>
      </c>
      <c r="G4" s="208" t="str">
        <f>CARÁTULA!$C$25</f>
        <v>Tec. Tecnologica Programacion Visual</v>
      </c>
      <c r="H4" s="206"/>
      <c r="I4" s="206"/>
      <c r="J4" s="19"/>
      <c r="K4" s="19"/>
      <c r="L4" s="19"/>
      <c r="M4" s="19"/>
      <c r="N4" s="19"/>
      <c r="O4" s="19"/>
      <c r="P4" s="19"/>
      <c r="Q4" s="19"/>
      <c r="R4" s="19"/>
      <c r="S4" s="19"/>
      <c r="T4" s="19"/>
      <c r="U4" s="19"/>
      <c r="V4" s="19"/>
      <c r="W4" s="19"/>
      <c r="X4" s="19"/>
      <c r="Y4" s="19"/>
      <c r="Z4" s="19"/>
    </row>
    <row r="5" spans="1:26" ht="12" customHeight="1" x14ac:dyDescent="0.4">
      <c r="A5" s="20"/>
      <c r="B5" s="21" t="s">
        <v>14</v>
      </c>
      <c r="C5" s="208" t="str">
        <f>CARÁTULA!$C$21</f>
        <v>Secundaria</v>
      </c>
      <c r="D5" s="206"/>
      <c r="E5" s="206"/>
      <c r="F5" s="22" t="s">
        <v>13</v>
      </c>
      <c r="G5" s="208">
        <f>CARÁTULA!$C$19</f>
        <v>0</v>
      </c>
      <c r="H5" s="206"/>
      <c r="I5" s="206"/>
      <c r="J5" s="19"/>
      <c r="K5" s="19"/>
      <c r="L5" s="19"/>
      <c r="M5" s="19"/>
      <c r="N5" s="19"/>
      <c r="O5" s="19"/>
      <c r="P5" s="19"/>
      <c r="Q5" s="19"/>
      <c r="R5" s="19"/>
      <c r="S5" s="19"/>
      <c r="T5" s="19"/>
      <c r="U5" s="19"/>
      <c r="V5" s="19"/>
      <c r="W5" s="19"/>
      <c r="X5" s="19"/>
      <c r="Y5" s="19"/>
      <c r="Z5" s="19"/>
    </row>
    <row r="6" spans="1:26" ht="12" customHeight="1" x14ac:dyDescent="0.4">
      <c r="A6" s="20"/>
      <c r="B6" s="21" t="s">
        <v>22</v>
      </c>
      <c r="C6" s="208" t="str">
        <f>CARÁTULA!$C$23</f>
        <v>6to de Secundaria</v>
      </c>
      <c r="D6" s="206"/>
      <c r="E6" s="206"/>
      <c r="F6" s="22" t="s">
        <v>23</v>
      </c>
      <c r="G6" s="209">
        <f ca="1">TODAY()</f>
        <v>44453</v>
      </c>
      <c r="H6" s="206"/>
      <c r="I6" s="206"/>
      <c r="J6" s="19"/>
      <c r="K6" s="19"/>
      <c r="L6" s="19"/>
      <c r="M6" s="19"/>
      <c r="N6" s="19"/>
      <c r="O6" s="19"/>
      <c r="P6" s="19"/>
      <c r="Q6" s="19"/>
      <c r="R6" s="19"/>
      <c r="S6" s="19"/>
      <c r="T6" s="19"/>
      <c r="U6" s="19"/>
      <c r="V6" s="19"/>
      <c r="W6" s="19"/>
      <c r="X6" s="19"/>
      <c r="Y6" s="19"/>
      <c r="Z6" s="19"/>
    </row>
    <row r="7" spans="1:26" ht="15" customHeight="1" x14ac:dyDescent="0.4">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
      <c r="A8" s="27">
        <v>1</v>
      </c>
      <c r="B8" s="28" t="s">
        <v>32</v>
      </c>
      <c r="C8" s="29"/>
      <c r="D8" s="30">
        <f t="shared" ref="D8:D43" ca="1" si="0">TODAY()</f>
        <v>44453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
      <c r="A9" s="27">
        <v>2</v>
      </c>
      <c r="B9" s="28" t="s">
        <v>33</v>
      </c>
      <c r="C9" s="35"/>
      <c r="D9" s="30">
        <f t="shared" ca="1" si="0"/>
        <v>44453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
      <c r="A10" s="27">
        <v>3</v>
      </c>
      <c r="B10" s="28" t="s">
        <v>34</v>
      </c>
      <c r="C10" s="35"/>
      <c r="D10" s="30">
        <f t="shared" ca="1" si="0"/>
        <v>44453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
      <c r="A11" s="27">
        <v>4</v>
      </c>
      <c r="B11" s="28" t="s">
        <v>35</v>
      </c>
      <c r="C11" s="35"/>
      <c r="D11" s="30">
        <f t="shared" ca="1" si="0"/>
        <v>44453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
      <c r="A12" s="27">
        <v>5</v>
      </c>
      <c r="B12" s="28" t="s">
        <v>36</v>
      </c>
      <c r="C12" s="35"/>
      <c r="D12" s="30">
        <f t="shared" ca="1" si="0"/>
        <v>44453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
      <c r="A13" s="27">
        <v>6</v>
      </c>
      <c r="B13" s="28" t="s">
        <v>37</v>
      </c>
      <c r="C13" s="35"/>
      <c r="D13" s="30">
        <f t="shared" ca="1" si="0"/>
        <v>44453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
      <c r="A14" s="27">
        <v>7</v>
      </c>
      <c r="B14" s="28" t="s">
        <v>38</v>
      </c>
      <c r="C14" s="35"/>
      <c r="D14" s="30">
        <f t="shared" ca="1" si="0"/>
        <v>44453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
      <c r="A15" s="27">
        <v>8</v>
      </c>
      <c r="B15" s="28" t="s">
        <v>39</v>
      </c>
      <c r="C15" s="35"/>
      <c r="D15" s="30">
        <f t="shared" ca="1" si="0"/>
        <v>44453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
      <c r="A16" s="27">
        <v>9</v>
      </c>
      <c r="B16" s="28" t="s">
        <v>40</v>
      </c>
      <c r="C16" s="35"/>
      <c r="D16" s="30">
        <f t="shared" ca="1" si="0"/>
        <v>44453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
      <c r="A17" s="27">
        <v>10</v>
      </c>
      <c r="B17" s="28" t="s">
        <v>41</v>
      </c>
      <c r="C17" s="35"/>
      <c r="D17" s="30">
        <f t="shared" ca="1" si="0"/>
        <v>44453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
      <c r="A18" s="27">
        <v>11</v>
      </c>
      <c r="B18" s="28" t="s">
        <v>42</v>
      </c>
      <c r="C18" s="35"/>
      <c r="D18" s="30">
        <f t="shared" ca="1" si="0"/>
        <v>44453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
      <c r="A19" s="27">
        <v>12</v>
      </c>
      <c r="B19" s="28" t="s">
        <v>43</v>
      </c>
      <c r="C19" s="35"/>
      <c r="D19" s="30">
        <f t="shared" ca="1" si="0"/>
        <v>44453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
      <c r="A20" s="27">
        <v>13</v>
      </c>
      <c r="B20" s="28" t="s">
        <v>44</v>
      </c>
      <c r="C20" s="35"/>
      <c r="D20" s="30">
        <f t="shared" ca="1" si="0"/>
        <v>44453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
      <c r="A21" s="27">
        <v>14</v>
      </c>
      <c r="B21" s="28" t="s">
        <v>45</v>
      </c>
      <c r="C21" s="35"/>
      <c r="D21" s="30">
        <f t="shared" ca="1" si="0"/>
        <v>44453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
      <c r="A22" s="27">
        <v>15</v>
      </c>
      <c r="B22" s="28" t="s">
        <v>46</v>
      </c>
      <c r="C22" s="35"/>
      <c r="D22" s="30">
        <f t="shared" ca="1" si="0"/>
        <v>44453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
      <c r="A23" s="27">
        <v>16</v>
      </c>
      <c r="B23" s="28" t="s">
        <v>47</v>
      </c>
      <c r="C23" s="35"/>
      <c r="D23" s="30">
        <f t="shared" ca="1" si="0"/>
        <v>44453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
      <c r="A24" s="27">
        <v>17</v>
      </c>
      <c r="B24" s="28" t="s">
        <v>48</v>
      </c>
      <c r="C24" s="35"/>
      <c r="D24" s="30">
        <f t="shared" ca="1" si="0"/>
        <v>44453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
      <c r="A25" s="27">
        <v>18</v>
      </c>
      <c r="B25" s="60" t="s">
        <v>174</v>
      </c>
      <c r="C25" s="35"/>
      <c r="D25" s="30">
        <f t="shared" ca="1" si="0"/>
        <v>44453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
      <c r="A26" s="27">
        <v>19</v>
      </c>
      <c r="B26" s="36" t="s">
        <v>178</v>
      </c>
      <c r="C26" s="35"/>
      <c r="D26" s="30">
        <f t="shared" ca="1" si="0"/>
        <v>44453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
      <c r="A27" s="27">
        <v>20</v>
      </c>
      <c r="B27" s="36"/>
      <c r="C27" s="35"/>
      <c r="D27" s="30">
        <f t="shared" ca="1" si="0"/>
        <v>44453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
      <c r="A28" s="27">
        <v>21</v>
      </c>
      <c r="B28" s="36"/>
      <c r="C28" s="35"/>
      <c r="D28" s="30">
        <f t="shared" ca="1" si="0"/>
        <v>44453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
      <c r="A29" s="27">
        <v>22</v>
      </c>
      <c r="B29" s="36"/>
      <c r="C29" s="35"/>
      <c r="D29" s="30">
        <f t="shared" ca="1" si="0"/>
        <v>44453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
      <c r="A30" s="27">
        <v>23</v>
      </c>
      <c r="B30" s="36"/>
      <c r="C30" s="35"/>
      <c r="D30" s="30">
        <f t="shared" ca="1" si="0"/>
        <v>44453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
      <c r="A31" s="27">
        <v>24</v>
      </c>
      <c r="B31" s="36"/>
      <c r="C31" s="35"/>
      <c r="D31" s="30">
        <f t="shared" ca="1" si="0"/>
        <v>44453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
      <c r="A32" s="27">
        <v>25</v>
      </c>
      <c r="B32" s="36"/>
      <c r="C32" s="35"/>
      <c r="D32" s="30">
        <f t="shared" ca="1" si="0"/>
        <v>44453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
      <c r="A33" s="27">
        <v>26</v>
      </c>
      <c r="B33" s="36"/>
      <c r="C33" s="35"/>
      <c r="D33" s="30">
        <f t="shared" ca="1" si="0"/>
        <v>44453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
      <c r="A34" s="27">
        <v>27</v>
      </c>
      <c r="B34" s="36"/>
      <c r="C34" s="35"/>
      <c r="D34" s="30">
        <f t="shared" ca="1" si="0"/>
        <v>44453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
      <c r="A35" s="27">
        <v>28</v>
      </c>
      <c r="B35" s="36"/>
      <c r="C35" s="35"/>
      <c r="D35" s="30">
        <f t="shared" ca="1" si="0"/>
        <v>44453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
      <c r="A36" s="27">
        <v>29</v>
      </c>
      <c r="B36" s="36"/>
      <c r="C36" s="35"/>
      <c r="D36" s="30">
        <f t="shared" ca="1" si="0"/>
        <v>44453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
      <c r="A37" s="27">
        <v>30</v>
      </c>
      <c r="B37" s="36"/>
      <c r="C37" s="35"/>
      <c r="D37" s="30">
        <f t="shared" ca="1" si="0"/>
        <v>44453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
      <c r="A38" s="27">
        <v>31</v>
      </c>
      <c r="B38" s="36"/>
      <c r="C38" s="35"/>
      <c r="D38" s="30">
        <f t="shared" ca="1" si="0"/>
        <v>44453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
      <c r="A39" s="27">
        <v>32</v>
      </c>
      <c r="B39" s="36"/>
      <c r="C39" s="35"/>
      <c r="D39" s="30">
        <f t="shared" ca="1" si="0"/>
        <v>44453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
      <c r="A40" s="27">
        <v>33</v>
      </c>
      <c r="B40" s="36"/>
      <c r="C40" s="35"/>
      <c r="D40" s="30">
        <f t="shared" ca="1" si="0"/>
        <v>44453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
      <c r="A41" s="27">
        <v>34</v>
      </c>
      <c r="B41" s="36"/>
      <c r="C41" s="35"/>
      <c r="D41" s="30">
        <f t="shared" ca="1" si="0"/>
        <v>44453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
      <c r="A42" s="27">
        <v>35</v>
      </c>
      <c r="B42" s="36"/>
      <c r="C42" s="35"/>
      <c r="D42" s="30">
        <f t="shared" ca="1" si="0"/>
        <v>44453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
      <c r="A43" s="27">
        <v>36</v>
      </c>
      <c r="B43" s="36"/>
      <c r="C43" s="35"/>
      <c r="D43" s="30">
        <f t="shared" ca="1" si="0"/>
        <v>44453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1875" defaultRowHeight="15" customHeight="1" x14ac:dyDescent="0.4"/>
  <cols>
    <col min="1" max="1" width="1.6640625" customWidth="1"/>
    <col min="2" max="2" width="20.6640625" customWidth="1"/>
    <col min="3" max="52" width="1.21875" customWidth="1"/>
    <col min="53" max="57" width="1.38671875" customWidth="1"/>
    <col min="58" max="61" width="1.6640625" customWidth="1"/>
  </cols>
  <sheetData>
    <row r="1" spans="1:61" ht="4.5" customHeight="1" x14ac:dyDescent="0.4"/>
    <row r="2" spans="1:61" ht="21" x14ac:dyDescent="0.4">
      <c r="B2" s="210" t="s">
        <v>49</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11">
        <f>CARÁTULA!$H$14</f>
        <v>44228</v>
      </c>
      <c r="AU3" s="206"/>
      <c r="AV3" s="206"/>
      <c r="AW3" s="206"/>
      <c r="AX3" s="206"/>
      <c r="AY3" s="206"/>
      <c r="AZ3" s="206"/>
      <c r="BA3" s="212" t="s">
        <v>51</v>
      </c>
      <c r="BB3" s="213"/>
      <c r="BC3" s="213"/>
      <c r="BD3" s="213"/>
      <c r="BE3" s="214"/>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1">
        <f>CARÁTULA!$J$14</f>
        <v>44323</v>
      </c>
      <c r="AU4" s="206"/>
      <c r="AV4" s="206"/>
      <c r="AW4" s="206"/>
      <c r="AX4" s="206"/>
      <c r="AY4" s="206"/>
      <c r="AZ4" s="206"/>
      <c r="BA4" s="215">
        <f ca="1">AT4-AT5</f>
        <v>-130</v>
      </c>
      <c r="BB4" s="216"/>
      <c r="BC4" s="216"/>
      <c r="BD4" s="216"/>
      <c r="BE4" s="217"/>
    </row>
    <row r="5" spans="1:61" ht="12.75" customHeight="1" x14ac:dyDescent="0.4">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1">
        <f ca="1">TODAY()</f>
        <v>44453</v>
      </c>
      <c r="Y5" s="206"/>
      <c r="Z5" s="206"/>
      <c r="AA5" s="206"/>
      <c r="AB5" s="206"/>
      <c r="AC5" s="206"/>
      <c r="AD5" s="40"/>
      <c r="AE5" s="40"/>
      <c r="AF5" s="40"/>
      <c r="AG5" s="40"/>
      <c r="AH5" s="40"/>
      <c r="AI5" s="40"/>
      <c r="AJ5" s="40"/>
      <c r="AK5" s="45" t="s">
        <v>54</v>
      </c>
      <c r="AL5" s="46"/>
      <c r="AM5" s="46"/>
      <c r="AN5" s="46"/>
      <c r="AO5" s="46"/>
      <c r="AP5" s="46"/>
      <c r="AQ5" s="46"/>
      <c r="AR5" s="40"/>
      <c r="AS5" s="40"/>
      <c r="AT5" s="222">
        <f ca="1">TODAY()</f>
        <v>44453</v>
      </c>
      <c r="AU5" s="206"/>
      <c r="AV5" s="206"/>
      <c r="AW5" s="206"/>
      <c r="AX5" s="206"/>
      <c r="AY5" s="206"/>
      <c r="AZ5" s="206"/>
      <c r="BA5" s="218"/>
      <c r="BB5" s="219"/>
      <c r="BC5" s="219"/>
      <c r="BD5" s="219"/>
      <c r="BE5" s="220"/>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4">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4">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4">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4">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4">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4">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4">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4">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4">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4">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4">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4">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4">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4">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4">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4">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4">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4">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6" workbookViewId="0">
      <selection activeCell="W19" sqref="W19"/>
    </sheetView>
  </sheetViews>
  <sheetFormatPr baseColWidth="10" defaultColWidth="9.21875" defaultRowHeight="15" customHeight="1" x14ac:dyDescent="0.4"/>
  <cols>
    <col min="1" max="1" width="1.5546875" customWidth="1"/>
    <col min="2" max="2" width="17.71875" customWidth="1"/>
    <col min="3" max="57" width="1.5546875" customWidth="1"/>
    <col min="58" max="61" width="1.6640625" customWidth="1"/>
  </cols>
  <sheetData>
    <row r="1" spans="1:61" ht="4.5" customHeight="1" x14ac:dyDescent="0.4"/>
    <row r="2" spans="1:61" ht="12.75" customHeight="1" x14ac:dyDescent="0.4">
      <c r="B2" s="210" t="s">
        <v>64</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11">
        <f>CARÁTULA!$H$19</f>
        <v>44326</v>
      </c>
      <c r="AU3" s="206"/>
      <c r="AV3" s="206"/>
      <c r="AW3" s="206"/>
      <c r="AX3" s="206"/>
      <c r="AY3" s="206"/>
      <c r="AZ3" s="206"/>
      <c r="BA3" s="212" t="s">
        <v>51</v>
      </c>
      <c r="BB3" s="213"/>
      <c r="BC3" s="213"/>
      <c r="BD3" s="213"/>
      <c r="BE3" s="214"/>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1">
        <f>CARÁTULA!$J$19</f>
        <v>44439</v>
      </c>
      <c r="AU4" s="206"/>
      <c r="AV4" s="206"/>
      <c r="AW4" s="206"/>
      <c r="AX4" s="206"/>
      <c r="AY4" s="206"/>
      <c r="AZ4" s="206"/>
      <c r="BA4" s="223">
        <f ca="1">AT4-AT5</f>
        <v>-14</v>
      </c>
      <c r="BB4" s="216"/>
      <c r="BC4" s="216"/>
      <c r="BD4" s="216"/>
      <c r="BE4" s="217"/>
    </row>
    <row r="5" spans="1:61" ht="12.75" customHeight="1" x14ac:dyDescent="0.4">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4">
        <f ca="1">TODAY()</f>
        <v>44453</v>
      </c>
      <c r="Y5" s="206"/>
      <c r="Z5" s="206"/>
      <c r="AA5" s="206"/>
      <c r="AB5" s="206"/>
      <c r="AC5" s="206"/>
      <c r="AD5" s="40"/>
      <c r="AE5" s="40"/>
      <c r="AF5" s="40"/>
      <c r="AG5" s="40"/>
      <c r="AH5" s="40"/>
      <c r="AI5" s="40"/>
      <c r="AJ5" s="40"/>
      <c r="AK5" s="45" t="s">
        <v>54</v>
      </c>
      <c r="AL5" s="46"/>
      <c r="AM5" s="46"/>
      <c r="AN5" s="46"/>
      <c r="AO5" s="46"/>
      <c r="AP5" s="46"/>
      <c r="AQ5" s="46"/>
      <c r="AR5" s="40"/>
      <c r="AS5" s="40"/>
      <c r="AT5" s="222">
        <f ca="1">TODAY()</f>
        <v>44453</v>
      </c>
      <c r="AU5" s="206"/>
      <c r="AV5" s="206"/>
      <c r="AW5" s="206"/>
      <c r="AX5" s="206"/>
      <c r="AY5" s="206"/>
      <c r="AZ5" s="206"/>
      <c r="BA5" s="218"/>
      <c r="BB5" s="219"/>
      <c r="BC5" s="219"/>
      <c r="BD5" s="219"/>
      <c r="BE5" s="220"/>
    </row>
    <row r="6" spans="1:61" ht="3" customHeight="1" thickBo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
      <c r="A7" s="164" t="s">
        <v>55</v>
      </c>
      <c r="B7" s="49" t="s">
        <v>56</v>
      </c>
      <c r="C7" s="161" t="s">
        <v>180</v>
      </c>
      <c r="D7" s="161" t="s">
        <v>181</v>
      </c>
      <c r="E7" s="161" t="s">
        <v>182</v>
      </c>
      <c r="F7" s="161" t="s">
        <v>183</v>
      </c>
      <c r="G7" s="161" t="s">
        <v>184</v>
      </c>
      <c r="H7" s="161" t="s">
        <v>185</v>
      </c>
      <c r="I7" s="161" t="s">
        <v>186</v>
      </c>
      <c r="J7" s="161" t="s">
        <v>187</v>
      </c>
      <c r="K7" s="161" t="s">
        <v>188</v>
      </c>
      <c r="L7" s="50" t="s">
        <v>210</v>
      </c>
      <c r="M7" s="50" t="s">
        <v>211</v>
      </c>
      <c r="N7" s="50" t="s">
        <v>212</v>
      </c>
      <c r="O7" s="50" t="s">
        <v>213</v>
      </c>
      <c r="P7" s="50" t="s">
        <v>214</v>
      </c>
      <c r="Q7" s="50" t="s">
        <v>215</v>
      </c>
      <c r="R7" s="50" t="s">
        <v>216</v>
      </c>
      <c r="S7" s="50" t="s">
        <v>217</v>
      </c>
      <c r="T7" s="50" t="s">
        <v>218</v>
      </c>
      <c r="U7" s="50" t="s">
        <v>219</v>
      </c>
      <c r="V7" s="50" t="s">
        <v>220</v>
      </c>
      <c r="W7" s="50" t="s">
        <v>261</v>
      </c>
      <c r="X7" s="50" t="s">
        <v>263</v>
      </c>
      <c r="Y7" s="50" t="s">
        <v>264</v>
      </c>
      <c r="Z7" s="50" t="s">
        <v>265</v>
      </c>
      <c r="AA7" s="50" t="s">
        <v>266</v>
      </c>
      <c r="AB7" s="50" t="s">
        <v>267</v>
      </c>
      <c r="AC7" s="50" t="s">
        <v>268</v>
      </c>
      <c r="AD7" s="50" t="s">
        <v>269</v>
      </c>
      <c r="AE7" s="50" t="s">
        <v>270</v>
      </c>
      <c r="AF7" s="54" t="s">
        <v>189</v>
      </c>
      <c r="AG7" s="54" t="s">
        <v>190</v>
      </c>
      <c r="AH7" s="54" t="s">
        <v>191</v>
      </c>
      <c r="AI7" s="54" t="s">
        <v>192</v>
      </c>
      <c r="AJ7" s="54" t="s">
        <v>193</v>
      </c>
      <c r="AK7" s="54" t="s">
        <v>194</v>
      </c>
      <c r="AL7" s="54" t="s">
        <v>195</v>
      </c>
      <c r="AM7" s="54" t="s">
        <v>196</v>
      </c>
      <c r="AN7" s="54" t="s">
        <v>197</v>
      </c>
      <c r="AO7" s="54" t="s">
        <v>198</v>
      </c>
      <c r="AP7" s="54" t="s">
        <v>199</v>
      </c>
      <c r="AQ7" s="54" t="s">
        <v>200</v>
      </c>
      <c r="AR7" s="54" t="s">
        <v>201</v>
      </c>
      <c r="AS7" s="54" t="s">
        <v>202</v>
      </c>
      <c r="AT7" s="54" t="s">
        <v>203</v>
      </c>
      <c r="AU7" s="54" t="s">
        <v>204</v>
      </c>
      <c r="AV7" s="54" t="s">
        <v>205</v>
      </c>
      <c r="AW7" s="54" t="s">
        <v>206</v>
      </c>
      <c r="AX7" s="54" t="s">
        <v>207</v>
      </c>
      <c r="AY7" s="54" t="s">
        <v>208</v>
      </c>
      <c r="AZ7" s="55" t="s">
        <v>209</v>
      </c>
      <c r="BA7" s="56" t="s">
        <v>65</v>
      </c>
      <c r="BB7" s="57" t="s">
        <v>66</v>
      </c>
      <c r="BC7" s="57" t="s">
        <v>67</v>
      </c>
      <c r="BD7" s="57" t="s">
        <v>68</v>
      </c>
      <c r="BE7" s="166" t="s">
        <v>61</v>
      </c>
      <c r="BF7" s="54" t="s">
        <v>175</v>
      </c>
      <c r="BG7" s="54" t="s">
        <v>173</v>
      </c>
    </row>
    <row r="8" spans="1:61" ht="12" customHeight="1" x14ac:dyDescent="0.4">
      <c r="A8" s="165">
        <v>1</v>
      </c>
      <c r="B8" s="60" t="str">
        <f>'C. FILIACION'!B8</f>
        <v>ALTAMIRANO RAMOS ESTEFANI MILENKA</v>
      </c>
      <c r="C8" s="162" t="s">
        <v>62</v>
      </c>
      <c r="D8" s="162" t="s">
        <v>62</v>
      </c>
      <c r="E8" s="162" t="s">
        <v>62</v>
      </c>
      <c r="F8" s="162" t="s">
        <v>62</v>
      </c>
      <c r="G8" s="162" t="s">
        <v>62</v>
      </c>
      <c r="H8" s="162" t="s">
        <v>62</v>
      </c>
      <c r="I8" s="162" t="s">
        <v>62</v>
      </c>
      <c r="J8" s="162" t="s">
        <v>62</v>
      </c>
      <c r="K8" s="162" t="s">
        <v>62</v>
      </c>
      <c r="L8" s="61" t="s">
        <v>62</v>
      </c>
      <c r="M8" s="61" t="s">
        <v>62</v>
      </c>
      <c r="N8" s="61" t="s">
        <v>63</v>
      </c>
      <c r="O8" s="61" t="s">
        <v>62</v>
      </c>
      <c r="P8" s="61" t="s">
        <v>62</v>
      </c>
      <c r="Q8" s="61" t="s">
        <v>62</v>
      </c>
      <c r="R8" s="61" t="s">
        <v>62</v>
      </c>
      <c r="S8" s="61" t="s">
        <v>62</v>
      </c>
      <c r="T8" s="61" t="s">
        <v>62</v>
      </c>
      <c r="U8" s="61" t="s">
        <v>62</v>
      </c>
      <c r="V8" s="61" t="s">
        <v>176</v>
      </c>
      <c r="W8" s="61" t="s">
        <v>62</v>
      </c>
      <c r="X8" s="61" t="s">
        <v>62</v>
      </c>
      <c r="Y8" s="61" t="s">
        <v>62</v>
      </c>
      <c r="Z8" s="61" t="s">
        <v>62</v>
      </c>
      <c r="AA8" s="61" t="s">
        <v>62</v>
      </c>
      <c r="AB8" s="61" t="s">
        <v>62</v>
      </c>
      <c r="AC8" s="48" t="s">
        <v>62</v>
      </c>
      <c r="AD8" s="48" t="s">
        <v>62</v>
      </c>
      <c r="AE8" s="48" t="s">
        <v>62</v>
      </c>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27</v>
      </c>
      <c r="BB8" s="48">
        <f>IF(COUNTIF(C8:AZ8,"F")=0,"0",COUNTIF(C8:AZ8,"F"))</f>
        <v>1</v>
      </c>
      <c r="BC8" s="48">
        <f>IF(COUNTIF(C8:AZ8,"R")=0,"0",COUNTIF(C8:AZ8,"R"))</f>
        <v>1</v>
      </c>
      <c r="BD8" s="48" t="str">
        <f>IF(COUNTIF(C8:AZ8,"L")=0,"0",COUNTIF(C8:AZ8,"L"))</f>
        <v>0</v>
      </c>
      <c r="BE8" s="159">
        <f>SUM(BA8:BD8)</f>
        <v>29</v>
      </c>
      <c r="BF8" s="155">
        <v>2</v>
      </c>
      <c r="BG8" s="61">
        <v>25</v>
      </c>
      <c r="BH8" s="61" t="s">
        <v>179</v>
      </c>
    </row>
    <row r="9" spans="1:61" ht="12" customHeight="1" x14ac:dyDescent="0.4">
      <c r="A9" s="165">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t="s">
        <v>62</v>
      </c>
      <c r="Z9" s="61" t="s">
        <v>62</v>
      </c>
      <c r="AA9" s="61" t="s">
        <v>62</v>
      </c>
      <c r="AB9" s="61" t="s">
        <v>62</v>
      </c>
      <c r="AC9" s="48" t="s">
        <v>62</v>
      </c>
      <c r="AD9" s="48" t="s">
        <v>62</v>
      </c>
      <c r="AE9" s="48" t="s">
        <v>62</v>
      </c>
      <c r="AF9" s="48"/>
      <c r="AG9" s="48"/>
      <c r="AH9" s="48"/>
      <c r="AI9" s="48"/>
      <c r="AJ9" s="48"/>
      <c r="AK9" s="48"/>
      <c r="AL9" s="48"/>
      <c r="AM9" s="48"/>
      <c r="AN9" s="48"/>
      <c r="AO9" s="48"/>
      <c r="AP9" s="48"/>
      <c r="AQ9" s="48"/>
      <c r="AR9" s="48"/>
      <c r="AS9" s="48"/>
      <c r="AT9" s="48"/>
      <c r="AU9" s="48"/>
      <c r="AV9" s="48"/>
      <c r="AW9" s="48"/>
      <c r="AX9" s="48"/>
      <c r="AY9" s="48"/>
      <c r="AZ9" s="63"/>
      <c r="BA9" s="64">
        <f t="shared" si="0"/>
        <v>29</v>
      </c>
      <c r="BB9" s="61" t="str">
        <f t="shared" ref="BB9:BB26" si="1">IF(COUNTIF(C9:AZ9,"F")=0,"0",COUNTIF(C9:AZ9,"F"))</f>
        <v>0</v>
      </c>
      <c r="BC9" s="61" t="str">
        <f t="shared" ref="BC9:BC26" si="2">IF(COUNTIF(C9:AZ9,"R")=0,"0",COUNTIF(C9:AZ9,"R"))</f>
        <v>0</v>
      </c>
      <c r="BD9" s="61" t="str">
        <f t="shared" ref="BD9:BD26" si="3">IF(COUNTIF(C9:AZ9,"L")=0,"0",COUNTIF(C9:AZ9,"L"))</f>
        <v>0</v>
      </c>
      <c r="BE9" s="159">
        <f t="shared" ref="BE9:BE26" si="4">SUM(BA9:BD9)</f>
        <v>29</v>
      </c>
      <c r="BF9" s="156">
        <v>1</v>
      </c>
      <c r="BG9" s="61"/>
      <c r="BH9" s="61" t="s">
        <v>179</v>
      </c>
    </row>
    <row r="10" spans="1:61" ht="12" customHeight="1" x14ac:dyDescent="0.4">
      <c r="A10" s="165">
        <v>3</v>
      </c>
      <c r="B10" s="60" t="str">
        <f>'C. FILIACION'!B10</f>
        <v>BOLAÑOS OVANDO MIJHAIL ALEXANDER</v>
      </c>
      <c r="C10" s="162" t="s">
        <v>62</v>
      </c>
      <c r="D10" s="162" t="s">
        <v>62</v>
      </c>
      <c r="E10" s="162" t="s">
        <v>62</v>
      </c>
      <c r="F10" s="162" t="s">
        <v>62</v>
      </c>
      <c r="G10" s="162" t="s">
        <v>63</v>
      </c>
      <c r="H10" s="162" t="s">
        <v>62</v>
      </c>
      <c r="I10" s="162" t="s">
        <v>62</v>
      </c>
      <c r="J10" s="162" t="s">
        <v>63</v>
      </c>
      <c r="K10" s="162" t="s">
        <v>62</v>
      </c>
      <c r="L10" s="61" t="s">
        <v>62</v>
      </c>
      <c r="M10" s="61" t="s">
        <v>62</v>
      </c>
      <c r="N10" s="61" t="s">
        <v>63</v>
      </c>
      <c r="O10" s="61" t="s">
        <v>62</v>
      </c>
      <c r="P10" s="61" t="s">
        <v>63</v>
      </c>
      <c r="Q10" s="61" t="s">
        <v>176</v>
      </c>
      <c r="R10" s="61" t="s">
        <v>62</v>
      </c>
      <c r="S10" s="61" t="s">
        <v>63</v>
      </c>
      <c r="T10" s="61" t="s">
        <v>62</v>
      </c>
      <c r="U10" s="61" t="s">
        <v>63</v>
      </c>
      <c r="V10" s="61" t="s">
        <v>62</v>
      </c>
      <c r="W10" s="61" t="s">
        <v>63</v>
      </c>
      <c r="X10" s="61" t="s">
        <v>63</v>
      </c>
      <c r="Y10" s="61" t="s">
        <v>63</v>
      </c>
      <c r="Z10" s="61" t="s">
        <v>63</v>
      </c>
      <c r="AA10" s="61" t="s">
        <v>63</v>
      </c>
      <c r="AB10" s="61" t="s">
        <v>63</v>
      </c>
      <c r="AC10" s="48" t="s">
        <v>63</v>
      </c>
      <c r="AD10" s="48" t="s">
        <v>63</v>
      </c>
      <c r="AE10" s="48" t="s">
        <v>63</v>
      </c>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15</v>
      </c>
      <c r="BC10" s="61">
        <f t="shared" si="2"/>
        <v>1</v>
      </c>
      <c r="BD10" s="61" t="str">
        <f t="shared" si="3"/>
        <v>0</v>
      </c>
      <c r="BE10" s="159">
        <f t="shared" si="4"/>
        <v>29</v>
      </c>
      <c r="BF10" s="157">
        <v>3</v>
      </c>
      <c r="BG10" s="61"/>
      <c r="BH10" s="61"/>
    </row>
    <row r="11" spans="1:61" ht="12" customHeight="1" x14ac:dyDescent="0.4">
      <c r="A11" s="165">
        <v>4</v>
      </c>
      <c r="B11" s="190" t="str">
        <f>'C. FILIACION'!B11</f>
        <v>BRICHER ETHELBERT ISMAEL</v>
      </c>
      <c r="C11" s="156" t="s">
        <v>63</v>
      </c>
      <c r="D11" s="156" t="s">
        <v>62</v>
      </c>
      <c r="E11" s="156" t="s">
        <v>62</v>
      </c>
      <c r="F11" s="156" t="s">
        <v>63</v>
      </c>
      <c r="G11" s="156" t="s">
        <v>62</v>
      </c>
      <c r="H11" s="156" t="s">
        <v>62</v>
      </c>
      <c r="I11" s="156" t="s">
        <v>63</v>
      </c>
      <c r="J11" s="156" t="s">
        <v>62</v>
      </c>
      <c r="K11" s="156" t="s">
        <v>62</v>
      </c>
      <c r="L11" s="156" t="s">
        <v>62</v>
      </c>
      <c r="M11" s="156" t="s">
        <v>63</v>
      </c>
      <c r="N11" s="156" t="s">
        <v>63</v>
      </c>
      <c r="O11" s="156" t="s">
        <v>63</v>
      </c>
      <c r="P11" s="156" t="s">
        <v>63</v>
      </c>
      <c r="Q11" s="156" t="s">
        <v>63</v>
      </c>
      <c r="R11" s="156" t="s">
        <v>63</v>
      </c>
      <c r="S11" s="156" t="s">
        <v>63</v>
      </c>
      <c r="T11" s="156" t="s">
        <v>63</v>
      </c>
      <c r="U11" s="156" t="s">
        <v>63</v>
      </c>
      <c r="V11" s="156" t="s">
        <v>63</v>
      </c>
      <c r="W11" s="156" t="s">
        <v>63</v>
      </c>
      <c r="X11" s="156" t="s">
        <v>63</v>
      </c>
      <c r="Y11" s="156" t="s">
        <v>63</v>
      </c>
      <c r="Z11" s="156" t="s">
        <v>63</v>
      </c>
      <c r="AA11" s="156" t="s">
        <v>63</v>
      </c>
      <c r="AB11" s="156" t="s">
        <v>63</v>
      </c>
      <c r="AC11" s="156" t="s">
        <v>63</v>
      </c>
      <c r="AD11" s="48" t="s">
        <v>63</v>
      </c>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21</v>
      </c>
      <c r="BC11" s="61" t="str">
        <f t="shared" si="2"/>
        <v>0</v>
      </c>
      <c r="BD11" s="61" t="str">
        <f t="shared" si="3"/>
        <v>0</v>
      </c>
      <c r="BE11" s="159">
        <f t="shared" si="4"/>
        <v>28</v>
      </c>
      <c r="BF11" s="156">
        <v>1</v>
      </c>
      <c r="BG11" s="61"/>
      <c r="BH11" s="61"/>
    </row>
    <row r="12" spans="1:61" ht="12" customHeight="1" x14ac:dyDescent="0.4">
      <c r="A12" s="165">
        <v>5</v>
      </c>
      <c r="B12" s="60" t="str">
        <f>'C. FILIACION'!B12</f>
        <v>CANAVIRI QUISBERT ALEJANDRA ELENA</v>
      </c>
      <c r="C12" s="162" t="s">
        <v>62</v>
      </c>
      <c r="D12" s="162" t="s">
        <v>62</v>
      </c>
      <c r="E12" s="162" t="s">
        <v>63</v>
      </c>
      <c r="F12" s="162" t="s">
        <v>62</v>
      </c>
      <c r="G12" s="162" t="s">
        <v>62</v>
      </c>
      <c r="H12" s="162" t="s">
        <v>62</v>
      </c>
      <c r="I12" s="162" t="s">
        <v>63</v>
      </c>
      <c r="J12" s="162" t="s">
        <v>62</v>
      </c>
      <c r="K12" s="162"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t="s">
        <v>62</v>
      </c>
      <c r="Z12" s="61" t="s">
        <v>62</v>
      </c>
      <c r="AA12" s="61" t="s">
        <v>62</v>
      </c>
      <c r="AB12" s="61" t="s">
        <v>62</v>
      </c>
      <c r="AC12" s="48" t="s">
        <v>62</v>
      </c>
      <c r="AD12" s="48" t="s">
        <v>62</v>
      </c>
      <c r="AE12" s="48" t="s">
        <v>62</v>
      </c>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24</v>
      </c>
      <c r="BB12" s="61">
        <f t="shared" si="1"/>
        <v>5</v>
      </c>
      <c r="BC12" s="61" t="str">
        <f t="shared" si="2"/>
        <v>0</v>
      </c>
      <c r="BD12" s="61" t="str">
        <f t="shared" si="3"/>
        <v>0</v>
      </c>
      <c r="BE12" s="159">
        <f t="shared" si="4"/>
        <v>29</v>
      </c>
      <c r="BF12" s="61">
        <v>4</v>
      </c>
      <c r="BG12" s="61"/>
      <c r="BH12" s="61"/>
    </row>
    <row r="13" spans="1:61" ht="12" customHeight="1" x14ac:dyDescent="0.4">
      <c r="A13" s="165">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177</v>
      </c>
      <c r="X13" s="61" t="s">
        <v>62</v>
      </c>
      <c r="Y13" s="61" t="s">
        <v>62</v>
      </c>
      <c r="Z13" s="61" t="s">
        <v>62</v>
      </c>
      <c r="AA13" s="61" t="s">
        <v>62</v>
      </c>
      <c r="AB13" s="61" t="s">
        <v>62</v>
      </c>
      <c r="AC13" s="48" t="s">
        <v>62</v>
      </c>
      <c r="AD13" s="48" t="s">
        <v>62</v>
      </c>
      <c r="AE13" s="48" t="s">
        <v>62</v>
      </c>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28</v>
      </c>
      <c r="BB13" s="61" t="str">
        <f t="shared" si="1"/>
        <v>0</v>
      </c>
      <c r="BC13" s="61" t="str">
        <f t="shared" si="2"/>
        <v>0</v>
      </c>
      <c r="BD13" s="61">
        <f t="shared" si="3"/>
        <v>1</v>
      </c>
      <c r="BE13" s="159">
        <f t="shared" si="4"/>
        <v>29</v>
      </c>
      <c r="BF13" s="155">
        <v>2</v>
      </c>
      <c r="BG13" s="61"/>
      <c r="BH13" s="61"/>
    </row>
    <row r="14" spans="1:61" ht="12" customHeight="1" x14ac:dyDescent="0.4">
      <c r="A14" s="165">
        <v>7</v>
      </c>
      <c r="B14" s="60" t="str">
        <f>'C. FILIACION'!B14</f>
        <v>GOMEZ COSME MELANY KARINA</v>
      </c>
      <c r="C14" s="162" t="s">
        <v>62</v>
      </c>
      <c r="D14" s="162" t="s">
        <v>63</v>
      </c>
      <c r="E14" s="162" t="s">
        <v>62</v>
      </c>
      <c r="F14" s="162" t="s">
        <v>63</v>
      </c>
      <c r="G14" s="162" t="s">
        <v>62</v>
      </c>
      <c r="H14" s="162" t="s">
        <v>63</v>
      </c>
      <c r="I14" s="162" t="s">
        <v>62</v>
      </c>
      <c r="J14" s="162" t="s">
        <v>62</v>
      </c>
      <c r="K14" s="162"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t="s">
        <v>62</v>
      </c>
      <c r="Z14" s="61" t="s">
        <v>62</v>
      </c>
      <c r="AA14" s="61" t="s">
        <v>63</v>
      </c>
      <c r="AB14" s="61" t="s">
        <v>62</v>
      </c>
      <c r="AC14" s="48" t="s">
        <v>62</v>
      </c>
      <c r="AD14" s="48" t="s">
        <v>62</v>
      </c>
      <c r="AE14" s="48" t="s">
        <v>62</v>
      </c>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16</v>
      </c>
      <c r="BB14" s="61">
        <f t="shared" si="1"/>
        <v>13</v>
      </c>
      <c r="BC14" s="61" t="str">
        <f t="shared" si="2"/>
        <v>0</v>
      </c>
      <c r="BD14" s="61" t="str">
        <f t="shared" si="3"/>
        <v>0</v>
      </c>
      <c r="BE14" s="159">
        <f t="shared" si="4"/>
        <v>29</v>
      </c>
      <c r="BF14" s="157">
        <v>3</v>
      </c>
      <c r="BG14" s="61"/>
      <c r="BH14" s="61"/>
    </row>
    <row r="15" spans="1:61" ht="12" customHeight="1" x14ac:dyDescent="0.4">
      <c r="A15" s="165">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t="s">
        <v>62</v>
      </c>
      <c r="Z15" s="61" t="s">
        <v>62</v>
      </c>
      <c r="AA15" s="61" t="s">
        <v>62</v>
      </c>
      <c r="AB15" s="61" t="s">
        <v>62</v>
      </c>
      <c r="AC15" s="48" t="s">
        <v>62</v>
      </c>
      <c r="AD15" s="48" t="s">
        <v>62</v>
      </c>
      <c r="AE15" s="48" t="s">
        <v>62</v>
      </c>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29</v>
      </c>
      <c r="BB15" s="61" t="str">
        <f t="shared" si="1"/>
        <v>0</v>
      </c>
      <c r="BC15" s="61" t="str">
        <f t="shared" si="2"/>
        <v>0</v>
      </c>
      <c r="BD15" s="61" t="str">
        <f t="shared" si="3"/>
        <v>0</v>
      </c>
      <c r="BE15" s="159">
        <f t="shared" si="4"/>
        <v>29</v>
      </c>
      <c r="BF15" s="61">
        <v>4</v>
      </c>
      <c r="BG15" s="61"/>
      <c r="BH15" s="61" t="s">
        <v>179</v>
      </c>
    </row>
    <row r="16" spans="1:61" ht="12" customHeight="1" x14ac:dyDescent="0.4">
      <c r="A16" s="165">
        <v>9</v>
      </c>
      <c r="B16" s="60" t="str">
        <f>'C. FILIACION'!B16</f>
        <v>LEDEZMA AGUILAR ELVIS JHEFERSON</v>
      </c>
      <c r="C16" s="162" t="s">
        <v>62</v>
      </c>
      <c r="D16" s="162" t="s">
        <v>62</v>
      </c>
      <c r="E16" s="162" t="s">
        <v>62</v>
      </c>
      <c r="F16" s="162" t="s">
        <v>62</v>
      </c>
      <c r="G16" s="162" t="s">
        <v>62</v>
      </c>
      <c r="H16" s="162" t="s">
        <v>62</v>
      </c>
      <c r="I16" s="162" t="s">
        <v>62</v>
      </c>
      <c r="J16" s="162" t="s">
        <v>62</v>
      </c>
      <c r="K16" s="162"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t="s">
        <v>62</v>
      </c>
      <c r="Z16" s="61" t="s">
        <v>62</v>
      </c>
      <c r="AA16" s="61" t="s">
        <v>62</v>
      </c>
      <c r="AB16" s="61" t="s">
        <v>62</v>
      </c>
      <c r="AC16" s="48" t="s">
        <v>62</v>
      </c>
      <c r="AD16" s="48" t="s">
        <v>176</v>
      </c>
      <c r="AE16" s="48" t="s">
        <v>62</v>
      </c>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27</v>
      </c>
      <c r="BB16" s="61">
        <f t="shared" si="1"/>
        <v>1</v>
      </c>
      <c r="BC16" s="61">
        <f t="shared" si="2"/>
        <v>1</v>
      </c>
      <c r="BD16" s="61" t="str">
        <f t="shared" si="3"/>
        <v>0</v>
      </c>
      <c r="BE16" s="159">
        <f t="shared" si="4"/>
        <v>29</v>
      </c>
      <c r="BF16" s="156">
        <v>1</v>
      </c>
      <c r="BG16" s="61"/>
      <c r="BH16" s="61"/>
    </row>
    <row r="17" spans="1:60" ht="12" customHeight="1" x14ac:dyDescent="0.4">
      <c r="A17" s="165">
        <v>10</v>
      </c>
      <c r="B17" s="191" t="s">
        <v>41</v>
      </c>
      <c r="C17" s="192" t="s">
        <v>62</v>
      </c>
      <c r="D17" s="192" t="s">
        <v>62</v>
      </c>
      <c r="E17" s="192" t="s">
        <v>62</v>
      </c>
      <c r="F17" s="192" t="s">
        <v>62</v>
      </c>
      <c r="G17" s="192" t="s">
        <v>62</v>
      </c>
      <c r="H17" s="192" t="s">
        <v>62</v>
      </c>
      <c r="I17" s="192" t="s">
        <v>62</v>
      </c>
      <c r="J17" s="192" t="s">
        <v>62</v>
      </c>
      <c r="K17" s="192" t="s">
        <v>62</v>
      </c>
      <c r="L17" s="192" t="s">
        <v>63</v>
      </c>
      <c r="M17" s="192" t="s">
        <v>63</v>
      </c>
      <c r="N17" s="192" t="s">
        <v>62</v>
      </c>
      <c r="O17" s="192" t="s">
        <v>62</v>
      </c>
      <c r="P17" s="192" t="s">
        <v>62</v>
      </c>
      <c r="Q17" s="192" t="s">
        <v>62</v>
      </c>
      <c r="R17" s="192" t="s">
        <v>62</v>
      </c>
      <c r="S17" s="192" t="s">
        <v>62</v>
      </c>
      <c r="T17" s="192" t="s">
        <v>62</v>
      </c>
      <c r="U17" s="192" t="s">
        <v>62</v>
      </c>
      <c r="V17" s="192" t="s">
        <v>62</v>
      </c>
      <c r="W17" s="192" t="s">
        <v>62</v>
      </c>
      <c r="X17" s="192" t="s">
        <v>176</v>
      </c>
      <c r="Y17" s="192" t="s">
        <v>62</v>
      </c>
      <c r="Z17" s="192" t="s">
        <v>62</v>
      </c>
      <c r="AA17" s="192" t="s">
        <v>62</v>
      </c>
      <c r="AB17" s="192" t="s">
        <v>62</v>
      </c>
      <c r="AC17" s="192" t="s">
        <v>62</v>
      </c>
      <c r="AD17" s="48" t="s">
        <v>62</v>
      </c>
      <c r="AE17" s="48" t="s">
        <v>63</v>
      </c>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25</v>
      </c>
      <c r="BB17" s="61">
        <f t="shared" si="1"/>
        <v>3</v>
      </c>
      <c r="BC17" s="61">
        <f t="shared" si="2"/>
        <v>1</v>
      </c>
      <c r="BD17" s="61" t="str">
        <f t="shared" si="3"/>
        <v>0</v>
      </c>
      <c r="BE17" s="159">
        <f t="shared" si="4"/>
        <v>29</v>
      </c>
      <c r="BF17" s="158">
        <v>3</v>
      </c>
      <c r="BG17" s="158"/>
      <c r="BH17" s="61"/>
    </row>
    <row r="18" spans="1:60" ht="12" customHeight="1" x14ac:dyDescent="0.4">
      <c r="A18" s="165">
        <v>11</v>
      </c>
      <c r="B18" s="60" t="str">
        <f>'C. FILIACION'!B18</f>
        <v>MAMANI LOPEZ DAFNE MILDRED</v>
      </c>
      <c r="C18" s="162" t="s">
        <v>62</v>
      </c>
      <c r="D18" s="162" t="s">
        <v>62</v>
      </c>
      <c r="E18" s="162" t="s">
        <v>62</v>
      </c>
      <c r="F18" s="162" t="s">
        <v>63</v>
      </c>
      <c r="G18" s="162" t="s">
        <v>62</v>
      </c>
      <c r="H18" s="162" t="s">
        <v>63</v>
      </c>
      <c r="I18" s="162" t="s">
        <v>62</v>
      </c>
      <c r="J18" s="162" t="s">
        <v>62</v>
      </c>
      <c r="K18" s="162" t="s">
        <v>63</v>
      </c>
      <c r="L18" s="61" t="s">
        <v>63</v>
      </c>
      <c r="M18" s="61" t="s">
        <v>63</v>
      </c>
      <c r="N18" s="61" t="s">
        <v>177</v>
      </c>
      <c r="O18" s="61" t="s">
        <v>62</v>
      </c>
      <c r="P18" s="61" t="s">
        <v>63</v>
      </c>
      <c r="Q18" s="61" t="s">
        <v>176</v>
      </c>
      <c r="R18" s="61" t="s">
        <v>63</v>
      </c>
      <c r="S18" s="61" t="s">
        <v>62</v>
      </c>
      <c r="T18" s="61" t="s">
        <v>62</v>
      </c>
      <c r="U18" s="61" t="s">
        <v>176</v>
      </c>
      <c r="V18" s="61" t="s">
        <v>63</v>
      </c>
      <c r="W18" s="61" t="s">
        <v>63</v>
      </c>
      <c r="X18" s="61" t="s">
        <v>62</v>
      </c>
      <c r="Y18" s="61" t="s">
        <v>63</v>
      </c>
      <c r="Z18" s="61" t="s">
        <v>62</v>
      </c>
      <c r="AA18" s="61" t="s">
        <v>63</v>
      </c>
      <c r="AB18" s="61" t="s">
        <v>62</v>
      </c>
      <c r="AC18" s="48" t="s">
        <v>63</v>
      </c>
      <c r="AD18" s="48" t="s">
        <v>62</v>
      </c>
      <c r="AE18" s="48" t="s">
        <v>63</v>
      </c>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13</v>
      </c>
      <c r="BB18" s="61">
        <f t="shared" si="1"/>
        <v>13</v>
      </c>
      <c r="BC18" s="61">
        <f t="shared" si="2"/>
        <v>2</v>
      </c>
      <c r="BD18" s="61">
        <f t="shared" si="3"/>
        <v>1</v>
      </c>
      <c r="BE18" s="159">
        <f t="shared" si="4"/>
        <v>29</v>
      </c>
      <c r="BF18" s="61">
        <v>4</v>
      </c>
      <c r="BG18" s="61"/>
      <c r="BH18" s="61"/>
    </row>
    <row r="19" spans="1:60" ht="12" customHeight="1" x14ac:dyDescent="0.4">
      <c r="A19" s="165">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176</v>
      </c>
      <c r="W19" s="61" t="s">
        <v>63</v>
      </c>
      <c r="X19" s="61" t="s">
        <v>63</v>
      </c>
      <c r="Y19" s="61" t="s">
        <v>63</v>
      </c>
      <c r="Z19" s="61" t="s">
        <v>63</v>
      </c>
      <c r="AA19" s="61" t="s">
        <v>63</v>
      </c>
      <c r="AB19" s="61" t="s">
        <v>63</v>
      </c>
      <c r="AC19" s="48" t="s">
        <v>63</v>
      </c>
      <c r="AD19" s="48" t="s">
        <v>63</v>
      </c>
      <c r="AE19" s="48" t="s">
        <v>62</v>
      </c>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11</v>
      </c>
      <c r="BB19" s="61">
        <f t="shared" si="1"/>
        <v>17</v>
      </c>
      <c r="BC19" s="61">
        <f t="shared" si="2"/>
        <v>1</v>
      </c>
      <c r="BD19" s="61" t="str">
        <f t="shared" si="3"/>
        <v>0</v>
      </c>
      <c r="BE19" s="159">
        <f t="shared" si="4"/>
        <v>29</v>
      </c>
      <c r="BF19" s="155">
        <v>2</v>
      </c>
      <c r="BG19" s="61"/>
      <c r="BH19" s="61"/>
    </row>
    <row r="20" spans="1:60" ht="12" customHeight="1" x14ac:dyDescent="0.4">
      <c r="A20" s="165">
        <v>13</v>
      </c>
      <c r="B20" s="60" t="str">
        <f>'C. FILIACION'!B20</f>
        <v>MENACHO LINEO ANDREA KIMBERLY</v>
      </c>
      <c r="C20" s="162" t="s">
        <v>62</v>
      </c>
      <c r="D20" s="162" t="s">
        <v>62</v>
      </c>
      <c r="E20" s="162" t="s">
        <v>62</v>
      </c>
      <c r="F20" s="162" t="s">
        <v>62</v>
      </c>
      <c r="G20" s="162" t="s">
        <v>62</v>
      </c>
      <c r="H20" s="162" t="s">
        <v>62</v>
      </c>
      <c r="I20" s="162" t="s">
        <v>62</v>
      </c>
      <c r="J20" s="162" t="s">
        <v>62</v>
      </c>
      <c r="K20" s="162"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t="s">
        <v>63</v>
      </c>
      <c r="Z20" s="61" t="s">
        <v>62</v>
      </c>
      <c r="AA20" s="61" t="s">
        <v>62</v>
      </c>
      <c r="AB20" s="61" t="s">
        <v>62</v>
      </c>
      <c r="AC20" s="48" t="s">
        <v>62</v>
      </c>
      <c r="AD20" s="48" t="s">
        <v>62</v>
      </c>
      <c r="AE20" s="48" t="s">
        <v>62</v>
      </c>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27</v>
      </c>
      <c r="BB20" s="61">
        <f t="shared" si="1"/>
        <v>2</v>
      </c>
      <c r="BC20" s="61" t="str">
        <f t="shared" si="2"/>
        <v>0</v>
      </c>
      <c r="BD20" s="61" t="str">
        <f t="shared" si="3"/>
        <v>0</v>
      </c>
      <c r="BE20" s="159">
        <f t="shared" si="4"/>
        <v>29</v>
      </c>
      <c r="BF20" s="156">
        <v>1</v>
      </c>
      <c r="BG20" s="61"/>
      <c r="BH20" s="61"/>
    </row>
    <row r="21" spans="1:60" ht="12" customHeight="1" x14ac:dyDescent="0.4">
      <c r="A21" s="165">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t="s">
        <v>62</v>
      </c>
      <c r="Z21" s="61" t="s">
        <v>62</v>
      </c>
      <c r="AA21" s="61" t="s">
        <v>62</v>
      </c>
      <c r="AB21" s="61" t="s">
        <v>62</v>
      </c>
      <c r="AC21" s="48" t="s">
        <v>62</v>
      </c>
      <c r="AD21" s="48" t="s">
        <v>62</v>
      </c>
      <c r="AE21" s="48" t="s">
        <v>62</v>
      </c>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28</v>
      </c>
      <c r="BB21" s="61">
        <f t="shared" si="1"/>
        <v>1</v>
      </c>
      <c r="BC21" s="61" t="str">
        <f t="shared" si="2"/>
        <v>0</v>
      </c>
      <c r="BD21" s="61" t="str">
        <f t="shared" si="3"/>
        <v>0</v>
      </c>
      <c r="BE21" s="159">
        <f t="shared" si="4"/>
        <v>29</v>
      </c>
      <c r="BF21" s="156">
        <v>1</v>
      </c>
      <c r="BG21" s="61"/>
      <c r="BH21" s="61"/>
    </row>
    <row r="22" spans="1:60" ht="12" customHeight="1" x14ac:dyDescent="0.4">
      <c r="A22" s="165">
        <v>15</v>
      </c>
      <c r="B22" s="60" t="str">
        <f>'C. FILIACION'!B22</f>
        <v>RUEDA ALVAREZ GREGORY STEVEN</v>
      </c>
      <c r="C22" s="163" t="s">
        <v>62</v>
      </c>
      <c r="D22" s="163" t="s">
        <v>62</v>
      </c>
      <c r="E22" s="163" t="s">
        <v>62</v>
      </c>
      <c r="F22" s="163" t="s">
        <v>62</v>
      </c>
      <c r="G22" s="163" t="s">
        <v>62</v>
      </c>
      <c r="H22" s="163" t="s">
        <v>62</v>
      </c>
      <c r="I22" s="163" t="s">
        <v>62</v>
      </c>
      <c r="J22" s="163" t="s">
        <v>62</v>
      </c>
      <c r="K22" s="163"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t="s">
        <v>62</v>
      </c>
      <c r="Z22" s="61" t="s">
        <v>62</v>
      </c>
      <c r="AA22" s="61" t="s">
        <v>62</v>
      </c>
      <c r="AB22" s="61" t="s">
        <v>62</v>
      </c>
      <c r="AC22" s="48" t="s">
        <v>62</v>
      </c>
      <c r="AD22" s="48" t="s">
        <v>62</v>
      </c>
      <c r="AE22" s="48" t="s">
        <v>62</v>
      </c>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29</v>
      </c>
      <c r="BB22" s="61" t="str">
        <f t="shared" si="1"/>
        <v>0</v>
      </c>
      <c r="BC22" s="61" t="str">
        <f t="shared" si="2"/>
        <v>0</v>
      </c>
      <c r="BD22" s="61" t="str">
        <f t="shared" si="3"/>
        <v>0</v>
      </c>
      <c r="BE22" s="159">
        <f t="shared" si="4"/>
        <v>29</v>
      </c>
      <c r="BF22" s="157">
        <v>3</v>
      </c>
      <c r="BG22" s="61"/>
      <c r="BH22" s="61"/>
    </row>
    <row r="23" spans="1:60" ht="12" customHeight="1" x14ac:dyDescent="0.4">
      <c r="A23" s="165">
        <v>16</v>
      </c>
      <c r="B23" s="60" t="str">
        <f>'C. FILIACION'!B23</f>
        <v>VARGAS JOYCE BELEN</v>
      </c>
      <c r="C23" s="61" t="s">
        <v>63</v>
      </c>
      <c r="D23" s="61" t="s">
        <v>63</v>
      </c>
      <c r="E23" s="61" t="s">
        <v>63</v>
      </c>
      <c r="F23" s="61" t="s">
        <v>63</v>
      </c>
      <c r="G23" s="61" t="s">
        <v>63</v>
      </c>
      <c r="H23" s="61" t="s">
        <v>62</v>
      </c>
      <c r="I23" s="61" t="s">
        <v>62</v>
      </c>
      <c r="J23" s="61" t="s">
        <v>63</v>
      </c>
      <c r="K23" s="61" t="s">
        <v>62</v>
      </c>
      <c r="L23" s="61" t="s">
        <v>62</v>
      </c>
      <c r="M23" s="61" t="s">
        <v>63</v>
      </c>
      <c r="N23" s="61" t="s">
        <v>62</v>
      </c>
      <c r="O23" s="61" t="s">
        <v>63</v>
      </c>
      <c r="P23" s="61" t="s">
        <v>63</v>
      </c>
      <c r="Q23" s="61" t="s">
        <v>63</v>
      </c>
      <c r="R23" s="61" t="s">
        <v>63</v>
      </c>
      <c r="S23" s="61" t="s">
        <v>63</v>
      </c>
      <c r="T23" s="61" t="s">
        <v>63</v>
      </c>
      <c r="U23" s="61" t="s">
        <v>63</v>
      </c>
      <c r="V23" s="61" t="s">
        <v>63</v>
      </c>
      <c r="W23" s="61" t="s">
        <v>63</v>
      </c>
      <c r="X23" s="61" t="s">
        <v>63</v>
      </c>
      <c r="Y23" s="61" t="s">
        <v>63</v>
      </c>
      <c r="Z23" s="61" t="s">
        <v>63</v>
      </c>
      <c r="AA23" s="61" t="s">
        <v>63</v>
      </c>
      <c r="AB23" s="61" t="s">
        <v>63</v>
      </c>
      <c r="AC23" s="48" t="s">
        <v>63</v>
      </c>
      <c r="AD23" s="48" t="s">
        <v>63</v>
      </c>
      <c r="AE23" s="48" t="s">
        <v>63</v>
      </c>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5</v>
      </c>
      <c r="BB23" s="61">
        <f t="shared" si="1"/>
        <v>24</v>
      </c>
      <c r="BC23" s="61" t="str">
        <f t="shared" si="2"/>
        <v>0</v>
      </c>
      <c r="BD23" s="61" t="str">
        <f t="shared" si="3"/>
        <v>0</v>
      </c>
      <c r="BE23" s="159">
        <f t="shared" si="4"/>
        <v>29</v>
      </c>
      <c r="BF23" s="157">
        <v>3</v>
      </c>
      <c r="BG23" s="61"/>
      <c r="BH23" s="61"/>
    </row>
    <row r="24" spans="1:60" ht="12" customHeight="1" x14ac:dyDescent="0.4">
      <c r="A24" s="165">
        <v>17</v>
      </c>
      <c r="B24" s="60" t="str">
        <f>'C. FILIACION'!B24</f>
        <v>ZURITA JIMENEZ ELMER ARTURO</v>
      </c>
      <c r="C24" s="162" t="s">
        <v>62</v>
      </c>
      <c r="D24" s="162" t="s">
        <v>62</v>
      </c>
      <c r="E24" s="162" t="s">
        <v>62</v>
      </c>
      <c r="F24" s="162" t="s">
        <v>62</v>
      </c>
      <c r="G24" s="162" t="s">
        <v>62</v>
      </c>
      <c r="H24" s="162" t="s">
        <v>62</v>
      </c>
      <c r="I24" s="162" t="s">
        <v>62</v>
      </c>
      <c r="J24" s="162" t="s">
        <v>62</v>
      </c>
      <c r="K24" s="162"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t="s">
        <v>62</v>
      </c>
      <c r="Z24" s="61" t="s">
        <v>62</v>
      </c>
      <c r="AA24" s="61" t="s">
        <v>62</v>
      </c>
      <c r="AB24" s="61" t="s">
        <v>62</v>
      </c>
      <c r="AC24" s="48" t="s">
        <v>62</v>
      </c>
      <c r="AD24" s="48" t="s">
        <v>62</v>
      </c>
      <c r="AE24" s="48" t="s">
        <v>62</v>
      </c>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29</v>
      </c>
      <c r="BB24" s="61" t="str">
        <f t="shared" si="1"/>
        <v>0</v>
      </c>
      <c r="BC24" s="61" t="str">
        <f t="shared" si="2"/>
        <v>0</v>
      </c>
      <c r="BD24" s="61" t="str">
        <f t="shared" si="3"/>
        <v>0</v>
      </c>
      <c r="BE24" s="159">
        <f t="shared" si="4"/>
        <v>29</v>
      </c>
      <c r="BF24" s="155">
        <v>2</v>
      </c>
      <c r="BG24" s="61"/>
      <c r="BH24" s="61"/>
    </row>
    <row r="25" spans="1:60" ht="12" customHeight="1" x14ac:dyDescent="0.4">
      <c r="A25" s="165">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t="s">
        <v>63</v>
      </c>
      <c r="Z25" s="61" t="s">
        <v>63</v>
      </c>
      <c r="AA25" s="61" t="s">
        <v>63</v>
      </c>
      <c r="AB25" s="61" t="s">
        <v>62</v>
      </c>
      <c r="AC25" s="48" t="s">
        <v>63</v>
      </c>
      <c r="AD25" s="48" t="s">
        <v>62</v>
      </c>
      <c r="AE25" s="48" t="s">
        <v>62</v>
      </c>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14</v>
      </c>
      <c r="BB25" s="61">
        <f t="shared" si="1"/>
        <v>15</v>
      </c>
      <c r="BC25" s="61" t="str">
        <f t="shared" si="2"/>
        <v>0</v>
      </c>
      <c r="BD25" s="61" t="str">
        <f t="shared" si="3"/>
        <v>0</v>
      </c>
      <c r="BE25" s="159">
        <f t="shared" si="4"/>
        <v>29</v>
      </c>
      <c r="BF25" s="61">
        <v>4</v>
      </c>
      <c r="BG25" s="61"/>
      <c r="BH25" s="61"/>
    </row>
    <row r="26" spans="1:60" ht="12" customHeight="1" x14ac:dyDescent="0.4">
      <c r="A26" s="167">
        <v>19</v>
      </c>
      <c r="B26" s="168" t="str">
        <f>'C. FILIACION'!B26</f>
        <v>Ventura Choque Danely Keyla</v>
      </c>
      <c r="C26" s="169"/>
      <c r="D26" s="169"/>
      <c r="E26" s="169"/>
      <c r="F26" s="169"/>
      <c r="G26" s="169"/>
      <c r="H26" s="169"/>
      <c r="I26" s="169"/>
      <c r="J26" s="169"/>
      <c r="K26" s="169"/>
      <c r="L26" s="170"/>
      <c r="M26" s="170"/>
      <c r="N26" s="170"/>
      <c r="O26" s="170"/>
      <c r="P26" s="170" t="s">
        <v>63</v>
      </c>
      <c r="Q26" s="170" t="s">
        <v>177</v>
      </c>
      <c r="R26" s="170" t="s">
        <v>177</v>
      </c>
      <c r="S26" s="170" t="s">
        <v>62</v>
      </c>
      <c r="T26" s="170" t="s">
        <v>62</v>
      </c>
      <c r="U26" s="170" t="s">
        <v>62</v>
      </c>
      <c r="V26" s="170" t="s">
        <v>62</v>
      </c>
      <c r="W26" s="170" t="s">
        <v>63</v>
      </c>
      <c r="X26" s="170" t="s">
        <v>62</v>
      </c>
      <c r="Y26" s="170" t="s">
        <v>62</v>
      </c>
      <c r="Z26" s="170" t="s">
        <v>62</v>
      </c>
      <c r="AA26" s="170" t="s">
        <v>62</v>
      </c>
      <c r="AB26" s="170" t="s">
        <v>62</v>
      </c>
      <c r="AC26" s="170" t="s">
        <v>62</v>
      </c>
      <c r="AD26" s="170" t="s">
        <v>62</v>
      </c>
      <c r="AE26" s="170" t="s">
        <v>62</v>
      </c>
      <c r="AF26" s="170"/>
      <c r="AG26" s="170"/>
      <c r="AH26" s="170"/>
      <c r="AI26" s="170"/>
      <c r="AJ26" s="170"/>
      <c r="AK26" s="170"/>
      <c r="AL26" s="170"/>
      <c r="AM26" s="170"/>
      <c r="AN26" s="170"/>
      <c r="AO26" s="170"/>
      <c r="AP26" s="170"/>
      <c r="AQ26" s="170"/>
      <c r="AR26" s="170"/>
      <c r="AS26" s="170"/>
      <c r="AT26" s="170"/>
      <c r="AU26" s="170"/>
      <c r="AV26" s="170"/>
      <c r="AW26" s="170"/>
      <c r="AX26" s="170"/>
      <c r="AY26" s="170"/>
      <c r="AZ26" s="171"/>
      <c r="BA26" s="172">
        <f t="shared" si="0"/>
        <v>12</v>
      </c>
      <c r="BB26" s="170">
        <f t="shared" si="1"/>
        <v>2</v>
      </c>
      <c r="BC26" s="170" t="str">
        <f t="shared" si="2"/>
        <v>0</v>
      </c>
      <c r="BD26" s="170">
        <f t="shared" si="3"/>
        <v>2</v>
      </c>
      <c r="BE26" s="171">
        <f t="shared" si="4"/>
        <v>16</v>
      </c>
      <c r="BF26" s="157">
        <v>3</v>
      </c>
      <c r="BG26" s="61"/>
      <c r="BH26" s="61"/>
    </row>
    <row r="27" spans="1:60" ht="12" customHeight="1" x14ac:dyDescent="0.4">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4">
      <c r="A28" s="59">
        <v>21</v>
      </c>
      <c r="B28" s="60">
        <f>'C. FILIACION'!B28</f>
        <v>0</v>
      </c>
      <c r="C28" s="162"/>
      <c r="D28" s="162"/>
      <c r="E28" s="162"/>
      <c r="F28" s="162"/>
      <c r="G28" s="162"/>
      <c r="H28" s="162"/>
      <c r="I28" s="162"/>
      <c r="J28" s="162"/>
      <c r="K28" s="162"/>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4">
      <c r="A29" s="59">
        <v>22</v>
      </c>
      <c r="B29" s="60">
        <f>'C. FILIACION'!B29</f>
        <v>0</v>
      </c>
      <c r="C29" s="163"/>
      <c r="D29" s="163"/>
      <c r="E29" s="163"/>
      <c r="F29" s="163"/>
      <c r="G29" s="163"/>
      <c r="H29" s="163"/>
      <c r="I29" s="163"/>
      <c r="J29" s="163"/>
      <c r="K29" s="163"/>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4">
      <c r="A30" s="59">
        <v>23</v>
      </c>
      <c r="B30" s="60">
        <f>'C. FILIACION'!B30</f>
        <v>0</v>
      </c>
      <c r="C30" s="162"/>
      <c r="D30" s="162"/>
      <c r="E30" s="162"/>
      <c r="F30" s="162"/>
      <c r="G30" s="162"/>
      <c r="H30" s="162"/>
      <c r="I30" s="162"/>
      <c r="J30" s="162"/>
      <c r="K30" s="162"/>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4">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 x14ac:dyDescent="0.4"/>
  <cols>
    <col min="1" max="11" width="2.21875" customWidth="1"/>
    <col min="12" max="12" width="2.77734375" customWidth="1"/>
    <col min="13" max="13" width="2.21875" customWidth="1"/>
    <col min="14" max="14" width="2.33203125" customWidth="1"/>
    <col min="15" max="26" width="2.21875" customWidth="1"/>
    <col min="27" max="27" width="10.44140625" customWidth="1"/>
    <col min="28" max="28" width="7.38671875" customWidth="1"/>
  </cols>
  <sheetData>
    <row r="1" spans="1:68" ht="7.25" customHeight="1" x14ac:dyDescent="0.4">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row>
    <row r="2" spans="1:68" x14ac:dyDescent="0.4">
      <c r="A2" s="248" t="s">
        <v>221</v>
      </c>
      <c r="B2" s="248"/>
      <c r="C2" s="248"/>
      <c r="D2" s="248"/>
      <c r="E2" s="248"/>
      <c r="F2" s="248"/>
      <c r="G2" s="248"/>
      <c r="H2" s="248"/>
      <c r="I2" s="248"/>
      <c r="J2" s="248"/>
      <c r="K2" s="248"/>
      <c r="L2" s="248"/>
      <c r="M2" s="248"/>
      <c r="N2" s="248"/>
      <c r="O2" s="248"/>
      <c r="P2" s="248"/>
      <c r="Q2" s="248"/>
      <c r="R2" s="248"/>
      <c r="S2" s="248"/>
      <c r="T2" s="248"/>
      <c r="U2" s="248"/>
      <c r="V2" s="248"/>
      <c r="W2" s="248"/>
      <c r="X2" s="248"/>
      <c r="Y2" s="248"/>
      <c r="Z2" s="248"/>
      <c r="AA2" s="248"/>
      <c r="AB2" s="248"/>
    </row>
    <row r="3" spans="1:68" ht="6.65" customHeight="1" x14ac:dyDescent="0.4">
      <c r="A3" s="173"/>
      <c r="B3" s="173"/>
      <c r="C3" s="173"/>
      <c r="D3" s="173"/>
      <c r="E3" s="173"/>
      <c r="F3" s="173"/>
      <c r="G3" s="173"/>
      <c r="H3" s="173"/>
      <c r="I3" s="173"/>
      <c r="J3" s="173"/>
      <c r="K3" s="173"/>
      <c r="L3" s="173"/>
      <c r="M3" s="173"/>
      <c r="N3" s="173"/>
      <c r="O3" s="173"/>
      <c r="P3" s="173"/>
      <c r="Q3" s="173"/>
      <c r="R3" s="173"/>
      <c r="S3" s="173"/>
      <c r="T3" s="173"/>
      <c r="U3" s="173"/>
      <c r="V3" s="173"/>
      <c r="W3" s="173"/>
      <c r="X3" s="173"/>
      <c r="Y3" s="173"/>
      <c r="Z3" s="173"/>
      <c r="AA3" s="173"/>
      <c r="AB3" s="173"/>
    </row>
    <row r="4" spans="1:68" ht="15.65" customHeight="1" x14ac:dyDescent="0.4">
      <c r="A4" s="240" t="s">
        <v>222</v>
      </c>
      <c r="B4" s="240"/>
      <c r="C4" s="240"/>
      <c r="D4" s="240"/>
      <c r="E4" s="240"/>
      <c r="F4" s="228" t="str">
        <f>CARÁTULA!C25</f>
        <v>Tec. Tecnologica Programacion Visual</v>
      </c>
      <c r="G4" s="228"/>
      <c r="H4" s="228"/>
      <c r="I4" s="228"/>
      <c r="J4" s="228"/>
      <c r="K4" s="228"/>
      <c r="L4" s="228"/>
      <c r="M4" s="228"/>
      <c r="N4" s="228"/>
      <c r="O4" s="249" t="s">
        <v>223</v>
      </c>
      <c r="P4" s="249"/>
      <c r="Q4" s="249"/>
      <c r="R4" s="250" t="str">
        <f>CARÁTULA!C23</f>
        <v>6to de Secundaria</v>
      </c>
      <c r="S4" s="251"/>
      <c r="T4" s="251"/>
      <c r="U4" s="251"/>
      <c r="V4" s="251"/>
      <c r="W4" s="251"/>
      <c r="X4" s="251"/>
      <c r="Y4" s="251"/>
      <c r="Z4" s="252"/>
      <c r="AA4" s="253" t="s">
        <v>224</v>
      </c>
      <c r="AB4" s="255" t="s">
        <v>259</v>
      </c>
    </row>
    <row r="5" spans="1:68" ht="17.5" customHeight="1" x14ac:dyDescent="0.4">
      <c r="A5" s="240" t="s">
        <v>225</v>
      </c>
      <c r="B5" s="240"/>
      <c r="C5" s="240"/>
      <c r="D5" s="240"/>
      <c r="E5" s="240"/>
      <c r="F5" s="256" t="s">
        <v>174</v>
      </c>
      <c r="G5" s="256"/>
      <c r="H5" s="256"/>
      <c r="I5" s="256"/>
      <c r="J5" s="256"/>
      <c r="K5" s="256"/>
      <c r="L5" s="256"/>
      <c r="M5" s="256"/>
      <c r="N5" s="256"/>
      <c r="O5" s="256"/>
      <c r="P5" s="256"/>
      <c r="Q5" s="256"/>
      <c r="R5" s="256"/>
      <c r="S5" s="256"/>
      <c r="T5" s="256"/>
      <c r="U5" s="256"/>
      <c r="V5" s="256"/>
      <c r="W5" s="256"/>
      <c r="X5" s="256"/>
      <c r="Y5" s="256"/>
      <c r="Z5" s="256"/>
      <c r="AA5" s="254"/>
      <c r="AB5" s="255"/>
    </row>
    <row r="6" spans="1:68" ht="18.649999999999999" customHeight="1" x14ac:dyDescent="0.4">
      <c r="A6" s="240" t="s">
        <v>226</v>
      </c>
      <c r="B6" s="240"/>
      <c r="C6" s="240"/>
      <c r="D6" s="240"/>
      <c r="E6" s="240"/>
      <c r="F6" s="241" t="s">
        <v>227</v>
      </c>
      <c r="G6" s="242"/>
      <c r="H6" s="242"/>
      <c r="I6" s="242"/>
      <c r="J6" s="242"/>
      <c r="K6" s="242"/>
      <c r="L6" s="242"/>
      <c r="M6" s="242"/>
      <c r="N6" s="242"/>
      <c r="O6" s="242"/>
      <c r="P6" s="242"/>
      <c r="Q6" s="242"/>
      <c r="R6" s="242"/>
      <c r="S6" s="242"/>
      <c r="T6" s="242"/>
      <c r="U6" s="242"/>
      <c r="V6" s="242"/>
      <c r="W6" s="242"/>
      <c r="X6" s="242"/>
      <c r="Y6" s="242"/>
      <c r="Z6" s="243"/>
      <c r="AA6" s="246"/>
      <c r="AB6" s="247"/>
    </row>
    <row r="7" spans="1:68" ht="6" customHeight="1" x14ac:dyDescent="0.4">
      <c r="A7" s="173"/>
      <c r="B7" s="173"/>
      <c r="C7" s="173"/>
      <c r="D7" s="173"/>
      <c r="E7" s="173"/>
      <c r="F7" s="173"/>
      <c r="G7" s="173"/>
      <c r="H7" s="173"/>
      <c r="I7" s="173"/>
      <c r="J7" s="173"/>
      <c r="K7" s="173"/>
      <c r="L7" s="173"/>
      <c r="M7" s="173"/>
      <c r="N7" s="173"/>
      <c r="O7" s="173"/>
      <c r="P7" s="173"/>
      <c r="Q7" s="173"/>
      <c r="R7" s="173"/>
      <c r="S7" s="173"/>
      <c r="T7" s="173"/>
      <c r="U7" s="173"/>
      <c r="V7" s="173"/>
      <c r="W7" s="173"/>
      <c r="X7" s="173"/>
      <c r="Y7" s="173"/>
      <c r="Z7" s="173"/>
      <c r="AA7" s="173"/>
      <c r="AB7" s="174"/>
    </row>
    <row r="8" spans="1:68" x14ac:dyDescent="0.4">
      <c r="A8" s="244" t="s">
        <v>228</v>
      </c>
      <c r="B8" s="244"/>
      <c r="C8" s="244"/>
      <c r="D8" s="244"/>
      <c r="E8" s="244"/>
      <c r="F8" s="244"/>
      <c r="G8" s="244"/>
      <c r="H8" s="244"/>
      <c r="I8" s="244"/>
      <c r="J8" s="244"/>
      <c r="K8" s="244"/>
      <c r="L8" s="244"/>
      <c r="M8" s="244"/>
      <c r="N8" s="244"/>
      <c r="O8" s="244"/>
      <c r="P8" s="244"/>
      <c r="Q8" s="244"/>
      <c r="R8" s="244"/>
      <c r="S8" s="244"/>
      <c r="T8" s="244"/>
      <c r="U8" s="244"/>
      <c r="V8" s="244"/>
      <c r="W8" s="244"/>
      <c r="X8" s="244"/>
      <c r="Y8" s="244"/>
      <c r="Z8" s="244"/>
      <c r="AA8" s="244"/>
      <c r="AB8" s="244"/>
    </row>
    <row r="9" spans="1:68" ht="1.5" customHeight="1" x14ac:dyDescent="0.4">
      <c r="A9" s="173"/>
      <c r="B9" s="173"/>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row>
    <row r="10" spans="1:68" ht="73.5" x14ac:dyDescent="0.4">
      <c r="A10" s="173"/>
      <c r="B10" s="175" t="str">
        <f>Tabla2[[#Headers],[10/5/2021]]</f>
        <v>10/5/2021</v>
      </c>
      <c r="C10" s="175" t="str">
        <f>Tabla2[[#Headers],[12/5/2021]]</f>
        <v>12/5/2021</v>
      </c>
      <c r="D10" s="175" t="str">
        <f>Tabla2[[#Headers],[17/5/2021]]</f>
        <v>17/5/2021</v>
      </c>
      <c r="E10" s="175" t="str">
        <f>Tabla2[[#Headers],[19/5/2021]]</f>
        <v>19/5/2021</v>
      </c>
      <c r="F10" s="175" t="str">
        <f>Tabla2[[#Headers],[24/5/2021]]</f>
        <v>24/5/2021</v>
      </c>
      <c r="G10" s="175" t="str">
        <f>Tabla2[[#Headers],[26/5/2021]]</f>
        <v>26/5/2021</v>
      </c>
      <c r="H10" s="175" t="str">
        <f>Tabla2[[#Headers],[31/5/2021]]</f>
        <v>31/5/2021</v>
      </c>
      <c r="I10" s="175" t="str">
        <f>Tabla2[[#Headers],[28/6/2021]]</f>
        <v>28/6/2021</v>
      </c>
      <c r="J10" s="175" t="str">
        <f>Tabla2[[#Headers],[30/6/2021]]</f>
        <v>30/6/2021</v>
      </c>
      <c r="K10" s="175" t="str">
        <f>Tabla2[[#Headers],[5/7/2021]]</f>
        <v>5/7/2021</v>
      </c>
      <c r="L10" s="175" t="str">
        <f>Tabla2[[#Headers],[7/7/2021]]</f>
        <v>7/7/2021</v>
      </c>
      <c r="M10" s="175" t="str">
        <f>Tabla2[[#Headers],[12/7/2021]]</f>
        <v>12/7/2021</v>
      </c>
      <c r="N10" s="175" t="str">
        <f>Tabla2[[#Headers],[14/7/2021]]</f>
        <v>14/7/2021</v>
      </c>
      <c r="O10" s="175" t="str">
        <f>Tabla2[[#Headers],[19/7/2021]]</f>
        <v>19/7/2021</v>
      </c>
      <c r="P10" s="175" t="str">
        <f>Tabla2[[#Headers],[26/7/2021]]</f>
        <v>26/7/2021</v>
      </c>
      <c r="Q10" s="175" t="str">
        <f>Tabla2[[#Headers],[28/7/2021]]</f>
        <v>28/7/2021</v>
      </c>
      <c r="R10" s="175" t="str">
        <f>Tabla2[[#Headers],[2/8/2021]]</f>
        <v>2/8/2021</v>
      </c>
      <c r="S10" s="175" t="str">
        <f>Tabla2[[#Headers],[4/8/2021]]</f>
        <v>4/8/2021</v>
      </c>
      <c r="T10" s="175" t="str">
        <f>Tabla2[[#Headers],[9/8/2021]]</f>
        <v>9/8/2021</v>
      </c>
      <c r="U10" s="175" t="str">
        <f>Tabla2[[#Headers],[11/8/2021]]</f>
        <v>11/8/2021</v>
      </c>
      <c r="V10" s="175" t="str">
        <f>'[1]ASIS 2 TRIM'!BA7</f>
        <v>Asist. (A)</v>
      </c>
      <c r="W10" s="175" t="str">
        <f>'[1]ASIS 2 TRIM'!BB7</f>
        <v>Faltas (F)</v>
      </c>
      <c r="X10" s="175" t="str">
        <f>'[1]ASIS 2 TRIM'!BC7</f>
        <v>Retrasos (R)</v>
      </c>
      <c r="Y10" s="175" t="str">
        <f>'[1]ASIS 2 TRIM'!BD7</f>
        <v>Licencias (L)</v>
      </c>
      <c r="Z10" s="175" t="str">
        <f>'[1]ASIS 2 TRIM'!BE7</f>
        <v>DÍAS TRABAJADOS</v>
      </c>
      <c r="AA10" s="173"/>
      <c r="AB10" s="173"/>
    </row>
    <row r="11" spans="1:68" x14ac:dyDescent="0.4">
      <c r="A11" s="173"/>
      <c r="B11" s="176" t="str">
        <f>VLOOKUP($F$5,Tabla2[[NÓMINA DE ESTUDIANTES]:[DÍAS TRABAJADOS]],1+AE11,FALSE)</f>
        <v>f</v>
      </c>
      <c r="C11" s="176" t="str">
        <f>VLOOKUP($F$5,Tabla2[[NÓMINA DE ESTUDIANTES]:[DÍAS TRABAJADOS]],1+AF11,FALSE)</f>
        <v>f</v>
      </c>
      <c r="D11" s="176" t="str">
        <f>VLOOKUP($F$5,Tabla2[[NÓMINA DE ESTUDIANTES]:[DÍAS TRABAJADOS]],1+AG11,FALSE)</f>
        <v>f</v>
      </c>
      <c r="E11" s="176" t="str">
        <f>VLOOKUP($F$5,Tabla2[[NÓMINA DE ESTUDIANTES]:[DÍAS TRABAJADOS]],1+AH11,FALSE)</f>
        <v>f</v>
      </c>
      <c r="F11" s="176" t="str">
        <f>VLOOKUP($F$5,Tabla2[[NÓMINA DE ESTUDIANTES]:[DÍAS TRABAJADOS]],1+AI11,FALSE)</f>
        <v>f</v>
      </c>
      <c r="G11" s="176" t="str">
        <f>VLOOKUP($F$5,Tabla2[[NÓMINA DE ESTUDIANTES]:[DÍAS TRABAJADOS]],1+AJ11,FALSE)</f>
        <v>a</v>
      </c>
      <c r="H11" s="176" t="str">
        <f>VLOOKUP($F$5,Tabla2[[NÓMINA DE ESTUDIANTES]:[DÍAS TRABAJADOS]],1+AK11,FALSE)</f>
        <v>a</v>
      </c>
      <c r="I11" s="176" t="str">
        <f>VLOOKUP($F$5,Tabla2[[NÓMINA DE ESTUDIANTES]:[DÍAS TRABAJADOS]],1+AL11,FALSE)</f>
        <v>f</v>
      </c>
      <c r="J11" s="176" t="str">
        <f>VLOOKUP($F$5,Tabla2[[NÓMINA DE ESTUDIANTES]:[DÍAS TRABAJADOS]],1+AM11,FALSE)</f>
        <v>a</v>
      </c>
      <c r="K11" s="176" t="str">
        <f>VLOOKUP($F$5,Tabla2[[NÓMINA DE ESTUDIANTES]:[DÍAS TRABAJADOS]],1+AN11,FALSE)</f>
        <v>a</v>
      </c>
      <c r="L11" s="176" t="str">
        <f>VLOOKUP($F$5,Tabla2[[NÓMINA DE ESTUDIANTES]:[DÍAS TRABAJADOS]],1+AO11,FALSE)</f>
        <v>a</v>
      </c>
      <c r="M11" s="176" t="str">
        <f>VLOOKUP($F$5,Tabla2[[NÓMINA DE ESTUDIANTES]:[DÍAS TRABAJADOS]],1+AP11,FALSE)</f>
        <v>f</v>
      </c>
      <c r="N11" s="176" t="str">
        <f>VLOOKUP($F$5,Tabla2[[NÓMINA DE ESTUDIANTES]:[DÍAS TRABAJADOS]],1+AQ11,FALSE)</f>
        <v>f</v>
      </c>
      <c r="O11" s="176" t="str">
        <f>VLOOKUP($F$5,Tabla2[[NÓMINA DE ESTUDIANTES]:[DÍAS TRABAJADOS]],1+AR11,FALSE)</f>
        <v>a</v>
      </c>
      <c r="P11" s="176" t="str">
        <f>VLOOKUP($F$5,Tabla2[[NÓMINA DE ESTUDIANTES]:[DÍAS TRABAJADOS]],1+AS11,FALSE)</f>
        <v>f</v>
      </c>
      <c r="Q11" s="176" t="str">
        <f>VLOOKUP($F$5,Tabla2[[NÓMINA DE ESTUDIANTES]:[DÍAS TRABAJADOS]],1+AT11,FALSE)</f>
        <v>a</v>
      </c>
      <c r="R11" s="176" t="str">
        <f>VLOOKUP($F$5,Tabla2[[NÓMINA DE ESTUDIANTES]:[DÍAS TRABAJADOS]],1+AU11,FALSE)</f>
        <v>a</v>
      </c>
      <c r="S11" s="176" t="str">
        <f>VLOOKUP($F$5,Tabla2[[NÓMINA DE ESTUDIANTES]:[DÍAS TRABAJADOS]],1+AV11,FALSE)</f>
        <v>a</v>
      </c>
      <c r="T11" s="176" t="str">
        <f>VLOOKUP($F$5,Tabla2[[NÓMINA DE ESTUDIANTES]:[DÍAS TRABAJADOS]],1+AW11,FALSE)</f>
        <v>f</v>
      </c>
      <c r="U11" s="176" t="str">
        <f>VLOOKUP($F$5,Tabla2[[NÓMINA DE ESTUDIANTES]:[DÍAS TRABAJADOS]],1+AX11,FALSE)</f>
        <v>f</v>
      </c>
      <c r="V11" s="176">
        <f>VLOOKUP($F$5,Tabla2[[NÓMINA DE ESTUDIANTES]:[DÍAS TRABAJADOS]],51+AE11,FALSE)</f>
        <v>14</v>
      </c>
      <c r="W11" s="176">
        <f>VLOOKUP($F$5,Tabla2[[NÓMINA DE ESTUDIANTES]:[DÍAS TRABAJADOS]],51+AF11,FALSE)</f>
        <v>15</v>
      </c>
      <c r="X11" s="176" t="str">
        <f>VLOOKUP($F$5,Tabla2[[NÓMINA DE ESTUDIANTES]:[DÍAS TRABAJADOS]],51+AG11,FALSE)</f>
        <v>0</v>
      </c>
      <c r="Y11" s="176" t="str">
        <f>VLOOKUP($F$5,Tabla2[[NÓMINA DE ESTUDIANTES]:[DÍAS TRABAJADOS]],51+AH11,FALSE)</f>
        <v>0</v>
      </c>
      <c r="Z11" s="176">
        <f>VLOOKUP($F$5,Tabla2[[NÓMINA DE ESTUDIANTES]:[DÍAS TRABAJADOS]],51+AI11,FALSE)</f>
        <v>29</v>
      </c>
      <c r="AA11" s="173"/>
      <c r="AB11" s="173"/>
      <c r="AE11" s="177">
        <v>1</v>
      </c>
      <c r="AF11" s="177">
        <f>AE11+1</f>
        <v>2</v>
      </c>
      <c r="AG11" s="177">
        <f t="shared" ref="AG11:BP11" si="0">AF11+1</f>
        <v>3</v>
      </c>
      <c r="AH11" s="177">
        <f t="shared" si="0"/>
        <v>4</v>
      </c>
      <c r="AI11" s="177">
        <f t="shared" si="0"/>
        <v>5</v>
      </c>
      <c r="AJ11" s="177">
        <f t="shared" si="0"/>
        <v>6</v>
      </c>
      <c r="AK11" s="177">
        <f t="shared" si="0"/>
        <v>7</v>
      </c>
      <c r="AL11" s="177">
        <f t="shared" si="0"/>
        <v>8</v>
      </c>
      <c r="AM11" s="177">
        <f t="shared" si="0"/>
        <v>9</v>
      </c>
      <c r="AN11" s="177">
        <f t="shared" si="0"/>
        <v>10</v>
      </c>
      <c r="AO11" s="177">
        <f t="shared" si="0"/>
        <v>11</v>
      </c>
      <c r="AP11" s="177">
        <f t="shared" si="0"/>
        <v>12</v>
      </c>
      <c r="AQ11" s="177">
        <f t="shared" si="0"/>
        <v>13</v>
      </c>
      <c r="AR11" s="177">
        <f t="shared" si="0"/>
        <v>14</v>
      </c>
      <c r="AS11" s="177">
        <f t="shared" si="0"/>
        <v>15</v>
      </c>
      <c r="AT11" s="177">
        <f t="shared" si="0"/>
        <v>16</v>
      </c>
      <c r="AU11" s="177">
        <f t="shared" si="0"/>
        <v>17</v>
      </c>
      <c r="AV11" s="177">
        <f t="shared" si="0"/>
        <v>18</v>
      </c>
      <c r="AW11" s="177">
        <f t="shared" si="0"/>
        <v>19</v>
      </c>
      <c r="AX11" s="177">
        <f t="shared" si="0"/>
        <v>20</v>
      </c>
      <c r="AY11" s="177">
        <f t="shared" si="0"/>
        <v>21</v>
      </c>
      <c r="AZ11" s="177">
        <f t="shared" si="0"/>
        <v>22</v>
      </c>
      <c r="BA11" s="177">
        <f t="shared" si="0"/>
        <v>23</v>
      </c>
      <c r="BB11" s="177">
        <f t="shared" si="0"/>
        <v>24</v>
      </c>
      <c r="BC11" s="177">
        <f t="shared" si="0"/>
        <v>25</v>
      </c>
      <c r="BD11" s="177">
        <f t="shared" si="0"/>
        <v>26</v>
      </c>
      <c r="BE11" s="177">
        <f t="shared" si="0"/>
        <v>27</v>
      </c>
      <c r="BF11" s="177">
        <f t="shared" si="0"/>
        <v>28</v>
      </c>
      <c r="BG11" s="177">
        <f t="shared" si="0"/>
        <v>29</v>
      </c>
      <c r="BH11" s="177">
        <f t="shared" si="0"/>
        <v>30</v>
      </c>
      <c r="BI11" s="177">
        <f t="shared" si="0"/>
        <v>31</v>
      </c>
      <c r="BJ11" s="177">
        <f t="shared" si="0"/>
        <v>32</v>
      </c>
      <c r="BK11" s="177">
        <f t="shared" si="0"/>
        <v>33</v>
      </c>
      <c r="BL11" s="177">
        <f t="shared" si="0"/>
        <v>34</v>
      </c>
      <c r="BM11" s="177">
        <f t="shared" si="0"/>
        <v>35</v>
      </c>
      <c r="BN11" s="177">
        <f t="shared" si="0"/>
        <v>36</v>
      </c>
      <c r="BO11" s="177">
        <f t="shared" si="0"/>
        <v>37</v>
      </c>
      <c r="BP11" s="177">
        <f t="shared" si="0"/>
        <v>38</v>
      </c>
    </row>
    <row r="12" spans="1:68" ht="8.25" customHeight="1" x14ac:dyDescent="0.4">
      <c r="A12" s="173"/>
      <c r="B12" s="173"/>
      <c r="C12" s="173"/>
      <c r="D12" s="173"/>
      <c r="E12" s="173"/>
      <c r="F12" s="173"/>
      <c r="G12" s="173"/>
      <c r="H12" s="173"/>
      <c r="I12" s="173"/>
      <c r="J12" s="173"/>
      <c r="K12" s="173"/>
      <c r="L12" s="173"/>
      <c r="M12" s="173"/>
      <c r="N12" s="173"/>
      <c r="O12" s="173"/>
      <c r="P12" s="173"/>
      <c r="Q12" s="173"/>
      <c r="R12" s="173"/>
      <c r="S12" s="173"/>
      <c r="T12" s="173"/>
      <c r="U12" s="173"/>
      <c r="V12" s="173"/>
      <c r="W12" s="173"/>
      <c r="X12" s="173"/>
      <c r="Y12" s="173"/>
      <c r="Z12" s="173"/>
      <c r="AA12" s="173"/>
      <c r="AB12" s="173"/>
    </row>
    <row r="13" spans="1:68" ht="15" customHeight="1" x14ac:dyDescent="0.4">
      <c r="A13" s="245" t="s">
        <v>229</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row>
    <row r="14" spans="1:68" ht="15" customHeight="1" x14ac:dyDescent="0.4">
      <c r="A14" s="245" t="s">
        <v>230</v>
      </c>
      <c r="B14" s="245"/>
      <c r="C14" s="245"/>
      <c r="D14" s="245"/>
      <c r="E14" s="245"/>
      <c r="F14" s="245"/>
      <c r="G14" s="245"/>
      <c r="H14" s="245"/>
      <c r="I14" s="245" t="s">
        <v>231</v>
      </c>
      <c r="J14" s="245"/>
      <c r="K14" s="245" t="s">
        <v>232</v>
      </c>
      <c r="L14" s="245"/>
      <c r="M14" s="245"/>
      <c r="N14" s="245"/>
      <c r="O14" s="245"/>
      <c r="P14" s="245"/>
      <c r="Q14" s="245"/>
      <c r="R14" s="245"/>
      <c r="S14" s="245"/>
      <c r="T14" s="245"/>
      <c r="U14" s="245"/>
      <c r="V14" s="245"/>
      <c r="W14" s="245"/>
      <c r="X14" s="245"/>
      <c r="Y14" s="245"/>
      <c r="Z14" s="245"/>
      <c r="AA14" s="245"/>
      <c r="AB14" s="245"/>
    </row>
    <row r="15" spans="1:68" ht="15" customHeight="1" x14ac:dyDescent="0.4">
      <c r="A15" s="238" t="str">
        <f>'VAL 2 TRIM'!D$8</f>
        <v>24/5/2021 (Cuestionario)</v>
      </c>
      <c r="B15" s="239"/>
      <c r="C15" s="239"/>
      <c r="D15" s="239"/>
      <c r="E15" s="239"/>
      <c r="F15" s="239"/>
      <c r="G15" s="239"/>
      <c r="H15" s="239"/>
      <c r="I15" s="228">
        <f>VLOOKUP($F$5,'VAL 2 TRIM'!$B$9:$Z$32,3,FALSE)</f>
        <v>0</v>
      </c>
      <c r="J15" s="228"/>
      <c r="K15" s="229" t="s">
        <v>248</v>
      </c>
      <c r="L15" s="237"/>
      <c r="M15" s="237"/>
      <c r="N15" s="237"/>
      <c r="O15" s="237"/>
      <c r="P15" s="237"/>
      <c r="Q15" s="237"/>
      <c r="R15" s="237"/>
      <c r="S15" s="237"/>
      <c r="T15" s="237"/>
      <c r="U15" s="237"/>
      <c r="V15" s="237"/>
      <c r="W15" s="237"/>
      <c r="X15" s="237"/>
      <c r="Y15" s="237"/>
      <c r="Z15" s="237"/>
      <c r="AA15" s="237"/>
      <c r="AB15" s="237"/>
      <c r="AC15" s="178">
        <f>IF(I15=0,1,0)</f>
        <v>1</v>
      </c>
      <c r="AD15" s="179">
        <v>1</v>
      </c>
      <c r="AE15" s="179">
        <v>1</v>
      </c>
    </row>
    <row r="16" spans="1:68" ht="15" customHeight="1" x14ac:dyDescent="0.4">
      <c r="A16" s="238" t="str">
        <f>'VAL 2 TRIM'!E$8</f>
        <v>26/05/2021(Defensa Diseño de Interface)</v>
      </c>
      <c r="B16" s="239"/>
      <c r="C16" s="239"/>
      <c r="D16" s="239"/>
      <c r="E16" s="239"/>
      <c r="F16" s="239"/>
      <c r="G16" s="239"/>
      <c r="H16" s="239"/>
      <c r="I16" s="228">
        <f>VLOOKUP($F$5,'VAL 2 TRIM'!$B$9:$Z$32,4,FALSE)</f>
        <v>0</v>
      </c>
      <c r="J16" s="228"/>
      <c r="K16" s="229"/>
      <c r="L16" s="237"/>
      <c r="M16" s="237"/>
      <c r="N16" s="237"/>
      <c r="O16" s="237"/>
      <c r="P16" s="237"/>
      <c r="Q16" s="237"/>
      <c r="R16" s="237"/>
      <c r="S16" s="237"/>
      <c r="T16" s="237"/>
      <c r="U16" s="237"/>
      <c r="V16" s="237"/>
      <c r="W16" s="237"/>
      <c r="X16" s="237"/>
      <c r="Y16" s="237"/>
      <c r="Z16" s="237"/>
      <c r="AA16" s="237"/>
      <c r="AB16" s="237"/>
      <c r="AC16" s="178">
        <f t="shared" ref="AC16:AC19" si="1">IF(I16=0,1,0)</f>
        <v>1</v>
      </c>
      <c r="AD16" s="179">
        <v>1</v>
      </c>
      <c r="AE16" s="179">
        <v>1</v>
      </c>
    </row>
    <row r="17" spans="1:31" ht="15" customHeight="1" x14ac:dyDescent="0.4">
      <c r="A17" s="238" t="str">
        <f>'VAL 2 TRIM'!F$8</f>
        <v>28/06/2021(Repaso)</v>
      </c>
      <c r="B17" s="239"/>
      <c r="C17" s="239"/>
      <c r="D17" s="239"/>
      <c r="E17" s="239"/>
      <c r="F17" s="239"/>
      <c r="G17" s="239"/>
      <c r="H17" s="239"/>
      <c r="I17" s="228">
        <f>VLOOKUP($F$5,'VAL 2 TRIM'!$B$9:$Z$32,5,FALSE)</f>
        <v>0</v>
      </c>
      <c r="J17" s="228"/>
      <c r="K17" s="229" t="s">
        <v>249</v>
      </c>
      <c r="L17" s="230"/>
      <c r="M17" s="230"/>
      <c r="N17" s="230"/>
      <c r="O17" s="230"/>
      <c r="P17" s="230"/>
      <c r="Q17" s="230"/>
      <c r="R17" s="230"/>
      <c r="S17" s="230"/>
      <c r="T17" s="230"/>
      <c r="U17" s="230"/>
      <c r="V17" s="230"/>
      <c r="W17" s="230"/>
      <c r="X17" s="230"/>
      <c r="Y17" s="230"/>
      <c r="Z17" s="230"/>
      <c r="AA17" s="230"/>
      <c r="AB17" s="230"/>
      <c r="AC17" s="178">
        <f t="shared" si="1"/>
        <v>1</v>
      </c>
      <c r="AD17" s="179">
        <v>1</v>
      </c>
      <c r="AE17" s="180"/>
    </row>
    <row r="18" spans="1:31" ht="15" customHeight="1" x14ac:dyDescent="0.4">
      <c r="A18" s="238" t="str">
        <f>'VAL 2 TRIM'!G$8</f>
        <v>9/08/2021(Cuestionario BD)</v>
      </c>
      <c r="B18" s="239"/>
      <c r="C18" s="239"/>
      <c r="D18" s="239"/>
      <c r="E18" s="239"/>
      <c r="F18" s="239"/>
      <c r="G18" s="239"/>
      <c r="H18" s="239"/>
      <c r="I18" s="228">
        <f>VLOOKUP($F$5,'VAL 2 TRIM'!$B$9:$Z$32,6,FALSE)</f>
        <v>0</v>
      </c>
      <c r="J18" s="228"/>
      <c r="K18" s="229" t="s">
        <v>250</v>
      </c>
      <c r="L18" s="230"/>
      <c r="M18" s="230"/>
      <c r="N18" s="230"/>
      <c r="O18" s="230"/>
      <c r="P18" s="230"/>
      <c r="Q18" s="230"/>
      <c r="R18" s="230"/>
      <c r="S18" s="230"/>
      <c r="T18" s="230"/>
      <c r="U18" s="230"/>
      <c r="V18" s="230"/>
      <c r="W18" s="230"/>
      <c r="X18" s="230"/>
      <c r="Y18" s="230"/>
      <c r="Z18" s="230"/>
      <c r="AA18" s="230"/>
      <c r="AB18" s="230"/>
      <c r="AC18" s="178">
        <f t="shared" si="1"/>
        <v>1</v>
      </c>
      <c r="AD18" s="179">
        <v>1</v>
      </c>
      <c r="AE18" s="180"/>
    </row>
    <row r="19" spans="1:31" s="160" customFormat="1" ht="15" customHeight="1" x14ac:dyDescent="0.4">
      <c r="A19" s="238" t="str">
        <f>'VAL 2 TRIM'!H$8</f>
        <v>12/08/2021(Disertacion Programa tres en raya)</v>
      </c>
      <c r="B19" s="239"/>
      <c r="C19" s="239"/>
      <c r="D19" s="239"/>
      <c r="E19" s="239"/>
      <c r="F19" s="239"/>
      <c r="G19" s="239"/>
      <c r="H19" s="239"/>
      <c r="I19" s="228">
        <f>VLOOKUP($F$5,'VAL 2 TRIM'!$B$9:$Z$32,7,FALSE)</f>
        <v>30</v>
      </c>
      <c r="J19" s="228"/>
      <c r="K19" s="230"/>
      <c r="L19" s="230"/>
      <c r="M19" s="230"/>
      <c r="N19" s="230"/>
      <c r="O19" s="230"/>
      <c r="P19" s="230"/>
      <c r="Q19" s="230"/>
      <c r="R19" s="230"/>
      <c r="S19" s="230"/>
      <c r="T19" s="230"/>
      <c r="U19" s="230"/>
      <c r="V19" s="230"/>
      <c r="W19" s="230"/>
      <c r="X19" s="230"/>
      <c r="Y19" s="230"/>
      <c r="Z19" s="230"/>
      <c r="AA19" s="230"/>
      <c r="AB19" s="230"/>
      <c r="AC19" s="178">
        <f t="shared" si="1"/>
        <v>0</v>
      </c>
      <c r="AD19" s="179">
        <v>1</v>
      </c>
      <c r="AE19" s="180"/>
    </row>
    <row r="20" spans="1:31" ht="15" customHeight="1" x14ac:dyDescent="0.4">
      <c r="A20" s="234" t="s">
        <v>83</v>
      </c>
      <c r="B20" s="227"/>
      <c r="C20" s="227"/>
      <c r="D20" s="227"/>
      <c r="E20" s="227"/>
      <c r="F20" s="227"/>
      <c r="G20" s="227"/>
      <c r="H20" s="227"/>
      <c r="I20" s="235">
        <f>SUM(I15:J19)/5</f>
        <v>6</v>
      </c>
      <c r="J20" s="235"/>
      <c r="K20" s="228"/>
      <c r="L20" s="228"/>
      <c r="M20" s="228"/>
      <c r="N20" s="228"/>
      <c r="O20" s="228"/>
      <c r="P20" s="228"/>
      <c r="Q20" s="228"/>
      <c r="R20" s="228"/>
      <c r="S20" s="228"/>
      <c r="T20" s="228"/>
      <c r="U20" s="228"/>
      <c r="V20" s="228"/>
      <c r="W20" s="228"/>
      <c r="X20" s="228"/>
      <c r="Y20" s="228"/>
      <c r="Z20" s="228"/>
      <c r="AA20" s="228"/>
      <c r="AB20" s="228"/>
      <c r="AC20" s="178">
        <f>SUM(AC15:AC19)</f>
        <v>4</v>
      </c>
      <c r="AD20" s="180"/>
      <c r="AE20" s="180"/>
    </row>
    <row r="21" spans="1:31" ht="4.25" customHeight="1" x14ac:dyDescent="0.4">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row>
    <row r="22" spans="1:31" ht="15" customHeight="1" x14ac:dyDescent="0.4">
      <c r="A22" s="245" t="s">
        <v>233</v>
      </c>
      <c r="B22" s="24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245"/>
    </row>
    <row r="23" spans="1:31" ht="15" customHeight="1" x14ac:dyDescent="0.4">
      <c r="A23" s="245" t="s">
        <v>230</v>
      </c>
      <c r="B23" s="245"/>
      <c r="C23" s="245"/>
      <c r="D23" s="245"/>
      <c r="E23" s="245"/>
      <c r="F23" s="245"/>
      <c r="G23" s="245"/>
      <c r="H23" s="245"/>
      <c r="I23" s="245" t="s">
        <v>231</v>
      </c>
      <c r="J23" s="245"/>
      <c r="K23" s="245" t="s">
        <v>232</v>
      </c>
      <c r="L23" s="245"/>
      <c r="M23" s="245"/>
      <c r="N23" s="245"/>
      <c r="O23" s="245"/>
      <c r="P23" s="245"/>
      <c r="Q23" s="245"/>
      <c r="R23" s="245"/>
      <c r="S23" s="245"/>
      <c r="T23" s="245"/>
      <c r="U23" s="245"/>
      <c r="V23" s="245"/>
      <c r="W23" s="245"/>
      <c r="X23" s="245"/>
      <c r="Y23" s="245"/>
      <c r="Z23" s="245"/>
      <c r="AA23" s="245"/>
      <c r="AB23" s="245"/>
    </row>
    <row r="24" spans="1:31" ht="15" customHeight="1" x14ac:dyDescent="0.4">
      <c r="A24" s="227" t="str">
        <f>'VAL 2 TRIM'!P$8</f>
        <v>24/05/2021 (Logica de Funcionamiento de juegos)</v>
      </c>
      <c r="B24" s="227"/>
      <c r="C24" s="227"/>
      <c r="D24" s="227"/>
      <c r="E24" s="227"/>
      <c r="F24" s="227"/>
      <c r="G24" s="227"/>
      <c r="H24" s="227"/>
      <c r="I24" s="228">
        <f>VLOOKUP($F$5,'VAL 2 TRIM'!$B$9:$Z$32,15,FALSE)</f>
        <v>0</v>
      </c>
      <c r="J24" s="228"/>
      <c r="K24" s="229" t="s">
        <v>251</v>
      </c>
      <c r="L24" s="237"/>
      <c r="M24" s="237"/>
      <c r="N24" s="237"/>
      <c r="O24" s="237"/>
      <c r="P24" s="237"/>
      <c r="Q24" s="237"/>
      <c r="R24" s="237"/>
      <c r="S24" s="237"/>
      <c r="T24" s="237"/>
      <c r="U24" s="237"/>
      <c r="V24" s="237"/>
      <c r="W24" s="237"/>
      <c r="X24" s="237"/>
      <c r="Y24" s="237"/>
      <c r="Z24" s="237"/>
      <c r="AA24" s="237"/>
      <c r="AB24" s="237"/>
      <c r="AC24" s="178">
        <f>IF(I24=0,1,0)</f>
        <v>1</v>
      </c>
      <c r="AD24" s="180">
        <v>1</v>
      </c>
      <c r="AE24" s="180">
        <v>1</v>
      </c>
    </row>
    <row r="25" spans="1:31" ht="15" customHeight="1" x14ac:dyDescent="0.4">
      <c r="A25" s="227" t="str">
        <f>'VAL 2 TRIM'!Q$8</f>
        <v>26/05/2021(Diseño de Interface)</v>
      </c>
      <c r="B25" s="227"/>
      <c r="C25" s="227"/>
      <c r="D25" s="227"/>
      <c r="E25" s="227"/>
      <c r="F25" s="227"/>
      <c r="G25" s="227"/>
      <c r="H25" s="227"/>
      <c r="I25" s="228">
        <f>VLOOKUP($F$5,'VAL 2 TRIM'!$B$9:$Z$32,16,FALSE)</f>
        <v>0</v>
      </c>
      <c r="J25" s="228"/>
      <c r="K25" s="229" t="s">
        <v>252</v>
      </c>
      <c r="L25" s="237"/>
      <c r="M25" s="237"/>
      <c r="N25" s="237"/>
      <c r="O25" s="237"/>
      <c r="P25" s="237"/>
      <c r="Q25" s="237"/>
      <c r="R25" s="237"/>
      <c r="S25" s="237"/>
      <c r="T25" s="237"/>
      <c r="U25" s="237"/>
      <c r="V25" s="237"/>
      <c r="W25" s="237"/>
      <c r="X25" s="237"/>
      <c r="Y25" s="237"/>
      <c r="Z25" s="237"/>
      <c r="AA25" s="237"/>
      <c r="AB25" s="237"/>
      <c r="AC25" s="178">
        <f t="shared" ref="AC25:AC32" si="2">IF(I25=0,1,0)</f>
        <v>1</v>
      </c>
      <c r="AD25" s="180">
        <v>1</v>
      </c>
      <c r="AE25" s="180">
        <v>1</v>
      </c>
    </row>
    <row r="26" spans="1:31" ht="15" customHeight="1" x14ac:dyDescent="0.4">
      <c r="A26" s="227" t="str">
        <f>'VAL 2 TRIM'!R$8</f>
        <v>05/07/2021(Imágenes Juego Ahorcado)</v>
      </c>
      <c r="B26" s="227"/>
      <c r="C26" s="227"/>
      <c r="D26" s="227"/>
      <c r="E26" s="227"/>
      <c r="F26" s="227"/>
      <c r="G26" s="227"/>
      <c r="H26" s="227"/>
      <c r="I26" s="228">
        <f>VLOOKUP($F$5,'VAL 2 TRIM'!$B$9:$Z$32,17,FALSE)</f>
        <v>0</v>
      </c>
      <c r="J26" s="228"/>
      <c r="K26" s="229" t="s">
        <v>253</v>
      </c>
      <c r="L26" s="237"/>
      <c r="M26" s="237"/>
      <c r="N26" s="237"/>
      <c r="O26" s="237"/>
      <c r="P26" s="237"/>
      <c r="Q26" s="237"/>
      <c r="R26" s="237"/>
      <c r="S26" s="237"/>
      <c r="T26" s="237"/>
      <c r="U26" s="237"/>
      <c r="V26" s="237"/>
      <c r="W26" s="237"/>
      <c r="X26" s="237"/>
      <c r="Y26" s="237"/>
      <c r="Z26" s="237"/>
      <c r="AA26" s="237"/>
      <c r="AB26" s="237"/>
      <c r="AC26" s="178">
        <f t="shared" si="2"/>
        <v>1</v>
      </c>
      <c r="AD26" s="178">
        <v>1</v>
      </c>
      <c r="AE26" s="180">
        <v>1</v>
      </c>
    </row>
    <row r="27" spans="1:31" ht="15" customHeight="1" x14ac:dyDescent="0.4">
      <c r="A27" s="233" t="str">
        <f>'VAL 2 TRIM'!S$8</f>
        <v>07/07/2021(Diseño de Botones)</v>
      </c>
      <c r="B27" s="227"/>
      <c r="C27" s="227"/>
      <c r="D27" s="227"/>
      <c r="E27" s="227"/>
      <c r="F27" s="227"/>
      <c r="G27" s="227"/>
      <c r="H27" s="227"/>
      <c r="I27" s="228">
        <f>VLOOKUP($F$5,'VAL 2 TRIM'!$B$9:$Z$32,18,FALSE)</f>
        <v>0</v>
      </c>
      <c r="J27" s="228"/>
      <c r="K27" s="229" t="s">
        <v>254</v>
      </c>
      <c r="L27" s="230"/>
      <c r="M27" s="230"/>
      <c r="N27" s="230"/>
      <c r="O27" s="230"/>
      <c r="P27" s="230"/>
      <c r="Q27" s="230"/>
      <c r="R27" s="230"/>
      <c r="S27" s="230"/>
      <c r="T27" s="230"/>
      <c r="U27" s="230"/>
      <c r="V27" s="230"/>
      <c r="W27" s="230"/>
      <c r="X27" s="230"/>
      <c r="Y27" s="230"/>
      <c r="Z27" s="230"/>
      <c r="AA27" s="230"/>
      <c r="AB27" s="230"/>
      <c r="AC27" s="178">
        <f t="shared" si="2"/>
        <v>1</v>
      </c>
      <c r="AD27" s="178">
        <v>1</v>
      </c>
      <c r="AE27" s="180"/>
    </row>
    <row r="28" spans="1:31" ht="15" customHeight="1" x14ac:dyDescent="0.4">
      <c r="A28" s="227" t="str">
        <f>'VAL 2 TRIM'!T$8</f>
        <v>14/07/2021(Diagrama de Flujo)</v>
      </c>
      <c r="B28" s="227"/>
      <c r="C28" s="227"/>
      <c r="D28" s="227"/>
      <c r="E28" s="227"/>
      <c r="F28" s="227"/>
      <c r="G28" s="227"/>
      <c r="H28" s="227"/>
      <c r="I28" s="228">
        <f>VLOOKUP($F$5,'VAL 2 TRIM'!$B$9:$Z$32,19,FALSE)</f>
        <v>0</v>
      </c>
      <c r="J28" s="228"/>
      <c r="K28" s="229" t="s">
        <v>255</v>
      </c>
      <c r="L28" s="230"/>
      <c r="M28" s="230"/>
      <c r="N28" s="230"/>
      <c r="O28" s="230"/>
      <c r="P28" s="230"/>
      <c r="Q28" s="230"/>
      <c r="R28" s="230"/>
      <c r="S28" s="230"/>
      <c r="T28" s="230"/>
      <c r="U28" s="230"/>
      <c r="V28" s="230"/>
      <c r="W28" s="230"/>
      <c r="X28" s="230"/>
      <c r="Y28" s="230"/>
      <c r="Z28" s="230"/>
      <c r="AA28" s="230"/>
      <c r="AB28" s="230"/>
      <c r="AC28" s="178">
        <f t="shared" si="2"/>
        <v>1</v>
      </c>
      <c r="AD28" s="181">
        <v>1</v>
      </c>
      <c r="AE28" s="182">
        <f>SUM(AE15:AE26)</f>
        <v>5</v>
      </c>
    </row>
    <row r="29" spans="1:31" s="160" customFormat="1" ht="15" customHeight="1" x14ac:dyDescent="0.4">
      <c r="A29" s="227" t="str">
        <f>'VAL 2 TRIM'!U$8</f>
        <v>19/07/2021(Funcion)</v>
      </c>
      <c r="B29" s="227"/>
      <c r="C29" s="227"/>
      <c r="D29" s="227"/>
      <c r="E29" s="227"/>
      <c r="F29" s="227"/>
      <c r="G29" s="227"/>
      <c r="H29" s="227"/>
      <c r="I29" s="228">
        <f>VLOOKUP($F$5,'VAL 2 TRIM'!$B$9:$Z$32,20,FALSE)</f>
        <v>0</v>
      </c>
      <c r="J29" s="228"/>
      <c r="K29" s="229" t="s">
        <v>256</v>
      </c>
      <c r="L29" s="230"/>
      <c r="M29" s="230"/>
      <c r="N29" s="230"/>
      <c r="O29" s="230"/>
      <c r="P29" s="230"/>
      <c r="Q29" s="230"/>
      <c r="R29" s="230"/>
      <c r="S29" s="230"/>
      <c r="T29" s="230"/>
      <c r="U29" s="230"/>
      <c r="V29" s="230"/>
      <c r="W29" s="230"/>
      <c r="X29" s="230"/>
      <c r="Y29" s="230"/>
      <c r="Z29" s="230"/>
      <c r="AA29" s="230"/>
      <c r="AB29" s="230"/>
      <c r="AC29" s="178">
        <f t="shared" si="2"/>
        <v>1</v>
      </c>
      <c r="AD29" s="178">
        <v>1</v>
      </c>
      <c r="AE29" s="180"/>
    </row>
    <row r="30" spans="1:31" s="160" customFormat="1" ht="15" customHeight="1" x14ac:dyDescent="0.4">
      <c r="A30" s="227" t="str">
        <f>'VAL 2 TRIM'!V$8</f>
        <v>28/07/2021(Base de datos Access)</v>
      </c>
      <c r="B30" s="227"/>
      <c r="C30" s="227"/>
      <c r="D30" s="227"/>
      <c r="E30" s="227"/>
      <c r="F30" s="227"/>
      <c r="G30" s="227"/>
      <c r="H30" s="227"/>
      <c r="I30" s="228">
        <f>VLOOKUP($F$5,'VAL 2 TRIM'!$B$9:$Z$32,21,FALSE)</f>
        <v>0</v>
      </c>
      <c r="J30" s="228"/>
      <c r="K30" s="229" t="s">
        <v>257</v>
      </c>
      <c r="L30" s="230"/>
      <c r="M30" s="230"/>
      <c r="N30" s="230"/>
      <c r="O30" s="230"/>
      <c r="P30" s="230"/>
      <c r="Q30" s="230"/>
      <c r="R30" s="230"/>
      <c r="S30" s="230"/>
      <c r="T30" s="230"/>
      <c r="U30" s="230"/>
      <c r="V30" s="230"/>
      <c r="W30" s="230"/>
      <c r="X30" s="230"/>
      <c r="Y30" s="230"/>
      <c r="Z30" s="230"/>
      <c r="AA30" s="230"/>
      <c r="AB30" s="230"/>
      <c r="AC30" s="178">
        <f t="shared" si="2"/>
        <v>1</v>
      </c>
      <c r="AD30" s="178">
        <v>1</v>
      </c>
      <c r="AE30" s="183"/>
    </row>
    <row r="31" spans="1:31" s="160" customFormat="1" ht="15" customHeight="1" x14ac:dyDescent="0.4">
      <c r="A31" s="227" t="str">
        <f>'VAL 2 TRIM'!W$8</f>
        <v>09/08/2021(CRUD)</v>
      </c>
      <c r="B31" s="227"/>
      <c r="C31" s="227"/>
      <c r="D31" s="227"/>
      <c r="E31" s="227"/>
      <c r="F31" s="227"/>
      <c r="G31" s="227"/>
      <c r="H31" s="227"/>
      <c r="I31" s="228">
        <f>VLOOKUP($F$5,'VAL 2 TRIM'!$B$9:$Z$32,22,FALSE)</f>
        <v>0</v>
      </c>
      <c r="J31" s="228"/>
      <c r="K31" s="229" t="s">
        <v>258</v>
      </c>
      <c r="L31" s="230"/>
      <c r="M31" s="230"/>
      <c r="N31" s="230"/>
      <c r="O31" s="230"/>
      <c r="P31" s="230"/>
      <c r="Q31" s="230"/>
      <c r="R31" s="230"/>
      <c r="S31" s="230"/>
      <c r="T31" s="230"/>
      <c r="U31" s="230"/>
      <c r="V31" s="230"/>
      <c r="W31" s="230"/>
      <c r="X31" s="230"/>
      <c r="Y31" s="230"/>
      <c r="Z31" s="230"/>
      <c r="AA31" s="230"/>
      <c r="AB31" s="230"/>
      <c r="AC31" s="178">
        <f t="shared" si="2"/>
        <v>1</v>
      </c>
      <c r="AD31" s="178">
        <v>1</v>
      </c>
      <c r="AE31" s="183"/>
    </row>
    <row r="32" spans="1:31" ht="15" customHeight="1" x14ac:dyDescent="0.4">
      <c r="A32" s="227" t="str">
        <f>'VAL 2 TRIM'!X$8</f>
        <v>12/08/2021 (Trabajo 3 en Raya)</v>
      </c>
      <c r="B32" s="227"/>
      <c r="C32" s="227"/>
      <c r="D32" s="227"/>
      <c r="E32" s="227"/>
      <c r="F32" s="227"/>
      <c r="G32" s="227"/>
      <c r="H32" s="227"/>
      <c r="I32" s="228">
        <f>VLOOKUP($F$5,'VAL 2 TRIM'!$B$9:$Z$32,23,FALSE)</f>
        <v>25</v>
      </c>
      <c r="J32" s="228"/>
      <c r="K32" s="231"/>
      <c r="L32" s="232"/>
      <c r="M32" s="232"/>
      <c r="N32" s="232"/>
      <c r="O32" s="232"/>
      <c r="P32" s="232"/>
      <c r="Q32" s="232"/>
      <c r="R32" s="232"/>
      <c r="S32" s="232"/>
      <c r="T32" s="232"/>
      <c r="U32" s="232"/>
      <c r="V32" s="232"/>
      <c r="W32" s="232"/>
      <c r="X32" s="232"/>
      <c r="Y32" s="232"/>
      <c r="Z32" s="232"/>
      <c r="AA32" s="232"/>
      <c r="AB32" s="232"/>
      <c r="AC32" s="178">
        <f t="shared" si="2"/>
        <v>0</v>
      </c>
      <c r="AD32" s="178">
        <v>1</v>
      </c>
      <c r="AE32" s="183"/>
    </row>
    <row r="33" spans="1:31" ht="15" customHeight="1" x14ac:dyDescent="0.4">
      <c r="A33" s="234" t="s">
        <v>83</v>
      </c>
      <c r="B33" s="227"/>
      <c r="C33" s="227"/>
      <c r="D33" s="227"/>
      <c r="E33" s="227"/>
      <c r="F33" s="227"/>
      <c r="G33" s="227"/>
      <c r="H33" s="227"/>
      <c r="I33" s="235">
        <f>SUM(I24:J32)/9</f>
        <v>2.7777777777777777</v>
      </c>
      <c r="J33" s="235"/>
      <c r="K33" s="236"/>
      <c r="L33" s="236"/>
      <c r="M33" s="236"/>
      <c r="N33" s="236"/>
      <c r="O33" s="236"/>
      <c r="P33" s="236"/>
      <c r="Q33" s="236"/>
      <c r="R33" s="236"/>
      <c r="S33" s="236"/>
      <c r="T33" s="236"/>
      <c r="U33" s="236"/>
      <c r="V33" s="236"/>
      <c r="W33" s="236"/>
      <c r="X33" s="236"/>
      <c r="Y33" s="236"/>
      <c r="Z33" s="236"/>
      <c r="AA33" s="236"/>
      <c r="AB33" s="236"/>
      <c r="AC33" s="184">
        <f>SUM(AC24:AC32)</f>
        <v>8</v>
      </c>
      <c r="AD33" s="189">
        <f>SUM(AD15:AD32)</f>
        <v>14</v>
      </c>
      <c r="AE33" s="183"/>
    </row>
    <row r="34" spans="1:31" x14ac:dyDescent="0.4">
      <c r="A34" s="225"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Observaciones:El estudiante  ADRIAN FLORES EDDY BEYMAR  durante el segundo trimestre tuvo 14 Asistencias, 15 Faltas, 0 Retrasos, 0 Licencias,  Total de Dias Trabajados 29, En relacion a las practicas No presentó 12 Practicas de las 14  tareas (El estudiante puede presentar practicas por una ponderacion de 20 puntos)</v>
      </c>
      <c r="B34" s="225"/>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178">
        <f>AC20+AC33</f>
        <v>12</v>
      </c>
    </row>
    <row r="35" spans="1:31" x14ac:dyDescent="0.4">
      <c r="A35" s="226"/>
      <c r="B35" s="226"/>
      <c r="C35" s="226"/>
      <c r="D35" s="226"/>
      <c r="E35" s="226"/>
      <c r="F35" s="226"/>
      <c r="G35" s="226"/>
      <c r="H35" s="226"/>
      <c r="I35" s="226"/>
      <c r="J35" s="226"/>
      <c r="K35" s="226"/>
      <c r="L35" s="226"/>
      <c r="M35" s="226"/>
      <c r="N35" s="226"/>
      <c r="O35" s="226"/>
      <c r="P35" s="226"/>
      <c r="Q35" s="226"/>
      <c r="R35" s="226"/>
      <c r="S35" s="226"/>
      <c r="T35" s="226"/>
      <c r="U35" s="226"/>
      <c r="V35" s="226"/>
      <c r="W35" s="226"/>
      <c r="X35" s="226"/>
      <c r="Y35" s="226"/>
      <c r="Z35" s="226"/>
      <c r="AA35" s="226"/>
      <c r="AB35" s="226"/>
    </row>
    <row r="36" spans="1:31" x14ac:dyDescent="0.4">
      <c r="A36" s="173"/>
      <c r="B36" s="173"/>
      <c r="C36" s="173"/>
      <c r="D36" s="173"/>
      <c r="E36" s="173"/>
      <c r="F36" s="173"/>
      <c r="G36" s="173"/>
      <c r="H36" s="173"/>
      <c r="I36" s="173"/>
      <c r="J36" s="173"/>
      <c r="K36" s="173"/>
      <c r="L36" s="173"/>
      <c r="M36" s="173"/>
      <c r="N36" s="173"/>
      <c r="O36" s="173"/>
      <c r="P36" s="173"/>
      <c r="Q36" s="173"/>
      <c r="R36" s="173"/>
      <c r="S36" s="173"/>
      <c r="T36" s="173"/>
      <c r="U36" s="173"/>
      <c r="V36" s="173"/>
      <c r="W36" s="173"/>
      <c r="X36" s="173"/>
      <c r="Y36" s="173"/>
      <c r="Z36" s="173"/>
      <c r="AA36" s="173"/>
      <c r="AB36" s="173"/>
    </row>
    <row r="37" spans="1:31" x14ac:dyDescent="0.4">
      <c r="A37" s="173"/>
      <c r="B37" s="173"/>
      <c r="C37" s="173"/>
      <c r="D37" s="173"/>
      <c r="E37" s="173"/>
      <c r="F37" s="173"/>
      <c r="G37" s="173"/>
      <c r="H37" s="173"/>
      <c r="I37" s="173"/>
      <c r="J37" s="173"/>
      <c r="K37" s="173"/>
      <c r="L37" s="173"/>
      <c r="M37" s="173"/>
      <c r="N37" s="173"/>
      <c r="O37" s="173"/>
      <c r="P37" s="173"/>
      <c r="Q37" s="173"/>
      <c r="R37" s="173"/>
      <c r="S37" s="173"/>
      <c r="T37" s="173"/>
      <c r="U37" s="173"/>
      <c r="V37" s="173"/>
      <c r="W37" s="173"/>
      <c r="X37" s="173"/>
      <c r="Y37" s="173"/>
      <c r="Z37" s="173"/>
      <c r="AA37" s="173"/>
      <c r="AB37" s="173"/>
    </row>
    <row r="38" spans="1:31" x14ac:dyDescent="0.4">
      <c r="A38" s="173"/>
      <c r="B38" s="173"/>
      <c r="C38" s="173"/>
      <c r="D38" s="173"/>
      <c r="E38" s="173"/>
      <c r="F38" s="173"/>
      <c r="G38" s="173"/>
      <c r="H38" s="173"/>
      <c r="I38" s="173"/>
      <c r="J38" s="173"/>
      <c r="K38" s="173"/>
      <c r="L38" s="173"/>
      <c r="M38" s="173"/>
      <c r="N38" s="173"/>
      <c r="O38" s="173"/>
      <c r="P38" s="173"/>
      <c r="Q38" s="173"/>
      <c r="R38" s="173"/>
      <c r="S38" s="173"/>
      <c r="T38" s="173"/>
      <c r="U38" s="173"/>
      <c r="V38" s="173"/>
      <c r="W38" s="173"/>
      <c r="X38" s="173"/>
      <c r="Y38" s="173"/>
      <c r="Z38" s="173"/>
      <c r="AA38" s="173"/>
      <c r="AB38" s="173"/>
    </row>
    <row r="39" spans="1:31" x14ac:dyDescent="0.4">
      <c r="A39" s="173"/>
      <c r="B39" s="173"/>
      <c r="C39" s="17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row>
  </sheetData>
  <mergeCells count="70">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 ref="A2:AB2"/>
    <mergeCell ref="A4:E4"/>
    <mergeCell ref="F4:N4"/>
    <mergeCell ref="O4:Q4"/>
    <mergeCell ref="R4:Z4"/>
    <mergeCell ref="AA4:AA5"/>
    <mergeCell ref="AB4:AB5"/>
    <mergeCell ref="A5:E5"/>
    <mergeCell ref="F5:Z5"/>
    <mergeCell ref="A6:E6"/>
    <mergeCell ref="F6:Z6"/>
    <mergeCell ref="A8:AB8"/>
    <mergeCell ref="A13:AB13"/>
    <mergeCell ref="A14:H14"/>
    <mergeCell ref="I14:J14"/>
    <mergeCell ref="K14:AB14"/>
    <mergeCell ref="AA6:AB6"/>
    <mergeCell ref="A15:H15"/>
    <mergeCell ref="I15:J15"/>
    <mergeCell ref="K15:AB15"/>
    <mergeCell ref="A16:H16"/>
    <mergeCell ref="I16:J16"/>
    <mergeCell ref="K16:AB16"/>
    <mergeCell ref="A17:H17"/>
    <mergeCell ref="I17:J17"/>
    <mergeCell ref="K17:AB17"/>
    <mergeCell ref="A18:H18"/>
    <mergeCell ref="I18:J18"/>
    <mergeCell ref="K18:AB18"/>
    <mergeCell ref="A25:H25"/>
    <mergeCell ref="I25:J25"/>
    <mergeCell ref="K25:AB25"/>
    <mergeCell ref="A26:H26"/>
    <mergeCell ref="I26:J26"/>
    <mergeCell ref="K26:AB26"/>
    <mergeCell ref="A27:H27"/>
    <mergeCell ref="I27:J27"/>
    <mergeCell ref="K27:AB27"/>
    <mergeCell ref="A33:H33"/>
    <mergeCell ref="I33:J33"/>
    <mergeCell ref="K33:AB33"/>
    <mergeCell ref="A34:AB35"/>
    <mergeCell ref="A28:H28"/>
    <mergeCell ref="I28:J28"/>
    <mergeCell ref="K28:AB28"/>
    <mergeCell ref="A32:H32"/>
    <mergeCell ref="I32:J32"/>
    <mergeCell ref="K32:AB32"/>
    <mergeCell ref="A30:H30"/>
    <mergeCell ref="I30:J30"/>
    <mergeCell ref="K30:AB30"/>
    <mergeCell ref="A31:H31"/>
    <mergeCell ref="I31:J31"/>
    <mergeCell ref="K31:AB31"/>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1875" defaultRowHeight="15" customHeight="1" x14ac:dyDescent="0.4"/>
  <cols>
    <col min="1" max="1" width="1.6640625" customWidth="1"/>
    <col min="2" max="2" width="20.6640625" customWidth="1"/>
    <col min="3" max="52" width="1.21875" customWidth="1"/>
    <col min="53" max="57" width="1.38671875" customWidth="1"/>
    <col min="58" max="61" width="1.6640625" customWidth="1"/>
  </cols>
  <sheetData>
    <row r="1" spans="1:61" ht="4.5" customHeight="1" x14ac:dyDescent="0.4"/>
    <row r="2" spans="1:61" ht="12.75" customHeight="1" x14ac:dyDescent="0.4">
      <c r="B2" s="210" t="s">
        <v>73</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11">
        <f>CARÁTULA!$H$24</f>
        <v>44440</v>
      </c>
      <c r="AU3" s="206"/>
      <c r="AV3" s="206"/>
      <c r="AW3" s="206"/>
      <c r="AX3" s="206"/>
      <c r="AY3" s="206"/>
      <c r="AZ3" s="206"/>
      <c r="BA3" s="257"/>
      <c r="BB3" s="206"/>
      <c r="BC3" s="206"/>
      <c r="BD3" s="206"/>
      <c r="BE3" s="206"/>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11">
        <f>CARÁTULA!$J$24</f>
        <v>44531</v>
      </c>
      <c r="AU4" s="206"/>
      <c r="AV4" s="206"/>
      <c r="AW4" s="206"/>
      <c r="AX4" s="206"/>
      <c r="AY4" s="206"/>
      <c r="AZ4" s="206"/>
      <c r="BA4" s="258">
        <f ca="1">AT4-AT5</f>
        <v>78</v>
      </c>
      <c r="BB4" s="216"/>
      <c r="BC4" s="216"/>
      <c r="BD4" s="216"/>
      <c r="BE4" s="217"/>
    </row>
    <row r="5" spans="1:61" ht="12.75" customHeight="1" x14ac:dyDescent="0.4">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24">
        <f ca="1">TODAY()</f>
        <v>44453</v>
      </c>
      <c r="Y5" s="206"/>
      <c r="Z5" s="206"/>
      <c r="AA5" s="206"/>
      <c r="AB5" s="206"/>
      <c r="AC5" s="206"/>
      <c r="AD5" s="40"/>
      <c r="AE5" s="40"/>
      <c r="AF5" s="40"/>
      <c r="AG5" s="40"/>
      <c r="AH5" s="40"/>
      <c r="AI5" s="40"/>
      <c r="AJ5" s="40"/>
      <c r="AK5" s="45" t="s">
        <v>54</v>
      </c>
      <c r="AL5" s="46"/>
      <c r="AM5" s="46"/>
      <c r="AN5" s="46"/>
      <c r="AO5" s="46"/>
      <c r="AP5" s="46"/>
      <c r="AQ5" s="46"/>
      <c r="AR5" s="40"/>
      <c r="AS5" s="40"/>
      <c r="AT5" s="222">
        <f ca="1">TODAY()</f>
        <v>44453</v>
      </c>
      <c r="AU5" s="206"/>
      <c r="AV5" s="206"/>
      <c r="AW5" s="206"/>
      <c r="AX5" s="206"/>
      <c r="AY5" s="206"/>
      <c r="AZ5" s="206"/>
      <c r="BA5" s="218"/>
      <c r="BB5" s="219"/>
      <c r="BC5" s="219"/>
      <c r="BD5" s="219"/>
      <c r="BE5" s="220"/>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4">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4">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4">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4">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4">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4">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4">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4">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4">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4">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4">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4">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4">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4">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4">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4">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4">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4">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78" t="s">
        <v>78</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6" t="s">
        <v>50</v>
      </c>
      <c r="AD3" s="260"/>
      <c r="AE3" s="260"/>
      <c r="AF3" s="260"/>
      <c r="AG3" s="260"/>
      <c r="AH3" s="261"/>
      <c r="AI3" s="224">
        <f>CARÁTULA!$H$14</f>
        <v>44228</v>
      </c>
      <c r="AJ3" s="206"/>
      <c r="AK3" s="206"/>
      <c r="AL3" s="206"/>
      <c r="AM3" s="206"/>
      <c r="AN3" s="279" t="s">
        <v>51</v>
      </c>
      <c r="AO3" s="197"/>
      <c r="AP3" s="197"/>
      <c r="AQ3" s="197"/>
      <c r="AR3" s="198"/>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6" t="s">
        <v>53</v>
      </c>
      <c r="AD4" s="260"/>
      <c r="AE4" s="260"/>
      <c r="AF4" s="260"/>
      <c r="AG4" s="260"/>
      <c r="AH4" s="261"/>
      <c r="AI4" s="224">
        <f>CARÁTULA!$J$14</f>
        <v>44323</v>
      </c>
      <c r="AJ4" s="206"/>
      <c r="AK4" s="206"/>
      <c r="AL4" s="206"/>
      <c r="AM4" s="206"/>
      <c r="AN4" s="258">
        <f ca="1">AI4-AI5</f>
        <v>-130</v>
      </c>
      <c r="AO4" s="216"/>
      <c r="AP4" s="216"/>
      <c r="AQ4" s="216"/>
      <c r="AR4" s="217"/>
    </row>
    <row r="5" spans="1:48" ht="12.75" customHeight="1" x14ac:dyDescent="0.5">
      <c r="A5" s="71"/>
      <c r="B5" s="74" t="s">
        <v>22</v>
      </c>
      <c r="C5" s="75" t="str">
        <f>CARÁTULA!$C$23</f>
        <v>6to de Secundaria</v>
      </c>
      <c r="D5" s="76"/>
      <c r="E5" s="76"/>
      <c r="F5" s="76"/>
      <c r="G5" s="74"/>
      <c r="H5" s="74"/>
      <c r="I5" s="74"/>
      <c r="J5" s="74"/>
      <c r="K5" s="74"/>
      <c r="L5" s="74"/>
      <c r="M5" s="74"/>
      <c r="N5" s="74"/>
      <c r="O5" s="77" t="s">
        <v>23</v>
      </c>
      <c r="P5" s="79"/>
      <c r="Q5" s="79"/>
      <c r="R5" s="79"/>
      <c r="S5" s="272">
        <f ca="1">TODAY()</f>
        <v>44453</v>
      </c>
      <c r="T5" s="197"/>
      <c r="U5" s="197"/>
      <c r="V5" s="197"/>
      <c r="W5" s="197"/>
      <c r="X5" s="197"/>
      <c r="Y5" s="197"/>
      <c r="Z5" s="197"/>
      <c r="AA5" s="198"/>
      <c r="AB5" s="76"/>
      <c r="AC5" s="277" t="s">
        <v>54</v>
      </c>
      <c r="AD5" s="260"/>
      <c r="AE5" s="260"/>
      <c r="AF5" s="260"/>
      <c r="AG5" s="260"/>
      <c r="AH5" s="261"/>
      <c r="AI5" s="280">
        <f ca="1">TODAY()</f>
        <v>44453</v>
      </c>
      <c r="AJ5" s="206"/>
      <c r="AK5" s="206"/>
      <c r="AL5" s="206"/>
      <c r="AM5" s="206"/>
      <c r="AN5" s="218"/>
      <c r="AO5" s="219"/>
      <c r="AP5" s="219"/>
      <c r="AQ5" s="219"/>
      <c r="AR5" s="220"/>
    </row>
    <row r="6" spans="1:48" ht="12.75" customHeight="1" x14ac:dyDescent="0.5">
      <c r="A6" s="71"/>
      <c r="B6" s="74"/>
      <c r="C6" s="212" t="s">
        <v>79</v>
      </c>
      <c r="D6" s="213"/>
      <c r="E6" s="213"/>
      <c r="F6" s="213"/>
      <c r="G6" s="213"/>
      <c r="H6" s="213"/>
      <c r="I6" s="213"/>
      <c r="J6" s="213"/>
      <c r="K6" s="213"/>
      <c r="L6" s="213"/>
      <c r="M6" s="213"/>
      <c r="N6" s="213"/>
      <c r="O6" s="213"/>
      <c r="P6" s="213"/>
      <c r="Q6" s="213"/>
      <c r="R6" s="213"/>
      <c r="S6" s="213"/>
      <c r="T6" s="213"/>
      <c r="U6" s="213"/>
      <c r="V6" s="213"/>
      <c r="W6" s="213"/>
      <c r="X6" s="213"/>
      <c r="Y6" s="213"/>
      <c r="Z6" s="213"/>
      <c r="AA6" s="214"/>
      <c r="AB6" s="273" t="s">
        <v>80</v>
      </c>
      <c r="AC6" s="260"/>
      <c r="AD6" s="260"/>
      <c r="AE6" s="261"/>
      <c r="AF6" s="80"/>
      <c r="AG6" s="81"/>
      <c r="AH6" s="81"/>
      <c r="AI6" s="82"/>
      <c r="AJ6" s="83"/>
      <c r="AK6" s="83"/>
      <c r="AL6" s="83"/>
      <c r="AM6" s="83"/>
      <c r="AN6" s="84"/>
      <c r="AO6" s="84"/>
      <c r="AP6" s="84"/>
      <c r="AQ6" s="84"/>
      <c r="AR6" s="84"/>
    </row>
    <row r="7" spans="1:48" ht="12" customHeight="1" x14ac:dyDescent="0.5">
      <c r="A7" s="71"/>
      <c r="B7" s="85"/>
      <c r="C7" s="274" t="s">
        <v>81</v>
      </c>
      <c r="D7" s="275" t="s">
        <v>82</v>
      </c>
      <c r="E7" s="260"/>
      <c r="F7" s="260"/>
      <c r="G7" s="260"/>
      <c r="H7" s="260"/>
      <c r="I7" s="260"/>
      <c r="J7" s="260"/>
      <c r="K7" s="260"/>
      <c r="L7" s="260"/>
      <c r="M7" s="260"/>
      <c r="N7" s="260"/>
      <c r="O7" s="271" t="s">
        <v>83</v>
      </c>
      <c r="P7" s="275" t="s">
        <v>84</v>
      </c>
      <c r="Q7" s="260"/>
      <c r="R7" s="260"/>
      <c r="S7" s="260"/>
      <c r="T7" s="260"/>
      <c r="U7" s="260"/>
      <c r="V7" s="260"/>
      <c r="W7" s="260"/>
      <c r="X7" s="260"/>
      <c r="Y7" s="260"/>
      <c r="Z7" s="260"/>
      <c r="AA7" s="270" t="s">
        <v>85</v>
      </c>
      <c r="AB7" s="271" t="s">
        <v>83</v>
      </c>
      <c r="AC7" s="270" t="s">
        <v>86</v>
      </c>
      <c r="AD7" s="270" t="s">
        <v>87</v>
      </c>
      <c r="AE7" s="271" t="s">
        <v>83</v>
      </c>
      <c r="AF7" s="263" t="s">
        <v>88</v>
      </c>
      <c r="AG7" s="265" t="s">
        <v>89</v>
      </c>
      <c r="AH7" s="266" t="s">
        <v>90</v>
      </c>
      <c r="AI7" s="213"/>
      <c r="AJ7" s="213"/>
      <c r="AK7" s="213"/>
      <c r="AL7" s="213"/>
      <c r="AM7" s="214"/>
      <c r="AN7" s="86"/>
      <c r="AO7" s="76"/>
      <c r="AP7" s="76"/>
      <c r="AQ7" s="76"/>
      <c r="AR7" s="71"/>
    </row>
    <row r="8" spans="1:48" ht="153" x14ac:dyDescent="0.4">
      <c r="A8" s="48" t="s">
        <v>55</v>
      </c>
      <c r="B8" s="49" t="s">
        <v>56</v>
      </c>
      <c r="C8" s="264"/>
      <c r="D8" s="87" t="s">
        <v>91</v>
      </c>
      <c r="E8" s="87" t="s">
        <v>92</v>
      </c>
      <c r="F8" s="87" t="s">
        <v>93</v>
      </c>
      <c r="G8" s="87" t="s">
        <v>94</v>
      </c>
      <c r="H8" s="87" t="s">
        <v>95</v>
      </c>
      <c r="I8" s="53"/>
      <c r="J8" s="53"/>
      <c r="K8" s="54"/>
      <c r="L8" s="54"/>
      <c r="M8" s="54"/>
      <c r="N8" s="55"/>
      <c r="O8" s="264"/>
      <c r="P8" s="87" t="s">
        <v>96</v>
      </c>
      <c r="Q8" s="87" t="s">
        <v>97</v>
      </c>
      <c r="R8" s="87" t="s">
        <v>98</v>
      </c>
      <c r="S8" s="87" t="s">
        <v>99</v>
      </c>
      <c r="T8" s="87" t="s">
        <v>100</v>
      </c>
      <c r="U8" s="87"/>
      <c r="V8" s="54"/>
      <c r="W8" s="54"/>
      <c r="X8" s="54"/>
      <c r="Y8" s="54"/>
      <c r="Z8" s="54"/>
      <c r="AA8" s="264"/>
      <c r="AB8" s="264"/>
      <c r="AC8" s="264"/>
      <c r="AD8" s="264"/>
      <c r="AE8" s="264"/>
      <c r="AF8" s="264"/>
      <c r="AG8" s="264"/>
      <c r="AH8" s="267"/>
      <c r="AI8" s="268"/>
      <c r="AJ8" s="268"/>
      <c r="AK8" s="268"/>
      <c r="AL8" s="268"/>
      <c r="AM8" s="269"/>
      <c r="AN8" s="88"/>
      <c r="AO8" s="88"/>
      <c r="AP8" s="88"/>
      <c r="AQ8" s="88"/>
      <c r="AR8" s="89"/>
    </row>
    <row r="9" spans="1:48" ht="12" customHeight="1" x14ac:dyDescent="0.4">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9" t="str">
        <f t="shared" ref="AH9:AH44" si="5">IF(AG9="","",(IF(AND(AG9&gt;=1,AG9&lt;=50.499),"REPROBADO",IF(AND(AG9&gt;=50.5,AG9&lt;=100),"APROBADO"))))</f>
        <v>APROBADO</v>
      </c>
      <c r="AI9" s="260"/>
      <c r="AJ9" s="260"/>
      <c r="AK9" s="260"/>
      <c r="AL9" s="260"/>
      <c r="AM9" s="261"/>
      <c r="AN9" s="94" t="s">
        <v>101</v>
      </c>
      <c r="AO9" s="262">
        <f>COUNTIF(AF9:AF44,"ED")</f>
        <v>1</v>
      </c>
      <c r="AP9" s="261"/>
      <c r="AQ9" s="95"/>
      <c r="AR9" s="95"/>
    </row>
    <row r="10" spans="1:48" ht="12" customHeight="1" x14ac:dyDescent="0.4">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9" t="str">
        <f t="shared" si="5"/>
        <v>APROBADO</v>
      </c>
      <c r="AI10" s="260"/>
      <c r="AJ10" s="260"/>
      <c r="AK10" s="260"/>
      <c r="AL10" s="260"/>
      <c r="AM10" s="261"/>
      <c r="AN10" s="48" t="s">
        <v>102</v>
      </c>
      <c r="AO10" s="262">
        <f>COUNTIF(AF9:AF44,"DA")</f>
        <v>0</v>
      </c>
      <c r="AP10" s="261"/>
      <c r="AQ10" s="95"/>
      <c r="AR10" s="95"/>
    </row>
    <row r="11" spans="1:48" ht="12" customHeight="1" x14ac:dyDescent="0.4">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9" t="str">
        <f t="shared" si="5"/>
        <v>APROBADO</v>
      </c>
      <c r="AI11" s="260"/>
      <c r="AJ11" s="260"/>
      <c r="AK11" s="260"/>
      <c r="AL11" s="260"/>
      <c r="AM11" s="261"/>
      <c r="AN11" s="48" t="s">
        <v>103</v>
      </c>
      <c r="AO11" s="262">
        <f>COUNTIF(AF9:AF44,"DO")</f>
        <v>0</v>
      </c>
      <c r="AP11" s="261"/>
      <c r="AQ11" s="95"/>
      <c r="AR11" s="95"/>
    </row>
    <row r="12" spans="1:48" ht="12" customHeight="1" x14ac:dyDescent="0.4">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9" t="str">
        <f t="shared" si="5"/>
        <v>REPROBADO</v>
      </c>
      <c r="AI12" s="260"/>
      <c r="AJ12" s="260"/>
      <c r="AK12" s="260"/>
      <c r="AL12" s="260"/>
      <c r="AM12" s="261"/>
      <c r="AN12" s="48" t="s">
        <v>104</v>
      </c>
      <c r="AO12" s="262">
        <f>COUNTIF(AF9:AF44,"DP")</f>
        <v>35</v>
      </c>
      <c r="AP12" s="261"/>
      <c r="AQ12" s="95"/>
      <c r="AR12" s="95"/>
    </row>
    <row r="13" spans="1:48" ht="12" customHeight="1" x14ac:dyDescent="0.4">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9" t="str">
        <f t="shared" si="5"/>
        <v>APROBADO</v>
      </c>
      <c r="AI13" s="260"/>
      <c r="AJ13" s="260"/>
      <c r="AK13" s="260"/>
      <c r="AL13" s="260"/>
      <c r="AM13" s="261"/>
      <c r="AN13" s="95"/>
      <c r="AO13" s="95"/>
      <c r="AP13" s="95"/>
      <c r="AQ13" s="95"/>
      <c r="AR13" s="95"/>
    </row>
    <row r="14" spans="1:48" ht="12" customHeight="1" x14ac:dyDescent="0.4">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9" t="str">
        <f t="shared" si="5"/>
        <v>APROBADO</v>
      </c>
      <c r="AI14" s="260"/>
      <c r="AJ14" s="260"/>
      <c r="AK14" s="260"/>
      <c r="AL14" s="260"/>
      <c r="AM14" s="261"/>
      <c r="AN14" s="95"/>
      <c r="AO14" s="95"/>
      <c r="AP14" s="95"/>
      <c r="AQ14" s="95"/>
      <c r="AR14" s="95"/>
    </row>
    <row r="15" spans="1:48" ht="12" customHeight="1" x14ac:dyDescent="0.4">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9" t="str">
        <f t="shared" si="5"/>
        <v>APROBADO</v>
      </c>
      <c r="AI15" s="260"/>
      <c r="AJ15" s="260"/>
      <c r="AK15" s="260"/>
      <c r="AL15" s="260"/>
      <c r="AM15" s="261"/>
      <c r="AN15" s="95"/>
      <c r="AO15" s="95"/>
      <c r="AP15" s="95"/>
      <c r="AQ15" s="95"/>
      <c r="AR15" s="95"/>
    </row>
    <row r="16" spans="1:48" ht="12" customHeight="1" x14ac:dyDescent="0.4">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9" t="str">
        <f t="shared" si="5"/>
        <v>APROBADO</v>
      </c>
      <c r="AI16" s="260"/>
      <c r="AJ16" s="260"/>
      <c r="AK16" s="260"/>
      <c r="AL16" s="260"/>
      <c r="AM16" s="261"/>
      <c r="AN16" s="95"/>
      <c r="AO16" s="95"/>
      <c r="AP16" s="95"/>
      <c r="AQ16" s="95"/>
      <c r="AR16" s="95"/>
    </row>
    <row r="17" spans="1:44" ht="12" customHeight="1" x14ac:dyDescent="0.4">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9" t="str">
        <f t="shared" si="5"/>
        <v>APROBADO</v>
      </c>
      <c r="AI17" s="260"/>
      <c r="AJ17" s="260"/>
      <c r="AK17" s="260"/>
      <c r="AL17" s="260"/>
      <c r="AM17" s="261"/>
      <c r="AN17" s="95"/>
      <c r="AO17" s="95"/>
      <c r="AP17" s="95"/>
      <c r="AQ17" s="95"/>
      <c r="AR17" s="95"/>
    </row>
    <row r="18" spans="1:44" ht="12" customHeight="1" x14ac:dyDescent="0.4">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9" t="str">
        <f t="shared" si="5"/>
        <v>APROBADO</v>
      </c>
      <c r="AI18" s="260"/>
      <c r="AJ18" s="260"/>
      <c r="AK18" s="260"/>
      <c r="AL18" s="260"/>
      <c r="AM18" s="261"/>
      <c r="AN18" s="95"/>
      <c r="AO18" s="95"/>
      <c r="AP18" s="95"/>
      <c r="AQ18" s="95"/>
      <c r="AR18" s="95"/>
    </row>
    <row r="19" spans="1:44" ht="12" customHeight="1" x14ac:dyDescent="0.4">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9" t="str">
        <f t="shared" si="5"/>
        <v>APROBADO</v>
      </c>
      <c r="AI19" s="260"/>
      <c r="AJ19" s="260"/>
      <c r="AK19" s="260"/>
      <c r="AL19" s="260"/>
      <c r="AM19" s="261"/>
      <c r="AN19" s="95"/>
      <c r="AO19" s="95"/>
      <c r="AP19" s="95"/>
      <c r="AQ19" s="95"/>
      <c r="AR19" s="95"/>
    </row>
    <row r="20" spans="1:44" ht="12" customHeight="1" x14ac:dyDescent="0.4">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9" t="str">
        <f t="shared" si="5"/>
        <v>APROBADO</v>
      </c>
      <c r="AI20" s="260"/>
      <c r="AJ20" s="260"/>
      <c r="AK20" s="260"/>
      <c r="AL20" s="260"/>
      <c r="AM20" s="261"/>
      <c r="AN20" s="95"/>
      <c r="AO20" s="95"/>
      <c r="AP20" s="95"/>
      <c r="AQ20" s="95"/>
      <c r="AR20" s="95"/>
    </row>
    <row r="21" spans="1:44" ht="12" customHeight="1" x14ac:dyDescent="0.4">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9" t="str">
        <f t="shared" si="5"/>
        <v>APROBADO</v>
      </c>
      <c r="AI21" s="260"/>
      <c r="AJ21" s="260"/>
      <c r="AK21" s="260"/>
      <c r="AL21" s="260"/>
      <c r="AM21" s="261"/>
      <c r="AN21" s="95"/>
      <c r="AO21" s="95"/>
      <c r="AP21" s="95"/>
      <c r="AQ21" s="95"/>
      <c r="AR21" s="95"/>
    </row>
    <row r="22" spans="1:44" ht="12" customHeight="1" x14ac:dyDescent="0.4">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9" t="str">
        <f t="shared" si="5"/>
        <v>APROBADO</v>
      </c>
      <c r="AI22" s="260"/>
      <c r="AJ22" s="260"/>
      <c r="AK22" s="260"/>
      <c r="AL22" s="260"/>
      <c r="AM22" s="261"/>
      <c r="AN22" s="95"/>
      <c r="AO22" s="95"/>
      <c r="AP22" s="95"/>
      <c r="AQ22" s="95"/>
      <c r="AR22" s="95"/>
    </row>
    <row r="23" spans="1:44" ht="12" customHeight="1" x14ac:dyDescent="0.4">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4">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9" t="str">
        <f t="shared" si="5"/>
        <v>APROBADO</v>
      </c>
      <c r="AI24" s="260"/>
      <c r="AJ24" s="260"/>
      <c r="AK24" s="260"/>
      <c r="AL24" s="260"/>
      <c r="AM24" s="261"/>
      <c r="AN24" s="95"/>
      <c r="AO24" s="95"/>
      <c r="AP24" s="95"/>
      <c r="AQ24" s="95"/>
      <c r="AR24" s="95"/>
    </row>
    <row r="25" spans="1:44" ht="12" customHeight="1" x14ac:dyDescent="0.4">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9" t="str">
        <f t="shared" si="5"/>
        <v>APROBADO</v>
      </c>
      <c r="AI25" s="260"/>
      <c r="AJ25" s="260"/>
      <c r="AK25" s="260"/>
      <c r="AL25" s="260"/>
      <c r="AM25" s="261"/>
      <c r="AN25" s="95"/>
      <c r="AO25" s="95"/>
      <c r="AP25" s="95"/>
      <c r="AQ25" s="95"/>
      <c r="AR25" s="95"/>
    </row>
    <row r="26" spans="1:44" ht="12" customHeight="1" x14ac:dyDescent="0.4">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4">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B4" workbookViewId="0">
      <selection activeCell="P8" sqref="P8:X8"/>
    </sheetView>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78" t="s">
        <v>105</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6" t="s">
        <v>50</v>
      </c>
      <c r="AD3" s="260"/>
      <c r="AE3" s="260"/>
      <c r="AF3" s="260"/>
      <c r="AG3" s="260"/>
      <c r="AH3" s="261"/>
      <c r="AI3" s="224">
        <f>CARÁTULA!$H$19</f>
        <v>44326</v>
      </c>
      <c r="AJ3" s="206"/>
      <c r="AK3" s="206"/>
      <c r="AL3" s="206"/>
      <c r="AM3" s="206"/>
      <c r="AN3" s="279" t="s">
        <v>51</v>
      </c>
      <c r="AO3" s="197"/>
      <c r="AP3" s="197"/>
      <c r="AQ3" s="197"/>
      <c r="AR3" s="198"/>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6" t="s">
        <v>53</v>
      </c>
      <c r="AD4" s="260"/>
      <c r="AE4" s="260"/>
      <c r="AF4" s="260"/>
      <c r="AG4" s="260"/>
      <c r="AH4" s="261"/>
      <c r="AI4" s="224">
        <f>CARÁTULA!$J$19</f>
        <v>44439</v>
      </c>
      <c r="AJ4" s="206"/>
      <c r="AK4" s="206"/>
      <c r="AL4" s="206"/>
      <c r="AM4" s="206"/>
      <c r="AN4" s="258">
        <f ca="1">AI4-AI5</f>
        <v>-14</v>
      </c>
      <c r="AO4" s="216"/>
      <c r="AP4" s="216"/>
      <c r="AQ4" s="216"/>
      <c r="AR4" s="217"/>
    </row>
    <row r="5" spans="1:48" ht="12.75" customHeight="1" x14ac:dyDescent="0.5">
      <c r="A5" s="71"/>
      <c r="B5" s="74" t="s">
        <v>22</v>
      </c>
      <c r="C5" s="75" t="str">
        <f>CARÁTULA!$C$23</f>
        <v>6to de Secundaria</v>
      </c>
      <c r="D5" s="76"/>
      <c r="E5" s="76"/>
      <c r="F5" s="76"/>
      <c r="G5" s="74"/>
      <c r="H5" s="74"/>
      <c r="I5" s="74"/>
      <c r="J5" s="74"/>
      <c r="K5" s="74"/>
      <c r="L5" s="74"/>
      <c r="M5" s="74"/>
      <c r="N5" s="74"/>
      <c r="O5" s="74" t="s">
        <v>23</v>
      </c>
      <c r="P5" s="79"/>
      <c r="Q5" s="79"/>
      <c r="R5" s="79"/>
      <c r="S5" s="272">
        <f ca="1">TODAY()</f>
        <v>44453</v>
      </c>
      <c r="T5" s="197"/>
      <c r="U5" s="197"/>
      <c r="V5" s="197"/>
      <c r="W5" s="197"/>
      <c r="X5" s="197"/>
      <c r="Y5" s="197"/>
      <c r="Z5" s="197"/>
      <c r="AA5" s="198"/>
      <c r="AB5" s="76"/>
      <c r="AC5" s="277" t="s">
        <v>54</v>
      </c>
      <c r="AD5" s="260"/>
      <c r="AE5" s="260"/>
      <c r="AF5" s="260"/>
      <c r="AG5" s="260"/>
      <c r="AH5" s="261"/>
      <c r="AI5" s="280">
        <f ca="1">TODAY()</f>
        <v>44453</v>
      </c>
      <c r="AJ5" s="206"/>
      <c r="AK5" s="206"/>
      <c r="AL5" s="206"/>
      <c r="AM5" s="206"/>
      <c r="AN5" s="218"/>
      <c r="AO5" s="219"/>
      <c r="AP5" s="219"/>
      <c r="AQ5" s="219"/>
      <c r="AR5" s="220"/>
    </row>
    <row r="6" spans="1:48" ht="12.75" customHeight="1" x14ac:dyDescent="0.5">
      <c r="A6" s="71"/>
      <c r="B6" s="74"/>
      <c r="C6" s="212" t="s">
        <v>79</v>
      </c>
      <c r="D6" s="213"/>
      <c r="E6" s="213"/>
      <c r="F6" s="213"/>
      <c r="G6" s="213"/>
      <c r="H6" s="213"/>
      <c r="I6" s="213"/>
      <c r="J6" s="213"/>
      <c r="K6" s="213"/>
      <c r="L6" s="213"/>
      <c r="M6" s="213"/>
      <c r="N6" s="213"/>
      <c r="O6" s="213"/>
      <c r="P6" s="213"/>
      <c r="Q6" s="213"/>
      <c r="R6" s="213"/>
      <c r="S6" s="213"/>
      <c r="T6" s="213"/>
      <c r="U6" s="213"/>
      <c r="V6" s="213"/>
      <c r="W6" s="213"/>
      <c r="X6" s="213"/>
      <c r="Y6" s="213"/>
      <c r="Z6" s="213"/>
      <c r="AA6" s="214"/>
      <c r="AB6" s="273" t="s">
        <v>80</v>
      </c>
      <c r="AC6" s="260"/>
      <c r="AD6" s="260"/>
      <c r="AE6" s="261"/>
      <c r="AF6" s="80"/>
      <c r="AG6" s="81"/>
      <c r="AH6" s="81"/>
      <c r="AI6" s="82"/>
      <c r="AJ6" s="83"/>
      <c r="AK6" s="83"/>
      <c r="AL6" s="83"/>
      <c r="AM6" s="83"/>
      <c r="AN6" s="84"/>
      <c r="AO6" s="84"/>
      <c r="AP6" s="84"/>
      <c r="AQ6" s="84"/>
      <c r="AR6" s="84"/>
    </row>
    <row r="7" spans="1:48" ht="12" customHeight="1" x14ac:dyDescent="0.5">
      <c r="A7" s="71"/>
      <c r="B7" s="85"/>
      <c r="C7" s="274" t="s">
        <v>81</v>
      </c>
      <c r="D7" s="275" t="s">
        <v>82</v>
      </c>
      <c r="E7" s="260"/>
      <c r="F7" s="260"/>
      <c r="G7" s="260"/>
      <c r="H7" s="260"/>
      <c r="I7" s="260"/>
      <c r="J7" s="260"/>
      <c r="K7" s="260"/>
      <c r="L7" s="260"/>
      <c r="M7" s="260"/>
      <c r="N7" s="260"/>
      <c r="O7" s="271" t="s">
        <v>83</v>
      </c>
      <c r="P7" s="275" t="s">
        <v>84</v>
      </c>
      <c r="Q7" s="260"/>
      <c r="R7" s="260"/>
      <c r="S7" s="260"/>
      <c r="T7" s="260"/>
      <c r="U7" s="260"/>
      <c r="V7" s="260"/>
      <c r="W7" s="260"/>
      <c r="X7" s="260"/>
      <c r="Y7" s="260"/>
      <c r="Z7" s="260"/>
      <c r="AA7" s="270" t="s">
        <v>85</v>
      </c>
      <c r="AB7" s="271" t="s">
        <v>83</v>
      </c>
      <c r="AC7" s="270" t="s">
        <v>86</v>
      </c>
      <c r="AD7" s="270" t="s">
        <v>87</v>
      </c>
      <c r="AE7" s="271" t="s">
        <v>83</v>
      </c>
      <c r="AF7" s="263" t="s">
        <v>88</v>
      </c>
      <c r="AG7" s="265" t="s">
        <v>89</v>
      </c>
      <c r="AH7" s="266" t="s">
        <v>90</v>
      </c>
      <c r="AI7" s="213"/>
      <c r="AJ7" s="213"/>
      <c r="AK7" s="213"/>
      <c r="AL7" s="213"/>
      <c r="AM7" s="214"/>
      <c r="AN7" s="86"/>
      <c r="AO7" s="76"/>
      <c r="AP7" s="76"/>
      <c r="AQ7" s="76"/>
      <c r="AR7" s="71"/>
    </row>
    <row r="8" spans="1:48" ht="67.5" customHeight="1" x14ac:dyDescent="0.4">
      <c r="A8" s="48" t="s">
        <v>55</v>
      </c>
      <c r="B8" s="49" t="s">
        <v>56</v>
      </c>
      <c r="C8" s="264"/>
      <c r="D8" s="50" t="s">
        <v>235</v>
      </c>
      <c r="E8" s="54" t="s">
        <v>246</v>
      </c>
      <c r="F8" s="54" t="s">
        <v>242</v>
      </c>
      <c r="G8" s="54" t="s">
        <v>244</v>
      </c>
      <c r="H8" s="54" t="s">
        <v>243</v>
      </c>
      <c r="I8" s="54" t="s">
        <v>262</v>
      </c>
      <c r="J8" s="54"/>
      <c r="K8" s="54"/>
      <c r="L8" s="54"/>
      <c r="M8" s="54"/>
      <c r="N8" s="55"/>
      <c r="O8" s="264"/>
      <c r="P8" s="96" t="s">
        <v>234</v>
      </c>
      <c r="Q8" s="54" t="s">
        <v>236</v>
      </c>
      <c r="R8" s="54" t="s">
        <v>237</v>
      </c>
      <c r="S8" s="54" t="s">
        <v>238</v>
      </c>
      <c r="T8" s="54" t="s">
        <v>239</v>
      </c>
      <c r="U8" s="54" t="s">
        <v>240</v>
      </c>
      <c r="V8" s="54" t="s">
        <v>241</v>
      </c>
      <c r="W8" s="54" t="s">
        <v>245</v>
      </c>
      <c r="X8" s="54" t="s">
        <v>247</v>
      </c>
      <c r="Y8" s="54"/>
      <c r="Z8" s="54"/>
      <c r="AA8" s="264"/>
      <c r="AB8" s="264"/>
      <c r="AC8" s="264"/>
      <c r="AD8" s="264"/>
      <c r="AE8" s="264"/>
      <c r="AF8" s="264"/>
      <c r="AG8" s="264"/>
      <c r="AH8" s="267"/>
      <c r="AI8" s="268"/>
      <c r="AJ8" s="268"/>
      <c r="AK8" s="268"/>
      <c r="AL8" s="268"/>
      <c r="AM8" s="269"/>
      <c r="AN8" s="88"/>
      <c r="AO8" s="88"/>
      <c r="AP8" s="88"/>
      <c r="AQ8" s="88"/>
      <c r="AR8" s="89"/>
    </row>
    <row r="9" spans="1:48" ht="12" customHeight="1" x14ac:dyDescent="0.4">
      <c r="A9" s="59">
        <v>1</v>
      </c>
      <c r="B9" s="90" t="str">
        <f>'C. FILIACION'!B8</f>
        <v>ALTAMIRANO RAMOS ESTEFANI MILENKA</v>
      </c>
      <c r="C9" s="31">
        <v>10</v>
      </c>
      <c r="D9" s="91">
        <v>25</v>
      </c>
      <c r="E9" s="31">
        <v>35</v>
      </c>
      <c r="F9" s="91">
        <v>30</v>
      </c>
      <c r="G9" s="91">
        <v>21</v>
      </c>
      <c r="H9" s="91">
        <v>30</v>
      </c>
      <c r="I9" s="91">
        <v>18</v>
      </c>
      <c r="J9" s="91"/>
      <c r="K9" s="31"/>
      <c r="L9" s="31"/>
      <c r="M9" s="31"/>
      <c r="N9" s="31"/>
      <c r="O9" s="92">
        <f t="shared" ref="O9:O44" si="0">IFERROR(ROUND(AVERAGE(D9:N9),0),"")</f>
        <v>27</v>
      </c>
      <c r="P9" s="31">
        <v>35</v>
      </c>
      <c r="Q9" s="31">
        <v>32</v>
      </c>
      <c r="R9" s="31">
        <v>35</v>
      </c>
      <c r="S9" s="31">
        <v>27</v>
      </c>
      <c r="T9" s="31">
        <v>28</v>
      </c>
      <c r="U9" s="31">
        <v>35</v>
      </c>
      <c r="V9" s="31">
        <v>35</v>
      </c>
      <c r="W9" s="31">
        <v>35</v>
      </c>
      <c r="X9" s="31">
        <v>28</v>
      </c>
      <c r="Y9" s="31"/>
      <c r="Z9" s="31"/>
      <c r="AA9" s="31">
        <v>10</v>
      </c>
      <c r="AB9" s="92">
        <f t="shared" ref="AB9:AB44" si="1">IFERROR(ROUND(AVERAGE(P9:Z9),0),"")</f>
        <v>32</v>
      </c>
      <c r="AC9" s="31">
        <v>5</v>
      </c>
      <c r="AD9" s="31">
        <v>5</v>
      </c>
      <c r="AE9" s="92">
        <f t="shared" ref="AE9:AE44" si="2">IFERROR((SUM(AC9,AD9)),"")</f>
        <v>10</v>
      </c>
      <c r="AF9" s="93" t="str">
        <f t="shared" ref="AF9:AF44" si="3">IF(AG9&lt;51,"ED",IF(AG9&lt;67,"DA",IF(AG9&lt;85,"DO","DP")))</f>
        <v>DP</v>
      </c>
      <c r="AG9" s="92">
        <f t="shared" ref="AG9:AG44" si="4">IFERROR((SUM(C9,O9,AA9,AB9,AE9)),"")</f>
        <v>89</v>
      </c>
      <c r="AH9" s="259" t="str">
        <f t="shared" ref="AH9:AH44" si="5">IF(AG9="","",(IF(AND(AG9&gt;=1,AG9&lt;=50.499),"REPROBADO",IF(AND(AG9&gt;=50.5,AG9&lt;=100),"APROBADO"))))</f>
        <v>APROBADO</v>
      </c>
      <c r="AI9" s="260"/>
      <c r="AJ9" s="260"/>
      <c r="AK9" s="260"/>
      <c r="AL9" s="260"/>
      <c r="AM9" s="261"/>
      <c r="AN9" s="94" t="s">
        <v>101</v>
      </c>
      <c r="AO9" s="262">
        <f>COUNTIF(AF9:AF44,"ED")</f>
        <v>6</v>
      </c>
      <c r="AP9" s="261"/>
      <c r="AQ9" s="95"/>
      <c r="AR9" s="95"/>
    </row>
    <row r="10" spans="1:48" ht="12" customHeight="1" x14ac:dyDescent="0.4">
      <c r="A10" s="59">
        <v>2</v>
      </c>
      <c r="B10" s="90" t="str">
        <f>'C. FILIACION'!B9</f>
        <v>APAZA LINO TATIANA JAZMIN</v>
      </c>
      <c r="C10" s="31">
        <v>10</v>
      </c>
      <c r="D10" s="91">
        <v>30</v>
      </c>
      <c r="E10" s="31">
        <v>35</v>
      </c>
      <c r="F10" s="91">
        <v>30</v>
      </c>
      <c r="G10" s="91">
        <v>27</v>
      </c>
      <c r="H10" s="91">
        <v>32</v>
      </c>
      <c r="I10" s="91">
        <v>35</v>
      </c>
      <c r="J10" s="91"/>
      <c r="K10" s="31"/>
      <c r="L10" s="31"/>
      <c r="M10" s="31"/>
      <c r="N10" s="31"/>
      <c r="O10" s="92">
        <f t="shared" si="0"/>
        <v>32</v>
      </c>
      <c r="P10" s="31">
        <v>35</v>
      </c>
      <c r="Q10" s="31">
        <v>32</v>
      </c>
      <c r="R10" s="31">
        <v>35</v>
      </c>
      <c r="S10" s="31">
        <v>25</v>
      </c>
      <c r="T10" s="31">
        <v>32</v>
      </c>
      <c r="U10" s="31">
        <v>35</v>
      </c>
      <c r="V10" s="31">
        <v>32</v>
      </c>
      <c r="W10" s="31">
        <v>34</v>
      </c>
      <c r="X10" s="31">
        <v>30</v>
      </c>
      <c r="Y10" s="31"/>
      <c r="Z10" s="31"/>
      <c r="AA10" s="31">
        <v>10</v>
      </c>
      <c r="AB10" s="92">
        <f t="shared" si="1"/>
        <v>32</v>
      </c>
      <c r="AC10" s="31">
        <v>5</v>
      </c>
      <c r="AD10" s="31">
        <v>5</v>
      </c>
      <c r="AE10" s="92">
        <f t="shared" si="2"/>
        <v>10</v>
      </c>
      <c r="AF10" s="93" t="str">
        <f t="shared" si="3"/>
        <v>DP</v>
      </c>
      <c r="AG10" s="92">
        <f t="shared" si="4"/>
        <v>94</v>
      </c>
      <c r="AH10" s="259" t="str">
        <f t="shared" si="5"/>
        <v>APROBADO</v>
      </c>
      <c r="AI10" s="260"/>
      <c r="AJ10" s="260"/>
      <c r="AK10" s="260"/>
      <c r="AL10" s="260"/>
      <c r="AM10" s="261"/>
      <c r="AN10" s="48" t="s">
        <v>102</v>
      </c>
      <c r="AO10" s="262">
        <f>COUNTIF(AF9:AF44,"DA")</f>
        <v>4</v>
      </c>
      <c r="AP10" s="261"/>
      <c r="AQ10" s="95"/>
      <c r="AR10" s="95"/>
    </row>
    <row r="11" spans="1:48" ht="12" customHeight="1" x14ac:dyDescent="0.4">
      <c r="A11" s="59">
        <v>3</v>
      </c>
      <c r="B11" s="185" t="str">
        <f>'C. FILIACION'!B10</f>
        <v>BOLAÑOS OVANDO MIJHAIL ALEXANDER</v>
      </c>
      <c r="C11" s="186">
        <v>10</v>
      </c>
      <c r="D11" s="186">
        <v>15</v>
      </c>
      <c r="E11" s="186">
        <v>0</v>
      </c>
      <c r="F11" s="186">
        <v>20</v>
      </c>
      <c r="G11" s="186">
        <v>0</v>
      </c>
      <c r="H11" s="186">
        <v>0</v>
      </c>
      <c r="I11" s="186"/>
      <c r="J11" s="186"/>
      <c r="K11" s="186"/>
      <c r="L11" s="186"/>
      <c r="M11" s="186"/>
      <c r="N11" s="186"/>
      <c r="O11" s="187">
        <f t="shared" si="0"/>
        <v>7</v>
      </c>
      <c r="P11" s="186">
        <v>35</v>
      </c>
      <c r="Q11" s="186">
        <v>0</v>
      </c>
      <c r="R11" s="186">
        <v>0</v>
      </c>
      <c r="S11" s="186">
        <v>0</v>
      </c>
      <c r="T11" s="186">
        <v>0</v>
      </c>
      <c r="U11" s="186">
        <v>0</v>
      </c>
      <c r="V11" s="186">
        <v>0</v>
      </c>
      <c r="W11" s="186">
        <v>0</v>
      </c>
      <c r="X11" s="186">
        <v>0</v>
      </c>
      <c r="Y11" s="31"/>
      <c r="Z11" s="31"/>
      <c r="AA11" s="31">
        <v>10</v>
      </c>
      <c r="AB11" s="92">
        <f t="shared" si="1"/>
        <v>4</v>
      </c>
      <c r="AC11" s="31">
        <v>5</v>
      </c>
      <c r="AD11" s="31">
        <v>5</v>
      </c>
      <c r="AE11" s="92">
        <f t="shared" si="2"/>
        <v>10</v>
      </c>
      <c r="AF11" s="93" t="str">
        <f t="shared" si="3"/>
        <v>ED</v>
      </c>
      <c r="AG11" s="92">
        <f t="shared" si="4"/>
        <v>41</v>
      </c>
      <c r="AH11" s="259" t="str">
        <f t="shared" si="5"/>
        <v>REPROBADO</v>
      </c>
      <c r="AI11" s="260"/>
      <c r="AJ11" s="260"/>
      <c r="AK11" s="260"/>
      <c r="AL11" s="260"/>
      <c r="AM11" s="261"/>
      <c r="AN11" s="48" t="s">
        <v>103</v>
      </c>
      <c r="AO11" s="262">
        <f>COUNTIF(AF9:AF44,"DO")</f>
        <v>7</v>
      </c>
      <c r="AP11" s="261"/>
      <c r="AQ11" s="95"/>
      <c r="AR11" s="95"/>
    </row>
    <row r="12" spans="1:48" ht="12" customHeight="1" x14ac:dyDescent="0.4">
      <c r="A12" s="59">
        <v>4</v>
      </c>
      <c r="B12" s="185" t="str">
        <f>'C. FILIACION'!B11</f>
        <v>BRICHER ETHELBERT ISMAEL</v>
      </c>
      <c r="C12" s="186">
        <v>10</v>
      </c>
      <c r="D12" s="186">
        <v>0</v>
      </c>
      <c r="E12" s="186">
        <v>0</v>
      </c>
      <c r="F12" s="186">
        <v>0</v>
      </c>
      <c r="G12" s="186">
        <v>0</v>
      </c>
      <c r="H12" s="186">
        <v>0</v>
      </c>
      <c r="I12" s="186"/>
      <c r="J12" s="186"/>
      <c r="K12" s="186"/>
      <c r="L12" s="186"/>
      <c r="M12" s="186"/>
      <c r="N12" s="186"/>
      <c r="O12" s="187">
        <f t="shared" si="0"/>
        <v>0</v>
      </c>
      <c r="P12" s="186">
        <v>0</v>
      </c>
      <c r="Q12" s="186">
        <v>32</v>
      </c>
      <c r="R12" s="186">
        <v>0</v>
      </c>
      <c r="S12" s="186">
        <v>0</v>
      </c>
      <c r="T12" s="186">
        <v>0</v>
      </c>
      <c r="U12" s="186">
        <v>0</v>
      </c>
      <c r="V12" s="186">
        <v>0</v>
      </c>
      <c r="W12" s="186">
        <v>0</v>
      </c>
      <c r="X12" s="186">
        <v>0</v>
      </c>
      <c r="Y12" s="31"/>
      <c r="Z12" s="31"/>
      <c r="AA12" s="31">
        <v>10</v>
      </c>
      <c r="AB12" s="92">
        <f t="shared" si="1"/>
        <v>4</v>
      </c>
      <c r="AC12" s="31">
        <v>5</v>
      </c>
      <c r="AD12" s="31">
        <v>5</v>
      </c>
      <c r="AE12" s="92">
        <f t="shared" si="2"/>
        <v>10</v>
      </c>
      <c r="AF12" s="93" t="str">
        <f t="shared" si="3"/>
        <v>ED</v>
      </c>
      <c r="AG12" s="92">
        <f t="shared" si="4"/>
        <v>34</v>
      </c>
      <c r="AH12" s="259" t="str">
        <f t="shared" si="5"/>
        <v>REPROBADO</v>
      </c>
      <c r="AI12" s="260"/>
      <c r="AJ12" s="260"/>
      <c r="AK12" s="260"/>
      <c r="AL12" s="260"/>
      <c r="AM12" s="261"/>
      <c r="AN12" s="48" t="s">
        <v>104</v>
      </c>
      <c r="AO12" s="262">
        <f>COUNTIF(AF9:AF44,"DP")</f>
        <v>19</v>
      </c>
      <c r="AP12" s="261"/>
      <c r="AQ12" s="95"/>
      <c r="AR12" s="95"/>
    </row>
    <row r="13" spans="1:48" ht="12" customHeight="1" x14ac:dyDescent="0.4">
      <c r="A13" s="59">
        <v>5</v>
      </c>
      <c r="B13" s="90" t="str">
        <f>'C. FILIACION'!B12</f>
        <v>CANAVIRI QUISBERT ALEJANDRA ELENA</v>
      </c>
      <c r="C13" s="31">
        <v>10</v>
      </c>
      <c r="D13" s="91">
        <v>15</v>
      </c>
      <c r="E13" s="31">
        <v>35</v>
      </c>
      <c r="F13" s="91">
        <v>20</v>
      </c>
      <c r="G13" s="91">
        <v>17</v>
      </c>
      <c r="H13" s="91">
        <v>30</v>
      </c>
      <c r="I13" s="91">
        <v>18</v>
      </c>
      <c r="J13" s="91"/>
      <c r="K13" s="31"/>
      <c r="L13" s="31"/>
      <c r="M13" s="31"/>
      <c r="N13" s="31"/>
      <c r="O13" s="92">
        <f t="shared" si="0"/>
        <v>23</v>
      </c>
      <c r="P13" s="31">
        <v>35</v>
      </c>
      <c r="Q13" s="31">
        <v>30</v>
      </c>
      <c r="R13" s="31">
        <v>35</v>
      </c>
      <c r="S13" s="31">
        <v>35</v>
      </c>
      <c r="T13" s="31">
        <v>0</v>
      </c>
      <c r="U13" s="31">
        <v>0</v>
      </c>
      <c r="V13" s="31">
        <v>0</v>
      </c>
      <c r="W13" s="31">
        <v>27</v>
      </c>
      <c r="X13" s="31">
        <v>25</v>
      </c>
      <c r="Y13" s="31"/>
      <c r="Z13" s="31"/>
      <c r="AA13" s="31">
        <v>10</v>
      </c>
      <c r="AB13" s="92">
        <f t="shared" si="1"/>
        <v>21</v>
      </c>
      <c r="AC13" s="31">
        <v>5</v>
      </c>
      <c r="AD13" s="31">
        <v>5</v>
      </c>
      <c r="AE13" s="92">
        <f t="shared" si="2"/>
        <v>10</v>
      </c>
      <c r="AF13" s="93" t="str">
        <f t="shared" si="3"/>
        <v>DO</v>
      </c>
      <c r="AG13" s="92">
        <f t="shared" si="4"/>
        <v>74</v>
      </c>
      <c r="AH13" s="259" t="str">
        <f t="shared" si="5"/>
        <v>APROBADO</v>
      </c>
      <c r="AI13" s="260"/>
      <c r="AJ13" s="260"/>
      <c r="AK13" s="260"/>
      <c r="AL13" s="260"/>
      <c r="AM13" s="261"/>
      <c r="AN13" s="95"/>
      <c r="AO13" s="95"/>
      <c r="AP13" s="95"/>
      <c r="AQ13" s="95"/>
      <c r="AR13" s="95"/>
    </row>
    <row r="14" spans="1:48" ht="12" customHeight="1" x14ac:dyDescent="0.4">
      <c r="A14" s="59">
        <v>6</v>
      </c>
      <c r="B14" s="90" t="str">
        <f>'C. FILIACION'!B13</f>
        <v>GOMEZ BELTRAN ALBERT NORMAN</v>
      </c>
      <c r="C14" s="31">
        <v>10</v>
      </c>
      <c r="D14" s="91">
        <v>20</v>
      </c>
      <c r="E14" s="31">
        <v>35</v>
      </c>
      <c r="F14" s="91">
        <v>18</v>
      </c>
      <c r="G14" s="91">
        <v>27</v>
      </c>
      <c r="H14" s="91">
        <v>30</v>
      </c>
      <c r="I14" s="91">
        <v>18</v>
      </c>
      <c r="J14" s="91"/>
      <c r="K14" s="31"/>
      <c r="L14" s="31"/>
      <c r="M14" s="31"/>
      <c r="N14" s="31"/>
      <c r="O14" s="92">
        <f t="shared" si="0"/>
        <v>25</v>
      </c>
      <c r="P14" s="31">
        <v>35</v>
      </c>
      <c r="Q14" s="31">
        <v>30</v>
      </c>
      <c r="R14" s="31">
        <v>35</v>
      </c>
      <c r="S14" s="31">
        <v>26</v>
      </c>
      <c r="T14" s="31">
        <v>0</v>
      </c>
      <c r="U14" s="31">
        <v>0</v>
      </c>
      <c r="V14" s="31">
        <v>35</v>
      </c>
      <c r="W14" s="31">
        <v>35</v>
      </c>
      <c r="X14" s="31">
        <v>28</v>
      </c>
      <c r="Y14" s="31"/>
      <c r="Z14" s="31"/>
      <c r="AA14" s="31">
        <v>10</v>
      </c>
      <c r="AB14" s="92">
        <f t="shared" si="1"/>
        <v>25</v>
      </c>
      <c r="AC14" s="31">
        <v>5</v>
      </c>
      <c r="AD14" s="31">
        <v>5</v>
      </c>
      <c r="AE14" s="92">
        <f t="shared" si="2"/>
        <v>10</v>
      </c>
      <c r="AF14" s="93" t="str">
        <f t="shared" si="3"/>
        <v>DO</v>
      </c>
      <c r="AG14" s="92">
        <f t="shared" si="4"/>
        <v>80</v>
      </c>
      <c r="AH14" s="259" t="str">
        <f t="shared" si="5"/>
        <v>APROBADO</v>
      </c>
      <c r="AI14" s="260"/>
      <c r="AJ14" s="260"/>
      <c r="AK14" s="260"/>
      <c r="AL14" s="260"/>
      <c r="AM14" s="261"/>
      <c r="AN14" s="95"/>
      <c r="AO14" s="95"/>
      <c r="AP14" s="95"/>
      <c r="AQ14" s="95"/>
      <c r="AR14" s="95"/>
    </row>
    <row r="15" spans="1:48" ht="12" customHeight="1" x14ac:dyDescent="0.4">
      <c r="A15" s="59">
        <v>7</v>
      </c>
      <c r="B15" s="185" t="str">
        <f>'C. FILIACION'!B14</f>
        <v>GOMEZ COSME MELANY KARINA</v>
      </c>
      <c r="C15" s="186">
        <v>10</v>
      </c>
      <c r="D15" s="186">
        <v>0</v>
      </c>
      <c r="E15" s="186">
        <v>0</v>
      </c>
      <c r="F15" s="186">
        <v>0</v>
      </c>
      <c r="G15" s="186">
        <v>0</v>
      </c>
      <c r="H15" s="186">
        <v>0</v>
      </c>
      <c r="I15" s="186"/>
      <c r="J15" s="186"/>
      <c r="K15" s="186"/>
      <c r="L15" s="186"/>
      <c r="M15" s="186"/>
      <c r="N15" s="186"/>
      <c r="O15" s="187">
        <f t="shared" si="0"/>
        <v>0</v>
      </c>
      <c r="P15" s="186">
        <v>0</v>
      </c>
      <c r="Q15" s="186">
        <v>0</v>
      </c>
      <c r="R15" s="186">
        <v>0</v>
      </c>
      <c r="S15" s="186">
        <v>0</v>
      </c>
      <c r="T15" s="186">
        <v>0</v>
      </c>
      <c r="U15" s="186">
        <v>0</v>
      </c>
      <c r="V15" s="186">
        <v>0</v>
      </c>
      <c r="W15" s="186">
        <v>0</v>
      </c>
      <c r="X15" s="186">
        <v>0</v>
      </c>
      <c r="Y15" s="31"/>
      <c r="Z15" s="31"/>
      <c r="AA15" s="31">
        <v>10</v>
      </c>
      <c r="AB15" s="92">
        <f t="shared" si="1"/>
        <v>0</v>
      </c>
      <c r="AC15" s="31">
        <v>5</v>
      </c>
      <c r="AD15" s="31">
        <v>5</v>
      </c>
      <c r="AE15" s="92">
        <f t="shared" si="2"/>
        <v>10</v>
      </c>
      <c r="AF15" s="93" t="str">
        <f t="shared" si="3"/>
        <v>ED</v>
      </c>
      <c r="AG15" s="92">
        <f t="shared" si="4"/>
        <v>30</v>
      </c>
      <c r="AH15" s="259" t="str">
        <f t="shared" si="5"/>
        <v>REPROBADO</v>
      </c>
      <c r="AI15" s="260"/>
      <c r="AJ15" s="260"/>
      <c r="AK15" s="260"/>
      <c r="AL15" s="260"/>
      <c r="AM15" s="261"/>
      <c r="AN15" s="95"/>
      <c r="AO15" s="95"/>
      <c r="AP15" s="95"/>
      <c r="AQ15" s="95"/>
      <c r="AR15" s="95"/>
    </row>
    <row r="16" spans="1:48" ht="12" customHeight="1" x14ac:dyDescent="0.4">
      <c r="A16" s="59">
        <v>8</v>
      </c>
      <c r="B16" s="90" t="str">
        <f>'C. FILIACION'!B15</f>
        <v>GONZALES ZUAZO KALEB RAMSES</v>
      </c>
      <c r="C16" s="31">
        <v>10</v>
      </c>
      <c r="D16" s="91">
        <v>20</v>
      </c>
      <c r="E16" s="31"/>
      <c r="F16" s="91">
        <v>18</v>
      </c>
      <c r="G16" s="91">
        <v>26</v>
      </c>
      <c r="H16" s="91">
        <v>30</v>
      </c>
      <c r="I16" s="91">
        <v>30</v>
      </c>
      <c r="J16" s="91"/>
      <c r="K16" s="31"/>
      <c r="L16" s="31"/>
      <c r="M16" s="31"/>
      <c r="N16" s="31"/>
      <c r="O16" s="92">
        <f t="shared" si="0"/>
        <v>25</v>
      </c>
      <c r="P16" s="31">
        <v>35</v>
      </c>
      <c r="Q16" s="31">
        <v>30</v>
      </c>
      <c r="R16" s="31">
        <v>30</v>
      </c>
      <c r="S16" s="31">
        <v>26</v>
      </c>
      <c r="T16" s="31">
        <v>0</v>
      </c>
      <c r="U16" s="31">
        <v>0</v>
      </c>
      <c r="V16" s="31">
        <v>0</v>
      </c>
      <c r="W16" s="31">
        <v>35</v>
      </c>
      <c r="X16" s="31">
        <v>25</v>
      </c>
      <c r="Y16" s="31"/>
      <c r="Z16" s="31"/>
      <c r="AA16" s="31">
        <v>10</v>
      </c>
      <c r="AB16" s="92">
        <f t="shared" si="1"/>
        <v>20</v>
      </c>
      <c r="AC16" s="31">
        <v>5</v>
      </c>
      <c r="AD16" s="31">
        <v>5</v>
      </c>
      <c r="AE16" s="92">
        <f t="shared" si="2"/>
        <v>10</v>
      </c>
      <c r="AF16" s="93" t="str">
        <f t="shared" si="3"/>
        <v>DO</v>
      </c>
      <c r="AG16" s="92">
        <f t="shared" si="4"/>
        <v>75</v>
      </c>
      <c r="AH16" s="259" t="str">
        <f t="shared" si="5"/>
        <v>APROBADO</v>
      </c>
      <c r="AI16" s="260"/>
      <c r="AJ16" s="260"/>
      <c r="AK16" s="260"/>
      <c r="AL16" s="260"/>
      <c r="AM16" s="261"/>
      <c r="AN16" s="95"/>
      <c r="AO16" s="95"/>
      <c r="AP16" s="95"/>
      <c r="AQ16" s="95"/>
      <c r="AR16" s="95"/>
    </row>
    <row r="17" spans="1:44" ht="12" customHeight="1" x14ac:dyDescent="0.4">
      <c r="A17" s="59">
        <v>9</v>
      </c>
      <c r="B17" s="90" t="str">
        <f>'C. FILIACION'!B16</f>
        <v>LEDEZMA AGUILAR ELVIS JHEFERSON</v>
      </c>
      <c r="C17" s="31">
        <v>10</v>
      </c>
      <c r="D17" s="91">
        <v>20</v>
      </c>
      <c r="E17" s="31">
        <v>35</v>
      </c>
      <c r="F17" s="91">
        <v>20</v>
      </c>
      <c r="G17" s="91">
        <v>30</v>
      </c>
      <c r="H17" s="91">
        <v>0</v>
      </c>
      <c r="I17" s="91">
        <v>35</v>
      </c>
      <c r="J17" s="91"/>
      <c r="K17" s="31"/>
      <c r="L17" s="31"/>
      <c r="M17" s="31"/>
      <c r="N17" s="31"/>
      <c r="O17" s="92">
        <f t="shared" si="0"/>
        <v>23</v>
      </c>
      <c r="P17" s="31">
        <v>35</v>
      </c>
      <c r="Q17" s="31">
        <v>32</v>
      </c>
      <c r="R17" s="31">
        <v>35</v>
      </c>
      <c r="S17" s="31">
        <v>35</v>
      </c>
      <c r="T17" s="31">
        <v>26</v>
      </c>
      <c r="U17" s="31">
        <v>0</v>
      </c>
      <c r="V17" s="31">
        <v>0</v>
      </c>
      <c r="W17" s="31">
        <v>35</v>
      </c>
      <c r="X17" s="31">
        <v>0</v>
      </c>
      <c r="Y17" s="31"/>
      <c r="Z17" s="31"/>
      <c r="AA17" s="31">
        <v>10</v>
      </c>
      <c r="AB17" s="92">
        <f t="shared" si="1"/>
        <v>22</v>
      </c>
      <c r="AC17" s="31">
        <v>5</v>
      </c>
      <c r="AD17" s="31">
        <v>5</v>
      </c>
      <c r="AE17" s="92">
        <f t="shared" si="2"/>
        <v>10</v>
      </c>
      <c r="AF17" s="93" t="str">
        <f t="shared" si="3"/>
        <v>DO</v>
      </c>
      <c r="AG17" s="92">
        <f t="shared" si="4"/>
        <v>75</v>
      </c>
      <c r="AH17" s="259" t="str">
        <f t="shared" si="5"/>
        <v>APROBADO</v>
      </c>
      <c r="AI17" s="260"/>
      <c r="AJ17" s="260"/>
      <c r="AK17" s="260"/>
      <c r="AL17" s="260"/>
      <c r="AM17" s="261"/>
      <c r="AN17" s="95"/>
      <c r="AO17" s="95"/>
      <c r="AP17" s="95"/>
      <c r="AQ17" s="95"/>
      <c r="AR17" s="95"/>
    </row>
    <row r="18" spans="1:44" ht="12" customHeight="1" x14ac:dyDescent="0.4">
      <c r="A18" s="59">
        <v>10</v>
      </c>
      <c r="B18" s="90" t="str">
        <f>'C. FILIACION'!B17</f>
        <v>LOBATON RODRIGUEZ JHONATAN A.</v>
      </c>
      <c r="C18" s="31">
        <v>10</v>
      </c>
      <c r="D18" s="91">
        <v>20</v>
      </c>
      <c r="E18" s="31">
        <v>35</v>
      </c>
      <c r="F18" s="91">
        <v>10</v>
      </c>
      <c r="G18" s="91">
        <v>16</v>
      </c>
      <c r="H18" s="91">
        <v>30</v>
      </c>
      <c r="I18" s="91">
        <v>33</v>
      </c>
      <c r="J18" s="91"/>
      <c r="K18" s="31"/>
      <c r="L18" s="31"/>
      <c r="M18" s="31"/>
      <c r="N18" s="31"/>
      <c r="O18" s="92">
        <f t="shared" si="0"/>
        <v>24</v>
      </c>
      <c r="P18" s="31">
        <v>35</v>
      </c>
      <c r="Q18" s="31">
        <v>32</v>
      </c>
      <c r="R18" s="31">
        <v>35</v>
      </c>
      <c r="S18" s="31">
        <v>0</v>
      </c>
      <c r="T18" s="31">
        <v>0</v>
      </c>
      <c r="U18" s="31">
        <v>20</v>
      </c>
      <c r="V18" s="31">
        <v>31</v>
      </c>
      <c r="W18" s="31">
        <v>33</v>
      </c>
      <c r="X18" s="31">
        <v>0</v>
      </c>
      <c r="Y18" s="31"/>
      <c r="Z18" s="31"/>
      <c r="AA18" s="31">
        <v>10</v>
      </c>
      <c r="AB18" s="92">
        <f t="shared" si="1"/>
        <v>21</v>
      </c>
      <c r="AC18" s="31">
        <v>5</v>
      </c>
      <c r="AD18" s="31">
        <v>5</v>
      </c>
      <c r="AE18" s="92">
        <f t="shared" si="2"/>
        <v>10</v>
      </c>
      <c r="AF18" s="93" t="str">
        <f t="shared" si="3"/>
        <v>DO</v>
      </c>
      <c r="AG18" s="92">
        <f t="shared" si="4"/>
        <v>75</v>
      </c>
      <c r="AH18" s="259" t="str">
        <f t="shared" si="5"/>
        <v>APROBADO</v>
      </c>
      <c r="AI18" s="260"/>
      <c r="AJ18" s="260"/>
      <c r="AK18" s="260"/>
      <c r="AL18" s="260"/>
      <c r="AM18" s="261"/>
      <c r="AN18" s="95"/>
      <c r="AO18" s="95"/>
      <c r="AP18" s="95"/>
      <c r="AQ18" s="95"/>
      <c r="AR18" s="95"/>
    </row>
    <row r="19" spans="1:44" ht="12" customHeight="1" x14ac:dyDescent="0.4">
      <c r="A19" s="59">
        <v>11</v>
      </c>
      <c r="B19" s="185" t="str">
        <f>'C. FILIACION'!B18</f>
        <v>MAMANI LOPEZ DAFNE MILDRED</v>
      </c>
      <c r="C19" s="186">
        <v>10</v>
      </c>
      <c r="D19" s="186">
        <v>15</v>
      </c>
      <c r="E19" s="186">
        <v>0</v>
      </c>
      <c r="F19" s="186">
        <v>25</v>
      </c>
      <c r="G19" s="186">
        <v>22</v>
      </c>
      <c r="H19" s="186">
        <v>30</v>
      </c>
      <c r="I19" s="186"/>
      <c r="J19" s="186"/>
      <c r="K19" s="186"/>
      <c r="L19" s="186"/>
      <c r="M19" s="186"/>
      <c r="N19" s="186"/>
      <c r="O19" s="187">
        <f t="shared" si="0"/>
        <v>18</v>
      </c>
      <c r="P19" s="186">
        <v>0</v>
      </c>
      <c r="Q19" s="186">
        <v>32</v>
      </c>
      <c r="R19" s="186">
        <v>0</v>
      </c>
      <c r="S19" s="186">
        <v>0</v>
      </c>
      <c r="T19" s="186">
        <v>0</v>
      </c>
      <c r="U19" s="186">
        <v>0</v>
      </c>
      <c r="V19" s="186">
        <v>0</v>
      </c>
      <c r="W19" s="186">
        <v>0</v>
      </c>
      <c r="X19" s="186">
        <v>25</v>
      </c>
      <c r="Y19" s="31"/>
      <c r="Z19" s="31"/>
      <c r="AA19" s="31">
        <v>10</v>
      </c>
      <c r="AB19" s="92">
        <f t="shared" si="1"/>
        <v>6</v>
      </c>
      <c r="AC19" s="31">
        <v>5</v>
      </c>
      <c r="AD19" s="31">
        <v>5</v>
      </c>
      <c r="AE19" s="92">
        <f t="shared" si="2"/>
        <v>10</v>
      </c>
      <c r="AF19" s="93" t="str">
        <f t="shared" si="3"/>
        <v>DA</v>
      </c>
      <c r="AG19" s="92">
        <f t="shared" si="4"/>
        <v>54</v>
      </c>
      <c r="AH19" s="259" t="str">
        <f t="shared" si="5"/>
        <v>APROBADO</v>
      </c>
      <c r="AI19" s="260"/>
      <c r="AJ19" s="260"/>
      <c r="AK19" s="260"/>
      <c r="AL19" s="260"/>
      <c r="AM19" s="261"/>
      <c r="AN19" s="95"/>
      <c r="AO19" s="95"/>
      <c r="AP19" s="95"/>
      <c r="AQ19" s="95"/>
      <c r="AR19" s="95"/>
    </row>
    <row r="20" spans="1:44" ht="12" customHeight="1" x14ac:dyDescent="0.4">
      <c r="A20" s="59">
        <v>12</v>
      </c>
      <c r="B20" s="185" t="str">
        <f>'C. FILIACION'!B19</f>
        <v>MARCONI PEREZ SINDEL LUANA</v>
      </c>
      <c r="C20" s="186">
        <v>10</v>
      </c>
      <c r="D20" s="186">
        <v>0</v>
      </c>
      <c r="E20" s="186">
        <v>0</v>
      </c>
      <c r="F20" s="186">
        <v>18</v>
      </c>
      <c r="G20" s="186">
        <v>0</v>
      </c>
      <c r="H20" s="186">
        <v>30</v>
      </c>
      <c r="I20" s="186"/>
      <c r="J20" s="186"/>
      <c r="K20" s="186"/>
      <c r="L20" s="186"/>
      <c r="M20" s="186"/>
      <c r="N20" s="186"/>
      <c r="O20" s="187">
        <f t="shared" si="0"/>
        <v>10</v>
      </c>
      <c r="P20" s="186">
        <v>0</v>
      </c>
      <c r="Q20" s="186">
        <v>32</v>
      </c>
      <c r="R20" s="186">
        <v>0</v>
      </c>
      <c r="S20" s="186">
        <v>0</v>
      </c>
      <c r="T20" s="186">
        <v>0</v>
      </c>
      <c r="U20" s="186">
        <v>0</v>
      </c>
      <c r="V20" s="186">
        <v>33</v>
      </c>
      <c r="W20" s="186">
        <v>0</v>
      </c>
      <c r="X20" s="186">
        <v>28</v>
      </c>
      <c r="Y20" s="31"/>
      <c r="Z20" s="31"/>
      <c r="AA20" s="31">
        <v>10</v>
      </c>
      <c r="AB20" s="92">
        <f t="shared" si="1"/>
        <v>10</v>
      </c>
      <c r="AC20" s="31">
        <v>5</v>
      </c>
      <c r="AD20" s="31">
        <v>5</v>
      </c>
      <c r="AE20" s="92">
        <f t="shared" si="2"/>
        <v>10</v>
      </c>
      <c r="AF20" s="93" t="str">
        <f t="shared" si="3"/>
        <v>ED</v>
      </c>
      <c r="AG20" s="92">
        <f t="shared" si="4"/>
        <v>50</v>
      </c>
      <c r="AH20" s="259" t="str">
        <f t="shared" si="5"/>
        <v>REPROBADO</v>
      </c>
      <c r="AI20" s="260"/>
      <c r="AJ20" s="260"/>
      <c r="AK20" s="260"/>
      <c r="AL20" s="260"/>
      <c r="AM20" s="261"/>
      <c r="AN20" s="95"/>
      <c r="AO20" s="95"/>
      <c r="AP20" s="95"/>
      <c r="AQ20" s="95"/>
      <c r="AR20" s="95"/>
    </row>
    <row r="21" spans="1:44" ht="12" customHeight="1" x14ac:dyDescent="0.4">
      <c r="A21" s="59">
        <v>13</v>
      </c>
      <c r="B21" s="90" t="str">
        <f>'C. FILIACION'!B20</f>
        <v>MENACHO LINEO ANDREA KIMBERLY</v>
      </c>
      <c r="C21" s="31">
        <v>10</v>
      </c>
      <c r="D21" s="91">
        <v>25</v>
      </c>
      <c r="E21" s="31">
        <v>35</v>
      </c>
      <c r="F21" s="91">
        <v>20</v>
      </c>
      <c r="G21" s="91">
        <v>17</v>
      </c>
      <c r="H21" s="91">
        <v>0</v>
      </c>
      <c r="I21" s="91">
        <v>18</v>
      </c>
      <c r="J21" s="91"/>
      <c r="K21" s="31"/>
      <c r="L21" s="31"/>
      <c r="M21" s="31"/>
      <c r="N21" s="31"/>
      <c r="O21" s="92">
        <f t="shared" si="0"/>
        <v>19</v>
      </c>
      <c r="P21" s="31">
        <v>0</v>
      </c>
      <c r="Q21" s="31">
        <v>28</v>
      </c>
      <c r="R21" s="31">
        <v>35</v>
      </c>
      <c r="S21" s="31">
        <v>0</v>
      </c>
      <c r="T21" s="31">
        <v>0</v>
      </c>
      <c r="U21" s="31">
        <v>0</v>
      </c>
      <c r="V21" s="31">
        <v>0</v>
      </c>
      <c r="W21" s="31">
        <v>26</v>
      </c>
      <c r="X21" s="31">
        <v>0</v>
      </c>
      <c r="Y21" s="31"/>
      <c r="Z21" s="31"/>
      <c r="AA21" s="31">
        <v>10</v>
      </c>
      <c r="AB21" s="92">
        <f t="shared" si="1"/>
        <v>10</v>
      </c>
      <c r="AC21" s="31">
        <v>5</v>
      </c>
      <c r="AD21" s="31">
        <v>5</v>
      </c>
      <c r="AE21" s="92">
        <f t="shared" si="2"/>
        <v>10</v>
      </c>
      <c r="AF21" s="93" t="str">
        <f t="shared" si="3"/>
        <v>DA</v>
      </c>
      <c r="AG21" s="92">
        <f t="shared" si="4"/>
        <v>59</v>
      </c>
      <c r="AH21" s="259" t="str">
        <f t="shared" si="5"/>
        <v>APROBADO</v>
      </c>
      <c r="AI21" s="260"/>
      <c r="AJ21" s="260"/>
      <c r="AK21" s="260"/>
      <c r="AL21" s="260"/>
      <c r="AM21" s="261"/>
      <c r="AN21" s="95"/>
      <c r="AO21" s="95"/>
      <c r="AP21" s="95"/>
      <c r="AQ21" s="95"/>
      <c r="AR21" s="95"/>
    </row>
    <row r="22" spans="1:44" ht="12" customHeight="1" x14ac:dyDescent="0.4">
      <c r="A22" s="59">
        <v>14</v>
      </c>
      <c r="B22" s="90" t="str">
        <f>'C. FILIACION'!B21</f>
        <v>PILLCO APAZA MARIAN ALEXANDRA</v>
      </c>
      <c r="C22" s="31">
        <v>10</v>
      </c>
      <c r="D22" s="91">
        <v>0</v>
      </c>
      <c r="E22" s="31">
        <v>25</v>
      </c>
      <c r="F22" s="91">
        <v>30</v>
      </c>
      <c r="G22" s="91">
        <v>0</v>
      </c>
      <c r="H22" s="91">
        <v>0</v>
      </c>
      <c r="I22" s="91">
        <v>18</v>
      </c>
      <c r="J22" s="91"/>
      <c r="K22" s="31"/>
      <c r="L22" s="31"/>
      <c r="M22" s="31"/>
      <c r="N22" s="31"/>
      <c r="O22" s="92">
        <f t="shared" si="0"/>
        <v>12</v>
      </c>
      <c r="P22" s="31">
        <v>0</v>
      </c>
      <c r="Q22" s="31">
        <v>28</v>
      </c>
      <c r="R22" s="31">
        <v>18</v>
      </c>
      <c r="S22" s="31">
        <v>0</v>
      </c>
      <c r="T22" s="31">
        <v>0</v>
      </c>
      <c r="U22" s="31">
        <v>0</v>
      </c>
      <c r="V22" s="31">
        <v>0</v>
      </c>
      <c r="W22" s="31">
        <v>32</v>
      </c>
      <c r="X22" s="31">
        <v>0</v>
      </c>
      <c r="Y22" s="31"/>
      <c r="Z22" s="31"/>
      <c r="AA22" s="31">
        <v>10</v>
      </c>
      <c r="AB22" s="92">
        <f t="shared" si="1"/>
        <v>9</v>
      </c>
      <c r="AC22" s="31">
        <v>5</v>
      </c>
      <c r="AD22" s="31">
        <v>5</v>
      </c>
      <c r="AE22" s="92">
        <f t="shared" si="2"/>
        <v>10</v>
      </c>
      <c r="AF22" s="93" t="str">
        <f t="shared" si="3"/>
        <v>DA</v>
      </c>
      <c r="AG22" s="92">
        <f t="shared" si="4"/>
        <v>51</v>
      </c>
      <c r="AH22" s="259" t="str">
        <f t="shared" si="5"/>
        <v>APROBADO</v>
      </c>
      <c r="AI22" s="260"/>
      <c r="AJ22" s="260"/>
      <c r="AK22" s="260"/>
      <c r="AL22" s="260"/>
      <c r="AM22" s="261"/>
      <c r="AN22" s="95"/>
      <c r="AO22" s="95"/>
      <c r="AP22" s="95"/>
      <c r="AQ22" s="95"/>
      <c r="AR22" s="95"/>
    </row>
    <row r="23" spans="1:44" ht="12" customHeight="1" x14ac:dyDescent="0.4">
      <c r="A23" s="59">
        <v>15</v>
      </c>
      <c r="B23" s="90" t="str">
        <f>'C. FILIACION'!B22</f>
        <v>RUEDA ALVAREZ GREGORY STEVEN</v>
      </c>
      <c r="C23" s="31">
        <v>10</v>
      </c>
      <c r="D23" s="91">
        <v>20</v>
      </c>
      <c r="E23" s="31">
        <v>35</v>
      </c>
      <c r="F23" s="91">
        <v>15</v>
      </c>
      <c r="G23" s="91">
        <v>18</v>
      </c>
      <c r="H23" s="91">
        <v>28</v>
      </c>
      <c r="I23" s="91">
        <v>34</v>
      </c>
      <c r="J23" s="91"/>
      <c r="K23" s="31"/>
      <c r="L23" s="31"/>
      <c r="M23" s="31"/>
      <c r="N23" s="31"/>
      <c r="O23" s="92">
        <f t="shared" si="0"/>
        <v>25</v>
      </c>
      <c r="P23" s="31">
        <v>35</v>
      </c>
      <c r="Q23" s="31">
        <v>28</v>
      </c>
      <c r="R23" s="31">
        <v>35</v>
      </c>
      <c r="S23" s="31">
        <v>0</v>
      </c>
      <c r="T23" s="31">
        <v>0</v>
      </c>
      <c r="U23" s="31">
        <v>0</v>
      </c>
      <c r="V23" s="31">
        <v>0</v>
      </c>
      <c r="W23" s="31">
        <v>0</v>
      </c>
      <c r="X23" s="31">
        <v>26</v>
      </c>
      <c r="Y23" s="31"/>
      <c r="Z23" s="31"/>
      <c r="AA23" s="31">
        <v>10</v>
      </c>
      <c r="AB23" s="92">
        <f t="shared" si="1"/>
        <v>14</v>
      </c>
      <c r="AC23" s="31">
        <v>5</v>
      </c>
      <c r="AD23" s="31">
        <v>5</v>
      </c>
      <c r="AE23" s="92">
        <f t="shared" si="2"/>
        <v>10</v>
      </c>
      <c r="AF23" s="93" t="str">
        <f t="shared" si="3"/>
        <v>DO</v>
      </c>
      <c r="AG23" s="92">
        <f t="shared" si="4"/>
        <v>69</v>
      </c>
      <c r="AH23" s="259" t="str">
        <f t="shared" si="5"/>
        <v>APROBADO</v>
      </c>
      <c r="AI23" s="260"/>
      <c r="AJ23" s="260"/>
      <c r="AK23" s="260"/>
      <c r="AL23" s="260"/>
      <c r="AM23" s="261"/>
      <c r="AN23" s="95"/>
      <c r="AO23" s="95"/>
      <c r="AP23" s="95"/>
      <c r="AQ23" s="95"/>
      <c r="AR23" s="95"/>
    </row>
    <row r="24" spans="1:44" ht="12" customHeight="1" x14ac:dyDescent="0.4">
      <c r="A24" s="59">
        <v>16</v>
      </c>
      <c r="B24" s="185" t="str">
        <f>'C. FILIACION'!B23</f>
        <v>VARGAS JOYCE BELEN</v>
      </c>
      <c r="C24" s="186">
        <v>10</v>
      </c>
      <c r="D24" s="186">
        <v>0</v>
      </c>
      <c r="E24" s="186">
        <v>0</v>
      </c>
      <c r="F24" s="186">
        <v>15</v>
      </c>
      <c r="G24" s="186">
        <v>0</v>
      </c>
      <c r="H24" s="186">
        <v>0</v>
      </c>
      <c r="I24" s="186"/>
      <c r="J24" s="186"/>
      <c r="K24" s="186"/>
      <c r="L24" s="186"/>
      <c r="M24" s="186"/>
      <c r="N24" s="186"/>
      <c r="O24" s="187">
        <f t="shared" si="0"/>
        <v>3</v>
      </c>
      <c r="P24" s="186">
        <v>0</v>
      </c>
      <c r="Q24" s="186">
        <v>0</v>
      </c>
      <c r="R24" s="186">
        <v>0</v>
      </c>
      <c r="S24" s="186">
        <v>0</v>
      </c>
      <c r="T24" s="186">
        <v>0</v>
      </c>
      <c r="U24" s="186">
        <v>0</v>
      </c>
      <c r="V24" s="186">
        <v>0</v>
      </c>
      <c r="W24" s="186">
        <v>0</v>
      </c>
      <c r="X24" s="186">
        <v>0</v>
      </c>
      <c r="Y24" s="31"/>
      <c r="Z24" s="31"/>
      <c r="AA24" s="31">
        <v>10</v>
      </c>
      <c r="AB24" s="92">
        <f t="shared" si="1"/>
        <v>0</v>
      </c>
      <c r="AC24" s="31">
        <v>5</v>
      </c>
      <c r="AD24" s="31">
        <v>5</v>
      </c>
      <c r="AE24" s="92">
        <f t="shared" si="2"/>
        <v>10</v>
      </c>
      <c r="AF24" s="93" t="str">
        <f t="shared" si="3"/>
        <v>ED</v>
      </c>
      <c r="AG24" s="92">
        <f t="shared" si="4"/>
        <v>33</v>
      </c>
      <c r="AH24" s="259" t="str">
        <f t="shared" si="5"/>
        <v>REPROBADO</v>
      </c>
      <c r="AI24" s="260"/>
      <c r="AJ24" s="260"/>
      <c r="AK24" s="260"/>
      <c r="AL24" s="260"/>
      <c r="AM24" s="261"/>
      <c r="AN24" s="95"/>
      <c r="AO24" s="95"/>
      <c r="AP24" s="95"/>
      <c r="AQ24" s="95"/>
      <c r="AR24" s="95"/>
    </row>
    <row r="25" spans="1:44" ht="12" customHeight="1" x14ac:dyDescent="0.4">
      <c r="A25" s="59">
        <v>17</v>
      </c>
      <c r="B25" s="90" t="str">
        <f>'C. FILIACION'!B24</f>
        <v>ZURITA JIMENEZ ELMER ARTURO</v>
      </c>
      <c r="C25" s="31">
        <v>10</v>
      </c>
      <c r="D25" s="91">
        <v>20</v>
      </c>
      <c r="E25" s="31">
        <v>35</v>
      </c>
      <c r="F25" s="91">
        <v>20</v>
      </c>
      <c r="G25" s="91">
        <v>29</v>
      </c>
      <c r="H25" s="91">
        <v>30</v>
      </c>
      <c r="I25" s="91">
        <v>23</v>
      </c>
      <c r="J25" s="91"/>
      <c r="K25" s="31"/>
      <c r="L25" s="31"/>
      <c r="M25" s="31"/>
      <c r="N25" s="31"/>
      <c r="O25" s="92">
        <f t="shared" si="0"/>
        <v>26</v>
      </c>
      <c r="P25" s="31">
        <v>32</v>
      </c>
      <c r="Q25" s="31">
        <v>28</v>
      </c>
      <c r="R25" s="31">
        <v>35</v>
      </c>
      <c r="S25" s="31">
        <v>34</v>
      </c>
      <c r="T25" s="31">
        <v>35</v>
      </c>
      <c r="U25" s="31">
        <v>0</v>
      </c>
      <c r="V25" s="31">
        <v>0</v>
      </c>
      <c r="W25" s="31">
        <v>35</v>
      </c>
      <c r="X25" s="31">
        <v>28</v>
      </c>
      <c r="Y25" s="31"/>
      <c r="Z25" s="31"/>
      <c r="AA25" s="31">
        <v>10</v>
      </c>
      <c r="AB25" s="92">
        <f t="shared" si="1"/>
        <v>25</v>
      </c>
      <c r="AC25" s="31">
        <v>5</v>
      </c>
      <c r="AD25" s="31">
        <v>5</v>
      </c>
      <c r="AE25" s="92">
        <f t="shared" si="2"/>
        <v>10</v>
      </c>
      <c r="AF25" s="93" t="str">
        <f t="shared" si="3"/>
        <v>DO</v>
      </c>
      <c r="AG25" s="92">
        <f t="shared" si="4"/>
        <v>81</v>
      </c>
      <c r="AH25" s="259" t="str">
        <f t="shared" si="5"/>
        <v>APROBADO</v>
      </c>
      <c r="AI25" s="260"/>
      <c r="AJ25" s="260"/>
      <c r="AK25" s="260"/>
      <c r="AL25" s="260"/>
      <c r="AM25" s="261"/>
      <c r="AN25" s="95"/>
      <c r="AO25" s="95"/>
      <c r="AP25" s="95"/>
      <c r="AQ25" s="95"/>
      <c r="AR25" s="95"/>
    </row>
    <row r="26" spans="1:44" ht="12" customHeight="1" x14ac:dyDescent="0.4">
      <c r="A26" s="59">
        <v>18</v>
      </c>
      <c r="B26" s="188" t="s">
        <v>174</v>
      </c>
      <c r="C26" s="186">
        <v>10</v>
      </c>
      <c r="D26" s="186">
        <v>0</v>
      </c>
      <c r="E26" s="186">
        <v>0</v>
      </c>
      <c r="F26" s="186">
        <v>0</v>
      </c>
      <c r="G26" s="186">
        <v>0</v>
      </c>
      <c r="H26" s="186">
        <v>30</v>
      </c>
      <c r="I26" s="186">
        <v>34</v>
      </c>
      <c r="J26" s="186"/>
      <c r="K26" s="186"/>
      <c r="L26" s="186"/>
      <c r="M26" s="186"/>
      <c r="N26" s="186"/>
      <c r="O26" s="187">
        <f t="shared" si="0"/>
        <v>11</v>
      </c>
      <c r="P26" s="186">
        <v>0</v>
      </c>
      <c r="Q26" s="186">
        <v>0</v>
      </c>
      <c r="R26" s="186">
        <v>0</v>
      </c>
      <c r="S26" s="186">
        <v>0</v>
      </c>
      <c r="T26" s="186">
        <v>0</v>
      </c>
      <c r="U26" s="186">
        <v>0</v>
      </c>
      <c r="V26" s="186">
        <v>0</v>
      </c>
      <c r="W26" s="186">
        <v>0</v>
      </c>
      <c r="X26" s="186">
        <v>25</v>
      </c>
      <c r="Y26" s="31"/>
      <c r="Z26" s="31"/>
      <c r="AA26" s="31">
        <v>10</v>
      </c>
      <c r="AB26" s="92">
        <f t="shared" si="1"/>
        <v>3</v>
      </c>
      <c r="AC26" s="31">
        <v>5</v>
      </c>
      <c r="AD26" s="31">
        <v>5</v>
      </c>
      <c r="AE26" s="92">
        <f t="shared" si="2"/>
        <v>10</v>
      </c>
      <c r="AF26" s="93" t="str">
        <f t="shared" si="3"/>
        <v>ED</v>
      </c>
      <c r="AG26" s="92">
        <f t="shared" si="4"/>
        <v>44</v>
      </c>
      <c r="AH26" s="259" t="str">
        <f t="shared" si="5"/>
        <v>REPROBADO</v>
      </c>
      <c r="AI26" s="260"/>
      <c r="AJ26" s="260"/>
      <c r="AK26" s="260"/>
      <c r="AL26" s="260"/>
      <c r="AM26" s="261"/>
      <c r="AN26" s="95"/>
      <c r="AO26" s="95"/>
      <c r="AP26" s="95"/>
      <c r="AQ26" s="95"/>
      <c r="AR26" s="95"/>
    </row>
    <row r="27" spans="1:44" ht="12" customHeight="1" x14ac:dyDescent="0.4">
      <c r="A27" s="59">
        <v>19</v>
      </c>
      <c r="B27" s="90" t="str">
        <f>'C. FILIACION'!B26</f>
        <v>Ventura Choque Danely Keyla</v>
      </c>
      <c r="C27" s="31">
        <v>10</v>
      </c>
      <c r="D27" s="91"/>
      <c r="E27" s="31"/>
      <c r="F27" s="91">
        <v>0</v>
      </c>
      <c r="G27" s="91">
        <v>18</v>
      </c>
      <c r="H27" s="91">
        <v>28</v>
      </c>
      <c r="I27" s="91">
        <v>18</v>
      </c>
      <c r="J27" s="91"/>
      <c r="K27" s="31"/>
      <c r="L27" s="31"/>
      <c r="M27" s="31"/>
      <c r="N27" s="31"/>
      <c r="O27" s="92">
        <f t="shared" si="0"/>
        <v>16</v>
      </c>
      <c r="P27" s="31"/>
      <c r="Q27" s="31"/>
      <c r="R27" s="31"/>
      <c r="S27" s="31"/>
      <c r="T27" s="31"/>
      <c r="U27" s="31">
        <v>0</v>
      </c>
      <c r="V27" s="31">
        <v>0</v>
      </c>
      <c r="W27" s="31">
        <v>35</v>
      </c>
      <c r="X27" s="31">
        <v>26</v>
      </c>
      <c r="Y27" s="31"/>
      <c r="Z27" s="31"/>
      <c r="AA27" s="31">
        <v>10</v>
      </c>
      <c r="AB27" s="92">
        <f t="shared" si="1"/>
        <v>15</v>
      </c>
      <c r="AC27" s="31">
        <v>5</v>
      </c>
      <c r="AD27" s="31">
        <v>5</v>
      </c>
      <c r="AE27" s="92">
        <f t="shared" si="2"/>
        <v>10</v>
      </c>
      <c r="AF27" s="93" t="str">
        <f t="shared" si="3"/>
        <v>DA</v>
      </c>
      <c r="AG27" s="92">
        <f t="shared" si="4"/>
        <v>61</v>
      </c>
      <c r="AH27" s="259" t="str">
        <f t="shared" si="5"/>
        <v>APROBADO</v>
      </c>
      <c r="AI27" s="260"/>
      <c r="AJ27" s="260"/>
      <c r="AK27" s="260"/>
      <c r="AL27" s="260"/>
      <c r="AM27" s="261"/>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78" t="s">
        <v>106</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6" t="s">
        <v>50</v>
      </c>
      <c r="AD3" s="260"/>
      <c r="AE3" s="260"/>
      <c r="AF3" s="260"/>
      <c r="AG3" s="260"/>
      <c r="AH3" s="261"/>
      <c r="AI3" s="224">
        <f>CARÁTULA!$H$24</f>
        <v>44440</v>
      </c>
      <c r="AJ3" s="206"/>
      <c r="AK3" s="206"/>
      <c r="AL3" s="206"/>
      <c r="AM3" s="206"/>
      <c r="AN3" s="279" t="s">
        <v>51</v>
      </c>
      <c r="AO3" s="197"/>
      <c r="AP3" s="197"/>
      <c r="AQ3" s="197"/>
      <c r="AR3" s="198"/>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6" t="s">
        <v>53</v>
      </c>
      <c r="AD4" s="260"/>
      <c r="AE4" s="260"/>
      <c r="AF4" s="260"/>
      <c r="AG4" s="260"/>
      <c r="AH4" s="261"/>
      <c r="AI4" s="224">
        <f>CARÁTULA!$J$24</f>
        <v>44531</v>
      </c>
      <c r="AJ4" s="206"/>
      <c r="AK4" s="206"/>
      <c r="AL4" s="206"/>
      <c r="AM4" s="206"/>
      <c r="AN4" s="258">
        <f ca="1">AI4-AI5</f>
        <v>78</v>
      </c>
      <c r="AO4" s="216"/>
      <c r="AP4" s="216"/>
      <c r="AQ4" s="216"/>
      <c r="AR4" s="217"/>
    </row>
    <row r="5" spans="1:48" ht="12.75" customHeight="1" x14ac:dyDescent="0.5">
      <c r="A5" s="71"/>
      <c r="B5" s="74" t="s">
        <v>22</v>
      </c>
      <c r="C5" s="75" t="str">
        <f>CARÁTULA!$C$23</f>
        <v>6to de Secundaria</v>
      </c>
      <c r="D5" s="76"/>
      <c r="E5" s="76"/>
      <c r="F5" s="76"/>
      <c r="G5" s="74"/>
      <c r="H5" s="74"/>
      <c r="I5" s="74"/>
      <c r="J5" s="74"/>
      <c r="K5" s="74"/>
      <c r="L5" s="74"/>
      <c r="M5" s="74"/>
      <c r="N5" s="74"/>
      <c r="O5" s="77" t="s">
        <v>23</v>
      </c>
      <c r="P5" s="79"/>
      <c r="Q5" s="79"/>
      <c r="R5" s="79"/>
      <c r="S5" s="272">
        <f ca="1">TODAY()</f>
        <v>44453</v>
      </c>
      <c r="T5" s="197"/>
      <c r="U5" s="197"/>
      <c r="V5" s="197"/>
      <c r="W5" s="197"/>
      <c r="X5" s="197"/>
      <c r="Y5" s="197"/>
      <c r="Z5" s="197"/>
      <c r="AA5" s="198"/>
      <c r="AB5" s="76"/>
      <c r="AC5" s="277" t="s">
        <v>54</v>
      </c>
      <c r="AD5" s="260"/>
      <c r="AE5" s="260"/>
      <c r="AF5" s="260"/>
      <c r="AG5" s="260"/>
      <c r="AH5" s="261"/>
      <c r="AI5" s="280">
        <f ca="1">TODAY()</f>
        <v>44453</v>
      </c>
      <c r="AJ5" s="206"/>
      <c r="AK5" s="206"/>
      <c r="AL5" s="206"/>
      <c r="AM5" s="206"/>
      <c r="AN5" s="218"/>
      <c r="AO5" s="219"/>
      <c r="AP5" s="219"/>
      <c r="AQ5" s="219"/>
      <c r="AR5" s="220"/>
    </row>
    <row r="6" spans="1:48" ht="12.75" customHeight="1" x14ac:dyDescent="0.5">
      <c r="A6" s="71"/>
      <c r="B6" s="74"/>
      <c r="C6" s="212" t="s">
        <v>79</v>
      </c>
      <c r="D6" s="213"/>
      <c r="E6" s="213"/>
      <c r="F6" s="213"/>
      <c r="G6" s="213"/>
      <c r="H6" s="213"/>
      <c r="I6" s="213"/>
      <c r="J6" s="213"/>
      <c r="K6" s="213"/>
      <c r="L6" s="213"/>
      <c r="M6" s="213"/>
      <c r="N6" s="213"/>
      <c r="O6" s="213"/>
      <c r="P6" s="213"/>
      <c r="Q6" s="213"/>
      <c r="R6" s="213"/>
      <c r="S6" s="213"/>
      <c r="T6" s="213"/>
      <c r="U6" s="213"/>
      <c r="V6" s="213"/>
      <c r="W6" s="213"/>
      <c r="X6" s="213"/>
      <c r="Y6" s="213"/>
      <c r="Z6" s="213"/>
      <c r="AA6" s="214"/>
      <c r="AB6" s="273" t="s">
        <v>80</v>
      </c>
      <c r="AC6" s="260"/>
      <c r="AD6" s="260"/>
      <c r="AE6" s="261"/>
      <c r="AF6" s="80"/>
      <c r="AG6" s="81"/>
      <c r="AH6" s="81"/>
      <c r="AI6" s="82"/>
      <c r="AJ6" s="83"/>
      <c r="AK6" s="83"/>
      <c r="AL6" s="83"/>
      <c r="AM6" s="83"/>
      <c r="AN6" s="84"/>
      <c r="AO6" s="84"/>
      <c r="AP6" s="84"/>
      <c r="AQ6" s="84"/>
      <c r="AR6" s="84"/>
    </row>
    <row r="7" spans="1:48" ht="12" customHeight="1" x14ac:dyDescent="0.5">
      <c r="A7" s="71"/>
      <c r="B7" s="85"/>
      <c r="C7" s="274" t="s">
        <v>81</v>
      </c>
      <c r="D7" s="275" t="s">
        <v>82</v>
      </c>
      <c r="E7" s="260"/>
      <c r="F7" s="260"/>
      <c r="G7" s="260"/>
      <c r="H7" s="260"/>
      <c r="I7" s="260"/>
      <c r="J7" s="260"/>
      <c r="K7" s="260"/>
      <c r="L7" s="260"/>
      <c r="M7" s="260"/>
      <c r="N7" s="260"/>
      <c r="O7" s="271" t="s">
        <v>83</v>
      </c>
      <c r="P7" s="275" t="s">
        <v>84</v>
      </c>
      <c r="Q7" s="260"/>
      <c r="R7" s="260"/>
      <c r="S7" s="260"/>
      <c r="T7" s="260"/>
      <c r="U7" s="260"/>
      <c r="V7" s="260"/>
      <c r="W7" s="260"/>
      <c r="X7" s="260"/>
      <c r="Y7" s="260"/>
      <c r="Z7" s="260"/>
      <c r="AA7" s="270" t="s">
        <v>85</v>
      </c>
      <c r="AB7" s="271" t="s">
        <v>83</v>
      </c>
      <c r="AC7" s="270" t="s">
        <v>86</v>
      </c>
      <c r="AD7" s="270" t="s">
        <v>87</v>
      </c>
      <c r="AE7" s="271" t="s">
        <v>83</v>
      </c>
      <c r="AF7" s="263" t="s">
        <v>88</v>
      </c>
      <c r="AG7" s="265" t="s">
        <v>89</v>
      </c>
      <c r="AH7" s="266" t="s">
        <v>90</v>
      </c>
      <c r="AI7" s="213"/>
      <c r="AJ7" s="213"/>
      <c r="AK7" s="213"/>
      <c r="AL7" s="213"/>
      <c r="AM7" s="214"/>
      <c r="AN7" s="86"/>
      <c r="AO7" s="76"/>
      <c r="AP7" s="76"/>
      <c r="AQ7" s="76"/>
      <c r="AR7" s="71"/>
    </row>
    <row r="8" spans="1:48" ht="67.5" customHeight="1" x14ac:dyDescent="0.4">
      <c r="A8" s="48" t="s">
        <v>55</v>
      </c>
      <c r="B8" s="49" t="s">
        <v>56</v>
      </c>
      <c r="C8" s="264"/>
      <c r="D8" s="54"/>
      <c r="E8" s="54"/>
      <c r="F8" s="54"/>
      <c r="G8" s="54"/>
      <c r="H8" s="54"/>
      <c r="I8" s="54"/>
      <c r="J8" s="54"/>
      <c r="K8" s="54"/>
      <c r="L8" s="54"/>
      <c r="M8" s="54"/>
      <c r="N8" s="55"/>
      <c r="O8" s="264"/>
      <c r="P8" s="96"/>
      <c r="Q8" s="54"/>
      <c r="R8" s="54"/>
      <c r="S8" s="54"/>
      <c r="T8" s="54"/>
      <c r="U8" s="54"/>
      <c r="V8" s="54"/>
      <c r="W8" s="54"/>
      <c r="X8" s="54"/>
      <c r="Y8" s="54"/>
      <c r="Z8" s="54"/>
      <c r="AA8" s="264"/>
      <c r="AB8" s="264"/>
      <c r="AC8" s="264"/>
      <c r="AD8" s="264"/>
      <c r="AE8" s="264"/>
      <c r="AF8" s="264"/>
      <c r="AG8" s="264"/>
      <c r="AH8" s="267"/>
      <c r="AI8" s="268"/>
      <c r="AJ8" s="268"/>
      <c r="AK8" s="268"/>
      <c r="AL8" s="268"/>
      <c r="AM8" s="269"/>
      <c r="AN8" s="88"/>
      <c r="AO8" s="88"/>
      <c r="AP8" s="88"/>
      <c r="AQ8" s="88"/>
      <c r="AR8" s="89"/>
    </row>
    <row r="9" spans="1:48" ht="12" customHeight="1" x14ac:dyDescent="0.4">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9" t="str">
        <f t="shared" ref="AH9:AH44" si="5">IF(AG9="","",(IF(AND(AG9&gt;=1,AG9&lt;=50.499),"REPROBADO",IF(AND(AG9&gt;=50.5,AG9&lt;=100),"APROBADO"))))</f>
        <v>APROBADO</v>
      </c>
      <c r="AI9" s="260"/>
      <c r="AJ9" s="260"/>
      <c r="AK9" s="260"/>
      <c r="AL9" s="260"/>
      <c r="AM9" s="261"/>
      <c r="AN9" s="94" t="s">
        <v>101</v>
      </c>
      <c r="AO9" s="262">
        <f>COUNTIF(AF9:AF44,"ED")</f>
        <v>0</v>
      </c>
      <c r="AP9" s="261"/>
      <c r="AQ9" s="95"/>
      <c r="AR9" s="95"/>
    </row>
    <row r="10" spans="1:48" ht="12" customHeight="1" x14ac:dyDescent="0.4">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9" t="str">
        <f t="shared" si="5"/>
        <v>APROBADO</v>
      </c>
      <c r="AI10" s="260"/>
      <c r="AJ10" s="260"/>
      <c r="AK10" s="260"/>
      <c r="AL10" s="260"/>
      <c r="AM10" s="261"/>
      <c r="AN10" s="48" t="s">
        <v>102</v>
      </c>
      <c r="AO10" s="262">
        <f>COUNTIF(AF9:AF44,"DA")</f>
        <v>0</v>
      </c>
      <c r="AP10" s="261"/>
      <c r="AQ10" s="95"/>
      <c r="AR10" s="95"/>
    </row>
    <row r="11" spans="1:48" ht="12" customHeight="1" x14ac:dyDescent="0.4">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9" t="str">
        <f t="shared" si="5"/>
        <v>APROBADO</v>
      </c>
      <c r="AI11" s="260"/>
      <c r="AJ11" s="260"/>
      <c r="AK11" s="260"/>
      <c r="AL11" s="260"/>
      <c r="AM11" s="261"/>
      <c r="AN11" s="48" t="s">
        <v>103</v>
      </c>
      <c r="AO11" s="262">
        <f>COUNTIF(AF9:AF44,"DO")</f>
        <v>0</v>
      </c>
      <c r="AP11" s="261"/>
      <c r="AQ11" s="95"/>
      <c r="AR11" s="95"/>
    </row>
    <row r="12" spans="1:48" ht="12" customHeight="1" x14ac:dyDescent="0.4">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9" t="str">
        <f t="shared" si="5"/>
        <v>APROBADO</v>
      </c>
      <c r="AI12" s="260"/>
      <c r="AJ12" s="260"/>
      <c r="AK12" s="260"/>
      <c r="AL12" s="260"/>
      <c r="AM12" s="261"/>
      <c r="AN12" s="48" t="s">
        <v>104</v>
      </c>
      <c r="AO12" s="262">
        <f>COUNTIF(AF9:AF44,"DP")</f>
        <v>36</v>
      </c>
      <c r="AP12" s="261"/>
      <c r="AQ12" s="95"/>
      <c r="AR12" s="95"/>
    </row>
    <row r="13" spans="1:48" ht="12" customHeight="1" x14ac:dyDescent="0.4">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9" t="str">
        <f t="shared" si="5"/>
        <v>APROBADO</v>
      </c>
      <c r="AI13" s="260"/>
      <c r="AJ13" s="260"/>
      <c r="AK13" s="260"/>
      <c r="AL13" s="260"/>
      <c r="AM13" s="261"/>
      <c r="AN13" s="95"/>
      <c r="AO13" s="95"/>
      <c r="AP13" s="95"/>
      <c r="AQ13" s="95"/>
      <c r="AR13" s="95"/>
    </row>
    <row r="14" spans="1:48" ht="12" customHeight="1" x14ac:dyDescent="0.4">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9" t="str">
        <f t="shared" si="5"/>
        <v>APROBADO</v>
      </c>
      <c r="AI14" s="260"/>
      <c r="AJ14" s="260"/>
      <c r="AK14" s="260"/>
      <c r="AL14" s="260"/>
      <c r="AM14" s="261"/>
      <c r="AN14" s="95"/>
      <c r="AO14" s="95"/>
      <c r="AP14" s="95"/>
      <c r="AQ14" s="95"/>
      <c r="AR14" s="95"/>
    </row>
    <row r="15" spans="1:48" ht="12" customHeight="1" x14ac:dyDescent="0.4">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9" t="str">
        <f t="shared" si="5"/>
        <v>APROBADO</v>
      </c>
      <c r="AI15" s="260"/>
      <c r="AJ15" s="260"/>
      <c r="AK15" s="260"/>
      <c r="AL15" s="260"/>
      <c r="AM15" s="261"/>
      <c r="AN15" s="95"/>
      <c r="AO15" s="95"/>
      <c r="AP15" s="95"/>
      <c r="AQ15" s="95"/>
      <c r="AR15" s="95"/>
    </row>
    <row r="16" spans="1:48" ht="12" customHeight="1" x14ac:dyDescent="0.4">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9" t="str">
        <f t="shared" si="5"/>
        <v>APROBADO</v>
      </c>
      <c r="AI16" s="260"/>
      <c r="AJ16" s="260"/>
      <c r="AK16" s="260"/>
      <c r="AL16" s="260"/>
      <c r="AM16" s="261"/>
      <c r="AN16" s="95"/>
      <c r="AO16" s="95"/>
      <c r="AP16" s="95"/>
      <c r="AQ16" s="95"/>
      <c r="AR16" s="95"/>
    </row>
    <row r="17" spans="1:44" ht="12" customHeight="1" x14ac:dyDescent="0.4">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9" t="str">
        <f t="shared" si="5"/>
        <v>APROBADO</v>
      </c>
      <c r="AI17" s="260"/>
      <c r="AJ17" s="260"/>
      <c r="AK17" s="260"/>
      <c r="AL17" s="260"/>
      <c r="AM17" s="261"/>
      <c r="AN17" s="95"/>
      <c r="AO17" s="95"/>
      <c r="AP17" s="95"/>
      <c r="AQ17" s="95"/>
      <c r="AR17" s="95"/>
    </row>
    <row r="18" spans="1:44" ht="12" customHeight="1" x14ac:dyDescent="0.4">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9" t="str">
        <f t="shared" si="5"/>
        <v>APROBADO</v>
      </c>
      <c r="AI18" s="260"/>
      <c r="AJ18" s="260"/>
      <c r="AK18" s="260"/>
      <c r="AL18" s="260"/>
      <c r="AM18" s="261"/>
      <c r="AN18" s="95"/>
      <c r="AO18" s="95"/>
      <c r="AP18" s="95"/>
      <c r="AQ18" s="95"/>
      <c r="AR18" s="95"/>
    </row>
    <row r="19" spans="1:44" ht="12" customHeight="1" x14ac:dyDescent="0.4">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9" t="str">
        <f t="shared" si="5"/>
        <v>APROBADO</v>
      </c>
      <c r="AI19" s="260"/>
      <c r="AJ19" s="260"/>
      <c r="AK19" s="260"/>
      <c r="AL19" s="260"/>
      <c r="AM19" s="261"/>
      <c r="AN19" s="95"/>
      <c r="AO19" s="95"/>
      <c r="AP19" s="95"/>
      <c r="AQ19" s="95"/>
      <c r="AR19" s="95"/>
    </row>
    <row r="20" spans="1:44" ht="12" customHeight="1" x14ac:dyDescent="0.4">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9" t="str">
        <f t="shared" si="5"/>
        <v>APROBADO</v>
      </c>
      <c r="AI20" s="260"/>
      <c r="AJ20" s="260"/>
      <c r="AK20" s="260"/>
      <c r="AL20" s="260"/>
      <c r="AM20" s="261"/>
      <c r="AN20" s="95"/>
      <c r="AO20" s="95"/>
      <c r="AP20" s="95"/>
      <c r="AQ20" s="95"/>
      <c r="AR20" s="95"/>
    </row>
    <row r="21" spans="1:44" ht="12" customHeight="1" x14ac:dyDescent="0.4">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9" t="str">
        <f t="shared" si="5"/>
        <v>APROBADO</v>
      </c>
      <c r="AI21" s="260"/>
      <c r="AJ21" s="260"/>
      <c r="AK21" s="260"/>
      <c r="AL21" s="260"/>
      <c r="AM21" s="261"/>
      <c r="AN21" s="95"/>
      <c r="AO21" s="95"/>
      <c r="AP21" s="95"/>
      <c r="AQ21" s="95"/>
      <c r="AR21" s="95"/>
    </row>
    <row r="22" spans="1:44" ht="12" customHeight="1" x14ac:dyDescent="0.4">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9" t="str">
        <f t="shared" si="5"/>
        <v>APROBADO</v>
      </c>
      <c r="AI22" s="260"/>
      <c r="AJ22" s="260"/>
      <c r="AK22" s="260"/>
      <c r="AL22" s="260"/>
      <c r="AM22" s="261"/>
      <c r="AN22" s="95"/>
      <c r="AO22" s="95"/>
      <c r="AP22" s="95"/>
      <c r="AQ22" s="95"/>
      <c r="AR22" s="95"/>
    </row>
    <row r="23" spans="1:44" ht="12" customHeight="1" x14ac:dyDescent="0.4">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9" t="str">
        <f t="shared" si="5"/>
        <v>APROBADO</v>
      </c>
      <c r="AI23" s="260"/>
      <c r="AJ23" s="260"/>
      <c r="AK23" s="260"/>
      <c r="AL23" s="260"/>
      <c r="AM23" s="261"/>
      <c r="AN23" s="95"/>
      <c r="AO23" s="95"/>
      <c r="AP23" s="95"/>
      <c r="AQ23" s="95"/>
      <c r="AR23" s="95"/>
    </row>
    <row r="24" spans="1:44" ht="12" customHeight="1" x14ac:dyDescent="0.4">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9" t="str">
        <f t="shared" si="5"/>
        <v>APROBADO</v>
      </c>
      <c r="AI24" s="260"/>
      <c r="AJ24" s="260"/>
      <c r="AK24" s="260"/>
      <c r="AL24" s="260"/>
      <c r="AM24" s="261"/>
      <c r="AN24" s="95"/>
      <c r="AO24" s="95"/>
      <c r="AP24" s="95"/>
      <c r="AQ24" s="95"/>
      <c r="AR24" s="95"/>
    </row>
    <row r="25" spans="1:44" ht="12" customHeight="1" x14ac:dyDescent="0.4">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4">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4">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1875" defaultRowHeight="15" customHeight="1" x14ac:dyDescent="0.4"/>
  <cols>
    <col min="1" max="1" width="1.6640625" customWidth="1"/>
    <col min="2" max="2" width="20.6640625" customWidth="1"/>
    <col min="3" max="7" width="2.21875" customWidth="1"/>
    <col min="8" max="8" width="3.21875" customWidth="1"/>
    <col min="9" max="13" width="2.21875" customWidth="1"/>
    <col min="14" max="14" width="3.21875" customWidth="1"/>
    <col min="15" max="19" width="2.21875" customWidth="1"/>
    <col min="20" max="21" width="3.21875" customWidth="1"/>
    <col min="22" max="22" width="9" customWidth="1"/>
    <col min="23" max="24" width="2.21875" customWidth="1"/>
    <col min="25" max="28" width="1.6640625" customWidth="1"/>
  </cols>
  <sheetData>
    <row r="1" spans="1:28" ht="4.5" customHeight="1" x14ac:dyDescent="0.4"/>
    <row r="2" spans="1:28" ht="12.75" customHeight="1" x14ac:dyDescent="0.4">
      <c r="B2" s="210" t="s">
        <v>107</v>
      </c>
      <c r="C2" s="206"/>
      <c r="D2" s="206"/>
      <c r="E2" s="206"/>
      <c r="F2" s="206"/>
      <c r="G2" s="206"/>
      <c r="H2" s="206"/>
      <c r="I2" s="206"/>
      <c r="J2" s="206"/>
      <c r="K2" s="206"/>
      <c r="L2" s="206"/>
      <c r="M2" s="206"/>
      <c r="N2" s="206"/>
      <c r="O2" s="206"/>
      <c r="P2" s="206"/>
      <c r="Q2" s="206"/>
      <c r="R2" s="206"/>
      <c r="S2" s="206"/>
      <c r="T2" s="206"/>
      <c r="U2" s="206"/>
      <c r="V2" s="206"/>
      <c r="W2" s="206"/>
      <c r="X2" s="206"/>
      <c r="Y2" s="73"/>
      <c r="Z2" s="73"/>
      <c r="AA2" s="73"/>
      <c r="AB2" s="73"/>
    </row>
    <row r="3" spans="1:28" ht="12.75" customHeight="1" x14ac:dyDescent="0.4">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4">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4">
      <c r="B5" s="38" t="s">
        <v>22</v>
      </c>
      <c r="C5" s="97" t="str">
        <f>CARÁTULA!$C$23</f>
        <v>6to de Secundaria</v>
      </c>
      <c r="D5" s="40"/>
      <c r="E5" s="40"/>
      <c r="F5" s="40"/>
      <c r="G5" s="40"/>
      <c r="H5" s="40"/>
      <c r="I5" s="40"/>
      <c r="J5" s="40"/>
      <c r="K5" s="40"/>
      <c r="L5" s="40"/>
      <c r="M5" s="40"/>
      <c r="N5" s="38"/>
      <c r="O5" s="38"/>
      <c r="P5" s="38"/>
      <c r="Q5" s="38"/>
      <c r="R5" s="43" t="s">
        <v>23</v>
      </c>
      <c r="S5" s="44"/>
      <c r="T5" s="44"/>
      <c r="U5" s="224">
        <f ca="1">TODAY()</f>
        <v>44453</v>
      </c>
      <c r="V5" s="206"/>
      <c r="W5" s="206"/>
      <c r="X5" s="206"/>
    </row>
    <row r="6" spans="1:28" ht="12.75" customHeight="1" x14ac:dyDescent="0.4">
      <c r="B6" s="38"/>
      <c r="C6" s="281" t="s">
        <v>4</v>
      </c>
      <c r="D6" s="260"/>
      <c r="E6" s="260"/>
      <c r="F6" s="260"/>
      <c r="G6" s="260"/>
      <c r="H6" s="261"/>
      <c r="I6" s="281" t="s">
        <v>10</v>
      </c>
      <c r="J6" s="260"/>
      <c r="K6" s="260"/>
      <c r="L6" s="260"/>
      <c r="M6" s="260"/>
      <c r="N6" s="261"/>
      <c r="O6" s="281" t="s">
        <v>16</v>
      </c>
      <c r="P6" s="260"/>
      <c r="Q6" s="260"/>
      <c r="R6" s="260"/>
      <c r="S6" s="260"/>
      <c r="T6" s="261"/>
      <c r="U6" s="286" t="s">
        <v>108</v>
      </c>
      <c r="V6" s="282" t="s">
        <v>109</v>
      </c>
      <c r="W6" s="68"/>
      <c r="X6" s="68"/>
    </row>
    <row r="7" spans="1:28" ht="12" customHeight="1" x14ac:dyDescent="0.4">
      <c r="B7" s="47"/>
      <c r="C7" s="284"/>
      <c r="D7" s="260"/>
      <c r="E7" s="260"/>
      <c r="F7" s="260"/>
      <c r="G7" s="261"/>
      <c r="H7" s="285" t="s">
        <v>110</v>
      </c>
      <c r="I7" s="284"/>
      <c r="J7" s="260"/>
      <c r="K7" s="260"/>
      <c r="L7" s="260"/>
      <c r="M7" s="261"/>
      <c r="N7" s="285" t="s">
        <v>110</v>
      </c>
      <c r="O7" s="284"/>
      <c r="P7" s="260"/>
      <c r="Q7" s="260"/>
      <c r="R7" s="260"/>
      <c r="S7" s="261"/>
      <c r="T7" s="274" t="s">
        <v>110</v>
      </c>
      <c r="U7" s="283"/>
      <c r="V7" s="283"/>
      <c r="W7" s="40"/>
      <c r="X7" s="40"/>
    </row>
    <row r="8" spans="1:28" ht="67.5" customHeight="1" x14ac:dyDescent="0.4">
      <c r="A8" s="48" t="s">
        <v>55</v>
      </c>
      <c r="B8" s="49" t="s">
        <v>56</v>
      </c>
      <c r="C8" s="98" t="s">
        <v>81</v>
      </c>
      <c r="D8" s="99" t="s">
        <v>82</v>
      </c>
      <c r="E8" s="99" t="s">
        <v>84</v>
      </c>
      <c r="F8" s="99" t="s">
        <v>85</v>
      </c>
      <c r="G8" s="99" t="s">
        <v>111</v>
      </c>
      <c r="H8" s="264"/>
      <c r="I8" s="98" t="s">
        <v>81</v>
      </c>
      <c r="J8" s="99" t="s">
        <v>82</v>
      </c>
      <c r="K8" s="99" t="s">
        <v>84</v>
      </c>
      <c r="L8" s="99" t="s">
        <v>85</v>
      </c>
      <c r="M8" s="99" t="s">
        <v>111</v>
      </c>
      <c r="N8" s="264"/>
      <c r="O8" s="98" t="s">
        <v>81</v>
      </c>
      <c r="P8" s="99" t="s">
        <v>82</v>
      </c>
      <c r="Q8" s="99" t="s">
        <v>84</v>
      </c>
      <c r="R8" s="99" t="s">
        <v>85</v>
      </c>
      <c r="S8" s="99" t="s">
        <v>111</v>
      </c>
      <c r="T8" s="264"/>
      <c r="U8" s="264"/>
      <c r="V8" s="264"/>
      <c r="W8" s="100"/>
      <c r="X8" s="100"/>
    </row>
    <row r="9" spans="1:28" ht="12" customHeight="1" x14ac:dyDescent="0.4">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27</v>
      </c>
      <c r="K9" s="31">
        <f>'VAL 2 TRIM'!AB9</f>
        <v>32</v>
      </c>
      <c r="L9" s="31">
        <f>'VAL 2 TRIM'!AA9</f>
        <v>10</v>
      </c>
      <c r="M9" s="31">
        <f>'VAL 2 TRIM'!AE9</f>
        <v>10</v>
      </c>
      <c r="N9" s="101">
        <f>'VAL 2 TRIM'!AG9</f>
        <v>89</v>
      </c>
      <c r="O9" s="31">
        <f>'VAL 3 TRIM'!C9</f>
        <v>10</v>
      </c>
      <c r="P9" s="31">
        <f>'VAL 3 TRIM'!O9</f>
        <v>35</v>
      </c>
      <c r="Q9" s="31">
        <f>'VAL 3 TRIM'!AB9</f>
        <v>35</v>
      </c>
      <c r="R9" s="31">
        <f>'VAL 3 TRIM'!AA9</f>
        <v>10</v>
      </c>
      <c r="S9" s="31">
        <f>'VAL 3 TRIM'!AE9</f>
        <v>10</v>
      </c>
      <c r="T9" s="101">
        <f>'VAL 3 TRIM'!AG9</f>
        <v>100</v>
      </c>
      <c r="U9" s="102">
        <f t="shared" ref="U9:U44" si="0">AVERAGE(H9,N9,T9)</f>
        <v>93</v>
      </c>
      <c r="V9" s="103" t="str">
        <f t="shared" ref="V9:V44" si="1">IF(U9="","",(IF(AND(U9&gt;=1,U9&lt;=50.499),"REPROBADO",IF(AND(U9&gt;=50.5,U9&lt;=100),"APROBADO"))))</f>
        <v>APROBADO</v>
      </c>
      <c r="W9" s="104"/>
      <c r="X9" s="104"/>
    </row>
    <row r="10" spans="1:28" ht="12" customHeight="1" x14ac:dyDescent="0.4">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f>'VAL 2 TRIM'!AB10</f>
        <v>32</v>
      </c>
      <c r="L10" s="31">
        <f>'VAL 2 TRIM'!AA10</f>
        <v>10</v>
      </c>
      <c r="M10" s="31">
        <f>'VAL 2 TRIM'!AE10</f>
        <v>10</v>
      </c>
      <c r="N10" s="101">
        <f>'VAL 2 TRIM'!AG10</f>
        <v>94</v>
      </c>
      <c r="O10" s="31">
        <f>'VAL 3 TRIM'!C10</f>
        <v>10</v>
      </c>
      <c r="P10" s="31">
        <f>'VAL 3 TRIM'!O10</f>
        <v>35</v>
      </c>
      <c r="Q10" s="31">
        <f>'VAL 3 TRIM'!AB10</f>
        <v>35</v>
      </c>
      <c r="R10" s="31">
        <f>'VAL 3 TRIM'!AA10</f>
        <v>10</v>
      </c>
      <c r="S10" s="48">
        <f>'VAL 3 TRIM'!AE10</f>
        <v>10</v>
      </c>
      <c r="T10" s="101">
        <f>'VAL 3 TRIM'!AG10</f>
        <v>100</v>
      </c>
      <c r="U10" s="102">
        <f t="shared" si="0"/>
        <v>94.666666666666671</v>
      </c>
      <c r="V10" s="103" t="str">
        <f t="shared" si="1"/>
        <v>APROBADO</v>
      </c>
      <c r="W10" s="104"/>
      <c r="X10" s="104"/>
    </row>
    <row r="11" spans="1:28" ht="12" customHeight="1" x14ac:dyDescent="0.4">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7</v>
      </c>
      <c r="K11" s="31">
        <f>'VAL 2 TRIM'!AB11</f>
        <v>4</v>
      </c>
      <c r="L11" s="31">
        <f>'VAL 2 TRIM'!AA11</f>
        <v>10</v>
      </c>
      <c r="M11" s="31">
        <f>'VAL 2 TRIM'!AE11</f>
        <v>10</v>
      </c>
      <c r="N11" s="101">
        <f>'VAL 2 TRIM'!AG11</f>
        <v>41</v>
      </c>
      <c r="O11" s="31">
        <f>'VAL 3 TRIM'!C11</f>
        <v>10</v>
      </c>
      <c r="P11" s="31">
        <f>'VAL 3 TRIM'!O11</f>
        <v>35</v>
      </c>
      <c r="Q11" s="31">
        <f>'VAL 3 TRIM'!AB11</f>
        <v>35</v>
      </c>
      <c r="R11" s="31">
        <f>'VAL 3 TRIM'!AA11</f>
        <v>10</v>
      </c>
      <c r="S11" s="48">
        <f>'VAL 3 TRIM'!AE11</f>
        <v>10</v>
      </c>
      <c r="T11" s="101">
        <f>'VAL 3 TRIM'!AG11</f>
        <v>100</v>
      </c>
      <c r="U11" s="102">
        <f t="shared" si="0"/>
        <v>77</v>
      </c>
      <c r="V11" s="103" t="str">
        <f t="shared" si="1"/>
        <v>APROBADO</v>
      </c>
      <c r="W11" s="104"/>
      <c r="X11" s="104"/>
    </row>
    <row r="12" spans="1:28" ht="12" customHeight="1" x14ac:dyDescent="0.4">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4</v>
      </c>
      <c r="L12" s="31">
        <f>'VAL 2 TRIM'!AA12</f>
        <v>10</v>
      </c>
      <c r="M12" s="31">
        <f>'VAL 2 TRIM'!AE12</f>
        <v>10</v>
      </c>
      <c r="N12" s="101">
        <f>'VAL 2 TRIM'!AG12</f>
        <v>34</v>
      </c>
      <c r="O12" s="31">
        <f>'VAL 3 TRIM'!C12</f>
        <v>10</v>
      </c>
      <c r="P12" s="31">
        <f>'VAL 3 TRIM'!O12</f>
        <v>35</v>
      </c>
      <c r="Q12" s="31">
        <f>'VAL 3 TRIM'!AB12</f>
        <v>35</v>
      </c>
      <c r="R12" s="31">
        <f>'VAL 3 TRIM'!AA12</f>
        <v>10</v>
      </c>
      <c r="S12" s="48">
        <f>'VAL 3 TRIM'!AE12</f>
        <v>10</v>
      </c>
      <c r="T12" s="101">
        <f>'VAL 3 TRIM'!AG12</f>
        <v>100</v>
      </c>
      <c r="U12" s="102">
        <f t="shared" si="0"/>
        <v>61.333333333333336</v>
      </c>
      <c r="V12" s="103" t="str">
        <f t="shared" si="1"/>
        <v>APROBADO</v>
      </c>
      <c r="W12" s="104"/>
      <c r="X12" s="104"/>
    </row>
    <row r="13" spans="1:28" ht="12" customHeight="1" x14ac:dyDescent="0.4">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23</v>
      </c>
      <c r="K13" s="31">
        <f>'VAL 2 TRIM'!AB13</f>
        <v>21</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4">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25</v>
      </c>
      <c r="K14" s="31">
        <f>'VAL 2 TRIM'!AB14</f>
        <v>25</v>
      </c>
      <c r="L14" s="31">
        <f>'VAL 2 TRIM'!AA14</f>
        <v>10</v>
      </c>
      <c r="M14" s="31">
        <f>'VAL 2 TRIM'!AE14</f>
        <v>10</v>
      </c>
      <c r="N14" s="101">
        <f>'VAL 2 TRIM'!AG14</f>
        <v>80</v>
      </c>
      <c r="O14" s="31">
        <f>'VAL 3 TRIM'!C14</f>
        <v>10</v>
      </c>
      <c r="P14" s="31">
        <f>'VAL 3 TRIM'!O14</f>
        <v>35</v>
      </c>
      <c r="Q14" s="31">
        <f>'VAL 3 TRIM'!AB14</f>
        <v>35</v>
      </c>
      <c r="R14" s="31">
        <f>'VAL 3 TRIM'!AA14</f>
        <v>10</v>
      </c>
      <c r="S14" s="48">
        <f>'VAL 3 TRIM'!AE14</f>
        <v>10</v>
      </c>
      <c r="T14" s="101">
        <f>'VAL 3 TRIM'!AG14</f>
        <v>100</v>
      </c>
      <c r="U14" s="102">
        <f t="shared" si="0"/>
        <v>90</v>
      </c>
      <c r="V14" s="103" t="str">
        <f t="shared" si="1"/>
        <v>APROBADO</v>
      </c>
      <c r="W14" s="104"/>
      <c r="X14" s="104"/>
    </row>
    <row r="15" spans="1:28" ht="12" customHeight="1" x14ac:dyDescent="0.4">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0</v>
      </c>
      <c r="K15" s="31">
        <f>'VAL 2 TRIM'!AB15</f>
        <v>0</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4">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25</v>
      </c>
      <c r="K16" s="31">
        <f>'VAL 2 TRIM'!AB16</f>
        <v>20</v>
      </c>
      <c r="L16" s="31">
        <f>'VAL 2 TRIM'!AA16</f>
        <v>10</v>
      </c>
      <c r="M16" s="31">
        <f>'VAL 2 TRIM'!AE16</f>
        <v>10</v>
      </c>
      <c r="N16" s="101">
        <f>'VAL 2 TRIM'!AG16</f>
        <v>75</v>
      </c>
      <c r="O16" s="31">
        <f>'VAL 3 TRIM'!C16</f>
        <v>10</v>
      </c>
      <c r="P16" s="31">
        <f>'VAL 3 TRIM'!O16</f>
        <v>35</v>
      </c>
      <c r="Q16" s="31">
        <f>'VAL 3 TRIM'!AB16</f>
        <v>35</v>
      </c>
      <c r="R16" s="31">
        <f>'VAL 3 TRIM'!AA16</f>
        <v>10</v>
      </c>
      <c r="S16" s="48">
        <f>'VAL 3 TRIM'!AE16</f>
        <v>10</v>
      </c>
      <c r="T16" s="101">
        <f>'VAL 3 TRIM'!AG16</f>
        <v>100</v>
      </c>
      <c r="U16" s="102">
        <f t="shared" si="0"/>
        <v>88.333333333333329</v>
      </c>
      <c r="V16" s="103" t="str">
        <f t="shared" si="1"/>
        <v>APROBADO</v>
      </c>
      <c r="W16" s="104"/>
      <c r="X16" s="104"/>
    </row>
    <row r="17" spans="1:24" ht="12" customHeight="1" x14ac:dyDescent="0.4">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23</v>
      </c>
      <c r="K17" s="31">
        <f>'VAL 2 TRIM'!AB17</f>
        <v>22</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88.333333333333329</v>
      </c>
      <c r="V17" s="103" t="str">
        <f t="shared" si="1"/>
        <v>APROBADO</v>
      </c>
      <c r="W17" s="104"/>
      <c r="X17" s="104"/>
    </row>
    <row r="18" spans="1:24" ht="12" customHeight="1" x14ac:dyDescent="0.4">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24</v>
      </c>
      <c r="K18" s="31">
        <f>'VAL 2 TRIM'!AB18</f>
        <v>21</v>
      </c>
      <c r="L18" s="31">
        <f>'VAL 2 TRIM'!AA18</f>
        <v>10</v>
      </c>
      <c r="M18" s="31">
        <f>'VAL 2 TRIM'!AE18</f>
        <v>10</v>
      </c>
      <c r="N18" s="101">
        <f>'VAL 2 TRIM'!AG18</f>
        <v>75</v>
      </c>
      <c r="O18" s="31">
        <f>'VAL 3 TRIM'!C18</f>
        <v>10</v>
      </c>
      <c r="P18" s="31">
        <f>'VAL 3 TRIM'!O18</f>
        <v>35</v>
      </c>
      <c r="Q18" s="31">
        <f>'VAL 3 TRIM'!AB18</f>
        <v>35</v>
      </c>
      <c r="R18" s="31">
        <f>'VAL 3 TRIM'!AA18</f>
        <v>10</v>
      </c>
      <c r="S18" s="48">
        <f>'VAL 3 TRIM'!AE18</f>
        <v>10</v>
      </c>
      <c r="T18" s="101">
        <f>'VAL 3 TRIM'!AG18</f>
        <v>100</v>
      </c>
      <c r="U18" s="102">
        <f t="shared" si="0"/>
        <v>88.333333333333329</v>
      </c>
      <c r="V18" s="103" t="str">
        <f t="shared" si="1"/>
        <v>APROBADO</v>
      </c>
      <c r="W18" s="104"/>
      <c r="X18" s="104"/>
    </row>
    <row r="19" spans="1:24" ht="12" customHeight="1" x14ac:dyDescent="0.4">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18</v>
      </c>
      <c r="K19" s="31">
        <f>'VAL 2 TRIM'!AB19</f>
        <v>6</v>
      </c>
      <c r="L19" s="31">
        <f>'VAL 2 TRIM'!AA19</f>
        <v>10</v>
      </c>
      <c r="M19" s="31">
        <f>'VAL 2 TRIM'!AE19</f>
        <v>10</v>
      </c>
      <c r="N19" s="101">
        <f>'VAL 2 TRIM'!AG19</f>
        <v>54</v>
      </c>
      <c r="O19" s="31">
        <f>'VAL 3 TRIM'!C19</f>
        <v>10</v>
      </c>
      <c r="P19" s="31">
        <f>'VAL 3 TRIM'!O19</f>
        <v>35</v>
      </c>
      <c r="Q19" s="31">
        <f>'VAL 3 TRIM'!AB19</f>
        <v>35</v>
      </c>
      <c r="R19" s="31">
        <f>'VAL 3 TRIM'!AA19</f>
        <v>10</v>
      </c>
      <c r="S19" s="48">
        <f>'VAL 3 TRIM'!AE19</f>
        <v>10</v>
      </c>
      <c r="T19" s="101">
        <f>'VAL 3 TRIM'!AG19</f>
        <v>100</v>
      </c>
      <c r="U19" s="102">
        <f t="shared" si="0"/>
        <v>81.333333333333329</v>
      </c>
      <c r="V19" s="103" t="str">
        <f t="shared" si="1"/>
        <v>APROBADO</v>
      </c>
      <c r="W19" s="104"/>
      <c r="X19" s="104"/>
    </row>
    <row r="20" spans="1:24" ht="12" customHeight="1" x14ac:dyDescent="0.4">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10</v>
      </c>
      <c r="K20" s="31">
        <f>'VAL 2 TRIM'!AB20</f>
        <v>10</v>
      </c>
      <c r="L20" s="31">
        <f>'VAL 2 TRIM'!AA20</f>
        <v>10</v>
      </c>
      <c r="M20" s="31">
        <f>'VAL 2 TRIM'!AE20</f>
        <v>10</v>
      </c>
      <c r="N20" s="101">
        <f>'VAL 2 TRIM'!AG20</f>
        <v>50</v>
      </c>
      <c r="O20" s="31">
        <f>'VAL 3 TRIM'!C20</f>
        <v>10</v>
      </c>
      <c r="P20" s="31">
        <f>'VAL 3 TRIM'!O20</f>
        <v>35</v>
      </c>
      <c r="Q20" s="31">
        <f>'VAL 3 TRIM'!AB20</f>
        <v>35</v>
      </c>
      <c r="R20" s="31">
        <f>'VAL 3 TRIM'!AA20</f>
        <v>10</v>
      </c>
      <c r="S20" s="48">
        <f>'VAL 3 TRIM'!AE20</f>
        <v>10</v>
      </c>
      <c r="T20" s="101">
        <f>'VAL 3 TRIM'!AG20</f>
        <v>100</v>
      </c>
      <c r="U20" s="102">
        <f t="shared" si="0"/>
        <v>80</v>
      </c>
      <c r="V20" s="103" t="str">
        <f t="shared" si="1"/>
        <v>APROBADO</v>
      </c>
      <c r="W20" s="104"/>
      <c r="X20" s="104"/>
    </row>
    <row r="21" spans="1:24" ht="12" customHeight="1" x14ac:dyDescent="0.4">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19</v>
      </c>
      <c r="K21" s="31">
        <f>'VAL 2 TRIM'!AB21</f>
        <v>10</v>
      </c>
      <c r="L21" s="31">
        <f>'VAL 2 TRIM'!AA21</f>
        <v>10</v>
      </c>
      <c r="M21" s="31">
        <f>'VAL 2 TRIM'!AE21</f>
        <v>10</v>
      </c>
      <c r="N21" s="101">
        <f>'VAL 2 TRIM'!AG21</f>
        <v>59</v>
      </c>
      <c r="O21" s="31">
        <f>'VAL 3 TRIM'!C21</f>
        <v>10</v>
      </c>
      <c r="P21" s="31">
        <f>'VAL 3 TRIM'!O21</f>
        <v>35</v>
      </c>
      <c r="Q21" s="31">
        <f>'VAL 3 TRIM'!AB21</f>
        <v>35</v>
      </c>
      <c r="R21" s="31">
        <f>'VAL 3 TRIM'!AA21</f>
        <v>10</v>
      </c>
      <c r="S21" s="48">
        <f>'VAL 3 TRIM'!AE21</f>
        <v>10</v>
      </c>
      <c r="T21" s="101">
        <f>'VAL 3 TRIM'!AG21</f>
        <v>100</v>
      </c>
      <c r="U21" s="102">
        <f t="shared" si="0"/>
        <v>83</v>
      </c>
      <c r="V21" s="103" t="str">
        <f t="shared" si="1"/>
        <v>APROBADO</v>
      </c>
      <c r="W21" s="104"/>
      <c r="X21" s="104"/>
    </row>
    <row r="22" spans="1:24" ht="12" customHeight="1" x14ac:dyDescent="0.4">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12</v>
      </c>
      <c r="K22" s="31">
        <f>'VAL 2 TRIM'!AB22</f>
        <v>9</v>
      </c>
      <c r="L22" s="31">
        <f>'VAL 2 TRIM'!AA22</f>
        <v>10</v>
      </c>
      <c r="M22" s="31">
        <f>'VAL 2 TRIM'!AE22</f>
        <v>10</v>
      </c>
      <c r="N22" s="101">
        <f>'VAL 2 TRIM'!AG22</f>
        <v>51</v>
      </c>
      <c r="O22" s="31">
        <f>'VAL 3 TRIM'!C22</f>
        <v>10</v>
      </c>
      <c r="P22" s="31">
        <f>'VAL 3 TRIM'!O22</f>
        <v>35</v>
      </c>
      <c r="Q22" s="31">
        <f>'VAL 3 TRIM'!AB22</f>
        <v>35</v>
      </c>
      <c r="R22" s="31">
        <f>'VAL 3 TRIM'!AA22</f>
        <v>10</v>
      </c>
      <c r="S22" s="48">
        <f>'VAL 3 TRIM'!AE22</f>
        <v>10</v>
      </c>
      <c r="T22" s="101">
        <f>'VAL 3 TRIM'!AG22</f>
        <v>100</v>
      </c>
      <c r="U22" s="102">
        <f t="shared" si="0"/>
        <v>80.333333333333329</v>
      </c>
      <c r="V22" s="103" t="str">
        <f t="shared" si="1"/>
        <v>APROBADO</v>
      </c>
      <c r="W22" s="104"/>
      <c r="X22" s="104"/>
    </row>
    <row r="23" spans="1:24" ht="12" customHeight="1" x14ac:dyDescent="0.4">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f>'VAL 2 TRIM'!AB23</f>
        <v>14</v>
      </c>
      <c r="L23" s="31">
        <f>'VAL 2 TRIM'!AA23</f>
        <v>10</v>
      </c>
      <c r="M23" s="31">
        <f>'VAL 2 TRIM'!AE23</f>
        <v>10</v>
      </c>
      <c r="N23" s="101">
        <f>'VAL 2 TRIM'!AG23</f>
        <v>69</v>
      </c>
      <c r="O23" s="31">
        <f>'VAL 3 TRIM'!C23</f>
        <v>10</v>
      </c>
      <c r="P23" s="31">
        <f>'VAL 3 TRIM'!O23</f>
        <v>35</v>
      </c>
      <c r="Q23" s="31">
        <f>'VAL 3 TRIM'!AB23</f>
        <v>35</v>
      </c>
      <c r="R23" s="31">
        <f>'VAL 3 TRIM'!AA23</f>
        <v>10</v>
      </c>
      <c r="S23" s="48">
        <f>'VAL 3 TRIM'!AE23</f>
        <v>10</v>
      </c>
      <c r="T23" s="101">
        <f>'VAL 3 TRIM'!AG23</f>
        <v>100</v>
      </c>
      <c r="U23" s="102">
        <f t="shared" si="0"/>
        <v>86.333333333333329</v>
      </c>
      <c r="V23" s="103" t="str">
        <f t="shared" si="1"/>
        <v>APROBADO</v>
      </c>
      <c r="W23" s="104"/>
      <c r="X23" s="104"/>
    </row>
    <row r="24" spans="1:24" ht="12" customHeight="1" x14ac:dyDescent="0.4">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3</v>
      </c>
      <c r="K24" s="31">
        <f>'VAL 2 TRIM'!AB24</f>
        <v>0</v>
      </c>
      <c r="L24" s="31">
        <f>'VAL 2 TRIM'!AA24</f>
        <v>10</v>
      </c>
      <c r="M24" s="31">
        <f>'VAL 2 TRIM'!AE24</f>
        <v>10</v>
      </c>
      <c r="N24" s="101">
        <f>'VAL 2 TRIM'!AG24</f>
        <v>33</v>
      </c>
      <c r="O24" s="31">
        <f>'VAL 3 TRIM'!C24</f>
        <v>10</v>
      </c>
      <c r="P24" s="31">
        <f>'VAL 3 TRIM'!O24</f>
        <v>35</v>
      </c>
      <c r="Q24" s="31">
        <f>'VAL 3 TRIM'!AB24</f>
        <v>35</v>
      </c>
      <c r="R24" s="31">
        <f>'VAL 3 TRIM'!AA24</f>
        <v>10</v>
      </c>
      <c r="S24" s="48">
        <f>'VAL 3 TRIM'!AE24</f>
        <v>10</v>
      </c>
      <c r="T24" s="101">
        <f>'VAL 3 TRIM'!AG24</f>
        <v>100</v>
      </c>
      <c r="U24" s="102">
        <f t="shared" si="0"/>
        <v>74.333333333333329</v>
      </c>
      <c r="V24" s="103" t="str">
        <f t="shared" si="1"/>
        <v>APROBADO</v>
      </c>
      <c r="W24" s="104"/>
      <c r="X24" s="104"/>
    </row>
    <row r="25" spans="1:24" ht="12" customHeight="1" x14ac:dyDescent="0.4">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25</v>
      </c>
      <c r="L25" s="31">
        <f>'VAL 2 TRIM'!AA25</f>
        <v>10</v>
      </c>
      <c r="M25" s="31">
        <f>'VAL 2 TRIM'!AE25</f>
        <v>10</v>
      </c>
      <c r="N25" s="101">
        <f>'VAL 2 TRIM'!AG25</f>
        <v>81</v>
      </c>
      <c r="O25" s="31">
        <f>'VAL 3 TRIM'!C25</f>
        <v>10</v>
      </c>
      <c r="P25" s="31">
        <f>'VAL 3 TRIM'!O25</f>
        <v>35</v>
      </c>
      <c r="Q25" s="31">
        <f>'VAL 3 TRIM'!AB25</f>
        <v>35</v>
      </c>
      <c r="R25" s="31">
        <f>'VAL 3 TRIM'!AA25</f>
        <v>10</v>
      </c>
      <c r="S25" s="48">
        <f>'VAL 3 TRIM'!AE25</f>
        <v>10</v>
      </c>
      <c r="T25" s="101">
        <f>'VAL 3 TRIM'!AG25</f>
        <v>100</v>
      </c>
      <c r="U25" s="102">
        <f t="shared" si="0"/>
        <v>90.333333333333329</v>
      </c>
      <c r="V25" s="103" t="str">
        <f t="shared" si="1"/>
        <v>APROBADO</v>
      </c>
      <c r="W25" s="104"/>
      <c r="X25" s="104"/>
    </row>
    <row r="26" spans="1:24" ht="12" customHeight="1" x14ac:dyDescent="0.4">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11</v>
      </c>
      <c r="K26" s="31">
        <f>'VAL 2 TRIM'!AB26</f>
        <v>3</v>
      </c>
      <c r="L26" s="31">
        <f>'VAL 2 TRIM'!AA26</f>
        <v>10</v>
      </c>
      <c r="M26" s="31">
        <f>'VAL 2 TRIM'!AE26</f>
        <v>10</v>
      </c>
      <c r="N26" s="101">
        <f>'VAL 2 TRIM'!AG26</f>
        <v>44</v>
      </c>
      <c r="O26" s="31">
        <f>'VAL 3 TRIM'!C26</f>
        <v>10</v>
      </c>
      <c r="P26" s="31">
        <f>'VAL 3 TRIM'!O26</f>
        <v>35</v>
      </c>
      <c r="Q26" s="31">
        <f>'VAL 3 TRIM'!AB26</f>
        <v>35</v>
      </c>
      <c r="R26" s="31">
        <f>'VAL 3 TRIM'!AA26</f>
        <v>10</v>
      </c>
      <c r="S26" s="48">
        <f>'VAL 3 TRIM'!AE26</f>
        <v>10</v>
      </c>
      <c r="T26" s="101">
        <f>'VAL 3 TRIM'!AG26</f>
        <v>100</v>
      </c>
      <c r="U26" s="102">
        <f t="shared" si="0"/>
        <v>81.333333333333329</v>
      </c>
      <c r="V26" s="103" t="str">
        <f t="shared" si="1"/>
        <v>APROBADO</v>
      </c>
      <c r="W26" s="104"/>
      <c r="X26" s="104"/>
    </row>
    <row r="27" spans="1:24" ht="12" customHeight="1" x14ac:dyDescent="0.4">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16</v>
      </c>
      <c r="K27" s="31">
        <f>'VAL 2 TRIM'!AB27</f>
        <v>15</v>
      </c>
      <c r="L27" s="31">
        <f>'VAL 2 TRIM'!AA27</f>
        <v>10</v>
      </c>
      <c r="M27" s="31">
        <f>'VAL 2 TRIM'!AE27</f>
        <v>10</v>
      </c>
      <c r="N27" s="101">
        <f>'VAL 2 TRIM'!AG27</f>
        <v>61</v>
      </c>
      <c r="O27" s="31">
        <f>'VAL 3 TRIM'!C27</f>
        <v>10</v>
      </c>
      <c r="P27" s="31">
        <f>'VAL 3 TRIM'!O27</f>
        <v>35</v>
      </c>
      <c r="Q27" s="31">
        <f>'VAL 3 TRIM'!AB27</f>
        <v>35</v>
      </c>
      <c r="R27" s="31">
        <f>'VAL 3 TRIM'!AA27</f>
        <v>10</v>
      </c>
      <c r="S27" s="48">
        <f>'VAL 3 TRIM'!AE27</f>
        <v>10</v>
      </c>
      <c r="T27" s="101">
        <f>'VAL 3 TRIM'!AG27</f>
        <v>100</v>
      </c>
      <c r="U27" s="102">
        <f t="shared" si="0"/>
        <v>87</v>
      </c>
      <c r="V27" s="103" t="str">
        <f t="shared" si="1"/>
        <v>APROBADO</v>
      </c>
      <c r="W27" s="104"/>
      <c r="X27" s="104"/>
    </row>
    <row r="28" spans="1:24" ht="12" customHeight="1" x14ac:dyDescent="0.4">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
    <row r="46" spans="1:24" ht="12.75" customHeight="1" x14ac:dyDescent="0.4"/>
    <row r="47" spans="1:24" ht="12.75" customHeight="1" x14ac:dyDescent="0.4"/>
    <row r="48" spans="1:2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1875" defaultRowHeight="15" customHeight="1" x14ac:dyDescent="0.4"/>
  <cols>
    <col min="1" max="1" width="1.6640625" customWidth="1"/>
    <col min="2" max="2" width="20.6640625" customWidth="1"/>
    <col min="3" max="6" width="3.6640625" customWidth="1"/>
    <col min="7" max="7" width="9" customWidth="1"/>
    <col min="8" max="8" width="1.21875" customWidth="1"/>
    <col min="9" max="11" width="3.6640625" customWidth="1"/>
    <col min="12" max="13" width="4.6640625" customWidth="1"/>
    <col min="14" max="26" width="8.71875" customWidth="1"/>
  </cols>
  <sheetData>
    <row r="1" spans="1:13" ht="4.5" customHeight="1" x14ac:dyDescent="0.4"/>
    <row r="2" spans="1:13" ht="12.75" customHeight="1" x14ac:dyDescent="0.4">
      <c r="B2" s="210" t="s">
        <v>107</v>
      </c>
      <c r="C2" s="206"/>
      <c r="D2" s="206"/>
      <c r="E2" s="206"/>
      <c r="F2" s="206"/>
      <c r="G2" s="206"/>
      <c r="H2" s="206"/>
      <c r="I2" s="73"/>
      <c r="J2" s="73"/>
      <c r="K2" s="73"/>
      <c r="L2" s="73"/>
      <c r="M2" s="73"/>
    </row>
    <row r="3" spans="1:13" ht="12.75" customHeight="1" x14ac:dyDescent="0.4">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4">
      <c r="B4" s="38" t="s">
        <v>14</v>
      </c>
      <c r="C4" s="39" t="str">
        <f>CARÁTULA!$C$21</f>
        <v>Secundaria</v>
      </c>
      <c r="D4" s="41"/>
      <c r="E4" s="40"/>
      <c r="F4" s="39"/>
      <c r="G4" s="40"/>
      <c r="H4" s="40"/>
      <c r="I4" s="40"/>
      <c r="J4" s="38" t="s">
        <v>52</v>
      </c>
      <c r="K4" s="106"/>
      <c r="L4" s="39">
        <f>CARÁTULA!$C$19</f>
        <v>0</v>
      </c>
      <c r="M4" s="106"/>
    </row>
    <row r="5" spans="1:13" ht="12.75" customHeight="1" x14ac:dyDescent="0.4">
      <c r="B5" s="38" t="s">
        <v>22</v>
      </c>
      <c r="C5" s="39" t="str">
        <f>CARÁTULA!$C$23</f>
        <v>6to de Secundaria</v>
      </c>
      <c r="D5" s="38"/>
      <c r="E5" s="44"/>
      <c r="F5" s="289"/>
      <c r="G5" s="268"/>
      <c r="H5" s="44"/>
      <c r="I5" s="44"/>
      <c r="J5" s="38" t="s">
        <v>23</v>
      </c>
      <c r="K5" s="106"/>
      <c r="L5" s="224">
        <f ca="1">TODAY()</f>
        <v>44453</v>
      </c>
      <c r="M5" s="206"/>
    </row>
    <row r="6" spans="1:13" ht="12.75" customHeight="1" x14ac:dyDescent="0.4">
      <c r="B6" s="38"/>
      <c r="C6" s="290" t="s">
        <v>112</v>
      </c>
      <c r="D6" s="260"/>
      <c r="E6" s="261"/>
      <c r="F6" s="286" t="s">
        <v>108</v>
      </c>
      <c r="G6" s="282" t="s">
        <v>109</v>
      </c>
      <c r="H6" s="68"/>
      <c r="I6" s="68"/>
    </row>
    <row r="7" spans="1:13" ht="12" customHeight="1" x14ac:dyDescent="0.4">
      <c r="B7" s="47"/>
      <c r="C7" s="287" t="s">
        <v>4</v>
      </c>
      <c r="D7" s="287" t="s">
        <v>113</v>
      </c>
      <c r="E7" s="288" t="s">
        <v>16</v>
      </c>
      <c r="F7" s="283"/>
      <c r="G7" s="283"/>
      <c r="H7" s="40"/>
      <c r="I7" s="40"/>
    </row>
    <row r="8" spans="1:13" ht="67.5" customHeight="1" x14ac:dyDescent="0.4">
      <c r="A8" s="48" t="s">
        <v>55</v>
      </c>
      <c r="B8" s="49" t="s">
        <v>56</v>
      </c>
      <c r="C8" s="264"/>
      <c r="D8" s="264"/>
      <c r="E8" s="264"/>
      <c r="F8" s="264"/>
      <c r="G8" s="264"/>
      <c r="H8" s="100"/>
      <c r="I8" s="100" t="s">
        <v>114</v>
      </c>
      <c r="J8" s="100" t="s">
        <v>115</v>
      </c>
      <c r="K8" s="100" t="s">
        <v>116</v>
      </c>
    </row>
    <row r="9" spans="1:13" ht="12" customHeight="1" x14ac:dyDescent="0.4">
      <c r="A9" s="59">
        <v>1</v>
      </c>
      <c r="B9" s="60" t="str">
        <f>'C. FILIACION'!B8</f>
        <v>ALTAMIRANO RAMOS ESTEFANI MILENKA</v>
      </c>
      <c r="C9" s="101">
        <f>'VAL 1 TRIM '!AG9</f>
        <v>90</v>
      </c>
      <c r="D9" s="101">
        <f>'VAL 2 TRIM'!AG9</f>
        <v>89</v>
      </c>
      <c r="E9" s="101">
        <f>'VAL 3 TRIM'!AG9</f>
        <v>100</v>
      </c>
      <c r="F9" s="102">
        <f>'CENTRAL 1'!U9</f>
        <v>93</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4">
      <c r="A10" s="59">
        <v>2</v>
      </c>
      <c r="B10" s="60" t="str">
        <f>'C. FILIACION'!B9</f>
        <v>APAZA LINO TATIANA JAZMIN</v>
      </c>
      <c r="C10" s="101">
        <f>'VAL 1 TRIM '!AG10</f>
        <v>90</v>
      </c>
      <c r="D10" s="101">
        <f>'VAL 2 TRIM'!AG10</f>
        <v>94</v>
      </c>
      <c r="E10" s="101">
        <f>'VAL 3 TRIM'!AG10</f>
        <v>100</v>
      </c>
      <c r="F10" s="102">
        <f>'CENTRAL 1'!U10</f>
        <v>94.666666666666671</v>
      </c>
      <c r="G10" s="103" t="str">
        <f t="shared" si="0"/>
        <v>APROBADO</v>
      </c>
      <c r="H10" s="104"/>
      <c r="I10" s="108" t="s">
        <v>117</v>
      </c>
      <c r="J10" s="109"/>
    </row>
    <row r="11" spans="1:13" ht="12" customHeight="1" x14ac:dyDescent="0.4">
      <c r="A11" s="59">
        <v>3</v>
      </c>
      <c r="B11" s="60" t="str">
        <f>'C. FILIACION'!B10</f>
        <v>BOLAÑOS OVANDO MIJHAIL ALEXANDER</v>
      </c>
      <c r="C11" s="101">
        <f>'VAL 1 TRIM '!AG11</f>
        <v>90</v>
      </c>
      <c r="D11" s="101">
        <f>'VAL 2 TRIM'!AG11</f>
        <v>41</v>
      </c>
      <c r="E11" s="101">
        <f>'VAL 3 TRIM'!AG11</f>
        <v>100</v>
      </c>
      <c r="F11" s="102">
        <f>'CENTRAL 1'!U11</f>
        <v>77</v>
      </c>
      <c r="G11" s="103" t="str">
        <f t="shared" si="0"/>
        <v>APROBADO</v>
      </c>
      <c r="H11" s="104"/>
      <c r="I11" s="104"/>
    </row>
    <row r="12" spans="1:13" ht="12" customHeight="1" x14ac:dyDescent="0.4">
      <c r="A12" s="59">
        <v>4</v>
      </c>
      <c r="B12" s="60" t="str">
        <f>'C. FILIACION'!B11</f>
        <v>BRICHER ETHELBERT ISMAEL</v>
      </c>
      <c r="C12" s="101">
        <f>'VAL 1 TRIM '!AG12</f>
        <v>50</v>
      </c>
      <c r="D12" s="101">
        <f>'VAL 2 TRIM'!AG12</f>
        <v>34</v>
      </c>
      <c r="E12" s="101">
        <f>'VAL 3 TRIM'!AG12</f>
        <v>100</v>
      </c>
      <c r="F12" s="102">
        <f>'CENTRAL 1'!U12</f>
        <v>61.333333333333336</v>
      </c>
      <c r="G12" s="103" t="str">
        <f t="shared" si="0"/>
        <v>APROBADO</v>
      </c>
      <c r="H12" s="104"/>
      <c r="I12" s="104"/>
    </row>
    <row r="13" spans="1:13" ht="12" customHeight="1" x14ac:dyDescent="0.4">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7</v>
      </c>
      <c r="K13" s="107">
        <f t="shared" si="2"/>
        <v>0</v>
      </c>
    </row>
    <row r="14" spans="1:13" ht="12" customHeight="1" x14ac:dyDescent="0.4">
      <c r="A14" s="59">
        <v>6</v>
      </c>
      <c r="B14" s="60" t="str">
        <f>'C. FILIACION'!B13</f>
        <v>GOMEZ BELTRAN ALBERT NORMAN</v>
      </c>
      <c r="C14" s="101">
        <f>'VAL 1 TRIM '!AG14</f>
        <v>90</v>
      </c>
      <c r="D14" s="101">
        <f>'VAL 2 TRIM'!AG14</f>
        <v>80</v>
      </c>
      <c r="E14" s="101">
        <f>'VAL 3 TRIM'!AG14</f>
        <v>100</v>
      </c>
      <c r="F14" s="102">
        <f>'CENTRAL 1'!U14</f>
        <v>90</v>
      </c>
      <c r="G14" s="103" t="str">
        <f t="shared" si="0"/>
        <v>APROBADO</v>
      </c>
      <c r="H14" s="104"/>
      <c r="I14" s="108" t="s">
        <v>118</v>
      </c>
    </row>
    <row r="15" spans="1:13" ht="12" customHeight="1" x14ac:dyDescent="0.4">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4">
      <c r="A16" s="59">
        <v>8</v>
      </c>
      <c r="B16" s="60" t="str">
        <f>'C. FILIACION'!B15</f>
        <v>GONZALES ZUAZO KALEB RAMSES</v>
      </c>
      <c r="C16" s="101">
        <f>'VAL 1 TRIM '!AG16</f>
        <v>90</v>
      </c>
      <c r="D16" s="101">
        <f>'VAL 2 TRIM'!AG16</f>
        <v>75</v>
      </c>
      <c r="E16" s="101">
        <f>'VAL 3 TRIM'!AG16</f>
        <v>100</v>
      </c>
      <c r="F16" s="102">
        <f>'CENTRAL 1'!U16</f>
        <v>88.333333333333329</v>
      </c>
      <c r="G16" s="103" t="str">
        <f t="shared" si="0"/>
        <v>APROBADO</v>
      </c>
      <c r="H16" s="104"/>
      <c r="I16" s="104"/>
    </row>
    <row r="17" spans="1:9" ht="12" customHeight="1" x14ac:dyDescent="0.4">
      <c r="A17" s="59">
        <v>9</v>
      </c>
      <c r="B17" s="60" t="str">
        <f>'C. FILIACION'!B16</f>
        <v>LEDEZMA AGUILAR ELVIS JHEFERSON</v>
      </c>
      <c r="C17" s="101">
        <f>'VAL 1 TRIM '!AG17</f>
        <v>90</v>
      </c>
      <c r="D17" s="101">
        <f>'VAL 2 TRIM'!AG17</f>
        <v>75</v>
      </c>
      <c r="E17" s="101">
        <f>'VAL 3 TRIM'!AG17</f>
        <v>100</v>
      </c>
      <c r="F17" s="102">
        <f>'CENTRAL 1'!U17</f>
        <v>88.333333333333329</v>
      </c>
      <c r="G17" s="103" t="str">
        <f t="shared" si="0"/>
        <v>APROBADO</v>
      </c>
      <c r="H17" s="104"/>
      <c r="I17" s="104"/>
    </row>
    <row r="18" spans="1:9" ht="12" customHeight="1" x14ac:dyDescent="0.4">
      <c r="A18" s="59">
        <v>10</v>
      </c>
      <c r="B18" s="60" t="str">
        <f>'C. FILIACION'!B17</f>
        <v>LOBATON RODRIGUEZ JHONATAN A.</v>
      </c>
      <c r="C18" s="101">
        <f>'VAL 1 TRIM '!AG18</f>
        <v>90</v>
      </c>
      <c r="D18" s="101">
        <f>'VAL 2 TRIM'!AG18</f>
        <v>75</v>
      </c>
      <c r="E18" s="101">
        <f>'VAL 3 TRIM'!AG18</f>
        <v>100</v>
      </c>
      <c r="F18" s="102">
        <f>'CENTRAL 1'!U18</f>
        <v>88.333333333333329</v>
      </c>
      <c r="G18" s="103" t="str">
        <f t="shared" si="0"/>
        <v>APROBADO</v>
      </c>
      <c r="H18" s="104"/>
      <c r="I18" s="104"/>
    </row>
    <row r="19" spans="1:9" ht="12" customHeight="1" x14ac:dyDescent="0.4">
      <c r="A19" s="59">
        <v>11</v>
      </c>
      <c r="B19" s="60" t="str">
        <f>'C. FILIACION'!B18</f>
        <v>MAMANI LOPEZ DAFNE MILDRED</v>
      </c>
      <c r="C19" s="101">
        <f>'VAL 1 TRIM '!AG19</f>
        <v>90</v>
      </c>
      <c r="D19" s="101">
        <f>'VAL 2 TRIM'!AG19</f>
        <v>54</v>
      </c>
      <c r="E19" s="101">
        <f>'VAL 3 TRIM'!AG19</f>
        <v>100</v>
      </c>
      <c r="F19" s="102">
        <f>'CENTRAL 1'!U19</f>
        <v>81.333333333333329</v>
      </c>
      <c r="G19" s="103" t="str">
        <f t="shared" si="0"/>
        <v>APROBADO</v>
      </c>
      <c r="H19" s="104"/>
      <c r="I19" s="104"/>
    </row>
    <row r="20" spans="1:9" ht="12" customHeight="1" x14ac:dyDescent="0.4">
      <c r="A20" s="59">
        <v>12</v>
      </c>
      <c r="B20" s="60" t="str">
        <f>'C. FILIACION'!B19</f>
        <v>MARCONI PEREZ SINDEL LUANA</v>
      </c>
      <c r="C20" s="101">
        <f>'VAL 1 TRIM '!AG20</f>
        <v>90</v>
      </c>
      <c r="D20" s="101">
        <f>'VAL 2 TRIM'!AG20</f>
        <v>50</v>
      </c>
      <c r="E20" s="101">
        <f>'VAL 3 TRIM'!AG20</f>
        <v>100</v>
      </c>
      <c r="F20" s="102">
        <f>'CENTRAL 1'!U20</f>
        <v>80</v>
      </c>
      <c r="G20" s="103" t="str">
        <f t="shared" si="0"/>
        <v>APROBADO</v>
      </c>
      <c r="H20" s="104"/>
      <c r="I20" s="104"/>
    </row>
    <row r="21" spans="1:9" ht="12" customHeight="1" x14ac:dyDescent="0.4">
      <c r="A21" s="59">
        <v>13</v>
      </c>
      <c r="B21" s="60" t="str">
        <f>'C. FILIACION'!B20</f>
        <v>MENACHO LINEO ANDREA KIMBERLY</v>
      </c>
      <c r="C21" s="101">
        <f>'VAL 1 TRIM '!AG21</f>
        <v>90</v>
      </c>
      <c r="D21" s="101">
        <f>'VAL 2 TRIM'!AG21</f>
        <v>59</v>
      </c>
      <c r="E21" s="101">
        <f>'VAL 3 TRIM'!AG21</f>
        <v>100</v>
      </c>
      <c r="F21" s="102">
        <f>'CENTRAL 1'!U21</f>
        <v>83</v>
      </c>
      <c r="G21" s="103" t="str">
        <f t="shared" si="0"/>
        <v>APROBADO</v>
      </c>
      <c r="H21" s="104"/>
      <c r="I21" s="104"/>
    </row>
    <row r="22" spans="1:9" ht="12" customHeight="1" x14ac:dyDescent="0.4">
      <c r="A22" s="59">
        <v>14</v>
      </c>
      <c r="B22" s="60" t="str">
        <f>'C. FILIACION'!B21</f>
        <v>PILLCO APAZA MARIAN ALEXANDRA</v>
      </c>
      <c r="C22" s="101">
        <f>'VAL 1 TRIM '!AG22</f>
        <v>90</v>
      </c>
      <c r="D22" s="101">
        <f>'VAL 2 TRIM'!AG22</f>
        <v>51</v>
      </c>
      <c r="E22" s="101">
        <f>'VAL 3 TRIM'!AG22</f>
        <v>100</v>
      </c>
      <c r="F22" s="102">
        <f>'CENTRAL 1'!U22</f>
        <v>80.333333333333329</v>
      </c>
      <c r="G22" s="103" t="str">
        <f t="shared" si="0"/>
        <v>APROBADO</v>
      </c>
      <c r="H22" s="104"/>
      <c r="I22" s="104"/>
    </row>
    <row r="23" spans="1:9" ht="12" customHeight="1" x14ac:dyDescent="0.4">
      <c r="A23" s="59">
        <v>15</v>
      </c>
      <c r="B23" s="60" t="str">
        <f>'C. FILIACION'!B22</f>
        <v>RUEDA ALVAREZ GREGORY STEVEN</v>
      </c>
      <c r="C23" s="101">
        <f>'VAL 1 TRIM '!AG23</f>
        <v>90</v>
      </c>
      <c r="D23" s="101">
        <f>'VAL 2 TRIM'!AG23</f>
        <v>69</v>
      </c>
      <c r="E23" s="101">
        <f>'VAL 3 TRIM'!AG23</f>
        <v>100</v>
      </c>
      <c r="F23" s="102">
        <f>'CENTRAL 1'!U23</f>
        <v>86.333333333333329</v>
      </c>
      <c r="G23" s="103" t="str">
        <f t="shared" si="0"/>
        <v>APROBADO</v>
      </c>
      <c r="H23" s="104"/>
      <c r="I23" s="104"/>
    </row>
    <row r="24" spans="1:9" ht="12" customHeight="1" x14ac:dyDescent="0.4">
      <c r="A24" s="59">
        <v>16</v>
      </c>
      <c r="B24" s="60" t="str">
        <f>'C. FILIACION'!B23</f>
        <v>VARGAS JOYCE BELEN</v>
      </c>
      <c r="C24" s="101">
        <f>'VAL 1 TRIM '!AG24</f>
        <v>90</v>
      </c>
      <c r="D24" s="101">
        <f>'VAL 2 TRIM'!AG24</f>
        <v>33</v>
      </c>
      <c r="E24" s="101">
        <f>'VAL 3 TRIM'!AG24</f>
        <v>100</v>
      </c>
      <c r="F24" s="102">
        <f>'CENTRAL 1'!U24</f>
        <v>74.333333333333329</v>
      </c>
      <c r="G24" s="103" t="str">
        <f t="shared" si="0"/>
        <v>APROBADO</v>
      </c>
      <c r="H24" s="104"/>
      <c r="I24" s="104"/>
    </row>
    <row r="25" spans="1:9" ht="12" customHeight="1" x14ac:dyDescent="0.4">
      <c r="A25" s="59">
        <v>17</v>
      </c>
      <c r="B25" s="60" t="str">
        <f>'C. FILIACION'!B24</f>
        <v>ZURITA JIMENEZ ELMER ARTURO</v>
      </c>
      <c r="C25" s="101">
        <f>'VAL 1 TRIM '!AG25</f>
        <v>90</v>
      </c>
      <c r="D25" s="101">
        <f>'VAL 2 TRIM'!AG25</f>
        <v>81</v>
      </c>
      <c r="E25" s="101">
        <f>'VAL 3 TRIM'!AG25</f>
        <v>100</v>
      </c>
      <c r="F25" s="102">
        <f>'CENTRAL 1'!U25</f>
        <v>90.333333333333329</v>
      </c>
      <c r="G25" s="103" t="str">
        <f t="shared" si="0"/>
        <v>APROBADO</v>
      </c>
      <c r="H25" s="104"/>
      <c r="I25" s="104"/>
    </row>
    <row r="26" spans="1:9" ht="12" customHeight="1" x14ac:dyDescent="0.4">
      <c r="A26" s="59">
        <v>18</v>
      </c>
      <c r="B26" s="60" t="str">
        <f>'C. FILIACION'!B25</f>
        <v>ADRIAN FLORES EDDY BEYMAR</v>
      </c>
      <c r="C26" s="101">
        <f>'VAL 1 TRIM '!AG26</f>
        <v>100</v>
      </c>
      <c r="D26" s="101">
        <f>'VAL 2 TRIM'!AG26</f>
        <v>44</v>
      </c>
      <c r="E26" s="101">
        <f>'VAL 3 TRIM'!AG26</f>
        <v>100</v>
      </c>
      <c r="F26" s="102">
        <f>'CENTRAL 1'!U26</f>
        <v>81.333333333333329</v>
      </c>
      <c r="G26" s="103" t="str">
        <f t="shared" si="0"/>
        <v>APROBADO</v>
      </c>
      <c r="H26" s="104"/>
      <c r="I26" s="104"/>
    </row>
    <row r="27" spans="1:9" ht="12" customHeight="1" x14ac:dyDescent="0.4">
      <c r="A27" s="59">
        <v>19</v>
      </c>
      <c r="B27" s="60" t="str">
        <f>'C. FILIACION'!B26</f>
        <v>Ventura Choque Danely Keyla</v>
      </c>
      <c r="C27" s="101">
        <f>'VAL 1 TRIM '!AG27</f>
        <v>100</v>
      </c>
      <c r="D27" s="101">
        <f>'VAL 2 TRIM'!AG27</f>
        <v>61</v>
      </c>
      <c r="E27" s="101">
        <f>'VAL 3 TRIM'!AG27</f>
        <v>100</v>
      </c>
      <c r="F27" s="102">
        <f>'CENTRAL 1'!U27</f>
        <v>87</v>
      </c>
      <c r="G27" s="103" t="str">
        <f t="shared" si="0"/>
        <v>APROBADO</v>
      </c>
      <c r="H27" s="104"/>
      <c r="I27" s="104"/>
    </row>
    <row r="28" spans="1:9" ht="12" customHeight="1" x14ac:dyDescent="0.4">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
    <row r="46" spans="1:9" ht="12.75" customHeight="1" x14ac:dyDescent="0.4"/>
    <row r="47" spans="1:9" ht="12.75" customHeight="1" x14ac:dyDescent="0.4"/>
    <row r="48" spans="1:9"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94" t="s">
        <v>119</v>
      </c>
      <c r="C2" s="206"/>
      <c r="D2" s="206"/>
      <c r="E2" s="206"/>
      <c r="F2" s="206"/>
      <c r="G2" s="206"/>
      <c r="H2" s="206"/>
      <c r="I2" s="206"/>
      <c r="J2" s="206"/>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5" t="s">
        <v>136</v>
      </c>
      <c r="C13" s="206"/>
      <c r="D13" s="206"/>
      <c r="E13" s="206"/>
      <c r="F13" s="206"/>
      <c r="G13" s="206"/>
      <c r="H13" s="206"/>
      <c r="I13" s="206"/>
      <c r="J13" s="206"/>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91" t="s">
        <v>137</v>
      </c>
      <c r="C15" s="213"/>
      <c r="D15" s="213"/>
      <c r="E15" s="213"/>
      <c r="F15" s="213"/>
      <c r="G15" s="213"/>
      <c r="H15" s="213"/>
      <c r="I15" s="213"/>
      <c r="J15" s="214"/>
      <c r="K15" s="110"/>
      <c r="L15" s="110"/>
      <c r="M15" s="110"/>
      <c r="N15" s="110"/>
      <c r="O15" s="110"/>
      <c r="P15" s="110"/>
      <c r="Q15" s="110"/>
      <c r="R15" s="110"/>
      <c r="S15" s="110"/>
      <c r="T15" s="110"/>
      <c r="U15" s="110"/>
      <c r="V15" s="110"/>
      <c r="W15" s="110"/>
      <c r="X15" s="110"/>
      <c r="Y15" s="110"/>
      <c r="Z15" s="110"/>
    </row>
    <row r="16" spans="1:26" ht="16.5" customHeight="1" x14ac:dyDescent="0.4">
      <c r="A16" s="110"/>
      <c r="B16" s="292"/>
      <c r="C16" s="206"/>
      <c r="D16" s="206"/>
      <c r="E16" s="206"/>
      <c r="F16" s="206"/>
      <c r="G16" s="206"/>
      <c r="H16" s="206"/>
      <c r="I16" s="206"/>
      <c r="J16" s="293"/>
      <c r="K16" s="110"/>
      <c r="L16" s="110"/>
      <c r="M16" s="110"/>
      <c r="N16" s="110"/>
      <c r="O16" s="110"/>
      <c r="P16" s="110"/>
      <c r="Q16" s="110"/>
      <c r="R16" s="110"/>
      <c r="S16" s="110"/>
      <c r="T16" s="110"/>
      <c r="U16" s="110"/>
      <c r="V16" s="110"/>
      <c r="W16" s="110"/>
      <c r="X16" s="110"/>
      <c r="Y16" s="110"/>
      <c r="Z16" s="110"/>
    </row>
    <row r="17" spans="1:26" ht="16.5" customHeight="1" x14ac:dyDescent="0.4">
      <c r="A17" s="110"/>
      <c r="B17" s="267"/>
      <c r="C17" s="268"/>
      <c r="D17" s="268"/>
      <c r="E17" s="268"/>
      <c r="F17" s="268"/>
      <c r="G17" s="268"/>
      <c r="H17" s="268"/>
      <c r="I17" s="268"/>
      <c r="J17" s="269"/>
      <c r="K17" s="110"/>
      <c r="L17" s="110"/>
      <c r="M17" s="110"/>
      <c r="N17" s="110"/>
      <c r="O17" s="110"/>
      <c r="P17" s="110"/>
      <c r="Q17" s="110"/>
      <c r="R17" s="110"/>
      <c r="S17" s="110"/>
      <c r="T17" s="110"/>
      <c r="U17" s="110"/>
      <c r="V17" s="110"/>
      <c r="W17" s="110"/>
      <c r="X17" s="110"/>
      <c r="Y17" s="110"/>
      <c r="Z17" s="110"/>
    </row>
    <row r="18" spans="1:26" ht="16.5" customHeight="1" x14ac:dyDescent="0.4">
      <c r="A18" s="110"/>
      <c r="B18" s="291" t="s">
        <v>138</v>
      </c>
      <c r="C18" s="213"/>
      <c r="D18" s="213"/>
      <c r="E18" s="213"/>
      <c r="F18" s="213"/>
      <c r="G18" s="213"/>
      <c r="H18" s="213"/>
      <c r="I18" s="213"/>
      <c r="J18" s="214"/>
      <c r="K18" s="110"/>
      <c r="L18" s="110"/>
      <c r="M18" s="110"/>
      <c r="N18" s="110"/>
      <c r="O18" s="110"/>
      <c r="P18" s="110"/>
      <c r="Q18" s="110"/>
      <c r="R18" s="110"/>
      <c r="S18" s="110"/>
      <c r="T18" s="110"/>
      <c r="U18" s="110"/>
      <c r="V18" s="110"/>
      <c r="W18" s="110"/>
      <c r="X18" s="110"/>
      <c r="Y18" s="110"/>
      <c r="Z18" s="110"/>
    </row>
    <row r="19" spans="1:26" ht="16.5" customHeight="1" x14ac:dyDescent="0.4">
      <c r="A19" s="110"/>
      <c r="B19" s="292"/>
      <c r="C19" s="206"/>
      <c r="D19" s="206"/>
      <c r="E19" s="206"/>
      <c r="F19" s="206"/>
      <c r="G19" s="206"/>
      <c r="H19" s="206"/>
      <c r="I19" s="206"/>
      <c r="J19" s="293"/>
      <c r="K19" s="110"/>
      <c r="L19" s="110"/>
      <c r="M19" s="110"/>
      <c r="N19" s="110"/>
      <c r="O19" s="110"/>
      <c r="P19" s="110"/>
      <c r="Q19" s="110"/>
      <c r="R19" s="110"/>
      <c r="S19" s="110"/>
      <c r="T19" s="110"/>
      <c r="U19" s="110"/>
      <c r="V19" s="110"/>
      <c r="W19" s="110"/>
      <c r="X19" s="110"/>
      <c r="Y19" s="110"/>
      <c r="Z19" s="110"/>
    </row>
    <row r="20" spans="1:26" ht="16.5" customHeight="1" x14ac:dyDescent="0.4">
      <c r="A20" s="110"/>
      <c r="B20" s="267"/>
      <c r="C20" s="268"/>
      <c r="D20" s="268"/>
      <c r="E20" s="268"/>
      <c r="F20" s="268"/>
      <c r="G20" s="268"/>
      <c r="H20" s="268"/>
      <c r="I20" s="268"/>
      <c r="J20" s="269"/>
      <c r="K20" s="110"/>
      <c r="L20" s="110"/>
      <c r="M20" s="110"/>
      <c r="N20" s="110"/>
      <c r="O20" s="110"/>
      <c r="P20" s="110"/>
      <c r="Q20" s="110"/>
      <c r="R20" s="110"/>
      <c r="S20" s="110"/>
      <c r="T20" s="110"/>
      <c r="U20" s="110"/>
      <c r="V20" s="110"/>
      <c r="W20" s="110"/>
      <c r="X20" s="110"/>
      <c r="Y20" s="110"/>
      <c r="Z20" s="110"/>
    </row>
    <row r="21" spans="1:26" ht="16.5" customHeight="1" x14ac:dyDescent="0.4">
      <c r="A21" s="110"/>
      <c r="B21" s="291" t="s">
        <v>139</v>
      </c>
      <c r="C21" s="213"/>
      <c r="D21" s="213"/>
      <c r="E21" s="213"/>
      <c r="F21" s="213"/>
      <c r="G21" s="213"/>
      <c r="H21" s="213"/>
      <c r="I21" s="213"/>
      <c r="J21" s="214"/>
      <c r="K21" s="110"/>
      <c r="L21" s="110"/>
      <c r="M21" s="110"/>
      <c r="N21" s="110"/>
      <c r="O21" s="110"/>
      <c r="P21" s="110"/>
      <c r="Q21" s="110"/>
      <c r="R21" s="110"/>
      <c r="S21" s="110"/>
      <c r="T21" s="110"/>
      <c r="U21" s="110"/>
      <c r="V21" s="110"/>
      <c r="W21" s="110"/>
      <c r="X21" s="110"/>
      <c r="Y21" s="110"/>
      <c r="Z21" s="110"/>
    </row>
    <row r="22" spans="1:26" ht="16.5" customHeight="1" x14ac:dyDescent="0.4">
      <c r="A22" s="110"/>
      <c r="B22" s="292"/>
      <c r="C22" s="206"/>
      <c r="D22" s="206"/>
      <c r="E22" s="206"/>
      <c r="F22" s="206"/>
      <c r="G22" s="206"/>
      <c r="H22" s="206"/>
      <c r="I22" s="206"/>
      <c r="J22" s="293"/>
      <c r="K22" s="110"/>
      <c r="L22" s="110"/>
      <c r="M22" s="110"/>
      <c r="N22" s="110"/>
      <c r="O22" s="110"/>
      <c r="P22" s="110"/>
      <c r="Q22" s="110"/>
      <c r="R22" s="110"/>
      <c r="S22" s="110"/>
      <c r="T22" s="110"/>
      <c r="U22" s="110"/>
      <c r="V22" s="110"/>
      <c r="W22" s="110"/>
      <c r="X22" s="110"/>
      <c r="Y22" s="110"/>
      <c r="Z22" s="110"/>
    </row>
    <row r="23" spans="1:26" ht="16.5" customHeight="1" x14ac:dyDescent="0.4">
      <c r="A23" s="110"/>
      <c r="B23" s="267"/>
      <c r="C23" s="268"/>
      <c r="D23" s="268"/>
      <c r="E23" s="268"/>
      <c r="F23" s="268"/>
      <c r="G23" s="268"/>
      <c r="H23" s="268"/>
      <c r="I23" s="268"/>
      <c r="J23" s="269"/>
      <c r="K23" s="110"/>
      <c r="L23" s="110"/>
      <c r="M23" s="110"/>
      <c r="N23" s="110"/>
      <c r="O23" s="110"/>
      <c r="P23" s="110"/>
      <c r="Q23" s="110"/>
      <c r="R23" s="110"/>
      <c r="S23" s="110"/>
      <c r="T23" s="110"/>
      <c r="U23" s="110"/>
      <c r="V23" s="110"/>
      <c r="W23" s="110"/>
      <c r="X23" s="110"/>
      <c r="Y23" s="110"/>
      <c r="Z23" s="110"/>
    </row>
    <row r="24" spans="1:26" ht="16.5" customHeight="1" x14ac:dyDescent="0.4">
      <c r="A24" s="110"/>
      <c r="B24" s="291" t="s">
        <v>140</v>
      </c>
      <c r="C24" s="213"/>
      <c r="D24" s="213"/>
      <c r="E24" s="213"/>
      <c r="F24" s="213"/>
      <c r="G24" s="213"/>
      <c r="H24" s="213"/>
      <c r="I24" s="213"/>
      <c r="J24" s="214"/>
      <c r="K24" s="110"/>
      <c r="L24" s="110"/>
      <c r="M24" s="110"/>
      <c r="N24" s="110"/>
      <c r="O24" s="110"/>
      <c r="P24" s="110"/>
      <c r="Q24" s="110"/>
      <c r="R24" s="110"/>
      <c r="S24" s="110"/>
      <c r="T24" s="110"/>
      <c r="U24" s="110"/>
      <c r="V24" s="110"/>
      <c r="W24" s="110"/>
      <c r="X24" s="110"/>
      <c r="Y24" s="110"/>
      <c r="Z24" s="110"/>
    </row>
    <row r="25" spans="1:26" ht="16.5" customHeight="1" x14ac:dyDescent="0.4">
      <c r="A25" s="110"/>
      <c r="B25" s="292"/>
      <c r="C25" s="206"/>
      <c r="D25" s="206"/>
      <c r="E25" s="206"/>
      <c r="F25" s="206"/>
      <c r="G25" s="206"/>
      <c r="H25" s="206"/>
      <c r="I25" s="206"/>
      <c r="J25" s="293"/>
      <c r="K25" s="110"/>
      <c r="L25" s="110"/>
      <c r="M25" s="110"/>
      <c r="N25" s="110"/>
      <c r="O25" s="110"/>
      <c r="P25" s="110"/>
      <c r="Q25" s="110"/>
      <c r="R25" s="110"/>
      <c r="S25" s="110"/>
      <c r="T25" s="110"/>
      <c r="U25" s="110"/>
      <c r="V25" s="110"/>
      <c r="W25" s="110"/>
      <c r="X25" s="110"/>
      <c r="Y25" s="110"/>
      <c r="Z25" s="110"/>
    </row>
    <row r="26" spans="1:26" ht="16.5" customHeight="1" x14ac:dyDescent="0.4">
      <c r="A26" s="110"/>
      <c r="B26" s="267"/>
      <c r="C26" s="268"/>
      <c r="D26" s="268"/>
      <c r="E26" s="268"/>
      <c r="F26" s="268"/>
      <c r="G26" s="268"/>
      <c r="H26" s="268"/>
      <c r="I26" s="268"/>
      <c r="J26" s="269"/>
      <c r="K26" s="110"/>
      <c r="L26" s="110"/>
      <c r="M26" s="110"/>
      <c r="N26" s="110"/>
      <c r="O26" s="110"/>
      <c r="P26" s="110"/>
      <c r="Q26" s="110"/>
      <c r="R26" s="110"/>
      <c r="S26" s="110"/>
      <c r="T26" s="110"/>
      <c r="U26" s="110"/>
      <c r="V26" s="110"/>
      <c r="W26" s="110"/>
      <c r="X26" s="110"/>
      <c r="Y26" s="110"/>
      <c r="Z26" s="110"/>
    </row>
    <row r="27" spans="1:26" ht="16.5" customHeight="1" x14ac:dyDescent="0.4">
      <c r="A27" s="110"/>
      <c r="B27" s="291" t="s">
        <v>141</v>
      </c>
      <c r="C27" s="213"/>
      <c r="D27" s="213"/>
      <c r="E27" s="213"/>
      <c r="F27" s="213"/>
      <c r="G27" s="213"/>
      <c r="H27" s="213"/>
      <c r="I27" s="213"/>
      <c r="J27" s="214"/>
      <c r="K27" s="110"/>
      <c r="L27" s="110"/>
      <c r="M27" s="110"/>
      <c r="N27" s="110"/>
      <c r="O27" s="110"/>
      <c r="P27" s="110"/>
      <c r="Q27" s="110"/>
      <c r="R27" s="110"/>
      <c r="S27" s="110"/>
      <c r="T27" s="110"/>
      <c r="U27" s="110"/>
      <c r="V27" s="110"/>
      <c r="W27" s="110"/>
      <c r="X27" s="110"/>
      <c r="Y27" s="110"/>
      <c r="Z27" s="110"/>
    </row>
    <row r="28" spans="1:26" ht="16.5" customHeight="1" x14ac:dyDescent="0.4">
      <c r="A28" s="110"/>
      <c r="B28" s="292"/>
      <c r="C28" s="206"/>
      <c r="D28" s="206"/>
      <c r="E28" s="206"/>
      <c r="F28" s="206"/>
      <c r="G28" s="206"/>
      <c r="H28" s="206"/>
      <c r="I28" s="206"/>
      <c r="J28" s="293"/>
      <c r="K28" s="110"/>
      <c r="L28" s="110"/>
      <c r="M28" s="110"/>
      <c r="N28" s="110"/>
      <c r="O28" s="110"/>
      <c r="P28" s="110"/>
      <c r="Q28" s="110"/>
      <c r="R28" s="110"/>
      <c r="S28" s="110"/>
      <c r="T28" s="110"/>
      <c r="U28" s="110"/>
      <c r="V28" s="110"/>
      <c r="W28" s="110"/>
      <c r="X28" s="110"/>
      <c r="Y28" s="110"/>
      <c r="Z28" s="110"/>
    </row>
    <row r="29" spans="1:26" ht="16.5" customHeight="1" x14ac:dyDescent="0.4">
      <c r="A29" s="110"/>
      <c r="B29" s="267"/>
      <c r="C29" s="268"/>
      <c r="D29" s="268"/>
      <c r="E29" s="268"/>
      <c r="F29" s="268"/>
      <c r="G29" s="268"/>
      <c r="H29" s="268"/>
      <c r="I29" s="268"/>
      <c r="J29" s="269"/>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94" t="s">
        <v>143</v>
      </c>
      <c r="C2" s="206"/>
      <c r="D2" s="206"/>
      <c r="E2" s="206"/>
      <c r="F2" s="206"/>
      <c r="G2" s="206"/>
      <c r="H2" s="206"/>
      <c r="I2" s="206"/>
      <c r="J2" s="206"/>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2 TRIM'!$AO$10</f>
        <v>4</v>
      </c>
      <c r="I8" s="118">
        <f>H8/H11</f>
        <v>0.1111111111111111</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5" t="s">
        <v>136</v>
      </c>
      <c r="C13" s="206"/>
      <c r="D13" s="206"/>
      <c r="E13" s="206"/>
      <c r="F13" s="206"/>
      <c r="G13" s="206"/>
      <c r="H13" s="206"/>
      <c r="I13" s="206"/>
      <c r="J13" s="206"/>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91" t="s">
        <v>137</v>
      </c>
      <c r="C15" s="213"/>
      <c r="D15" s="213"/>
      <c r="E15" s="213"/>
      <c r="F15" s="213"/>
      <c r="G15" s="213"/>
      <c r="H15" s="213"/>
      <c r="I15" s="213"/>
      <c r="J15" s="214"/>
      <c r="K15" s="110"/>
      <c r="L15" s="110"/>
      <c r="M15" s="110"/>
      <c r="N15" s="110"/>
      <c r="O15" s="110"/>
      <c r="P15" s="110"/>
      <c r="Q15" s="110"/>
      <c r="R15" s="110"/>
      <c r="S15" s="110"/>
      <c r="T15" s="110"/>
      <c r="U15" s="110"/>
      <c r="V15" s="110"/>
      <c r="W15" s="110"/>
      <c r="X15" s="110"/>
      <c r="Y15" s="110"/>
      <c r="Z15" s="110"/>
    </row>
    <row r="16" spans="1:26" ht="16.5" customHeight="1" x14ac:dyDescent="0.4">
      <c r="A16" s="110"/>
      <c r="B16" s="292"/>
      <c r="C16" s="206"/>
      <c r="D16" s="206"/>
      <c r="E16" s="206"/>
      <c r="F16" s="206"/>
      <c r="G16" s="206"/>
      <c r="H16" s="206"/>
      <c r="I16" s="206"/>
      <c r="J16" s="293"/>
      <c r="K16" s="110"/>
      <c r="L16" s="110"/>
      <c r="M16" s="110"/>
      <c r="N16" s="110"/>
      <c r="O16" s="110"/>
      <c r="P16" s="110"/>
      <c r="Q16" s="110"/>
      <c r="R16" s="110"/>
      <c r="S16" s="110"/>
      <c r="T16" s="110"/>
      <c r="U16" s="110"/>
      <c r="V16" s="110"/>
      <c r="W16" s="110"/>
      <c r="X16" s="110"/>
      <c r="Y16" s="110"/>
      <c r="Z16" s="110"/>
    </row>
    <row r="17" spans="1:26" ht="16.5" customHeight="1" x14ac:dyDescent="0.4">
      <c r="A17" s="110"/>
      <c r="B17" s="267"/>
      <c r="C17" s="268"/>
      <c r="D17" s="268"/>
      <c r="E17" s="268"/>
      <c r="F17" s="268"/>
      <c r="G17" s="268"/>
      <c r="H17" s="268"/>
      <c r="I17" s="268"/>
      <c r="J17" s="269"/>
      <c r="K17" s="110"/>
      <c r="L17" s="110"/>
      <c r="M17" s="110"/>
      <c r="N17" s="110"/>
      <c r="O17" s="110"/>
      <c r="P17" s="110"/>
      <c r="Q17" s="110"/>
      <c r="R17" s="110"/>
      <c r="S17" s="110"/>
      <c r="T17" s="110"/>
      <c r="U17" s="110"/>
      <c r="V17" s="110"/>
      <c r="W17" s="110"/>
      <c r="X17" s="110"/>
      <c r="Y17" s="110"/>
      <c r="Z17" s="110"/>
    </row>
    <row r="18" spans="1:26" ht="16.5" customHeight="1" x14ac:dyDescent="0.4">
      <c r="A18" s="110"/>
      <c r="B18" s="291" t="s">
        <v>138</v>
      </c>
      <c r="C18" s="213"/>
      <c r="D18" s="213"/>
      <c r="E18" s="213"/>
      <c r="F18" s="213"/>
      <c r="G18" s="213"/>
      <c r="H18" s="213"/>
      <c r="I18" s="213"/>
      <c r="J18" s="214"/>
      <c r="K18" s="110"/>
      <c r="L18" s="110"/>
      <c r="M18" s="110"/>
      <c r="N18" s="110"/>
      <c r="O18" s="110"/>
      <c r="P18" s="110"/>
      <c r="Q18" s="110"/>
      <c r="R18" s="110"/>
      <c r="S18" s="110"/>
      <c r="T18" s="110"/>
      <c r="U18" s="110"/>
      <c r="V18" s="110"/>
      <c r="W18" s="110"/>
      <c r="X18" s="110"/>
      <c r="Y18" s="110"/>
      <c r="Z18" s="110"/>
    </row>
    <row r="19" spans="1:26" ht="16.5" customHeight="1" x14ac:dyDescent="0.4">
      <c r="A19" s="110"/>
      <c r="B19" s="292"/>
      <c r="C19" s="206"/>
      <c r="D19" s="206"/>
      <c r="E19" s="206"/>
      <c r="F19" s="206"/>
      <c r="G19" s="206"/>
      <c r="H19" s="206"/>
      <c r="I19" s="206"/>
      <c r="J19" s="293"/>
      <c r="K19" s="110"/>
      <c r="L19" s="110"/>
      <c r="M19" s="110"/>
      <c r="N19" s="110"/>
      <c r="O19" s="110"/>
      <c r="P19" s="110"/>
      <c r="Q19" s="110"/>
      <c r="R19" s="110"/>
      <c r="S19" s="110"/>
      <c r="T19" s="110"/>
      <c r="U19" s="110"/>
      <c r="V19" s="110"/>
      <c r="W19" s="110"/>
      <c r="X19" s="110"/>
      <c r="Y19" s="110"/>
      <c r="Z19" s="110"/>
    </row>
    <row r="20" spans="1:26" ht="16.5" customHeight="1" x14ac:dyDescent="0.4">
      <c r="A20" s="110"/>
      <c r="B20" s="267"/>
      <c r="C20" s="268"/>
      <c r="D20" s="268"/>
      <c r="E20" s="268"/>
      <c r="F20" s="268"/>
      <c r="G20" s="268"/>
      <c r="H20" s="268"/>
      <c r="I20" s="268"/>
      <c r="J20" s="269"/>
      <c r="K20" s="110"/>
      <c r="L20" s="110"/>
      <c r="M20" s="110"/>
      <c r="N20" s="110"/>
      <c r="O20" s="110"/>
      <c r="P20" s="110"/>
      <c r="Q20" s="110"/>
      <c r="R20" s="110"/>
      <c r="S20" s="110"/>
      <c r="T20" s="110"/>
      <c r="U20" s="110"/>
      <c r="V20" s="110"/>
      <c r="W20" s="110"/>
      <c r="X20" s="110"/>
      <c r="Y20" s="110"/>
      <c r="Z20" s="110"/>
    </row>
    <row r="21" spans="1:26" ht="16.5" customHeight="1" x14ac:dyDescent="0.4">
      <c r="A21" s="110"/>
      <c r="B21" s="291" t="s">
        <v>139</v>
      </c>
      <c r="C21" s="213"/>
      <c r="D21" s="213"/>
      <c r="E21" s="213"/>
      <c r="F21" s="213"/>
      <c r="G21" s="213"/>
      <c r="H21" s="213"/>
      <c r="I21" s="213"/>
      <c r="J21" s="214"/>
      <c r="K21" s="110"/>
      <c r="L21" s="110"/>
      <c r="M21" s="110"/>
      <c r="N21" s="110"/>
      <c r="O21" s="110"/>
      <c r="P21" s="110"/>
      <c r="Q21" s="110"/>
      <c r="R21" s="110"/>
      <c r="S21" s="110"/>
      <c r="T21" s="110"/>
      <c r="U21" s="110"/>
      <c r="V21" s="110"/>
      <c r="W21" s="110"/>
      <c r="X21" s="110"/>
      <c r="Y21" s="110"/>
      <c r="Z21" s="110"/>
    </row>
    <row r="22" spans="1:26" ht="16.5" customHeight="1" x14ac:dyDescent="0.4">
      <c r="A22" s="110"/>
      <c r="B22" s="292"/>
      <c r="C22" s="206"/>
      <c r="D22" s="206"/>
      <c r="E22" s="206"/>
      <c r="F22" s="206"/>
      <c r="G22" s="206"/>
      <c r="H22" s="206"/>
      <c r="I22" s="206"/>
      <c r="J22" s="293"/>
      <c r="K22" s="110"/>
      <c r="L22" s="110"/>
      <c r="M22" s="110"/>
      <c r="N22" s="110"/>
      <c r="O22" s="110"/>
      <c r="P22" s="110"/>
      <c r="Q22" s="110"/>
      <c r="R22" s="110"/>
      <c r="S22" s="110"/>
      <c r="T22" s="110"/>
      <c r="U22" s="110"/>
      <c r="V22" s="110"/>
      <c r="W22" s="110"/>
      <c r="X22" s="110"/>
      <c r="Y22" s="110"/>
      <c r="Z22" s="110"/>
    </row>
    <row r="23" spans="1:26" ht="16.5" customHeight="1" x14ac:dyDescent="0.4">
      <c r="A23" s="110"/>
      <c r="B23" s="267"/>
      <c r="C23" s="268"/>
      <c r="D23" s="268"/>
      <c r="E23" s="268"/>
      <c r="F23" s="268"/>
      <c r="G23" s="268"/>
      <c r="H23" s="268"/>
      <c r="I23" s="268"/>
      <c r="J23" s="269"/>
      <c r="K23" s="110"/>
      <c r="L23" s="110"/>
      <c r="M23" s="110"/>
      <c r="N23" s="110"/>
      <c r="O23" s="110"/>
      <c r="P23" s="110"/>
      <c r="Q23" s="110"/>
      <c r="R23" s="110"/>
      <c r="S23" s="110"/>
      <c r="T23" s="110"/>
      <c r="U23" s="110"/>
      <c r="V23" s="110"/>
      <c r="W23" s="110"/>
      <c r="X23" s="110"/>
      <c r="Y23" s="110"/>
      <c r="Z23" s="110"/>
    </row>
    <row r="24" spans="1:26" ht="16.5" customHeight="1" x14ac:dyDescent="0.4">
      <c r="A24" s="110"/>
      <c r="B24" s="291" t="s">
        <v>140</v>
      </c>
      <c r="C24" s="213"/>
      <c r="D24" s="213"/>
      <c r="E24" s="213"/>
      <c r="F24" s="213"/>
      <c r="G24" s="213"/>
      <c r="H24" s="213"/>
      <c r="I24" s="213"/>
      <c r="J24" s="214"/>
      <c r="K24" s="110"/>
      <c r="L24" s="110"/>
      <c r="M24" s="110"/>
      <c r="N24" s="110"/>
      <c r="O24" s="110"/>
      <c r="P24" s="110"/>
      <c r="Q24" s="110"/>
      <c r="R24" s="110"/>
      <c r="S24" s="110"/>
      <c r="T24" s="110"/>
      <c r="U24" s="110"/>
      <c r="V24" s="110"/>
      <c r="W24" s="110"/>
      <c r="X24" s="110"/>
      <c r="Y24" s="110"/>
      <c r="Z24" s="110"/>
    </row>
    <row r="25" spans="1:26" ht="16.5" customHeight="1" x14ac:dyDescent="0.4">
      <c r="A25" s="110"/>
      <c r="B25" s="292"/>
      <c r="C25" s="206"/>
      <c r="D25" s="206"/>
      <c r="E25" s="206"/>
      <c r="F25" s="206"/>
      <c r="G25" s="206"/>
      <c r="H25" s="206"/>
      <c r="I25" s="206"/>
      <c r="J25" s="293"/>
      <c r="K25" s="110"/>
      <c r="L25" s="110"/>
      <c r="M25" s="110"/>
      <c r="N25" s="110"/>
      <c r="O25" s="110"/>
      <c r="P25" s="110"/>
      <c r="Q25" s="110"/>
      <c r="R25" s="110"/>
      <c r="S25" s="110"/>
      <c r="T25" s="110"/>
      <c r="U25" s="110"/>
      <c r="V25" s="110"/>
      <c r="W25" s="110"/>
      <c r="X25" s="110"/>
      <c r="Y25" s="110"/>
      <c r="Z25" s="110"/>
    </row>
    <row r="26" spans="1:26" ht="16.5" customHeight="1" x14ac:dyDescent="0.4">
      <c r="A26" s="110"/>
      <c r="B26" s="267"/>
      <c r="C26" s="268"/>
      <c r="D26" s="268"/>
      <c r="E26" s="268"/>
      <c r="F26" s="268"/>
      <c r="G26" s="268"/>
      <c r="H26" s="268"/>
      <c r="I26" s="268"/>
      <c r="J26" s="269"/>
      <c r="K26" s="110"/>
      <c r="L26" s="110"/>
      <c r="M26" s="110"/>
      <c r="N26" s="110"/>
      <c r="O26" s="110"/>
      <c r="P26" s="110"/>
      <c r="Q26" s="110"/>
      <c r="R26" s="110"/>
      <c r="S26" s="110"/>
      <c r="T26" s="110"/>
      <c r="U26" s="110"/>
      <c r="V26" s="110"/>
      <c r="W26" s="110"/>
      <c r="X26" s="110"/>
      <c r="Y26" s="110"/>
      <c r="Z26" s="110"/>
    </row>
    <row r="27" spans="1:26" ht="16.5" customHeight="1" x14ac:dyDescent="0.4">
      <c r="A27" s="110"/>
      <c r="B27" s="291" t="s">
        <v>141</v>
      </c>
      <c r="C27" s="213"/>
      <c r="D27" s="213"/>
      <c r="E27" s="213"/>
      <c r="F27" s="213"/>
      <c r="G27" s="213"/>
      <c r="H27" s="213"/>
      <c r="I27" s="213"/>
      <c r="J27" s="214"/>
      <c r="K27" s="110"/>
      <c r="L27" s="110"/>
      <c r="M27" s="110"/>
      <c r="N27" s="110"/>
      <c r="O27" s="110"/>
      <c r="P27" s="110"/>
      <c r="Q27" s="110"/>
      <c r="R27" s="110"/>
      <c r="S27" s="110"/>
      <c r="T27" s="110"/>
      <c r="U27" s="110"/>
      <c r="V27" s="110"/>
      <c r="W27" s="110"/>
      <c r="X27" s="110"/>
      <c r="Y27" s="110"/>
      <c r="Z27" s="110"/>
    </row>
    <row r="28" spans="1:26" ht="16.5" customHeight="1" x14ac:dyDescent="0.4">
      <c r="A28" s="110"/>
      <c r="B28" s="292"/>
      <c r="C28" s="206"/>
      <c r="D28" s="206"/>
      <c r="E28" s="206"/>
      <c r="F28" s="206"/>
      <c r="G28" s="206"/>
      <c r="H28" s="206"/>
      <c r="I28" s="206"/>
      <c r="J28" s="293"/>
      <c r="K28" s="110"/>
      <c r="L28" s="110"/>
      <c r="M28" s="110"/>
      <c r="N28" s="110"/>
      <c r="O28" s="110"/>
      <c r="P28" s="110"/>
      <c r="Q28" s="110"/>
      <c r="R28" s="110"/>
      <c r="S28" s="110"/>
      <c r="T28" s="110"/>
      <c r="U28" s="110"/>
      <c r="V28" s="110"/>
      <c r="W28" s="110"/>
      <c r="X28" s="110"/>
      <c r="Y28" s="110"/>
      <c r="Z28" s="110"/>
    </row>
    <row r="29" spans="1:26" ht="16.5" customHeight="1" x14ac:dyDescent="0.4">
      <c r="A29" s="110"/>
      <c r="B29" s="267"/>
      <c r="C29" s="268"/>
      <c r="D29" s="268"/>
      <c r="E29" s="268"/>
      <c r="F29" s="268"/>
      <c r="G29" s="268"/>
      <c r="H29" s="268"/>
      <c r="I29" s="268"/>
      <c r="J29" s="269"/>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94" t="s">
        <v>144</v>
      </c>
      <c r="C2" s="206"/>
      <c r="D2" s="206"/>
      <c r="E2" s="206"/>
      <c r="F2" s="206"/>
      <c r="G2" s="206"/>
      <c r="H2" s="206"/>
      <c r="I2" s="206"/>
      <c r="J2" s="206"/>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44453</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5" t="s">
        <v>136</v>
      </c>
      <c r="C13" s="206"/>
      <c r="D13" s="206"/>
      <c r="E13" s="206"/>
      <c r="F13" s="206"/>
      <c r="G13" s="206"/>
      <c r="H13" s="206"/>
      <c r="I13" s="206"/>
      <c r="J13" s="206"/>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91" t="s">
        <v>137</v>
      </c>
      <c r="C15" s="213"/>
      <c r="D15" s="213"/>
      <c r="E15" s="213"/>
      <c r="F15" s="213"/>
      <c r="G15" s="213"/>
      <c r="H15" s="213"/>
      <c r="I15" s="213"/>
      <c r="J15" s="214"/>
      <c r="K15" s="110"/>
      <c r="L15" s="110"/>
      <c r="M15" s="110"/>
      <c r="N15" s="110"/>
      <c r="O15" s="110"/>
      <c r="P15" s="110"/>
      <c r="Q15" s="110"/>
      <c r="R15" s="110"/>
      <c r="S15" s="110"/>
      <c r="T15" s="110"/>
      <c r="U15" s="110"/>
      <c r="V15" s="110"/>
      <c r="W15" s="110"/>
      <c r="X15" s="110"/>
      <c r="Y15" s="110"/>
      <c r="Z15" s="110"/>
    </row>
    <row r="16" spans="1:26" ht="16.5" customHeight="1" x14ac:dyDescent="0.4">
      <c r="A16" s="110"/>
      <c r="B16" s="292"/>
      <c r="C16" s="206"/>
      <c r="D16" s="206"/>
      <c r="E16" s="206"/>
      <c r="F16" s="206"/>
      <c r="G16" s="206"/>
      <c r="H16" s="206"/>
      <c r="I16" s="206"/>
      <c r="J16" s="293"/>
      <c r="K16" s="110"/>
      <c r="L16" s="110"/>
      <c r="M16" s="110"/>
      <c r="N16" s="110"/>
      <c r="O16" s="110"/>
      <c r="P16" s="110"/>
      <c r="Q16" s="110"/>
      <c r="R16" s="110"/>
      <c r="S16" s="110"/>
      <c r="T16" s="110"/>
      <c r="U16" s="110"/>
      <c r="V16" s="110"/>
      <c r="W16" s="110"/>
      <c r="X16" s="110"/>
      <c r="Y16" s="110"/>
      <c r="Z16" s="110"/>
    </row>
    <row r="17" spans="1:26" ht="16.5" customHeight="1" x14ac:dyDescent="0.4">
      <c r="A17" s="110"/>
      <c r="B17" s="267"/>
      <c r="C17" s="268"/>
      <c r="D17" s="268"/>
      <c r="E17" s="268"/>
      <c r="F17" s="268"/>
      <c r="G17" s="268"/>
      <c r="H17" s="268"/>
      <c r="I17" s="268"/>
      <c r="J17" s="269"/>
      <c r="K17" s="110"/>
      <c r="L17" s="110"/>
      <c r="M17" s="110"/>
      <c r="N17" s="110"/>
      <c r="O17" s="110"/>
      <c r="P17" s="110"/>
      <c r="Q17" s="110"/>
      <c r="R17" s="110"/>
      <c r="S17" s="110"/>
      <c r="T17" s="110"/>
      <c r="U17" s="110"/>
      <c r="V17" s="110"/>
      <c r="W17" s="110"/>
      <c r="X17" s="110"/>
      <c r="Y17" s="110"/>
      <c r="Z17" s="110"/>
    </row>
    <row r="18" spans="1:26" ht="16.5" customHeight="1" x14ac:dyDescent="0.4">
      <c r="A18" s="110"/>
      <c r="B18" s="291" t="s">
        <v>138</v>
      </c>
      <c r="C18" s="213"/>
      <c r="D18" s="213"/>
      <c r="E18" s="213"/>
      <c r="F18" s="213"/>
      <c r="G18" s="213"/>
      <c r="H18" s="213"/>
      <c r="I18" s="213"/>
      <c r="J18" s="214"/>
      <c r="K18" s="110"/>
      <c r="L18" s="110"/>
      <c r="M18" s="110"/>
      <c r="N18" s="110"/>
      <c r="O18" s="110"/>
      <c r="P18" s="110"/>
      <c r="Q18" s="110"/>
      <c r="R18" s="110"/>
      <c r="S18" s="110"/>
      <c r="T18" s="110"/>
      <c r="U18" s="110"/>
      <c r="V18" s="110"/>
      <c r="W18" s="110"/>
      <c r="X18" s="110"/>
      <c r="Y18" s="110"/>
      <c r="Z18" s="110"/>
    </row>
    <row r="19" spans="1:26" ht="16.5" customHeight="1" x14ac:dyDescent="0.4">
      <c r="A19" s="110"/>
      <c r="B19" s="292"/>
      <c r="C19" s="206"/>
      <c r="D19" s="206"/>
      <c r="E19" s="206"/>
      <c r="F19" s="206"/>
      <c r="G19" s="206"/>
      <c r="H19" s="206"/>
      <c r="I19" s="206"/>
      <c r="J19" s="293"/>
      <c r="K19" s="110"/>
      <c r="L19" s="110"/>
      <c r="M19" s="110"/>
      <c r="N19" s="110"/>
      <c r="O19" s="110"/>
      <c r="P19" s="110"/>
      <c r="Q19" s="110"/>
      <c r="R19" s="110"/>
      <c r="S19" s="110"/>
      <c r="T19" s="110"/>
      <c r="U19" s="110"/>
      <c r="V19" s="110"/>
      <c r="W19" s="110"/>
      <c r="X19" s="110"/>
      <c r="Y19" s="110"/>
      <c r="Z19" s="110"/>
    </row>
    <row r="20" spans="1:26" ht="16.5" customHeight="1" x14ac:dyDescent="0.4">
      <c r="A20" s="110"/>
      <c r="B20" s="267"/>
      <c r="C20" s="268"/>
      <c r="D20" s="268"/>
      <c r="E20" s="268"/>
      <c r="F20" s="268"/>
      <c r="G20" s="268"/>
      <c r="H20" s="268"/>
      <c r="I20" s="268"/>
      <c r="J20" s="269"/>
      <c r="K20" s="110"/>
      <c r="L20" s="110"/>
      <c r="M20" s="110"/>
      <c r="N20" s="110"/>
      <c r="O20" s="110"/>
      <c r="P20" s="110"/>
      <c r="Q20" s="110"/>
      <c r="R20" s="110"/>
      <c r="S20" s="110"/>
      <c r="T20" s="110"/>
      <c r="U20" s="110"/>
      <c r="V20" s="110"/>
      <c r="W20" s="110"/>
      <c r="X20" s="110"/>
      <c r="Y20" s="110"/>
      <c r="Z20" s="110"/>
    </row>
    <row r="21" spans="1:26" ht="16.5" customHeight="1" x14ac:dyDescent="0.4">
      <c r="A21" s="110"/>
      <c r="B21" s="291" t="s">
        <v>139</v>
      </c>
      <c r="C21" s="213"/>
      <c r="D21" s="213"/>
      <c r="E21" s="213"/>
      <c r="F21" s="213"/>
      <c r="G21" s="213"/>
      <c r="H21" s="213"/>
      <c r="I21" s="213"/>
      <c r="J21" s="214"/>
      <c r="K21" s="110"/>
      <c r="L21" s="110"/>
      <c r="M21" s="110"/>
      <c r="N21" s="110"/>
      <c r="O21" s="110"/>
      <c r="P21" s="110"/>
      <c r="Q21" s="110"/>
      <c r="R21" s="110"/>
      <c r="S21" s="110"/>
      <c r="T21" s="110"/>
      <c r="U21" s="110"/>
      <c r="V21" s="110"/>
      <c r="W21" s="110"/>
      <c r="X21" s="110"/>
      <c r="Y21" s="110"/>
      <c r="Z21" s="110"/>
    </row>
    <row r="22" spans="1:26" ht="16.5" customHeight="1" x14ac:dyDescent="0.4">
      <c r="A22" s="110"/>
      <c r="B22" s="292"/>
      <c r="C22" s="206"/>
      <c r="D22" s="206"/>
      <c r="E22" s="206"/>
      <c r="F22" s="206"/>
      <c r="G22" s="206"/>
      <c r="H22" s="206"/>
      <c r="I22" s="206"/>
      <c r="J22" s="293"/>
      <c r="K22" s="110"/>
      <c r="L22" s="110"/>
      <c r="M22" s="110"/>
      <c r="N22" s="110"/>
      <c r="O22" s="110"/>
      <c r="P22" s="110"/>
      <c r="Q22" s="110"/>
      <c r="R22" s="110"/>
      <c r="S22" s="110"/>
      <c r="T22" s="110"/>
      <c r="U22" s="110"/>
      <c r="V22" s="110"/>
      <c r="W22" s="110"/>
      <c r="X22" s="110"/>
      <c r="Y22" s="110"/>
      <c r="Z22" s="110"/>
    </row>
    <row r="23" spans="1:26" ht="16.5" customHeight="1" x14ac:dyDescent="0.4">
      <c r="A23" s="110"/>
      <c r="B23" s="267"/>
      <c r="C23" s="268"/>
      <c r="D23" s="268"/>
      <c r="E23" s="268"/>
      <c r="F23" s="268"/>
      <c r="G23" s="268"/>
      <c r="H23" s="268"/>
      <c r="I23" s="268"/>
      <c r="J23" s="269"/>
      <c r="K23" s="110"/>
      <c r="L23" s="110"/>
      <c r="M23" s="110"/>
      <c r="N23" s="110"/>
      <c r="O23" s="110"/>
      <c r="P23" s="110"/>
      <c r="Q23" s="110"/>
      <c r="R23" s="110"/>
      <c r="S23" s="110"/>
      <c r="T23" s="110"/>
      <c r="U23" s="110"/>
      <c r="V23" s="110"/>
      <c r="W23" s="110"/>
      <c r="X23" s="110"/>
      <c r="Y23" s="110"/>
      <c r="Z23" s="110"/>
    </row>
    <row r="24" spans="1:26" ht="16.5" customHeight="1" x14ac:dyDescent="0.4">
      <c r="A24" s="110"/>
      <c r="B24" s="291" t="s">
        <v>140</v>
      </c>
      <c r="C24" s="213"/>
      <c r="D24" s="213"/>
      <c r="E24" s="213"/>
      <c r="F24" s="213"/>
      <c r="G24" s="213"/>
      <c r="H24" s="213"/>
      <c r="I24" s="213"/>
      <c r="J24" s="214"/>
      <c r="K24" s="110"/>
      <c r="L24" s="110"/>
      <c r="M24" s="110"/>
      <c r="N24" s="110"/>
      <c r="O24" s="110"/>
      <c r="P24" s="110"/>
      <c r="Q24" s="110"/>
      <c r="R24" s="110"/>
      <c r="S24" s="110"/>
      <c r="T24" s="110"/>
      <c r="U24" s="110"/>
      <c r="V24" s="110"/>
      <c r="W24" s="110"/>
      <c r="X24" s="110"/>
      <c r="Y24" s="110"/>
      <c r="Z24" s="110"/>
    </row>
    <row r="25" spans="1:26" ht="16.5" customHeight="1" x14ac:dyDescent="0.4">
      <c r="A25" s="110"/>
      <c r="B25" s="292"/>
      <c r="C25" s="206"/>
      <c r="D25" s="206"/>
      <c r="E25" s="206"/>
      <c r="F25" s="206"/>
      <c r="G25" s="206"/>
      <c r="H25" s="206"/>
      <c r="I25" s="206"/>
      <c r="J25" s="293"/>
      <c r="K25" s="110"/>
      <c r="L25" s="110"/>
      <c r="M25" s="110"/>
      <c r="N25" s="110"/>
      <c r="O25" s="110"/>
      <c r="P25" s="110"/>
      <c r="Q25" s="110"/>
      <c r="R25" s="110"/>
      <c r="S25" s="110"/>
      <c r="T25" s="110"/>
      <c r="U25" s="110"/>
      <c r="V25" s="110"/>
      <c r="W25" s="110"/>
      <c r="X25" s="110"/>
      <c r="Y25" s="110"/>
      <c r="Z25" s="110"/>
    </row>
    <row r="26" spans="1:26" ht="16.5" customHeight="1" x14ac:dyDescent="0.4">
      <c r="A26" s="110"/>
      <c r="B26" s="267"/>
      <c r="C26" s="268"/>
      <c r="D26" s="268"/>
      <c r="E26" s="268"/>
      <c r="F26" s="268"/>
      <c r="G26" s="268"/>
      <c r="H26" s="268"/>
      <c r="I26" s="268"/>
      <c r="J26" s="269"/>
      <c r="K26" s="110"/>
      <c r="L26" s="110"/>
      <c r="M26" s="110"/>
      <c r="N26" s="110"/>
      <c r="O26" s="110"/>
      <c r="P26" s="110"/>
      <c r="Q26" s="110"/>
      <c r="R26" s="110"/>
      <c r="S26" s="110"/>
      <c r="T26" s="110"/>
      <c r="U26" s="110"/>
      <c r="V26" s="110"/>
      <c r="W26" s="110"/>
      <c r="X26" s="110"/>
      <c r="Y26" s="110"/>
      <c r="Z26" s="110"/>
    </row>
    <row r="27" spans="1:26" ht="16.5" customHeight="1" x14ac:dyDescent="0.4">
      <c r="A27" s="110"/>
      <c r="B27" s="291" t="s">
        <v>141</v>
      </c>
      <c r="C27" s="213"/>
      <c r="D27" s="213"/>
      <c r="E27" s="213"/>
      <c r="F27" s="213"/>
      <c r="G27" s="213"/>
      <c r="H27" s="213"/>
      <c r="I27" s="213"/>
      <c r="J27" s="214"/>
      <c r="K27" s="110"/>
      <c r="L27" s="110"/>
      <c r="M27" s="110"/>
      <c r="N27" s="110"/>
      <c r="O27" s="110"/>
      <c r="P27" s="110"/>
      <c r="Q27" s="110"/>
      <c r="R27" s="110"/>
      <c r="S27" s="110"/>
      <c r="T27" s="110"/>
      <c r="U27" s="110"/>
      <c r="V27" s="110"/>
      <c r="W27" s="110"/>
      <c r="X27" s="110"/>
      <c r="Y27" s="110"/>
      <c r="Z27" s="110"/>
    </row>
    <row r="28" spans="1:26" ht="16.5" customHeight="1" x14ac:dyDescent="0.4">
      <c r="A28" s="110"/>
      <c r="B28" s="292"/>
      <c r="C28" s="206"/>
      <c r="D28" s="206"/>
      <c r="E28" s="206"/>
      <c r="F28" s="206"/>
      <c r="G28" s="206"/>
      <c r="H28" s="206"/>
      <c r="I28" s="206"/>
      <c r="J28" s="293"/>
      <c r="K28" s="110"/>
      <c r="L28" s="110"/>
      <c r="M28" s="110"/>
      <c r="N28" s="110"/>
      <c r="O28" s="110"/>
      <c r="P28" s="110"/>
      <c r="Q28" s="110"/>
      <c r="R28" s="110"/>
      <c r="S28" s="110"/>
      <c r="T28" s="110"/>
      <c r="U28" s="110"/>
      <c r="V28" s="110"/>
      <c r="W28" s="110"/>
      <c r="X28" s="110"/>
      <c r="Y28" s="110"/>
      <c r="Z28" s="110"/>
    </row>
    <row r="29" spans="1:26" ht="16.5" customHeight="1" x14ac:dyDescent="0.4">
      <c r="A29" s="110"/>
      <c r="B29" s="267"/>
      <c r="C29" s="268"/>
      <c r="D29" s="268"/>
      <c r="E29" s="268"/>
      <c r="F29" s="268"/>
      <c r="G29" s="268"/>
      <c r="H29" s="268"/>
      <c r="I29" s="268"/>
      <c r="J29" s="269"/>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1875" defaultRowHeight="15" customHeight="1" x14ac:dyDescent="0.4"/>
  <cols>
    <col min="1" max="1" width="1.6640625" customWidth="1"/>
    <col min="2" max="2" width="4.5546875" customWidth="1"/>
    <col min="3" max="3" width="5.6640625" customWidth="1"/>
    <col min="4" max="4" width="5" customWidth="1"/>
    <col min="5" max="5" width="5.6640625" customWidth="1"/>
    <col min="6" max="6" width="1" customWidth="1"/>
    <col min="7" max="7" width="5.71875" customWidth="1"/>
    <col min="8" max="9" width="5.6640625" customWidth="1"/>
    <col min="10" max="10" width="6.6640625" customWidth="1"/>
    <col min="11" max="11" width="7.88671875" customWidth="1"/>
    <col min="12" max="26" width="5.6640625" customWidth="1"/>
  </cols>
  <sheetData>
    <row r="1" spans="1:26" ht="13.5" customHeight="1" x14ac:dyDescent="0.4">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
      <c r="A2" s="40"/>
      <c r="B2" s="40"/>
      <c r="C2" s="210" t="s">
        <v>145</v>
      </c>
      <c r="D2" s="206"/>
      <c r="E2" s="206"/>
      <c r="F2" s="206"/>
      <c r="G2" s="206"/>
      <c r="H2" s="206"/>
      <c r="I2" s="206"/>
      <c r="J2" s="206"/>
      <c r="K2" s="206"/>
      <c r="L2" s="206"/>
      <c r="M2" s="206"/>
      <c r="N2" s="40"/>
      <c r="O2" s="40"/>
      <c r="P2" s="40"/>
      <c r="Q2" s="40"/>
      <c r="R2" s="40"/>
      <c r="S2" s="40"/>
      <c r="T2" s="40"/>
      <c r="U2" s="40"/>
      <c r="V2" s="40"/>
      <c r="W2" s="40"/>
      <c r="X2" s="40"/>
      <c r="Y2" s="40"/>
      <c r="Z2" s="40"/>
    </row>
    <row r="3" spans="1:26" ht="13.5" customHeight="1" x14ac:dyDescent="0.4">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4">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4">
      <c r="A5" s="40"/>
      <c r="B5" s="123" t="s">
        <v>22</v>
      </c>
      <c r="C5" s="40"/>
      <c r="D5" s="40"/>
      <c r="E5" s="40" t="str">
        <f>CARÁTULA!$C$23</f>
        <v>6to de Secundaria</v>
      </c>
      <c r="F5" s="40"/>
      <c r="G5" s="40"/>
      <c r="H5" s="40"/>
      <c r="I5" s="40"/>
      <c r="J5" s="43" t="s">
        <v>23</v>
      </c>
      <c r="K5" s="68">
        <f ca="1">TODAY()</f>
        <v>44453</v>
      </c>
      <c r="L5" s="39"/>
      <c r="M5" s="39"/>
      <c r="N5" s="39"/>
      <c r="O5" s="40"/>
      <c r="P5" s="40"/>
      <c r="Q5" s="40"/>
      <c r="R5" s="40"/>
      <c r="S5" s="40"/>
      <c r="T5" s="40"/>
      <c r="U5" s="40"/>
      <c r="V5" s="40"/>
      <c r="W5" s="40"/>
      <c r="X5" s="40"/>
      <c r="Y5" s="40"/>
      <c r="Z5" s="40"/>
    </row>
    <row r="6" spans="1:26" ht="13.5" customHeight="1" x14ac:dyDescent="0.4">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
      <c r="A10" s="40"/>
      <c r="B10" s="40"/>
      <c r="C10" s="257" t="s">
        <v>146</v>
      </c>
      <c r="D10" s="206"/>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4">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4">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4">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
      <c r="A23" s="40"/>
      <c r="B23" s="40"/>
      <c r="C23" s="257" t="s">
        <v>151</v>
      </c>
      <c r="D23" s="206"/>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4">
      <c r="A24" s="40"/>
      <c r="B24" s="40"/>
      <c r="C24" s="125" t="s">
        <v>148</v>
      </c>
      <c r="D24" s="40"/>
      <c r="E24" s="126">
        <f>'CENTRAL 2'!$J$9</f>
        <v>30</v>
      </c>
      <c r="F24" s="40"/>
      <c r="G24" s="127">
        <f t="shared" ref="G24:G25" si="1">E24/$E$26</f>
        <v>0.81081081081081086</v>
      </c>
      <c r="H24" s="40"/>
      <c r="I24" s="40"/>
      <c r="J24" s="40"/>
      <c r="K24" s="40"/>
      <c r="L24" s="40"/>
      <c r="M24" s="40"/>
      <c r="N24" s="40"/>
      <c r="O24" s="40"/>
      <c r="P24" s="40"/>
      <c r="Q24" s="40"/>
      <c r="R24" s="40"/>
      <c r="S24" s="40"/>
      <c r="T24" s="40"/>
      <c r="U24" s="40"/>
      <c r="V24" s="40"/>
      <c r="W24" s="40"/>
      <c r="X24" s="40"/>
      <c r="Y24" s="40"/>
      <c r="Z24" s="40"/>
    </row>
    <row r="25" spans="1:26" ht="13.5" customHeight="1" x14ac:dyDescent="0.4">
      <c r="A25" s="40"/>
      <c r="B25" s="40"/>
      <c r="C25" s="69" t="s">
        <v>149</v>
      </c>
      <c r="D25" s="40"/>
      <c r="E25" s="129">
        <f>'CENTRAL 2'!$J$13</f>
        <v>7</v>
      </c>
      <c r="F25" s="40"/>
      <c r="G25" s="127">
        <f t="shared" si="1"/>
        <v>0.1891891891891892</v>
      </c>
      <c r="H25" s="40"/>
      <c r="I25" s="40"/>
      <c r="J25" s="40"/>
      <c r="K25" s="40"/>
      <c r="L25" s="40"/>
      <c r="M25" s="40"/>
      <c r="N25" s="40"/>
      <c r="O25" s="40"/>
      <c r="P25" s="40"/>
      <c r="Q25" s="40"/>
      <c r="R25" s="40"/>
      <c r="S25" s="40"/>
      <c r="T25" s="40"/>
      <c r="U25" s="40"/>
      <c r="V25" s="40"/>
      <c r="W25" s="40"/>
      <c r="X25" s="40"/>
      <c r="Y25" s="40"/>
      <c r="Z25" s="40"/>
    </row>
    <row r="26" spans="1:26" ht="13.5" customHeight="1" x14ac:dyDescent="0.4">
      <c r="A26" s="40"/>
      <c r="B26" s="40"/>
      <c r="C26" s="40" t="s">
        <v>150</v>
      </c>
      <c r="D26" s="40"/>
      <c r="E26" s="131">
        <f>SUM(E24:E25)</f>
        <v>37</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
      <c r="A35" s="40"/>
      <c r="B35" s="40"/>
      <c r="C35" s="257" t="s">
        <v>153</v>
      </c>
      <c r="D35" s="206"/>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4">
      <c r="A36" s="40"/>
      <c r="B36" s="40"/>
      <c r="C36" s="125" t="s">
        <v>148</v>
      </c>
      <c r="D36" s="40"/>
      <c r="E36" s="126">
        <f>'CENTRAL 2'!$K$9</f>
        <v>36</v>
      </c>
      <c r="F36" s="40"/>
      <c r="G36" s="127">
        <f t="shared" ref="G36:G37" si="2">E36/$E$26</f>
        <v>0.97297297297297303</v>
      </c>
      <c r="H36" s="40"/>
      <c r="I36" s="40"/>
      <c r="J36" s="40"/>
      <c r="K36" s="40"/>
      <c r="L36" s="40"/>
      <c r="M36" s="40"/>
      <c r="N36" s="40"/>
      <c r="O36" s="40"/>
      <c r="P36" s="40"/>
      <c r="Q36" s="40"/>
      <c r="R36" s="40"/>
      <c r="S36" s="40"/>
      <c r="T36" s="40"/>
      <c r="U36" s="40"/>
      <c r="V36" s="40"/>
      <c r="W36" s="40"/>
      <c r="X36" s="40"/>
      <c r="Y36" s="40"/>
      <c r="Z36" s="40"/>
    </row>
    <row r="37" spans="1:26" ht="13.5" customHeight="1" x14ac:dyDescent="0.4">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
      <c r="A38" s="40"/>
      <c r="B38" s="40"/>
      <c r="C38" s="40" t="s">
        <v>150</v>
      </c>
      <c r="D38" s="40"/>
      <c r="E38" s="131">
        <f>SUM(E36:E37)</f>
        <v>36</v>
      </c>
      <c r="F38" s="40"/>
      <c r="G38" s="127">
        <f>SUM(G36:G37)</f>
        <v>0.97297297297297303</v>
      </c>
      <c r="H38" s="40"/>
      <c r="I38" s="40"/>
      <c r="J38" s="40"/>
      <c r="K38" s="40"/>
      <c r="L38" s="40"/>
      <c r="M38" s="40"/>
      <c r="N38" s="40"/>
      <c r="O38" s="40"/>
      <c r="P38" s="40"/>
      <c r="Q38" s="40"/>
      <c r="R38" s="40"/>
      <c r="S38" s="40"/>
      <c r="T38" s="40"/>
      <c r="U38" s="40"/>
      <c r="V38" s="40"/>
      <c r="W38" s="40"/>
      <c r="X38" s="40"/>
      <c r="Y38" s="40"/>
      <c r="Z38" s="40"/>
    </row>
    <row r="39" spans="1:26" ht="13.5" customHeight="1" x14ac:dyDescent="0.4">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1875" defaultRowHeight="15" customHeight="1" x14ac:dyDescent="0.4"/>
  <cols>
    <col min="1" max="1" width="1.6640625" customWidth="1"/>
    <col min="2" max="2" width="5.6640625" customWidth="1"/>
    <col min="3" max="3" width="4.33203125" customWidth="1"/>
    <col min="4" max="4" width="6.21875" customWidth="1"/>
    <col min="5" max="5" width="7.5546875" customWidth="1"/>
    <col min="6" max="6" width="13.33203125" customWidth="1"/>
    <col min="7" max="7" width="10.71875" customWidth="1"/>
    <col min="8" max="8" width="8.21875" customWidth="1"/>
    <col min="9" max="26" width="5.6640625" customWidth="1"/>
  </cols>
  <sheetData>
    <row r="1" spans="1:26" ht="13.5" customHeight="1" x14ac:dyDescent="0.4">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
      <c r="A2" s="128"/>
      <c r="B2" s="128"/>
      <c r="C2" s="297" t="s">
        <v>155</v>
      </c>
      <c r="D2" s="206"/>
      <c r="E2" s="206"/>
      <c r="F2" s="206"/>
      <c r="G2" s="206"/>
      <c r="H2" s="206"/>
      <c r="I2" s="206"/>
      <c r="J2" s="128"/>
      <c r="K2" s="128"/>
      <c r="L2" s="128"/>
      <c r="M2" s="128"/>
      <c r="N2" s="128"/>
      <c r="O2" s="128"/>
      <c r="P2" s="128"/>
      <c r="Q2" s="128"/>
      <c r="R2" s="128"/>
      <c r="S2" s="128"/>
      <c r="T2" s="128"/>
      <c r="U2" s="128"/>
      <c r="V2" s="128"/>
      <c r="W2" s="128"/>
      <c r="X2" s="128"/>
      <c r="Y2" s="128"/>
      <c r="Z2" s="128"/>
    </row>
    <row r="3" spans="1:26" ht="13.5" customHeight="1" x14ac:dyDescent="0.4">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4">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
      <c r="A5" s="128"/>
      <c r="B5" s="132" t="s">
        <v>22</v>
      </c>
      <c r="C5" s="133"/>
      <c r="D5" s="133"/>
      <c r="E5" s="133" t="str">
        <f>CARÁTULA!$C$23</f>
        <v>6to de Secundaria</v>
      </c>
      <c r="F5" s="133"/>
      <c r="G5" s="132" t="s">
        <v>23</v>
      </c>
      <c r="H5" s="134">
        <f ca="1">TODAY()</f>
        <v>44453</v>
      </c>
      <c r="I5" s="133"/>
      <c r="J5" s="133"/>
      <c r="K5" s="128"/>
      <c r="L5" s="128"/>
      <c r="M5" s="128"/>
      <c r="N5" s="128"/>
      <c r="O5" s="128"/>
      <c r="P5" s="128"/>
      <c r="Q5" s="128"/>
      <c r="R5" s="128"/>
      <c r="S5" s="128"/>
      <c r="T5" s="128"/>
      <c r="U5" s="128"/>
      <c r="V5" s="128"/>
      <c r="W5" s="128"/>
      <c r="X5" s="128"/>
      <c r="Y5" s="128"/>
      <c r="Z5" s="128"/>
    </row>
    <row r="6" spans="1:26" ht="13.5" customHeight="1" x14ac:dyDescent="0.4">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
      <c r="A8" s="128"/>
      <c r="B8" s="128"/>
      <c r="C8" s="296"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4">
      <c r="A9" s="128"/>
      <c r="B9" s="128"/>
      <c r="C9" s="283"/>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
      <c r="A10" s="128"/>
      <c r="B10" s="128"/>
      <c r="C10" s="283"/>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
      <c r="A11" s="128"/>
      <c r="B11" s="128"/>
      <c r="C11" s="283"/>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
      <c r="A12" s="128"/>
      <c r="B12" s="128"/>
      <c r="C12" s="264"/>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
      <c r="A15" s="128"/>
      <c r="B15" s="128"/>
      <c r="C15" s="296"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4">
      <c r="A16" s="128"/>
      <c r="B16" s="128"/>
      <c r="C16" s="283"/>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
      <c r="A17" s="128"/>
      <c r="B17" s="128"/>
      <c r="C17" s="283"/>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
      <c r="A18" s="128"/>
      <c r="B18" s="128"/>
      <c r="C18" s="283"/>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
      <c r="A19" s="128"/>
      <c r="B19" s="128"/>
      <c r="C19" s="264"/>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
      <c r="A22" s="128"/>
      <c r="B22" s="128"/>
      <c r="C22" s="296"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4">
      <c r="A23" s="128"/>
      <c r="B23" s="128"/>
      <c r="C23" s="283"/>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
      <c r="A24" s="128"/>
      <c r="B24" s="128"/>
      <c r="C24" s="283"/>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
      <c r="A25" s="128"/>
      <c r="B25" s="128"/>
      <c r="C25" s="283"/>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
      <c r="A26" s="128"/>
      <c r="B26" s="128"/>
      <c r="C26" s="264"/>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
      <c r="A29" s="128"/>
      <c r="B29" s="128"/>
      <c r="C29" s="296"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4">
      <c r="A30" s="128"/>
      <c r="B30" s="128"/>
      <c r="C30" s="283"/>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
      <c r="A31" s="128"/>
      <c r="B31" s="128"/>
      <c r="C31" s="283"/>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
      <c r="A32" s="128"/>
      <c r="B32" s="128"/>
      <c r="C32" s="283"/>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
      <c r="A33" s="128"/>
      <c r="B33" s="128"/>
      <c r="C33" s="264"/>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
      <c r="A36" s="128"/>
      <c r="B36" s="128"/>
      <c r="C36" s="296"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4">
      <c r="A37" s="128"/>
      <c r="B37" s="128"/>
      <c r="C37" s="283"/>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
      <c r="A38" s="128"/>
      <c r="B38" s="128"/>
      <c r="C38" s="283"/>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
      <c r="A39" s="128"/>
      <c r="B39" s="128"/>
      <c r="C39" s="283"/>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
      <c r="A40" s="128"/>
      <c r="B40" s="128"/>
      <c r="C40" s="264"/>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
      <c r="A43" s="128"/>
      <c r="B43" s="128"/>
      <c r="C43" s="296"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4">
      <c r="A44" s="128"/>
      <c r="B44" s="128"/>
      <c r="C44" s="283"/>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
      <c r="A45" s="128"/>
      <c r="B45" s="128"/>
      <c r="C45" s="283"/>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
      <c r="A46" s="128"/>
      <c r="B46" s="128"/>
      <c r="C46" s="283"/>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
      <c r="A47" s="128"/>
      <c r="B47" s="128"/>
      <c r="C47" s="264"/>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1875" defaultRowHeight="15" customHeight="1" x14ac:dyDescent="0.4"/>
  <cols>
    <col min="1" max="4" width="1.6640625" customWidth="1"/>
    <col min="5" max="6" width="4.6640625" customWidth="1"/>
    <col min="7" max="7" width="26.6640625" customWidth="1"/>
    <col min="8" max="8" width="7.5546875" customWidth="1"/>
    <col min="9" max="10" width="10.88671875" customWidth="1"/>
    <col min="11" max="26" width="10.38671875" customWidth="1"/>
  </cols>
  <sheetData>
    <row r="1" spans="1:26" ht="7.5" customHeight="1" x14ac:dyDescent="0.4">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
      <c r="A3" s="143"/>
      <c r="B3" s="19"/>
      <c r="C3" s="19"/>
      <c r="D3" s="19"/>
      <c r="E3" s="302" t="s">
        <v>170</v>
      </c>
      <c r="F3" s="206"/>
      <c r="G3" s="206"/>
      <c r="H3" s="206"/>
      <c r="I3" s="206"/>
      <c r="J3" s="143"/>
      <c r="K3" s="143"/>
      <c r="L3" s="143"/>
      <c r="M3" s="143"/>
      <c r="N3" s="143"/>
      <c r="O3" s="143"/>
      <c r="P3" s="143"/>
      <c r="Q3" s="143"/>
      <c r="R3" s="143"/>
      <c r="S3" s="143"/>
      <c r="T3" s="143"/>
      <c r="U3" s="143"/>
      <c r="V3" s="143"/>
      <c r="W3" s="143"/>
      <c r="X3" s="143"/>
      <c r="Y3" s="143"/>
      <c r="Z3" s="143"/>
    </row>
    <row r="4" spans="1:26" ht="6.75" customHeight="1" x14ac:dyDescent="0.4">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4">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4">
      <c r="A8" s="143"/>
      <c r="B8" s="144" t="s">
        <v>22</v>
      </c>
      <c r="C8" s="19"/>
      <c r="D8" s="19"/>
      <c r="E8" s="19"/>
      <c r="F8" s="19"/>
      <c r="G8" s="40" t="str">
        <f>CARÁTULA!$C$23</f>
        <v>6to de Secundaria</v>
      </c>
      <c r="H8" s="144" t="s">
        <v>23</v>
      </c>
      <c r="I8" s="134">
        <f ca="1">TODAY()</f>
        <v>44453</v>
      </c>
      <c r="J8" s="143"/>
      <c r="K8" s="143"/>
      <c r="L8" s="143"/>
      <c r="M8" s="143"/>
      <c r="N8" s="143"/>
      <c r="O8" s="143"/>
      <c r="P8" s="143"/>
      <c r="Q8" s="143"/>
      <c r="R8" s="143"/>
      <c r="S8" s="143"/>
      <c r="T8" s="143"/>
      <c r="U8" s="143"/>
      <c r="V8" s="143"/>
      <c r="W8" s="143"/>
      <c r="X8" s="143"/>
      <c r="Y8" s="143"/>
      <c r="Z8" s="143"/>
    </row>
    <row r="9" spans="1:26" ht="6.75" customHeight="1" x14ac:dyDescent="0.4">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
      <c r="A16" s="143"/>
      <c r="B16" s="143"/>
      <c r="C16" s="143"/>
      <c r="D16" s="143"/>
      <c r="E16" s="303" t="s">
        <v>171</v>
      </c>
      <c r="F16" s="304"/>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4">
      <c r="A17" s="143"/>
      <c r="B17" s="143"/>
      <c r="C17" s="143"/>
      <c r="D17" s="143"/>
      <c r="E17" s="298"/>
      <c r="F17" s="261"/>
      <c r="G17" s="149" t="str">
        <f>'C. FILIACION'!B8</f>
        <v>ALTAMIRANO RAMOS ESTEFANI MILENKA</v>
      </c>
      <c r="H17" s="150">
        <f>'CENTRAL 2'!F9</f>
        <v>93</v>
      </c>
      <c r="I17" s="143"/>
      <c r="J17" s="143"/>
      <c r="K17" s="143"/>
      <c r="L17" s="143"/>
      <c r="M17" s="143"/>
      <c r="N17" s="143"/>
      <c r="O17" s="143"/>
      <c r="P17" s="143"/>
      <c r="Q17" s="143"/>
      <c r="R17" s="143"/>
      <c r="S17" s="143"/>
      <c r="T17" s="143"/>
      <c r="U17" s="143"/>
      <c r="V17" s="143"/>
      <c r="W17" s="143"/>
      <c r="X17" s="143"/>
      <c r="Y17" s="143"/>
      <c r="Z17" s="143"/>
    </row>
    <row r="18" spans="1:26" ht="12.75" customHeight="1" x14ac:dyDescent="0.4">
      <c r="A18" s="143"/>
      <c r="B18" s="143"/>
      <c r="C18" s="143"/>
      <c r="D18" s="143"/>
      <c r="E18" s="298"/>
      <c r="F18" s="261"/>
      <c r="G18" s="149" t="str">
        <f>'C. FILIACION'!B9</f>
        <v>APAZA LINO TATIANA JAZMIN</v>
      </c>
      <c r="H18" s="150">
        <f>'CENTRAL 2'!F10</f>
        <v>94.666666666666671</v>
      </c>
      <c r="I18" s="143"/>
      <c r="J18" s="143"/>
      <c r="K18" s="143"/>
      <c r="L18" s="143"/>
      <c r="M18" s="143"/>
      <c r="N18" s="143"/>
      <c r="O18" s="143"/>
      <c r="P18" s="143"/>
      <c r="Q18" s="143"/>
      <c r="R18" s="143"/>
      <c r="S18" s="143"/>
      <c r="T18" s="143"/>
      <c r="U18" s="143"/>
      <c r="V18" s="143"/>
      <c r="W18" s="143"/>
      <c r="X18" s="143"/>
      <c r="Y18" s="143"/>
      <c r="Z18" s="143"/>
    </row>
    <row r="19" spans="1:26" ht="12.75" customHeight="1" x14ac:dyDescent="0.4">
      <c r="A19" s="143"/>
      <c r="B19" s="143"/>
      <c r="C19" s="143"/>
      <c r="D19" s="143"/>
      <c r="E19" s="298"/>
      <c r="F19" s="261"/>
      <c r="G19" s="149" t="str">
        <f>'C. FILIACION'!B10</f>
        <v>BOLAÑOS OVANDO MIJHAIL ALEXANDER</v>
      </c>
      <c r="H19" s="150">
        <f>'CENTRAL 2'!F11</f>
        <v>77</v>
      </c>
      <c r="I19" s="143"/>
      <c r="J19" s="143"/>
      <c r="K19" s="143"/>
      <c r="L19" s="143"/>
      <c r="M19" s="143"/>
      <c r="N19" s="143"/>
      <c r="O19" s="143"/>
      <c r="P19" s="143"/>
      <c r="Q19" s="143"/>
      <c r="R19" s="143"/>
      <c r="S19" s="143"/>
      <c r="T19" s="143"/>
      <c r="U19" s="143"/>
      <c r="V19" s="143"/>
      <c r="W19" s="143"/>
      <c r="X19" s="143"/>
      <c r="Y19" s="143"/>
      <c r="Z19" s="143"/>
    </row>
    <row r="20" spans="1:26" ht="12.75" customHeight="1" x14ac:dyDescent="0.4">
      <c r="A20" s="143"/>
      <c r="B20" s="143"/>
      <c r="C20" s="143"/>
      <c r="D20" s="143"/>
      <c r="E20" s="298"/>
      <c r="F20" s="261"/>
      <c r="G20" s="149" t="str">
        <f>'C. FILIACION'!B11</f>
        <v>BRICHER ETHELBERT ISMAEL</v>
      </c>
      <c r="H20" s="150">
        <f>'CENTRAL 2'!F12</f>
        <v>61.333333333333336</v>
      </c>
      <c r="I20" s="143"/>
      <c r="J20" s="143"/>
      <c r="K20" s="143"/>
      <c r="L20" s="143"/>
      <c r="M20" s="143"/>
      <c r="N20" s="143"/>
      <c r="O20" s="143"/>
      <c r="P20" s="143"/>
      <c r="Q20" s="143"/>
      <c r="R20" s="143"/>
      <c r="S20" s="143"/>
      <c r="T20" s="143"/>
      <c r="U20" s="143"/>
      <c r="V20" s="143"/>
      <c r="W20" s="143"/>
      <c r="X20" s="143"/>
      <c r="Y20" s="143"/>
      <c r="Z20" s="143"/>
    </row>
    <row r="21" spans="1:26" ht="12.75" customHeight="1" x14ac:dyDescent="0.4">
      <c r="A21" s="143"/>
      <c r="B21" s="143"/>
      <c r="C21" s="143"/>
      <c r="D21" s="143"/>
      <c r="E21" s="298"/>
      <c r="F21" s="261"/>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4">
      <c r="A22" s="143"/>
      <c r="B22" s="143"/>
      <c r="C22" s="143"/>
      <c r="D22" s="143"/>
      <c r="E22" s="298"/>
      <c r="F22" s="261"/>
      <c r="G22" s="149" t="str">
        <f>'C. FILIACION'!B13</f>
        <v>GOMEZ BELTRAN ALBERT NORMAN</v>
      </c>
      <c r="H22" s="150">
        <f>'CENTRAL 2'!F14</f>
        <v>90</v>
      </c>
      <c r="I22" s="143"/>
      <c r="J22" s="143"/>
      <c r="K22" s="143"/>
      <c r="L22" s="143"/>
      <c r="M22" s="143"/>
      <c r="N22" s="143"/>
      <c r="O22" s="143"/>
      <c r="P22" s="143"/>
      <c r="Q22" s="143"/>
      <c r="R22" s="143"/>
      <c r="S22" s="143"/>
      <c r="T22" s="143"/>
      <c r="U22" s="143"/>
      <c r="V22" s="143"/>
      <c r="W22" s="143"/>
      <c r="X22" s="143"/>
      <c r="Y22" s="143"/>
      <c r="Z22" s="143"/>
    </row>
    <row r="23" spans="1:26" ht="12.75" customHeight="1" x14ac:dyDescent="0.4">
      <c r="A23" s="143"/>
      <c r="B23" s="143"/>
      <c r="C23" s="143"/>
      <c r="D23" s="143"/>
      <c r="E23" s="298"/>
      <c r="F23" s="261"/>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4">
      <c r="A24" s="143"/>
      <c r="B24" s="143"/>
      <c r="C24" s="143"/>
      <c r="D24" s="143"/>
      <c r="E24" s="298"/>
      <c r="F24" s="261"/>
      <c r="G24" s="149" t="str">
        <f>'C. FILIACION'!B15</f>
        <v>GONZALES ZUAZO KALEB RAMSES</v>
      </c>
      <c r="H24" s="150">
        <f>'CENTRAL 2'!F16</f>
        <v>88.333333333333329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4">
      <c r="A25" s="143"/>
      <c r="B25" s="143"/>
      <c r="C25" s="143"/>
      <c r="D25" s="143"/>
      <c r="E25" s="298"/>
      <c r="F25" s="261"/>
      <c r="G25" s="149" t="str">
        <f>'C. FILIACION'!B16</f>
        <v>LEDEZMA AGUILAR ELVIS JHEFERSON</v>
      </c>
      <c r="H25" s="150">
        <f>'CENTRAL 2'!F17</f>
        <v>88.333333333333329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4">
      <c r="A26" s="143"/>
      <c r="B26" s="143"/>
      <c r="C26" s="143"/>
      <c r="D26" s="143"/>
      <c r="E26" s="298"/>
      <c r="F26" s="261"/>
      <c r="G26" s="149" t="str">
        <f>'C. FILIACION'!B17</f>
        <v>LOBATON RODRIGUEZ JHONATAN A.</v>
      </c>
      <c r="H26" s="150">
        <f>'CENTRAL 2'!F18</f>
        <v>88.333333333333329</v>
      </c>
      <c r="I26" s="143"/>
      <c r="J26" s="143"/>
      <c r="K26" s="143"/>
      <c r="L26" s="143"/>
      <c r="M26" s="143"/>
      <c r="N26" s="143"/>
      <c r="O26" s="143"/>
      <c r="P26" s="143"/>
      <c r="Q26" s="143"/>
      <c r="R26" s="143"/>
      <c r="S26" s="143"/>
      <c r="T26" s="143"/>
      <c r="U26" s="143"/>
      <c r="V26" s="143"/>
      <c r="W26" s="143"/>
      <c r="X26" s="143"/>
      <c r="Y26" s="143"/>
      <c r="Z26" s="143"/>
    </row>
    <row r="27" spans="1:26" ht="12.75" customHeight="1" x14ac:dyDescent="0.4">
      <c r="A27" s="143"/>
      <c r="B27" s="143"/>
      <c r="C27" s="143"/>
      <c r="D27" s="143"/>
      <c r="E27" s="298"/>
      <c r="F27" s="261"/>
      <c r="G27" s="149" t="str">
        <f>'C. FILIACION'!B18</f>
        <v>MAMANI LOPEZ DAFNE MILDRED</v>
      </c>
      <c r="H27" s="150">
        <f>'CENTRAL 2'!F19</f>
        <v>81.333333333333329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4">
      <c r="A28" s="143"/>
      <c r="B28" s="143"/>
      <c r="C28" s="143"/>
      <c r="D28" s="143"/>
      <c r="E28" s="298"/>
      <c r="F28" s="261"/>
      <c r="G28" s="149" t="str">
        <f>'C. FILIACION'!B19</f>
        <v>MARCONI PEREZ SINDEL LUANA</v>
      </c>
      <c r="H28" s="150">
        <f>'CENTRAL 2'!F20</f>
        <v>80</v>
      </c>
      <c r="I28" s="143"/>
      <c r="J28" s="143"/>
      <c r="K28" s="143"/>
      <c r="L28" s="143"/>
      <c r="M28" s="143"/>
      <c r="N28" s="143"/>
      <c r="O28" s="143"/>
      <c r="P28" s="143"/>
      <c r="Q28" s="143"/>
      <c r="R28" s="143"/>
      <c r="S28" s="143"/>
      <c r="T28" s="143"/>
      <c r="U28" s="143"/>
      <c r="V28" s="143"/>
      <c r="W28" s="143"/>
      <c r="X28" s="143"/>
      <c r="Y28" s="143"/>
      <c r="Z28" s="143"/>
    </row>
    <row r="29" spans="1:26" ht="12.75" customHeight="1" x14ac:dyDescent="0.4">
      <c r="A29" s="143"/>
      <c r="B29" s="143"/>
      <c r="C29" s="143"/>
      <c r="D29" s="143"/>
      <c r="E29" s="298"/>
      <c r="F29" s="261"/>
      <c r="G29" s="149" t="str">
        <f>'C. FILIACION'!B20</f>
        <v>MENACHO LINEO ANDREA KIMBERLY</v>
      </c>
      <c r="H29" s="150">
        <f>'CENTRAL 2'!F21</f>
        <v>83</v>
      </c>
      <c r="I29" s="143"/>
      <c r="J29" s="143"/>
      <c r="K29" s="143"/>
      <c r="L29" s="143"/>
      <c r="M29" s="143"/>
      <c r="N29" s="143"/>
      <c r="O29" s="143"/>
      <c r="P29" s="143"/>
      <c r="Q29" s="143"/>
      <c r="R29" s="143"/>
      <c r="S29" s="143"/>
      <c r="T29" s="143"/>
      <c r="U29" s="143"/>
      <c r="V29" s="143"/>
      <c r="W29" s="143"/>
      <c r="X29" s="143"/>
      <c r="Y29" s="143"/>
      <c r="Z29" s="143"/>
    </row>
    <row r="30" spans="1:26" ht="12.75" customHeight="1" x14ac:dyDescent="0.4">
      <c r="A30" s="143"/>
      <c r="B30" s="143"/>
      <c r="C30" s="143"/>
      <c r="D30" s="143"/>
      <c r="E30" s="298"/>
      <c r="F30" s="261"/>
      <c r="G30" s="149" t="str">
        <f>'C. FILIACION'!B21</f>
        <v>PILLCO APAZA MARIAN ALEXANDRA</v>
      </c>
      <c r="H30" s="150">
        <f>'CENTRAL 2'!F22</f>
        <v>80.333333333333329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4">
      <c r="A31" s="143"/>
      <c r="B31" s="143"/>
      <c r="C31" s="143"/>
      <c r="D31" s="143"/>
      <c r="E31" s="298"/>
      <c r="F31" s="261"/>
      <c r="G31" s="149" t="str">
        <f>'C. FILIACION'!B22</f>
        <v>RUEDA ALVAREZ GREGORY STEVEN</v>
      </c>
      <c r="H31" s="150">
        <f>'CENTRAL 2'!F23</f>
        <v>86.333333333333329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4">
      <c r="A32" s="143"/>
      <c r="B32" s="143"/>
      <c r="C32" s="143"/>
      <c r="D32" s="143"/>
      <c r="E32" s="298"/>
      <c r="F32" s="261"/>
      <c r="G32" s="149" t="str">
        <f>'C. FILIACION'!B23</f>
        <v>VARGAS JOYCE BELEN</v>
      </c>
      <c r="H32" s="150">
        <f>'CENTRAL 2'!F24</f>
        <v>74.333333333333329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4">
      <c r="A33" s="143"/>
      <c r="B33" s="143"/>
      <c r="C33" s="143"/>
      <c r="D33" s="143"/>
      <c r="E33" s="298"/>
      <c r="F33" s="261"/>
      <c r="G33" s="149" t="str">
        <f>'C. FILIACION'!B24</f>
        <v>ZURITA JIMENEZ ELMER ARTURO</v>
      </c>
      <c r="H33" s="150">
        <f>'CENTRAL 2'!F25</f>
        <v>90.333333333333329</v>
      </c>
      <c r="I33" s="143"/>
      <c r="J33" s="143"/>
      <c r="K33" s="143"/>
      <c r="L33" s="143"/>
      <c r="M33" s="143"/>
      <c r="N33" s="143"/>
      <c r="O33" s="143"/>
      <c r="P33" s="143"/>
      <c r="Q33" s="143"/>
      <c r="R33" s="143"/>
      <c r="S33" s="143"/>
      <c r="T33" s="143"/>
      <c r="U33" s="143"/>
      <c r="V33" s="143"/>
      <c r="W33" s="143"/>
      <c r="X33" s="143"/>
      <c r="Y33" s="143"/>
      <c r="Z33" s="143"/>
    </row>
    <row r="34" spans="1:26" ht="12.75" customHeight="1" x14ac:dyDescent="0.4">
      <c r="A34" s="143"/>
      <c r="B34" s="143"/>
      <c r="C34" s="143"/>
      <c r="D34" s="143"/>
      <c r="E34" s="298"/>
      <c r="F34" s="261"/>
      <c r="G34" s="149" t="str">
        <f>'C. FILIACION'!B25</f>
        <v>ADRIAN FLORES EDDY BEYMAR</v>
      </c>
      <c r="H34" s="150">
        <f>'CENTRAL 2'!F26</f>
        <v>81.333333333333329</v>
      </c>
      <c r="I34" s="143"/>
      <c r="J34" s="143"/>
      <c r="K34" s="143"/>
      <c r="L34" s="143"/>
      <c r="M34" s="143"/>
      <c r="N34" s="143"/>
      <c r="O34" s="143"/>
      <c r="P34" s="143"/>
      <c r="Q34" s="143"/>
      <c r="R34" s="143"/>
      <c r="S34" s="143"/>
      <c r="T34" s="143"/>
      <c r="U34" s="143"/>
      <c r="V34" s="143"/>
      <c r="W34" s="143"/>
      <c r="X34" s="143"/>
      <c r="Y34" s="143"/>
      <c r="Z34" s="143"/>
    </row>
    <row r="35" spans="1:26" ht="12.75" customHeight="1" x14ac:dyDescent="0.4">
      <c r="A35" s="143"/>
      <c r="B35" s="143"/>
      <c r="C35" s="143"/>
      <c r="D35" s="143"/>
      <c r="E35" s="301"/>
      <c r="F35" s="261"/>
      <c r="G35" s="149" t="str">
        <f>'C. FILIACION'!B26</f>
        <v>Ventura Choque Danely Keyla</v>
      </c>
      <c r="H35" s="150">
        <f>'CENTRAL 2'!F27</f>
        <v>87</v>
      </c>
      <c r="I35" s="143"/>
      <c r="J35" s="143"/>
      <c r="K35" s="143"/>
      <c r="L35" s="143"/>
      <c r="M35" s="143"/>
      <c r="N35" s="143"/>
      <c r="O35" s="143"/>
      <c r="P35" s="143"/>
      <c r="Q35" s="143"/>
      <c r="R35" s="143"/>
      <c r="S35" s="143"/>
      <c r="T35" s="143"/>
      <c r="U35" s="143"/>
      <c r="V35" s="143"/>
      <c r="W35" s="143"/>
      <c r="X35" s="143"/>
      <c r="Y35" s="143"/>
      <c r="Z35" s="143"/>
    </row>
    <row r="36" spans="1:26" ht="12.75" customHeight="1" x14ac:dyDescent="0.4">
      <c r="A36" s="143"/>
      <c r="B36" s="143"/>
      <c r="C36" s="143"/>
      <c r="D36" s="143"/>
      <c r="E36" s="298"/>
      <c r="F36" s="26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
      <c r="A37" s="143"/>
      <c r="B37" s="143"/>
      <c r="C37" s="143"/>
      <c r="D37" s="143"/>
      <c r="E37" s="298"/>
      <c r="F37" s="26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
      <c r="A38" s="143"/>
      <c r="B38" s="143"/>
      <c r="C38" s="143"/>
      <c r="D38" s="143"/>
      <c r="E38" s="298"/>
      <c r="F38" s="26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
      <c r="A39" s="143"/>
      <c r="B39" s="143"/>
      <c r="C39" s="143"/>
      <c r="D39" s="143"/>
      <c r="E39" s="298"/>
      <c r="F39" s="26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
      <c r="A40" s="143"/>
      <c r="B40" s="143"/>
      <c r="C40" s="143"/>
      <c r="D40" s="143"/>
      <c r="E40" s="298"/>
      <c r="F40" s="26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
      <c r="A41" s="143"/>
      <c r="B41" s="143"/>
      <c r="C41" s="143"/>
      <c r="D41" s="143"/>
      <c r="E41" s="298"/>
      <c r="F41" s="26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
      <c r="A42" s="143"/>
      <c r="B42" s="143"/>
      <c r="C42" s="143"/>
      <c r="D42" s="143"/>
      <c r="E42" s="298"/>
      <c r="F42" s="26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
      <c r="A43" s="143"/>
      <c r="B43" s="143"/>
      <c r="C43" s="143"/>
      <c r="D43" s="143"/>
      <c r="E43" s="298"/>
      <c r="F43" s="26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
      <c r="A44" s="143"/>
      <c r="B44" s="143"/>
      <c r="C44" s="143"/>
      <c r="D44" s="143"/>
      <c r="E44" s="298"/>
      <c r="F44" s="26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
      <c r="A45" s="143"/>
      <c r="B45" s="143"/>
      <c r="C45" s="143"/>
      <c r="D45" s="143"/>
      <c r="E45" s="298"/>
      <c r="F45" s="26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
      <c r="A46" s="143"/>
      <c r="B46" s="143"/>
      <c r="C46" s="143"/>
      <c r="D46" s="143"/>
      <c r="E46" s="298"/>
      <c r="F46" s="26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
      <c r="A47" s="143"/>
      <c r="B47" s="143"/>
      <c r="C47" s="143"/>
      <c r="D47" s="143"/>
      <c r="E47" s="298"/>
      <c r="F47" s="26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
      <c r="A48" s="143"/>
      <c r="B48" s="143"/>
      <c r="C48" s="143"/>
      <c r="D48" s="143"/>
      <c r="E48" s="298"/>
      <c r="F48" s="26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
      <c r="A49" s="143"/>
      <c r="B49" s="143"/>
      <c r="C49" s="143"/>
      <c r="D49" s="143"/>
      <c r="E49" s="298"/>
      <c r="F49" s="26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
      <c r="A50" s="143"/>
      <c r="B50" s="143"/>
      <c r="C50" s="143"/>
      <c r="D50" s="143"/>
      <c r="E50" s="298"/>
      <c r="F50" s="26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
      <c r="A51" s="143"/>
      <c r="B51" s="143"/>
      <c r="C51" s="143"/>
      <c r="D51" s="143"/>
      <c r="E51" s="298"/>
      <c r="F51" s="26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
      <c r="A52" s="143"/>
      <c r="B52" s="143"/>
      <c r="C52" s="143"/>
      <c r="D52" s="143"/>
      <c r="E52" s="298"/>
      <c r="F52" s="26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
      <c r="A53" s="143"/>
      <c r="B53" s="143"/>
      <c r="C53" s="143"/>
      <c r="D53" s="143"/>
      <c r="E53" s="298"/>
      <c r="F53" s="26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
      <c r="A54" s="143"/>
      <c r="B54" s="143"/>
      <c r="C54" s="143"/>
      <c r="D54" s="143"/>
      <c r="E54" s="298"/>
      <c r="F54" s="26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
      <c r="A55" s="143"/>
      <c r="B55" s="143"/>
      <c r="C55" s="143"/>
      <c r="D55" s="143"/>
      <c r="E55" s="298"/>
      <c r="F55" s="26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
      <c r="A56" s="143"/>
      <c r="B56" s="143"/>
      <c r="C56" s="143"/>
      <c r="D56" s="143"/>
      <c r="E56" s="298"/>
      <c r="F56" s="26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
      <c r="A57" s="143"/>
      <c r="B57" s="143"/>
      <c r="C57" s="143"/>
      <c r="D57" s="143"/>
      <c r="E57" s="298"/>
      <c r="F57" s="26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
      <c r="A58" s="143"/>
      <c r="B58" s="143"/>
      <c r="C58" s="143"/>
      <c r="D58" s="143"/>
      <c r="E58" s="298"/>
      <c r="F58" s="26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
      <c r="A59" s="143"/>
      <c r="B59" s="143"/>
      <c r="C59" s="143"/>
      <c r="D59" s="143"/>
      <c r="E59" s="298"/>
      <c r="F59" s="26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
      <c r="A60" s="143"/>
      <c r="B60" s="143"/>
      <c r="C60" s="143"/>
      <c r="D60" s="143"/>
      <c r="E60" s="299"/>
      <c r="F60" s="300"/>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2021-09-14T12:54:38Z</dcterms:modified>
</cp:coreProperties>
</file>