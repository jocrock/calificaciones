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32E515C5-EA25-49BB-B765-500963B2EEED}" xr6:coauthVersionLast="47" xr6:coauthVersionMax="47" xr10:uidLastSave="{00000000-0000-0000-0000-000000000000}"/>
  <bookViews>
    <workbookView xWindow="-120" yWindow="-120" windowWidth="29040" windowHeight="17640" firstSheet="3" activeTab="3" xr2:uid="{00000000-000D-0000-FFFF-FFFF00000000}"/>
  </bookViews>
  <sheets>
    <sheet name="CARÁTULA" sheetId="1" r:id="rId1"/>
    <sheet name="C. FILIACION" sheetId="2" r:id="rId2"/>
    <sheet name="ASIS 1 TRIM" sheetId="3" r:id="rId3"/>
    <sheet name="ASIS 2 TRIM" sheetId="4" r:id="rId4"/>
    <sheet name="Informe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F4" i="17" l="1"/>
  <c r="R4" i="17" l="1"/>
  <c r="AD33" i="17"/>
  <c r="AE28" i="17"/>
  <c r="A32" i="17" l="1"/>
  <c r="A31" i="17"/>
  <c r="A30" i="17"/>
  <c r="A29" i="17"/>
  <c r="I32" i="17"/>
  <c r="AC32" i="17" s="1"/>
  <c r="I31" i="17"/>
  <c r="AC31" i="17" s="1"/>
  <c r="I30" i="17"/>
  <c r="AC30" i="17" s="1"/>
  <c r="I29" i="17"/>
  <c r="AC29" i="17" s="1"/>
  <c r="A28" i="17"/>
  <c r="A27" i="17"/>
  <c r="A26" i="17"/>
  <c r="A25" i="17"/>
  <c r="A24" i="17"/>
  <c r="I28" i="17"/>
  <c r="AC28" i="17" s="1"/>
  <c r="I27" i="17"/>
  <c r="AC27" i="17" s="1"/>
  <c r="I26" i="17"/>
  <c r="AC26" i="17" s="1"/>
  <c r="I25" i="17"/>
  <c r="AC25" i="17" s="1"/>
  <c r="I24" i="17"/>
  <c r="I19" i="17"/>
  <c r="AC19" i="17" s="1"/>
  <c r="I18" i="17"/>
  <c r="AC18" i="17" s="1"/>
  <c r="I17" i="17"/>
  <c r="AC17" i="17" s="1"/>
  <c r="I16" i="17"/>
  <c r="AC16" i="17" s="1"/>
  <c r="I15" i="17"/>
  <c r="AC15" i="17" s="1"/>
  <c r="A19" i="17"/>
  <c r="A18" i="17"/>
  <c r="A17" i="17"/>
  <c r="A16" i="17"/>
  <c r="A15" i="17"/>
  <c r="AF11" i="17"/>
  <c r="AG11" i="17" s="1"/>
  <c r="AH11" i="17" s="1"/>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11" i="17"/>
  <c r="C10" i="17"/>
  <c r="D10" i="17"/>
  <c r="E10" i="17"/>
  <c r="F10" i="17"/>
  <c r="G10" i="17"/>
  <c r="H10" i="17"/>
  <c r="I10" i="17"/>
  <c r="J10" i="17"/>
  <c r="K10" i="17"/>
  <c r="L10" i="17"/>
  <c r="M10" i="17"/>
  <c r="N10" i="17"/>
  <c r="O10" i="17"/>
  <c r="P10" i="17"/>
  <c r="Q10" i="17"/>
  <c r="R10" i="17"/>
  <c r="S10" i="17"/>
  <c r="T10" i="17"/>
  <c r="U10" i="17"/>
  <c r="B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AC24" i="17" l="1"/>
  <c r="AC33" i="17" s="1"/>
  <c r="I33" i="17"/>
  <c r="AC20" i="17"/>
  <c r="I20" i="17"/>
  <c r="U11" i="17"/>
  <c r="R11" i="17"/>
  <c r="M11" i="17"/>
  <c r="J11" i="17"/>
  <c r="E11" i="17"/>
  <c r="T11" i="17"/>
  <c r="L11" i="17"/>
  <c r="D11" i="17"/>
  <c r="S11" i="17"/>
  <c r="K11" i="17"/>
  <c r="C11" i="17"/>
  <c r="Q11" i="17"/>
  <c r="I11" i="17"/>
  <c r="P11" i="17"/>
  <c r="H11" i="17"/>
  <c r="Y11" i="17"/>
  <c r="O11" i="17"/>
  <c r="G11" i="17"/>
  <c r="X11" i="17"/>
  <c r="N11" i="17"/>
  <c r="F11" i="17"/>
  <c r="W11" i="17"/>
  <c r="B25"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A24" i="4"/>
  <c r="BE24" i="4" s="1"/>
  <c r="B24" i="4"/>
  <c r="BA23" i="4"/>
  <c r="BE23" i="4" s="1"/>
  <c r="B23" i="4"/>
  <c r="BA22" i="4"/>
  <c r="BE22" i="4" s="1"/>
  <c r="B22" i="4"/>
  <c r="BA21" i="4"/>
  <c r="BE21" i="4" s="1"/>
  <c r="B21" i="4"/>
  <c r="BA20" i="4"/>
  <c r="BE20" i="4" s="1"/>
  <c r="B20" i="4"/>
  <c r="BA19" i="4"/>
  <c r="BE19" i="4" s="1"/>
  <c r="B19" i="4"/>
  <c r="BA18" i="4"/>
  <c r="BE18" i="4" s="1"/>
  <c r="B18" i="4"/>
  <c r="BA17" i="4"/>
  <c r="BE17" i="4" s="1"/>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5" i="4" l="1"/>
  <c r="Z11" i="17" s="1"/>
  <c r="V11" i="17"/>
  <c r="AC34" i="17"/>
  <c r="BA4" i="4"/>
  <c r="AG20" i="7"/>
  <c r="D20" i="10" s="1"/>
  <c r="AG25" i="7"/>
  <c r="AF25" i="7" s="1"/>
  <c r="AG17" i="7"/>
  <c r="AF17"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A34" i="17" l="1"/>
  <c r="N20" i="9"/>
  <c r="AF20" i="7"/>
  <c r="AH20" i="7"/>
  <c r="N25" i="9"/>
  <c r="D25" i="10"/>
  <c r="AH25" i="7"/>
  <c r="N17" i="9"/>
  <c r="AH17" i="7"/>
  <c r="D17" i="10"/>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20" i="9" l="1"/>
  <c r="F20" i="10" s="1"/>
  <c r="U16" i="9"/>
  <c r="V16" i="9" s="1"/>
  <c r="U25" i="9"/>
  <c r="F25" i="10" s="1"/>
  <c r="U17" i="9"/>
  <c r="V17" i="9" s="1"/>
  <c r="U22" i="9"/>
  <c r="V22" i="9" s="1"/>
  <c r="F23" i="10"/>
  <c r="V23" i="9"/>
  <c r="F39" i="10"/>
  <c r="V39" i="9"/>
  <c r="F15" i="10"/>
  <c r="V15" i="9"/>
  <c r="F31" i="10"/>
  <c r="V31" i="9"/>
  <c r="U11" i="9"/>
  <c r="F35" i="10"/>
  <c r="V35" i="9"/>
  <c r="U12" i="9"/>
  <c r="I9" i="10"/>
  <c r="E11" i="14" s="1"/>
  <c r="I13" i="10"/>
  <c r="E12" i="14" s="1"/>
  <c r="U24" i="9"/>
  <c r="U28" i="9"/>
  <c r="AO12" i="7"/>
  <c r="H10" i="12" s="1"/>
  <c r="AO11" i="7"/>
  <c r="H9" i="12" s="1"/>
  <c r="AO10" i="7"/>
  <c r="H8" i="12" s="1"/>
  <c r="AO9" i="7"/>
  <c r="H7" i="12" s="1"/>
  <c r="K9" i="10"/>
  <c r="E36" i="14" s="1"/>
  <c r="K13" i="10"/>
  <c r="E37" i="14" s="1"/>
  <c r="U9" i="9"/>
  <c r="U10" i="9"/>
  <c r="F42" i="10"/>
  <c r="V42" i="9"/>
  <c r="U27" i="9"/>
  <c r="F36" i="10"/>
  <c r="V36" i="9"/>
  <c r="U14" i="9"/>
  <c r="U33" i="9"/>
  <c r="J13" i="10"/>
  <c r="E25" i="14" s="1"/>
  <c r="J9" i="10"/>
  <c r="E24" i="14" s="1"/>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20" i="9" l="1"/>
  <c r="F22" i="10"/>
  <c r="G22" i="10" s="1"/>
  <c r="F17" i="10"/>
  <c r="H25" i="16" s="1"/>
  <c r="V25" i="9"/>
  <c r="F16" i="10"/>
  <c r="H24" i="16" s="1"/>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47" i="16"/>
  <c r="G39" i="10"/>
  <c r="H11" i="12"/>
  <c r="I9" i="12" s="1"/>
  <c r="G12" i="14"/>
  <c r="I8" i="13"/>
  <c r="H51" i="16"/>
  <c r="G43" i="10"/>
  <c r="E13" i="14"/>
  <c r="G11" i="14"/>
  <c r="H31" i="16"/>
  <c r="G23" i="10"/>
  <c r="H30" i="16" l="1"/>
  <c r="G17" i="10"/>
  <c r="G16" i="10"/>
  <c r="G36" i="14"/>
  <c r="G37" i="14"/>
  <c r="G25" i="14"/>
  <c r="G26" i="14" s="1"/>
  <c r="I7" i="12"/>
  <c r="I8" i="12"/>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2"/>
  <c r="I11" i="13"/>
</calcChain>
</file>

<file path=xl/sharedStrings.xml><?xml version="1.0" encoding="utf-8"?>
<sst xmlns="http://schemas.openxmlformats.org/spreadsheetml/2006/main" count="1102" uniqueCount="271">
  <si>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</si>
  <si>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</si>
  <si>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</si>
  <si>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</si>
  <si>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</si>
  <si>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</si>
  <si>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</si>
  <si>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</si>
  <si>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</si>
  <si>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</si>
  <si>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</si>
  <si>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</si>
  <si>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</si>
  <si>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</si>
  <si>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</si>
  <si>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</si>
  <si>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</si>
  <si>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</si>
  <si>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</si>
  <si>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</si>
  <si>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</si>
  <si>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</si>
  <si>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</si>
  <si>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</si>
  <si>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</si>
  <si>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</si>
  <si>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</si>
  <si>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</si>
  <si>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</si>
  <si>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</si>
  <si>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</si>
  <si>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</si>
  <si>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</si>
  <si>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</si>
  <si>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</si>
  <si>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</si>
  <si>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</si>
  <si>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</si>
  <si>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</si>
  <si>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</si>
  <si>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</si>
  <si>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</si>
  <si>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</si>
  <si>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</si>
  <si>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</si>
  <si>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</si>
  <si>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</si>
  <si>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</si>
  <si>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</si>
  <si>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</si>
  <si>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</si>
  <si>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</si>
  <si>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</si>
  <si>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</si>
  <si>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</si>
  <si>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</si>
  <si>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</si>
  <si>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</si>
  <si>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</si>
  <si>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</si>
  <si>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</si>
  <si>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</si>
  <si>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</si>
  <si>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</si>
  <si>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</si>
  <si>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</si>
  <si>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</si>
  <si>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</si>
  <si>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</si>
  <si>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</si>
  <si>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</si>
  <si>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</si>
  <si>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</si>
  <si>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</si>
  <si>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</si>
  <si>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</si>
  <si>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</si>
  <si>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</si>
  <si>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</si>
  <si>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</si>
  <si>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</si>
  <si>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</si>
  <si>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</si>
  <si>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</si>
  <si>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</si>
  <si>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</si>
  <si>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</si>
  <si>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</si>
  <si>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</si>
  <si>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</si>
  <si>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</si>
  <si>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</si>
  <si>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</si>
  <si>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</si>
  <si>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</si>
  <si>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</si>
  <si>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</si>
  <si>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</si>
  <si>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</si>
  <si>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</si>
  <si>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</si>
  <si>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</si>
  <si>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</si>
  <si>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</si>
  <si>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</si>
  <si>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</si>
  <si>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</si>
  <si>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</si>
  <si>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</si>
  <si>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</si>
  <si>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</si>
  <si>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</si>
  <si>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</si>
  <si>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</si>
  <si>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</si>
  <si>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</si>
  <si>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</si>
  <si>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</si>
  <si>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</si>
  <si>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</si>
  <si>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</si>
  <si>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</si>
  <si>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</si>
  <si>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</si>
  <si>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</si>
  <si>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</si>
  <si>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</si>
  <si>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</si>
  <si>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</si>
  <si>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</si>
  <si>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</si>
  <si>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</si>
  <si>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</si>
  <si>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</si>
  <si>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</si>
  <si>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</si>
  <si>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</si>
  <si>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</si>
  <si>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</si>
  <si>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</si>
  <si>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</si>
  <si>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</si>
  <si>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</si>
  <si>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</si>
  <si>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</si>
  <si>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</si>
  <si>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</si>
  <si>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</si>
  <si>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</si>
  <si>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</si>
  <si>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</si>
  <si>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</si>
  <si>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</si>
  <si>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</si>
  <si>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</si>
  <si>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</si>
  <si>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</si>
  <si>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</si>
  <si>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</si>
  <si>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</si>
  <si>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</si>
  <si>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</si>
  <si>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</si>
  <si>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</si>
  <si>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</si>
  <si>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</si>
  <si>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</si>
  <si>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</si>
  <si>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</si>
  <si>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</si>
  <si>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</si>
  <si>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</si>
  <si>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</si>
  <si>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participacion</t>
  </si>
  <si>
    <t>ADRIAN FLORES EDDY BEYMAR</t>
  </si>
  <si>
    <t>grupos</t>
  </si>
  <si>
    <t>r</t>
  </si>
  <si>
    <t>l</t>
  </si>
  <si>
    <t>Ventura Choque Danely Keyla</t>
  </si>
  <si>
    <t>o</t>
  </si>
  <si>
    <t>10/5/2021</t>
  </si>
  <si>
    <t>12/5/2021</t>
  </si>
  <si>
    <t>17/5/2021</t>
  </si>
  <si>
    <t>19/5/2021</t>
  </si>
  <si>
    <t>24/5/2021</t>
  </si>
  <si>
    <t>26/5/2021</t>
  </si>
  <si>
    <t>31/5/2021</t>
  </si>
  <si>
    <t>28/6/2021</t>
  </si>
  <si>
    <t>30/6/2021</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</si>
  <si>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</si>
  <si>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</si>
  <si>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</si>
  <si>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</si>
  <si>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</si>
  <si>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</si>
  <si>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</si>
  <si>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</si>
  <si>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</si>
  <si>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</si>
  <si>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</si>
  <si>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</si>
  <si>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</si>
  <si>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</si>
  <si>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</si>
  <si>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</si>
  <si>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</si>
  <si>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</si>
  <si>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</si>
  <si>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</si>
  <si>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</si>
  <si>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</si>
  <si>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</si>
  <si>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</si>
  <si>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</si>
  <si>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</si>
  <si>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</si>
  <si>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</si>
  <si>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5/7/2021</t>
  </si>
  <si>
    <t>7/7/2021</t>
  </si>
  <si>
    <t>12/7/2021</t>
  </si>
  <si>
    <t>14/7/2021</t>
  </si>
  <si>
    <t>19/7/2021</t>
  </si>
  <si>
    <t>26/7/2021</t>
  </si>
  <si>
    <t>28/7/2021</t>
  </si>
  <si>
    <t>2/8/2021</t>
  </si>
  <si>
    <t>4/8/2021</t>
  </si>
  <si>
    <t>9/8/2021</t>
  </si>
  <si>
    <t>11/8/2021</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</si>
  <si>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</si>
  <si>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</si>
  <si>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</si>
  <si>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</si>
  <si>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</si>
  <si>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</si>
  <si>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</si>
  <si>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</si>
  <si>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</si>
  <si>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</si>
  <si>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</si>
  <si>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</si>
  <si>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</si>
  <si>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24/05/2021 (Logica de Funcionamiento de juegos)</t>
  </si>
  <si>
    <t>24/5/2021 (Cuestionario)</t>
  </si>
  <si>
    <t>26/05/2021(Diseño de Interface)</t>
  </si>
  <si>
    <t>05/07/2021(Imágenes Juego Ahorcado)</t>
  </si>
  <si>
    <t>07/07/2021(Diseño de Botones)</t>
  </si>
  <si>
    <t>14/07/2021(Diagrama de Flujo)</t>
  </si>
  <si>
    <t>19/07/2021(Funcion)</t>
  </si>
  <si>
    <t>28/07/2021(Base de datos Access)</t>
  </si>
  <si>
    <t>28/06/2021(Repaso)</t>
  </si>
  <si>
    <t>12/08/2021(Disertacion Programa tres en raya)</t>
  </si>
  <si>
    <t>9/08/2021(Cuestionario BD)</t>
  </si>
  <si>
    <t>09/08/2021(CRUD)</t>
  </si>
  <si>
    <t>26/05/2021(Defensa Diseño de Interface)</t>
  </si>
  <si>
    <t>12/08/2021 (Trabajo 3 en Raya)</t>
  </si>
  <si>
    <t>https://classroom.google.com/c/MzQwOTQ1MTY0MTMw/a/MzQyMDY1OTk4OTY3/details</t>
  </si>
  <si>
    <t>https://classroom.google.com/c/MzQwOTQ1MTY0MTMw/a/MzY3MTU2NDExMDIx/details</t>
  </si>
  <si>
    <t>https://classroom.google.com/c/MzQwOTQ1MTY0MTMw/a/MzE5MjgxODM4MzA4/details</t>
  </si>
  <si>
    <t>https://classroom.google.com/c/MzQwOTQ1MTY0MTMw/a/MzQyMDU4ODY2ODAz/details</t>
  </si>
  <si>
    <t>https://classroom.google.com/c/MzQwOTQ1MTY0MTMw/a/MzQ5MDM4MzIxMDQ5/details</t>
  </si>
  <si>
    <t>https://classroom.google.com/c/MzQwOTQ1MTY0MTMw/a/MzY5NTI0NDA4NjYx/details</t>
  </si>
  <si>
    <t>https://classroom.google.com/c/MzQwOTQ1MTY0MTMw/a/MzY5ODQ1NjQ5NjM3/details</t>
  </si>
  <si>
    <t>https://classroom.google.com/c/MzQwOTQ1MTY0MTMw/a/MzcwMjU5NTc2OTk2/details</t>
  </si>
  <si>
    <t>https://classroom.google.com/c/MzQwOTQ1MTY0MTMw/a/MzcyOTgwMzk4ODA4/details</t>
  </si>
  <si>
    <t>https://classroom.google.com/c/MzQwOTQ1MTY0MTMw/a/Mzc0NDgyNzMxMTMw/details</t>
  </si>
  <si>
    <t>https://classroom.google.com/c/MzQwOTQ1MTY0MTMw/a/MzE5Mjg0MzM5MTA1/details</t>
  </si>
  <si>
    <t>omw5vnh</t>
  </si>
  <si>
    <t>Tec. Tecnologica Programacion Visual</t>
  </si>
  <si>
    <t>16/8/2021</t>
  </si>
  <si>
    <t>16/08/2021 (Desfensa CRUD)</t>
  </si>
  <si>
    <t>18/8/2021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</si>
</sst>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b/>
      <sz val="9"/>
      <color theme="0"/>
      <name val="Calibri"/>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0"/>
      <color theme="1"/>
      <name val="Roboto"/>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u/>
      <sz val="11"/>
      <color theme="10"/>
      <name val="Arial"/>
      <family val="2"/>
    </font>
    <font>
      <u/>
      <sz val="11"/>
      <color rgb="FF0563C1"/>
      <name val="Arial"/>
      <family val="2"/>
    </font>
    <font>
      <b/>
      <sz val="9"/>
      <color rgb="FF000000"/>
      <name val="Calibri"/>
      <family val="2"/>
    </font>
    <font>
      <sz val="9"/>
      <color rgb="FF000000"/>
      <name val="Calibri"/>
      <family val="2"/>
    </font>
    <font>
      <b/>
      <sz val="10"/>
      <color rgb="FF000000"/>
      <name val="Arial"/>
      <family val="2"/>
    </font>
    <font>
      <u/>
      <sz val="12"/>
      <color theme="10"/>
      <name val="Arial"/>
      <family val="2"/>
    </font>
    <font>
      <b/>
      <sz val="16"/>
      <color theme="1"/>
      <name val="Arial"/>
      <family val="2"/>
    </font>
    <font>
      <sz val="8"/>
      <color theme="1"/>
      <name val="Arial"/>
      <family val="2"/>
    </font>
    <font>
      <sz val="16"/>
      <color theme="1"/>
      <name val="Arial"/>
      <family val="2"/>
    </font>
    <font>
      <sz val="8"/>
      <color rgb="FF000000"/>
      <name val="Arial"/>
      <family val="2"/>
    </font>
  </fonts>
  <fills count="17">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s>
  <borders count="65">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s>
  <cellStyleXfs count="3">
    <xf numFmtId="0" fontId="0" fillId="0" borderId="0"/>
    <xf numFmtId="0" fontId="40" fillId="0" borderId="0" applyNumberFormat="0" applyFill="0" applyBorder="0" applyAlignment="0" applyProtection="0"/>
    <xf numFmtId="43" fontId="59" fillId="0" borderId="0" applyFont="0" applyFill="0" applyBorder="0" applyAlignment="0" applyProtection="0"/>
  </cellStyleXfs>
  <cellXfs count="30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center" vertical="center"/>
    </xf>
    <xf numFmtId="0" fontId="9" fillId="10" borderId="19" xfId="0" applyFont="1" applyFill="1" applyBorder="1" applyAlignment="1">
      <alignment horizontal="center" vertical="center"/>
    </xf>
    <xf numFmtId="0" fontId="9" fillId="11" borderId="19" xfId="0" applyFont="1" applyFill="1" applyBorder="1" applyAlignment="1">
      <alignment horizontal="center" vertical="center"/>
    </xf>
    <xf numFmtId="0" fontId="9" fillId="12" borderId="19" xfId="0" applyFont="1" applyFill="1" applyBorder="1" applyAlignment="1">
      <alignment horizontal="left" vertical="center"/>
    </xf>
    <xf numFmtId="0" fontId="9" fillId="12" borderId="19" xfId="0" applyFont="1" applyFill="1" applyBorder="1" applyAlignment="1">
      <alignment horizontal="center" vertical="center"/>
    </xf>
    <xf numFmtId="0" fontId="9" fillId="0" borderId="39" xfId="0" applyFont="1" applyBorder="1" applyAlignment="1">
      <alignment horizontal="center" vertical="center"/>
    </xf>
    <xf numFmtId="0" fontId="0" fillId="0" borderId="0" xfId="0" applyFont="1" applyAlignment="1"/>
    <xf numFmtId="14" fontId="39" fillId="13" borderId="19" xfId="0" applyNumberFormat="1" applyFont="1" applyFill="1" applyBorder="1" applyAlignment="1">
      <alignment horizontal="center" vertical="center" textRotation="90"/>
    </xf>
    <xf numFmtId="0" fontId="9" fillId="14" borderId="19" xfId="0" applyFont="1" applyFill="1" applyBorder="1" applyAlignment="1">
      <alignment horizontal="center" vertical="center"/>
    </xf>
    <xf numFmtId="0" fontId="9" fillId="15" borderId="19"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14" borderId="29" xfId="0" applyFont="1" applyFill="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7" xfId="0" applyFont="1" applyBorder="1" applyAlignment="1">
      <alignment horizontal="center" vertical="center"/>
    </xf>
    <xf numFmtId="0" fontId="38" fillId="0" borderId="15" xfId="0" applyFont="1" applyBorder="1"/>
    <xf numFmtId="0" fontId="45" fillId="0" borderId="15" xfId="0" applyFont="1" applyBorder="1" applyAlignment="1">
      <alignment vertical="center" wrapText="1"/>
    </xf>
    <xf numFmtId="14" fontId="47" fillId="0" borderId="58" xfId="0" applyNumberFormat="1" applyFont="1" applyBorder="1" applyAlignment="1">
      <alignment horizontal="center" textRotation="90"/>
    </xf>
    <xf numFmtId="0" fontId="48" fillId="0" borderId="58" xfId="0" applyFont="1" applyBorder="1" applyAlignment="1">
      <alignment horizontal="center" vertical="center"/>
    </xf>
    <xf numFmtId="0" fontId="58" fillId="0" borderId="0" xfId="0" applyFont="1"/>
    <xf numFmtId="0" fontId="58" fillId="0" borderId="15" xfId="0" applyFont="1" applyBorder="1"/>
    <xf numFmtId="166" fontId="54" fillId="0" borderId="19" xfId="2" applyNumberFormat="1" applyFont="1" applyFill="1" applyBorder="1" applyAlignment="1">
      <alignment horizontal="left" vertical="center"/>
    </xf>
    <xf numFmtId="0" fontId="0" fillId="0" borderId="15" xfId="0" applyBorder="1"/>
    <xf numFmtId="166" fontId="58" fillId="0" borderId="15" xfId="0" applyNumberFormat="1" applyFont="1" applyBorder="1"/>
    <xf numFmtId="166" fontId="0" fillId="0" borderId="15" xfId="0" applyNumberFormat="1" applyBorder="1"/>
    <xf numFmtId="0" fontId="0" fillId="0" borderId="0" xfId="0"/>
    <xf numFmtId="0" fontId="58" fillId="0" borderId="15" xfId="0" applyFont="1" applyFill="1" applyBorder="1" applyAlignment="1"/>
    <xf numFmtId="0" fontId="10" fillId="15" borderId="19" xfId="0" applyFont="1" applyFill="1" applyBorder="1" applyAlignment="1">
      <alignment horizontal="left" vertical="center"/>
    </xf>
    <xf numFmtId="0" fontId="10" fillId="15" borderId="19" xfId="0" applyFont="1" applyFill="1" applyBorder="1" applyAlignment="1">
      <alignment horizontal="center" vertical="center"/>
    </xf>
    <xf numFmtId="0" fontId="25" fillId="16" borderId="19" xfId="0" applyFont="1" applyFill="1" applyBorder="1" applyAlignment="1">
      <alignment horizontal="center" vertical="center"/>
    </xf>
    <xf numFmtId="0" fontId="9" fillId="15" borderId="19" xfId="0" applyFont="1" applyFill="1" applyBorder="1" applyAlignment="1">
      <alignment horizontal="left" vertical="center"/>
    </xf>
    <xf numFmtId="166" fontId="0" fillId="0" borderId="0" xfId="0" applyNumberForma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14" fontId="60" fillId="0" borderId="58" xfId="0" applyNumberFormat="1" applyFont="1" applyBorder="1" applyAlignment="1">
      <alignment horizontal="right" vertical="center"/>
    </xf>
    <xf numFmtId="0" fontId="60" fillId="0" borderId="58" xfId="0" applyFont="1" applyBorder="1" applyAlignment="1">
      <alignment horizontal="right" vertical="center"/>
    </xf>
    <xf numFmtId="0" fontId="49" fillId="0" borderId="58" xfId="0" applyFont="1" applyBorder="1" applyAlignment="1">
      <alignment horizontal="center"/>
    </xf>
    <xf numFmtId="0" fontId="52" fillId="0" borderId="58" xfId="1" applyFont="1" applyFill="1" applyBorder="1" applyAlignment="1">
      <alignment horizontal="left"/>
    </xf>
    <xf numFmtId="0" fontId="54" fillId="0" borderId="58" xfId="0" applyFont="1" applyBorder="1" applyAlignment="1">
      <alignment horizontal="right" vertical="center"/>
    </xf>
    <xf numFmtId="0" fontId="51" fillId="0" borderId="58" xfId="1" applyFont="1" applyFill="1" applyBorder="1" applyAlignment="1">
      <alignment horizontal="left"/>
    </xf>
    <xf numFmtId="0" fontId="53" fillId="0" borderId="58" xfId="0" applyFont="1" applyBorder="1" applyAlignment="1">
      <alignment horizontal="right" vertical="center"/>
    </xf>
    <xf numFmtId="1" fontId="55" fillId="0" borderId="58" xfId="0" applyNumberFormat="1" applyFont="1" applyBorder="1" applyAlignment="1">
      <alignment horizontal="center"/>
    </xf>
    <xf numFmtId="0" fontId="46" fillId="0" borderId="58" xfId="0" applyFont="1" applyBorder="1" applyAlignment="1">
      <alignment horizontal="center" vertical="center"/>
    </xf>
    <xf numFmtId="0" fontId="48" fillId="0" borderId="58" xfId="0" applyFont="1" applyBorder="1" applyAlignment="1">
      <alignment horizontal="left"/>
    </xf>
    <xf numFmtId="0" fontId="57" fillId="0" borderId="15" xfId="0" applyFont="1" applyBorder="1" applyAlignment="1">
      <alignment horizontal="center"/>
    </xf>
    <xf numFmtId="0" fontId="41" fillId="0" borderId="58" xfId="0" applyFont="1" applyBorder="1" applyAlignment="1">
      <alignment horizontal="left"/>
    </xf>
    <xf numFmtId="0" fontId="41" fillId="0" borderId="58" xfId="0" applyFont="1" applyBorder="1" applyAlignment="1">
      <alignment horizontal="center"/>
    </xf>
    <xf numFmtId="0" fontId="42" fillId="0" borderId="59" xfId="0" applyFont="1" applyBorder="1" applyAlignment="1">
      <alignment horizontal="center"/>
    </xf>
    <xf numFmtId="0" fontId="42" fillId="0" borderId="60" xfId="0" applyFont="1" applyBorder="1" applyAlignment="1">
      <alignment horizontal="center"/>
    </xf>
    <xf numFmtId="0" fontId="42" fillId="0" borderId="61" xfId="0" applyFont="1" applyBorder="1" applyAlignment="1">
      <alignment horizontal="center"/>
    </xf>
    <xf numFmtId="0" fontId="43" fillId="0" borderId="62" xfId="0" applyFont="1" applyBorder="1" applyAlignment="1">
      <alignment horizontal="center" vertical="center"/>
    </xf>
    <xf numFmtId="0" fontId="43" fillId="0" borderId="63" xfId="0" applyFont="1" applyBorder="1" applyAlignment="1">
      <alignment horizontal="center" vertical="center"/>
    </xf>
    <xf numFmtId="0" fontId="44" fillId="0" borderId="58" xfId="0" applyFont="1" applyBorder="1" applyAlignment="1">
      <alignment horizontal="center" vertical="center"/>
    </xf>
    <xf numFmtId="0" fontId="42" fillId="0" borderId="58" xfId="0" applyFont="1" applyBorder="1" applyAlignment="1">
      <alignment horizontal="left"/>
    </xf>
    <xf numFmtId="0" fontId="42" fillId="0" borderId="59" xfId="0" applyFont="1" applyBorder="1" applyAlignment="1">
      <alignment horizontal="left"/>
    </xf>
    <xf numFmtId="0" fontId="42" fillId="0" borderId="60" xfId="0" applyFont="1" applyBorder="1" applyAlignment="1">
      <alignment horizontal="left"/>
    </xf>
    <xf numFmtId="0" fontId="42" fillId="0" borderId="61" xfId="0" applyFont="1" applyBorder="1" applyAlignment="1">
      <alignment horizontal="left"/>
    </xf>
    <xf numFmtId="0" fontId="46" fillId="0" borderId="15" xfId="0" applyFont="1" applyBorder="1" applyAlignment="1">
      <alignment horizontal="center"/>
    </xf>
    <xf numFmtId="0" fontId="43" fillId="0" borderId="59" xfId="0" applyFont="1" applyBorder="1" applyAlignment="1">
      <alignment horizontal="center"/>
    </xf>
    <xf numFmtId="0" fontId="43" fillId="0" borderId="61" xfId="0" applyFont="1" applyBorder="1" applyAlignment="1">
      <alignment horizontal="center"/>
    </xf>
    <xf numFmtId="14" fontId="54" fillId="0" borderId="58" xfId="0" applyNumberFormat="1" applyFont="1" applyBorder="1" applyAlignment="1">
      <alignment horizontal="right" vertical="center"/>
    </xf>
    <xf numFmtId="0" fontId="48" fillId="0" borderId="58" xfId="0" applyFont="1" applyBorder="1" applyAlignment="1">
      <alignment horizontal="center"/>
    </xf>
    <xf numFmtId="0" fontId="53" fillId="0" borderId="64" xfId="0" applyFont="1" applyBorder="1" applyAlignment="1">
      <alignment horizontal="left" vertical="center" wrapText="1"/>
    </xf>
    <xf numFmtId="0" fontId="53" fillId="0" borderId="15" xfId="0" applyFont="1" applyBorder="1" applyAlignment="1">
      <alignment horizontal="left" vertical="center" wrapText="1"/>
    </xf>
    <xf numFmtId="0" fontId="56" fillId="0" borderId="58" xfId="1" applyFont="1" applyFill="1" applyBorder="1" applyAlignment="1">
      <alignment horizontal="left"/>
    </xf>
    <xf numFmtId="0" fontId="50" fillId="0" borderId="58" xfId="1" applyFont="1" applyFill="1" applyBorder="1" applyAlignment="1">
      <alignment horizontal="left"/>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1" builtinId="8"/>
    <cellStyle name="Millares" xfId="2" builtinId="3"/>
    <cellStyle name="Normal" xfId="0" builtinId="0"/>
  </cellStyles>
  <dxfs count="53">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0.81081081081081086</c:v>
                </c:pt>
                <c:pt idx="1">
                  <c:v>0.1891891891891892</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0.97297297297297303</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3</xdr:row>
      <xdr:rowOff>40324</xdr:rowOff>
    </xdr:to>
    <xdr:pic>
      <xdr:nvPicPr>
        <xdr:cNvPr id="15" name="Imagen 14">
          <a:extLst>
            <a:ext uri="{FF2B5EF4-FFF2-40B4-BE49-F238E27FC236}">
              <a16:creationId xmlns:a16="http://schemas.microsoft.com/office/drawing/2014/main" id="{81EF2EA5-2ED6-412B-BC5E-FE75439B7D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68518"/>
        </a:xfrm>
        <a:prstGeom prst="rect">
          <a:avLst/>
        </a:prstGeom>
      </xdr:spPr>
    </xdr:pic>
    <xdr:clientData/>
  </xdr:twoCellAnchor>
  <xdr:twoCellAnchor>
    <xdr:from>
      <xdr:col>16</xdr:col>
      <xdr:colOff>190403</xdr:colOff>
      <xdr:row>36</xdr:row>
      <xdr:rowOff>228267</xdr:rowOff>
    </xdr:from>
    <xdr:to>
      <xdr:col>21</xdr:col>
      <xdr:colOff>28112</xdr:colOff>
      <xdr:row>39</xdr:row>
      <xdr:rowOff>203874</xdr:rowOff>
    </xdr:to>
    <xdr:sp macro="" textlink="">
      <xdr:nvSpPr>
        <xdr:cNvPr id="16" name="Cuadro de texto 2">
          <a:extLst>
            <a:ext uri="{FF2B5EF4-FFF2-40B4-BE49-F238E27FC236}">
              <a16:creationId xmlns:a16="http://schemas.microsoft.com/office/drawing/2014/main" id="{523C8808-82AE-4237-91CB-1ABE401ADAD5}"/>
            </a:ext>
          </a:extLst>
        </xdr:cNvPr>
        <xdr:cNvSpPr txBox="1">
          <a:spLocks noChangeArrowheads="1"/>
        </xdr:cNvSpPr>
      </xdr:nvSpPr>
      <xdr:spPr bwMode="auto">
        <a:xfrm>
          <a:off x="4393693" y="7713073"/>
          <a:ext cx="1128193" cy="749898"/>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0DE5E5-5E08-4E44-A641-B4FA0FCB4147}" name="Tabla2" displayName="Tabla2" ref="A7:BE26" totalsRowShown="0" headerRowDxfId="52" dataDxfId="50" headerRowBorderDxfId="51" tableBorderDxfId="49" totalsRowBorderDxfId="48">
  <autoFilter ref="A7:BE26" xr:uid="{CE0DE5E5-5E08-4E44-A641-B4FA0FCB41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F3BD5C06-F926-464B-A6B7-0A60C76EF9A4}" name="Nº" dataDxfId="47"/>
    <tableColumn id="2" xr3:uid="{B5E7E238-5AE2-45B4-B269-9591F700C330}" name="NÓMINA DE ESTUDIANTES" dataDxfId="46">
      <calculatedColumnFormula>'C. FILIACION'!B8</calculatedColumnFormula>
    </tableColumn>
    <tableColumn id="3" xr3:uid="{0A200517-F529-4401-BBA4-7EDD186CEACF}" name="10/5/2021"/>
    <tableColumn id="4" xr3:uid="{7A599BDF-8253-44DF-A737-08CA38185E84}" name="12/5/2021"/>
    <tableColumn id="5" xr3:uid="{EFB5F927-224B-4A85-8C42-A9A85A031FD1}" name="17/5/2021"/>
    <tableColumn id="6" xr3:uid="{8CFB5C1C-B1CC-4E62-BAA6-2836E592C34B}" name="19/5/2021"/>
    <tableColumn id="7" xr3:uid="{6D8A6D45-61B2-41F1-8419-55A2BAF15362}" name="24/5/2021"/>
    <tableColumn id="8" xr3:uid="{76121195-18F9-4E33-B9FD-050DC38944E9}" name="26/5/2021"/>
    <tableColumn id="9" xr3:uid="{9D70DC88-AD06-470B-935F-5B6702032741}" name="31/5/2021"/>
    <tableColumn id="10" xr3:uid="{F69CDBB2-AB3F-4861-A55A-CBBAD6A22878}" name="28/6/2021"/>
    <tableColumn id="11" xr3:uid="{E0F0B5E5-BAAC-4041-AE9A-A4D72C1FBA54}" name="30/6/2021"/>
    <tableColumn id="12" xr3:uid="{91507E2D-F298-48C1-A6F6-975D78E76DC2}" name="5/7/2021" dataDxfId="45"/>
    <tableColumn id="13" xr3:uid="{6CFC6252-B944-4B50-BAE1-CFBEAF997925}" name="7/7/2021" dataDxfId="44"/>
    <tableColumn id="14" xr3:uid="{566E9052-2048-49B2-96A4-29537E340BEA}" name="12/7/2021" dataDxfId="43"/>
    <tableColumn id="15" xr3:uid="{5B242C9E-E5E5-43CA-B88C-25A790F18E65}" name="14/7/2021" dataDxfId="42"/>
    <tableColumn id="16" xr3:uid="{D2499745-4BB3-4663-A09D-5BF8E956698D}" name="19/7/2021" dataDxfId="41"/>
    <tableColumn id="17" xr3:uid="{F8F60032-4D93-4D30-A0A0-918045851ED3}" name="26/7/2021" dataDxfId="40"/>
    <tableColumn id="18" xr3:uid="{5905520C-819F-45C4-9AB6-87231EBBB779}" name="28/7/2021" dataDxfId="39"/>
    <tableColumn id="19" xr3:uid="{36915268-6498-48B6-A2A8-F94A5AA0E9F4}" name="2/8/2021" dataDxfId="38"/>
    <tableColumn id="20" xr3:uid="{473CE4FD-326F-40DA-99C0-36D9850B0D09}" name="4/8/2021" dataDxfId="37"/>
    <tableColumn id="21" xr3:uid="{A8488103-006E-4AE1-A58E-18B9E30E197B}" name="9/8/2021" dataDxfId="36"/>
    <tableColumn id="22" xr3:uid="{5C609EB0-E16E-4A52-B83A-CC24AE61AE7D}" name="11/8/2021" dataDxfId="35"/>
    <tableColumn id="23" xr3:uid="{2489712E-1F55-4F67-A27C-1F5EB22B857A}" name="16/8/2021" dataDxfId="34"/>
    <tableColumn id="24" xr3:uid="{722E66E0-9161-48AC-8660-5A053887EC03}" name="18/8/2021" dataDxfId="33"/>
    <tableColumn id="25" xr3:uid="{60E7F77A-EAFF-46E4-B9C4-184EB8A868EB}" name="Columna3" dataDxfId="32"/>
    <tableColumn id="26" xr3:uid="{C7656970-4D2F-4018-9C29-ECB79A24BA60}" name="Columna4" dataDxfId="31"/>
    <tableColumn id="27" xr3:uid="{5BB33AAE-EA1D-4A9E-A281-5D36058A9226}" name="Columna5" dataDxfId="30"/>
    <tableColumn id="28" xr3:uid="{EE8C2EC9-08C4-4EEB-B527-E125EA597254}" name="Columna6" dataDxfId="29"/>
    <tableColumn id="29" xr3:uid="{A437A227-F0D6-4C27-9243-BFA5ECC15791}" name="Columna7" dataDxfId="28"/>
    <tableColumn id="30" xr3:uid="{18D0A452-B4F2-4317-B448-F1108698B32C}" name="Columna8" dataDxfId="27"/>
    <tableColumn id="31" xr3:uid="{F5324769-2D08-467B-8781-4B5D7F095947}" name="Columna9" dataDxfId="26"/>
    <tableColumn id="32" xr3:uid="{D2F92FDC-44FE-413A-BF75-8A194A964123}" name="Columna10" dataDxfId="25"/>
    <tableColumn id="33" xr3:uid="{A2487EEB-DD2A-4BC1-9A45-88362614B09D}" name="Columna11" dataDxfId="24"/>
    <tableColumn id="34" xr3:uid="{175D2D2D-74EC-464E-BB91-1B9B4F5F96A4}" name="Columna12" dataDxfId="23"/>
    <tableColumn id="35" xr3:uid="{B9BD5FD3-7283-4D90-B30F-AA0963A4994F}" name="Columna13" dataDxfId="22"/>
    <tableColumn id="36" xr3:uid="{D988A45D-A3F0-4311-906B-7E43EEEE808F}" name="Columna14" dataDxfId="21"/>
    <tableColumn id="37" xr3:uid="{39B78A2D-2578-4790-829C-70C387C88E64}" name="Columna15" dataDxfId="20"/>
    <tableColumn id="38" xr3:uid="{D987F8C9-BD9B-482B-8C29-237F3AB56A80}" name="Columna16" dataDxfId="19"/>
    <tableColumn id="39" xr3:uid="{E602BE35-7013-4B8E-A810-769A3456BB81}" name="Columna17" dataDxfId="18"/>
    <tableColumn id="40" xr3:uid="{08AF460F-8B2A-4185-BCCD-575E51749C22}" name="Columna18" dataDxfId="17"/>
    <tableColumn id="41" xr3:uid="{E6B8CB16-BFE3-40E8-ADEF-9F3DD78A1348}" name="Columna19" dataDxfId="16"/>
    <tableColumn id="42" xr3:uid="{168AFB04-477E-45FF-9C89-37B2A10B4ABB}" name="Columna20" dataDxfId="15"/>
    <tableColumn id="43" xr3:uid="{2F1EE3DC-AD01-44FA-96D6-233214545C0F}" name="Columna21" dataDxfId="14"/>
    <tableColumn id="44" xr3:uid="{EBC1270A-CEA2-44A4-9E04-E41D70B5979C}" name="Columna22" dataDxfId="13"/>
    <tableColumn id="45" xr3:uid="{C38FE072-BD07-4E6B-A5DB-FC6E32DA47C5}" name="Columna23" dataDxfId="12"/>
    <tableColumn id="46" xr3:uid="{3F1B400D-E1F6-4799-85BD-1755809B8CC1}" name="Columna24" dataDxfId="11"/>
    <tableColumn id="47" xr3:uid="{4E4AF221-3D13-41F6-A7FE-FD175F592902}" name="Columna25" dataDxfId="10"/>
    <tableColumn id="48" xr3:uid="{F170A1AA-1766-4EE3-8756-5768415C9269}" name="Columna26" dataDxfId="9"/>
    <tableColumn id="49" xr3:uid="{883A1C75-960E-4652-B4A6-AFA3B0B3F681}" name="Columna27" dataDxfId="8"/>
    <tableColumn id="50" xr3:uid="{9B46DD8E-1940-4C80-8EE7-BF2403B56936}" name="Columna28" dataDxfId="7"/>
    <tableColumn id="51" xr3:uid="{B01A0811-1039-46CC-92E3-E0E5F0AAD444}" name="Columna29" dataDxfId="6"/>
    <tableColumn id="52" xr3:uid="{66480B19-E1C5-4E3E-A41A-4998012BDBE2}" name="Columna30" dataDxfId="5"/>
    <tableColumn id="53" xr3:uid="{6CCE493B-01FA-4C85-8529-EA9FBE20875E}" name="Asist. (A)" dataDxfId="4">
      <calculatedColumnFormula>IF(COUNTIF(C8:AZ8,"A")=0,"",COUNTIF(C8:AZ8,"A"))</calculatedColumnFormula>
    </tableColumn>
    <tableColumn id="54" xr3:uid="{04716F78-A4DB-43CF-A29C-E40F5F40ECA0}" name="Faltas (F)" dataDxfId="3">
      <calculatedColumnFormula>IF(COUNTIF(C8:AZ8,"F")=0,"0",COUNTIF(C8:AZ8,"F"))</calculatedColumnFormula>
    </tableColumn>
    <tableColumn id="55" xr3:uid="{B26FBEF5-9EAD-49D6-96FB-A4D281BD70CB}" name="Retrasos (R)" dataDxfId="2">
      <calculatedColumnFormula>IF(COUNTIF(C8:AZ8,"R")=0,"0",COUNTIF(C8:AZ8,"R"))</calculatedColumnFormula>
    </tableColumn>
    <tableColumn id="56" xr3:uid="{A0AE353E-2693-4202-A679-252B81969FA6}" name="Licencias (L)" dataDxfId="1">
      <calculatedColumnFormula>IF(COUNTIF(C8:AZ8,"L")=0,"0",COUNTIF(C8:AZ8,"L"))</calculatedColumnFormula>
    </tableColumn>
    <tableColumn id="57" xr3:uid="{3FB7E29A-AFED-4646-BC62-CCBB17BD7BF2}"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wOTQ1MTY0MTMw/a/MzcwMjU5NTc2OTk2/details" TargetMode="External"/><Relationship Id="rId13" Type="http://schemas.openxmlformats.org/officeDocument/2006/relationships/drawing" Target="../drawings/drawing2.xml"/><Relationship Id="rId3" Type="http://schemas.openxmlformats.org/officeDocument/2006/relationships/hyperlink" Target="https://classroom.google.com/c/MzQwOTQ1MTY0MTMw/a/MzE5MjgxODM4MzA4/details" TargetMode="External"/><Relationship Id="rId7" Type="http://schemas.openxmlformats.org/officeDocument/2006/relationships/hyperlink" Target="https://classroom.google.com/c/MzQwOTQ1MTY0MTMw/a/MzY5ODQ1NjQ5NjM3/details" TargetMode="External"/><Relationship Id="rId12" Type="http://schemas.openxmlformats.org/officeDocument/2006/relationships/printerSettings" Target="../printerSettings/printerSettings1.bin"/><Relationship Id="rId2" Type="http://schemas.openxmlformats.org/officeDocument/2006/relationships/hyperlink" Target="https://classroom.google.com/c/MzQwOTQ1MTY0MTMw/a/MzY3MTU2NDExMDIx/details" TargetMode="External"/><Relationship Id="rId1" Type="http://schemas.openxmlformats.org/officeDocument/2006/relationships/hyperlink" Target="https://classroom.google.com/c/MzQwOTQ1MTY0MTMw/a/MzQyMDY1OTk4OTY3/details" TargetMode="External"/><Relationship Id="rId6" Type="http://schemas.openxmlformats.org/officeDocument/2006/relationships/hyperlink" Target="https://classroom.google.com/c/MzQwOTQ1MTY0MTMw/a/MzY5NTI0NDA4NjYx/details" TargetMode="External"/><Relationship Id="rId11" Type="http://schemas.openxmlformats.org/officeDocument/2006/relationships/hyperlink" Target="https://classroom.google.com/c/MzQwOTQ1MTY0MTMw/a/MzE5Mjg0MzM5MTA1/details" TargetMode="External"/><Relationship Id="rId5" Type="http://schemas.openxmlformats.org/officeDocument/2006/relationships/hyperlink" Target="https://classroom.google.com/c/MzQwOTQ1MTY0MTMw/a/MzQ5MDM4MzIxMDQ5/details" TargetMode="External"/><Relationship Id="rId10" Type="http://schemas.openxmlformats.org/officeDocument/2006/relationships/hyperlink" Target="https://classroom.google.com/c/MzQwOTQ1MTY0MTMw/a/Mzc0NDgyNzMxMTMw/details" TargetMode="External"/><Relationship Id="rId4" Type="http://schemas.openxmlformats.org/officeDocument/2006/relationships/hyperlink" Target="https://classroom.google.com/c/MzQwOTQ1MTY0MTMw/a/MzQyMDU4ODY2ODAz/details" TargetMode="External"/><Relationship Id="rId9" Type="http://schemas.openxmlformats.org/officeDocument/2006/relationships/hyperlink" Target="https://classroom.google.com/c/MzQwOTQ1MTY0MTMw/a/MzcyOTgwMzk4ODA4/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E24" sqref="E24"/>
    </sheetView>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94" t="s">
        <v>0</v>
      </c>
      <c r="D8" s="195"/>
      <c r="E8" s="196"/>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97" t="s">
        <v>1</v>
      </c>
      <c r="I9" s="198"/>
      <c r="J9" s="199"/>
      <c r="K9" s="7"/>
      <c r="L9" s="1"/>
      <c r="M9" s="1"/>
      <c r="N9" s="1"/>
      <c r="O9" s="1"/>
      <c r="P9" s="1"/>
      <c r="Q9" s="1"/>
      <c r="R9" s="1"/>
      <c r="S9" s="1"/>
      <c r="T9" s="1"/>
      <c r="U9" s="1"/>
      <c r="V9" s="1"/>
      <c r="W9" s="1"/>
      <c r="X9" s="1"/>
      <c r="Y9" s="1"/>
      <c r="Z9" s="1"/>
    </row>
    <row r="10" spans="1:26" ht="20.25" x14ac:dyDescent="0.3">
      <c r="A10" s="1"/>
      <c r="B10" s="1"/>
      <c r="C10" s="1"/>
      <c r="D10" s="1"/>
      <c r="E10" s="1"/>
      <c r="F10" s="1"/>
      <c r="G10" s="6"/>
      <c r="H10" s="200"/>
      <c r="I10" s="201"/>
      <c r="J10" s="202"/>
      <c r="K10" s="7"/>
      <c r="L10" s="1"/>
      <c r="M10" s="1"/>
      <c r="N10" s="1"/>
      <c r="O10" s="1"/>
      <c r="P10" s="1"/>
      <c r="Q10" s="1"/>
      <c r="R10" s="1"/>
      <c r="S10" s="1"/>
      <c r="T10" s="1"/>
      <c r="U10" s="1"/>
      <c r="V10" s="1"/>
      <c r="W10" s="1"/>
      <c r="X10" s="1"/>
      <c r="Y10" s="1"/>
      <c r="Z10" s="1"/>
    </row>
    <row r="11" spans="1:26" ht="15" customHeight="1" x14ac:dyDescent="0.3">
      <c r="A11" s="1"/>
      <c r="B11" s="8" t="s">
        <v>2</v>
      </c>
      <c r="C11" s="191" t="s">
        <v>3</v>
      </c>
      <c r="D11" s="192"/>
      <c r="E11" s="193"/>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03" t="s">
        <v>4</v>
      </c>
      <c r="I12" s="204"/>
      <c r="J12" s="204"/>
      <c r="K12" s="7"/>
      <c r="L12" s="1"/>
      <c r="M12" s="1"/>
      <c r="N12" s="1"/>
      <c r="O12" s="1"/>
      <c r="P12" s="1"/>
      <c r="Q12" s="1"/>
      <c r="R12" s="1"/>
      <c r="S12" s="1"/>
      <c r="T12" s="1"/>
      <c r="U12" s="1"/>
      <c r="V12" s="1"/>
      <c r="W12" s="1"/>
      <c r="X12" s="1"/>
      <c r="Y12" s="1"/>
      <c r="Z12" s="1"/>
    </row>
    <row r="13" spans="1:26" ht="20.25" x14ac:dyDescent="0.3">
      <c r="A13" s="1"/>
      <c r="B13" s="8" t="s">
        <v>5</v>
      </c>
      <c r="C13" s="191"/>
      <c r="D13" s="192"/>
      <c r="E13" s="19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91" t="s">
        <v>9</v>
      </c>
      <c r="D15" s="192"/>
      <c r="E15" s="193"/>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05" t="s">
        <v>10</v>
      </c>
      <c r="I16" s="204"/>
      <c r="J16" s="204"/>
      <c r="K16" s="7"/>
      <c r="L16" s="1"/>
      <c r="M16" s="1"/>
      <c r="N16" s="1"/>
      <c r="O16" s="1"/>
      <c r="P16" s="1"/>
      <c r="Q16" s="1"/>
      <c r="R16" s="1"/>
      <c r="S16" s="1"/>
      <c r="T16" s="1"/>
      <c r="U16" s="1"/>
      <c r="V16" s="1"/>
      <c r="W16" s="1"/>
      <c r="X16" s="1"/>
      <c r="Y16" s="1"/>
      <c r="Z16" s="1"/>
    </row>
    <row r="17" spans="1:26" ht="20.25" x14ac:dyDescent="0.3">
      <c r="A17" s="1"/>
      <c r="B17" s="8" t="s">
        <v>11</v>
      </c>
      <c r="C17" s="191" t="s">
        <v>12</v>
      </c>
      <c r="D17" s="192"/>
      <c r="E17" s="193"/>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91"/>
      <c r="D19" s="192"/>
      <c r="E19" s="193"/>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91" t="s">
        <v>15</v>
      </c>
      <c r="D21" s="192"/>
      <c r="E21" s="193"/>
      <c r="F21" s="9"/>
      <c r="G21" s="6"/>
      <c r="H21" s="205" t="s">
        <v>16</v>
      </c>
      <c r="I21" s="204"/>
      <c r="J21" s="204"/>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91" t="s">
        <v>18</v>
      </c>
      <c r="D23" s="192"/>
      <c r="E23" s="19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91" t="s">
        <v>267</v>
      </c>
      <c r="D25" s="192"/>
      <c r="E25" s="193"/>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91">
        <v>2021</v>
      </c>
      <c r="D27" s="192"/>
      <c r="E27" s="193"/>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7" sqref="B27"/>
    </sheetView>
  </sheetViews>
  <sheetFormatPr baseColWidth="10" defaultColWidth="9.25" defaultRowHeight="15" customHeight="1" x14ac:dyDescent="0.3"/>
  <cols>
    <col min="1" max="1" width="2" customWidth="1"/>
    <col min="2" max="2" width="22.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08" t="s">
        <v>21</v>
      </c>
      <c r="C2" s="204"/>
      <c r="D2" s="204"/>
      <c r="E2" s="204"/>
      <c r="F2" s="204"/>
      <c r="G2" s="204"/>
      <c r="H2" s="204"/>
      <c r="I2" s="204"/>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06" t="str">
        <f>CARÁTULA!$C$15</f>
        <v>Instituto Tecnico Humanistico Jauzel Arrieta</v>
      </c>
      <c r="D4" s="204"/>
      <c r="E4" s="204"/>
      <c r="F4" s="22" t="s">
        <v>19</v>
      </c>
      <c r="G4" s="206" t="str">
        <f>CARÁTULA!$C$25</f>
        <v>Tec. Tecnologica Programacion Visual</v>
      </c>
      <c r="H4" s="204"/>
      <c r="I4" s="204"/>
      <c r="J4" s="19"/>
      <c r="K4" s="19"/>
      <c r="L4" s="19"/>
      <c r="M4" s="19"/>
      <c r="N4" s="19"/>
      <c r="O4" s="19"/>
      <c r="P4" s="19"/>
      <c r="Q4" s="19"/>
      <c r="R4" s="19"/>
      <c r="S4" s="19"/>
      <c r="T4" s="19"/>
      <c r="U4" s="19"/>
      <c r="V4" s="19"/>
      <c r="W4" s="19"/>
      <c r="X4" s="19"/>
      <c r="Y4" s="19"/>
      <c r="Z4" s="19"/>
    </row>
    <row r="5" spans="1:26" ht="12" customHeight="1" x14ac:dyDescent="0.3">
      <c r="A5" s="20"/>
      <c r="B5" s="21" t="s">
        <v>14</v>
      </c>
      <c r="C5" s="206" t="str">
        <f>CARÁTULA!$C$21</f>
        <v>Secundaria</v>
      </c>
      <c r="D5" s="204"/>
      <c r="E5" s="204"/>
      <c r="F5" s="22" t="s">
        <v>13</v>
      </c>
      <c r="G5" s="206">
        <f>CARÁTULA!$C$19</f>
        <v>0</v>
      </c>
      <c r="H5" s="204"/>
      <c r="I5" s="204"/>
      <c r="J5" s="19"/>
      <c r="K5" s="19"/>
      <c r="L5" s="19"/>
      <c r="M5" s="19"/>
      <c r="N5" s="19"/>
      <c r="O5" s="19"/>
      <c r="P5" s="19"/>
      <c r="Q5" s="19"/>
      <c r="R5" s="19"/>
      <c r="S5" s="19"/>
      <c r="T5" s="19"/>
      <c r="U5" s="19"/>
      <c r="V5" s="19"/>
      <c r="W5" s="19"/>
      <c r="X5" s="19"/>
      <c r="Y5" s="19"/>
      <c r="Z5" s="19"/>
    </row>
    <row r="6" spans="1:26" ht="12" customHeight="1" x14ac:dyDescent="0.3">
      <c r="A6" s="20"/>
      <c r="B6" s="21" t="s">
        <v>22</v>
      </c>
      <c r="C6" s="206" t="str">
        <f>CARÁTULA!$C$23</f>
        <v>6to de Secundaria</v>
      </c>
      <c r="D6" s="204"/>
      <c r="E6" s="204"/>
      <c r="F6" s="22" t="s">
        <v>23</v>
      </c>
      <c r="G6" s="207">
        <f ca="1">TODAY()</f>
        <v>44426</v>
      </c>
      <c r="H6" s="204"/>
      <c r="I6" s="204"/>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44426</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44426</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44426</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44426</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44426</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44426</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44426</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44426</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44426</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44426</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44426</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44426</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44426</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44426</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44426</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44426</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44426</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60" t="s">
        <v>174</v>
      </c>
      <c r="C25" s="35"/>
      <c r="D25" s="30">
        <f t="shared" ca="1" si="0"/>
        <v>44426</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t="s">
        <v>178</v>
      </c>
      <c r="C26" s="35"/>
      <c r="D26" s="30">
        <f t="shared" ca="1" si="0"/>
        <v>44426</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44426</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44426</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44426</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44426</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44426</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44426</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44426</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44426</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44426</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44426</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44426</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44426</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44426</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44426</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44426</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44426</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44426</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3"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21" x14ac:dyDescent="0.3">
      <c r="B2" s="208" t="s">
        <v>49</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09">
        <f>CARÁTULA!$H$14</f>
        <v>44228</v>
      </c>
      <c r="AU3" s="204"/>
      <c r="AV3" s="204"/>
      <c r="AW3" s="204"/>
      <c r="AX3" s="204"/>
      <c r="AY3" s="204"/>
      <c r="AZ3" s="204"/>
      <c r="BA3" s="210" t="s">
        <v>51</v>
      </c>
      <c r="BB3" s="211"/>
      <c r="BC3" s="211"/>
      <c r="BD3" s="211"/>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9">
        <f>CARÁTULA!$J$14</f>
        <v>44323</v>
      </c>
      <c r="AU4" s="204"/>
      <c r="AV4" s="204"/>
      <c r="AW4" s="204"/>
      <c r="AX4" s="204"/>
      <c r="AY4" s="204"/>
      <c r="AZ4" s="204"/>
      <c r="BA4" s="213">
        <f ca="1">AT4-AT5</f>
        <v>-103</v>
      </c>
      <c r="BB4" s="214"/>
      <c r="BC4" s="214"/>
      <c r="BD4" s="214"/>
      <c r="BE4" s="215"/>
    </row>
    <row r="5" spans="1:61" ht="12.75" customHeight="1" x14ac:dyDescent="0.3">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19">
        <f ca="1">TODAY()</f>
        <v>44426</v>
      </c>
      <c r="Y5" s="204"/>
      <c r="Z5" s="204"/>
      <c r="AA5" s="204"/>
      <c r="AB5" s="204"/>
      <c r="AC5" s="204"/>
      <c r="AD5" s="40"/>
      <c r="AE5" s="40"/>
      <c r="AF5" s="40"/>
      <c r="AG5" s="40"/>
      <c r="AH5" s="40"/>
      <c r="AI5" s="40"/>
      <c r="AJ5" s="40"/>
      <c r="AK5" s="45" t="s">
        <v>54</v>
      </c>
      <c r="AL5" s="46"/>
      <c r="AM5" s="46"/>
      <c r="AN5" s="46"/>
      <c r="AO5" s="46"/>
      <c r="AP5" s="46"/>
      <c r="AQ5" s="46"/>
      <c r="AR5" s="40"/>
      <c r="AS5" s="40"/>
      <c r="AT5" s="220">
        <f ca="1">TODAY()</f>
        <v>44426</v>
      </c>
      <c r="AU5" s="204"/>
      <c r="AV5" s="204"/>
      <c r="AW5" s="204"/>
      <c r="AX5" s="204"/>
      <c r="AY5" s="204"/>
      <c r="AZ5" s="204"/>
      <c r="BA5" s="216"/>
      <c r="BB5" s="217"/>
      <c r="BC5" s="217"/>
      <c r="BD5" s="217"/>
      <c r="BE5" s="21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2" workbookViewId="0">
      <selection activeCell="X18" sqref="X18"/>
    </sheetView>
  </sheetViews>
  <sheetFormatPr baseColWidth="10" defaultColWidth="9.25" defaultRowHeight="15" customHeight="1" x14ac:dyDescent="0.3"/>
  <cols>
    <col min="1" max="1" width="1.58203125" customWidth="1"/>
    <col min="2" max="2" width="17.75" customWidth="1"/>
    <col min="3" max="57" width="1.58203125" customWidth="1"/>
    <col min="58" max="61" width="1.6640625" customWidth="1"/>
  </cols>
  <sheetData>
    <row r="1" spans="1:61" ht="4.5" customHeight="1" x14ac:dyDescent="0.3"/>
    <row r="2" spans="1:61" ht="12.75" customHeight="1" x14ac:dyDescent="0.3">
      <c r="B2" s="208" t="s">
        <v>64</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09">
        <f>CARÁTULA!$H$19</f>
        <v>44326</v>
      </c>
      <c r="AU3" s="204"/>
      <c r="AV3" s="204"/>
      <c r="AW3" s="204"/>
      <c r="AX3" s="204"/>
      <c r="AY3" s="204"/>
      <c r="AZ3" s="204"/>
      <c r="BA3" s="210" t="s">
        <v>51</v>
      </c>
      <c r="BB3" s="211"/>
      <c r="BC3" s="211"/>
      <c r="BD3" s="211"/>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9">
        <f>CARÁTULA!$J$19</f>
        <v>44439</v>
      </c>
      <c r="AU4" s="204"/>
      <c r="AV4" s="204"/>
      <c r="AW4" s="204"/>
      <c r="AX4" s="204"/>
      <c r="AY4" s="204"/>
      <c r="AZ4" s="204"/>
      <c r="BA4" s="221">
        <f ca="1">AT4-AT5</f>
        <v>13</v>
      </c>
      <c r="BB4" s="214"/>
      <c r="BC4" s="214"/>
      <c r="BD4" s="214"/>
      <c r="BE4" s="215"/>
    </row>
    <row r="5" spans="1:61" ht="12.75" customHeight="1" x14ac:dyDescent="0.3">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22">
        <f ca="1">TODAY()</f>
        <v>44426</v>
      </c>
      <c r="Y5" s="204"/>
      <c r="Z5" s="204"/>
      <c r="AA5" s="204"/>
      <c r="AB5" s="204"/>
      <c r="AC5" s="204"/>
      <c r="AD5" s="40"/>
      <c r="AE5" s="40"/>
      <c r="AF5" s="40"/>
      <c r="AG5" s="40"/>
      <c r="AH5" s="40"/>
      <c r="AI5" s="40"/>
      <c r="AJ5" s="40"/>
      <c r="AK5" s="45" t="s">
        <v>54</v>
      </c>
      <c r="AL5" s="46"/>
      <c r="AM5" s="46"/>
      <c r="AN5" s="46"/>
      <c r="AO5" s="46"/>
      <c r="AP5" s="46"/>
      <c r="AQ5" s="46"/>
      <c r="AR5" s="40"/>
      <c r="AS5" s="40"/>
      <c r="AT5" s="220">
        <f ca="1">TODAY()</f>
        <v>44426</v>
      </c>
      <c r="AU5" s="204"/>
      <c r="AV5" s="204"/>
      <c r="AW5" s="204"/>
      <c r="AX5" s="204"/>
      <c r="AY5" s="204"/>
      <c r="AZ5" s="204"/>
      <c r="BA5" s="216"/>
      <c r="BB5" s="217"/>
      <c r="BC5" s="217"/>
      <c r="BD5" s="217"/>
      <c r="BE5" s="218"/>
    </row>
    <row r="6" spans="1:61" ht="3" customHeight="1" thickBo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
      <c r="A7" s="165" t="s">
        <v>55</v>
      </c>
      <c r="B7" s="49" t="s">
        <v>56</v>
      </c>
      <c r="C7" s="162" t="s">
        <v>180</v>
      </c>
      <c r="D7" s="162" t="s">
        <v>181</v>
      </c>
      <c r="E7" s="162" t="s">
        <v>182</v>
      </c>
      <c r="F7" s="162" t="s">
        <v>183</v>
      </c>
      <c r="G7" s="162" t="s">
        <v>184</v>
      </c>
      <c r="H7" s="162" t="s">
        <v>185</v>
      </c>
      <c r="I7" s="162" t="s">
        <v>186</v>
      </c>
      <c r="J7" s="162" t="s">
        <v>187</v>
      </c>
      <c r="K7" s="162" t="s">
        <v>188</v>
      </c>
      <c r="L7" s="50" t="s">
        <v>217</v>
      </c>
      <c r="M7" s="50" t="s">
        <v>218</v>
      </c>
      <c r="N7" s="50" t="s">
        <v>219</v>
      </c>
      <c r="O7" s="50" t="s">
        <v>220</v>
      </c>
      <c r="P7" s="50" t="s">
        <v>221</v>
      </c>
      <c r="Q7" s="50" t="s">
        <v>222</v>
      </c>
      <c r="R7" s="50" t="s">
        <v>223</v>
      </c>
      <c r="S7" s="50" t="s">
        <v>224</v>
      </c>
      <c r="T7" s="50" t="s">
        <v>225</v>
      </c>
      <c r="U7" s="50" t="s">
        <v>226</v>
      </c>
      <c r="V7" s="50" t="s">
        <v>227</v>
      </c>
      <c r="W7" s="50" t="s">
        <v>268</v>
      </c>
      <c r="X7" s="50" t="s">
        <v>270</v>
      </c>
      <c r="Y7" s="50" t="s">
        <v>189</v>
      </c>
      <c r="Z7" s="54" t="s">
        <v>190</v>
      </c>
      <c r="AA7" s="50" t="s">
        <v>191</v>
      </c>
      <c r="AB7" s="54" t="s">
        <v>192</v>
      </c>
      <c r="AC7" s="54" t="s">
        <v>193</v>
      </c>
      <c r="AD7" s="54" t="s">
        <v>194</v>
      </c>
      <c r="AE7" s="54" t="s">
        <v>195</v>
      </c>
      <c r="AF7" s="54" t="s">
        <v>196</v>
      </c>
      <c r="AG7" s="54" t="s">
        <v>197</v>
      </c>
      <c r="AH7" s="54" t="s">
        <v>198</v>
      </c>
      <c r="AI7" s="54" t="s">
        <v>199</v>
      </c>
      <c r="AJ7" s="54" t="s">
        <v>200</v>
      </c>
      <c r="AK7" s="54" t="s">
        <v>201</v>
      </c>
      <c r="AL7" s="54" t="s">
        <v>202</v>
      </c>
      <c r="AM7" s="54" t="s">
        <v>203</v>
      </c>
      <c r="AN7" s="54" t="s">
        <v>204</v>
      </c>
      <c r="AO7" s="54" t="s">
        <v>205</v>
      </c>
      <c r="AP7" s="54" t="s">
        <v>206</v>
      </c>
      <c r="AQ7" s="54" t="s">
        <v>207</v>
      </c>
      <c r="AR7" s="54" t="s">
        <v>208</v>
      </c>
      <c r="AS7" s="54" t="s">
        <v>209</v>
      </c>
      <c r="AT7" s="54" t="s">
        <v>210</v>
      </c>
      <c r="AU7" s="54" t="s">
        <v>211</v>
      </c>
      <c r="AV7" s="54" t="s">
        <v>212</v>
      </c>
      <c r="AW7" s="54" t="s">
        <v>213</v>
      </c>
      <c r="AX7" s="54" t="s">
        <v>214</v>
      </c>
      <c r="AY7" s="54" t="s">
        <v>215</v>
      </c>
      <c r="AZ7" s="55" t="s">
        <v>216</v>
      </c>
      <c r="BA7" s="56" t="s">
        <v>65</v>
      </c>
      <c r="BB7" s="57" t="s">
        <v>66</v>
      </c>
      <c r="BC7" s="57" t="s">
        <v>67</v>
      </c>
      <c r="BD7" s="57" t="s">
        <v>68</v>
      </c>
      <c r="BE7" s="167" t="s">
        <v>61</v>
      </c>
      <c r="BF7" s="54" t="s">
        <v>175</v>
      </c>
      <c r="BG7" s="54" t="s">
        <v>173</v>
      </c>
    </row>
    <row r="8" spans="1:61" ht="12" customHeight="1" x14ac:dyDescent="0.3">
      <c r="A8" s="166">
        <v>1</v>
      </c>
      <c r="B8" s="60" t="str">
        <f>'C. FILIACION'!B8</f>
        <v>ALTAMIRANO RAMOS ESTEFANI MILENKA</v>
      </c>
      <c r="C8" s="163" t="s">
        <v>62</v>
      </c>
      <c r="D8" s="163" t="s">
        <v>62</v>
      </c>
      <c r="E8" s="163" t="s">
        <v>62</v>
      </c>
      <c r="F8" s="163" t="s">
        <v>62</v>
      </c>
      <c r="G8" s="163" t="s">
        <v>62</v>
      </c>
      <c r="H8" s="163" t="s">
        <v>62</v>
      </c>
      <c r="I8" s="163" t="s">
        <v>62</v>
      </c>
      <c r="J8" s="163" t="s">
        <v>62</v>
      </c>
      <c r="K8" s="163" t="s">
        <v>62</v>
      </c>
      <c r="L8" s="61" t="s">
        <v>62</v>
      </c>
      <c r="M8" s="61" t="s">
        <v>62</v>
      </c>
      <c r="N8" s="61" t="s">
        <v>63</v>
      </c>
      <c r="O8" s="61" t="s">
        <v>62</v>
      </c>
      <c r="P8" s="61" t="s">
        <v>62</v>
      </c>
      <c r="Q8" s="61" t="s">
        <v>62</v>
      </c>
      <c r="R8" s="61" t="s">
        <v>62</v>
      </c>
      <c r="S8" s="61" t="s">
        <v>62</v>
      </c>
      <c r="T8" s="61" t="s">
        <v>62</v>
      </c>
      <c r="U8" s="61" t="s">
        <v>62</v>
      </c>
      <c r="V8" s="61" t="s">
        <v>176</v>
      </c>
      <c r="W8" s="61" t="s">
        <v>62</v>
      </c>
      <c r="X8" s="61" t="s">
        <v>62</v>
      </c>
      <c r="Y8" s="61"/>
      <c r="Z8" s="61"/>
      <c r="AA8" s="61"/>
      <c r="AB8" s="61"/>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20</v>
      </c>
      <c r="BB8" s="48">
        <f>IF(COUNTIF(C8:AZ8,"F")=0,"0",COUNTIF(C8:AZ8,"F"))</f>
        <v>1</v>
      </c>
      <c r="BC8" s="48">
        <f>IF(COUNTIF(C8:AZ8,"R")=0,"0",COUNTIF(C8:AZ8,"R"))</f>
        <v>1</v>
      </c>
      <c r="BD8" s="48" t="str">
        <f>IF(COUNTIF(C8:AZ8,"L")=0,"0",COUNTIF(C8:AZ8,"L"))</f>
        <v>0</v>
      </c>
      <c r="BE8" s="160">
        <f>SUM(BA8:BD8)</f>
        <v>22</v>
      </c>
      <c r="BF8" s="155">
        <v>2</v>
      </c>
      <c r="BG8" s="61">
        <v>25</v>
      </c>
      <c r="BH8" s="61" t="s">
        <v>179</v>
      </c>
    </row>
    <row r="9" spans="1:61" ht="12" customHeight="1" x14ac:dyDescent="0.3">
      <c r="A9" s="166">
        <v>2</v>
      </c>
      <c r="B9" s="60" t="str">
        <f>'C. FILIACION'!B9</f>
        <v>APAZA LINO TATIANA JAZMIN</v>
      </c>
      <c r="C9" s="61" t="s">
        <v>62</v>
      </c>
      <c r="D9" s="61" t="s">
        <v>62</v>
      </c>
      <c r="E9" s="61" t="s">
        <v>62</v>
      </c>
      <c r="F9" s="61" t="s">
        <v>62</v>
      </c>
      <c r="G9" s="61" t="s">
        <v>62</v>
      </c>
      <c r="H9" s="61" t="s">
        <v>62</v>
      </c>
      <c r="I9" s="61" t="s">
        <v>62</v>
      </c>
      <c r="J9" s="61" t="s">
        <v>62</v>
      </c>
      <c r="K9" s="61" t="s">
        <v>62</v>
      </c>
      <c r="L9" s="61" t="s">
        <v>62</v>
      </c>
      <c r="M9" s="61" t="s">
        <v>62</v>
      </c>
      <c r="N9" s="61" t="s">
        <v>62</v>
      </c>
      <c r="O9" s="61" t="s">
        <v>62</v>
      </c>
      <c r="P9" s="61" t="s">
        <v>62</v>
      </c>
      <c r="Q9" s="61" t="s">
        <v>62</v>
      </c>
      <c r="R9" s="61" t="s">
        <v>62</v>
      </c>
      <c r="S9" s="61" t="s">
        <v>62</v>
      </c>
      <c r="T9" s="61" t="s">
        <v>62</v>
      </c>
      <c r="U9" s="61" t="s">
        <v>62</v>
      </c>
      <c r="V9" s="61" t="s">
        <v>62</v>
      </c>
      <c r="W9" s="61" t="s">
        <v>62</v>
      </c>
      <c r="X9" s="61" t="s">
        <v>62</v>
      </c>
      <c r="Y9" s="61"/>
      <c r="Z9" s="61"/>
      <c r="AA9" s="61"/>
      <c r="AB9" s="61"/>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22</v>
      </c>
      <c r="BB9" s="61" t="str">
        <f t="shared" ref="BB9:BB26" si="1">IF(COUNTIF(C9:AZ9,"F")=0,"0",COUNTIF(C9:AZ9,"F"))</f>
        <v>0</v>
      </c>
      <c r="BC9" s="61" t="str">
        <f t="shared" ref="BC9:BC26" si="2">IF(COUNTIF(C9:AZ9,"R")=0,"0",COUNTIF(C9:AZ9,"R"))</f>
        <v>0</v>
      </c>
      <c r="BD9" s="61" t="str">
        <f t="shared" ref="BD9:BD26" si="3">IF(COUNTIF(C9:AZ9,"L")=0,"0",COUNTIF(C9:AZ9,"L"))</f>
        <v>0</v>
      </c>
      <c r="BE9" s="160">
        <f t="shared" ref="BE9:BE26" si="4">SUM(BA9:BD9)</f>
        <v>22</v>
      </c>
      <c r="BF9" s="156">
        <v>1</v>
      </c>
      <c r="BG9" s="61"/>
      <c r="BH9" s="61" t="s">
        <v>179</v>
      </c>
    </row>
    <row r="10" spans="1:61" ht="12" customHeight="1" x14ac:dyDescent="0.3">
      <c r="A10" s="166">
        <v>3</v>
      </c>
      <c r="B10" s="60" t="str">
        <f>'C. FILIACION'!B10</f>
        <v>BOLAÑOS OVANDO MIJHAIL ALEXANDER</v>
      </c>
      <c r="C10" s="163" t="s">
        <v>62</v>
      </c>
      <c r="D10" s="163" t="s">
        <v>62</v>
      </c>
      <c r="E10" s="163" t="s">
        <v>62</v>
      </c>
      <c r="F10" s="163" t="s">
        <v>62</v>
      </c>
      <c r="G10" s="163" t="s">
        <v>63</v>
      </c>
      <c r="H10" s="163" t="s">
        <v>62</v>
      </c>
      <c r="I10" s="163" t="s">
        <v>62</v>
      </c>
      <c r="J10" s="163" t="s">
        <v>63</v>
      </c>
      <c r="K10" s="163" t="s">
        <v>62</v>
      </c>
      <c r="L10" s="61" t="s">
        <v>62</v>
      </c>
      <c r="M10" s="61" t="s">
        <v>62</v>
      </c>
      <c r="N10" s="61" t="s">
        <v>63</v>
      </c>
      <c r="O10" s="61" t="s">
        <v>62</v>
      </c>
      <c r="P10" s="61" t="s">
        <v>63</v>
      </c>
      <c r="Q10" s="61" t="s">
        <v>176</v>
      </c>
      <c r="R10" s="61" t="s">
        <v>62</v>
      </c>
      <c r="S10" s="61" t="s">
        <v>63</v>
      </c>
      <c r="T10" s="61" t="s">
        <v>62</v>
      </c>
      <c r="U10" s="61" t="s">
        <v>63</v>
      </c>
      <c r="V10" s="61" t="s">
        <v>62</v>
      </c>
      <c r="W10" s="61" t="s">
        <v>63</v>
      </c>
      <c r="X10" s="61" t="s">
        <v>63</v>
      </c>
      <c r="Y10" s="61"/>
      <c r="Z10" s="61"/>
      <c r="AA10" s="61"/>
      <c r="AB10" s="61"/>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13</v>
      </c>
      <c r="BB10" s="61">
        <f t="shared" si="1"/>
        <v>8</v>
      </c>
      <c r="BC10" s="61">
        <f t="shared" si="2"/>
        <v>1</v>
      </c>
      <c r="BD10" s="61" t="str">
        <f t="shared" si="3"/>
        <v>0</v>
      </c>
      <c r="BE10" s="160">
        <f t="shared" si="4"/>
        <v>22</v>
      </c>
      <c r="BF10" s="157">
        <v>3</v>
      </c>
      <c r="BG10" s="61"/>
      <c r="BH10" s="61"/>
    </row>
    <row r="11" spans="1:61" ht="12" customHeight="1" x14ac:dyDescent="0.3">
      <c r="A11" s="166">
        <v>4</v>
      </c>
      <c r="B11" s="60" t="str">
        <f>'C. FILIACION'!B11</f>
        <v>BRICHER ETHELBERT ISMAEL</v>
      </c>
      <c r="C11" s="61" t="s">
        <v>63</v>
      </c>
      <c r="D11" s="61" t="s">
        <v>62</v>
      </c>
      <c r="E11" s="61" t="s">
        <v>62</v>
      </c>
      <c r="F11" s="61" t="s">
        <v>63</v>
      </c>
      <c r="G11" s="61" t="s">
        <v>62</v>
      </c>
      <c r="H11" s="61" t="s">
        <v>62</v>
      </c>
      <c r="I11" s="61" t="s">
        <v>63</v>
      </c>
      <c r="J11" s="61" t="s">
        <v>62</v>
      </c>
      <c r="K11" s="61" t="s">
        <v>62</v>
      </c>
      <c r="L11" s="61" t="s">
        <v>62</v>
      </c>
      <c r="M11" s="61" t="s">
        <v>63</v>
      </c>
      <c r="N11" s="61" t="s">
        <v>63</v>
      </c>
      <c r="O11" s="61" t="s">
        <v>63</v>
      </c>
      <c r="P11" s="61" t="s">
        <v>63</v>
      </c>
      <c r="Q11" s="61" t="s">
        <v>63</v>
      </c>
      <c r="R11" s="61" t="s">
        <v>63</v>
      </c>
      <c r="S11" s="61" t="s">
        <v>63</v>
      </c>
      <c r="T11" s="61" t="s">
        <v>63</v>
      </c>
      <c r="U11" s="61" t="s">
        <v>63</v>
      </c>
      <c r="V11" s="61" t="s">
        <v>63</v>
      </c>
      <c r="W11" s="61" t="s">
        <v>63</v>
      </c>
      <c r="X11" s="61" t="s">
        <v>63</v>
      </c>
      <c r="Y11" s="61"/>
      <c r="Z11" s="61"/>
      <c r="AA11" s="61"/>
      <c r="AB11" s="61"/>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7</v>
      </c>
      <c r="BB11" s="61">
        <f t="shared" si="1"/>
        <v>15</v>
      </c>
      <c r="BC11" s="61" t="str">
        <f t="shared" si="2"/>
        <v>0</v>
      </c>
      <c r="BD11" s="61" t="str">
        <f t="shared" si="3"/>
        <v>0</v>
      </c>
      <c r="BE11" s="160">
        <f t="shared" si="4"/>
        <v>22</v>
      </c>
      <c r="BF11" s="156">
        <v>1</v>
      </c>
      <c r="BG11" s="61"/>
      <c r="BH11" s="61"/>
    </row>
    <row r="12" spans="1:61" ht="12" customHeight="1" x14ac:dyDescent="0.3">
      <c r="A12" s="166">
        <v>5</v>
      </c>
      <c r="B12" s="60" t="str">
        <f>'C. FILIACION'!B12</f>
        <v>CANAVIRI QUISBERT ALEJANDRA ELENA</v>
      </c>
      <c r="C12" s="163" t="s">
        <v>62</v>
      </c>
      <c r="D12" s="163" t="s">
        <v>62</v>
      </c>
      <c r="E12" s="163" t="s">
        <v>63</v>
      </c>
      <c r="F12" s="163" t="s">
        <v>62</v>
      </c>
      <c r="G12" s="163" t="s">
        <v>62</v>
      </c>
      <c r="H12" s="163" t="s">
        <v>62</v>
      </c>
      <c r="I12" s="163" t="s">
        <v>63</v>
      </c>
      <c r="J12" s="163" t="s">
        <v>62</v>
      </c>
      <c r="K12" s="163" t="s">
        <v>62</v>
      </c>
      <c r="L12" s="61" t="s">
        <v>62</v>
      </c>
      <c r="M12" s="61" t="s">
        <v>62</v>
      </c>
      <c r="N12" s="61" t="s">
        <v>62</v>
      </c>
      <c r="O12" s="61" t="s">
        <v>62</v>
      </c>
      <c r="P12" s="61" t="s">
        <v>62</v>
      </c>
      <c r="Q12" s="61" t="s">
        <v>62</v>
      </c>
      <c r="R12" s="61" t="s">
        <v>63</v>
      </c>
      <c r="S12" s="61" t="s">
        <v>62</v>
      </c>
      <c r="T12" s="61" t="s">
        <v>62</v>
      </c>
      <c r="U12" s="61" t="s">
        <v>62</v>
      </c>
      <c r="V12" s="61" t="s">
        <v>62</v>
      </c>
      <c r="W12" s="61" t="s">
        <v>63</v>
      </c>
      <c r="X12" s="61" t="s">
        <v>63</v>
      </c>
      <c r="Y12" s="61"/>
      <c r="Z12" s="61"/>
      <c r="AA12" s="61"/>
      <c r="AB12" s="61"/>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17</v>
      </c>
      <c r="BB12" s="61">
        <f t="shared" si="1"/>
        <v>5</v>
      </c>
      <c r="BC12" s="61" t="str">
        <f t="shared" si="2"/>
        <v>0</v>
      </c>
      <c r="BD12" s="61" t="str">
        <f t="shared" si="3"/>
        <v>0</v>
      </c>
      <c r="BE12" s="160">
        <f t="shared" si="4"/>
        <v>22</v>
      </c>
      <c r="BF12" s="61">
        <v>4</v>
      </c>
      <c r="BG12" s="61"/>
      <c r="BH12" s="61"/>
    </row>
    <row r="13" spans="1:61" ht="12" customHeight="1" x14ac:dyDescent="0.3">
      <c r="A13" s="166">
        <v>6</v>
      </c>
      <c r="B13" s="60" t="str">
        <f>'C. FILIACION'!B13</f>
        <v>GOMEZ BELTRAN ALBERT NORMAN</v>
      </c>
      <c r="C13" s="61" t="s">
        <v>62</v>
      </c>
      <c r="D13" s="61" t="s">
        <v>62</v>
      </c>
      <c r="E13" s="61" t="s">
        <v>62</v>
      </c>
      <c r="F13" s="61" t="s">
        <v>62</v>
      </c>
      <c r="G13" s="61" t="s">
        <v>62</v>
      </c>
      <c r="H13" s="61" t="s">
        <v>62</v>
      </c>
      <c r="I13" s="61" t="s">
        <v>62</v>
      </c>
      <c r="J13" s="61" t="s">
        <v>62</v>
      </c>
      <c r="K13" s="61" t="s">
        <v>62</v>
      </c>
      <c r="L13" s="61" t="s">
        <v>62</v>
      </c>
      <c r="M13" s="61" t="s">
        <v>62</v>
      </c>
      <c r="N13" s="61" t="s">
        <v>62</v>
      </c>
      <c r="O13" s="61" t="s">
        <v>62</v>
      </c>
      <c r="P13" s="61" t="s">
        <v>62</v>
      </c>
      <c r="Q13" s="61" t="s">
        <v>62</v>
      </c>
      <c r="R13" s="61" t="s">
        <v>62</v>
      </c>
      <c r="S13" s="61" t="s">
        <v>62</v>
      </c>
      <c r="T13" s="61" t="s">
        <v>62</v>
      </c>
      <c r="U13" s="61" t="s">
        <v>62</v>
      </c>
      <c r="V13" s="61" t="s">
        <v>62</v>
      </c>
      <c r="W13" s="61" t="s">
        <v>177</v>
      </c>
      <c r="X13" s="61" t="s">
        <v>62</v>
      </c>
      <c r="Y13" s="61"/>
      <c r="Z13" s="61"/>
      <c r="AA13" s="61"/>
      <c r="AB13" s="61"/>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21</v>
      </c>
      <c r="BB13" s="61" t="str">
        <f t="shared" si="1"/>
        <v>0</v>
      </c>
      <c r="BC13" s="61" t="str">
        <f t="shared" si="2"/>
        <v>0</v>
      </c>
      <c r="BD13" s="61">
        <f t="shared" si="3"/>
        <v>1</v>
      </c>
      <c r="BE13" s="160">
        <f t="shared" si="4"/>
        <v>22</v>
      </c>
      <c r="BF13" s="155">
        <v>2</v>
      </c>
      <c r="BG13" s="61"/>
      <c r="BH13" s="61"/>
    </row>
    <row r="14" spans="1:61" ht="12" customHeight="1" x14ac:dyDescent="0.3">
      <c r="A14" s="166">
        <v>7</v>
      </c>
      <c r="B14" s="60" t="str">
        <f>'C. FILIACION'!B14</f>
        <v>GOMEZ COSME MELANY KARINA</v>
      </c>
      <c r="C14" s="163" t="s">
        <v>62</v>
      </c>
      <c r="D14" s="163" t="s">
        <v>63</v>
      </c>
      <c r="E14" s="163" t="s">
        <v>62</v>
      </c>
      <c r="F14" s="163" t="s">
        <v>63</v>
      </c>
      <c r="G14" s="163" t="s">
        <v>62</v>
      </c>
      <c r="H14" s="163" t="s">
        <v>63</v>
      </c>
      <c r="I14" s="163" t="s">
        <v>62</v>
      </c>
      <c r="J14" s="163" t="s">
        <v>62</v>
      </c>
      <c r="K14" s="163" t="s">
        <v>62</v>
      </c>
      <c r="L14" s="61" t="s">
        <v>63</v>
      </c>
      <c r="M14" s="61" t="s">
        <v>62</v>
      </c>
      <c r="N14" s="61" t="s">
        <v>63</v>
      </c>
      <c r="O14" s="61" t="s">
        <v>62</v>
      </c>
      <c r="P14" s="61" t="s">
        <v>62</v>
      </c>
      <c r="Q14" s="61" t="s">
        <v>63</v>
      </c>
      <c r="R14" s="61" t="s">
        <v>63</v>
      </c>
      <c r="S14" s="61" t="s">
        <v>63</v>
      </c>
      <c r="T14" s="61" t="s">
        <v>63</v>
      </c>
      <c r="U14" s="61" t="s">
        <v>63</v>
      </c>
      <c r="V14" s="61" t="s">
        <v>63</v>
      </c>
      <c r="W14" s="61" t="s">
        <v>63</v>
      </c>
      <c r="X14" s="61" t="s">
        <v>62</v>
      </c>
      <c r="Y14" s="61"/>
      <c r="Z14" s="61"/>
      <c r="AA14" s="61"/>
      <c r="AB14" s="61"/>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10</v>
      </c>
      <c r="BB14" s="61">
        <f t="shared" si="1"/>
        <v>12</v>
      </c>
      <c r="BC14" s="61" t="str">
        <f t="shared" si="2"/>
        <v>0</v>
      </c>
      <c r="BD14" s="61" t="str">
        <f t="shared" si="3"/>
        <v>0</v>
      </c>
      <c r="BE14" s="160">
        <f t="shared" si="4"/>
        <v>22</v>
      </c>
      <c r="BF14" s="157">
        <v>3</v>
      </c>
      <c r="BG14" s="61"/>
      <c r="BH14" s="61"/>
    </row>
    <row r="15" spans="1:61" ht="12" customHeight="1" x14ac:dyDescent="0.3">
      <c r="A15" s="166">
        <v>8</v>
      </c>
      <c r="B15" s="60" t="str">
        <f>'C. FILIACION'!B15</f>
        <v>GONZALES ZUAZO KALEB RAMSES</v>
      </c>
      <c r="C15" s="61" t="s">
        <v>62</v>
      </c>
      <c r="D15" s="61" t="s">
        <v>62</v>
      </c>
      <c r="E15" s="61" t="s">
        <v>62</v>
      </c>
      <c r="F15" s="61" t="s">
        <v>62</v>
      </c>
      <c r="G15" s="61" t="s">
        <v>62</v>
      </c>
      <c r="H15" s="61" t="s">
        <v>62</v>
      </c>
      <c r="I15" s="61" t="s">
        <v>62</v>
      </c>
      <c r="J15" s="61" t="s">
        <v>62</v>
      </c>
      <c r="K15" s="61" t="s">
        <v>62</v>
      </c>
      <c r="L15" s="61" t="s">
        <v>62</v>
      </c>
      <c r="M15" s="61" t="s">
        <v>62</v>
      </c>
      <c r="N15" s="61" t="s">
        <v>62</v>
      </c>
      <c r="O15" s="61" t="s">
        <v>62</v>
      </c>
      <c r="P15" s="61" t="s">
        <v>62</v>
      </c>
      <c r="Q15" s="61" t="s">
        <v>62</v>
      </c>
      <c r="R15" s="61" t="s">
        <v>62</v>
      </c>
      <c r="S15" s="61" t="s">
        <v>62</v>
      </c>
      <c r="T15" s="61" t="s">
        <v>62</v>
      </c>
      <c r="U15" s="61" t="s">
        <v>62</v>
      </c>
      <c r="V15" s="61" t="s">
        <v>62</v>
      </c>
      <c r="W15" s="61" t="s">
        <v>62</v>
      </c>
      <c r="X15" s="61" t="s">
        <v>62</v>
      </c>
      <c r="Y15" s="61"/>
      <c r="Z15" s="61"/>
      <c r="AA15" s="61"/>
      <c r="AB15" s="61"/>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22</v>
      </c>
      <c r="BB15" s="61" t="str">
        <f t="shared" si="1"/>
        <v>0</v>
      </c>
      <c r="BC15" s="61" t="str">
        <f t="shared" si="2"/>
        <v>0</v>
      </c>
      <c r="BD15" s="61" t="str">
        <f t="shared" si="3"/>
        <v>0</v>
      </c>
      <c r="BE15" s="160">
        <f t="shared" si="4"/>
        <v>22</v>
      </c>
      <c r="BF15" s="61">
        <v>4</v>
      </c>
      <c r="BG15" s="61"/>
      <c r="BH15" s="61" t="s">
        <v>179</v>
      </c>
    </row>
    <row r="16" spans="1:61" ht="12" customHeight="1" x14ac:dyDescent="0.3">
      <c r="A16" s="166">
        <v>9</v>
      </c>
      <c r="B16" s="60" t="str">
        <f>'C. FILIACION'!B16</f>
        <v>LEDEZMA AGUILAR ELVIS JHEFERSON</v>
      </c>
      <c r="C16" s="163" t="s">
        <v>62</v>
      </c>
      <c r="D16" s="163" t="s">
        <v>62</v>
      </c>
      <c r="E16" s="163" t="s">
        <v>62</v>
      </c>
      <c r="F16" s="163" t="s">
        <v>62</v>
      </c>
      <c r="G16" s="163" t="s">
        <v>62</v>
      </c>
      <c r="H16" s="163" t="s">
        <v>62</v>
      </c>
      <c r="I16" s="163" t="s">
        <v>62</v>
      </c>
      <c r="J16" s="163" t="s">
        <v>62</v>
      </c>
      <c r="K16" s="163" t="s">
        <v>62</v>
      </c>
      <c r="L16" s="61" t="s">
        <v>62</v>
      </c>
      <c r="M16" s="61" t="s">
        <v>62</v>
      </c>
      <c r="N16" s="61" t="s">
        <v>63</v>
      </c>
      <c r="O16" s="61" t="s">
        <v>62</v>
      </c>
      <c r="P16" s="61" t="s">
        <v>62</v>
      </c>
      <c r="Q16" s="61" t="s">
        <v>62</v>
      </c>
      <c r="R16" s="61" t="s">
        <v>62</v>
      </c>
      <c r="S16" s="61" t="s">
        <v>62</v>
      </c>
      <c r="T16" s="61" t="s">
        <v>62</v>
      </c>
      <c r="U16" s="61" t="s">
        <v>62</v>
      </c>
      <c r="V16" s="61" t="s">
        <v>62</v>
      </c>
      <c r="W16" s="61" t="s">
        <v>62</v>
      </c>
      <c r="X16" s="61" t="s">
        <v>62</v>
      </c>
      <c r="Y16" s="61"/>
      <c r="Z16" s="61"/>
      <c r="AA16" s="61"/>
      <c r="AB16" s="61"/>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21</v>
      </c>
      <c r="BB16" s="61">
        <f t="shared" si="1"/>
        <v>1</v>
      </c>
      <c r="BC16" s="61" t="str">
        <f t="shared" si="2"/>
        <v>0</v>
      </c>
      <c r="BD16" s="61" t="str">
        <f t="shared" si="3"/>
        <v>0</v>
      </c>
      <c r="BE16" s="160">
        <f t="shared" si="4"/>
        <v>22</v>
      </c>
      <c r="BF16" s="156">
        <v>1</v>
      </c>
      <c r="BG16" s="61"/>
      <c r="BH16" s="61"/>
    </row>
    <row r="17" spans="1:60" ht="12" customHeight="1" x14ac:dyDescent="0.3">
      <c r="A17" s="166">
        <v>10</v>
      </c>
      <c r="B17" s="158" t="s">
        <v>41</v>
      </c>
      <c r="C17" s="61" t="s">
        <v>62</v>
      </c>
      <c r="D17" s="61" t="s">
        <v>62</v>
      </c>
      <c r="E17" s="61" t="s">
        <v>62</v>
      </c>
      <c r="F17" s="61" t="s">
        <v>62</v>
      </c>
      <c r="G17" s="61" t="s">
        <v>62</v>
      </c>
      <c r="H17" s="61" t="s">
        <v>62</v>
      </c>
      <c r="I17" s="61" t="s">
        <v>62</v>
      </c>
      <c r="J17" s="61" t="s">
        <v>62</v>
      </c>
      <c r="K17" s="61" t="s">
        <v>62</v>
      </c>
      <c r="L17" s="159" t="s">
        <v>63</v>
      </c>
      <c r="M17" s="159" t="s">
        <v>63</v>
      </c>
      <c r="N17" s="159" t="s">
        <v>62</v>
      </c>
      <c r="O17" s="159" t="s">
        <v>62</v>
      </c>
      <c r="P17" s="159" t="s">
        <v>62</v>
      </c>
      <c r="Q17" s="61" t="s">
        <v>62</v>
      </c>
      <c r="R17" s="61" t="s">
        <v>62</v>
      </c>
      <c r="S17" s="61" t="s">
        <v>62</v>
      </c>
      <c r="T17" s="61" t="s">
        <v>62</v>
      </c>
      <c r="U17" s="61" t="s">
        <v>62</v>
      </c>
      <c r="V17" s="61" t="s">
        <v>62</v>
      </c>
      <c r="W17" s="61" t="s">
        <v>62</v>
      </c>
      <c r="X17" s="61" t="s">
        <v>176</v>
      </c>
      <c r="Y17" s="61"/>
      <c r="Z17" s="61"/>
      <c r="AA17" s="61"/>
      <c r="AB17" s="61"/>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19</v>
      </c>
      <c r="BB17" s="61">
        <f t="shared" si="1"/>
        <v>2</v>
      </c>
      <c r="BC17" s="61">
        <f t="shared" si="2"/>
        <v>1</v>
      </c>
      <c r="BD17" s="61" t="str">
        <f t="shared" si="3"/>
        <v>0</v>
      </c>
      <c r="BE17" s="160">
        <f t="shared" si="4"/>
        <v>22</v>
      </c>
      <c r="BF17" s="159">
        <v>3</v>
      </c>
      <c r="BG17" s="159"/>
      <c r="BH17" s="61"/>
    </row>
    <row r="18" spans="1:60" ht="12" customHeight="1" x14ac:dyDescent="0.3">
      <c r="A18" s="166">
        <v>11</v>
      </c>
      <c r="B18" s="60" t="str">
        <f>'C. FILIACION'!B18</f>
        <v>MAMANI LOPEZ DAFNE MILDRED</v>
      </c>
      <c r="C18" s="163" t="s">
        <v>62</v>
      </c>
      <c r="D18" s="163" t="s">
        <v>62</v>
      </c>
      <c r="E18" s="163" t="s">
        <v>62</v>
      </c>
      <c r="F18" s="163" t="s">
        <v>63</v>
      </c>
      <c r="G18" s="163" t="s">
        <v>62</v>
      </c>
      <c r="H18" s="163" t="s">
        <v>63</v>
      </c>
      <c r="I18" s="163" t="s">
        <v>62</v>
      </c>
      <c r="J18" s="163" t="s">
        <v>62</v>
      </c>
      <c r="K18" s="163" t="s">
        <v>63</v>
      </c>
      <c r="L18" s="61" t="s">
        <v>63</v>
      </c>
      <c r="M18" s="61" t="s">
        <v>63</v>
      </c>
      <c r="N18" s="61" t="s">
        <v>177</v>
      </c>
      <c r="O18" s="61" t="s">
        <v>62</v>
      </c>
      <c r="P18" s="61" t="s">
        <v>63</v>
      </c>
      <c r="Q18" s="61" t="s">
        <v>176</v>
      </c>
      <c r="R18" s="61" t="s">
        <v>63</v>
      </c>
      <c r="S18" s="61" t="s">
        <v>62</v>
      </c>
      <c r="T18" s="61" t="s">
        <v>62</v>
      </c>
      <c r="U18" s="61" t="s">
        <v>176</v>
      </c>
      <c r="V18" s="61" t="s">
        <v>63</v>
      </c>
      <c r="W18" s="61" t="s">
        <v>63</v>
      </c>
      <c r="X18" s="61" t="s">
        <v>62</v>
      </c>
      <c r="Y18" s="61"/>
      <c r="Z18" s="61"/>
      <c r="AA18" s="61"/>
      <c r="AB18" s="61"/>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10</v>
      </c>
      <c r="BB18" s="61">
        <f t="shared" si="1"/>
        <v>9</v>
      </c>
      <c r="BC18" s="61">
        <f t="shared" si="2"/>
        <v>2</v>
      </c>
      <c r="BD18" s="61">
        <f t="shared" si="3"/>
        <v>1</v>
      </c>
      <c r="BE18" s="160">
        <f t="shared" si="4"/>
        <v>22</v>
      </c>
      <c r="BF18" s="61">
        <v>4</v>
      </c>
      <c r="BG18" s="61"/>
      <c r="BH18" s="61"/>
    </row>
    <row r="19" spans="1:60" ht="12" customHeight="1" x14ac:dyDescent="0.3">
      <c r="A19" s="166">
        <v>12</v>
      </c>
      <c r="B19" s="60" t="str">
        <f>'C. FILIACION'!B19</f>
        <v>MARCONI PEREZ SINDEL LUANA</v>
      </c>
      <c r="C19" s="61" t="s">
        <v>62</v>
      </c>
      <c r="D19" s="61" t="s">
        <v>63</v>
      </c>
      <c r="E19" s="61" t="s">
        <v>62</v>
      </c>
      <c r="F19" s="61" t="s">
        <v>62</v>
      </c>
      <c r="G19" s="61" t="s">
        <v>63</v>
      </c>
      <c r="H19" s="61" t="s">
        <v>62</v>
      </c>
      <c r="I19" s="61" t="s">
        <v>62</v>
      </c>
      <c r="J19" s="61" t="s">
        <v>62</v>
      </c>
      <c r="K19" s="61" t="s">
        <v>62</v>
      </c>
      <c r="L19" s="61" t="s">
        <v>63</v>
      </c>
      <c r="M19" s="61" t="s">
        <v>62</v>
      </c>
      <c r="N19" s="61" t="s">
        <v>63</v>
      </c>
      <c r="O19" s="61" t="s">
        <v>63</v>
      </c>
      <c r="P19" s="61" t="s">
        <v>63</v>
      </c>
      <c r="Q19" s="61" t="s">
        <v>62</v>
      </c>
      <c r="R19" s="61" t="s">
        <v>63</v>
      </c>
      <c r="S19" s="61" t="s">
        <v>63</v>
      </c>
      <c r="T19" s="61" t="s">
        <v>62</v>
      </c>
      <c r="U19" s="61" t="s">
        <v>63</v>
      </c>
      <c r="V19" s="61" t="s">
        <v>176</v>
      </c>
      <c r="W19" s="61" t="s">
        <v>63</v>
      </c>
      <c r="X19" s="61" t="s">
        <v>63</v>
      </c>
      <c r="Y19" s="61"/>
      <c r="Z19" s="61"/>
      <c r="AA19" s="61"/>
      <c r="AB19" s="61"/>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10</v>
      </c>
      <c r="BB19" s="61">
        <f t="shared" si="1"/>
        <v>11</v>
      </c>
      <c r="BC19" s="61">
        <f t="shared" si="2"/>
        <v>1</v>
      </c>
      <c r="BD19" s="61" t="str">
        <f t="shared" si="3"/>
        <v>0</v>
      </c>
      <c r="BE19" s="160">
        <f t="shared" si="4"/>
        <v>22</v>
      </c>
      <c r="BF19" s="155">
        <v>2</v>
      </c>
      <c r="BG19" s="61"/>
      <c r="BH19" s="61"/>
    </row>
    <row r="20" spans="1:60" ht="12" customHeight="1" x14ac:dyDescent="0.3">
      <c r="A20" s="166">
        <v>13</v>
      </c>
      <c r="B20" s="60" t="str">
        <f>'C. FILIACION'!B20</f>
        <v>MENACHO LINEO ANDREA KIMBERLY</v>
      </c>
      <c r="C20" s="163" t="s">
        <v>62</v>
      </c>
      <c r="D20" s="163" t="s">
        <v>62</v>
      </c>
      <c r="E20" s="163" t="s">
        <v>62</v>
      </c>
      <c r="F20" s="163" t="s">
        <v>62</v>
      </c>
      <c r="G20" s="163" t="s">
        <v>62</v>
      </c>
      <c r="H20" s="163" t="s">
        <v>62</v>
      </c>
      <c r="I20" s="163" t="s">
        <v>62</v>
      </c>
      <c r="J20" s="163" t="s">
        <v>62</v>
      </c>
      <c r="K20" s="163" t="s">
        <v>62</v>
      </c>
      <c r="L20" s="61" t="s">
        <v>62</v>
      </c>
      <c r="M20" s="61" t="s">
        <v>62</v>
      </c>
      <c r="N20" s="61" t="s">
        <v>62</v>
      </c>
      <c r="O20" s="61" t="s">
        <v>62</v>
      </c>
      <c r="P20" s="61" t="s">
        <v>62</v>
      </c>
      <c r="Q20" s="61" t="s">
        <v>62</v>
      </c>
      <c r="R20" s="61" t="s">
        <v>62</v>
      </c>
      <c r="S20" s="61" t="s">
        <v>62</v>
      </c>
      <c r="T20" s="61" t="s">
        <v>62</v>
      </c>
      <c r="U20" s="61" t="s">
        <v>62</v>
      </c>
      <c r="V20" s="61" t="s">
        <v>63</v>
      </c>
      <c r="W20" s="61" t="s">
        <v>62</v>
      </c>
      <c r="X20" s="61" t="s">
        <v>62</v>
      </c>
      <c r="Y20" s="61"/>
      <c r="Z20" s="61"/>
      <c r="AA20" s="61"/>
      <c r="AB20" s="61"/>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21</v>
      </c>
      <c r="BB20" s="61">
        <f t="shared" si="1"/>
        <v>1</v>
      </c>
      <c r="BC20" s="61" t="str">
        <f t="shared" si="2"/>
        <v>0</v>
      </c>
      <c r="BD20" s="61" t="str">
        <f t="shared" si="3"/>
        <v>0</v>
      </c>
      <c r="BE20" s="160">
        <f t="shared" si="4"/>
        <v>22</v>
      </c>
      <c r="BF20" s="156">
        <v>1</v>
      </c>
      <c r="BG20" s="61"/>
      <c r="BH20" s="61"/>
    </row>
    <row r="21" spans="1:60" ht="12" customHeight="1" x14ac:dyDescent="0.3">
      <c r="A21" s="166">
        <v>14</v>
      </c>
      <c r="B21" s="60" t="str">
        <f>'C. FILIACION'!B21</f>
        <v>PILLCO APAZA MARIAN ALEXANDRA</v>
      </c>
      <c r="C21" s="61" t="s">
        <v>62</v>
      </c>
      <c r="D21" s="61" t="s">
        <v>62</v>
      </c>
      <c r="E21" s="61" t="s">
        <v>62</v>
      </c>
      <c r="F21" s="61" t="s">
        <v>62</v>
      </c>
      <c r="G21" s="61" t="s">
        <v>62</v>
      </c>
      <c r="H21" s="61" t="s">
        <v>62</v>
      </c>
      <c r="I21" s="61" t="s">
        <v>62</v>
      </c>
      <c r="J21" s="61" t="s">
        <v>62</v>
      </c>
      <c r="K21" s="61" t="s">
        <v>63</v>
      </c>
      <c r="L21" s="61" t="s">
        <v>62</v>
      </c>
      <c r="M21" s="61" t="s">
        <v>62</v>
      </c>
      <c r="N21" s="61" t="s">
        <v>62</v>
      </c>
      <c r="O21" s="61" t="s">
        <v>62</v>
      </c>
      <c r="P21" s="61" t="s">
        <v>62</v>
      </c>
      <c r="Q21" s="61" t="s">
        <v>62</v>
      </c>
      <c r="R21" s="61" t="s">
        <v>62</v>
      </c>
      <c r="S21" s="61" t="s">
        <v>62</v>
      </c>
      <c r="T21" s="61" t="s">
        <v>62</v>
      </c>
      <c r="U21" s="61" t="s">
        <v>62</v>
      </c>
      <c r="V21" s="61" t="s">
        <v>62</v>
      </c>
      <c r="W21" s="61" t="s">
        <v>62</v>
      </c>
      <c r="X21" s="61" t="s">
        <v>62</v>
      </c>
      <c r="Y21" s="61"/>
      <c r="Z21" s="61"/>
      <c r="AA21" s="61"/>
      <c r="AB21" s="61"/>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21</v>
      </c>
      <c r="BB21" s="61">
        <f t="shared" si="1"/>
        <v>1</v>
      </c>
      <c r="BC21" s="61" t="str">
        <f t="shared" si="2"/>
        <v>0</v>
      </c>
      <c r="BD21" s="61" t="str">
        <f t="shared" si="3"/>
        <v>0</v>
      </c>
      <c r="BE21" s="160">
        <f t="shared" si="4"/>
        <v>22</v>
      </c>
      <c r="BF21" s="156">
        <v>1</v>
      </c>
      <c r="BG21" s="61"/>
      <c r="BH21" s="61"/>
    </row>
    <row r="22" spans="1:60" ht="12" customHeight="1" x14ac:dyDescent="0.3">
      <c r="A22" s="166">
        <v>15</v>
      </c>
      <c r="B22" s="60" t="str">
        <f>'C. FILIACION'!B22</f>
        <v>RUEDA ALVAREZ GREGORY STEVEN</v>
      </c>
      <c r="C22" s="164" t="s">
        <v>62</v>
      </c>
      <c r="D22" s="164" t="s">
        <v>62</v>
      </c>
      <c r="E22" s="164" t="s">
        <v>62</v>
      </c>
      <c r="F22" s="164" t="s">
        <v>62</v>
      </c>
      <c r="G22" s="164" t="s">
        <v>62</v>
      </c>
      <c r="H22" s="164" t="s">
        <v>62</v>
      </c>
      <c r="I22" s="164" t="s">
        <v>62</v>
      </c>
      <c r="J22" s="164" t="s">
        <v>62</v>
      </c>
      <c r="K22" s="164" t="s">
        <v>62</v>
      </c>
      <c r="L22" s="61" t="s">
        <v>62</v>
      </c>
      <c r="M22" s="61" t="s">
        <v>62</v>
      </c>
      <c r="N22" s="61" t="s">
        <v>62</v>
      </c>
      <c r="O22" s="61" t="s">
        <v>62</v>
      </c>
      <c r="P22" s="61" t="s">
        <v>62</v>
      </c>
      <c r="Q22" s="61" t="s">
        <v>62</v>
      </c>
      <c r="R22" s="61" t="s">
        <v>62</v>
      </c>
      <c r="S22" s="61" t="s">
        <v>62</v>
      </c>
      <c r="T22" s="61" t="s">
        <v>62</v>
      </c>
      <c r="U22" s="61" t="s">
        <v>62</v>
      </c>
      <c r="V22" s="61" t="s">
        <v>62</v>
      </c>
      <c r="W22" s="61" t="s">
        <v>62</v>
      </c>
      <c r="X22" s="61" t="s">
        <v>62</v>
      </c>
      <c r="Y22" s="61"/>
      <c r="Z22" s="61"/>
      <c r="AA22" s="61"/>
      <c r="AB22" s="61"/>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22</v>
      </c>
      <c r="BB22" s="61" t="str">
        <f t="shared" si="1"/>
        <v>0</v>
      </c>
      <c r="BC22" s="61" t="str">
        <f t="shared" si="2"/>
        <v>0</v>
      </c>
      <c r="BD22" s="61" t="str">
        <f t="shared" si="3"/>
        <v>0</v>
      </c>
      <c r="BE22" s="160">
        <f t="shared" si="4"/>
        <v>22</v>
      </c>
      <c r="BF22" s="157">
        <v>3</v>
      </c>
      <c r="BG22" s="61"/>
      <c r="BH22" s="61"/>
    </row>
    <row r="23" spans="1:60" ht="12" customHeight="1" x14ac:dyDescent="0.3">
      <c r="A23" s="166">
        <v>16</v>
      </c>
      <c r="B23" s="60" t="str">
        <f>'C. FILIACION'!B23</f>
        <v>VARGAS JOYCE BELEN</v>
      </c>
      <c r="C23" s="61" t="s">
        <v>63</v>
      </c>
      <c r="D23" s="61" t="s">
        <v>63</v>
      </c>
      <c r="E23" s="61" t="s">
        <v>63</v>
      </c>
      <c r="F23" s="61" t="s">
        <v>63</v>
      </c>
      <c r="G23" s="61" t="s">
        <v>63</v>
      </c>
      <c r="H23" s="61" t="s">
        <v>62</v>
      </c>
      <c r="I23" s="61" t="s">
        <v>62</v>
      </c>
      <c r="J23" s="61" t="s">
        <v>63</v>
      </c>
      <c r="K23" s="61" t="s">
        <v>62</v>
      </c>
      <c r="L23" s="61" t="s">
        <v>62</v>
      </c>
      <c r="M23" s="61" t="s">
        <v>63</v>
      </c>
      <c r="N23" s="61" t="s">
        <v>62</v>
      </c>
      <c r="O23" s="61" t="s">
        <v>63</v>
      </c>
      <c r="P23" s="61" t="s">
        <v>63</v>
      </c>
      <c r="Q23" s="61" t="s">
        <v>63</v>
      </c>
      <c r="R23" s="61" t="s">
        <v>63</v>
      </c>
      <c r="S23" s="61" t="s">
        <v>63</v>
      </c>
      <c r="T23" s="61" t="s">
        <v>63</v>
      </c>
      <c r="U23" s="61" t="s">
        <v>63</v>
      </c>
      <c r="V23" s="61" t="s">
        <v>63</v>
      </c>
      <c r="W23" s="61" t="s">
        <v>63</v>
      </c>
      <c r="X23" s="61" t="s">
        <v>63</v>
      </c>
      <c r="Y23" s="61"/>
      <c r="Z23" s="61"/>
      <c r="AA23" s="61"/>
      <c r="AB23" s="61"/>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5</v>
      </c>
      <c r="BB23" s="61">
        <f t="shared" si="1"/>
        <v>17</v>
      </c>
      <c r="BC23" s="61" t="str">
        <f t="shared" si="2"/>
        <v>0</v>
      </c>
      <c r="BD23" s="61" t="str">
        <f t="shared" si="3"/>
        <v>0</v>
      </c>
      <c r="BE23" s="160">
        <f t="shared" si="4"/>
        <v>22</v>
      </c>
      <c r="BF23" s="157">
        <v>3</v>
      </c>
      <c r="BG23" s="61"/>
      <c r="BH23" s="61"/>
    </row>
    <row r="24" spans="1:60" ht="12" customHeight="1" x14ac:dyDescent="0.3">
      <c r="A24" s="166">
        <v>17</v>
      </c>
      <c r="B24" s="60" t="str">
        <f>'C. FILIACION'!B24</f>
        <v>ZURITA JIMENEZ ELMER ARTURO</v>
      </c>
      <c r="C24" s="163" t="s">
        <v>62</v>
      </c>
      <c r="D24" s="163" t="s">
        <v>62</v>
      </c>
      <c r="E24" s="163" t="s">
        <v>62</v>
      </c>
      <c r="F24" s="163" t="s">
        <v>62</v>
      </c>
      <c r="G24" s="163" t="s">
        <v>62</v>
      </c>
      <c r="H24" s="163" t="s">
        <v>62</v>
      </c>
      <c r="I24" s="163" t="s">
        <v>62</v>
      </c>
      <c r="J24" s="163" t="s">
        <v>62</v>
      </c>
      <c r="K24" s="163" t="s">
        <v>62</v>
      </c>
      <c r="L24" s="61" t="s">
        <v>62</v>
      </c>
      <c r="M24" s="61" t="s">
        <v>62</v>
      </c>
      <c r="N24" s="61" t="s">
        <v>62</v>
      </c>
      <c r="O24" s="61" t="s">
        <v>62</v>
      </c>
      <c r="P24" s="61" t="s">
        <v>62</v>
      </c>
      <c r="Q24" s="61" t="s">
        <v>62</v>
      </c>
      <c r="R24" s="61" t="s">
        <v>62</v>
      </c>
      <c r="S24" s="61" t="s">
        <v>62</v>
      </c>
      <c r="T24" s="61" t="s">
        <v>62</v>
      </c>
      <c r="U24" s="61" t="s">
        <v>62</v>
      </c>
      <c r="V24" s="61" t="s">
        <v>62</v>
      </c>
      <c r="W24" s="61" t="s">
        <v>62</v>
      </c>
      <c r="X24" s="61" t="s">
        <v>62</v>
      </c>
      <c r="Y24" s="61"/>
      <c r="Z24" s="61"/>
      <c r="AA24" s="61"/>
      <c r="AB24" s="61"/>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22</v>
      </c>
      <c r="BB24" s="61" t="str">
        <f t="shared" si="1"/>
        <v>0</v>
      </c>
      <c r="BC24" s="61" t="str">
        <f t="shared" si="2"/>
        <v>0</v>
      </c>
      <c r="BD24" s="61" t="str">
        <f t="shared" si="3"/>
        <v>0</v>
      </c>
      <c r="BE24" s="160">
        <f t="shared" si="4"/>
        <v>22</v>
      </c>
      <c r="BF24" s="155">
        <v>2</v>
      </c>
      <c r="BG24" s="61"/>
      <c r="BH24" s="61"/>
    </row>
    <row r="25" spans="1:60" ht="12" customHeight="1" x14ac:dyDescent="0.3">
      <c r="A25" s="166">
        <v>18</v>
      </c>
      <c r="B25" s="60" t="str">
        <f>'C. FILIACION'!B25</f>
        <v>ADRIAN FLORES EDDY BEYMAR</v>
      </c>
      <c r="C25" s="61" t="s">
        <v>63</v>
      </c>
      <c r="D25" s="61" t="s">
        <v>63</v>
      </c>
      <c r="E25" s="61" t="s">
        <v>63</v>
      </c>
      <c r="F25" s="61" t="s">
        <v>63</v>
      </c>
      <c r="G25" s="61" t="s">
        <v>63</v>
      </c>
      <c r="H25" s="61" t="s">
        <v>62</v>
      </c>
      <c r="I25" s="61" t="s">
        <v>62</v>
      </c>
      <c r="J25" s="61" t="s">
        <v>63</v>
      </c>
      <c r="K25" s="61" t="s">
        <v>62</v>
      </c>
      <c r="L25" s="61" t="s">
        <v>62</v>
      </c>
      <c r="M25" s="61" t="s">
        <v>62</v>
      </c>
      <c r="N25" s="61" t="s">
        <v>63</v>
      </c>
      <c r="O25" s="61" t="s">
        <v>63</v>
      </c>
      <c r="P25" s="61" t="s">
        <v>62</v>
      </c>
      <c r="Q25" s="61" t="s">
        <v>63</v>
      </c>
      <c r="R25" s="61" t="s">
        <v>62</v>
      </c>
      <c r="S25" s="61" t="s">
        <v>62</v>
      </c>
      <c r="T25" s="61" t="s">
        <v>62</v>
      </c>
      <c r="U25" s="61" t="s">
        <v>63</v>
      </c>
      <c r="V25" s="61" t="s">
        <v>63</v>
      </c>
      <c r="W25" s="61" t="s">
        <v>62</v>
      </c>
      <c r="X25" s="61" t="s">
        <v>62</v>
      </c>
      <c r="Y25" s="61"/>
      <c r="Z25" s="61"/>
      <c r="AA25" s="61"/>
      <c r="AB25" s="61"/>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11</v>
      </c>
      <c r="BB25" s="61">
        <f t="shared" si="1"/>
        <v>11</v>
      </c>
      <c r="BC25" s="61" t="str">
        <f t="shared" si="2"/>
        <v>0</v>
      </c>
      <c r="BD25" s="61" t="str">
        <f t="shared" si="3"/>
        <v>0</v>
      </c>
      <c r="BE25" s="160">
        <f t="shared" si="4"/>
        <v>22</v>
      </c>
      <c r="BF25" s="61">
        <v>4</v>
      </c>
      <c r="BG25" s="61"/>
      <c r="BH25" s="61"/>
    </row>
    <row r="26" spans="1:60" ht="12" customHeight="1" x14ac:dyDescent="0.3">
      <c r="A26" s="168">
        <v>19</v>
      </c>
      <c r="B26" s="169" t="str">
        <f>'C. FILIACION'!B26</f>
        <v>Ventura Choque Danely Keyla</v>
      </c>
      <c r="C26" s="170"/>
      <c r="D26" s="170"/>
      <c r="E26" s="170"/>
      <c r="F26" s="170"/>
      <c r="G26" s="170"/>
      <c r="H26" s="170"/>
      <c r="I26" s="170"/>
      <c r="J26" s="170"/>
      <c r="K26" s="170"/>
      <c r="L26" s="171"/>
      <c r="M26" s="171"/>
      <c r="N26" s="171"/>
      <c r="O26" s="171"/>
      <c r="P26" s="171" t="s">
        <v>63</v>
      </c>
      <c r="Q26" s="171" t="s">
        <v>177</v>
      </c>
      <c r="R26" s="171" t="s">
        <v>177</v>
      </c>
      <c r="S26" s="171" t="s">
        <v>62</v>
      </c>
      <c r="T26" s="171" t="s">
        <v>62</v>
      </c>
      <c r="U26" s="171" t="s">
        <v>62</v>
      </c>
      <c r="V26" s="171" t="s">
        <v>62</v>
      </c>
      <c r="W26" s="171" t="s">
        <v>63</v>
      </c>
      <c r="X26" s="171" t="s">
        <v>62</v>
      </c>
      <c r="Y26" s="171"/>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71"/>
      <c r="AX26" s="171"/>
      <c r="AY26" s="171"/>
      <c r="AZ26" s="172"/>
      <c r="BA26" s="173">
        <f t="shared" si="0"/>
        <v>5</v>
      </c>
      <c r="BB26" s="171">
        <f t="shared" si="1"/>
        <v>2</v>
      </c>
      <c r="BC26" s="171" t="str">
        <f t="shared" si="2"/>
        <v>0</v>
      </c>
      <c r="BD26" s="171">
        <f t="shared" si="3"/>
        <v>2</v>
      </c>
      <c r="BE26" s="172">
        <f t="shared" si="4"/>
        <v>9</v>
      </c>
      <c r="BF26" s="157">
        <v>3</v>
      </c>
      <c r="BG26" s="61"/>
      <c r="BH26" s="61"/>
    </row>
    <row r="27" spans="1:60" ht="12" customHeight="1" x14ac:dyDescent="0.3">
      <c r="A27" s="59">
        <v>20</v>
      </c>
      <c r="B27" s="60">
        <f>'C. FILIACION'!B27</f>
        <v>0</v>
      </c>
      <c r="C27" s="61"/>
      <c r="D27" s="61"/>
      <c r="E27" s="61"/>
      <c r="F27" s="61"/>
      <c r="G27" s="61"/>
      <c r="H27" s="61"/>
      <c r="I27" s="61"/>
      <c r="J27" s="61"/>
      <c r="K27" s="61"/>
      <c r="L27" s="48"/>
      <c r="M27" s="48"/>
      <c r="N27" s="61"/>
      <c r="O27" s="61"/>
      <c r="P27" s="61"/>
      <c r="Q27" s="61"/>
      <c r="R27" s="61"/>
      <c r="S27" s="61"/>
      <c r="T27" s="61"/>
      <c r="U27" s="61"/>
      <c r="V27" s="61"/>
      <c r="W27" s="61"/>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0" ht="12" customHeight="1" x14ac:dyDescent="0.3">
      <c r="A28" s="59">
        <v>21</v>
      </c>
      <c r="B28" s="60">
        <f>'C. FILIACION'!B28</f>
        <v>0</v>
      </c>
      <c r="C28" s="163"/>
      <c r="D28" s="163"/>
      <c r="E28" s="163"/>
      <c r="F28" s="163"/>
      <c r="G28" s="163"/>
      <c r="H28" s="163"/>
      <c r="I28" s="163"/>
      <c r="J28" s="163"/>
      <c r="K28" s="163"/>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3">
      <c r="A29" s="59">
        <v>22</v>
      </c>
      <c r="B29" s="60">
        <f>'C. FILIACION'!B29</f>
        <v>0</v>
      </c>
      <c r="C29" s="164"/>
      <c r="D29" s="164"/>
      <c r="E29" s="164"/>
      <c r="F29" s="164"/>
      <c r="G29" s="164"/>
      <c r="H29" s="164"/>
      <c r="I29" s="164"/>
      <c r="J29" s="164"/>
      <c r="K29" s="164"/>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3">
      <c r="A30" s="59">
        <v>23</v>
      </c>
      <c r="B30" s="60">
        <f>'C. FILIACION'!B30</f>
        <v>0</v>
      </c>
      <c r="C30" s="163"/>
      <c r="D30" s="163"/>
      <c r="E30" s="163"/>
      <c r="F30" s="163"/>
      <c r="G30" s="163"/>
      <c r="H30" s="163"/>
      <c r="I30" s="163"/>
      <c r="J30" s="163"/>
      <c r="K30" s="163"/>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3">
      <c r="A31" s="59">
        <v>24</v>
      </c>
      <c r="B31" s="60">
        <f>'C. FILIACION'!B31</f>
        <v>0</v>
      </c>
      <c r="C31" s="61"/>
      <c r="D31" s="61"/>
      <c r="E31" s="61"/>
      <c r="F31" s="61"/>
      <c r="G31" s="61"/>
      <c r="H31" s="61"/>
      <c r="I31" s="61"/>
      <c r="J31" s="61"/>
      <c r="K31" s="61"/>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FEE9-C408-4811-AD55-DC2FE4F95A5E}">
  <sheetPr>
    <tabColor rgb="FFC00000"/>
    <pageSetUpPr fitToPage="1"/>
  </sheetPr>
  <dimension ref="A1:BP39"/>
  <sheetViews>
    <sheetView zoomScaleNormal="100" workbookViewId="0">
      <selection activeCell="AB39" sqref="AB39"/>
    </sheetView>
  </sheetViews>
  <sheetFormatPr baseColWidth="10" defaultRowHeight="20.25" x14ac:dyDescent="0.3"/>
  <cols>
    <col min="1" max="11" width="2.25" customWidth="1"/>
    <col min="12" max="12" width="2.83203125" customWidth="1"/>
    <col min="13" max="13" width="2.25" customWidth="1"/>
    <col min="14" max="14" width="2.33203125" customWidth="1"/>
    <col min="15" max="26" width="2.25" customWidth="1"/>
    <col min="27" max="27" width="10.5" customWidth="1"/>
    <col min="28" max="28" width="7.4140625" customWidth="1"/>
  </cols>
  <sheetData>
    <row r="1" spans="1:68" ht="7.15" customHeight="1" x14ac:dyDescent="0.3">
      <c r="A1" s="174"/>
      <c r="B1" s="174"/>
      <c r="C1" s="174"/>
      <c r="D1" s="174"/>
      <c r="E1" s="174"/>
      <c r="F1" s="174"/>
      <c r="G1" s="174"/>
      <c r="H1" s="174"/>
      <c r="I1" s="174"/>
      <c r="J1" s="174"/>
      <c r="K1" s="174"/>
      <c r="L1" s="174"/>
      <c r="M1" s="174"/>
      <c r="N1" s="174"/>
      <c r="O1" s="174"/>
      <c r="P1" s="174"/>
      <c r="Q1" s="174"/>
      <c r="R1" s="174"/>
      <c r="S1" s="174"/>
      <c r="T1" s="174"/>
      <c r="U1" s="174"/>
      <c r="V1" s="174"/>
      <c r="W1" s="174"/>
      <c r="X1" s="174"/>
      <c r="Y1" s="174"/>
      <c r="Z1" s="174"/>
      <c r="AA1" s="174"/>
      <c r="AB1" s="174"/>
    </row>
    <row r="2" spans="1:68" x14ac:dyDescent="0.3">
      <c r="A2" s="233" t="s">
        <v>228</v>
      </c>
      <c r="B2" s="233"/>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row>
    <row r="3" spans="1:68" ht="6.6" customHeight="1" x14ac:dyDescent="0.3">
      <c r="A3" s="174"/>
      <c r="B3" s="174"/>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174"/>
    </row>
    <row r="4" spans="1:68" ht="15.6" customHeight="1" x14ac:dyDescent="0.3">
      <c r="A4" s="234" t="s">
        <v>229</v>
      </c>
      <c r="B4" s="234"/>
      <c r="C4" s="234"/>
      <c r="D4" s="234"/>
      <c r="E4" s="234"/>
      <c r="F4" s="225" t="str">
        <f>CARÁTULA!C25</f>
        <v>Tec. Tecnologica Programacion Visual</v>
      </c>
      <c r="G4" s="225"/>
      <c r="H4" s="225"/>
      <c r="I4" s="225"/>
      <c r="J4" s="225"/>
      <c r="K4" s="225"/>
      <c r="L4" s="225"/>
      <c r="M4" s="225"/>
      <c r="N4" s="225"/>
      <c r="O4" s="235" t="s">
        <v>230</v>
      </c>
      <c r="P4" s="235"/>
      <c r="Q4" s="235"/>
      <c r="R4" s="236" t="str">
        <f>CARÁTULA!C23</f>
        <v>6to de Secundaria</v>
      </c>
      <c r="S4" s="237"/>
      <c r="T4" s="237"/>
      <c r="U4" s="237"/>
      <c r="V4" s="237"/>
      <c r="W4" s="237"/>
      <c r="X4" s="237"/>
      <c r="Y4" s="237"/>
      <c r="Z4" s="238"/>
      <c r="AA4" s="239" t="s">
        <v>231</v>
      </c>
      <c r="AB4" s="241" t="s">
        <v>266</v>
      </c>
    </row>
    <row r="5" spans="1:68" ht="17.45" customHeight="1" x14ac:dyDescent="0.3">
      <c r="A5" s="234" t="s">
        <v>232</v>
      </c>
      <c r="B5" s="234"/>
      <c r="C5" s="234"/>
      <c r="D5" s="234"/>
      <c r="E5" s="234"/>
      <c r="F5" s="242" t="s">
        <v>174</v>
      </c>
      <c r="G5" s="242"/>
      <c r="H5" s="242"/>
      <c r="I5" s="242"/>
      <c r="J5" s="242"/>
      <c r="K5" s="242"/>
      <c r="L5" s="242"/>
      <c r="M5" s="242"/>
      <c r="N5" s="242"/>
      <c r="O5" s="242"/>
      <c r="P5" s="242"/>
      <c r="Q5" s="242"/>
      <c r="R5" s="242"/>
      <c r="S5" s="242"/>
      <c r="T5" s="242"/>
      <c r="U5" s="242"/>
      <c r="V5" s="242"/>
      <c r="W5" s="242"/>
      <c r="X5" s="242"/>
      <c r="Y5" s="242"/>
      <c r="Z5" s="242"/>
      <c r="AA5" s="240"/>
      <c r="AB5" s="241"/>
    </row>
    <row r="6" spans="1:68" ht="18.600000000000001" customHeight="1" x14ac:dyDescent="0.3">
      <c r="A6" s="234" t="s">
        <v>233</v>
      </c>
      <c r="B6" s="234"/>
      <c r="C6" s="234"/>
      <c r="D6" s="234"/>
      <c r="E6" s="234"/>
      <c r="F6" s="243" t="s">
        <v>234</v>
      </c>
      <c r="G6" s="244"/>
      <c r="H6" s="244"/>
      <c r="I6" s="244"/>
      <c r="J6" s="244"/>
      <c r="K6" s="244"/>
      <c r="L6" s="244"/>
      <c r="M6" s="244"/>
      <c r="N6" s="244"/>
      <c r="O6" s="244"/>
      <c r="P6" s="244"/>
      <c r="Q6" s="244"/>
      <c r="R6" s="244"/>
      <c r="S6" s="244"/>
      <c r="T6" s="244"/>
      <c r="U6" s="244"/>
      <c r="V6" s="244"/>
      <c r="W6" s="244"/>
      <c r="X6" s="244"/>
      <c r="Y6" s="244"/>
      <c r="Z6" s="245"/>
      <c r="AA6" s="247"/>
      <c r="AB6" s="248"/>
    </row>
    <row r="7" spans="1:68" ht="6" customHeight="1" x14ac:dyDescent="0.3">
      <c r="A7" s="174"/>
      <c r="B7" s="174"/>
      <c r="C7" s="174"/>
      <c r="D7" s="174"/>
      <c r="E7" s="174"/>
      <c r="F7" s="174"/>
      <c r="G7" s="174"/>
      <c r="H7" s="174"/>
      <c r="I7" s="174"/>
      <c r="J7" s="174"/>
      <c r="K7" s="174"/>
      <c r="L7" s="174"/>
      <c r="M7" s="174"/>
      <c r="N7" s="174"/>
      <c r="O7" s="174"/>
      <c r="P7" s="174"/>
      <c r="Q7" s="174"/>
      <c r="R7" s="174"/>
      <c r="S7" s="174"/>
      <c r="T7" s="174"/>
      <c r="U7" s="174"/>
      <c r="V7" s="174"/>
      <c r="W7" s="174"/>
      <c r="X7" s="174"/>
      <c r="Y7" s="174"/>
      <c r="Z7" s="174"/>
      <c r="AA7" s="174"/>
      <c r="AB7" s="175"/>
    </row>
    <row r="8" spans="1:68" x14ac:dyDescent="0.3">
      <c r="A8" s="246" t="s">
        <v>235</v>
      </c>
      <c r="B8" s="246"/>
      <c r="C8" s="246"/>
      <c r="D8" s="246"/>
      <c r="E8" s="246"/>
      <c r="F8" s="246"/>
      <c r="G8" s="246"/>
      <c r="H8" s="246"/>
      <c r="I8" s="246"/>
      <c r="J8" s="246"/>
      <c r="K8" s="246"/>
      <c r="L8" s="246"/>
      <c r="M8" s="246"/>
      <c r="N8" s="246"/>
      <c r="O8" s="246"/>
      <c r="P8" s="246"/>
      <c r="Q8" s="246"/>
      <c r="R8" s="246"/>
      <c r="S8" s="246"/>
      <c r="T8" s="246"/>
      <c r="U8" s="246"/>
      <c r="V8" s="246"/>
      <c r="W8" s="246"/>
      <c r="X8" s="246"/>
      <c r="Y8" s="246"/>
      <c r="Z8" s="246"/>
      <c r="AA8" s="246"/>
      <c r="AB8" s="246"/>
    </row>
    <row r="9" spans="1:68" ht="1.5" customHeight="1" x14ac:dyDescent="0.3">
      <c r="A9" s="174"/>
      <c r="B9" s="174"/>
      <c r="C9" s="174"/>
      <c r="D9" s="174"/>
      <c r="E9" s="174"/>
      <c r="F9" s="174"/>
      <c r="G9" s="174"/>
      <c r="H9" s="174"/>
      <c r="I9" s="174"/>
      <c r="J9" s="174"/>
      <c r="K9" s="174"/>
      <c r="L9" s="174"/>
      <c r="M9" s="174"/>
      <c r="N9" s="174"/>
      <c r="O9" s="174"/>
      <c r="P9" s="174"/>
      <c r="Q9" s="174"/>
      <c r="R9" s="174"/>
      <c r="S9" s="174"/>
      <c r="T9" s="174"/>
      <c r="U9" s="174"/>
      <c r="V9" s="174"/>
      <c r="W9" s="174"/>
      <c r="X9" s="174"/>
      <c r="Y9" s="174"/>
      <c r="Z9" s="174"/>
      <c r="AA9" s="174"/>
      <c r="AB9" s="174"/>
    </row>
    <row r="10" spans="1:68" ht="79.5" x14ac:dyDescent="0.3">
      <c r="A10" s="174"/>
      <c r="B10" s="176" t="str">
        <f>Tabla2[[#Headers],[10/5/2021]]</f>
        <v>10/5/2021</v>
      </c>
      <c r="C10" s="176" t="str">
        <f>Tabla2[[#Headers],[12/5/2021]]</f>
        <v>12/5/2021</v>
      </c>
      <c r="D10" s="176" t="str">
        <f>Tabla2[[#Headers],[17/5/2021]]</f>
        <v>17/5/2021</v>
      </c>
      <c r="E10" s="176" t="str">
        <f>Tabla2[[#Headers],[19/5/2021]]</f>
        <v>19/5/2021</v>
      </c>
      <c r="F10" s="176" t="str">
        <f>Tabla2[[#Headers],[24/5/2021]]</f>
        <v>24/5/2021</v>
      </c>
      <c r="G10" s="176" t="str">
        <f>Tabla2[[#Headers],[26/5/2021]]</f>
        <v>26/5/2021</v>
      </c>
      <c r="H10" s="176" t="str">
        <f>Tabla2[[#Headers],[31/5/2021]]</f>
        <v>31/5/2021</v>
      </c>
      <c r="I10" s="176" t="str">
        <f>Tabla2[[#Headers],[28/6/2021]]</f>
        <v>28/6/2021</v>
      </c>
      <c r="J10" s="176" t="str">
        <f>Tabla2[[#Headers],[30/6/2021]]</f>
        <v>30/6/2021</v>
      </c>
      <c r="K10" s="176" t="str">
        <f>Tabla2[[#Headers],[5/7/2021]]</f>
        <v>5/7/2021</v>
      </c>
      <c r="L10" s="176" t="str">
        <f>Tabla2[[#Headers],[7/7/2021]]</f>
        <v>7/7/2021</v>
      </c>
      <c r="M10" s="176" t="str">
        <f>Tabla2[[#Headers],[12/7/2021]]</f>
        <v>12/7/2021</v>
      </c>
      <c r="N10" s="176" t="str">
        <f>Tabla2[[#Headers],[14/7/2021]]</f>
        <v>14/7/2021</v>
      </c>
      <c r="O10" s="176" t="str">
        <f>Tabla2[[#Headers],[19/7/2021]]</f>
        <v>19/7/2021</v>
      </c>
      <c r="P10" s="176" t="str">
        <f>Tabla2[[#Headers],[26/7/2021]]</f>
        <v>26/7/2021</v>
      </c>
      <c r="Q10" s="176" t="str">
        <f>Tabla2[[#Headers],[28/7/2021]]</f>
        <v>28/7/2021</v>
      </c>
      <c r="R10" s="176" t="str">
        <f>Tabla2[[#Headers],[2/8/2021]]</f>
        <v>2/8/2021</v>
      </c>
      <c r="S10" s="176" t="str">
        <f>Tabla2[[#Headers],[4/8/2021]]</f>
        <v>4/8/2021</v>
      </c>
      <c r="T10" s="176" t="str">
        <f>Tabla2[[#Headers],[9/8/2021]]</f>
        <v>9/8/2021</v>
      </c>
      <c r="U10" s="176" t="str">
        <f>Tabla2[[#Headers],[11/8/2021]]</f>
        <v>11/8/2021</v>
      </c>
      <c r="V10" s="176" t="str">
        <f>'[1]ASIS 2 TRIM'!BA7</f>
        <v>Asist. (A)</v>
      </c>
      <c r="W10" s="176" t="str">
        <f>'[1]ASIS 2 TRIM'!BB7</f>
        <v>Faltas (F)</v>
      </c>
      <c r="X10" s="176" t="str">
        <f>'[1]ASIS 2 TRIM'!BC7</f>
        <v>Retrasos (R)</v>
      </c>
      <c r="Y10" s="176" t="str">
        <f>'[1]ASIS 2 TRIM'!BD7</f>
        <v>Licencias (L)</v>
      </c>
      <c r="Z10" s="176" t="str">
        <f>'[1]ASIS 2 TRIM'!BE7</f>
        <v>DÍAS TRABAJADOS</v>
      </c>
      <c r="AA10" s="174"/>
      <c r="AB10" s="174"/>
    </row>
    <row r="11" spans="1:68" x14ac:dyDescent="0.3">
      <c r="A11" s="174"/>
      <c r="B11" s="177" t="str">
        <f>VLOOKUP($F$5,Tabla2[[NÓMINA DE ESTUDIANTES]:[DÍAS TRABAJADOS]],1+AE11,FALSE)</f>
        <v>f</v>
      </c>
      <c r="C11" s="177" t="str">
        <f>VLOOKUP($F$5,Tabla2[[NÓMINA DE ESTUDIANTES]:[DÍAS TRABAJADOS]],1+AF11,FALSE)</f>
        <v>f</v>
      </c>
      <c r="D11" s="177" t="str">
        <f>VLOOKUP($F$5,Tabla2[[NÓMINA DE ESTUDIANTES]:[DÍAS TRABAJADOS]],1+AG11,FALSE)</f>
        <v>f</v>
      </c>
      <c r="E11" s="177" t="str">
        <f>VLOOKUP($F$5,Tabla2[[NÓMINA DE ESTUDIANTES]:[DÍAS TRABAJADOS]],1+AH11,FALSE)</f>
        <v>f</v>
      </c>
      <c r="F11" s="177" t="str">
        <f>VLOOKUP($F$5,Tabla2[[NÓMINA DE ESTUDIANTES]:[DÍAS TRABAJADOS]],1+AI11,FALSE)</f>
        <v>f</v>
      </c>
      <c r="G11" s="177" t="str">
        <f>VLOOKUP($F$5,Tabla2[[NÓMINA DE ESTUDIANTES]:[DÍAS TRABAJADOS]],1+AJ11,FALSE)</f>
        <v>a</v>
      </c>
      <c r="H11" s="177" t="str">
        <f>VLOOKUP($F$5,Tabla2[[NÓMINA DE ESTUDIANTES]:[DÍAS TRABAJADOS]],1+AK11,FALSE)</f>
        <v>a</v>
      </c>
      <c r="I11" s="177" t="str">
        <f>VLOOKUP($F$5,Tabla2[[NÓMINA DE ESTUDIANTES]:[DÍAS TRABAJADOS]],1+AL11,FALSE)</f>
        <v>f</v>
      </c>
      <c r="J11" s="177" t="str">
        <f>VLOOKUP($F$5,Tabla2[[NÓMINA DE ESTUDIANTES]:[DÍAS TRABAJADOS]],1+AM11,FALSE)</f>
        <v>a</v>
      </c>
      <c r="K11" s="177" t="str">
        <f>VLOOKUP($F$5,Tabla2[[NÓMINA DE ESTUDIANTES]:[DÍAS TRABAJADOS]],1+AN11,FALSE)</f>
        <v>a</v>
      </c>
      <c r="L11" s="177" t="str">
        <f>VLOOKUP($F$5,Tabla2[[NÓMINA DE ESTUDIANTES]:[DÍAS TRABAJADOS]],1+AO11,FALSE)</f>
        <v>a</v>
      </c>
      <c r="M11" s="177" t="str">
        <f>VLOOKUP($F$5,Tabla2[[NÓMINA DE ESTUDIANTES]:[DÍAS TRABAJADOS]],1+AP11,FALSE)</f>
        <v>f</v>
      </c>
      <c r="N11" s="177" t="str">
        <f>VLOOKUP($F$5,Tabla2[[NÓMINA DE ESTUDIANTES]:[DÍAS TRABAJADOS]],1+AQ11,FALSE)</f>
        <v>f</v>
      </c>
      <c r="O11" s="177" t="str">
        <f>VLOOKUP($F$5,Tabla2[[NÓMINA DE ESTUDIANTES]:[DÍAS TRABAJADOS]],1+AR11,FALSE)</f>
        <v>a</v>
      </c>
      <c r="P11" s="177" t="str">
        <f>VLOOKUP($F$5,Tabla2[[NÓMINA DE ESTUDIANTES]:[DÍAS TRABAJADOS]],1+AS11,FALSE)</f>
        <v>f</v>
      </c>
      <c r="Q11" s="177" t="str">
        <f>VLOOKUP($F$5,Tabla2[[NÓMINA DE ESTUDIANTES]:[DÍAS TRABAJADOS]],1+AT11,FALSE)</f>
        <v>a</v>
      </c>
      <c r="R11" s="177" t="str">
        <f>VLOOKUP($F$5,Tabla2[[NÓMINA DE ESTUDIANTES]:[DÍAS TRABAJADOS]],1+AU11,FALSE)</f>
        <v>a</v>
      </c>
      <c r="S11" s="177" t="str">
        <f>VLOOKUP($F$5,Tabla2[[NÓMINA DE ESTUDIANTES]:[DÍAS TRABAJADOS]],1+AV11,FALSE)</f>
        <v>a</v>
      </c>
      <c r="T11" s="177" t="str">
        <f>VLOOKUP($F$5,Tabla2[[NÓMINA DE ESTUDIANTES]:[DÍAS TRABAJADOS]],1+AW11,FALSE)</f>
        <v>f</v>
      </c>
      <c r="U11" s="177" t="str">
        <f>VLOOKUP($F$5,Tabla2[[NÓMINA DE ESTUDIANTES]:[DÍAS TRABAJADOS]],1+AX11,FALSE)</f>
        <v>f</v>
      </c>
      <c r="V11" s="177">
        <f>VLOOKUP($F$5,Tabla2[[NÓMINA DE ESTUDIANTES]:[DÍAS TRABAJADOS]],51+AE11,FALSE)</f>
        <v>11</v>
      </c>
      <c r="W11" s="177">
        <f>VLOOKUP($F$5,Tabla2[[NÓMINA DE ESTUDIANTES]:[DÍAS TRABAJADOS]],51+AF11,FALSE)</f>
        <v>11</v>
      </c>
      <c r="X11" s="177" t="str">
        <f>VLOOKUP($F$5,Tabla2[[NÓMINA DE ESTUDIANTES]:[DÍAS TRABAJADOS]],51+AG11,FALSE)</f>
        <v>0</v>
      </c>
      <c r="Y11" s="177" t="str">
        <f>VLOOKUP($F$5,Tabla2[[NÓMINA DE ESTUDIANTES]:[DÍAS TRABAJADOS]],51+AH11,FALSE)</f>
        <v>0</v>
      </c>
      <c r="Z11" s="177">
        <f>VLOOKUP($F$5,Tabla2[[NÓMINA DE ESTUDIANTES]:[DÍAS TRABAJADOS]],51+AI11,FALSE)</f>
        <v>22</v>
      </c>
      <c r="AA11" s="174"/>
      <c r="AB11" s="174"/>
      <c r="AE11" s="178">
        <v>1</v>
      </c>
      <c r="AF11" s="178">
        <f>AE11+1</f>
        <v>2</v>
      </c>
      <c r="AG11" s="178">
        <f t="shared" ref="AG11:BP11" si="0">AF11+1</f>
        <v>3</v>
      </c>
      <c r="AH11" s="178">
        <f t="shared" si="0"/>
        <v>4</v>
      </c>
      <c r="AI11" s="178">
        <f t="shared" si="0"/>
        <v>5</v>
      </c>
      <c r="AJ11" s="178">
        <f t="shared" si="0"/>
        <v>6</v>
      </c>
      <c r="AK11" s="178">
        <f t="shared" si="0"/>
        <v>7</v>
      </c>
      <c r="AL11" s="178">
        <f t="shared" si="0"/>
        <v>8</v>
      </c>
      <c r="AM11" s="178">
        <f t="shared" si="0"/>
        <v>9</v>
      </c>
      <c r="AN11" s="178">
        <f t="shared" si="0"/>
        <v>10</v>
      </c>
      <c r="AO11" s="178">
        <f t="shared" si="0"/>
        <v>11</v>
      </c>
      <c r="AP11" s="178">
        <f t="shared" si="0"/>
        <v>12</v>
      </c>
      <c r="AQ11" s="178">
        <f t="shared" si="0"/>
        <v>13</v>
      </c>
      <c r="AR11" s="178">
        <f t="shared" si="0"/>
        <v>14</v>
      </c>
      <c r="AS11" s="178">
        <f t="shared" si="0"/>
        <v>15</v>
      </c>
      <c r="AT11" s="178">
        <f t="shared" si="0"/>
        <v>16</v>
      </c>
      <c r="AU11" s="178">
        <f t="shared" si="0"/>
        <v>17</v>
      </c>
      <c r="AV11" s="178">
        <f t="shared" si="0"/>
        <v>18</v>
      </c>
      <c r="AW11" s="178">
        <f t="shared" si="0"/>
        <v>19</v>
      </c>
      <c r="AX11" s="178">
        <f t="shared" si="0"/>
        <v>20</v>
      </c>
      <c r="AY11" s="178">
        <f t="shared" si="0"/>
        <v>21</v>
      </c>
      <c r="AZ11" s="178">
        <f t="shared" si="0"/>
        <v>22</v>
      </c>
      <c r="BA11" s="178">
        <f t="shared" si="0"/>
        <v>23</v>
      </c>
      <c r="BB11" s="178">
        <f t="shared" si="0"/>
        <v>24</v>
      </c>
      <c r="BC11" s="178">
        <f t="shared" si="0"/>
        <v>25</v>
      </c>
      <c r="BD11" s="178">
        <f t="shared" si="0"/>
        <v>26</v>
      </c>
      <c r="BE11" s="178">
        <f t="shared" si="0"/>
        <v>27</v>
      </c>
      <c r="BF11" s="178">
        <f t="shared" si="0"/>
        <v>28</v>
      </c>
      <c r="BG11" s="178">
        <f t="shared" si="0"/>
        <v>29</v>
      </c>
      <c r="BH11" s="178">
        <f t="shared" si="0"/>
        <v>30</v>
      </c>
      <c r="BI11" s="178">
        <f t="shared" si="0"/>
        <v>31</v>
      </c>
      <c r="BJ11" s="178">
        <f t="shared" si="0"/>
        <v>32</v>
      </c>
      <c r="BK11" s="178">
        <f t="shared" si="0"/>
        <v>33</v>
      </c>
      <c r="BL11" s="178">
        <f t="shared" si="0"/>
        <v>34</v>
      </c>
      <c r="BM11" s="178">
        <f t="shared" si="0"/>
        <v>35</v>
      </c>
      <c r="BN11" s="178">
        <f t="shared" si="0"/>
        <v>36</v>
      </c>
      <c r="BO11" s="178">
        <f t="shared" si="0"/>
        <v>37</v>
      </c>
      <c r="BP11" s="178">
        <f t="shared" si="0"/>
        <v>38</v>
      </c>
    </row>
    <row r="12" spans="1:68" ht="8.25" customHeight="1" x14ac:dyDescent="0.3">
      <c r="A12" s="174"/>
      <c r="B12" s="174"/>
      <c r="C12" s="174"/>
      <c r="D12" s="174"/>
      <c r="E12" s="174"/>
      <c r="F12" s="174"/>
      <c r="G12" s="174"/>
      <c r="H12" s="174"/>
      <c r="I12" s="174"/>
      <c r="J12" s="174"/>
      <c r="K12" s="174"/>
      <c r="L12" s="174"/>
      <c r="M12" s="174"/>
      <c r="N12" s="174"/>
      <c r="O12" s="174"/>
      <c r="P12" s="174"/>
      <c r="Q12" s="174"/>
      <c r="R12" s="174"/>
      <c r="S12" s="174"/>
      <c r="T12" s="174"/>
      <c r="U12" s="174"/>
      <c r="V12" s="174"/>
      <c r="W12" s="174"/>
      <c r="X12" s="174"/>
      <c r="Y12" s="174"/>
      <c r="Z12" s="174"/>
      <c r="AA12" s="174"/>
      <c r="AB12" s="174"/>
    </row>
    <row r="13" spans="1:68" ht="15" customHeight="1" x14ac:dyDescent="0.3">
      <c r="A13" s="231" t="s">
        <v>236</v>
      </c>
      <c r="B13" s="231"/>
      <c r="C13" s="231"/>
      <c r="D13" s="231"/>
      <c r="E13" s="231"/>
      <c r="F13" s="231"/>
      <c r="G13" s="231"/>
      <c r="H13" s="231"/>
      <c r="I13" s="231"/>
      <c r="J13" s="231"/>
      <c r="K13" s="231"/>
      <c r="L13" s="231"/>
      <c r="M13" s="231"/>
      <c r="N13" s="231"/>
      <c r="O13" s="231"/>
      <c r="P13" s="231"/>
      <c r="Q13" s="231"/>
      <c r="R13" s="231"/>
      <c r="S13" s="231"/>
      <c r="T13" s="231"/>
      <c r="U13" s="231"/>
      <c r="V13" s="231"/>
      <c r="W13" s="231"/>
      <c r="X13" s="231"/>
      <c r="Y13" s="231"/>
      <c r="Z13" s="231"/>
      <c r="AA13" s="231"/>
      <c r="AB13" s="231"/>
    </row>
    <row r="14" spans="1:68" ht="15" customHeight="1" x14ac:dyDescent="0.3">
      <c r="A14" s="231" t="s">
        <v>237</v>
      </c>
      <c r="B14" s="231"/>
      <c r="C14" s="231"/>
      <c r="D14" s="231"/>
      <c r="E14" s="231"/>
      <c r="F14" s="231"/>
      <c r="G14" s="231"/>
      <c r="H14" s="231"/>
      <c r="I14" s="231" t="s">
        <v>238</v>
      </c>
      <c r="J14" s="231"/>
      <c r="K14" s="231" t="s">
        <v>239</v>
      </c>
      <c r="L14" s="231"/>
      <c r="M14" s="231"/>
      <c r="N14" s="231"/>
      <c r="O14" s="231"/>
      <c r="P14" s="231"/>
      <c r="Q14" s="231"/>
      <c r="R14" s="231"/>
      <c r="S14" s="231"/>
      <c r="T14" s="231"/>
      <c r="U14" s="231"/>
      <c r="V14" s="231"/>
      <c r="W14" s="231"/>
      <c r="X14" s="231"/>
      <c r="Y14" s="231"/>
      <c r="Z14" s="231"/>
      <c r="AA14" s="231"/>
      <c r="AB14" s="231"/>
    </row>
    <row r="15" spans="1:68" ht="15" customHeight="1" x14ac:dyDescent="0.3">
      <c r="A15" s="223" t="str">
        <f>'VAL 2 TRIM'!D$8</f>
        <v>24/5/2021 (Cuestionario)</v>
      </c>
      <c r="B15" s="224"/>
      <c r="C15" s="224"/>
      <c r="D15" s="224"/>
      <c r="E15" s="224"/>
      <c r="F15" s="224"/>
      <c r="G15" s="224"/>
      <c r="H15" s="224"/>
      <c r="I15" s="225">
        <f>VLOOKUP($F$5,'VAL 2 TRIM'!$B$9:$Z$32,3,FALSE)</f>
        <v>0</v>
      </c>
      <c r="J15" s="225"/>
      <c r="K15" s="228" t="s">
        <v>255</v>
      </c>
      <c r="L15" s="232"/>
      <c r="M15" s="232"/>
      <c r="N15" s="232"/>
      <c r="O15" s="232"/>
      <c r="P15" s="232"/>
      <c r="Q15" s="232"/>
      <c r="R15" s="232"/>
      <c r="S15" s="232"/>
      <c r="T15" s="232"/>
      <c r="U15" s="232"/>
      <c r="V15" s="232"/>
      <c r="W15" s="232"/>
      <c r="X15" s="232"/>
      <c r="Y15" s="232"/>
      <c r="Z15" s="232"/>
      <c r="AA15" s="232"/>
      <c r="AB15" s="232"/>
      <c r="AC15" s="179">
        <f>IF(I15=0,1,0)</f>
        <v>1</v>
      </c>
      <c r="AD15" s="180">
        <v>1</v>
      </c>
      <c r="AE15" s="180">
        <v>1</v>
      </c>
    </row>
    <row r="16" spans="1:68" ht="15" customHeight="1" x14ac:dyDescent="0.3">
      <c r="A16" s="223" t="str">
        <f>'VAL 2 TRIM'!E$8</f>
        <v>26/05/2021(Defensa Diseño de Interface)</v>
      </c>
      <c r="B16" s="224"/>
      <c r="C16" s="224"/>
      <c r="D16" s="224"/>
      <c r="E16" s="224"/>
      <c r="F16" s="224"/>
      <c r="G16" s="224"/>
      <c r="H16" s="224"/>
      <c r="I16" s="225">
        <f>VLOOKUP($F$5,'VAL 2 TRIM'!$B$9:$Z$32,4,FALSE)</f>
        <v>0</v>
      </c>
      <c r="J16" s="225"/>
      <c r="K16" s="228"/>
      <c r="L16" s="232"/>
      <c r="M16" s="232"/>
      <c r="N16" s="232"/>
      <c r="O16" s="232"/>
      <c r="P16" s="232"/>
      <c r="Q16" s="232"/>
      <c r="R16" s="232"/>
      <c r="S16" s="232"/>
      <c r="T16" s="232"/>
      <c r="U16" s="232"/>
      <c r="V16" s="232"/>
      <c r="W16" s="232"/>
      <c r="X16" s="232"/>
      <c r="Y16" s="232"/>
      <c r="Z16" s="232"/>
      <c r="AA16" s="232"/>
      <c r="AB16" s="232"/>
      <c r="AC16" s="179">
        <f t="shared" ref="AC16:AC19" si="1">IF(I16=0,1,0)</f>
        <v>1</v>
      </c>
      <c r="AD16" s="180">
        <v>1</v>
      </c>
      <c r="AE16" s="180">
        <v>1</v>
      </c>
    </row>
    <row r="17" spans="1:31" ht="15" customHeight="1" x14ac:dyDescent="0.3">
      <c r="A17" s="223" t="str">
        <f>'VAL 2 TRIM'!F$8</f>
        <v>28/06/2021(Repaso)</v>
      </c>
      <c r="B17" s="224"/>
      <c r="C17" s="224"/>
      <c r="D17" s="224"/>
      <c r="E17" s="224"/>
      <c r="F17" s="224"/>
      <c r="G17" s="224"/>
      <c r="H17" s="224"/>
      <c r="I17" s="225">
        <f>VLOOKUP($F$5,'VAL 2 TRIM'!$B$9:$Z$32,5,FALSE)</f>
        <v>0</v>
      </c>
      <c r="J17" s="225"/>
      <c r="K17" s="228" t="s">
        <v>256</v>
      </c>
      <c r="L17" s="226"/>
      <c r="M17" s="226"/>
      <c r="N17" s="226"/>
      <c r="O17" s="226"/>
      <c r="P17" s="226"/>
      <c r="Q17" s="226"/>
      <c r="R17" s="226"/>
      <c r="S17" s="226"/>
      <c r="T17" s="226"/>
      <c r="U17" s="226"/>
      <c r="V17" s="226"/>
      <c r="W17" s="226"/>
      <c r="X17" s="226"/>
      <c r="Y17" s="226"/>
      <c r="Z17" s="226"/>
      <c r="AA17" s="226"/>
      <c r="AB17" s="226"/>
      <c r="AC17" s="179">
        <f t="shared" si="1"/>
        <v>1</v>
      </c>
      <c r="AD17" s="180">
        <v>1</v>
      </c>
      <c r="AE17" s="181"/>
    </row>
    <row r="18" spans="1:31" ht="15" customHeight="1" x14ac:dyDescent="0.3">
      <c r="A18" s="223" t="str">
        <f>'VAL 2 TRIM'!G$8</f>
        <v>9/08/2021(Cuestionario BD)</v>
      </c>
      <c r="B18" s="224"/>
      <c r="C18" s="224"/>
      <c r="D18" s="224"/>
      <c r="E18" s="224"/>
      <c r="F18" s="224"/>
      <c r="G18" s="224"/>
      <c r="H18" s="224"/>
      <c r="I18" s="225">
        <f>VLOOKUP($F$5,'VAL 2 TRIM'!$B$9:$Z$32,6,FALSE)</f>
        <v>0</v>
      </c>
      <c r="J18" s="225"/>
      <c r="K18" s="228" t="s">
        <v>257</v>
      </c>
      <c r="L18" s="226"/>
      <c r="M18" s="226"/>
      <c r="N18" s="226"/>
      <c r="O18" s="226"/>
      <c r="P18" s="226"/>
      <c r="Q18" s="226"/>
      <c r="R18" s="226"/>
      <c r="S18" s="226"/>
      <c r="T18" s="226"/>
      <c r="U18" s="226"/>
      <c r="V18" s="226"/>
      <c r="W18" s="226"/>
      <c r="X18" s="226"/>
      <c r="Y18" s="226"/>
      <c r="Z18" s="226"/>
      <c r="AA18" s="226"/>
      <c r="AB18" s="226"/>
      <c r="AC18" s="179">
        <f t="shared" si="1"/>
        <v>1</v>
      </c>
      <c r="AD18" s="180">
        <v>1</v>
      </c>
      <c r="AE18" s="181"/>
    </row>
    <row r="19" spans="1:31" s="161" customFormat="1" ht="15" customHeight="1" x14ac:dyDescent="0.3">
      <c r="A19" s="223" t="str">
        <f>'VAL 2 TRIM'!H$8</f>
        <v>12/08/2021(Disertacion Programa tres en raya)</v>
      </c>
      <c r="B19" s="224"/>
      <c r="C19" s="224"/>
      <c r="D19" s="224"/>
      <c r="E19" s="224"/>
      <c r="F19" s="224"/>
      <c r="G19" s="224"/>
      <c r="H19" s="224"/>
      <c r="I19" s="225">
        <f>VLOOKUP($F$5,'VAL 2 TRIM'!$B$9:$Z$32,7,FALSE)</f>
        <v>30</v>
      </c>
      <c r="J19" s="225"/>
      <c r="K19" s="226"/>
      <c r="L19" s="226"/>
      <c r="M19" s="226"/>
      <c r="N19" s="226"/>
      <c r="O19" s="226"/>
      <c r="P19" s="226"/>
      <c r="Q19" s="226"/>
      <c r="R19" s="226"/>
      <c r="S19" s="226"/>
      <c r="T19" s="226"/>
      <c r="U19" s="226"/>
      <c r="V19" s="226"/>
      <c r="W19" s="226"/>
      <c r="X19" s="226"/>
      <c r="Y19" s="226"/>
      <c r="Z19" s="226"/>
      <c r="AA19" s="226"/>
      <c r="AB19" s="226"/>
      <c r="AC19" s="179">
        <f t="shared" si="1"/>
        <v>0</v>
      </c>
      <c r="AD19" s="180">
        <v>1</v>
      </c>
      <c r="AE19" s="181"/>
    </row>
    <row r="20" spans="1:31" ht="15" customHeight="1" x14ac:dyDescent="0.3">
      <c r="A20" s="229" t="s">
        <v>83</v>
      </c>
      <c r="B20" s="227"/>
      <c r="C20" s="227"/>
      <c r="D20" s="227"/>
      <c r="E20" s="227"/>
      <c r="F20" s="227"/>
      <c r="G20" s="227"/>
      <c r="H20" s="227"/>
      <c r="I20" s="230">
        <f>SUM(I15:J19)/5</f>
        <v>6</v>
      </c>
      <c r="J20" s="230"/>
      <c r="K20" s="225"/>
      <c r="L20" s="225"/>
      <c r="M20" s="225"/>
      <c r="N20" s="225"/>
      <c r="O20" s="225"/>
      <c r="P20" s="225"/>
      <c r="Q20" s="225"/>
      <c r="R20" s="225"/>
      <c r="S20" s="225"/>
      <c r="T20" s="225"/>
      <c r="U20" s="225"/>
      <c r="V20" s="225"/>
      <c r="W20" s="225"/>
      <c r="X20" s="225"/>
      <c r="Y20" s="225"/>
      <c r="Z20" s="225"/>
      <c r="AA20" s="225"/>
      <c r="AB20" s="225"/>
      <c r="AC20" s="179">
        <f>SUM(AC15:AC19)</f>
        <v>4</v>
      </c>
      <c r="AD20" s="181"/>
      <c r="AE20" s="181"/>
    </row>
    <row r="21" spans="1:31" ht="4.1500000000000004" customHeight="1" x14ac:dyDescent="0.3">
      <c r="A21" s="174"/>
      <c r="B21" s="174"/>
      <c r="C21" s="174"/>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74"/>
      <c r="AB21" s="174"/>
    </row>
    <row r="22" spans="1:31" ht="15" customHeight="1" x14ac:dyDescent="0.3">
      <c r="A22" s="231" t="s">
        <v>240</v>
      </c>
      <c r="B22" s="231"/>
      <c r="C22" s="231"/>
      <c r="D22" s="231"/>
      <c r="E22" s="231"/>
      <c r="F22" s="231"/>
      <c r="G22" s="231"/>
      <c r="H22" s="231"/>
      <c r="I22" s="231"/>
      <c r="J22" s="231"/>
      <c r="K22" s="231"/>
      <c r="L22" s="231"/>
      <c r="M22" s="231"/>
      <c r="N22" s="231"/>
      <c r="O22" s="231"/>
      <c r="P22" s="231"/>
      <c r="Q22" s="231"/>
      <c r="R22" s="231"/>
      <c r="S22" s="231"/>
      <c r="T22" s="231"/>
      <c r="U22" s="231"/>
      <c r="V22" s="231"/>
      <c r="W22" s="231"/>
      <c r="X22" s="231"/>
      <c r="Y22" s="231"/>
      <c r="Z22" s="231"/>
      <c r="AA22" s="231"/>
      <c r="AB22" s="231"/>
    </row>
    <row r="23" spans="1:31" ht="15" customHeight="1" x14ac:dyDescent="0.3">
      <c r="A23" s="231" t="s">
        <v>237</v>
      </c>
      <c r="B23" s="231"/>
      <c r="C23" s="231"/>
      <c r="D23" s="231"/>
      <c r="E23" s="231"/>
      <c r="F23" s="231"/>
      <c r="G23" s="231"/>
      <c r="H23" s="231"/>
      <c r="I23" s="231" t="s">
        <v>238</v>
      </c>
      <c r="J23" s="231"/>
      <c r="K23" s="231" t="s">
        <v>239</v>
      </c>
      <c r="L23" s="231"/>
      <c r="M23" s="231"/>
      <c r="N23" s="231"/>
      <c r="O23" s="231"/>
      <c r="P23" s="231"/>
      <c r="Q23" s="231"/>
      <c r="R23" s="231"/>
      <c r="S23" s="231"/>
      <c r="T23" s="231"/>
      <c r="U23" s="231"/>
      <c r="V23" s="231"/>
      <c r="W23" s="231"/>
      <c r="X23" s="231"/>
      <c r="Y23" s="231"/>
      <c r="Z23" s="231"/>
      <c r="AA23" s="231"/>
      <c r="AB23" s="231"/>
    </row>
    <row r="24" spans="1:31" ht="15" customHeight="1" x14ac:dyDescent="0.3">
      <c r="A24" s="227" t="str">
        <f>'VAL 2 TRIM'!P$8</f>
        <v>24/05/2021 (Logica de Funcionamiento de juegos)</v>
      </c>
      <c r="B24" s="227"/>
      <c r="C24" s="227"/>
      <c r="D24" s="227"/>
      <c r="E24" s="227"/>
      <c r="F24" s="227"/>
      <c r="G24" s="227"/>
      <c r="H24" s="227"/>
      <c r="I24" s="225">
        <f>VLOOKUP($F$5,'VAL 2 TRIM'!$B$9:$Z$32,15,FALSE)</f>
        <v>0</v>
      </c>
      <c r="J24" s="225"/>
      <c r="K24" s="228" t="s">
        <v>258</v>
      </c>
      <c r="L24" s="232"/>
      <c r="M24" s="232"/>
      <c r="N24" s="232"/>
      <c r="O24" s="232"/>
      <c r="P24" s="232"/>
      <c r="Q24" s="232"/>
      <c r="R24" s="232"/>
      <c r="S24" s="232"/>
      <c r="T24" s="232"/>
      <c r="U24" s="232"/>
      <c r="V24" s="232"/>
      <c r="W24" s="232"/>
      <c r="X24" s="232"/>
      <c r="Y24" s="232"/>
      <c r="Z24" s="232"/>
      <c r="AA24" s="232"/>
      <c r="AB24" s="232"/>
      <c r="AC24" s="179">
        <f>IF(I24=0,1,0)</f>
        <v>1</v>
      </c>
      <c r="AD24" s="181">
        <v>1</v>
      </c>
      <c r="AE24" s="181">
        <v>1</v>
      </c>
    </row>
    <row r="25" spans="1:31" ht="15" customHeight="1" x14ac:dyDescent="0.3">
      <c r="A25" s="227" t="str">
        <f>'VAL 2 TRIM'!Q$8</f>
        <v>26/05/2021(Diseño de Interface)</v>
      </c>
      <c r="B25" s="227"/>
      <c r="C25" s="227"/>
      <c r="D25" s="227"/>
      <c r="E25" s="227"/>
      <c r="F25" s="227"/>
      <c r="G25" s="227"/>
      <c r="H25" s="227"/>
      <c r="I25" s="225">
        <f>VLOOKUP($F$5,'VAL 2 TRIM'!$B$9:$Z$32,16,FALSE)</f>
        <v>0</v>
      </c>
      <c r="J25" s="225"/>
      <c r="K25" s="228" t="s">
        <v>259</v>
      </c>
      <c r="L25" s="232"/>
      <c r="M25" s="232"/>
      <c r="N25" s="232"/>
      <c r="O25" s="232"/>
      <c r="P25" s="232"/>
      <c r="Q25" s="232"/>
      <c r="R25" s="232"/>
      <c r="S25" s="232"/>
      <c r="T25" s="232"/>
      <c r="U25" s="232"/>
      <c r="V25" s="232"/>
      <c r="W25" s="232"/>
      <c r="X25" s="232"/>
      <c r="Y25" s="232"/>
      <c r="Z25" s="232"/>
      <c r="AA25" s="232"/>
      <c r="AB25" s="232"/>
      <c r="AC25" s="179">
        <f t="shared" ref="AC25:AC32" si="2">IF(I25=0,1,0)</f>
        <v>1</v>
      </c>
      <c r="AD25" s="181">
        <v>1</v>
      </c>
      <c r="AE25" s="181">
        <v>1</v>
      </c>
    </row>
    <row r="26" spans="1:31" ht="15" customHeight="1" x14ac:dyDescent="0.3">
      <c r="A26" s="227" t="str">
        <f>'VAL 2 TRIM'!R$8</f>
        <v>05/07/2021(Imágenes Juego Ahorcado)</v>
      </c>
      <c r="B26" s="227"/>
      <c r="C26" s="227"/>
      <c r="D26" s="227"/>
      <c r="E26" s="227"/>
      <c r="F26" s="227"/>
      <c r="G26" s="227"/>
      <c r="H26" s="227"/>
      <c r="I26" s="225">
        <f>VLOOKUP($F$5,'VAL 2 TRIM'!$B$9:$Z$32,17,FALSE)</f>
        <v>0</v>
      </c>
      <c r="J26" s="225"/>
      <c r="K26" s="228" t="s">
        <v>260</v>
      </c>
      <c r="L26" s="232"/>
      <c r="M26" s="232"/>
      <c r="N26" s="232"/>
      <c r="O26" s="232"/>
      <c r="P26" s="232"/>
      <c r="Q26" s="232"/>
      <c r="R26" s="232"/>
      <c r="S26" s="232"/>
      <c r="T26" s="232"/>
      <c r="U26" s="232"/>
      <c r="V26" s="232"/>
      <c r="W26" s="232"/>
      <c r="X26" s="232"/>
      <c r="Y26" s="232"/>
      <c r="Z26" s="232"/>
      <c r="AA26" s="232"/>
      <c r="AB26" s="232"/>
      <c r="AC26" s="179">
        <f t="shared" si="2"/>
        <v>1</v>
      </c>
      <c r="AD26" s="179">
        <v>1</v>
      </c>
      <c r="AE26" s="181">
        <v>1</v>
      </c>
    </row>
    <row r="27" spans="1:31" ht="15" customHeight="1" x14ac:dyDescent="0.3">
      <c r="A27" s="249" t="str">
        <f>'VAL 2 TRIM'!S$8</f>
        <v>07/07/2021(Diseño de Botones)</v>
      </c>
      <c r="B27" s="227"/>
      <c r="C27" s="227"/>
      <c r="D27" s="227"/>
      <c r="E27" s="227"/>
      <c r="F27" s="227"/>
      <c r="G27" s="227"/>
      <c r="H27" s="227"/>
      <c r="I27" s="225">
        <f>VLOOKUP($F$5,'VAL 2 TRIM'!$B$9:$Z$32,18,FALSE)</f>
        <v>0</v>
      </c>
      <c r="J27" s="225"/>
      <c r="K27" s="228" t="s">
        <v>261</v>
      </c>
      <c r="L27" s="226"/>
      <c r="M27" s="226"/>
      <c r="N27" s="226"/>
      <c r="O27" s="226"/>
      <c r="P27" s="226"/>
      <c r="Q27" s="226"/>
      <c r="R27" s="226"/>
      <c r="S27" s="226"/>
      <c r="T27" s="226"/>
      <c r="U27" s="226"/>
      <c r="V27" s="226"/>
      <c r="W27" s="226"/>
      <c r="X27" s="226"/>
      <c r="Y27" s="226"/>
      <c r="Z27" s="226"/>
      <c r="AA27" s="226"/>
      <c r="AB27" s="226"/>
      <c r="AC27" s="179">
        <f t="shared" si="2"/>
        <v>1</v>
      </c>
      <c r="AD27" s="179">
        <v>1</v>
      </c>
      <c r="AE27" s="181"/>
    </row>
    <row r="28" spans="1:31" ht="15" customHeight="1" x14ac:dyDescent="0.3">
      <c r="A28" s="227" t="str">
        <f>'VAL 2 TRIM'!T$8</f>
        <v>14/07/2021(Diagrama de Flujo)</v>
      </c>
      <c r="B28" s="227"/>
      <c r="C28" s="227"/>
      <c r="D28" s="227"/>
      <c r="E28" s="227"/>
      <c r="F28" s="227"/>
      <c r="G28" s="227"/>
      <c r="H28" s="227"/>
      <c r="I28" s="225">
        <f>VLOOKUP($F$5,'VAL 2 TRIM'!$B$9:$Z$32,19,FALSE)</f>
        <v>0</v>
      </c>
      <c r="J28" s="225"/>
      <c r="K28" s="228" t="s">
        <v>262</v>
      </c>
      <c r="L28" s="226"/>
      <c r="M28" s="226"/>
      <c r="N28" s="226"/>
      <c r="O28" s="226"/>
      <c r="P28" s="226"/>
      <c r="Q28" s="226"/>
      <c r="R28" s="226"/>
      <c r="S28" s="226"/>
      <c r="T28" s="226"/>
      <c r="U28" s="226"/>
      <c r="V28" s="226"/>
      <c r="W28" s="226"/>
      <c r="X28" s="226"/>
      <c r="Y28" s="226"/>
      <c r="Z28" s="226"/>
      <c r="AA28" s="226"/>
      <c r="AB28" s="226"/>
      <c r="AC28" s="179">
        <f t="shared" si="2"/>
        <v>1</v>
      </c>
      <c r="AD28" s="182">
        <v>1</v>
      </c>
      <c r="AE28" s="183">
        <f>SUM(AE15:AE26)</f>
        <v>5</v>
      </c>
    </row>
    <row r="29" spans="1:31" s="161" customFormat="1" ht="15" customHeight="1" x14ac:dyDescent="0.3">
      <c r="A29" s="227" t="str">
        <f>'VAL 2 TRIM'!U$8</f>
        <v>19/07/2021(Funcion)</v>
      </c>
      <c r="B29" s="227"/>
      <c r="C29" s="227"/>
      <c r="D29" s="227"/>
      <c r="E29" s="227"/>
      <c r="F29" s="227"/>
      <c r="G29" s="227"/>
      <c r="H29" s="227"/>
      <c r="I29" s="225">
        <f>VLOOKUP($F$5,'VAL 2 TRIM'!$B$9:$Z$32,20,FALSE)</f>
        <v>0</v>
      </c>
      <c r="J29" s="225"/>
      <c r="K29" s="228" t="s">
        <v>263</v>
      </c>
      <c r="L29" s="226"/>
      <c r="M29" s="226"/>
      <c r="N29" s="226"/>
      <c r="O29" s="226"/>
      <c r="P29" s="226"/>
      <c r="Q29" s="226"/>
      <c r="R29" s="226"/>
      <c r="S29" s="226"/>
      <c r="T29" s="226"/>
      <c r="U29" s="226"/>
      <c r="V29" s="226"/>
      <c r="W29" s="226"/>
      <c r="X29" s="226"/>
      <c r="Y29" s="226"/>
      <c r="Z29" s="226"/>
      <c r="AA29" s="226"/>
      <c r="AB29" s="226"/>
      <c r="AC29" s="179">
        <f t="shared" si="2"/>
        <v>1</v>
      </c>
      <c r="AD29" s="179">
        <v>1</v>
      </c>
      <c r="AE29" s="181"/>
    </row>
    <row r="30" spans="1:31" s="161" customFormat="1" ht="15" customHeight="1" x14ac:dyDescent="0.3">
      <c r="A30" s="227" t="str">
        <f>'VAL 2 TRIM'!V$8</f>
        <v>28/07/2021(Base de datos Access)</v>
      </c>
      <c r="B30" s="227"/>
      <c r="C30" s="227"/>
      <c r="D30" s="227"/>
      <c r="E30" s="227"/>
      <c r="F30" s="227"/>
      <c r="G30" s="227"/>
      <c r="H30" s="227"/>
      <c r="I30" s="225">
        <f>VLOOKUP($F$5,'VAL 2 TRIM'!$B$9:$Z$32,21,FALSE)</f>
        <v>0</v>
      </c>
      <c r="J30" s="225"/>
      <c r="K30" s="228" t="s">
        <v>264</v>
      </c>
      <c r="L30" s="226"/>
      <c r="M30" s="226"/>
      <c r="N30" s="226"/>
      <c r="O30" s="226"/>
      <c r="P30" s="226"/>
      <c r="Q30" s="226"/>
      <c r="R30" s="226"/>
      <c r="S30" s="226"/>
      <c r="T30" s="226"/>
      <c r="U30" s="226"/>
      <c r="V30" s="226"/>
      <c r="W30" s="226"/>
      <c r="X30" s="226"/>
      <c r="Y30" s="226"/>
      <c r="Z30" s="226"/>
      <c r="AA30" s="226"/>
      <c r="AB30" s="226"/>
      <c r="AC30" s="179">
        <f t="shared" si="2"/>
        <v>1</v>
      </c>
      <c r="AD30" s="179">
        <v>1</v>
      </c>
      <c r="AE30" s="184"/>
    </row>
    <row r="31" spans="1:31" s="161" customFormat="1" ht="15" customHeight="1" x14ac:dyDescent="0.3">
      <c r="A31" s="227" t="str">
        <f>'VAL 2 TRIM'!W$8</f>
        <v>09/08/2021(CRUD)</v>
      </c>
      <c r="B31" s="227"/>
      <c r="C31" s="227"/>
      <c r="D31" s="227"/>
      <c r="E31" s="227"/>
      <c r="F31" s="227"/>
      <c r="G31" s="227"/>
      <c r="H31" s="227"/>
      <c r="I31" s="225">
        <f>VLOOKUP($F$5,'VAL 2 TRIM'!$B$9:$Z$32,22,FALSE)</f>
        <v>0</v>
      </c>
      <c r="J31" s="225"/>
      <c r="K31" s="228" t="s">
        <v>265</v>
      </c>
      <c r="L31" s="226"/>
      <c r="M31" s="226"/>
      <c r="N31" s="226"/>
      <c r="O31" s="226"/>
      <c r="P31" s="226"/>
      <c r="Q31" s="226"/>
      <c r="R31" s="226"/>
      <c r="S31" s="226"/>
      <c r="T31" s="226"/>
      <c r="U31" s="226"/>
      <c r="V31" s="226"/>
      <c r="W31" s="226"/>
      <c r="X31" s="226"/>
      <c r="Y31" s="226"/>
      <c r="Z31" s="226"/>
      <c r="AA31" s="226"/>
      <c r="AB31" s="226"/>
      <c r="AC31" s="179">
        <f t="shared" si="2"/>
        <v>1</v>
      </c>
      <c r="AD31" s="179">
        <v>1</v>
      </c>
      <c r="AE31" s="184"/>
    </row>
    <row r="32" spans="1:31" ht="15" customHeight="1" x14ac:dyDescent="0.3">
      <c r="A32" s="227" t="str">
        <f>'VAL 2 TRIM'!X$8</f>
        <v>12/08/2021 (Trabajo 3 en Raya)</v>
      </c>
      <c r="B32" s="227"/>
      <c r="C32" s="227"/>
      <c r="D32" s="227"/>
      <c r="E32" s="227"/>
      <c r="F32" s="227"/>
      <c r="G32" s="227"/>
      <c r="H32" s="227"/>
      <c r="I32" s="225">
        <f>VLOOKUP($F$5,'VAL 2 TRIM'!$B$9:$Z$32,23,FALSE)</f>
        <v>25</v>
      </c>
      <c r="J32" s="225"/>
      <c r="K32" s="253"/>
      <c r="L32" s="254"/>
      <c r="M32" s="254"/>
      <c r="N32" s="254"/>
      <c r="O32" s="254"/>
      <c r="P32" s="254"/>
      <c r="Q32" s="254"/>
      <c r="R32" s="254"/>
      <c r="S32" s="254"/>
      <c r="T32" s="254"/>
      <c r="U32" s="254"/>
      <c r="V32" s="254"/>
      <c r="W32" s="254"/>
      <c r="X32" s="254"/>
      <c r="Y32" s="254"/>
      <c r="Z32" s="254"/>
      <c r="AA32" s="254"/>
      <c r="AB32" s="254"/>
      <c r="AC32" s="179">
        <f t="shared" si="2"/>
        <v>0</v>
      </c>
      <c r="AD32" s="179">
        <v>1</v>
      </c>
      <c r="AE32" s="184"/>
    </row>
    <row r="33" spans="1:31" ht="15" customHeight="1" x14ac:dyDescent="0.3">
      <c r="A33" s="229" t="s">
        <v>83</v>
      </c>
      <c r="B33" s="227"/>
      <c r="C33" s="227"/>
      <c r="D33" s="227"/>
      <c r="E33" s="227"/>
      <c r="F33" s="227"/>
      <c r="G33" s="227"/>
      <c r="H33" s="227"/>
      <c r="I33" s="230">
        <f>SUM(I24:J32)/9</f>
        <v>2.7777777777777777</v>
      </c>
      <c r="J33" s="230"/>
      <c r="K33" s="250"/>
      <c r="L33" s="250"/>
      <c r="M33" s="250"/>
      <c r="N33" s="250"/>
      <c r="O33" s="250"/>
      <c r="P33" s="250"/>
      <c r="Q33" s="250"/>
      <c r="R33" s="250"/>
      <c r="S33" s="250"/>
      <c r="T33" s="250"/>
      <c r="U33" s="250"/>
      <c r="V33" s="250"/>
      <c r="W33" s="250"/>
      <c r="X33" s="250"/>
      <c r="Y33" s="250"/>
      <c r="Z33" s="250"/>
      <c r="AA33" s="250"/>
      <c r="AB33" s="250"/>
      <c r="AC33" s="185">
        <f>SUM(AC24:AC32)</f>
        <v>8</v>
      </c>
      <c r="AD33" s="190">
        <f>SUM(AD15:AD32)</f>
        <v>14</v>
      </c>
      <c r="AE33" s="184"/>
    </row>
    <row r="34" spans="1:31" x14ac:dyDescent="0.3">
      <c r="A34" s="251" t="str">
        <f>IF(AC34&gt;0,CONCATENATE("Observaciones:El estudiante  ",F5,"  durante el segundo trimestre tuvo ",V11," Asistencias, ",W11," Faltas, ",X11," Retrasos, ",Y11," Licencias,  Total de Dias Trabajados ",Z11,", En relacion a las practicas",IF(AC34&gt;0,CONCATENATE(" No presentó ",AC34," Practicas"),"Presentó todo")," de las ",AD33,"  tareas (El estudiante puede presentar practicas por una ponderacion de 20 puntos)"),"Observaciones: Ninguna")</f>
        <v>Observaciones:El estudiante  ADRIAN FLORES EDDY BEYMAR  durante el segundo trimestre tuvo 11 Asistencias, 11 Faltas, 0 Retrasos, 0 Licencias,  Total de Dias Trabajados 22, En relacion a las practicas No presentó 12 Practicas de las 14  tareas (El estudiante puede presentar practicas por una ponderacion de 20 puntos)</v>
      </c>
      <c r="B34" s="251"/>
      <c r="C34" s="251"/>
      <c r="D34" s="251"/>
      <c r="E34" s="251"/>
      <c r="F34" s="251"/>
      <c r="G34" s="251"/>
      <c r="H34" s="251"/>
      <c r="I34" s="251"/>
      <c r="J34" s="251"/>
      <c r="K34" s="251"/>
      <c r="L34" s="251"/>
      <c r="M34" s="251"/>
      <c r="N34" s="251"/>
      <c r="O34" s="251"/>
      <c r="P34" s="251"/>
      <c r="Q34" s="251"/>
      <c r="R34" s="251"/>
      <c r="S34" s="251"/>
      <c r="T34" s="251"/>
      <c r="U34" s="251"/>
      <c r="V34" s="251"/>
      <c r="W34" s="251"/>
      <c r="X34" s="251"/>
      <c r="Y34" s="251"/>
      <c r="Z34" s="251"/>
      <c r="AA34" s="251"/>
      <c r="AB34" s="251"/>
      <c r="AC34" s="179">
        <f>AC20+AC33</f>
        <v>12</v>
      </c>
    </row>
    <row r="35" spans="1:31" x14ac:dyDescent="0.3">
      <c r="A35" s="252"/>
      <c r="B35" s="252"/>
      <c r="C35" s="252"/>
      <c r="D35" s="252"/>
      <c r="E35" s="252"/>
      <c r="F35" s="252"/>
      <c r="G35" s="252"/>
      <c r="H35" s="252"/>
      <c r="I35" s="252"/>
      <c r="J35" s="252"/>
      <c r="K35" s="252"/>
      <c r="L35" s="252"/>
      <c r="M35" s="252"/>
      <c r="N35" s="252"/>
      <c r="O35" s="252"/>
      <c r="P35" s="252"/>
      <c r="Q35" s="252"/>
      <c r="R35" s="252"/>
      <c r="S35" s="252"/>
      <c r="T35" s="252"/>
      <c r="U35" s="252"/>
      <c r="V35" s="252"/>
      <c r="W35" s="252"/>
      <c r="X35" s="252"/>
      <c r="Y35" s="252"/>
      <c r="Z35" s="252"/>
      <c r="AA35" s="252"/>
      <c r="AB35" s="252"/>
    </row>
    <row r="36" spans="1:31" x14ac:dyDescent="0.3">
      <c r="A36" s="174"/>
      <c r="B36" s="174"/>
      <c r="C36" s="174"/>
      <c r="D36" s="174"/>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row>
    <row r="37" spans="1:31" x14ac:dyDescent="0.3">
      <c r="A37" s="174"/>
      <c r="B37" s="174"/>
      <c r="C37" s="174"/>
      <c r="D37" s="174"/>
      <c r="E37" s="174"/>
      <c r="F37" s="174"/>
      <c r="G37" s="174"/>
      <c r="H37" s="174"/>
      <c r="I37" s="174"/>
      <c r="J37" s="174"/>
      <c r="K37" s="174"/>
      <c r="L37" s="174"/>
      <c r="M37" s="174"/>
      <c r="N37" s="174"/>
      <c r="O37" s="174"/>
      <c r="P37" s="174"/>
      <c r="Q37" s="174"/>
      <c r="R37" s="174"/>
      <c r="S37" s="174"/>
      <c r="T37" s="174"/>
      <c r="U37" s="174"/>
      <c r="V37" s="174"/>
      <c r="W37" s="174"/>
      <c r="X37" s="174"/>
      <c r="Y37" s="174"/>
      <c r="Z37" s="174"/>
      <c r="AA37" s="174"/>
      <c r="AB37" s="174"/>
    </row>
    <row r="38" spans="1:31" x14ac:dyDescent="0.3">
      <c r="A38" s="174"/>
      <c r="B38" s="174"/>
      <c r="C38" s="174"/>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row>
    <row r="39" spans="1:31" x14ac:dyDescent="0.3">
      <c r="A39" s="174"/>
      <c r="B39" s="174"/>
      <c r="C39" s="174"/>
      <c r="D39" s="174"/>
      <c r="E39" s="174"/>
      <c r="F39" s="174"/>
      <c r="G39" s="174"/>
      <c r="H39" s="174"/>
      <c r="I39" s="174"/>
      <c r="J39" s="174"/>
      <c r="K39" s="174"/>
      <c r="L39" s="174"/>
      <c r="M39" s="174"/>
      <c r="N39" s="174"/>
      <c r="O39" s="174"/>
      <c r="P39" s="174"/>
      <c r="Q39" s="174"/>
      <c r="R39" s="174"/>
      <c r="S39" s="174"/>
      <c r="T39" s="174"/>
      <c r="U39" s="174"/>
      <c r="V39" s="174"/>
      <c r="W39" s="174"/>
      <c r="X39" s="174"/>
      <c r="Y39" s="174"/>
      <c r="Z39" s="174"/>
      <c r="AA39" s="174"/>
      <c r="AB39" s="174"/>
    </row>
  </sheetData>
  <mergeCells count="70">
    <mergeCell ref="A34:AB35"/>
    <mergeCell ref="A28:H28"/>
    <mergeCell ref="I28:J28"/>
    <mergeCell ref="K28:AB28"/>
    <mergeCell ref="A32:H32"/>
    <mergeCell ref="I32:J32"/>
    <mergeCell ref="K32:AB32"/>
    <mergeCell ref="A30:H30"/>
    <mergeCell ref="I30:J30"/>
    <mergeCell ref="K30:AB30"/>
    <mergeCell ref="A31:H31"/>
    <mergeCell ref="I31:J31"/>
    <mergeCell ref="K31:AB31"/>
    <mergeCell ref="A27:H27"/>
    <mergeCell ref="I27:J27"/>
    <mergeCell ref="K27:AB27"/>
    <mergeCell ref="A33:H33"/>
    <mergeCell ref="I33:J33"/>
    <mergeCell ref="K33:AB33"/>
    <mergeCell ref="A25:H25"/>
    <mergeCell ref="I25:J25"/>
    <mergeCell ref="K25:AB25"/>
    <mergeCell ref="A26:H26"/>
    <mergeCell ref="I26:J26"/>
    <mergeCell ref="K26:AB26"/>
    <mergeCell ref="A17:H17"/>
    <mergeCell ref="I17:J17"/>
    <mergeCell ref="K17:AB17"/>
    <mergeCell ref="A18:H18"/>
    <mergeCell ref="I18:J18"/>
    <mergeCell ref="K18:AB18"/>
    <mergeCell ref="A15:H15"/>
    <mergeCell ref="I15:J15"/>
    <mergeCell ref="K15:AB15"/>
    <mergeCell ref="A16:H16"/>
    <mergeCell ref="I16:J16"/>
    <mergeCell ref="K16:AB16"/>
    <mergeCell ref="A6:E6"/>
    <mergeCell ref="F6:Z6"/>
    <mergeCell ref="A8:AB8"/>
    <mergeCell ref="A13:AB13"/>
    <mergeCell ref="A14:H14"/>
    <mergeCell ref="I14:J14"/>
    <mergeCell ref="K14:AB14"/>
    <mergeCell ref="AA6:AB6"/>
    <mergeCell ref="A2:AB2"/>
    <mergeCell ref="A4:E4"/>
    <mergeCell ref="F4:N4"/>
    <mergeCell ref="O4:Q4"/>
    <mergeCell ref="R4:Z4"/>
    <mergeCell ref="AA4:AA5"/>
    <mergeCell ref="AB4:AB5"/>
    <mergeCell ref="A5:E5"/>
    <mergeCell ref="F5:Z5"/>
    <mergeCell ref="A19:H19"/>
    <mergeCell ref="I19:J19"/>
    <mergeCell ref="K19:AB19"/>
    <mergeCell ref="A29:H29"/>
    <mergeCell ref="I29:J29"/>
    <mergeCell ref="K29:AB29"/>
    <mergeCell ref="A20:H20"/>
    <mergeCell ref="I20:J20"/>
    <mergeCell ref="K20:AB20"/>
    <mergeCell ref="A22:AB22"/>
    <mergeCell ref="A23:H23"/>
    <mergeCell ref="I23:J23"/>
    <mergeCell ref="K23:AB23"/>
    <mergeCell ref="A24:H24"/>
    <mergeCell ref="I24:J24"/>
    <mergeCell ref="K24:AB24"/>
  </mergeCells>
  <hyperlinks>
    <hyperlink ref="K15" r:id="rId1" xr:uid="{1E712F07-E716-4479-8499-0AB609575100}"/>
    <hyperlink ref="K17" r:id="rId2" xr:uid="{B4DF9C02-5CAA-4EFC-981C-F5066B52D18E}"/>
    <hyperlink ref="K18" r:id="rId3" xr:uid="{19FD7E0B-6FFC-47AA-8C94-CD0A5904A464}"/>
    <hyperlink ref="K24" r:id="rId4" xr:uid="{E6B31439-F283-4E0E-8633-71C71F3031E0}"/>
    <hyperlink ref="K25" r:id="rId5" xr:uid="{DBEF01F0-BF6C-459A-8285-3C01BD95D64F}"/>
    <hyperlink ref="K26" r:id="rId6" xr:uid="{5641170D-A95B-4F77-9777-0BC89D027D35}"/>
    <hyperlink ref="K27" r:id="rId7" xr:uid="{4FCF198F-84C7-48D5-B7D1-80A5958496D3}"/>
    <hyperlink ref="K28" r:id="rId8" xr:uid="{CBB60202-E60C-411F-9CFC-A5DFFC378E05}"/>
    <hyperlink ref="K29" r:id="rId9" xr:uid="{9D5023F1-1E56-4446-AA52-8D674013C93E}"/>
    <hyperlink ref="K30" r:id="rId10" xr:uid="{202617A6-7CAB-4E32-A636-84695399EA35}"/>
    <hyperlink ref="K31" r:id="rId11" xr:uid="{83E67457-F57B-4EE7-AB24-DF6CABD948FD}"/>
  </hyperlinks>
  <pageMargins left="1.4173228346456694" right="0.23622047244094491" top="0.74803149606299213" bottom="0.74803149606299213" header="0" footer="0"/>
  <pageSetup scale="15" orientation="landscape" r:id="rId12"/>
  <drawing r:id="rId13"/>
  <extLst>
    <ext xmlns:x14="http://schemas.microsoft.com/office/spreadsheetml/2009/9/main" uri="{CCE6A557-97BC-4b89-ADB6-D9C93CAAB3DF}">
      <x14:dataValidations xmlns:xm="http://schemas.microsoft.com/office/excel/2006/main" count="1">
        <x14:dataValidation type="list" allowBlank="1" showInputMessage="1" showErrorMessage="1" xr:uid="{8CAFB3B1-1E87-4B6E-928F-AFA58D18C5ED}">
          <x14:formula1>
            <xm:f>'C. FILIACION'!$B$8:$B$26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8" t="s">
        <v>73</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09">
        <f>CARÁTULA!$H$24</f>
        <v>44440</v>
      </c>
      <c r="AU3" s="204"/>
      <c r="AV3" s="204"/>
      <c r="AW3" s="204"/>
      <c r="AX3" s="204"/>
      <c r="AY3" s="204"/>
      <c r="AZ3" s="204"/>
      <c r="BA3" s="255"/>
      <c r="BB3" s="204"/>
      <c r="BC3" s="204"/>
      <c r="BD3" s="204"/>
      <c r="BE3" s="20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9">
        <f>CARÁTULA!$J$24</f>
        <v>44531</v>
      </c>
      <c r="AU4" s="204"/>
      <c r="AV4" s="204"/>
      <c r="AW4" s="204"/>
      <c r="AX4" s="204"/>
      <c r="AY4" s="204"/>
      <c r="AZ4" s="204"/>
      <c r="BA4" s="256">
        <f ca="1">AT4-AT5</f>
        <v>105</v>
      </c>
      <c r="BB4" s="214"/>
      <c r="BC4" s="214"/>
      <c r="BD4" s="214"/>
      <c r="BE4" s="215"/>
    </row>
    <row r="5" spans="1:61" ht="12.75" customHeight="1" x14ac:dyDescent="0.3">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22">
        <f ca="1">TODAY()</f>
        <v>44426</v>
      </c>
      <c r="Y5" s="204"/>
      <c r="Z5" s="204"/>
      <c r="AA5" s="204"/>
      <c r="AB5" s="204"/>
      <c r="AC5" s="204"/>
      <c r="AD5" s="40"/>
      <c r="AE5" s="40"/>
      <c r="AF5" s="40"/>
      <c r="AG5" s="40"/>
      <c r="AH5" s="40"/>
      <c r="AI5" s="40"/>
      <c r="AJ5" s="40"/>
      <c r="AK5" s="45" t="s">
        <v>54</v>
      </c>
      <c r="AL5" s="46"/>
      <c r="AM5" s="46"/>
      <c r="AN5" s="46"/>
      <c r="AO5" s="46"/>
      <c r="AP5" s="46"/>
      <c r="AQ5" s="46"/>
      <c r="AR5" s="40"/>
      <c r="AS5" s="40"/>
      <c r="AT5" s="220">
        <f ca="1">TODAY()</f>
        <v>44426</v>
      </c>
      <c r="AU5" s="204"/>
      <c r="AV5" s="204"/>
      <c r="AW5" s="204"/>
      <c r="AX5" s="204"/>
      <c r="AY5" s="204"/>
      <c r="AZ5" s="204"/>
      <c r="BA5" s="216"/>
      <c r="BB5" s="217"/>
      <c r="BC5" s="217"/>
      <c r="BD5" s="217"/>
      <c r="BE5" s="21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55</v>
      </c>
      <c r="B7" s="49" t="s">
        <v>56</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74</v>
      </c>
      <c r="BB7" s="57" t="s">
        <v>75</v>
      </c>
      <c r="BC7" s="57" t="s">
        <v>76</v>
      </c>
      <c r="BD7" s="57" t="s">
        <v>77</v>
      </c>
      <c r="BE7" s="58" t="s">
        <v>61</v>
      </c>
    </row>
    <row r="8" spans="1:61" ht="12" customHeight="1" x14ac:dyDescent="0.3">
      <c r="A8" s="59">
        <v>1</v>
      </c>
      <c r="B8" s="60" t="str">
        <f>'C. FILIACION'!B8</f>
        <v>ALTAMIRANO RAMOS ESTEFANI MILENKA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72</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3">
      <c r="A9" s="59">
        <v>2</v>
      </c>
      <c r="B9" s="60" t="str">
        <f>'C. FILIACION'!B9</f>
        <v>APAZA LINO TATIANA JAZMIN</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3">
      <c r="A10" s="59">
        <v>3</v>
      </c>
      <c r="B10" s="60" t="str">
        <f>'C. FILIACION'!B10</f>
        <v>BOLAÑOS OVANDO MIJHAIL ALEXANDER</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3">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3">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3">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3">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2" t="s">
        <v>78</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60" t="s">
        <v>50</v>
      </c>
      <c r="AD3" s="258"/>
      <c r="AE3" s="258"/>
      <c r="AF3" s="258"/>
      <c r="AG3" s="258"/>
      <c r="AH3" s="259"/>
      <c r="AI3" s="222">
        <f>CARÁTULA!$H$14</f>
        <v>44228</v>
      </c>
      <c r="AJ3" s="204"/>
      <c r="AK3" s="204"/>
      <c r="AL3" s="204"/>
      <c r="AM3" s="204"/>
      <c r="AN3" s="263" t="s">
        <v>51</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60" t="s">
        <v>53</v>
      </c>
      <c r="AD4" s="258"/>
      <c r="AE4" s="258"/>
      <c r="AF4" s="258"/>
      <c r="AG4" s="258"/>
      <c r="AH4" s="259"/>
      <c r="AI4" s="222">
        <f>CARÁTULA!$J$14</f>
        <v>44323</v>
      </c>
      <c r="AJ4" s="204"/>
      <c r="AK4" s="204"/>
      <c r="AL4" s="204"/>
      <c r="AM4" s="204"/>
      <c r="AN4" s="256">
        <f ca="1">AI4-AI5</f>
        <v>-103</v>
      </c>
      <c r="AO4" s="214"/>
      <c r="AP4" s="214"/>
      <c r="AQ4" s="214"/>
      <c r="AR4" s="215"/>
    </row>
    <row r="5" spans="1:48" ht="12.75" customHeight="1" x14ac:dyDescent="0.35">
      <c r="A5" s="71"/>
      <c r="B5" s="74" t="s">
        <v>22</v>
      </c>
      <c r="C5" s="75" t="str">
        <f>CARÁTULA!$C$23</f>
        <v>6to de Secundaria</v>
      </c>
      <c r="D5" s="76"/>
      <c r="E5" s="76"/>
      <c r="F5" s="76"/>
      <c r="G5" s="74"/>
      <c r="H5" s="74"/>
      <c r="I5" s="74"/>
      <c r="J5" s="74"/>
      <c r="K5" s="74"/>
      <c r="L5" s="74"/>
      <c r="M5" s="74"/>
      <c r="N5" s="74"/>
      <c r="O5" s="77" t="s">
        <v>23</v>
      </c>
      <c r="P5" s="79"/>
      <c r="Q5" s="79"/>
      <c r="R5" s="79"/>
      <c r="S5" s="268">
        <f ca="1">TODAY()</f>
        <v>44426</v>
      </c>
      <c r="T5" s="195"/>
      <c r="U5" s="195"/>
      <c r="V5" s="195"/>
      <c r="W5" s="195"/>
      <c r="X5" s="195"/>
      <c r="Y5" s="195"/>
      <c r="Z5" s="195"/>
      <c r="AA5" s="196"/>
      <c r="AB5" s="76"/>
      <c r="AC5" s="261" t="s">
        <v>54</v>
      </c>
      <c r="AD5" s="258"/>
      <c r="AE5" s="258"/>
      <c r="AF5" s="258"/>
      <c r="AG5" s="258"/>
      <c r="AH5" s="259"/>
      <c r="AI5" s="264">
        <f ca="1">TODAY()</f>
        <v>44426</v>
      </c>
      <c r="AJ5" s="204"/>
      <c r="AK5" s="204"/>
      <c r="AL5" s="204"/>
      <c r="AM5" s="204"/>
      <c r="AN5" s="216"/>
      <c r="AO5" s="217"/>
      <c r="AP5" s="217"/>
      <c r="AQ5" s="217"/>
      <c r="AR5" s="218"/>
    </row>
    <row r="6" spans="1:48" ht="12.75" customHeight="1" x14ac:dyDescent="0.35">
      <c r="A6" s="71"/>
      <c r="B6" s="74"/>
      <c r="C6" s="210" t="s">
        <v>79</v>
      </c>
      <c r="D6" s="211"/>
      <c r="E6" s="211"/>
      <c r="F6" s="211"/>
      <c r="G6" s="211"/>
      <c r="H6" s="211"/>
      <c r="I6" s="211"/>
      <c r="J6" s="211"/>
      <c r="K6" s="211"/>
      <c r="L6" s="211"/>
      <c r="M6" s="211"/>
      <c r="N6" s="211"/>
      <c r="O6" s="211"/>
      <c r="P6" s="211"/>
      <c r="Q6" s="211"/>
      <c r="R6" s="211"/>
      <c r="S6" s="211"/>
      <c r="T6" s="211"/>
      <c r="U6" s="211"/>
      <c r="V6" s="211"/>
      <c r="W6" s="211"/>
      <c r="X6" s="211"/>
      <c r="Y6" s="211"/>
      <c r="Z6" s="211"/>
      <c r="AA6" s="212"/>
      <c r="AB6" s="269" t="s">
        <v>80</v>
      </c>
      <c r="AC6" s="258"/>
      <c r="AD6" s="258"/>
      <c r="AE6" s="259"/>
      <c r="AF6" s="80"/>
      <c r="AG6" s="81"/>
      <c r="AH6" s="81"/>
      <c r="AI6" s="82"/>
      <c r="AJ6" s="83"/>
      <c r="AK6" s="83"/>
      <c r="AL6" s="83"/>
      <c r="AM6" s="83"/>
      <c r="AN6" s="84"/>
      <c r="AO6" s="84"/>
      <c r="AP6" s="84"/>
      <c r="AQ6" s="84"/>
      <c r="AR6" s="84"/>
    </row>
    <row r="7" spans="1:48" ht="12" customHeight="1" x14ac:dyDescent="0.35">
      <c r="A7" s="71"/>
      <c r="B7" s="85"/>
      <c r="C7" s="270" t="s">
        <v>81</v>
      </c>
      <c r="D7" s="271" t="s">
        <v>82</v>
      </c>
      <c r="E7" s="258"/>
      <c r="F7" s="258"/>
      <c r="G7" s="258"/>
      <c r="H7" s="258"/>
      <c r="I7" s="258"/>
      <c r="J7" s="258"/>
      <c r="K7" s="258"/>
      <c r="L7" s="258"/>
      <c r="M7" s="258"/>
      <c r="N7" s="258"/>
      <c r="O7" s="267" t="s">
        <v>83</v>
      </c>
      <c r="P7" s="271" t="s">
        <v>84</v>
      </c>
      <c r="Q7" s="258"/>
      <c r="R7" s="258"/>
      <c r="S7" s="258"/>
      <c r="T7" s="258"/>
      <c r="U7" s="258"/>
      <c r="V7" s="258"/>
      <c r="W7" s="258"/>
      <c r="X7" s="258"/>
      <c r="Y7" s="258"/>
      <c r="Z7" s="258"/>
      <c r="AA7" s="265" t="s">
        <v>85</v>
      </c>
      <c r="AB7" s="267" t="s">
        <v>83</v>
      </c>
      <c r="AC7" s="265" t="s">
        <v>86</v>
      </c>
      <c r="AD7" s="265" t="s">
        <v>87</v>
      </c>
      <c r="AE7" s="267" t="s">
        <v>83</v>
      </c>
      <c r="AF7" s="272" t="s">
        <v>88</v>
      </c>
      <c r="AG7" s="273" t="s">
        <v>89</v>
      </c>
      <c r="AH7" s="274" t="s">
        <v>90</v>
      </c>
      <c r="AI7" s="211"/>
      <c r="AJ7" s="211"/>
      <c r="AK7" s="211"/>
      <c r="AL7" s="211"/>
      <c r="AM7" s="212"/>
      <c r="AN7" s="86"/>
      <c r="AO7" s="76"/>
      <c r="AP7" s="76"/>
      <c r="AQ7" s="76"/>
      <c r="AR7" s="71"/>
    </row>
    <row r="8" spans="1:48" ht="159.75" x14ac:dyDescent="0.3">
      <c r="A8" s="48" t="s">
        <v>55</v>
      </c>
      <c r="B8" s="49" t="s">
        <v>56</v>
      </c>
      <c r="C8" s="266"/>
      <c r="D8" s="87" t="s">
        <v>91</v>
      </c>
      <c r="E8" s="87" t="s">
        <v>92</v>
      </c>
      <c r="F8" s="87" t="s">
        <v>93</v>
      </c>
      <c r="G8" s="87" t="s">
        <v>94</v>
      </c>
      <c r="H8" s="87" t="s">
        <v>95</v>
      </c>
      <c r="I8" s="53"/>
      <c r="J8" s="53"/>
      <c r="K8" s="54"/>
      <c r="L8" s="54"/>
      <c r="M8" s="54"/>
      <c r="N8" s="55"/>
      <c r="O8" s="266"/>
      <c r="P8" s="87" t="s">
        <v>96</v>
      </c>
      <c r="Q8" s="87" t="s">
        <v>97</v>
      </c>
      <c r="R8" s="87" t="s">
        <v>98</v>
      </c>
      <c r="S8" s="87" t="s">
        <v>99</v>
      </c>
      <c r="T8" s="87" t="s">
        <v>100</v>
      </c>
      <c r="U8" s="87"/>
      <c r="V8" s="54"/>
      <c r="W8" s="54"/>
      <c r="X8" s="54"/>
      <c r="Y8" s="54"/>
      <c r="Z8" s="54"/>
      <c r="AA8" s="266"/>
      <c r="AB8" s="266"/>
      <c r="AC8" s="266"/>
      <c r="AD8" s="266"/>
      <c r="AE8" s="266"/>
      <c r="AF8" s="266"/>
      <c r="AG8" s="266"/>
      <c r="AH8" s="275"/>
      <c r="AI8" s="276"/>
      <c r="AJ8" s="276"/>
      <c r="AK8" s="276"/>
      <c r="AL8" s="276"/>
      <c r="AM8" s="277"/>
      <c r="AN8" s="88"/>
      <c r="AO8" s="88"/>
      <c r="AP8" s="88"/>
      <c r="AQ8" s="88"/>
      <c r="AR8" s="89"/>
    </row>
    <row r="9" spans="1:48" ht="12" customHeight="1" x14ac:dyDescent="0.3">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257" t="str">
        <f t="shared" ref="AH9:AH44" si="5">IF(AG9="","",(IF(AND(AG9&gt;=1,AG9&lt;=50.499),"REPROBADO",IF(AND(AG9&gt;=50.5,AG9&lt;=100),"APROBADO"))))</f>
        <v>APROBADO</v>
      </c>
      <c r="AI9" s="258"/>
      <c r="AJ9" s="258"/>
      <c r="AK9" s="258"/>
      <c r="AL9" s="258"/>
      <c r="AM9" s="259"/>
      <c r="AN9" s="94" t="s">
        <v>101</v>
      </c>
      <c r="AO9" s="278">
        <f>COUNTIF(AF9:AF44,"ED")</f>
        <v>1</v>
      </c>
      <c r="AP9" s="259"/>
      <c r="AQ9" s="95"/>
      <c r="AR9" s="95"/>
    </row>
    <row r="10" spans="1:48" ht="12" customHeight="1" x14ac:dyDescent="0.3">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257" t="str">
        <f t="shared" si="5"/>
        <v>APROBADO</v>
      </c>
      <c r="AI10" s="258"/>
      <c r="AJ10" s="258"/>
      <c r="AK10" s="258"/>
      <c r="AL10" s="258"/>
      <c r="AM10" s="259"/>
      <c r="AN10" s="48" t="s">
        <v>102</v>
      </c>
      <c r="AO10" s="278">
        <f>COUNTIF(AF9:AF44,"DA")</f>
        <v>0</v>
      </c>
      <c r="AP10" s="259"/>
      <c r="AQ10" s="95"/>
      <c r="AR10" s="95"/>
    </row>
    <row r="11" spans="1:48" ht="12" customHeight="1" x14ac:dyDescent="0.3">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257" t="str">
        <f t="shared" si="5"/>
        <v>APROBADO</v>
      </c>
      <c r="AI11" s="258"/>
      <c r="AJ11" s="258"/>
      <c r="AK11" s="258"/>
      <c r="AL11" s="258"/>
      <c r="AM11" s="259"/>
      <c r="AN11" s="48" t="s">
        <v>103</v>
      </c>
      <c r="AO11" s="278">
        <f>COUNTIF(AF9:AF44,"DO")</f>
        <v>0</v>
      </c>
      <c r="AP11" s="259"/>
      <c r="AQ11" s="95"/>
      <c r="AR11" s="95"/>
    </row>
    <row r="12" spans="1:48" ht="12" customHeight="1" x14ac:dyDescent="0.3">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257" t="str">
        <f t="shared" si="5"/>
        <v>REPROBADO</v>
      </c>
      <c r="AI12" s="258"/>
      <c r="AJ12" s="258"/>
      <c r="AK12" s="258"/>
      <c r="AL12" s="258"/>
      <c r="AM12" s="259"/>
      <c r="AN12" s="48" t="s">
        <v>104</v>
      </c>
      <c r="AO12" s="278">
        <f>COUNTIF(AF9:AF44,"DP")</f>
        <v>35</v>
      </c>
      <c r="AP12" s="259"/>
      <c r="AQ12" s="95"/>
      <c r="AR12" s="95"/>
    </row>
    <row r="13" spans="1:48" ht="12" customHeight="1" x14ac:dyDescent="0.3">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257" t="str">
        <f t="shared" si="5"/>
        <v>APROBADO</v>
      </c>
      <c r="AI13" s="258"/>
      <c r="AJ13" s="258"/>
      <c r="AK13" s="258"/>
      <c r="AL13" s="258"/>
      <c r="AM13" s="259"/>
      <c r="AN13" s="95"/>
      <c r="AO13" s="95"/>
      <c r="AP13" s="95"/>
      <c r="AQ13" s="95"/>
      <c r="AR13" s="95"/>
    </row>
    <row r="14" spans="1:48" ht="12" customHeight="1" x14ac:dyDescent="0.3">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257" t="str">
        <f t="shared" si="5"/>
        <v>APROBADO</v>
      </c>
      <c r="AI14" s="258"/>
      <c r="AJ14" s="258"/>
      <c r="AK14" s="258"/>
      <c r="AL14" s="258"/>
      <c r="AM14" s="259"/>
      <c r="AN14" s="95"/>
      <c r="AO14" s="95"/>
      <c r="AP14" s="95"/>
      <c r="AQ14" s="95"/>
      <c r="AR14" s="95"/>
    </row>
    <row r="15" spans="1:48" ht="12" customHeight="1" x14ac:dyDescent="0.3">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257" t="str">
        <f t="shared" si="5"/>
        <v>APROBADO</v>
      </c>
      <c r="AI15" s="258"/>
      <c r="AJ15" s="258"/>
      <c r="AK15" s="258"/>
      <c r="AL15" s="258"/>
      <c r="AM15" s="259"/>
      <c r="AN15" s="95"/>
      <c r="AO15" s="95"/>
      <c r="AP15" s="95"/>
      <c r="AQ15" s="95"/>
      <c r="AR15" s="95"/>
    </row>
    <row r="16" spans="1:48" ht="12" customHeight="1" x14ac:dyDescent="0.3">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257" t="str">
        <f t="shared" si="5"/>
        <v>APROBADO</v>
      </c>
      <c r="AI16" s="258"/>
      <c r="AJ16" s="258"/>
      <c r="AK16" s="258"/>
      <c r="AL16" s="258"/>
      <c r="AM16" s="259"/>
      <c r="AN16" s="95"/>
      <c r="AO16" s="95"/>
      <c r="AP16" s="95"/>
      <c r="AQ16" s="95"/>
      <c r="AR16" s="95"/>
    </row>
    <row r="17" spans="1:44" ht="12" customHeight="1" x14ac:dyDescent="0.3">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257" t="str">
        <f t="shared" si="5"/>
        <v>APROBADO</v>
      </c>
      <c r="AI17" s="258"/>
      <c r="AJ17" s="258"/>
      <c r="AK17" s="258"/>
      <c r="AL17" s="258"/>
      <c r="AM17" s="259"/>
      <c r="AN17" s="95"/>
      <c r="AO17" s="95"/>
      <c r="AP17" s="95"/>
      <c r="AQ17" s="95"/>
      <c r="AR17" s="95"/>
    </row>
    <row r="18" spans="1:44" ht="12" customHeight="1" x14ac:dyDescent="0.3">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257" t="str">
        <f t="shared" si="5"/>
        <v>APROBADO</v>
      </c>
      <c r="AI18" s="258"/>
      <c r="AJ18" s="258"/>
      <c r="AK18" s="258"/>
      <c r="AL18" s="258"/>
      <c r="AM18" s="259"/>
      <c r="AN18" s="95"/>
      <c r="AO18" s="95"/>
      <c r="AP18" s="95"/>
      <c r="AQ18" s="95"/>
      <c r="AR18" s="95"/>
    </row>
    <row r="19" spans="1:44" ht="12" customHeight="1" x14ac:dyDescent="0.3">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257" t="str">
        <f t="shared" si="5"/>
        <v>APROBADO</v>
      </c>
      <c r="AI19" s="258"/>
      <c r="AJ19" s="258"/>
      <c r="AK19" s="258"/>
      <c r="AL19" s="258"/>
      <c r="AM19" s="259"/>
      <c r="AN19" s="95"/>
      <c r="AO19" s="95"/>
      <c r="AP19" s="95"/>
      <c r="AQ19" s="95"/>
      <c r="AR19" s="95"/>
    </row>
    <row r="20" spans="1:44" ht="12" customHeight="1" x14ac:dyDescent="0.3">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257" t="str">
        <f t="shared" si="5"/>
        <v>APROBADO</v>
      </c>
      <c r="AI20" s="258"/>
      <c r="AJ20" s="258"/>
      <c r="AK20" s="258"/>
      <c r="AL20" s="258"/>
      <c r="AM20" s="259"/>
      <c r="AN20" s="95"/>
      <c r="AO20" s="95"/>
      <c r="AP20" s="95"/>
      <c r="AQ20" s="95"/>
      <c r="AR20" s="95"/>
    </row>
    <row r="21" spans="1:44" ht="12" customHeight="1" x14ac:dyDescent="0.3">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257" t="str">
        <f t="shared" si="5"/>
        <v>APROBADO</v>
      </c>
      <c r="AI21" s="258"/>
      <c r="AJ21" s="258"/>
      <c r="AK21" s="258"/>
      <c r="AL21" s="258"/>
      <c r="AM21" s="259"/>
      <c r="AN21" s="95"/>
      <c r="AO21" s="95"/>
      <c r="AP21" s="95"/>
      <c r="AQ21" s="95"/>
      <c r="AR21" s="95"/>
    </row>
    <row r="22" spans="1:44" ht="12" customHeight="1" x14ac:dyDescent="0.3">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257" t="str">
        <f t="shared" si="5"/>
        <v>APROBADO</v>
      </c>
      <c r="AI22" s="258"/>
      <c r="AJ22" s="258"/>
      <c r="AK22" s="258"/>
      <c r="AL22" s="258"/>
      <c r="AM22" s="259"/>
      <c r="AN22" s="95"/>
      <c r="AO22" s="95"/>
      <c r="AP22" s="95"/>
      <c r="AQ22" s="95"/>
      <c r="AR22" s="95"/>
    </row>
    <row r="23" spans="1:44" ht="12" customHeight="1" x14ac:dyDescent="0.3">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257" t="str">
        <f t="shared" si="5"/>
        <v>APROBADO</v>
      </c>
      <c r="AI23" s="258"/>
      <c r="AJ23" s="258"/>
      <c r="AK23" s="258"/>
      <c r="AL23" s="258"/>
      <c r="AM23" s="259"/>
      <c r="AN23" s="95"/>
      <c r="AO23" s="95"/>
      <c r="AP23" s="95"/>
      <c r="AQ23" s="95"/>
      <c r="AR23" s="95"/>
    </row>
    <row r="24" spans="1:44" ht="12" customHeight="1" x14ac:dyDescent="0.3">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257" t="str">
        <f t="shared" si="5"/>
        <v>APROBADO</v>
      </c>
      <c r="AI24" s="258"/>
      <c r="AJ24" s="258"/>
      <c r="AK24" s="258"/>
      <c r="AL24" s="258"/>
      <c r="AM24" s="259"/>
      <c r="AN24" s="95"/>
      <c r="AO24" s="95"/>
      <c r="AP24" s="95"/>
      <c r="AQ24" s="95"/>
      <c r="AR24" s="95"/>
    </row>
    <row r="25" spans="1:44" ht="12" customHeight="1" x14ac:dyDescent="0.3">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257" t="str">
        <f t="shared" si="5"/>
        <v>APROBADO</v>
      </c>
      <c r="AI25" s="258"/>
      <c r="AJ25" s="258"/>
      <c r="AK25" s="258"/>
      <c r="AL25" s="258"/>
      <c r="AM25" s="259"/>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7" t="str">
        <f t="shared" si="5"/>
        <v>APROBADO</v>
      </c>
      <c r="AI26" s="258"/>
      <c r="AJ26" s="258"/>
      <c r="AK26" s="258"/>
      <c r="AL26" s="258"/>
      <c r="AM26" s="259"/>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7" t="str">
        <f t="shared" si="5"/>
        <v>APROBADO</v>
      </c>
      <c r="AI27" s="258"/>
      <c r="AJ27" s="258"/>
      <c r="AK27" s="258"/>
      <c r="AL27" s="258"/>
      <c r="AM27" s="259"/>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7" t="str">
        <f t="shared" si="5"/>
        <v>APROBADO</v>
      </c>
      <c r="AI28" s="258"/>
      <c r="AJ28" s="258"/>
      <c r="AK28" s="258"/>
      <c r="AL28" s="258"/>
      <c r="AM28" s="259"/>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7" t="str">
        <f t="shared" si="5"/>
        <v>APROBADO</v>
      </c>
      <c r="AI29" s="258"/>
      <c r="AJ29" s="258"/>
      <c r="AK29" s="258"/>
      <c r="AL29" s="258"/>
      <c r="AM29" s="259"/>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7" t="str">
        <f t="shared" si="5"/>
        <v>APROBADO</v>
      </c>
      <c r="AI30" s="258"/>
      <c r="AJ30" s="258"/>
      <c r="AK30" s="258"/>
      <c r="AL30" s="258"/>
      <c r="AM30" s="259"/>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7" t="str">
        <f t="shared" si="5"/>
        <v>APROBADO</v>
      </c>
      <c r="AI31" s="258"/>
      <c r="AJ31" s="258"/>
      <c r="AK31" s="258"/>
      <c r="AL31" s="258"/>
      <c r="AM31" s="259"/>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7" t="str">
        <f t="shared" si="5"/>
        <v>APROBADO</v>
      </c>
      <c r="AI32" s="258"/>
      <c r="AJ32" s="258"/>
      <c r="AK32" s="258"/>
      <c r="AL32" s="258"/>
      <c r="AM32" s="259"/>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7" t="str">
        <f t="shared" si="5"/>
        <v>APROBADO</v>
      </c>
      <c r="AI33" s="258"/>
      <c r="AJ33" s="258"/>
      <c r="AK33" s="258"/>
      <c r="AL33" s="258"/>
      <c r="AM33" s="259"/>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7" t="str">
        <f t="shared" si="5"/>
        <v>APROBADO</v>
      </c>
      <c r="AI34" s="258"/>
      <c r="AJ34" s="258"/>
      <c r="AK34" s="258"/>
      <c r="AL34" s="258"/>
      <c r="AM34" s="259"/>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7" t="str">
        <f t="shared" si="5"/>
        <v>APROBADO</v>
      </c>
      <c r="AI35" s="258"/>
      <c r="AJ35" s="258"/>
      <c r="AK35" s="258"/>
      <c r="AL35" s="258"/>
      <c r="AM35" s="259"/>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7" t="str">
        <f t="shared" si="5"/>
        <v>APROBADO</v>
      </c>
      <c r="AI36" s="258"/>
      <c r="AJ36" s="258"/>
      <c r="AK36" s="258"/>
      <c r="AL36" s="258"/>
      <c r="AM36" s="259"/>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7" t="str">
        <f t="shared" si="5"/>
        <v>APROBADO</v>
      </c>
      <c r="AI37" s="258"/>
      <c r="AJ37" s="258"/>
      <c r="AK37" s="258"/>
      <c r="AL37" s="258"/>
      <c r="AM37" s="259"/>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7" t="str">
        <f t="shared" si="5"/>
        <v>APROBADO</v>
      </c>
      <c r="AI38" s="258"/>
      <c r="AJ38" s="258"/>
      <c r="AK38" s="258"/>
      <c r="AL38" s="258"/>
      <c r="AM38" s="259"/>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7" t="str">
        <f t="shared" si="5"/>
        <v>APROBADO</v>
      </c>
      <c r="AI39" s="258"/>
      <c r="AJ39" s="258"/>
      <c r="AK39" s="258"/>
      <c r="AL39" s="258"/>
      <c r="AM39" s="259"/>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7" t="str">
        <f t="shared" si="5"/>
        <v>APROBADO</v>
      </c>
      <c r="AI40" s="258"/>
      <c r="AJ40" s="258"/>
      <c r="AK40" s="258"/>
      <c r="AL40" s="258"/>
      <c r="AM40" s="259"/>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7" t="str">
        <f t="shared" si="5"/>
        <v>APROBADO</v>
      </c>
      <c r="AI41" s="258"/>
      <c r="AJ41" s="258"/>
      <c r="AK41" s="258"/>
      <c r="AL41" s="258"/>
      <c r="AM41" s="259"/>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7" t="str">
        <f t="shared" si="5"/>
        <v>APROBADO</v>
      </c>
      <c r="AI42" s="258"/>
      <c r="AJ42" s="258"/>
      <c r="AK42" s="258"/>
      <c r="AL42" s="258"/>
      <c r="AM42" s="259"/>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7" t="str">
        <f t="shared" si="5"/>
        <v>APROBADO</v>
      </c>
      <c r="AI43" s="258"/>
      <c r="AJ43" s="258"/>
      <c r="AK43" s="258"/>
      <c r="AL43" s="258"/>
      <c r="AM43" s="259"/>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7" t="str">
        <f t="shared" si="5"/>
        <v>APROBADO</v>
      </c>
      <c r="AI44" s="258"/>
      <c r="AJ44" s="258"/>
      <c r="AK44" s="258"/>
      <c r="AL44" s="258"/>
      <c r="AM44" s="259"/>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B4" workbookViewId="0">
      <selection activeCell="I17" sqref="I1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2" t="s">
        <v>105</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60" t="s">
        <v>50</v>
      </c>
      <c r="AD3" s="258"/>
      <c r="AE3" s="258"/>
      <c r="AF3" s="258"/>
      <c r="AG3" s="258"/>
      <c r="AH3" s="259"/>
      <c r="AI3" s="222">
        <f>CARÁTULA!$H$19</f>
        <v>44326</v>
      </c>
      <c r="AJ3" s="204"/>
      <c r="AK3" s="204"/>
      <c r="AL3" s="204"/>
      <c r="AM3" s="204"/>
      <c r="AN3" s="263" t="s">
        <v>51</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60" t="s">
        <v>53</v>
      </c>
      <c r="AD4" s="258"/>
      <c r="AE4" s="258"/>
      <c r="AF4" s="258"/>
      <c r="AG4" s="258"/>
      <c r="AH4" s="259"/>
      <c r="AI4" s="222">
        <f>CARÁTULA!$J$19</f>
        <v>44439</v>
      </c>
      <c r="AJ4" s="204"/>
      <c r="AK4" s="204"/>
      <c r="AL4" s="204"/>
      <c r="AM4" s="204"/>
      <c r="AN4" s="256">
        <f ca="1">AI4-AI5</f>
        <v>13</v>
      </c>
      <c r="AO4" s="214"/>
      <c r="AP4" s="214"/>
      <c r="AQ4" s="214"/>
      <c r="AR4" s="215"/>
    </row>
    <row r="5" spans="1:48" ht="12.75" customHeight="1" x14ac:dyDescent="0.35">
      <c r="A5" s="71"/>
      <c r="B5" s="74" t="s">
        <v>22</v>
      </c>
      <c r="C5" s="75" t="str">
        <f>CARÁTULA!$C$23</f>
        <v>6to de Secundaria</v>
      </c>
      <c r="D5" s="76"/>
      <c r="E5" s="76"/>
      <c r="F5" s="76"/>
      <c r="G5" s="74"/>
      <c r="H5" s="74"/>
      <c r="I5" s="74"/>
      <c r="J5" s="74"/>
      <c r="K5" s="74"/>
      <c r="L5" s="74"/>
      <c r="M5" s="74"/>
      <c r="N5" s="74"/>
      <c r="O5" s="74" t="s">
        <v>23</v>
      </c>
      <c r="P5" s="79"/>
      <c r="Q5" s="79"/>
      <c r="R5" s="79"/>
      <c r="S5" s="268">
        <f ca="1">TODAY()</f>
        <v>44426</v>
      </c>
      <c r="T5" s="195"/>
      <c r="U5" s="195"/>
      <c r="V5" s="195"/>
      <c r="W5" s="195"/>
      <c r="X5" s="195"/>
      <c r="Y5" s="195"/>
      <c r="Z5" s="195"/>
      <c r="AA5" s="196"/>
      <c r="AB5" s="76"/>
      <c r="AC5" s="261" t="s">
        <v>54</v>
      </c>
      <c r="AD5" s="258"/>
      <c r="AE5" s="258"/>
      <c r="AF5" s="258"/>
      <c r="AG5" s="258"/>
      <c r="AH5" s="259"/>
      <c r="AI5" s="264">
        <f ca="1">TODAY()</f>
        <v>44426</v>
      </c>
      <c r="AJ5" s="204"/>
      <c r="AK5" s="204"/>
      <c r="AL5" s="204"/>
      <c r="AM5" s="204"/>
      <c r="AN5" s="216"/>
      <c r="AO5" s="217"/>
      <c r="AP5" s="217"/>
      <c r="AQ5" s="217"/>
      <c r="AR5" s="218"/>
    </row>
    <row r="6" spans="1:48" ht="12.75" customHeight="1" x14ac:dyDescent="0.35">
      <c r="A6" s="71"/>
      <c r="B6" s="74"/>
      <c r="C6" s="210" t="s">
        <v>79</v>
      </c>
      <c r="D6" s="211"/>
      <c r="E6" s="211"/>
      <c r="F6" s="211"/>
      <c r="G6" s="211"/>
      <c r="H6" s="211"/>
      <c r="I6" s="211"/>
      <c r="J6" s="211"/>
      <c r="K6" s="211"/>
      <c r="L6" s="211"/>
      <c r="M6" s="211"/>
      <c r="N6" s="211"/>
      <c r="O6" s="211"/>
      <c r="P6" s="211"/>
      <c r="Q6" s="211"/>
      <c r="R6" s="211"/>
      <c r="S6" s="211"/>
      <c r="T6" s="211"/>
      <c r="U6" s="211"/>
      <c r="V6" s="211"/>
      <c r="W6" s="211"/>
      <c r="X6" s="211"/>
      <c r="Y6" s="211"/>
      <c r="Z6" s="211"/>
      <c r="AA6" s="212"/>
      <c r="AB6" s="269" t="s">
        <v>80</v>
      </c>
      <c r="AC6" s="258"/>
      <c r="AD6" s="258"/>
      <c r="AE6" s="259"/>
      <c r="AF6" s="80"/>
      <c r="AG6" s="81"/>
      <c r="AH6" s="81"/>
      <c r="AI6" s="82"/>
      <c r="AJ6" s="83"/>
      <c r="AK6" s="83"/>
      <c r="AL6" s="83"/>
      <c r="AM6" s="83"/>
      <c r="AN6" s="84"/>
      <c r="AO6" s="84"/>
      <c r="AP6" s="84"/>
      <c r="AQ6" s="84"/>
      <c r="AR6" s="84"/>
    </row>
    <row r="7" spans="1:48" ht="12" customHeight="1" x14ac:dyDescent="0.35">
      <c r="A7" s="71"/>
      <c r="B7" s="85"/>
      <c r="C7" s="270" t="s">
        <v>81</v>
      </c>
      <c r="D7" s="271" t="s">
        <v>82</v>
      </c>
      <c r="E7" s="258"/>
      <c r="F7" s="258"/>
      <c r="G7" s="258"/>
      <c r="H7" s="258"/>
      <c r="I7" s="258"/>
      <c r="J7" s="258"/>
      <c r="K7" s="258"/>
      <c r="L7" s="258"/>
      <c r="M7" s="258"/>
      <c r="N7" s="258"/>
      <c r="O7" s="267" t="s">
        <v>83</v>
      </c>
      <c r="P7" s="271" t="s">
        <v>84</v>
      </c>
      <c r="Q7" s="258"/>
      <c r="R7" s="258"/>
      <c r="S7" s="258"/>
      <c r="T7" s="258"/>
      <c r="U7" s="258"/>
      <c r="V7" s="258"/>
      <c r="W7" s="258"/>
      <c r="X7" s="258"/>
      <c r="Y7" s="258"/>
      <c r="Z7" s="258"/>
      <c r="AA7" s="265" t="s">
        <v>85</v>
      </c>
      <c r="AB7" s="267" t="s">
        <v>83</v>
      </c>
      <c r="AC7" s="265" t="s">
        <v>86</v>
      </c>
      <c r="AD7" s="265" t="s">
        <v>87</v>
      </c>
      <c r="AE7" s="267" t="s">
        <v>83</v>
      </c>
      <c r="AF7" s="272" t="s">
        <v>88</v>
      </c>
      <c r="AG7" s="273" t="s">
        <v>89</v>
      </c>
      <c r="AH7" s="274" t="s">
        <v>90</v>
      </c>
      <c r="AI7" s="211"/>
      <c r="AJ7" s="211"/>
      <c r="AK7" s="211"/>
      <c r="AL7" s="211"/>
      <c r="AM7" s="212"/>
      <c r="AN7" s="86"/>
      <c r="AO7" s="76"/>
      <c r="AP7" s="76"/>
      <c r="AQ7" s="76"/>
      <c r="AR7" s="71"/>
    </row>
    <row r="8" spans="1:48" ht="67.5" customHeight="1" x14ac:dyDescent="0.3">
      <c r="A8" s="48" t="s">
        <v>55</v>
      </c>
      <c r="B8" s="49" t="s">
        <v>56</v>
      </c>
      <c r="C8" s="266"/>
      <c r="D8" s="50" t="s">
        <v>242</v>
      </c>
      <c r="E8" s="54" t="s">
        <v>253</v>
      </c>
      <c r="F8" s="54" t="s">
        <v>249</v>
      </c>
      <c r="G8" s="54" t="s">
        <v>251</v>
      </c>
      <c r="H8" s="54" t="s">
        <v>250</v>
      </c>
      <c r="I8" s="54" t="s">
        <v>269</v>
      </c>
      <c r="J8" s="54"/>
      <c r="K8" s="54"/>
      <c r="L8" s="54"/>
      <c r="M8" s="54"/>
      <c r="N8" s="55"/>
      <c r="O8" s="266"/>
      <c r="P8" s="96" t="s">
        <v>241</v>
      </c>
      <c r="Q8" s="54" t="s">
        <v>243</v>
      </c>
      <c r="R8" s="54" t="s">
        <v>244</v>
      </c>
      <c r="S8" s="54" t="s">
        <v>245</v>
      </c>
      <c r="T8" s="54" t="s">
        <v>246</v>
      </c>
      <c r="U8" s="54" t="s">
        <v>247</v>
      </c>
      <c r="V8" s="54" t="s">
        <v>248</v>
      </c>
      <c r="W8" s="54" t="s">
        <v>252</v>
      </c>
      <c r="X8" s="54" t="s">
        <v>254</v>
      </c>
      <c r="Y8" s="54"/>
      <c r="Z8" s="54"/>
      <c r="AA8" s="266"/>
      <c r="AB8" s="266"/>
      <c r="AC8" s="266"/>
      <c r="AD8" s="266"/>
      <c r="AE8" s="266"/>
      <c r="AF8" s="266"/>
      <c r="AG8" s="266"/>
      <c r="AH8" s="275"/>
      <c r="AI8" s="276"/>
      <c r="AJ8" s="276"/>
      <c r="AK8" s="276"/>
      <c r="AL8" s="276"/>
      <c r="AM8" s="277"/>
      <c r="AN8" s="88"/>
      <c r="AO8" s="88"/>
      <c r="AP8" s="88"/>
      <c r="AQ8" s="88"/>
      <c r="AR8" s="89"/>
    </row>
    <row r="9" spans="1:48" ht="12" customHeight="1" x14ac:dyDescent="0.3">
      <c r="A9" s="59">
        <v>1</v>
      </c>
      <c r="B9" s="90" t="str">
        <f>'C. FILIACION'!B8</f>
        <v>ALTAMIRANO RAMOS ESTEFANI MILENKA</v>
      </c>
      <c r="C9" s="31">
        <v>10</v>
      </c>
      <c r="D9" s="91">
        <v>25</v>
      </c>
      <c r="E9" s="31">
        <v>35</v>
      </c>
      <c r="F9" s="91">
        <v>30</v>
      </c>
      <c r="G9" s="91">
        <v>21</v>
      </c>
      <c r="H9" s="91">
        <v>30</v>
      </c>
      <c r="I9" s="91">
        <v>18</v>
      </c>
      <c r="J9" s="91"/>
      <c r="K9" s="31"/>
      <c r="L9" s="31"/>
      <c r="M9" s="31"/>
      <c r="N9" s="31"/>
      <c r="O9" s="92">
        <f t="shared" ref="O9:O44" si="0">IFERROR(ROUND(AVERAGE(D9:N9),0),"")</f>
        <v>27</v>
      </c>
      <c r="P9" s="31">
        <v>35</v>
      </c>
      <c r="Q9" s="31">
        <v>32</v>
      </c>
      <c r="R9" s="31">
        <v>35</v>
      </c>
      <c r="S9" s="31">
        <v>27</v>
      </c>
      <c r="T9" s="31">
        <v>28</v>
      </c>
      <c r="U9" s="31">
        <v>35</v>
      </c>
      <c r="V9" s="31">
        <v>35</v>
      </c>
      <c r="W9" s="31">
        <v>35</v>
      </c>
      <c r="X9" s="31">
        <v>28</v>
      </c>
      <c r="Y9" s="31"/>
      <c r="Z9" s="31"/>
      <c r="AA9" s="31">
        <v>10</v>
      </c>
      <c r="AB9" s="92">
        <f t="shared" ref="AB9:AB44" si="1">IFERROR(ROUND(AVERAGE(P9:Z9),0),"")</f>
        <v>32</v>
      </c>
      <c r="AC9" s="31">
        <v>5</v>
      </c>
      <c r="AD9" s="31">
        <v>5</v>
      </c>
      <c r="AE9" s="92">
        <f t="shared" ref="AE9:AE44" si="2">IFERROR((SUM(AC9,AD9)),"")</f>
        <v>10</v>
      </c>
      <c r="AF9" s="93" t="str">
        <f t="shared" ref="AF9:AF44" si="3">IF(AG9&lt;51,"ED",IF(AG9&lt;67,"DA",IF(AG9&lt;85,"DO","DP")))</f>
        <v>DP</v>
      </c>
      <c r="AG9" s="92">
        <f t="shared" ref="AG9:AG44" si="4">IFERROR((SUM(C9,O9,AA9,AB9,AE9)),"")</f>
        <v>89</v>
      </c>
      <c r="AH9" s="257" t="str">
        <f t="shared" ref="AH9:AH44" si="5">IF(AG9="","",(IF(AND(AG9&gt;=1,AG9&lt;=50.499),"REPROBADO",IF(AND(AG9&gt;=50.5,AG9&lt;=100),"APROBADO"))))</f>
        <v>APROBADO</v>
      </c>
      <c r="AI9" s="258"/>
      <c r="AJ9" s="258"/>
      <c r="AK9" s="258"/>
      <c r="AL9" s="258"/>
      <c r="AM9" s="259"/>
      <c r="AN9" s="94" t="s">
        <v>101</v>
      </c>
      <c r="AO9" s="278">
        <f>COUNTIF(AF9:AF44,"ED")</f>
        <v>6</v>
      </c>
      <c r="AP9" s="259"/>
      <c r="AQ9" s="95"/>
      <c r="AR9" s="95"/>
    </row>
    <row r="10" spans="1:48" ht="12" customHeight="1" x14ac:dyDescent="0.3">
      <c r="A10" s="59">
        <v>2</v>
      </c>
      <c r="B10" s="90" t="str">
        <f>'C. FILIACION'!B9</f>
        <v>APAZA LINO TATIANA JAZMIN</v>
      </c>
      <c r="C10" s="31">
        <v>10</v>
      </c>
      <c r="D10" s="91">
        <v>30</v>
      </c>
      <c r="E10" s="31">
        <v>35</v>
      </c>
      <c r="F10" s="91">
        <v>30</v>
      </c>
      <c r="G10" s="91">
        <v>27</v>
      </c>
      <c r="H10" s="91">
        <v>32</v>
      </c>
      <c r="I10" s="91">
        <v>35</v>
      </c>
      <c r="J10" s="91"/>
      <c r="K10" s="31"/>
      <c r="L10" s="31"/>
      <c r="M10" s="31"/>
      <c r="N10" s="31"/>
      <c r="O10" s="92">
        <f t="shared" si="0"/>
        <v>32</v>
      </c>
      <c r="P10" s="31">
        <v>35</v>
      </c>
      <c r="Q10" s="31">
        <v>32</v>
      </c>
      <c r="R10" s="31">
        <v>35</v>
      </c>
      <c r="S10" s="31">
        <v>25</v>
      </c>
      <c r="T10" s="31">
        <v>32</v>
      </c>
      <c r="U10" s="31">
        <v>35</v>
      </c>
      <c r="V10" s="31">
        <v>32</v>
      </c>
      <c r="W10" s="31">
        <v>34</v>
      </c>
      <c r="X10" s="31">
        <v>30</v>
      </c>
      <c r="Y10" s="31"/>
      <c r="Z10" s="31"/>
      <c r="AA10" s="31">
        <v>10</v>
      </c>
      <c r="AB10" s="92">
        <f t="shared" si="1"/>
        <v>32</v>
      </c>
      <c r="AC10" s="31">
        <v>5</v>
      </c>
      <c r="AD10" s="31">
        <v>5</v>
      </c>
      <c r="AE10" s="92">
        <f t="shared" si="2"/>
        <v>10</v>
      </c>
      <c r="AF10" s="93" t="str">
        <f t="shared" si="3"/>
        <v>DP</v>
      </c>
      <c r="AG10" s="92">
        <f t="shared" si="4"/>
        <v>94</v>
      </c>
      <c r="AH10" s="257" t="str">
        <f t="shared" si="5"/>
        <v>APROBADO</v>
      </c>
      <c r="AI10" s="258"/>
      <c r="AJ10" s="258"/>
      <c r="AK10" s="258"/>
      <c r="AL10" s="258"/>
      <c r="AM10" s="259"/>
      <c r="AN10" s="48" t="s">
        <v>102</v>
      </c>
      <c r="AO10" s="278">
        <f>COUNTIF(AF9:AF44,"DA")</f>
        <v>4</v>
      </c>
      <c r="AP10" s="259"/>
      <c r="AQ10" s="95"/>
      <c r="AR10" s="95"/>
    </row>
    <row r="11" spans="1:48" ht="12" customHeight="1" x14ac:dyDescent="0.3">
      <c r="A11" s="59">
        <v>3</v>
      </c>
      <c r="B11" s="186" t="str">
        <f>'C. FILIACION'!B10</f>
        <v>BOLAÑOS OVANDO MIJHAIL ALEXANDER</v>
      </c>
      <c r="C11" s="187">
        <v>10</v>
      </c>
      <c r="D11" s="187">
        <v>15</v>
      </c>
      <c r="E11" s="187">
        <v>0</v>
      </c>
      <c r="F11" s="187">
        <v>20</v>
      </c>
      <c r="G11" s="187">
        <v>0</v>
      </c>
      <c r="H11" s="187">
        <v>0</v>
      </c>
      <c r="I11" s="187"/>
      <c r="J11" s="187"/>
      <c r="K11" s="187"/>
      <c r="L11" s="187"/>
      <c r="M11" s="187"/>
      <c r="N11" s="187"/>
      <c r="O11" s="188">
        <f t="shared" si="0"/>
        <v>7</v>
      </c>
      <c r="P11" s="187">
        <v>35</v>
      </c>
      <c r="Q11" s="187">
        <v>0</v>
      </c>
      <c r="R11" s="187">
        <v>0</v>
      </c>
      <c r="S11" s="187">
        <v>0</v>
      </c>
      <c r="T11" s="187">
        <v>0</v>
      </c>
      <c r="U11" s="187">
        <v>0</v>
      </c>
      <c r="V11" s="187">
        <v>0</v>
      </c>
      <c r="W11" s="187">
        <v>0</v>
      </c>
      <c r="X11" s="187">
        <v>0</v>
      </c>
      <c r="Y11" s="31"/>
      <c r="Z11" s="31"/>
      <c r="AA11" s="31">
        <v>10</v>
      </c>
      <c r="AB11" s="92">
        <f t="shared" si="1"/>
        <v>4</v>
      </c>
      <c r="AC11" s="31">
        <v>5</v>
      </c>
      <c r="AD11" s="31">
        <v>5</v>
      </c>
      <c r="AE11" s="92">
        <f t="shared" si="2"/>
        <v>10</v>
      </c>
      <c r="AF11" s="93" t="str">
        <f t="shared" si="3"/>
        <v>ED</v>
      </c>
      <c r="AG11" s="92">
        <f t="shared" si="4"/>
        <v>41</v>
      </c>
      <c r="AH11" s="257" t="str">
        <f t="shared" si="5"/>
        <v>REPROBADO</v>
      </c>
      <c r="AI11" s="258"/>
      <c r="AJ11" s="258"/>
      <c r="AK11" s="258"/>
      <c r="AL11" s="258"/>
      <c r="AM11" s="259"/>
      <c r="AN11" s="48" t="s">
        <v>103</v>
      </c>
      <c r="AO11" s="278">
        <f>COUNTIF(AF9:AF44,"DO")</f>
        <v>7</v>
      </c>
      <c r="AP11" s="259"/>
      <c r="AQ11" s="95"/>
      <c r="AR11" s="95"/>
    </row>
    <row r="12" spans="1:48" ht="12" customHeight="1" x14ac:dyDescent="0.3">
      <c r="A12" s="59">
        <v>4</v>
      </c>
      <c r="B12" s="186" t="str">
        <f>'C. FILIACION'!B11</f>
        <v>BRICHER ETHELBERT ISMAEL</v>
      </c>
      <c r="C12" s="187">
        <v>10</v>
      </c>
      <c r="D12" s="187">
        <v>0</v>
      </c>
      <c r="E12" s="187">
        <v>0</v>
      </c>
      <c r="F12" s="187">
        <v>0</v>
      </c>
      <c r="G12" s="187">
        <v>0</v>
      </c>
      <c r="H12" s="187">
        <v>0</v>
      </c>
      <c r="I12" s="187"/>
      <c r="J12" s="187"/>
      <c r="K12" s="187"/>
      <c r="L12" s="187"/>
      <c r="M12" s="187"/>
      <c r="N12" s="187"/>
      <c r="O12" s="188">
        <f t="shared" si="0"/>
        <v>0</v>
      </c>
      <c r="P12" s="187">
        <v>0</v>
      </c>
      <c r="Q12" s="187">
        <v>32</v>
      </c>
      <c r="R12" s="187">
        <v>0</v>
      </c>
      <c r="S12" s="187">
        <v>0</v>
      </c>
      <c r="T12" s="187">
        <v>0</v>
      </c>
      <c r="U12" s="187">
        <v>0</v>
      </c>
      <c r="V12" s="187">
        <v>0</v>
      </c>
      <c r="W12" s="187">
        <v>0</v>
      </c>
      <c r="X12" s="187">
        <v>0</v>
      </c>
      <c r="Y12" s="31"/>
      <c r="Z12" s="31"/>
      <c r="AA12" s="31">
        <v>10</v>
      </c>
      <c r="AB12" s="92">
        <f t="shared" si="1"/>
        <v>4</v>
      </c>
      <c r="AC12" s="31">
        <v>5</v>
      </c>
      <c r="AD12" s="31">
        <v>5</v>
      </c>
      <c r="AE12" s="92">
        <f t="shared" si="2"/>
        <v>10</v>
      </c>
      <c r="AF12" s="93" t="str">
        <f t="shared" si="3"/>
        <v>ED</v>
      </c>
      <c r="AG12" s="92">
        <f t="shared" si="4"/>
        <v>34</v>
      </c>
      <c r="AH12" s="257" t="str">
        <f t="shared" si="5"/>
        <v>REPROBADO</v>
      </c>
      <c r="AI12" s="258"/>
      <c r="AJ12" s="258"/>
      <c r="AK12" s="258"/>
      <c r="AL12" s="258"/>
      <c r="AM12" s="259"/>
      <c r="AN12" s="48" t="s">
        <v>104</v>
      </c>
      <c r="AO12" s="278">
        <f>COUNTIF(AF9:AF44,"DP")</f>
        <v>19</v>
      </c>
      <c r="AP12" s="259"/>
      <c r="AQ12" s="95"/>
      <c r="AR12" s="95"/>
    </row>
    <row r="13" spans="1:48" ht="12" customHeight="1" x14ac:dyDescent="0.3">
      <c r="A13" s="59">
        <v>5</v>
      </c>
      <c r="B13" s="90" t="str">
        <f>'C. FILIACION'!B12</f>
        <v>CANAVIRI QUISBERT ALEJANDRA ELENA</v>
      </c>
      <c r="C13" s="31">
        <v>10</v>
      </c>
      <c r="D13" s="91">
        <v>15</v>
      </c>
      <c r="E13" s="31">
        <v>35</v>
      </c>
      <c r="F13" s="91">
        <v>20</v>
      </c>
      <c r="G13" s="91">
        <v>17</v>
      </c>
      <c r="H13" s="91">
        <v>30</v>
      </c>
      <c r="I13" s="91">
        <v>18</v>
      </c>
      <c r="J13" s="91"/>
      <c r="K13" s="31"/>
      <c r="L13" s="31"/>
      <c r="M13" s="31"/>
      <c r="N13" s="31"/>
      <c r="O13" s="92">
        <f t="shared" si="0"/>
        <v>23</v>
      </c>
      <c r="P13" s="31">
        <v>35</v>
      </c>
      <c r="Q13" s="31">
        <v>30</v>
      </c>
      <c r="R13" s="31">
        <v>35</v>
      </c>
      <c r="S13" s="31">
        <v>35</v>
      </c>
      <c r="T13" s="31">
        <v>0</v>
      </c>
      <c r="U13" s="31">
        <v>0</v>
      </c>
      <c r="V13" s="31">
        <v>0</v>
      </c>
      <c r="W13" s="31">
        <v>27</v>
      </c>
      <c r="X13" s="31">
        <v>25</v>
      </c>
      <c r="Y13" s="31"/>
      <c r="Z13" s="31"/>
      <c r="AA13" s="31">
        <v>10</v>
      </c>
      <c r="AB13" s="92">
        <f t="shared" si="1"/>
        <v>21</v>
      </c>
      <c r="AC13" s="31">
        <v>5</v>
      </c>
      <c r="AD13" s="31">
        <v>5</v>
      </c>
      <c r="AE13" s="92">
        <f t="shared" si="2"/>
        <v>10</v>
      </c>
      <c r="AF13" s="93" t="str">
        <f t="shared" si="3"/>
        <v>DO</v>
      </c>
      <c r="AG13" s="92">
        <f t="shared" si="4"/>
        <v>74</v>
      </c>
      <c r="AH13" s="257" t="str">
        <f t="shared" si="5"/>
        <v>APROBADO</v>
      </c>
      <c r="AI13" s="258"/>
      <c r="AJ13" s="258"/>
      <c r="AK13" s="258"/>
      <c r="AL13" s="258"/>
      <c r="AM13" s="259"/>
      <c r="AN13" s="95"/>
      <c r="AO13" s="95"/>
      <c r="AP13" s="95"/>
      <c r="AQ13" s="95"/>
      <c r="AR13" s="95"/>
    </row>
    <row r="14" spans="1:48" ht="12" customHeight="1" x14ac:dyDescent="0.3">
      <c r="A14" s="59">
        <v>6</v>
      </c>
      <c r="B14" s="90" t="str">
        <f>'C. FILIACION'!B13</f>
        <v>GOMEZ BELTRAN ALBERT NORMAN</v>
      </c>
      <c r="C14" s="31">
        <v>10</v>
      </c>
      <c r="D14" s="91">
        <v>20</v>
      </c>
      <c r="E14" s="31">
        <v>35</v>
      </c>
      <c r="F14" s="91">
        <v>18</v>
      </c>
      <c r="G14" s="91">
        <v>27</v>
      </c>
      <c r="H14" s="91">
        <v>30</v>
      </c>
      <c r="I14" s="91">
        <v>18</v>
      </c>
      <c r="J14" s="91"/>
      <c r="K14" s="31"/>
      <c r="L14" s="31"/>
      <c r="M14" s="31"/>
      <c r="N14" s="31"/>
      <c r="O14" s="92">
        <f t="shared" si="0"/>
        <v>25</v>
      </c>
      <c r="P14" s="31">
        <v>35</v>
      </c>
      <c r="Q14" s="31">
        <v>30</v>
      </c>
      <c r="R14" s="31">
        <v>35</v>
      </c>
      <c r="S14" s="31">
        <v>26</v>
      </c>
      <c r="T14" s="31">
        <v>0</v>
      </c>
      <c r="U14" s="31">
        <v>0</v>
      </c>
      <c r="V14" s="31">
        <v>35</v>
      </c>
      <c r="W14" s="31">
        <v>35</v>
      </c>
      <c r="X14" s="31">
        <v>28</v>
      </c>
      <c r="Y14" s="31"/>
      <c r="Z14" s="31"/>
      <c r="AA14" s="31">
        <v>10</v>
      </c>
      <c r="AB14" s="92">
        <f t="shared" si="1"/>
        <v>25</v>
      </c>
      <c r="AC14" s="31">
        <v>5</v>
      </c>
      <c r="AD14" s="31">
        <v>5</v>
      </c>
      <c r="AE14" s="92">
        <f t="shared" si="2"/>
        <v>10</v>
      </c>
      <c r="AF14" s="93" t="str">
        <f t="shared" si="3"/>
        <v>DO</v>
      </c>
      <c r="AG14" s="92">
        <f t="shared" si="4"/>
        <v>80</v>
      </c>
      <c r="AH14" s="257" t="str">
        <f t="shared" si="5"/>
        <v>APROBADO</v>
      </c>
      <c r="AI14" s="258"/>
      <c r="AJ14" s="258"/>
      <c r="AK14" s="258"/>
      <c r="AL14" s="258"/>
      <c r="AM14" s="259"/>
      <c r="AN14" s="95"/>
      <c r="AO14" s="95"/>
      <c r="AP14" s="95"/>
      <c r="AQ14" s="95"/>
      <c r="AR14" s="95"/>
    </row>
    <row r="15" spans="1:48" ht="12" customHeight="1" x14ac:dyDescent="0.3">
      <c r="A15" s="59">
        <v>7</v>
      </c>
      <c r="B15" s="186" t="str">
        <f>'C. FILIACION'!B14</f>
        <v>GOMEZ COSME MELANY KARINA</v>
      </c>
      <c r="C15" s="187">
        <v>10</v>
      </c>
      <c r="D15" s="187">
        <v>0</v>
      </c>
      <c r="E15" s="187">
        <v>0</v>
      </c>
      <c r="F15" s="187">
        <v>0</v>
      </c>
      <c r="G15" s="187">
        <v>0</v>
      </c>
      <c r="H15" s="187">
        <v>0</v>
      </c>
      <c r="I15" s="187"/>
      <c r="J15" s="187"/>
      <c r="K15" s="187"/>
      <c r="L15" s="187"/>
      <c r="M15" s="187"/>
      <c r="N15" s="187"/>
      <c r="O15" s="188">
        <f t="shared" si="0"/>
        <v>0</v>
      </c>
      <c r="P15" s="187">
        <v>0</v>
      </c>
      <c r="Q15" s="187">
        <v>0</v>
      </c>
      <c r="R15" s="187">
        <v>0</v>
      </c>
      <c r="S15" s="187">
        <v>0</v>
      </c>
      <c r="T15" s="187">
        <v>0</v>
      </c>
      <c r="U15" s="187">
        <v>0</v>
      </c>
      <c r="V15" s="187">
        <v>0</v>
      </c>
      <c r="W15" s="187">
        <v>0</v>
      </c>
      <c r="X15" s="187">
        <v>0</v>
      </c>
      <c r="Y15" s="31"/>
      <c r="Z15" s="31"/>
      <c r="AA15" s="31">
        <v>10</v>
      </c>
      <c r="AB15" s="92">
        <f t="shared" si="1"/>
        <v>0</v>
      </c>
      <c r="AC15" s="31">
        <v>5</v>
      </c>
      <c r="AD15" s="31">
        <v>5</v>
      </c>
      <c r="AE15" s="92">
        <f t="shared" si="2"/>
        <v>10</v>
      </c>
      <c r="AF15" s="93" t="str">
        <f t="shared" si="3"/>
        <v>ED</v>
      </c>
      <c r="AG15" s="92">
        <f t="shared" si="4"/>
        <v>30</v>
      </c>
      <c r="AH15" s="257" t="str">
        <f t="shared" si="5"/>
        <v>REPROBADO</v>
      </c>
      <c r="AI15" s="258"/>
      <c r="AJ15" s="258"/>
      <c r="AK15" s="258"/>
      <c r="AL15" s="258"/>
      <c r="AM15" s="259"/>
      <c r="AN15" s="95"/>
      <c r="AO15" s="95"/>
      <c r="AP15" s="95"/>
      <c r="AQ15" s="95"/>
      <c r="AR15" s="95"/>
    </row>
    <row r="16" spans="1:48" ht="12" customHeight="1" x14ac:dyDescent="0.3">
      <c r="A16" s="59">
        <v>8</v>
      </c>
      <c r="B16" s="90" t="str">
        <f>'C. FILIACION'!B15</f>
        <v>GONZALES ZUAZO KALEB RAMSES</v>
      </c>
      <c r="C16" s="31">
        <v>10</v>
      </c>
      <c r="D16" s="91">
        <v>20</v>
      </c>
      <c r="E16" s="31"/>
      <c r="F16" s="91">
        <v>18</v>
      </c>
      <c r="G16" s="91">
        <v>26</v>
      </c>
      <c r="H16" s="91">
        <v>30</v>
      </c>
      <c r="I16" s="91">
        <v>30</v>
      </c>
      <c r="J16" s="91"/>
      <c r="K16" s="31"/>
      <c r="L16" s="31"/>
      <c r="M16" s="31"/>
      <c r="N16" s="31"/>
      <c r="O16" s="92">
        <f t="shared" si="0"/>
        <v>25</v>
      </c>
      <c r="P16" s="31">
        <v>35</v>
      </c>
      <c r="Q16" s="31">
        <v>30</v>
      </c>
      <c r="R16" s="31">
        <v>30</v>
      </c>
      <c r="S16" s="31">
        <v>26</v>
      </c>
      <c r="T16" s="31">
        <v>0</v>
      </c>
      <c r="U16" s="31">
        <v>0</v>
      </c>
      <c r="V16" s="31">
        <v>0</v>
      </c>
      <c r="W16" s="31">
        <v>35</v>
      </c>
      <c r="X16" s="31">
        <v>25</v>
      </c>
      <c r="Y16" s="31"/>
      <c r="Z16" s="31"/>
      <c r="AA16" s="31">
        <v>10</v>
      </c>
      <c r="AB16" s="92">
        <f t="shared" si="1"/>
        <v>20</v>
      </c>
      <c r="AC16" s="31">
        <v>5</v>
      </c>
      <c r="AD16" s="31">
        <v>5</v>
      </c>
      <c r="AE16" s="92">
        <f t="shared" si="2"/>
        <v>10</v>
      </c>
      <c r="AF16" s="93" t="str">
        <f t="shared" si="3"/>
        <v>DO</v>
      </c>
      <c r="AG16" s="92">
        <f t="shared" si="4"/>
        <v>75</v>
      </c>
      <c r="AH16" s="257" t="str">
        <f t="shared" si="5"/>
        <v>APROBADO</v>
      </c>
      <c r="AI16" s="258"/>
      <c r="AJ16" s="258"/>
      <c r="AK16" s="258"/>
      <c r="AL16" s="258"/>
      <c r="AM16" s="259"/>
      <c r="AN16" s="95"/>
      <c r="AO16" s="95"/>
      <c r="AP16" s="95"/>
      <c r="AQ16" s="95"/>
      <c r="AR16" s="95"/>
    </row>
    <row r="17" spans="1:44" ht="12" customHeight="1" x14ac:dyDescent="0.3">
      <c r="A17" s="59">
        <v>9</v>
      </c>
      <c r="B17" s="90" t="str">
        <f>'C. FILIACION'!B16</f>
        <v>LEDEZMA AGUILAR ELVIS JHEFERSON</v>
      </c>
      <c r="C17" s="31">
        <v>10</v>
      </c>
      <c r="D17" s="91">
        <v>20</v>
      </c>
      <c r="E17" s="31">
        <v>35</v>
      </c>
      <c r="F17" s="91">
        <v>20</v>
      </c>
      <c r="G17" s="91">
        <v>30</v>
      </c>
      <c r="H17" s="91">
        <v>0</v>
      </c>
      <c r="I17" s="91">
        <v>35</v>
      </c>
      <c r="J17" s="91"/>
      <c r="K17" s="31"/>
      <c r="L17" s="31"/>
      <c r="M17" s="31"/>
      <c r="N17" s="31"/>
      <c r="O17" s="92">
        <f t="shared" si="0"/>
        <v>23</v>
      </c>
      <c r="P17" s="31">
        <v>35</v>
      </c>
      <c r="Q17" s="31">
        <v>32</v>
      </c>
      <c r="R17" s="31">
        <v>35</v>
      </c>
      <c r="S17" s="31">
        <v>35</v>
      </c>
      <c r="T17" s="31">
        <v>26</v>
      </c>
      <c r="U17" s="31">
        <v>0</v>
      </c>
      <c r="V17" s="31">
        <v>0</v>
      </c>
      <c r="W17" s="31">
        <v>35</v>
      </c>
      <c r="X17" s="31">
        <v>0</v>
      </c>
      <c r="Y17" s="31"/>
      <c r="Z17" s="31"/>
      <c r="AA17" s="31">
        <v>10</v>
      </c>
      <c r="AB17" s="92">
        <f t="shared" si="1"/>
        <v>22</v>
      </c>
      <c r="AC17" s="31">
        <v>5</v>
      </c>
      <c r="AD17" s="31">
        <v>5</v>
      </c>
      <c r="AE17" s="92">
        <f t="shared" si="2"/>
        <v>10</v>
      </c>
      <c r="AF17" s="93" t="str">
        <f t="shared" si="3"/>
        <v>DO</v>
      </c>
      <c r="AG17" s="92">
        <f t="shared" si="4"/>
        <v>75</v>
      </c>
      <c r="AH17" s="257" t="str">
        <f t="shared" si="5"/>
        <v>APROBADO</v>
      </c>
      <c r="AI17" s="258"/>
      <c r="AJ17" s="258"/>
      <c r="AK17" s="258"/>
      <c r="AL17" s="258"/>
      <c r="AM17" s="259"/>
      <c r="AN17" s="95"/>
      <c r="AO17" s="95"/>
      <c r="AP17" s="95"/>
      <c r="AQ17" s="95"/>
      <c r="AR17" s="95"/>
    </row>
    <row r="18" spans="1:44" ht="12" customHeight="1" x14ac:dyDescent="0.3">
      <c r="A18" s="59">
        <v>10</v>
      </c>
      <c r="B18" s="90" t="str">
        <f>'C. FILIACION'!B17</f>
        <v>LOBATON RODRIGUEZ JHONATAN A.</v>
      </c>
      <c r="C18" s="31">
        <v>10</v>
      </c>
      <c r="D18" s="91">
        <v>20</v>
      </c>
      <c r="E18" s="31">
        <v>35</v>
      </c>
      <c r="F18" s="91">
        <v>10</v>
      </c>
      <c r="G18" s="91">
        <v>16</v>
      </c>
      <c r="H18" s="91">
        <v>30</v>
      </c>
      <c r="I18" s="91">
        <v>33</v>
      </c>
      <c r="J18" s="91"/>
      <c r="K18" s="31"/>
      <c r="L18" s="31"/>
      <c r="M18" s="31"/>
      <c r="N18" s="31"/>
      <c r="O18" s="92">
        <f t="shared" si="0"/>
        <v>24</v>
      </c>
      <c r="P18" s="31">
        <v>35</v>
      </c>
      <c r="Q18" s="31">
        <v>32</v>
      </c>
      <c r="R18" s="31">
        <v>35</v>
      </c>
      <c r="S18" s="31">
        <v>0</v>
      </c>
      <c r="T18" s="31">
        <v>0</v>
      </c>
      <c r="U18" s="31">
        <v>20</v>
      </c>
      <c r="V18" s="31">
        <v>31</v>
      </c>
      <c r="W18" s="31">
        <v>33</v>
      </c>
      <c r="X18" s="31">
        <v>0</v>
      </c>
      <c r="Y18" s="31"/>
      <c r="Z18" s="31"/>
      <c r="AA18" s="31">
        <v>10</v>
      </c>
      <c r="AB18" s="92">
        <f t="shared" si="1"/>
        <v>21</v>
      </c>
      <c r="AC18" s="31">
        <v>5</v>
      </c>
      <c r="AD18" s="31">
        <v>5</v>
      </c>
      <c r="AE18" s="92">
        <f t="shared" si="2"/>
        <v>10</v>
      </c>
      <c r="AF18" s="93" t="str">
        <f t="shared" si="3"/>
        <v>DO</v>
      </c>
      <c r="AG18" s="92">
        <f t="shared" si="4"/>
        <v>75</v>
      </c>
      <c r="AH18" s="257" t="str">
        <f t="shared" si="5"/>
        <v>APROBADO</v>
      </c>
      <c r="AI18" s="258"/>
      <c r="AJ18" s="258"/>
      <c r="AK18" s="258"/>
      <c r="AL18" s="258"/>
      <c r="AM18" s="259"/>
      <c r="AN18" s="95"/>
      <c r="AO18" s="95"/>
      <c r="AP18" s="95"/>
      <c r="AQ18" s="95"/>
      <c r="AR18" s="95"/>
    </row>
    <row r="19" spans="1:44" ht="12" customHeight="1" x14ac:dyDescent="0.3">
      <c r="A19" s="59">
        <v>11</v>
      </c>
      <c r="B19" s="186" t="str">
        <f>'C. FILIACION'!B18</f>
        <v>MAMANI LOPEZ DAFNE MILDRED</v>
      </c>
      <c r="C19" s="187">
        <v>10</v>
      </c>
      <c r="D19" s="187">
        <v>15</v>
      </c>
      <c r="E19" s="187">
        <v>0</v>
      </c>
      <c r="F19" s="187">
        <v>25</v>
      </c>
      <c r="G19" s="187">
        <v>22</v>
      </c>
      <c r="H19" s="187">
        <v>30</v>
      </c>
      <c r="I19" s="187"/>
      <c r="J19" s="187"/>
      <c r="K19" s="187"/>
      <c r="L19" s="187"/>
      <c r="M19" s="187"/>
      <c r="N19" s="187"/>
      <c r="O19" s="188">
        <f t="shared" si="0"/>
        <v>18</v>
      </c>
      <c r="P19" s="187">
        <v>0</v>
      </c>
      <c r="Q19" s="187">
        <v>32</v>
      </c>
      <c r="R19" s="187">
        <v>0</v>
      </c>
      <c r="S19" s="187">
        <v>0</v>
      </c>
      <c r="T19" s="187">
        <v>0</v>
      </c>
      <c r="U19" s="187">
        <v>0</v>
      </c>
      <c r="V19" s="187">
        <v>0</v>
      </c>
      <c r="W19" s="187">
        <v>0</v>
      </c>
      <c r="X19" s="187">
        <v>25</v>
      </c>
      <c r="Y19" s="31"/>
      <c r="Z19" s="31"/>
      <c r="AA19" s="31">
        <v>10</v>
      </c>
      <c r="AB19" s="92">
        <f t="shared" si="1"/>
        <v>6</v>
      </c>
      <c r="AC19" s="31">
        <v>5</v>
      </c>
      <c r="AD19" s="31">
        <v>5</v>
      </c>
      <c r="AE19" s="92">
        <f t="shared" si="2"/>
        <v>10</v>
      </c>
      <c r="AF19" s="93" t="str">
        <f t="shared" si="3"/>
        <v>DA</v>
      </c>
      <c r="AG19" s="92">
        <f t="shared" si="4"/>
        <v>54</v>
      </c>
      <c r="AH19" s="257" t="str">
        <f t="shared" si="5"/>
        <v>APROBADO</v>
      </c>
      <c r="AI19" s="258"/>
      <c r="AJ19" s="258"/>
      <c r="AK19" s="258"/>
      <c r="AL19" s="258"/>
      <c r="AM19" s="259"/>
      <c r="AN19" s="95"/>
      <c r="AO19" s="95"/>
      <c r="AP19" s="95"/>
      <c r="AQ19" s="95"/>
      <c r="AR19" s="95"/>
    </row>
    <row r="20" spans="1:44" ht="12" customHeight="1" x14ac:dyDescent="0.3">
      <c r="A20" s="59">
        <v>12</v>
      </c>
      <c r="B20" s="186" t="str">
        <f>'C. FILIACION'!B19</f>
        <v>MARCONI PEREZ SINDEL LUANA</v>
      </c>
      <c r="C20" s="187">
        <v>10</v>
      </c>
      <c r="D20" s="187">
        <v>0</v>
      </c>
      <c r="E20" s="187">
        <v>0</v>
      </c>
      <c r="F20" s="187">
        <v>18</v>
      </c>
      <c r="G20" s="187">
        <v>0</v>
      </c>
      <c r="H20" s="187">
        <v>30</v>
      </c>
      <c r="I20" s="187"/>
      <c r="J20" s="187"/>
      <c r="K20" s="187"/>
      <c r="L20" s="187"/>
      <c r="M20" s="187"/>
      <c r="N20" s="187"/>
      <c r="O20" s="188">
        <f t="shared" si="0"/>
        <v>10</v>
      </c>
      <c r="P20" s="187">
        <v>0</v>
      </c>
      <c r="Q20" s="187">
        <v>32</v>
      </c>
      <c r="R20" s="187">
        <v>0</v>
      </c>
      <c r="S20" s="187">
        <v>0</v>
      </c>
      <c r="T20" s="187">
        <v>0</v>
      </c>
      <c r="U20" s="187">
        <v>0</v>
      </c>
      <c r="V20" s="187">
        <v>33</v>
      </c>
      <c r="W20" s="187">
        <v>0</v>
      </c>
      <c r="X20" s="187">
        <v>28</v>
      </c>
      <c r="Y20" s="31"/>
      <c r="Z20" s="31"/>
      <c r="AA20" s="31">
        <v>10</v>
      </c>
      <c r="AB20" s="92">
        <f t="shared" si="1"/>
        <v>10</v>
      </c>
      <c r="AC20" s="31">
        <v>5</v>
      </c>
      <c r="AD20" s="31">
        <v>5</v>
      </c>
      <c r="AE20" s="92">
        <f t="shared" si="2"/>
        <v>10</v>
      </c>
      <c r="AF20" s="93" t="str">
        <f t="shared" si="3"/>
        <v>ED</v>
      </c>
      <c r="AG20" s="92">
        <f t="shared" si="4"/>
        <v>50</v>
      </c>
      <c r="AH20" s="257" t="str">
        <f t="shared" si="5"/>
        <v>REPROBADO</v>
      </c>
      <c r="AI20" s="258"/>
      <c r="AJ20" s="258"/>
      <c r="AK20" s="258"/>
      <c r="AL20" s="258"/>
      <c r="AM20" s="259"/>
      <c r="AN20" s="95"/>
      <c r="AO20" s="95"/>
      <c r="AP20" s="95"/>
      <c r="AQ20" s="95"/>
      <c r="AR20" s="95"/>
    </row>
    <row r="21" spans="1:44" ht="12" customHeight="1" x14ac:dyDescent="0.3">
      <c r="A21" s="59">
        <v>13</v>
      </c>
      <c r="B21" s="90" t="str">
        <f>'C. FILIACION'!B20</f>
        <v>MENACHO LINEO ANDREA KIMBERLY</v>
      </c>
      <c r="C21" s="31">
        <v>10</v>
      </c>
      <c r="D21" s="91">
        <v>25</v>
      </c>
      <c r="E21" s="31">
        <v>35</v>
      </c>
      <c r="F21" s="91">
        <v>20</v>
      </c>
      <c r="G21" s="91">
        <v>17</v>
      </c>
      <c r="H21" s="91">
        <v>0</v>
      </c>
      <c r="I21" s="91">
        <v>18</v>
      </c>
      <c r="J21" s="91"/>
      <c r="K21" s="31"/>
      <c r="L21" s="31"/>
      <c r="M21" s="31"/>
      <c r="N21" s="31"/>
      <c r="O21" s="92">
        <f t="shared" si="0"/>
        <v>19</v>
      </c>
      <c r="P21" s="31">
        <v>0</v>
      </c>
      <c r="Q21" s="31">
        <v>28</v>
      </c>
      <c r="R21" s="31">
        <v>35</v>
      </c>
      <c r="S21" s="31">
        <v>0</v>
      </c>
      <c r="T21" s="31">
        <v>0</v>
      </c>
      <c r="U21" s="31">
        <v>0</v>
      </c>
      <c r="V21" s="31">
        <v>0</v>
      </c>
      <c r="W21" s="31">
        <v>26</v>
      </c>
      <c r="X21" s="31">
        <v>0</v>
      </c>
      <c r="Y21" s="31"/>
      <c r="Z21" s="31"/>
      <c r="AA21" s="31">
        <v>10</v>
      </c>
      <c r="AB21" s="92">
        <f t="shared" si="1"/>
        <v>10</v>
      </c>
      <c r="AC21" s="31">
        <v>5</v>
      </c>
      <c r="AD21" s="31">
        <v>5</v>
      </c>
      <c r="AE21" s="92">
        <f t="shared" si="2"/>
        <v>10</v>
      </c>
      <c r="AF21" s="93" t="str">
        <f t="shared" si="3"/>
        <v>DA</v>
      </c>
      <c r="AG21" s="92">
        <f t="shared" si="4"/>
        <v>59</v>
      </c>
      <c r="AH21" s="257" t="str">
        <f t="shared" si="5"/>
        <v>APROBADO</v>
      </c>
      <c r="AI21" s="258"/>
      <c r="AJ21" s="258"/>
      <c r="AK21" s="258"/>
      <c r="AL21" s="258"/>
      <c r="AM21" s="259"/>
      <c r="AN21" s="95"/>
      <c r="AO21" s="95"/>
      <c r="AP21" s="95"/>
      <c r="AQ21" s="95"/>
      <c r="AR21" s="95"/>
    </row>
    <row r="22" spans="1:44" ht="12" customHeight="1" x14ac:dyDescent="0.3">
      <c r="A22" s="59">
        <v>14</v>
      </c>
      <c r="B22" s="90" t="str">
        <f>'C. FILIACION'!B21</f>
        <v>PILLCO APAZA MARIAN ALEXANDRA</v>
      </c>
      <c r="C22" s="31">
        <v>10</v>
      </c>
      <c r="D22" s="91">
        <v>0</v>
      </c>
      <c r="E22" s="31">
        <v>25</v>
      </c>
      <c r="F22" s="91">
        <v>30</v>
      </c>
      <c r="G22" s="91">
        <v>0</v>
      </c>
      <c r="H22" s="91">
        <v>0</v>
      </c>
      <c r="I22" s="91">
        <v>18</v>
      </c>
      <c r="J22" s="91"/>
      <c r="K22" s="31"/>
      <c r="L22" s="31"/>
      <c r="M22" s="31"/>
      <c r="N22" s="31"/>
      <c r="O22" s="92">
        <f t="shared" si="0"/>
        <v>12</v>
      </c>
      <c r="P22" s="31">
        <v>0</v>
      </c>
      <c r="Q22" s="31">
        <v>28</v>
      </c>
      <c r="R22" s="31">
        <v>18</v>
      </c>
      <c r="S22" s="31">
        <v>0</v>
      </c>
      <c r="T22" s="31">
        <v>0</v>
      </c>
      <c r="U22" s="31">
        <v>0</v>
      </c>
      <c r="V22" s="31">
        <v>0</v>
      </c>
      <c r="W22" s="31">
        <v>32</v>
      </c>
      <c r="X22" s="31">
        <v>0</v>
      </c>
      <c r="Y22" s="31"/>
      <c r="Z22" s="31"/>
      <c r="AA22" s="31">
        <v>10</v>
      </c>
      <c r="AB22" s="92">
        <f t="shared" si="1"/>
        <v>9</v>
      </c>
      <c r="AC22" s="31">
        <v>5</v>
      </c>
      <c r="AD22" s="31">
        <v>5</v>
      </c>
      <c r="AE22" s="92">
        <f t="shared" si="2"/>
        <v>10</v>
      </c>
      <c r="AF22" s="93" t="str">
        <f t="shared" si="3"/>
        <v>DA</v>
      </c>
      <c r="AG22" s="92">
        <f t="shared" si="4"/>
        <v>51</v>
      </c>
      <c r="AH22" s="257" t="str">
        <f t="shared" si="5"/>
        <v>APROBADO</v>
      </c>
      <c r="AI22" s="258"/>
      <c r="AJ22" s="258"/>
      <c r="AK22" s="258"/>
      <c r="AL22" s="258"/>
      <c r="AM22" s="259"/>
      <c r="AN22" s="95"/>
      <c r="AO22" s="95"/>
      <c r="AP22" s="95"/>
      <c r="AQ22" s="95"/>
      <c r="AR22" s="95"/>
    </row>
    <row r="23" spans="1:44" ht="12" customHeight="1" x14ac:dyDescent="0.3">
      <c r="A23" s="59">
        <v>15</v>
      </c>
      <c r="B23" s="90" t="str">
        <f>'C. FILIACION'!B22</f>
        <v>RUEDA ALVAREZ GREGORY STEVEN</v>
      </c>
      <c r="C23" s="31">
        <v>10</v>
      </c>
      <c r="D23" s="91">
        <v>20</v>
      </c>
      <c r="E23" s="31">
        <v>35</v>
      </c>
      <c r="F23" s="91">
        <v>15</v>
      </c>
      <c r="G23" s="91">
        <v>18</v>
      </c>
      <c r="H23" s="91">
        <v>28</v>
      </c>
      <c r="I23" s="91">
        <v>34</v>
      </c>
      <c r="J23" s="91"/>
      <c r="K23" s="31"/>
      <c r="L23" s="31"/>
      <c r="M23" s="31"/>
      <c r="N23" s="31"/>
      <c r="O23" s="92">
        <f t="shared" si="0"/>
        <v>25</v>
      </c>
      <c r="P23" s="31">
        <v>35</v>
      </c>
      <c r="Q23" s="31">
        <v>28</v>
      </c>
      <c r="R23" s="31">
        <v>35</v>
      </c>
      <c r="S23" s="31">
        <v>0</v>
      </c>
      <c r="T23" s="31">
        <v>0</v>
      </c>
      <c r="U23" s="31">
        <v>0</v>
      </c>
      <c r="V23" s="31">
        <v>0</v>
      </c>
      <c r="W23" s="31">
        <v>0</v>
      </c>
      <c r="X23" s="31">
        <v>26</v>
      </c>
      <c r="Y23" s="31"/>
      <c r="Z23" s="31"/>
      <c r="AA23" s="31">
        <v>10</v>
      </c>
      <c r="AB23" s="92">
        <f t="shared" si="1"/>
        <v>14</v>
      </c>
      <c r="AC23" s="31">
        <v>5</v>
      </c>
      <c r="AD23" s="31">
        <v>5</v>
      </c>
      <c r="AE23" s="92">
        <f t="shared" si="2"/>
        <v>10</v>
      </c>
      <c r="AF23" s="93" t="str">
        <f t="shared" si="3"/>
        <v>DO</v>
      </c>
      <c r="AG23" s="92">
        <f t="shared" si="4"/>
        <v>69</v>
      </c>
      <c r="AH23" s="257" t="str">
        <f t="shared" si="5"/>
        <v>APROBADO</v>
      </c>
      <c r="AI23" s="258"/>
      <c r="AJ23" s="258"/>
      <c r="AK23" s="258"/>
      <c r="AL23" s="258"/>
      <c r="AM23" s="259"/>
      <c r="AN23" s="95"/>
      <c r="AO23" s="95"/>
      <c r="AP23" s="95"/>
      <c r="AQ23" s="95"/>
      <c r="AR23" s="95"/>
    </row>
    <row r="24" spans="1:44" ht="12" customHeight="1" x14ac:dyDescent="0.3">
      <c r="A24" s="59">
        <v>16</v>
      </c>
      <c r="B24" s="186" t="str">
        <f>'C. FILIACION'!B23</f>
        <v>VARGAS JOYCE BELEN</v>
      </c>
      <c r="C24" s="187">
        <v>10</v>
      </c>
      <c r="D24" s="187">
        <v>0</v>
      </c>
      <c r="E24" s="187">
        <v>0</v>
      </c>
      <c r="F24" s="187">
        <v>15</v>
      </c>
      <c r="G24" s="187">
        <v>0</v>
      </c>
      <c r="H24" s="187">
        <v>0</v>
      </c>
      <c r="I24" s="187"/>
      <c r="J24" s="187"/>
      <c r="K24" s="187"/>
      <c r="L24" s="187"/>
      <c r="M24" s="187"/>
      <c r="N24" s="187"/>
      <c r="O24" s="188">
        <f t="shared" si="0"/>
        <v>3</v>
      </c>
      <c r="P24" s="187">
        <v>0</v>
      </c>
      <c r="Q24" s="187">
        <v>0</v>
      </c>
      <c r="R24" s="187">
        <v>0</v>
      </c>
      <c r="S24" s="187">
        <v>0</v>
      </c>
      <c r="T24" s="187">
        <v>0</v>
      </c>
      <c r="U24" s="187">
        <v>0</v>
      </c>
      <c r="V24" s="187">
        <v>0</v>
      </c>
      <c r="W24" s="187">
        <v>0</v>
      </c>
      <c r="X24" s="187">
        <v>0</v>
      </c>
      <c r="Y24" s="31"/>
      <c r="Z24" s="31"/>
      <c r="AA24" s="31">
        <v>10</v>
      </c>
      <c r="AB24" s="92">
        <f t="shared" si="1"/>
        <v>0</v>
      </c>
      <c r="AC24" s="31">
        <v>5</v>
      </c>
      <c r="AD24" s="31">
        <v>5</v>
      </c>
      <c r="AE24" s="92">
        <f t="shared" si="2"/>
        <v>10</v>
      </c>
      <c r="AF24" s="93" t="str">
        <f t="shared" si="3"/>
        <v>ED</v>
      </c>
      <c r="AG24" s="92">
        <f t="shared" si="4"/>
        <v>33</v>
      </c>
      <c r="AH24" s="257" t="str">
        <f t="shared" si="5"/>
        <v>REPROBADO</v>
      </c>
      <c r="AI24" s="258"/>
      <c r="AJ24" s="258"/>
      <c r="AK24" s="258"/>
      <c r="AL24" s="258"/>
      <c r="AM24" s="259"/>
      <c r="AN24" s="95"/>
      <c r="AO24" s="95"/>
      <c r="AP24" s="95"/>
      <c r="AQ24" s="95"/>
      <c r="AR24" s="95"/>
    </row>
    <row r="25" spans="1:44" ht="12" customHeight="1" x14ac:dyDescent="0.3">
      <c r="A25" s="59">
        <v>17</v>
      </c>
      <c r="B25" s="90" t="str">
        <f>'C. FILIACION'!B24</f>
        <v>ZURITA JIMENEZ ELMER ARTURO</v>
      </c>
      <c r="C25" s="31">
        <v>10</v>
      </c>
      <c r="D25" s="91">
        <v>20</v>
      </c>
      <c r="E25" s="31">
        <v>35</v>
      </c>
      <c r="F25" s="91">
        <v>20</v>
      </c>
      <c r="G25" s="91">
        <v>29</v>
      </c>
      <c r="H25" s="91">
        <v>30</v>
      </c>
      <c r="I25" s="91">
        <v>23</v>
      </c>
      <c r="J25" s="91"/>
      <c r="K25" s="31"/>
      <c r="L25" s="31"/>
      <c r="M25" s="31"/>
      <c r="N25" s="31"/>
      <c r="O25" s="92">
        <f t="shared" si="0"/>
        <v>26</v>
      </c>
      <c r="P25" s="31">
        <v>32</v>
      </c>
      <c r="Q25" s="31">
        <v>28</v>
      </c>
      <c r="R25" s="31">
        <v>35</v>
      </c>
      <c r="S25" s="31">
        <v>34</v>
      </c>
      <c r="T25" s="31">
        <v>35</v>
      </c>
      <c r="U25" s="31">
        <v>0</v>
      </c>
      <c r="V25" s="31">
        <v>0</v>
      </c>
      <c r="W25" s="31">
        <v>35</v>
      </c>
      <c r="X25" s="31">
        <v>28</v>
      </c>
      <c r="Y25" s="31"/>
      <c r="Z25" s="31"/>
      <c r="AA25" s="31">
        <v>10</v>
      </c>
      <c r="AB25" s="92">
        <f t="shared" si="1"/>
        <v>25</v>
      </c>
      <c r="AC25" s="31">
        <v>5</v>
      </c>
      <c r="AD25" s="31">
        <v>5</v>
      </c>
      <c r="AE25" s="92">
        <f t="shared" si="2"/>
        <v>10</v>
      </c>
      <c r="AF25" s="93" t="str">
        <f t="shared" si="3"/>
        <v>DO</v>
      </c>
      <c r="AG25" s="92">
        <f t="shared" si="4"/>
        <v>81</v>
      </c>
      <c r="AH25" s="257" t="str">
        <f t="shared" si="5"/>
        <v>APROBADO</v>
      </c>
      <c r="AI25" s="258"/>
      <c r="AJ25" s="258"/>
      <c r="AK25" s="258"/>
      <c r="AL25" s="258"/>
      <c r="AM25" s="259"/>
      <c r="AN25" s="95"/>
      <c r="AO25" s="95"/>
      <c r="AP25" s="95"/>
      <c r="AQ25" s="95"/>
      <c r="AR25" s="95"/>
    </row>
    <row r="26" spans="1:44" ht="12" customHeight="1" x14ac:dyDescent="0.3">
      <c r="A26" s="59">
        <v>18</v>
      </c>
      <c r="B26" s="189" t="s">
        <v>174</v>
      </c>
      <c r="C26" s="187">
        <v>10</v>
      </c>
      <c r="D26" s="187">
        <v>0</v>
      </c>
      <c r="E26" s="187">
        <v>0</v>
      </c>
      <c r="F26" s="187">
        <v>0</v>
      </c>
      <c r="G26" s="187">
        <v>0</v>
      </c>
      <c r="H26" s="187">
        <v>30</v>
      </c>
      <c r="I26" s="187">
        <v>34</v>
      </c>
      <c r="J26" s="187"/>
      <c r="K26" s="187"/>
      <c r="L26" s="187"/>
      <c r="M26" s="187"/>
      <c r="N26" s="187"/>
      <c r="O26" s="188">
        <f t="shared" si="0"/>
        <v>11</v>
      </c>
      <c r="P26" s="187">
        <v>0</v>
      </c>
      <c r="Q26" s="187">
        <v>0</v>
      </c>
      <c r="R26" s="187">
        <v>0</v>
      </c>
      <c r="S26" s="187">
        <v>0</v>
      </c>
      <c r="T26" s="187">
        <v>0</v>
      </c>
      <c r="U26" s="187">
        <v>0</v>
      </c>
      <c r="V26" s="187">
        <v>0</v>
      </c>
      <c r="W26" s="187">
        <v>0</v>
      </c>
      <c r="X26" s="187">
        <v>25</v>
      </c>
      <c r="Y26" s="31"/>
      <c r="Z26" s="31"/>
      <c r="AA26" s="31">
        <v>10</v>
      </c>
      <c r="AB26" s="92">
        <f t="shared" si="1"/>
        <v>3</v>
      </c>
      <c r="AC26" s="31">
        <v>5</v>
      </c>
      <c r="AD26" s="31">
        <v>5</v>
      </c>
      <c r="AE26" s="92">
        <f t="shared" si="2"/>
        <v>10</v>
      </c>
      <c r="AF26" s="93" t="str">
        <f t="shared" si="3"/>
        <v>ED</v>
      </c>
      <c r="AG26" s="92">
        <f t="shared" si="4"/>
        <v>44</v>
      </c>
      <c r="AH26" s="257" t="str">
        <f t="shared" si="5"/>
        <v>REPROBADO</v>
      </c>
      <c r="AI26" s="258"/>
      <c r="AJ26" s="258"/>
      <c r="AK26" s="258"/>
      <c r="AL26" s="258"/>
      <c r="AM26" s="259"/>
      <c r="AN26" s="95"/>
      <c r="AO26" s="95"/>
      <c r="AP26" s="95"/>
      <c r="AQ26" s="95"/>
      <c r="AR26" s="95"/>
    </row>
    <row r="27" spans="1:44" ht="12" customHeight="1" x14ac:dyDescent="0.3">
      <c r="A27" s="59">
        <v>19</v>
      </c>
      <c r="B27" s="90" t="str">
        <f>'C. FILIACION'!B26</f>
        <v>Ventura Choque Danely Keyla</v>
      </c>
      <c r="C27" s="31">
        <v>10</v>
      </c>
      <c r="D27" s="91"/>
      <c r="E27" s="31"/>
      <c r="F27" s="91">
        <v>0</v>
      </c>
      <c r="G27" s="91">
        <v>18</v>
      </c>
      <c r="H27" s="91">
        <v>28</v>
      </c>
      <c r="I27" s="91">
        <v>18</v>
      </c>
      <c r="J27" s="91"/>
      <c r="K27" s="31"/>
      <c r="L27" s="31"/>
      <c r="M27" s="31"/>
      <c r="N27" s="31"/>
      <c r="O27" s="92">
        <f t="shared" si="0"/>
        <v>16</v>
      </c>
      <c r="P27" s="31"/>
      <c r="Q27" s="31"/>
      <c r="R27" s="31"/>
      <c r="S27" s="31"/>
      <c r="T27" s="31"/>
      <c r="U27" s="31">
        <v>0</v>
      </c>
      <c r="V27" s="31">
        <v>0</v>
      </c>
      <c r="W27" s="31">
        <v>35</v>
      </c>
      <c r="X27" s="31">
        <v>26</v>
      </c>
      <c r="Y27" s="31"/>
      <c r="Z27" s="31"/>
      <c r="AA27" s="31">
        <v>10</v>
      </c>
      <c r="AB27" s="92">
        <f t="shared" si="1"/>
        <v>15</v>
      </c>
      <c r="AC27" s="31">
        <v>5</v>
      </c>
      <c r="AD27" s="31">
        <v>5</v>
      </c>
      <c r="AE27" s="92">
        <f t="shared" si="2"/>
        <v>10</v>
      </c>
      <c r="AF27" s="93" t="str">
        <f t="shared" si="3"/>
        <v>DA</v>
      </c>
      <c r="AG27" s="92">
        <f t="shared" si="4"/>
        <v>61</v>
      </c>
      <c r="AH27" s="257" t="str">
        <f t="shared" si="5"/>
        <v>APROBADO</v>
      </c>
      <c r="AI27" s="258"/>
      <c r="AJ27" s="258"/>
      <c r="AK27" s="258"/>
      <c r="AL27" s="258"/>
      <c r="AM27" s="259"/>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7" t="str">
        <f t="shared" si="5"/>
        <v>APROBADO</v>
      </c>
      <c r="AI28" s="258"/>
      <c r="AJ28" s="258"/>
      <c r="AK28" s="258"/>
      <c r="AL28" s="258"/>
      <c r="AM28" s="259"/>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7" t="str">
        <f t="shared" si="5"/>
        <v>APROBADO</v>
      </c>
      <c r="AI29" s="258"/>
      <c r="AJ29" s="258"/>
      <c r="AK29" s="258"/>
      <c r="AL29" s="258"/>
      <c r="AM29" s="259"/>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7" t="str">
        <f t="shared" si="5"/>
        <v>APROBADO</v>
      </c>
      <c r="AI30" s="258"/>
      <c r="AJ30" s="258"/>
      <c r="AK30" s="258"/>
      <c r="AL30" s="258"/>
      <c r="AM30" s="259"/>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7" t="str">
        <f t="shared" si="5"/>
        <v>APROBADO</v>
      </c>
      <c r="AI31" s="258"/>
      <c r="AJ31" s="258"/>
      <c r="AK31" s="258"/>
      <c r="AL31" s="258"/>
      <c r="AM31" s="259"/>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7" t="str">
        <f t="shared" si="5"/>
        <v>APROBADO</v>
      </c>
      <c r="AI32" s="258"/>
      <c r="AJ32" s="258"/>
      <c r="AK32" s="258"/>
      <c r="AL32" s="258"/>
      <c r="AM32" s="259"/>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7" t="str">
        <f t="shared" si="5"/>
        <v>APROBADO</v>
      </c>
      <c r="AI33" s="258"/>
      <c r="AJ33" s="258"/>
      <c r="AK33" s="258"/>
      <c r="AL33" s="258"/>
      <c r="AM33" s="259"/>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7" t="str">
        <f t="shared" si="5"/>
        <v>APROBADO</v>
      </c>
      <c r="AI34" s="258"/>
      <c r="AJ34" s="258"/>
      <c r="AK34" s="258"/>
      <c r="AL34" s="258"/>
      <c r="AM34" s="259"/>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7" t="str">
        <f t="shared" si="5"/>
        <v>APROBADO</v>
      </c>
      <c r="AI35" s="258"/>
      <c r="AJ35" s="258"/>
      <c r="AK35" s="258"/>
      <c r="AL35" s="258"/>
      <c r="AM35" s="259"/>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7" t="str">
        <f t="shared" si="5"/>
        <v>APROBADO</v>
      </c>
      <c r="AI36" s="258"/>
      <c r="AJ36" s="258"/>
      <c r="AK36" s="258"/>
      <c r="AL36" s="258"/>
      <c r="AM36" s="259"/>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7" t="str">
        <f t="shared" si="5"/>
        <v>APROBADO</v>
      </c>
      <c r="AI37" s="258"/>
      <c r="AJ37" s="258"/>
      <c r="AK37" s="258"/>
      <c r="AL37" s="258"/>
      <c r="AM37" s="259"/>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7" t="str">
        <f t="shared" si="5"/>
        <v>APROBADO</v>
      </c>
      <c r="AI38" s="258"/>
      <c r="AJ38" s="258"/>
      <c r="AK38" s="258"/>
      <c r="AL38" s="258"/>
      <c r="AM38" s="259"/>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7" t="str">
        <f t="shared" si="5"/>
        <v>APROBADO</v>
      </c>
      <c r="AI39" s="258"/>
      <c r="AJ39" s="258"/>
      <c r="AK39" s="258"/>
      <c r="AL39" s="258"/>
      <c r="AM39" s="259"/>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7" t="str">
        <f t="shared" si="5"/>
        <v>APROBADO</v>
      </c>
      <c r="AI40" s="258"/>
      <c r="AJ40" s="258"/>
      <c r="AK40" s="258"/>
      <c r="AL40" s="258"/>
      <c r="AM40" s="259"/>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7" t="str">
        <f t="shared" si="5"/>
        <v>APROBADO</v>
      </c>
      <c r="AI41" s="258"/>
      <c r="AJ41" s="258"/>
      <c r="AK41" s="258"/>
      <c r="AL41" s="258"/>
      <c r="AM41" s="259"/>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7" t="str">
        <f t="shared" si="5"/>
        <v>APROBADO</v>
      </c>
      <c r="AI42" s="258"/>
      <c r="AJ42" s="258"/>
      <c r="AK42" s="258"/>
      <c r="AL42" s="258"/>
      <c r="AM42" s="259"/>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7" t="str">
        <f t="shared" si="5"/>
        <v>APROBADO</v>
      </c>
      <c r="AI43" s="258"/>
      <c r="AJ43" s="258"/>
      <c r="AK43" s="258"/>
      <c r="AL43" s="258"/>
      <c r="AM43" s="259"/>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7" t="str">
        <f t="shared" si="5"/>
        <v>APROBADO</v>
      </c>
      <c r="AI44" s="258"/>
      <c r="AJ44" s="258"/>
      <c r="AK44" s="258"/>
      <c r="AL44" s="258"/>
      <c r="AM44" s="259"/>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2" t="s">
        <v>106</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60" t="s">
        <v>50</v>
      </c>
      <c r="AD3" s="258"/>
      <c r="AE3" s="258"/>
      <c r="AF3" s="258"/>
      <c r="AG3" s="258"/>
      <c r="AH3" s="259"/>
      <c r="AI3" s="222">
        <f>CARÁTULA!$H$24</f>
        <v>44440</v>
      </c>
      <c r="AJ3" s="204"/>
      <c r="AK3" s="204"/>
      <c r="AL3" s="204"/>
      <c r="AM3" s="204"/>
      <c r="AN3" s="263" t="s">
        <v>51</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60" t="s">
        <v>53</v>
      </c>
      <c r="AD4" s="258"/>
      <c r="AE4" s="258"/>
      <c r="AF4" s="258"/>
      <c r="AG4" s="258"/>
      <c r="AH4" s="259"/>
      <c r="AI4" s="222">
        <f>CARÁTULA!$J$24</f>
        <v>44531</v>
      </c>
      <c r="AJ4" s="204"/>
      <c r="AK4" s="204"/>
      <c r="AL4" s="204"/>
      <c r="AM4" s="204"/>
      <c r="AN4" s="256">
        <f ca="1">AI4-AI5</f>
        <v>105</v>
      </c>
      <c r="AO4" s="214"/>
      <c r="AP4" s="214"/>
      <c r="AQ4" s="214"/>
      <c r="AR4" s="215"/>
    </row>
    <row r="5" spans="1:48" ht="12.75" customHeight="1" x14ac:dyDescent="0.35">
      <c r="A5" s="71"/>
      <c r="B5" s="74" t="s">
        <v>22</v>
      </c>
      <c r="C5" s="75" t="str">
        <f>CARÁTULA!$C$23</f>
        <v>6to de Secundaria</v>
      </c>
      <c r="D5" s="76"/>
      <c r="E5" s="76"/>
      <c r="F5" s="76"/>
      <c r="G5" s="74"/>
      <c r="H5" s="74"/>
      <c r="I5" s="74"/>
      <c r="J5" s="74"/>
      <c r="K5" s="74"/>
      <c r="L5" s="74"/>
      <c r="M5" s="74"/>
      <c r="N5" s="74"/>
      <c r="O5" s="77" t="s">
        <v>23</v>
      </c>
      <c r="P5" s="79"/>
      <c r="Q5" s="79"/>
      <c r="R5" s="79"/>
      <c r="S5" s="268">
        <f ca="1">TODAY()</f>
        <v>44426</v>
      </c>
      <c r="T5" s="195"/>
      <c r="U5" s="195"/>
      <c r="V5" s="195"/>
      <c r="W5" s="195"/>
      <c r="X5" s="195"/>
      <c r="Y5" s="195"/>
      <c r="Z5" s="195"/>
      <c r="AA5" s="196"/>
      <c r="AB5" s="76"/>
      <c r="AC5" s="261" t="s">
        <v>54</v>
      </c>
      <c r="AD5" s="258"/>
      <c r="AE5" s="258"/>
      <c r="AF5" s="258"/>
      <c r="AG5" s="258"/>
      <c r="AH5" s="259"/>
      <c r="AI5" s="264">
        <f ca="1">TODAY()</f>
        <v>44426</v>
      </c>
      <c r="AJ5" s="204"/>
      <c r="AK5" s="204"/>
      <c r="AL5" s="204"/>
      <c r="AM5" s="204"/>
      <c r="AN5" s="216"/>
      <c r="AO5" s="217"/>
      <c r="AP5" s="217"/>
      <c r="AQ5" s="217"/>
      <c r="AR5" s="218"/>
    </row>
    <row r="6" spans="1:48" ht="12.75" customHeight="1" x14ac:dyDescent="0.35">
      <c r="A6" s="71"/>
      <c r="B6" s="74"/>
      <c r="C6" s="210" t="s">
        <v>79</v>
      </c>
      <c r="D6" s="211"/>
      <c r="E6" s="211"/>
      <c r="F6" s="211"/>
      <c r="G6" s="211"/>
      <c r="H6" s="211"/>
      <c r="I6" s="211"/>
      <c r="J6" s="211"/>
      <c r="K6" s="211"/>
      <c r="L6" s="211"/>
      <c r="M6" s="211"/>
      <c r="N6" s="211"/>
      <c r="O6" s="211"/>
      <c r="P6" s="211"/>
      <c r="Q6" s="211"/>
      <c r="R6" s="211"/>
      <c r="S6" s="211"/>
      <c r="T6" s="211"/>
      <c r="U6" s="211"/>
      <c r="V6" s="211"/>
      <c r="W6" s="211"/>
      <c r="X6" s="211"/>
      <c r="Y6" s="211"/>
      <c r="Z6" s="211"/>
      <c r="AA6" s="212"/>
      <c r="AB6" s="269" t="s">
        <v>80</v>
      </c>
      <c r="AC6" s="258"/>
      <c r="AD6" s="258"/>
      <c r="AE6" s="259"/>
      <c r="AF6" s="80"/>
      <c r="AG6" s="81"/>
      <c r="AH6" s="81"/>
      <c r="AI6" s="82"/>
      <c r="AJ6" s="83"/>
      <c r="AK6" s="83"/>
      <c r="AL6" s="83"/>
      <c r="AM6" s="83"/>
      <c r="AN6" s="84"/>
      <c r="AO6" s="84"/>
      <c r="AP6" s="84"/>
      <c r="AQ6" s="84"/>
      <c r="AR6" s="84"/>
    </row>
    <row r="7" spans="1:48" ht="12" customHeight="1" x14ac:dyDescent="0.35">
      <c r="A7" s="71"/>
      <c r="B7" s="85"/>
      <c r="C7" s="270" t="s">
        <v>81</v>
      </c>
      <c r="D7" s="271" t="s">
        <v>82</v>
      </c>
      <c r="E7" s="258"/>
      <c r="F7" s="258"/>
      <c r="G7" s="258"/>
      <c r="H7" s="258"/>
      <c r="I7" s="258"/>
      <c r="J7" s="258"/>
      <c r="K7" s="258"/>
      <c r="L7" s="258"/>
      <c r="M7" s="258"/>
      <c r="N7" s="258"/>
      <c r="O7" s="267" t="s">
        <v>83</v>
      </c>
      <c r="P7" s="271" t="s">
        <v>84</v>
      </c>
      <c r="Q7" s="258"/>
      <c r="R7" s="258"/>
      <c r="S7" s="258"/>
      <c r="T7" s="258"/>
      <c r="U7" s="258"/>
      <c r="V7" s="258"/>
      <c r="W7" s="258"/>
      <c r="X7" s="258"/>
      <c r="Y7" s="258"/>
      <c r="Z7" s="258"/>
      <c r="AA7" s="265" t="s">
        <v>85</v>
      </c>
      <c r="AB7" s="267" t="s">
        <v>83</v>
      </c>
      <c r="AC7" s="265" t="s">
        <v>86</v>
      </c>
      <c r="AD7" s="265" t="s">
        <v>87</v>
      </c>
      <c r="AE7" s="267" t="s">
        <v>83</v>
      </c>
      <c r="AF7" s="272" t="s">
        <v>88</v>
      </c>
      <c r="AG7" s="273" t="s">
        <v>89</v>
      </c>
      <c r="AH7" s="274" t="s">
        <v>90</v>
      </c>
      <c r="AI7" s="211"/>
      <c r="AJ7" s="211"/>
      <c r="AK7" s="211"/>
      <c r="AL7" s="211"/>
      <c r="AM7" s="212"/>
      <c r="AN7" s="86"/>
      <c r="AO7" s="76"/>
      <c r="AP7" s="76"/>
      <c r="AQ7" s="76"/>
      <c r="AR7" s="71"/>
    </row>
    <row r="8" spans="1:48" ht="67.5" customHeight="1" x14ac:dyDescent="0.3">
      <c r="A8" s="48" t="s">
        <v>55</v>
      </c>
      <c r="B8" s="49" t="s">
        <v>56</v>
      </c>
      <c r="C8" s="266"/>
      <c r="D8" s="54"/>
      <c r="E8" s="54"/>
      <c r="F8" s="54"/>
      <c r="G8" s="54"/>
      <c r="H8" s="54"/>
      <c r="I8" s="54"/>
      <c r="J8" s="54"/>
      <c r="K8" s="54"/>
      <c r="L8" s="54"/>
      <c r="M8" s="54"/>
      <c r="N8" s="55"/>
      <c r="O8" s="266"/>
      <c r="P8" s="96"/>
      <c r="Q8" s="54"/>
      <c r="R8" s="54"/>
      <c r="S8" s="54"/>
      <c r="T8" s="54"/>
      <c r="U8" s="54"/>
      <c r="V8" s="54"/>
      <c r="W8" s="54"/>
      <c r="X8" s="54"/>
      <c r="Y8" s="54"/>
      <c r="Z8" s="54"/>
      <c r="AA8" s="266"/>
      <c r="AB8" s="266"/>
      <c r="AC8" s="266"/>
      <c r="AD8" s="266"/>
      <c r="AE8" s="266"/>
      <c r="AF8" s="266"/>
      <c r="AG8" s="266"/>
      <c r="AH8" s="275"/>
      <c r="AI8" s="276"/>
      <c r="AJ8" s="276"/>
      <c r="AK8" s="276"/>
      <c r="AL8" s="276"/>
      <c r="AM8" s="277"/>
      <c r="AN8" s="88"/>
      <c r="AO8" s="88"/>
      <c r="AP8" s="88"/>
      <c r="AQ8" s="88"/>
      <c r="AR8" s="89"/>
    </row>
    <row r="9" spans="1:48" ht="12" customHeight="1" x14ac:dyDescent="0.3">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7" t="str">
        <f t="shared" ref="AH9:AH44" si="5">IF(AG9="","",(IF(AND(AG9&gt;=1,AG9&lt;=50.499),"REPROBADO",IF(AND(AG9&gt;=50.5,AG9&lt;=100),"APROBADO"))))</f>
        <v>APROBADO</v>
      </c>
      <c r="AI9" s="258"/>
      <c r="AJ9" s="258"/>
      <c r="AK9" s="258"/>
      <c r="AL9" s="258"/>
      <c r="AM9" s="259"/>
      <c r="AN9" s="94" t="s">
        <v>101</v>
      </c>
      <c r="AO9" s="278">
        <f>COUNTIF(AF9:AF44,"ED")</f>
        <v>0</v>
      </c>
      <c r="AP9" s="259"/>
      <c r="AQ9" s="95"/>
      <c r="AR9" s="95"/>
    </row>
    <row r="10" spans="1:48" ht="12" customHeight="1" x14ac:dyDescent="0.3">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7" t="str">
        <f t="shared" si="5"/>
        <v>APROBADO</v>
      </c>
      <c r="AI10" s="258"/>
      <c r="AJ10" s="258"/>
      <c r="AK10" s="258"/>
      <c r="AL10" s="258"/>
      <c r="AM10" s="259"/>
      <c r="AN10" s="48" t="s">
        <v>102</v>
      </c>
      <c r="AO10" s="278">
        <f>COUNTIF(AF9:AF44,"DA")</f>
        <v>0</v>
      </c>
      <c r="AP10" s="259"/>
      <c r="AQ10" s="95"/>
      <c r="AR10" s="95"/>
    </row>
    <row r="11" spans="1:48" ht="12" customHeight="1" x14ac:dyDescent="0.3">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7" t="str">
        <f t="shared" si="5"/>
        <v>APROBADO</v>
      </c>
      <c r="AI11" s="258"/>
      <c r="AJ11" s="258"/>
      <c r="AK11" s="258"/>
      <c r="AL11" s="258"/>
      <c r="AM11" s="259"/>
      <c r="AN11" s="48" t="s">
        <v>103</v>
      </c>
      <c r="AO11" s="278">
        <f>COUNTIF(AF9:AF44,"DO")</f>
        <v>0</v>
      </c>
      <c r="AP11" s="259"/>
      <c r="AQ11" s="95"/>
      <c r="AR11" s="95"/>
    </row>
    <row r="12" spans="1:48" ht="12" customHeight="1" x14ac:dyDescent="0.3">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7" t="str">
        <f t="shared" si="5"/>
        <v>APROBADO</v>
      </c>
      <c r="AI12" s="258"/>
      <c r="AJ12" s="258"/>
      <c r="AK12" s="258"/>
      <c r="AL12" s="258"/>
      <c r="AM12" s="259"/>
      <c r="AN12" s="48" t="s">
        <v>104</v>
      </c>
      <c r="AO12" s="278">
        <f>COUNTIF(AF9:AF44,"DP")</f>
        <v>36</v>
      </c>
      <c r="AP12" s="259"/>
      <c r="AQ12" s="95"/>
      <c r="AR12" s="95"/>
    </row>
    <row r="13" spans="1:48" ht="12" customHeight="1" x14ac:dyDescent="0.3">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7" t="str">
        <f t="shared" si="5"/>
        <v>APROBADO</v>
      </c>
      <c r="AI13" s="258"/>
      <c r="AJ13" s="258"/>
      <c r="AK13" s="258"/>
      <c r="AL13" s="258"/>
      <c r="AM13" s="259"/>
      <c r="AN13" s="95"/>
      <c r="AO13" s="95"/>
      <c r="AP13" s="95"/>
      <c r="AQ13" s="95"/>
      <c r="AR13" s="95"/>
    </row>
    <row r="14" spans="1:48" ht="12" customHeight="1" x14ac:dyDescent="0.3">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7" t="str">
        <f t="shared" si="5"/>
        <v>APROBADO</v>
      </c>
      <c r="AI14" s="258"/>
      <c r="AJ14" s="258"/>
      <c r="AK14" s="258"/>
      <c r="AL14" s="258"/>
      <c r="AM14" s="259"/>
      <c r="AN14" s="95"/>
      <c r="AO14" s="95"/>
      <c r="AP14" s="95"/>
      <c r="AQ14" s="95"/>
      <c r="AR14" s="95"/>
    </row>
    <row r="15" spans="1:48" ht="12" customHeight="1" x14ac:dyDescent="0.3">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7" t="str">
        <f t="shared" si="5"/>
        <v>APROBADO</v>
      </c>
      <c r="AI15" s="258"/>
      <c r="AJ15" s="258"/>
      <c r="AK15" s="258"/>
      <c r="AL15" s="258"/>
      <c r="AM15" s="259"/>
      <c r="AN15" s="95"/>
      <c r="AO15" s="95"/>
      <c r="AP15" s="95"/>
      <c r="AQ15" s="95"/>
      <c r="AR15" s="95"/>
    </row>
    <row r="16" spans="1:48" ht="12" customHeight="1" x14ac:dyDescent="0.3">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7" t="str">
        <f t="shared" si="5"/>
        <v>APROBADO</v>
      </c>
      <c r="AI16" s="258"/>
      <c r="AJ16" s="258"/>
      <c r="AK16" s="258"/>
      <c r="AL16" s="258"/>
      <c r="AM16" s="259"/>
      <c r="AN16" s="95"/>
      <c r="AO16" s="95"/>
      <c r="AP16" s="95"/>
      <c r="AQ16" s="95"/>
      <c r="AR16" s="95"/>
    </row>
    <row r="17" spans="1:44" ht="12" customHeight="1" x14ac:dyDescent="0.3">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7" t="str">
        <f t="shared" si="5"/>
        <v>APROBADO</v>
      </c>
      <c r="AI17" s="258"/>
      <c r="AJ17" s="258"/>
      <c r="AK17" s="258"/>
      <c r="AL17" s="258"/>
      <c r="AM17" s="259"/>
      <c r="AN17" s="95"/>
      <c r="AO17" s="95"/>
      <c r="AP17" s="95"/>
      <c r="AQ17" s="95"/>
      <c r="AR17" s="95"/>
    </row>
    <row r="18" spans="1:44" ht="12" customHeight="1" x14ac:dyDescent="0.3">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7" t="str">
        <f t="shared" si="5"/>
        <v>APROBADO</v>
      </c>
      <c r="AI18" s="258"/>
      <c r="AJ18" s="258"/>
      <c r="AK18" s="258"/>
      <c r="AL18" s="258"/>
      <c r="AM18" s="259"/>
      <c r="AN18" s="95"/>
      <c r="AO18" s="95"/>
      <c r="AP18" s="95"/>
      <c r="AQ18" s="95"/>
      <c r="AR18" s="95"/>
    </row>
    <row r="19" spans="1:44" ht="12" customHeight="1" x14ac:dyDescent="0.3">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7" t="str">
        <f t="shared" si="5"/>
        <v>APROBADO</v>
      </c>
      <c r="AI19" s="258"/>
      <c r="AJ19" s="258"/>
      <c r="AK19" s="258"/>
      <c r="AL19" s="258"/>
      <c r="AM19" s="259"/>
      <c r="AN19" s="95"/>
      <c r="AO19" s="95"/>
      <c r="AP19" s="95"/>
      <c r="AQ19" s="95"/>
      <c r="AR19" s="95"/>
    </row>
    <row r="20" spans="1:44" ht="12" customHeight="1" x14ac:dyDescent="0.3">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7" t="str">
        <f t="shared" si="5"/>
        <v>APROBADO</v>
      </c>
      <c r="AI20" s="258"/>
      <c r="AJ20" s="258"/>
      <c r="AK20" s="258"/>
      <c r="AL20" s="258"/>
      <c r="AM20" s="259"/>
      <c r="AN20" s="95"/>
      <c r="AO20" s="95"/>
      <c r="AP20" s="95"/>
      <c r="AQ20" s="95"/>
      <c r="AR20" s="95"/>
    </row>
    <row r="21" spans="1:44" ht="12" customHeight="1" x14ac:dyDescent="0.3">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7" t="str">
        <f t="shared" si="5"/>
        <v>APROBADO</v>
      </c>
      <c r="AI21" s="258"/>
      <c r="AJ21" s="258"/>
      <c r="AK21" s="258"/>
      <c r="AL21" s="258"/>
      <c r="AM21" s="259"/>
      <c r="AN21" s="95"/>
      <c r="AO21" s="95"/>
      <c r="AP21" s="95"/>
      <c r="AQ21" s="95"/>
      <c r="AR21" s="95"/>
    </row>
    <row r="22" spans="1:44" ht="12" customHeight="1" x14ac:dyDescent="0.3">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7" t="str">
        <f t="shared" si="5"/>
        <v>APROBADO</v>
      </c>
      <c r="AI22" s="258"/>
      <c r="AJ22" s="258"/>
      <c r="AK22" s="258"/>
      <c r="AL22" s="258"/>
      <c r="AM22" s="259"/>
      <c r="AN22" s="95"/>
      <c r="AO22" s="95"/>
      <c r="AP22" s="95"/>
      <c r="AQ22" s="95"/>
      <c r="AR22" s="95"/>
    </row>
    <row r="23" spans="1:44" ht="12" customHeight="1" x14ac:dyDescent="0.3">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7" t="str">
        <f t="shared" si="5"/>
        <v>APROBADO</v>
      </c>
      <c r="AI23" s="258"/>
      <c r="AJ23" s="258"/>
      <c r="AK23" s="258"/>
      <c r="AL23" s="258"/>
      <c r="AM23" s="259"/>
      <c r="AN23" s="95"/>
      <c r="AO23" s="95"/>
      <c r="AP23" s="95"/>
      <c r="AQ23" s="95"/>
      <c r="AR23" s="95"/>
    </row>
    <row r="24" spans="1:44" ht="12" customHeight="1" x14ac:dyDescent="0.3">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7" t="str">
        <f t="shared" si="5"/>
        <v>APROBADO</v>
      </c>
      <c r="AI24" s="258"/>
      <c r="AJ24" s="258"/>
      <c r="AK24" s="258"/>
      <c r="AL24" s="258"/>
      <c r="AM24" s="259"/>
      <c r="AN24" s="95"/>
      <c r="AO24" s="95"/>
      <c r="AP24" s="95"/>
      <c r="AQ24" s="95"/>
      <c r="AR24" s="95"/>
    </row>
    <row r="25" spans="1:44" ht="12" customHeight="1" x14ac:dyDescent="0.3">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7" t="str">
        <f t="shared" si="5"/>
        <v>APROBADO</v>
      </c>
      <c r="AI25" s="258"/>
      <c r="AJ25" s="258"/>
      <c r="AK25" s="258"/>
      <c r="AL25" s="258"/>
      <c r="AM25" s="259"/>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7" t="str">
        <f t="shared" si="5"/>
        <v>APROBADO</v>
      </c>
      <c r="AI26" s="258"/>
      <c r="AJ26" s="258"/>
      <c r="AK26" s="258"/>
      <c r="AL26" s="258"/>
      <c r="AM26" s="259"/>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7" t="str">
        <f t="shared" si="5"/>
        <v>APROBADO</v>
      </c>
      <c r="AI27" s="258"/>
      <c r="AJ27" s="258"/>
      <c r="AK27" s="258"/>
      <c r="AL27" s="258"/>
      <c r="AM27" s="259"/>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7" t="str">
        <f t="shared" si="5"/>
        <v>APROBADO</v>
      </c>
      <c r="AI28" s="258"/>
      <c r="AJ28" s="258"/>
      <c r="AK28" s="258"/>
      <c r="AL28" s="258"/>
      <c r="AM28" s="259"/>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7" t="str">
        <f t="shared" si="5"/>
        <v>APROBADO</v>
      </c>
      <c r="AI29" s="258"/>
      <c r="AJ29" s="258"/>
      <c r="AK29" s="258"/>
      <c r="AL29" s="258"/>
      <c r="AM29" s="259"/>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7" t="str">
        <f t="shared" si="5"/>
        <v>APROBADO</v>
      </c>
      <c r="AI30" s="258"/>
      <c r="AJ30" s="258"/>
      <c r="AK30" s="258"/>
      <c r="AL30" s="258"/>
      <c r="AM30" s="259"/>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7" t="str">
        <f t="shared" si="5"/>
        <v>APROBADO</v>
      </c>
      <c r="AI31" s="258"/>
      <c r="AJ31" s="258"/>
      <c r="AK31" s="258"/>
      <c r="AL31" s="258"/>
      <c r="AM31" s="259"/>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7" t="str">
        <f t="shared" si="5"/>
        <v>APROBADO</v>
      </c>
      <c r="AI32" s="258"/>
      <c r="AJ32" s="258"/>
      <c r="AK32" s="258"/>
      <c r="AL32" s="258"/>
      <c r="AM32" s="259"/>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7" t="str">
        <f t="shared" si="5"/>
        <v>APROBADO</v>
      </c>
      <c r="AI33" s="258"/>
      <c r="AJ33" s="258"/>
      <c r="AK33" s="258"/>
      <c r="AL33" s="258"/>
      <c r="AM33" s="259"/>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7" t="str">
        <f t="shared" si="5"/>
        <v>APROBADO</v>
      </c>
      <c r="AI34" s="258"/>
      <c r="AJ34" s="258"/>
      <c r="AK34" s="258"/>
      <c r="AL34" s="258"/>
      <c r="AM34" s="259"/>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7" t="str">
        <f t="shared" si="5"/>
        <v>APROBADO</v>
      </c>
      <c r="AI35" s="258"/>
      <c r="AJ35" s="258"/>
      <c r="AK35" s="258"/>
      <c r="AL35" s="258"/>
      <c r="AM35" s="259"/>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7" t="str">
        <f t="shared" si="5"/>
        <v>APROBADO</v>
      </c>
      <c r="AI36" s="258"/>
      <c r="AJ36" s="258"/>
      <c r="AK36" s="258"/>
      <c r="AL36" s="258"/>
      <c r="AM36" s="259"/>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7" t="str">
        <f t="shared" si="5"/>
        <v>APROBADO</v>
      </c>
      <c r="AI37" s="258"/>
      <c r="AJ37" s="258"/>
      <c r="AK37" s="258"/>
      <c r="AL37" s="258"/>
      <c r="AM37" s="259"/>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7" t="str">
        <f t="shared" si="5"/>
        <v>APROBADO</v>
      </c>
      <c r="AI38" s="258"/>
      <c r="AJ38" s="258"/>
      <c r="AK38" s="258"/>
      <c r="AL38" s="258"/>
      <c r="AM38" s="259"/>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7" t="str">
        <f t="shared" si="5"/>
        <v>APROBADO</v>
      </c>
      <c r="AI39" s="258"/>
      <c r="AJ39" s="258"/>
      <c r="AK39" s="258"/>
      <c r="AL39" s="258"/>
      <c r="AM39" s="259"/>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7" t="str">
        <f t="shared" si="5"/>
        <v>APROBADO</v>
      </c>
      <c r="AI40" s="258"/>
      <c r="AJ40" s="258"/>
      <c r="AK40" s="258"/>
      <c r="AL40" s="258"/>
      <c r="AM40" s="259"/>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7" t="str">
        <f t="shared" si="5"/>
        <v>APROBADO</v>
      </c>
      <c r="AI41" s="258"/>
      <c r="AJ41" s="258"/>
      <c r="AK41" s="258"/>
      <c r="AL41" s="258"/>
      <c r="AM41" s="259"/>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7" t="str">
        <f t="shared" si="5"/>
        <v>APROBADO</v>
      </c>
      <c r="AI42" s="258"/>
      <c r="AJ42" s="258"/>
      <c r="AK42" s="258"/>
      <c r="AL42" s="258"/>
      <c r="AM42" s="259"/>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7" t="str">
        <f t="shared" si="5"/>
        <v>APROBADO</v>
      </c>
      <c r="AI43" s="258"/>
      <c r="AJ43" s="258"/>
      <c r="AK43" s="258"/>
      <c r="AL43" s="258"/>
      <c r="AM43" s="259"/>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7" t="str">
        <f t="shared" si="5"/>
        <v>APROBADO</v>
      </c>
      <c r="AI44" s="258"/>
      <c r="AJ44" s="258"/>
      <c r="AK44" s="258"/>
      <c r="AL44" s="258"/>
      <c r="AM44" s="259"/>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08" t="s">
        <v>107</v>
      </c>
      <c r="C2" s="204"/>
      <c r="D2" s="204"/>
      <c r="E2" s="204"/>
      <c r="F2" s="204"/>
      <c r="G2" s="204"/>
      <c r="H2" s="204"/>
      <c r="I2" s="204"/>
      <c r="J2" s="204"/>
      <c r="K2" s="204"/>
      <c r="L2" s="204"/>
      <c r="M2" s="204"/>
      <c r="N2" s="204"/>
      <c r="O2" s="204"/>
      <c r="P2" s="204"/>
      <c r="Q2" s="204"/>
      <c r="R2" s="204"/>
      <c r="S2" s="204"/>
      <c r="T2" s="204"/>
      <c r="U2" s="204"/>
      <c r="V2" s="204"/>
      <c r="W2" s="204"/>
      <c r="X2" s="204"/>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Tec. Tecnologica Programacion Visual</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
      <c r="B5" s="38" t="s">
        <v>22</v>
      </c>
      <c r="C5" s="97" t="str">
        <f>CARÁTULA!$C$23</f>
        <v>6to de Secundaria</v>
      </c>
      <c r="D5" s="40"/>
      <c r="E5" s="40"/>
      <c r="F5" s="40"/>
      <c r="G5" s="40"/>
      <c r="H5" s="40"/>
      <c r="I5" s="40"/>
      <c r="J5" s="40"/>
      <c r="K5" s="40"/>
      <c r="L5" s="40"/>
      <c r="M5" s="40"/>
      <c r="N5" s="38"/>
      <c r="O5" s="38"/>
      <c r="P5" s="38"/>
      <c r="Q5" s="38"/>
      <c r="R5" s="43" t="s">
        <v>23</v>
      </c>
      <c r="S5" s="44"/>
      <c r="T5" s="44"/>
      <c r="U5" s="222">
        <f ca="1">TODAY()</f>
        <v>44426</v>
      </c>
      <c r="V5" s="204"/>
      <c r="W5" s="204"/>
      <c r="X5" s="204"/>
    </row>
    <row r="6" spans="1:28" ht="12.75" customHeight="1" x14ac:dyDescent="0.3">
      <c r="B6" s="38"/>
      <c r="C6" s="279" t="s">
        <v>4</v>
      </c>
      <c r="D6" s="258"/>
      <c r="E6" s="258"/>
      <c r="F6" s="258"/>
      <c r="G6" s="258"/>
      <c r="H6" s="259"/>
      <c r="I6" s="279" t="s">
        <v>10</v>
      </c>
      <c r="J6" s="258"/>
      <c r="K6" s="258"/>
      <c r="L6" s="258"/>
      <c r="M6" s="258"/>
      <c r="N6" s="259"/>
      <c r="O6" s="279" t="s">
        <v>16</v>
      </c>
      <c r="P6" s="258"/>
      <c r="Q6" s="258"/>
      <c r="R6" s="258"/>
      <c r="S6" s="258"/>
      <c r="T6" s="259"/>
      <c r="U6" s="284" t="s">
        <v>108</v>
      </c>
      <c r="V6" s="280" t="s">
        <v>109</v>
      </c>
      <c r="W6" s="68"/>
      <c r="X6" s="68"/>
    </row>
    <row r="7" spans="1:28" ht="12" customHeight="1" x14ac:dyDescent="0.3">
      <c r="B7" s="47"/>
      <c r="C7" s="282"/>
      <c r="D7" s="258"/>
      <c r="E7" s="258"/>
      <c r="F7" s="258"/>
      <c r="G7" s="259"/>
      <c r="H7" s="283" t="s">
        <v>110</v>
      </c>
      <c r="I7" s="282"/>
      <c r="J7" s="258"/>
      <c r="K7" s="258"/>
      <c r="L7" s="258"/>
      <c r="M7" s="259"/>
      <c r="N7" s="283" t="s">
        <v>110</v>
      </c>
      <c r="O7" s="282"/>
      <c r="P7" s="258"/>
      <c r="Q7" s="258"/>
      <c r="R7" s="258"/>
      <c r="S7" s="259"/>
      <c r="T7" s="270" t="s">
        <v>110</v>
      </c>
      <c r="U7" s="281"/>
      <c r="V7" s="281"/>
      <c r="W7" s="40"/>
      <c r="X7" s="40"/>
    </row>
    <row r="8" spans="1:28" ht="67.5" customHeight="1" x14ac:dyDescent="0.3">
      <c r="A8" s="48" t="s">
        <v>55</v>
      </c>
      <c r="B8" s="49" t="s">
        <v>56</v>
      </c>
      <c r="C8" s="98" t="s">
        <v>81</v>
      </c>
      <c r="D8" s="99" t="s">
        <v>82</v>
      </c>
      <c r="E8" s="99" t="s">
        <v>84</v>
      </c>
      <c r="F8" s="99" t="s">
        <v>85</v>
      </c>
      <c r="G8" s="99" t="s">
        <v>111</v>
      </c>
      <c r="H8" s="266"/>
      <c r="I8" s="98" t="s">
        <v>81</v>
      </c>
      <c r="J8" s="99" t="s">
        <v>82</v>
      </c>
      <c r="K8" s="99" t="s">
        <v>84</v>
      </c>
      <c r="L8" s="99" t="s">
        <v>85</v>
      </c>
      <c r="M8" s="99" t="s">
        <v>111</v>
      </c>
      <c r="N8" s="266"/>
      <c r="O8" s="98" t="s">
        <v>81</v>
      </c>
      <c r="P8" s="99" t="s">
        <v>82</v>
      </c>
      <c r="Q8" s="99" t="s">
        <v>84</v>
      </c>
      <c r="R8" s="99" t="s">
        <v>85</v>
      </c>
      <c r="S8" s="99" t="s">
        <v>111</v>
      </c>
      <c r="T8" s="266"/>
      <c r="U8" s="266"/>
      <c r="V8" s="266"/>
      <c r="W8" s="100"/>
      <c r="X8" s="100"/>
    </row>
    <row r="9" spans="1:28" ht="12" customHeight="1" x14ac:dyDescent="0.3">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27</v>
      </c>
      <c r="K9" s="31">
        <f>'VAL 2 TRIM'!AB9</f>
        <v>32</v>
      </c>
      <c r="L9" s="31">
        <f>'VAL 2 TRIM'!AA9</f>
        <v>10</v>
      </c>
      <c r="M9" s="31">
        <f>'VAL 2 TRIM'!AE9</f>
        <v>10</v>
      </c>
      <c r="N9" s="101">
        <f>'VAL 2 TRIM'!AG9</f>
        <v>89</v>
      </c>
      <c r="O9" s="31">
        <f>'VAL 3 TRIM'!C9</f>
        <v>10</v>
      </c>
      <c r="P9" s="31">
        <f>'VAL 3 TRIM'!O9</f>
        <v>35</v>
      </c>
      <c r="Q9" s="31">
        <f>'VAL 3 TRIM'!AB9</f>
        <v>35</v>
      </c>
      <c r="R9" s="31">
        <f>'VAL 3 TRIM'!AA9</f>
        <v>10</v>
      </c>
      <c r="S9" s="31">
        <f>'VAL 3 TRIM'!AE9</f>
        <v>10</v>
      </c>
      <c r="T9" s="101">
        <f>'VAL 3 TRIM'!AG9</f>
        <v>100</v>
      </c>
      <c r="U9" s="102">
        <f t="shared" ref="U9:U44" si="0">AVERAGE(H9,N9,T9)</f>
        <v>93</v>
      </c>
      <c r="V9" s="103" t="str">
        <f t="shared" ref="V9:V44" si="1">IF(U9="","",(IF(AND(U9&gt;=1,U9&lt;=50.499),"REPROBADO",IF(AND(U9&gt;=50.5,U9&lt;=100),"APROBADO"))))</f>
        <v>APROBADO</v>
      </c>
      <c r="W9" s="104"/>
      <c r="X9" s="104"/>
    </row>
    <row r="10" spans="1:28" ht="12" customHeight="1" x14ac:dyDescent="0.3">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32</v>
      </c>
      <c r="K10" s="31">
        <f>'VAL 2 TRIM'!AB10</f>
        <v>32</v>
      </c>
      <c r="L10" s="31">
        <f>'VAL 2 TRIM'!AA10</f>
        <v>10</v>
      </c>
      <c r="M10" s="31">
        <f>'VAL 2 TRIM'!AE10</f>
        <v>10</v>
      </c>
      <c r="N10" s="101">
        <f>'VAL 2 TRIM'!AG10</f>
        <v>94</v>
      </c>
      <c r="O10" s="31">
        <f>'VAL 3 TRIM'!C10</f>
        <v>10</v>
      </c>
      <c r="P10" s="31">
        <f>'VAL 3 TRIM'!O10</f>
        <v>35</v>
      </c>
      <c r="Q10" s="31">
        <f>'VAL 3 TRIM'!AB10</f>
        <v>35</v>
      </c>
      <c r="R10" s="31">
        <f>'VAL 3 TRIM'!AA10</f>
        <v>10</v>
      </c>
      <c r="S10" s="48">
        <f>'VAL 3 TRIM'!AE10</f>
        <v>10</v>
      </c>
      <c r="T10" s="101">
        <f>'VAL 3 TRIM'!AG10</f>
        <v>100</v>
      </c>
      <c r="U10" s="102">
        <f t="shared" si="0"/>
        <v>94.666666666666671</v>
      </c>
      <c r="V10" s="103" t="str">
        <f t="shared" si="1"/>
        <v>APROBADO</v>
      </c>
      <c r="W10" s="104"/>
      <c r="X10" s="104"/>
    </row>
    <row r="11" spans="1:28" ht="12" customHeight="1" x14ac:dyDescent="0.3">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f>'VAL 2 TRIM'!O11</f>
        <v>7</v>
      </c>
      <c r="K11" s="31">
        <f>'VAL 2 TRIM'!AB11</f>
        <v>4</v>
      </c>
      <c r="L11" s="31">
        <f>'VAL 2 TRIM'!AA11</f>
        <v>10</v>
      </c>
      <c r="M11" s="31">
        <f>'VAL 2 TRIM'!AE11</f>
        <v>10</v>
      </c>
      <c r="N11" s="101">
        <f>'VAL 2 TRIM'!AG11</f>
        <v>41</v>
      </c>
      <c r="O11" s="31">
        <f>'VAL 3 TRIM'!C11</f>
        <v>10</v>
      </c>
      <c r="P11" s="31">
        <f>'VAL 3 TRIM'!O11</f>
        <v>35</v>
      </c>
      <c r="Q11" s="31">
        <f>'VAL 3 TRIM'!AB11</f>
        <v>35</v>
      </c>
      <c r="R11" s="31">
        <f>'VAL 3 TRIM'!AA11</f>
        <v>10</v>
      </c>
      <c r="S11" s="48">
        <f>'VAL 3 TRIM'!AE11</f>
        <v>10</v>
      </c>
      <c r="T11" s="101">
        <f>'VAL 3 TRIM'!AG11</f>
        <v>100</v>
      </c>
      <c r="U11" s="102">
        <f t="shared" si="0"/>
        <v>77</v>
      </c>
      <c r="V11" s="103" t="str">
        <f t="shared" si="1"/>
        <v>APROBADO</v>
      </c>
      <c r="W11" s="104"/>
      <c r="X11" s="104"/>
    </row>
    <row r="12" spans="1:28" ht="12" customHeight="1" x14ac:dyDescent="0.3">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f>'VAL 2 TRIM'!O12</f>
        <v>0</v>
      </c>
      <c r="K12" s="31">
        <f>'VAL 2 TRIM'!AB12</f>
        <v>4</v>
      </c>
      <c r="L12" s="31">
        <f>'VAL 2 TRIM'!AA12</f>
        <v>10</v>
      </c>
      <c r="M12" s="31">
        <f>'VAL 2 TRIM'!AE12</f>
        <v>10</v>
      </c>
      <c r="N12" s="101">
        <f>'VAL 2 TRIM'!AG12</f>
        <v>34</v>
      </c>
      <c r="O12" s="31">
        <f>'VAL 3 TRIM'!C12</f>
        <v>10</v>
      </c>
      <c r="P12" s="31">
        <f>'VAL 3 TRIM'!O12</f>
        <v>35</v>
      </c>
      <c r="Q12" s="31">
        <f>'VAL 3 TRIM'!AB12</f>
        <v>35</v>
      </c>
      <c r="R12" s="31">
        <f>'VAL 3 TRIM'!AA12</f>
        <v>10</v>
      </c>
      <c r="S12" s="48">
        <f>'VAL 3 TRIM'!AE12</f>
        <v>10</v>
      </c>
      <c r="T12" s="101">
        <f>'VAL 3 TRIM'!AG12</f>
        <v>100</v>
      </c>
      <c r="U12" s="102">
        <f t="shared" si="0"/>
        <v>61.333333333333336</v>
      </c>
      <c r="V12" s="103" t="str">
        <f t="shared" si="1"/>
        <v>APROBADO</v>
      </c>
      <c r="W12" s="104"/>
      <c r="X12" s="104"/>
    </row>
    <row r="13" spans="1:28" ht="12" customHeight="1" x14ac:dyDescent="0.3">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f>'VAL 2 TRIM'!O13</f>
        <v>23</v>
      </c>
      <c r="K13" s="31">
        <f>'VAL 2 TRIM'!AB13</f>
        <v>21</v>
      </c>
      <c r="L13" s="31">
        <f>'VAL 2 TRIM'!AA13</f>
        <v>10</v>
      </c>
      <c r="M13" s="31">
        <f>'VAL 2 TRIM'!AE13</f>
        <v>10</v>
      </c>
      <c r="N13" s="101">
        <f>'VAL 2 TRIM'!AG13</f>
        <v>74</v>
      </c>
      <c r="O13" s="31">
        <f>'VAL 3 TRIM'!C13</f>
        <v>10</v>
      </c>
      <c r="P13" s="31">
        <f>'VAL 3 TRIM'!O13</f>
        <v>35</v>
      </c>
      <c r="Q13" s="31">
        <f>'VAL 3 TRIM'!AB13</f>
        <v>35</v>
      </c>
      <c r="R13" s="31">
        <f>'VAL 3 TRIM'!AA13</f>
        <v>10</v>
      </c>
      <c r="S13" s="48">
        <f>'VAL 3 TRIM'!AE13</f>
        <v>10</v>
      </c>
      <c r="T13" s="101">
        <f>'VAL 3 TRIM'!AG13</f>
        <v>100</v>
      </c>
      <c r="U13" s="102">
        <f t="shared" si="0"/>
        <v>88</v>
      </c>
      <c r="V13" s="103" t="str">
        <f t="shared" si="1"/>
        <v>APROBADO</v>
      </c>
      <c r="W13" s="104"/>
      <c r="X13" s="104"/>
    </row>
    <row r="14" spans="1:28" ht="12" customHeight="1" x14ac:dyDescent="0.3">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25</v>
      </c>
      <c r="K14" s="31">
        <f>'VAL 2 TRIM'!AB14</f>
        <v>25</v>
      </c>
      <c r="L14" s="31">
        <f>'VAL 2 TRIM'!AA14</f>
        <v>10</v>
      </c>
      <c r="M14" s="31">
        <f>'VAL 2 TRIM'!AE14</f>
        <v>10</v>
      </c>
      <c r="N14" s="101">
        <f>'VAL 2 TRIM'!AG14</f>
        <v>80</v>
      </c>
      <c r="O14" s="31">
        <f>'VAL 3 TRIM'!C14</f>
        <v>10</v>
      </c>
      <c r="P14" s="31">
        <f>'VAL 3 TRIM'!O14</f>
        <v>35</v>
      </c>
      <c r="Q14" s="31">
        <f>'VAL 3 TRIM'!AB14</f>
        <v>35</v>
      </c>
      <c r="R14" s="31">
        <f>'VAL 3 TRIM'!AA14</f>
        <v>10</v>
      </c>
      <c r="S14" s="48">
        <f>'VAL 3 TRIM'!AE14</f>
        <v>10</v>
      </c>
      <c r="T14" s="101">
        <f>'VAL 3 TRIM'!AG14</f>
        <v>100</v>
      </c>
      <c r="U14" s="102">
        <f t="shared" si="0"/>
        <v>90</v>
      </c>
      <c r="V14" s="103" t="str">
        <f t="shared" si="1"/>
        <v>APROBADO</v>
      </c>
      <c r="W14" s="104"/>
      <c r="X14" s="104"/>
    </row>
    <row r="15" spans="1:28" ht="12" customHeight="1" x14ac:dyDescent="0.3">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f>'VAL 2 TRIM'!O15</f>
        <v>0</v>
      </c>
      <c r="K15" s="31">
        <f>'VAL 2 TRIM'!AB15</f>
        <v>0</v>
      </c>
      <c r="L15" s="31">
        <f>'VAL 2 TRIM'!AA15</f>
        <v>10</v>
      </c>
      <c r="M15" s="31">
        <f>'VAL 2 TRIM'!AE15</f>
        <v>10</v>
      </c>
      <c r="N15" s="101">
        <f>'VAL 2 TRIM'!AG15</f>
        <v>30</v>
      </c>
      <c r="O15" s="31">
        <f>'VAL 3 TRIM'!C15</f>
        <v>10</v>
      </c>
      <c r="P15" s="31">
        <f>'VAL 3 TRIM'!O15</f>
        <v>35</v>
      </c>
      <c r="Q15" s="31">
        <f>'VAL 3 TRIM'!AB15</f>
        <v>35</v>
      </c>
      <c r="R15" s="31">
        <f>'VAL 3 TRIM'!AA15</f>
        <v>10</v>
      </c>
      <c r="S15" s="48">
        <f>'VAL 3 TRIM'!AE15</f>
        <v>10</v>
      </c>
      <c r="T15" s="101">
        <f>'VAL 3 TRIM'!AG15</f>
        <v>100</v>
      </c>
      <c r="U15" s="102">
        <f t="shared" si="0"/>
        <v>73.333333333333329</v>
      </c>
      <c r="V15" s="103" t="str">
        <f t="shared" si="1"/>
        <v>APROBADO</v>
      </c>
      <c r="W15" s="104"/>
      <c r="X15" s="104"/>
    </row>
    <row r="16" spans="1:28" ht="12" customHeight="1" x14ac:dyDescent="0.3">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25</v>
      </c>
      <c r="K16" s="31">
        <f>'VAL 2 TRIM'!AB16</f>
        <v>20</v>
      </c>
      <c r="L16" s="31">
        <f>'VAL 2 TRIM'!AA16</f>
        <v>10</v>
      </c>
      <c r="M16" s="31">
        <f>'VAL 2 TRIM'!AE16</f>
        <v>10</v>
      </c>
      <c r="N16" s="101">
        <f>'VAL 2 TRIM'!AG16</f>
        <v>75</v>
      </c>
      <c r="O16" s="31">
        <f>'VAL 3 TRIM'!C16</f>
        <v>10</v>
      </c>
      <c r="P16" s="31">
        <f>'VAL 3 TRIM'!O16</f>
        <v>35</v>
      </c>
      <c r="Q16" s="31">
        <f>'VAL 3 TRIM'!AB16</f>
        <v>35</v>
      </c>
      <c r="R16" s="31">
        <f>'VAL 3 TRIM'!AA16</f>
        <v>10</v>
      </c>
      <c r="S16" s="48">
        <f>'VAL 3 TRIM'!AE16</f>
        <v>10</v>
      </c>
      <c r="T16" s="101">
        <f>'VAL 3 TRIM'!AG16</f>
        <v>100</v>
      </c>
      <c r="U16" s="102">
        <f t="shared" si="0"/>
        <v>88.333333333333329</v>
      </c>
      <c r="V16" s="103" t="str">
        <f t="shared" si="1"/>
        <v>APROBADO</v>
      </c>
      <c r="W16" s="104"/>
      <c r="X16" s="104"/>
    </row>
    <row r="17" spans="1:24" ht="12" customHeight="1" x14ac:dyDescent="0.3">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23</v>
      </c>
      <c r="K17" s="31">
        <f>'VAL 2 TRIM'!AB17</f>
        <v>22</v>
      </c>
      <c r="L17" s="31">
        <f>'VAL 2 TRIM'!AA17</f>
        <v>10</v>
      </c>
      <c r="M17" s="31">
        <f>'VAL 2 TRIM'!AE17</f>
        <v>10</v>
      </c>
      <c r="N17" s="101">
        <f>'VAL 2 TRIM'!AG17</f>
        <v>75</v>
      </c>
      <c r="O17" s="31">
        <f>'VAL 3 TRIM'!C17</f>
        <v>10</v>
      </c>
      <c r="P17" s="31">
        <f>'VAL 3 TRIM'!O17</f>
        <v>35</v>
      </c>
      <c r="Q17" s="31">
        <f>'VAL 3 TRIM'!AB17</f>
        <v>35</v>
      </c>
      <c r="R17" s="31">
        <f>'VAL 3 TRIM'!AA17</f>
        <v>10</v>
      </c>
      <c r="S17" s="48">
        <f>'VAL 3 TRIM'!AE17</f>
        <v>10</v>
      </c>
      <c r="T17" s="101">
        <f>'VAL 3 TRIM'!AG17</f>
        <v>100</v>
      </c>
      <c r="U17" s="102">
        <f t="shared" si="0"/>
        <v>88.333333333333329</v>
      </c>
      <c r="V17" s="103" t="str">
        <f t="shared" si="1"/>
        <v>APROBADO</v>
      </c>
      <c r="W17" s="104"/>
      <c r="X17" s="104"/>
    </row>
    <row r="18" spans="1:24" ht="12" customHeight="1" x14ac:dyDescent="0.3">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24</v>
      </c>
      <c r="K18" s="31">
        <f>'VAL 2 TRIM'!AB18</f>
        <v>21</v>
      </c>
      <c r="L18" s="31">
        <f>'VAL 2 TRIM'!AA18</f>
        <v>10</v>
      </c>
      <c r="M18" s="31">
        <f>'VAL 2 TRIM'!AE18</f>
        <v>10</v>
      </c>
      <c r="N18" s="101">
        <f>'VAL 2 TRIM'!AG18</f>
        <v>75</v>
      </c>
      <c r="O18" s="31">
        <f>'VAL 3 TRIM'!C18</f>
        <v>10</v>
      </c>
      <c r="P18" s="31">
        <f>'VAL 3 TRIM'!O18</f>
        <v>35</v>
      </c>
      <c r="Q18" s="31">
        <f>'VAL 3 TRIM'!AB18</f>
        <v>35</v>
      </c>
      <c r="R18" s="31">
        <f>'VAL 3 TRIM'!AA18</f>
        <v>10</v>
      </c>
      <c r="S18" s="48">
        <f>'VAL 3 TRIM'!AE18</f>
        <v>10</v>
      </c>
      <c r="T18" s="101">
        <f>'VAL 3 TRIM'!AG18</f>
        <v>100</v>
      </c>
      <c r="U18" s="102">
        <f t="shared" si="0"/>
        <v>88.333333333333329</v>
      </c>
      <c r="V18" s="103" t="str">
        <f t="shared" si="1"/>
        <v>APROBADO</v>
      </c>
      <c r="W18" s="104"/>
      <c r="X18" s="104"/>
    </row>
    <row r="19" spans="1:24" ht="12" customHeight="1" x14ac:dyDescent="0.3">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f>'VAL 2 TRIM'!O19</f>
        <v>18</v>
      </c>
      <c r="K19" s="31">
        <f>'VAL 2 TRIM'!AB19</f>
        <v>6</v>
      </c>
      <c r="L19" s="31">
        <f>'VAL 2 TRIM'!AA19</f>
        <v>10</v>
      </c>
      <c r="M19" s="31">
        <f>'VAL 2 TRIM'!AE19</f>
        <v>10</v>
      </c>
      <c r="N19" s="101">
        <f>'VAL 2 TRIM'!AG19</f>
        <v>54</v>
      </c>
      <c r="O19" s="31">
        <f>'VAL 3 TRIM'!C19</f>
        <v>10</v>
      </c>
      <c r="P19" s="31">
        <f>'VAL 3 TRIM'!O19</f>
        <v>35</v>
      </c>
      <c r="Q19" s="31">
        <f>'VAL 3 TRIM'!AB19</f>
        <v>35</v>
      </c>
      <c r="R19" s="31">
        <f>'VAL 3 TRIM'!AA19</f>
        <v>10</v>
      </c>
      <c r="S19" s="48">
        <f>'VAL 3 TRIM'!AE19</f>
        <v>10</v>
      </c>
      <c r="T19" s="101">
        <f>'VAL 3 TRIM'!AG19</f>
        <v>100</v>
      </c>
      <c r="U19" s="102">
        <f t="shared" si="0"/>
        <v>81.333333333333329</v>
      </c>
      <c r="V19" s="103" t="str">
        <f t="shared" si="1"/>
        <v>APROBADO</v>
      </c>
      <c r="W19" s="104"/>
      <c r="X19" s="104"/>
    </row>
    <row r="20" spans="1:24" ht="12" customHeight="1" x14ac:dyDescent="0.3">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10</v>
      </c>
      <c r="K20" s="31">
        <f>'VAL 2 TRIM'!AB20</f>
        <v>10</v>
      </c>
      <c r="L20" s="31">
        <f>'VAL 2 TRIM'!AA20</f>
        <v>10</v>
      </c>
      <c r="M20" s="31">
        <f>'VAL 2 TRIM'!AE20</f>
        <v>10</v>
      </c>
      <c r="N20" s="101">
        <f>'VAL 2 TRIM'!AG20</f>
        <v>50</v>
      </c>
      <c r="O20" s="31">
        <f>'VAL 3 TRIM'!C20</f>
        <v>10</v>
      </c>
      <c r="P20" s="31">
        <f>'VAL 3 TRIM'!O20</f>
        <v>35</v>
      </c>
      <c r="Q20" s="31">
        <f>'VAL 3 TRIM'!AB20</f>
        <v>35</v>
      </c>
      <c r="R20" s="31">
        <f>'VAL 3 TRIM'!AA20</f>
        <v>10</v>
      </c>
      <c r="S20" s="48">
        <f>'VAL 3 TRIM'!AE20</f>
        <v>10</v>
      </c>
      <c r="T20" s="101">
        <f>'VAL 3 TRIM'!AG20</f>
        <v>100</v>
      </c>
      <c r="U20" s="102">
        <f t="shared" si="0"/>
        <v>80</v>
      </c>
      <c r="V20" s="103" t="str">
        <f t="shared" si="1"/>
        <v>APROBADO</v>
      </c>
      <c r="W20" s="104"/>
      <c r="X20" s="104"/>
    </row>
    <row r="21" spans="1:24" ht="12" customHeight="1" x14ac:dyDescent="0.3">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19</v>
      </c>
      <c r="K21" s="31">
        <f>'VAL 2 TRIM'!AB21</f>
        <v>10</v>
      </c>
      <c r="L21" s="31">
        <f>'VAL 2 TRIM'!AA21</f>
        <v>10</v>
      </c>
      <c r="M21" s="31">
        <f>'VAL 2 TRIM'!AE21</f>
        <v>10</v>
      </c>
      <c r="N21" s="101">
        <f>'VAL 2 TRIM'!AG21</f>
        <v>59</v>
      </c>
      <c r="O21" s="31">
        <f>'VAL 3 TRIM'!C21</f>
        <v>10</v>
      </c>
      <c r="P21" s="31">
        <f>'VAL 3 TRIM'!O21</f>
        <v>35</v>
      </c>
      <c r="Q21" s="31">
        <f>'VAL 3 TRIM'!AB21</f>
        <v>35</v>
      </c>
      <c r="R21" s="31">
        <f>'VAL 3 TRIM'!AA21</f>
        <v>10</v>
      </c>
      <c r="S21" s="48">
        <f>'VAL 3 TRIM'!AE21</f>
        <v>10</v>
      </c>
      <c r="T21" s="101">
        <f>'VAL 3 TRIM'!AG21</f>
        <v>100</v>
      </c>
      <c r="U21" s="102">
        <f t="shared" si="0"/>
        <v>83</v>
      </c>
      <c r="V21" s="103" t="str">
        <f t="shared" si="1"/>
        <v>APROBADO</v>
      </c>
      <c r="W21" s="104"/>
      <c r="X21" s="104"/>
    </row>
    <row r="22" spans="1:24" ht="12" customHeight="1" x14ac:dyDescent="0.3">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12</v>
      </c>
      <c r="K22" s="31">
        <f>'VAL 2 TRIM'!AB22</f>
        <v>9</v>
      </c>
      <c r="L22" s="31">
        <f>'VAL 2 TRIM'!AA22</f>
        <v>10</v>
      </c>
      <c r="M22" s="31">
        <f>'VAL 2 TRIM'!AE22</f>
        <v>10</v>
      </c>
      <c r="N22" s="101">
        <f>'VAL 2 TRIM'!AG22</f>
        <v>51</v>
      </c>
      <c r="O22" s="31">
        <f>'VAL 3 TRIM'!C22</f>
        <v>10</v>
      </c>
      <c r="P22" s="31">
        <f>'VAL 3 TRIM'!O22</f>
        <v>35</v>
      </c>
      <c r="Q22" s="31">
        <f>'VAL 3 TRIM'!AB22</f>
        <v>35</v>
      </c>
      <c r="R22" s="31">
        <f>'VAL 3 TRIM'!AA22</f>
        <v>10</v>
      </c>
      <c r="S22" s="48">
        <f>'VAL 3 TRIM'!AE22</f>
        <v>10</v>
      </c>
      <c r="T22" s="101">
        <f>'VAL 3 TRIM'!AG22</f>
        <v>100</v>
      </c>
      <c r="U22" s="102">
        <f t="shared" si="0"/>
        <v>80.333333333333329</v>
      </c>
      <c r="V22" s="103" t="str">
        <f t="shared" si="1"/>
        <v>APROBADO</v>
      </c>
      <c r="W22" s="104"/>
      <c r="X22" s="104"/>
    </row>
    <row r="23" spans="1:24" ht="12" customHeight="1" x14ac:dyDescent="0.3">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25</v>
      </c>
      <c r="K23" s="31">
        <f>'VAL 2 TRIM'!AB23</f>
        <v>14</v>
      </c>
      <c r="L23" s="31">
        <f>'VAL 2 TRIM'!AA23</f>
        <v>10</v>
      </c>
      <c r="M23" s="31">
        <f>'VAL 2 TRIM'!AE23</f>
        <v>10</v>
      </c>
      <c r="N23" s="101">
        <f>'VAL 2 TRIM'!AG23</f>
        <v>69</v>
      </c>
      <c r="O23" s="31">
        <f>'VAL 3 TRIM'!C23</f>
        <v>10</v>
      </c>
      <c r="P23" s="31">
        <f>'VAL 3 TRIM'!O23</f>
        <v>35</v>
      </c>
      <c r="Q23" s="31">
        <f>'VAL 3 TRIM'!AB23</f>
        <v>35</v>
      </c>
      <c r="R23" s="31">
        <f>'VAL 3 TRIM'!AA23</f>
        <v>10</v>
      </c>
      <c r="S23" s="48">
        <f>'VAL 3 TRIM'!AE23</f>
        <v>10</v>
      </c>
      <c r="T23" s="101">
        <f>'VAL 3 TRIM'!AG23</f>
        <v>100</v>
      </c>
      <c r="U23" s="102">
        <f t="shared" si="0"/>
        <v>86.333333333333329</v>
      </c>
      <c r="V23" s="103" t="str">
        <f t="shared" si="1"/>
        <v>APROBADO</v>
      </c>
      <c r="W23" s="104"/>
      <c r="X23" s="104"/>
    </row>
    <row r="24" spans="1:24" ht="12" customHeight="1" x14ac:dyDescent="0.3">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3</v>
      </c>
      <c r="K24" s="31">
        <f>'VAL 2 TRIM'!AB24</f>
        <v>0</v>
      </c>
      <c r="L24" s="31">
        <f>'VAL 2 TRIM'!AA24</f>
        <v>10</v>
      </c>
      <c r="M24" s="31">
        <f>'VAL 2 TRIM'!AE24</f>
        <v>10</v>
      </c>
      <c r="N24" s="101">
        <f>'VAL 2 TRIM'!AG24</f>
        <v>33</v>
      </c>
      <c r="O24" s="31">
        <f>'VAL 3 TRIM'!C24</f>
        <v>10</v>
      </c>
      <c r="P24" s="31">
        <f>'VAL 3 TRIM'!O24</f>
        <v>35</v>
      </c>
      <c r="Q24" s="31">
        <f>'VAL 3 TRIM'!AB24</f>
        <v>35</v>
      </c>
      <c r="R24" s="31">
        <f>'VAL 3 TRIM'!AA24</f>
        <v>10</v>
      </c>
      <c r="S24" s="48">
        <f>'VAL 3 TRIM'!AE24</f>
        <v>10</v>
      </c>
      <c r="T24" s="101">
        <f>'VAL 3 TRIM'!AG24</f>
        <v>100</v>
      </c>
      <c r="U24" s="102">
        <f t="shared" si="0"/>
        <v>74.333333333333329</v>
      </c>
      <c r="V24" s="103" t="str">
        <f t="shared" si="1"/>
        <v>APROBADO</v>
      </c>
      <c r="W24" s="104"/>
      <c r="X24" s="104"/>
    </row>
    <row r="25" spans="1:24" ht="12" customHeight="1" x14ac:dyDescent="0.3">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26</v>
      </c>
      <c r="K25" s="31">
        <f>'VAL 2 TRIM'!AB25</f>
        <v>25</v>
      </c>
      <c r="L25" s="31">
        <f>'VAL 2 TRIM'!AA25</f>
        <v>10</v>
      </c>
      <c r="M25" s="31">
        <f>'VAL 2 TRIM'!AE25</f>
        <v>10</v>
      </c>
      <c r="N25" s="101">
        <f>'VAL 2 TRIM'!AG25</f>
        <v>81</v>
      </c>
      <c r="O25" s="31">
        <f>'VAL 3 TRIM'!C25</f>
        <v>10</v>
      </c>
      <c r="P25" s="31">
        <f>'VAL 3 TRIM'!O25</f>
        <v>35</v>
      </c>
      <c r="Q25" s="31">
        <f>'VAL 3 TRIM'!AB25</f>
        <v>35</v>
      </c>
      <c r="R25" s="31">
        <f>'VAL 3 TRIM'!AA25</f>
        <v>10</v>
      </c>
      <c r="S25" s="48">
        <f>'VAL 3 TRIM'!AE25</f>
        <v>10</v>
      </c>
      <c r="T25" s="101">
        <f>'VAL 3 TRIM'!AG25</f>
        <v>100</v>
      </c>
      <c r="U25" s="102">
        <f t="shared" si="0"/>
        <v>90.333333333333329</v>
      </c>
      <c r="V25" s="103" t="str">
        <f t="shared" si="1"/>
        <v>APROBADO</v>
      </c>
      <c r="W25" s="104"/>
      <c r="X25" s="104"/>
    </row>
    <row r="26" spans="1:24" ht="12" customHeight="1" x14ac:dyDescent="0.3">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11</v>
      </c>
      <c r="K26" s="31">
        <f>'VAL 2 TRIM'!AB26</f>
        <v>3</v>
      </c>
      <c r="L26" s="31">
        <f>'VAL 2 TRIM'!AA26</f>
        <v>10</v>
      </c>
      <c r="M26" s="31">
        <f>'VAL 2 TRIM'!AE26</f>
        <v>10</v>
      </c>
      <c r="N26" s="101">
        <f>'VAL 2 TRIM'!AG26</f>
        <v>44</v>
      </c>
      <c r="O26" s="31">
        <f>'VAL 3 TRIM'!C26</f>
        <v>10</v>
      </c>
      <c r="P26" s="31">
        <f>'VAL 3 TRIM'!O26</f>
        <v>35</v>
      </c>
      <c r="Q26" s="31">
        <f>'VAL 3 TRIM'!AB26</f>
        <v>35</v>
      </c>
      <c r="R26" s="31">
        <f>'VAL 3 TRIM'!AA26</f>
        <v>10</v>
      </c>
      <c r="S26" s="48">
        <f>'VAL 3 TRIM'!AE26</f>
        <v>10</v>
      </c>
      <c r="T26" s="101">
        <f>'VAL 3 TRIM'!AG26</f>
        <v>100</v>
      </c>
      <c r="U26" s="102">
        <f t="shared" si="0"/>
        <v>81.333333333333329</v>
      </c>
      <c r="V26" s="103" t="str">
        <f t="shared" si="1"/>
        <v>APROBADO</v>
      </c>
      <c r="W26" s="104"/>
      <c r="X26" s="104"/>
    </row>
    <row r="27" spans="1:24" ht="12" customHeight="1" x14ac:dyDescent="0.3">
      <c r="A27" s="59">
        <v>19</v>
      </c>
      <c r="B27" s="60" t="str">
        <f>'C. FILIACION'!B26</f>
        <v>Ventura Choque Danely Keyla</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16</v>
      </c>
      <c r="K27" s="31">
        <f>'VAL 2 TRIM'!AB27</f>
        <v>15</v>
      </c>
      <c r="L27" s="31">
        <f>'VAL 2 TRIM'!AA27</f>
        <v>10</v>
      </c>
      <c r="M27" s="31">
        <f>'VAL 2 TRIM'!AE27</f>
        <v>10</v>
      </c>
      <c r="N27" s="101">
        <f>'VAL 2 TRIM'!AG27</f>
        <v>61</v>
      </c>
      <c r="O27" s="31">
        <f>'VAL 3 TRIM'!C27</f>
        <v>10</v>
      </c>
      <c r="P27" s="31">
        <f>'VAL 3 TRIM'!O27</f>
        <v>35</v>
      </c>
      <c r="Q27" s="31">
        <f>'VAL 3 TRIM'!AB27</f>
        <v>35</v>
      </c>
      <c r="R27" s="31">
        <f>'VAL 3 TRIM'!AA27</f>
        <v>10</v>
      </c>
      <c r="S27" s="48">
        <f>'VAL 3 TRIM'!AE27</f>
        <v>10</v>
      </c>
      <c r="T27" s="101">
        <f>'VAL 3 TRIM'!AG27</f>
        <v>100</v>
      </c>
      <c r="U27" s="102">
        <f t="shared" si="0"/>
        <v>87</v>
      </c>
      <c r="V27" s="103" t="str">
        <f t="shared" si="1"/>
        <v>APROBADO</v>
      </c>
      <c r="W27" s="104"/>
      <c r="X27" s="104"/>
    </row>
    <row r="28" spans="1:24" ht="12" customHeight="1" x14ac:dyDescent="0.3">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08" t="s">
        <v>107</v>
      </c>
      <c r="C2" s="204"/>
      <c r="D2" s="204"/>
      <c r="E2" s="204"/>
      <c r="F2" s="204"/>
      <c r="G2" s="204"/>
      <c r="H2" s="204"/>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t="str">
        <f>CARÁTULA!$C$25</f>
        <v>Tec. Tecnologica Programacion Visual</v>
      </c>
      <c r="M3" s="106"/>
    </row>
    <row r="4" spans="1:13" ht="12.75" customHeight="1" x14ac:dyDescent="0.3">
      <c r="B4" s="38" t="s">
        <v>14</v>
      </c>
      <c r="C4" s="39" t="str">
        <f>CARÁTULA!$C$21</f>
        <v>Secundaria</v>
      </c>
      <c r="D4" s="41"/>
      <c r="E4" s="40"/>
      <c r="F4" s="39"/>
      <c r="G4" s="40"/>
      <c r="H4" s="40"/>
      <c r="I4" s="40"/>
      <c r="J4" s="38" t="s">
        <v>52</v>
      </c>
      <c r="K4" s="106"/>
      <c r="L4" s="39">
        <f>CARÁTULA!$C$19</f>
        <v>0</v>
      </c>
      <c r="M4" s="106"/>
    </row>
    <row r="5" spans="1:13" ht="12.75" customHeight="1" x14ac:dyDescent="0.3">
      <c r="B5" s="38" t="s">
        <v>22</v>
      </c>
      <c r="C5" s="39" t="str">
        <f>CARÁTULA!$C$23</f>
        <v>6to de Secundaria</v>
      </c>
      <c r="D5" s="38"/>
      <c r="E5" s="44"/>
      <c r="F5" s="287"/>
      <c r="G5" s="276"/>
      <c r="H5" s="44"/>
      <c r="I5" s="44"/>
      <c r="J5" s="38" t="s">
        <v>23</v>
      </c>
      <c r="K5" s="106"/>
      <c r="L5" s="222">
        <f ca="1">TODAY()</f>
        <v>44426</v>
      </c>
      <c r="M5" s="204"/>
    </row>
    <row r="6" spans="1:13" ht="12.75" customHeight="1" x14ac:dyDescent="0.3">
      <c r="B6" s="38"/>
      <c r="C6" s="288" t="s">
        <v>112</v>
      </c>
      <c r="D6" s="258"/>
      <c r="E6" s="259"/>
      <c r="F6" s="284" t="s">
        <v>108</v>
      </c>
      <c r="G6" s="280" t="s">
        <v>109</v>
      </c>
      <c r="H6" s="68"/>
      <c r="I6" s="68"/>
    </row>
    <row r="7" spans="1:13" ht="12" customHeight="1" x14ac:dyDescent="0.3">
      <c r="B7" s="47"/>
      <c r="C7" s="285" t="s">
        <v>4</v>
      </c>
      <c r="D7" s="285" t="s">
        <v>113</v>
      </c>
      <c r="E7" s="286" t="s">
        <v>16</v>
      </c>
      <c r="F7" s="281"/>
      <c r="G7" s="281"/>
      <c r="H7" s="40"/>
      <c r="I7" s="40"/>
    </row>
    <row r="8" spans="1:13" ht="67.5" customHeight="1" x14ac:dyDescent="0.3">
      <c r="A8" s="48" t="s">
        <v>55</v>
      </c>
      <c r="B8" s="49" t="s">
        <v>56</v>
      </c>
      <c r="C8" s="266"/>
      <c r="D8" s="266"/>
      <c r="E8" s="266"/>
      <c r="F8" s="266"/>
      <c r="G8" s="266"/>
      <c r="H8" s="100"/>
      <c r="I8" s="100" t="s">
        <v>114</v>
      </c>
      <c r="J8" s="100" t="s">
        <v>115</v>
      </c>
      <c r="K8" s="100" t="s">
        <v>116</v>
      </c>
    </row>
    <row r="9" spans="1:13" ht="12" customHeight="1" x14ac:dyDescent="0.3">
      <c r="A9" s="59">
        <v>1</v>
      </c>
      <c r="B9" s="60" t="str">
        <f>'C. FILIACION'!B8</f>
        <v>ALTAMIRANO RAMOS ESTEFANI MILENKA</v>
      </c>
      <c r="C9" s="101">
        <f>'VAL 1 TRIM '!AG9</f>
        <v>90</v>
      </c>
      <c r="D9" s="101">
        <f>'VAL 2 TRIM'!AG9</f>
        <v>89</v>
      </c>
      <c r="E9" s="101">
        <f>'VAL 3 TRIM'!AG9</f>
        <v>100</v>
      </c>
      <c r="F9" s="102">
        <f>'CENTRAL 1'!U9</f>
        <v>93</v>
      </c>
      <c r="G9" s="103" t="str">
        <f t="shared" ref="G9:G44" si="0">IF(F9="","",(IF(AND(F9&gt;=1,F9&lt;=50.499),"REPROBADO",IF(AND(F9&gt;=50.5,F9&lt;=100),"APROBADO"))))</f>
        <v>APROBADO</v>
      </c>
      <c r="H9" s="104"/>
      <c r="I9" s="31">
        <f t="shared" ref="I9:K9" si="1">COUNTIF(C9:C44,"&gt;=51")</f>
        <v>35</v>
      </c>
      <c r="J9" s="107">
        <f t="shared" si="1"/>
        <v>30</v>
      </c>
      <c r="K9" s="107">
        <f t="shared" si="1"/>
        <v>36</v>
      </c>
    </row>
    <row r="10" spans="1:13" ht="12" customHeight="1" x14ac:dyDescent="0.3">
      <c r="A10" s="59">
        <v>2</v>
      </c>
      <c r="B10" s="60" t="str">
        <f>'C. FILIACION'!B9</f>
        <v>APAZA LINO TATIANA JAZMIN</v>
      </c>
      <c r="C10" s="101">
        <f>'VAL 1 TRIM '!AG10</f>
        <v>90</v>
      </c>
      <c r="D10" s="101">
        <f>'VAL 2 TRIM'!AG10</f>
        <v>94</v>
      </c>
      <c r="E10" s="101">
        <f>'VAL 3 TRIM'!AG10</f>
        <v>100</v>
      </c>
      <c r="F10" s="102">
        <f>'CENTRAL 1'!U10</f>
        <v>94.666666666666671</v>
      </c>
      <c r="G10" s="103" t="str">
        <f t="shared" si="0"/>
        <v>APROBADO</v>
      </c>
      <c r="H10" s="104"/>
      <c r="I10" s="108" t="s">
        <v>117</v>
      </c>
      <c r="J10" s="109"/>
    </row>
    <row r="11" spans="1:13" ht="12" customHeight="1" x14ac:dyDescent="0.3">
      <c r="A11" s="59">
        <v>3</v>
      </c>
      <c r="B11" s="60" t="str">
        <f>'C. FILIACION'!B10</f>
        <v>BOLAÑOS OVANDO MIJHAIL ALEXANDER</v>
      </c>
      <c r="C11" s="101">
        <f>'VAL 1 TRIM '!AG11</f>
        <v>90</v>
      </c>
      <c r="D11" s="101">
        <f>'VAL 2 TRIM'!AG11</f>
        <v>41</v>
      </c>
      <c r="E11" s="101">
        <f>'VAL 3 TRIM'!AG11</f>
        <v>100</v>
      </c>
      <c r="F11" s="102">
        <f>'CENTRAL 1'!U11</f>
        <v>77</v>
      </c>
      <c r="G11" s="103" t="str">
        <f t="shared" si="0"/>
        <v>APROBADO</v>
      </c>
      <c r="H11" s="104"/>
      <c r="I11" s="104"/>
    </row>
    <row r="12" spans="1:13" ht="12" customHeight="1" x14ac:dyDescent="0.3">
      <c r="A12" s="59">
        <v>4</v>
      </c>
      <c r="B12" s="60" t="str">
        <f>'C. FILIACION'!B11</f>
        <v>BRICHER ETHELBERT ISMAEL</v>
      </c>
      <c r="C12" s="101">
        <f>'VAL 1 TRIM '!AG12</f>
        <v>50</v>
      </c>
      <c r="D12" s="101">
        <f>'VAL 2 TRIM'!AG12</f>
        <v>34</v>
      </c>
      <c r="E12" s="101">
        <f>'VAL 3 TRIM'!AG12</f>
        <v>100</v>
      </c>
      <c r="F12" s="102">
        <f>'CENTRAL 1'!U12</f>
        <v>61.333333333333336</v>
      </c>
      <c r="G12" s="103" t="str">
        <f t="shared" si="0"/>
        <v>APROBADO</v>
      </c>
      <c r="H12" s="104"/>
      <c r="I12" s="104"/>
    </row>
    <row r="13" spans="1:13" ht="12" customHeight="1" x14ac:dyDescent="0.3">
      <c r="A13" s="59">
        <v>5</v>
      </c>
      <c r="B13" s="60" t="str">
        <f>'C. FILIACION'!B12</f>
        <v>CANAVIRI QUISBERT ALEJANDRA ELENA</v>
      </c>
      <c r="C13" s="101">
        <f>'VAL 1 TRIM '!AG13</f>
        <v>90</v>
      </c>
      <c r="D13" s="101">
        <f>'VAL 2 TRIM'!AG13</f>
        <v>74</v>
      </c>
      <c r="E13" s="101">
        <f>'VAL 3 TRIM'!AG13</f>
        <v>100</v>
      </c>
      <c r="F13" s="102">
        <f>'CENTRAL 1'!U13</f>
        <v>88</v>
      </c>
      <c r="G13" s="103" t="str">
        <f t="shared" si="0"/>
        <v>APROBADO</v>
      </c>
      <c r="H13" s="104"/>
      <c r="I13" s="107">
        <f t="shared" ref="I13:K13" si="2">COUNTIF(C9:C44,"&lt;=51")</f>
        <v>1</v>
      </c>
      <c r="J13" s="107">
        <f t="shared" si="2"/>
        <v>7</v>
      </c>
      <c r="K13" s="107">
        <f t="shared" si="2"/>
        <v>0</v>
      </c>
    </row>
    <row r="14" spans="1:13" ht="12" customHeight="1" x14ac:dyDescent="0.3">
      <c r="A14" s="59">
        <v>6</v>
      </c>
      <c r="B14" s="60" t="str">
        <f>'C. FILIACION'!B13</f>
        <v>GOMEZ BELTRAN ALBERT NORMAN</v>
      </c>
      <c r="C14" s="101">
        <f>'VAL 1 TRIM '!AG14</f>
        <v>90</v>
      </c>
      <c r="D14" s="101">
        <f>'VAL 2 TRIM'!AG14</f>
        <v>80</v>
      </c>
      <c r="E14" s="101">
        <f>'VAL 3 TRIM'!AG14</f>
        <v>100</v>
      </c>
      <c r="F14" s="102">
        <f>'CENTRAL 1'!U14</f>
        <v>90</v>
      </c>
      <c r="G14" s="103" t="str">
        <f t="shared" si="0"/>
        <v>APROBADO</v>
      </c>
      <c r="H14" s="104"/>
      <c r="I14" s="108" t="s">
        <v>118</v>
      </c>
    </row>
    <row r="15" spans="1:13" ht="12" customHeight="1" x14ac:dyDescent="0.3">
      <c r="A15" s="59">
        <v>7</v>
      </c>
      <c r="B15" s="60" t="str">
        <f>'C. FILIACION'!B14</f>
        <v>GOMEZ COSME MELANY KARINA</v>
      </c>
      <c r="C15" s="101">
        <f>'VAL 1 TRIM '!AG15</f>
        <v>90</v>
      </c>
      <c r="D15" s="101">
        <f>'VAL 2 TRIM'!AG15</f>
        <v>30</v>
      </c>
      <c r="E15" s="101">
        <f>'VAL 3 TRIM'!AG15</f>
        <v>100</v>
      </c>
      <c r="F15" s="102">
        <f>'CENTRAL 1'!U15</f>
        <v>73.333333333333329</v>
      </c>
      <c r="G15" s="103" t="str">
        <f t="shared" si="0"/>
        <v>APROBADO</v>
      </c>
      <c r="H15" s="104"/>
      <c r="I15" s="104"/>
    </row>
    <row r="16" spans="1:13" ht="12" customHeight="1" x14ac:dyDescent="0.3">
      <c r="A16" s="59">
        <v>8</v>
      </c>
      <c r="B16" s="60" t="str">
        <f>'C. FILIACION'!B15</f>
        <v>GONZALES ZUAZO KALEB RAMSES</v>
      </c>
      <c r="C16" s="101">
        <f>'VAL 1 TRIM '!AG16</f>
        <v>90</v>
      </c>
      <c r="D16" s="101">
        <f>'VAL 2 TRIM'!AG16</f>
        <v>75</v>
      </c>
      <c r="E16" s="101">
        <f>'VAL 3 TRIM'!AG16</f>
        <v>100</v>
      </c>
      <c r="F16" s="102">
        <f>'CENTRAL 1'!U16</f>
        <v>88.333333333333329</v>
      </c>
      <c r="G16" s="103" t="str">
        <f t="shared" si="0"/>
        <v>APROBADO</v>
      </c>
      <c r="H16" s="104"/>
      <c r="I16" s="104"/>
    </row>
    <row r="17" spans="1:9" ht="12" customHeight="1" x14ac:dyDescent="0.3">
      <c r="A17" s="59">
        <v>9</v>
      </c>
      <c r="B17" s="60" t="str">
        <f>'C. FILIACION'!B16</f>
        <v>LEDEZMA AGUILAR ELVIS JHEFERSON</v>
      </c>
      <c r="C17" s="101">
        <f>'VAL 1 TRIM '!AG17</f>
        <v>90</v>
      </c>
      <c r="D17" s="101">
        <f>'VAL 2 TRIM'!AG17</f>
        <v>75</v>
      </c>
      <c r="E17" s="101">
        <f>'VAL 3 TRIM'!AG17</f>
        <v>100</v>
      </c>
      <c r="F17" s="102">
        <f>'CENTRAL 1'!U17</f>
        <v>88.333333333333329</v>
      </c>
      <c r="G17" s="103" t="str">
        <f t="shared" si="0"/>
        <v>APROBADO</v>
      </c>
      <c r="H17" s="104"/>
      <c r="I17" s="104"/>
    </row>
    <row r="18" spans="1:9" ht="12" customHeight="1" x14ac:dyDescent="0.3">
      <c r="A18" s="59">
        <v>10</v>
      </c>
      <c r="B18" s="60" t="str">
        <f>'C. FILIACION'!B17</f>
        <v>LOBATON RODRIGUEZ JHONATAN A.</v>
      </c>
      <c r="C18" s="101">
        <f>'VAL 1 TRIM '!AG18</f>
        <v>90</v>
      </c>
      <c r="D18" s="101">
        <f>'VAL 2 TRIM'!AG18</f>
        <v>75</v>
      </c>
      <c r="E18" s="101">
        <f>'VAL 3 TRIM'!AG18</f>
        <v>100</v>
      </c>
      <c r="F18" s="102">
        <f>'CENTRAL 1'!U18</f>
        <v>88.333333333333329</v>
      </c>
      <c r="G18" s="103" t="str">
        <f t="shared" si="0"/>
        <v>APROBADO</v>
      </c>
      <c r="H18" s="104"/>
      <c r="I18" s="104"/>
    </row>
    <row r="19" spans="1:9" ht="12" customHeight="1" x14ac:dyDescent="0.3">
      <c r="A19" s="59">
        <v>11</v>
      </c>
      <c r="B19" s="60" t="str">
        <f>'C. FILIACION'!B18</f>
        <v>MAMANI LOPEZ DAFNE MILDRED</v>
      </c>
      <c r="C19" s="101">
        <f>'VAL 1 TRIM '!AG19</f>
        <v>90</v>
      </c>
      <c r="D19" s="101">
        <f>'VAL 2 TRIM'!AG19</f>
        <v>54</v>
      </c>
      <c r="E19" s="101">
        <f>'VAL 3 TRIM'!AG19</f>
        <v>100</v>
      </c>
      <c r="F19" s="102">
        <f>'CENTRAL 1'!U19</f>
        <v>81.333333333333329</v>
      </c>
      <c r="G19" s="103" t="str">
        <f t="shared" si="0"/>
        <v>APROBADO</v>
      </c>
      <c r="H19" s="104"/>
      <c r="I19" s="104"/>
    </row>
    <row r="20" spans="1:9" ht="12" customHeight="1" x14ac:dyDescent="0.3">
      <c r="A20" s="59">
        <v>12</v>
      </c>
      <c r="B20" s="60" t="str">
        <f>'C. FILIACION'!B19</f>
        <v>MARCONI PEREZ SINDEL LUANA</v>
      </c>
      <c r="C20" s="101">
        <f>'VAL 1 TRIM '!AG20</f>
        <v>90</v>
      </c>
      <c r="D20" s="101">
        <f>'VAL 2 TRIM'!AG20</f>
        <v>50</v>
      </c>
      <c r="E20" s="101">
        <f>'VAL 3 TRIM'!AG20</f>
        <v>100</v>
      </c>
      <c r="F20" s="102">
        <f>'CENTRAL 1'!U20</f>
        <v>80</v>
      </c>
      <c r="G20" s="103" t="str">
        <f t="shared" si="0"/>
        <v>APROBADO</v>
      </c>
      <c r="H20" s="104"/>
      <c r="I20" s="104"/>
    </row>
    <row r="21" spans="1:9" ht="12" customHeight="1" x14ac:dyDescent="0.3">
      <c r="A21" s="59">
        <v>13</v>
      </c>
      <c r="B21" s="60" t="str">
        <f>'C. FILIACION'!B20</f>
        <v>MENACHO LINEO ANDREA KIMBERLY</v>
      </c>
      <c r="C21" s="101">
        <f>'VAL 1 TRIM '!AG21</f>
        <v>90</v>
      </c>
      <c r="D21" s="101">
        <f>'VAL 2 TRIM'!AG21</f>
        <v>59</v>
      </c>
      <c r="E21" s="101">
        <f>'VAL 3 TRIM'!AG21</f>
        <v>100</v>
      </c>
      <c r="F21" s="102">
        <f>'CENTRAL 1'!U21</f>
        <v>83</v>
      </c>
      <c r="G21" s="103" t="str">
        <f t="shared" si="0"/>
        <v>APROBADO</v>
      </c>
      <c r="H21" s="104"/>
      <c r="I21" s="104"/>
    </row>
    <row r="22" spans="1:9" ht="12" customHeight="1" x14ac:dyDescent="0.3">
      <c r="A22" s="59">
        <v>14</v>
      </c>
      <c r="B22" s="60" t="str">
        <f>'C. FILIACION'!B21</f>
        <v>PILLCO APAZA MARIAN ALEXANDRA</v>
      </c>
      <c r="C22" s="101">
        <f>'VAL 1 TRIM '!AG22</f>
        <v>90</v>
      </c>
      <c r="D22" s="101">
        <f>'VAL 2 TRIM'!AG22</f>
        <v>51</v>
      </c>
      <c r="E22" s="101">
        <f>'VAL 3 TRIM'!AG22</f>
        <v>100</v>
      </c>
      <c r="F22" s="102">
        <f>'CENTRAL 1'!U22</f>
        <v>80.333333333333329</v>
      </c>
      <c r="G22" s="103" t="str">
        <f t="shared" si="0"/>
        <v>APROBADO</v>
      </c>
      <c r="H22" s="104"/>
      <c r="I22" s="104"/>
    </row>
    <row r="23" spans="1:9" ht="12" customHeight="1" x14ac:dyDescent="0.3">
      <c r="A23" s="59">
        <v>15</v>
      </c>
      <c r="B23" s="60" t="str">
        <f>'C. FILIACION'!B22</f>
        <v>RUEDA ALVAREZ GREGORY STEVEN</v>
      </c>
      <c r="C23" s="101">
        <f>'VAL 1 TRIM '!AG23</f>
        <v>90</v>
      </c>
      <c r="D23" s="101">
        <f>'VAL 2 TRIM'!AG23</f>
        <v>69</v>
      </c>
      <c r="E23" s="101">
        <f>'VAL 3 TRIM'!AG23</f>
        <v>100</v>
      </c>
      <c r="F23" s="102">
        <f>'CENTRAL 1'!U23</f>
        <v>86.333333333333329</v>
      </c>
      <c r="G23" s="103" t="str">
        <f t="shared" si="0"/>
        <v>APROBADO</v>
      </c>
      <c r="H23" s="104"/>
      <c r="I23" s="104"/>
    </row>
    <row r="24" spans="1:9" ht="12" customHeight="1" x14ac:dyDescent="0.3">
      <c r="A24" s="59">
        <v>16</v>
      </c>
      <c r="B24" s="60" t="str">
        <f>'C. FILIACION'!B23</f>
        <v>VARGAS JOYCE BELEN</v>
      </c>
      <c r="C24" s="101">
        <f>'VAL 1 TRIM '!AG24</f>
        <v>90</v>
      </c>
      <c r="D24" s="101">
        <f>'VAL 2 TRIM'!AG24</f>
        <v>33</v>
      </c>
      <c r="E24" s="101">
        <f>'VAL 3 TRIM'!AG24</f>
        <v>100</v>
      </c>
      <c r="F24" s="102">
        <f>'CENTRAL 1'!U24</f>
        <v>74.333333333333329</v>
      </c>
      <c r="G24" s="103" t="str">
        <f t="shared" si="0"/>
        <v>APROBADO</v>
      </c>
      <c r="H24" s="104"/>
      <c r="I24" s="104"/>
    </row>
    <row r="25" spans="1:9" ht="12" customHeight="1" x14ac:dyDescent="0.3">
      <c r="A25" s="59">
        <v>17</v>
      </c>
      <c r="B25" s="60" t="str">
        <f>'C. FILIACION'!B24</f>
        <v>ZURITA JIMENEZ ELMER ARTURO</v>
      </c>
      <c r="C25" s="101">
        <f>'VAL 1 TRIM '!AG25</f>
        <v>90</v>
      </c>
      <c r="D25" s="101">
        <f>'VAL 2 TRIM'!AG25</f>
        <v>81</v>
      </c>
      <c r="E25" s="101">
        <f>'VAL 3 TRIM'!AG25</f>
        <v>100</v>
      </c>
      <c r="F25" s="102">
        <f>'CENTRAL 1'!U25</f>
        <v>90.333333333333329</v>
      </c>
      <c r="G25" s="103" t="str">
        <f t="shared" si="0"/>
        <v>APROBADO</v>
      </c>
      <c r="H25" s="104"/>
      <c r="I25" s="104"/>
    </row>
    <row r="26" spans="1:9" ht="12" customHeight="1" x14ac:dyDescent="0.3">
      <c r="A26" s="59">
        <v>18</v>
      </c>
      <c r="B26" s="60" t="str">
        <f>'C. FILIACION'!B25</f>
        <v>ADRIAN FLORES EDDY BEYMAR</v>
      </c>
      <c r="C26" s="101">
        <f>'VAL 1 TRIM '!AG26</f>
        <v>100</v>
      </c>
      <c r="D26" s="101">
        <f>'VAL 2 TRIM'!AG26</f>
        <v>44</v>
      </c>
      <c r="E26" s="101">
        <f>'VAL 3 TRIM'!AG26</f>
        <v>100</v>
      </c>
      <c r="F26" s="102">
        <f>'CENTRAL 1'!U26</f>
        <v>81.333333333333329</v>
      </c>
      <c r="G26" s="103" t="str">
        <f t="shared" si="0"/>
        <v>APROBADO</v>
      </c>
      <c r="H26" s="104"/>
      <c r="I26" s="104"/>
    </row>
    <row r="27" spans="1:9" ht="12" customHeight="1" x14ac:dyDescent="0.3">
      <c r="A27" s="59">
        <v>19</v>
      </c>
      <c r="B27" s="60" t="str">
        <f>'C. FILIACION'!B26</f>
        <v>Ventura Choque Danely Keyla</v>
      </c>
      <c r="C27" s="101">
        <f>'VAL 1 TRIM '!AG27</f>
        <v>100</v>
      </c>
      <c r="D27" s="101">
        <f>'VAL 2 TRIM'!AG27</f>
        <v>61</v>
      </c>
      <c r="E27" s="101">
        <f>'VAL 3 TRIM'!AG27</f>
        <v>100</v>
      </c>
      <c r="F27" s="102">
        <f>'CENTRAL 1'!U27</f>
        <v>87</v>
      </c>
      <c r="G27" s="103" t="str">
        <f t="shared" si="0"/>
        <v>APROBADO</v>
      </c>
      <c r="H27" s="104"/>
      <c r="I27" s="104"/>
    </row>
    <row r="28" spans="1:9" ht="12" customHeight="1" x14ac:dyDescent="0.3">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2" t="s">
        <v>119</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44426</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25" x14ac:dyDescent="0.3">
      <c r="A7" s="110"/>
      <c r="B7" s="115" t="s">
        <v>101</v>
      </c>
      <c r="C7" s="114" t="s">
        <v>121</v>
      </c>
      <c r="D7" s="115" t="s">
        <v>122</v>
      </c>
      <c r="E7" s="116" t="s">
        <v>123</v>
      </c>
      <c r="F7" s="110"/>
      <c r="G7" s="117" t="s">
        <v>124</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25" x14ac:dyDescent="0.3">
      <c r="A8" s="110"/>
      <c r="B8" s="115" t="s">
        <v>102</v>
      </c>
      <c r="C8" s="114" t="s">
        <v>125</v>
      </c>
      <c r="D8" s="115" t="s">
        <v>126</v>
      </c>
      <c r="E8" s="116" t="s">
        <v>127</v>
      </c>
      <c r="F8" s="110"/>
      <c r="G8" s="117" t="s">
        <v>128</v>
      </c>
      <c r="H8" s="115">
        <f>'VAL 1 TRIM '!$AO$10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103</v>
      </c>
      <c r="C9" s="114" t="s">
        <v>129</v>
      </c>
      <c r="D9" s="115" t="s">
        <v>130</v>
      </c>
      <c r="E9" s="116" t="s">
        <v>127</v>
      </c>
      <c r="F9" s="110"/>
      <c r="G9" s="119" t="s">
        <v>131</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104</v>
      </c>
      <c r="C10" s="114" t="s">
        <v>132</v>
      </c>
      <c r="D10" s="115" t="s">
        <v>133</v>
      </c>
      <c r="E10" s="116" t="s">
        <v>127</v>
      </c>
      <c r="F10" s="110"/>
      <c r="G10" s="119" t="s">
        <v>134</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3" t="s">
        <v>136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89" t="s">
        <v>137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0"/>
      <c r="C16" s="204"/>
      <c r="D16" s="204"/>
      <c r="E16" s="204"/>
      <c r="F16" s="204"/>
      <c r="G16" s="204"/>
      <c r="H16" s="204"/>
      <c r="I16" s="204"/>
      <c r="J16" s="291"/>
      <c r="K16" s="110"/>
      <c r="L16" s="110"/>
      <c r="M16" s="110"/>
      <c r="N16" s="110"/>
      <c r="O16" s="110"/>
      <c r="P16" s="110"/>
      <c r="Q16" s="110"/>
      <c r="R16" s="110"/>
      <c r="S16" s="110"/>
      <c r="T16" s="110"/>
      <c r="U16" s="110"/>
      <c r="V16" s="110"/>
      <c r="W16" s="110"/>
      <c r="X16" s="110"/>
      <c r="Y16" s="110"/>
      <c r="Z16" s="110"/>
    </row>
    <row r="17" spans="1:26" ht="16.5" customHeight="1" x14ac:dyDescent="0.3">
      <c r="A17" s="110"/>
      <c r="B17" s="275"/>
      <c r="C17" s="276"/>
      <c r="D17" s="276"/>
      <c r="E17" s="276"/>
      <c r="F17" s="276"/>
      <c r="G17" s="276"/>
      <c r="H17" s="276"/>
      <c r="I17" s="276"/>
      <c r="J17" s="277"/>
      <c r="K17" s="110"/>
      <c r="L17" s="110"/>
      <c r="M17" s="110"/>
      <c r="N17" s="110"/>
      <c r="O17" s="110"/>
      <c r="P17" s="110"/>
      <c r="Q17" s="110"/>
      <c r="R17" s="110"/>
      <c r="S17" s="110"/>
      <c r="T17" s="110"/>
      <c r="U17" s="110"/>
      <c r="V17" s="110"/>
      <c r="W17" s="110"/>
      <c r="X17" s="110"/>
      <c r="Y17" s="110"/>
      <c r="Z17" s="110"/>
    </row>
    <row r="18" spans="1:26" ht="16.5" customHeight="1" x14ac:dyDescent="0.3">
      <c r="A18" s="110"/>
      <c r="B18" s="289" t="s">
        <v>138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0"/>
      <c r="C19" s="204"/>
      <c r="D19" s="204"/>
      <c r="E19" s="204"/>
      <c r="F19" s="204"/>
      <c r="G19" s="204"/>
      <c r="H19" s="204"/>
      <c r="I19" s="204"/>
      <c r="J19" s="291"/>
      <c r="K19" s="110"/>
      <c r="L19" s="110"/>
      <c r="M19" s="110"/>
      <c r="N19" s="110"/>
      <c r="O19" s="110"/>
      <c r="P19" s="110"/>
      <c r="Q19" s="110"/>
      <c r="R19" s="110"/>
      <c r="S19" s="110"/>
      <c r="T19" s="110"/>
      <c r="U19" s="110"/>
      <c r="V19" s="110"/>
      <c r="W19" s="110"/>
      <c r="X19" s="110"/>
      <c r="Y19" s="110"/>
      <c r="Z19" s="110"/>
    </row>
    <row r="20" spans="1:26" ht="16.5" customHeight="1" x14ac:dyDescent="0.3">
      <c r="A20" s="110"/>
      <c r="B20" s="275"/>
      <c r="C20" s="276"/>
      <c r="D20" s="276"/>
      <c r="E20" s="276"/>
      <c r="F20" s="276"/>
      <c r="G20" s="276"/>
      <c r="H20" s="276"/>
      <c r="I20" s="276"/>
      <c r="J20" s="277"/>
      <c r="K20" s="110"/>
      <c r="L20" s="110"/>
      <c r="M20" s="110"/>
      <c r="N20" s="110"/>
      <c r="O20" s="110"/>
      <c r="P20" s="110"/>
      <c r="Q20" s="110"/>
      <c r="R20" s="110"/>
      <c r="S20" s="110"/>
      <c r="T20" s="110"/>
      <c r="U20" s="110"/>
      <c r="V20" s="110"/>
      <c r="W20" s="110"/>
      <c r="X20" s="110"/>
      <c r="Y20" s="110"/>
      <c r="Z20" s="110"/>
    </row>
    <row r="21" spans="1:26" ht="16.5" customHeight="1" x14ac:dyDescent="0.3">
      <c r="A21" s="110"/>
      <c r="B21" s="289" t="s">
        <v>139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0"/>
      <c r="C22" s="204"/>
      <c r="D22" s="204"/>
      <c r="E22" s="204"/>
      <c r="F22" s="204"/>
      <c r="G22" s="204"/>
      <c r="H22" s="204"/>
      <c r="I22" s="204"/>
      <c r="J22" s="291"/>
      <c r="K22" s="110"/>
      <c r="L22" s="110"/>
      <c r="M22" s="110"/>
      <c r="N22" s="110"/>
      <c r="O22" s="110"/>
      <c r="P22" s="110"/>
      <c r="Q22" s="110"/>
      <c r="R22" s="110"/>
      <c r="S22" s="110"/>
      <c r="T22" s="110"/>
      <c r="U22" s="110"/>
      <c r="V22" s="110"/>
      <c r="W22" s="110"/>
      <c r="X22" s="110"/>
      <c r="Y22" s="110"/>
      <c r="Z22" s="110"/>
    </row>
    <row r="23" spans="1:26" ht="16.5" customHeight="1" x14ac:dyDescent="0.3">
      <c r="A23" s="110"/>
      <c r="B23" s="275"/>
      <c r="C23" s="276"/>
      <c r="D23" s="276"/>
      <c r="E23" s="276"/>
      <c r="F23" s="276"/>
      <c r="G23" s="276"/>
      <c r="H23" s="276"/>
      <c r="I23" s="276"/>
      <c r="J23" s="277"/>
      <c r="K23" s="110"/>
      <c r="L23" s="110"/>
      <c r="M23" s="110"/>
      <c r="N23" s="110"/>
      <c r="O23" s="110"/>
      <c r="P23" s="110"/>
      <c r="Q23" s="110"/>
      <c r="R23" s="110"/>
      <c r="S23" s="110"/>
      <c r="T23" s="110"/>
      <c r="U23" s="110"/>
      <c r="V23" s="110"/>
      <c r="W23" s="110"/>
      <c r="X23" s="110"/>
      <c r="Y23" s="110"/>
      <c r="Z23" s="110"/>
    </row>
    <row r="24" spans="1:26" ht="16.5" customHeight="1" x14ac:dyDescent="0.3">
      <c r="A24" s="110"/>
      <c r="B24" s="289" t="s">
        <v>140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0"/>
      <c r="C25" s="204"/>
      <c r="D25" s="204"/>
      <c r="E25" s="204"/>
      <c r="F25" s="204"/>
      <c r="G25" s="204"/>
      <c r="H25" s="204"/>
      <c r="I25" s="204"/>
      <c r="J25" s="291"/>
      <c r="K25" s="110"/>
      <c r="L25" s="110"/>
      <c r="M25" s="110"/>
      <c r="N25" s="110"/>
      <c r="O25" s="110"/>
      <c r="P25" s="110"/>
      <c r="Q25" s="110"/>
      <c r="R25" s="110"/>
      <c r="S25" s="110"/>
      <c r="T25" s="110"/>
      <c r="U25" s="110"/>
      <c r="V25" s="110"/>
      <c r="W25" s="110"/>
      <c r="X25" s="110"/>
      <c r="Y25" s="110"/>
      <c r="Z25" s="110"/>
    </row>
    <row r="26" spans="1:26" ht="16.5" customHeight="1" x14ac:dyDescent="0.3">
      <c r="A26" s="110"/>
      <c r="B26" s="275"/>
      <c r="C26" s="276"/>
      <c r="D26" s="276"/>
      <c r="E26" s="276"/>
      <c r="F26" s="276"/>
      <c r="G26" s="276"/>
      <c r="H26" s="276"/>
      <c r="I26" s="276"/>
      <c r="J26" s="277"/>
      <c r="K26" s="110"/>
      <c r="L26" s="110"/>
      <c r="M26" s="110"/>
      <c r="N26" s="110"/>
      <c r="O26" s="110"/>
      <c r="P26" s="110"/>
      <c r="Q26" s="110"/>
      <c r="R26" s="110"/>
      <c r="S26" s="110"/>
      <c r="T26" s="110"/>
      <c r="U26" s="110"/>
      <c r="V26" s="110"/>
      <c r="W26" s="110"/>
      <c r="X26" s="110"/>
      <c r="Y26" s="110"/>
      <c r="Z26" s="110"/>
    </row>
    <row r="27" spans="1:26" ht="16.5" customHeight="1" x14ac:dyDescent="0.3">
      <c r="A27" s="110"/>
      <c r="B27" s="289" t="s">
        <v>141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0"/>
      <c r="C28" s="204"/>
      <c r="D28" s="204"/>
      <c r="E28" s="204"/>
      <c r="F28" s="204"/>
      <c r="G28" s="204"/>
      <c r="H28" s="204"/>
      <c r="I28" s="204"/>
      <c r="J28" s="291"/>
      <c r="K28" s="110"/>
      <c r="L28" s="110"/>
      <c r="M28" s="110"/>
      <c r="N28" s="110"/>
      <c r="O28" s="110"/>
      <c r="P28" s="110"/>
      <c r="Q28" s="110"/>
      <c r="R28" s="110"/>
      <c r="S28" s="110"/>
      <c r="T28" s="110"/>
      <c r="U28" s="110"/>
      <c r="V28" s="110"/>
      <c r="W28" s="110"/>
      <c r="X28" s="110"/>
      <c r="Y28" s="110"/>
      <c r="Z28" s="110"/>
    </row>
    <row r="29" spans="1:26" ht="16.5" customHeight="1" x14ac:dyDescent="0.3">
      <c r="A29" s="110"/>
      <c r="B29" s="275"/>
      <c r="C29" s="276"/>
      <c r="D29" s="276"/>
      <c r="E29" s="276"/>
      <c r="F29" s="276"/>
      <c r="G29" s="276"/>
      <c r="H29" s="276"/>
      <c r="I29" s="276"/>
      <c r="J29" s="277"/>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2" t="s">
        <v>143</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44426</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25" x14ac:dyDescent="0.3">
      <c r="A7" s="110"/>
      <c r="B7" s="115" t="s">
        <v>101</v>
      </c>
      <c r="C7" s="114" t="s">
        <v>121</v>
      </c>
      <c r="D7" s="115" t="s">
        <v>122</v>
      </c>
      <c r="E7" s="116" t="s">
        <v>123</v>
      </c>
      <c r="F7" s="110"/>
      <c r="G7" s="117" t="s">
        <v>124</v>
      </c>
      <c r="H7" s="115">
        <f>'VAL 2 TRIM'!$AO$9</f>
        <v>6</v>
      </c>
      <c r="I7" s="118">
        <f>H7/H11</f>
        <v>0.16666666666666666</v>
      </c>
      <c r="J7" s="110"/>
      <c r="K7" s="110"/>
      <c r="L7" s="110"/>
      <c r="M7" s="110"/>
      <c r="N7" s="110"/>
      <c r="O7" s="110"/>
      <c r="P7" s="110"/>
      <c r="Q7" s="110"/>
      <c r="R7" s="110"/>
      <c r="S7" s="110"/>
      <c r="T7" s="110"/>
      <c r="U7" s="110"/>
      <c r="V7" s="110"/>
      <c r="W7" s="110"/>
      <c r="X7" s="110"/>
      <c r="Y7" s="110"/>
      <c r="Z7" s="110"/>
    </row>
    <row r="8" spans="1:26" ht="20.25" x14ac:dyDescent="0.3">
      <c r="A8" s="110"/>
      <c r="B8" s="115" t="s">
        <v>102</v>
      </c>
      <c r="C8" s="114" t="s">
        <v>125</v>
      </c>
      <c r="D8" s="115" t="s">
        <v>126</v>
      </c>
      <c r="E8" s="116" t="s">
        <v>127</v>
      </c>
      <c r="F8" s="110"/>
      <c r="G8" s="117" t="s">
        <v>128</v>
      </c>
      <c r="H8" s="115">
        <f>'VAL 2 TRIM'!$AO$10</f>
        <v>4</v>
      </c>
      <c r="I8" s="118">
        <f>H8/H11</f>
        <v>0.1111111111111111</v>
      </c>
      <c r="J8" s="110"/>
      <c r="K8" s="110"/>
      <c r="L8" s="110"/>
      <c r="M8" s="110"/>
      <c r="N8" s="110"/>
      <c r="O8" s="110"/>
      <c r="P8" s="110"/>
      <c r="Q8" s="110"/>
      <c r="R8" s="110"/>
      <c r="S8" s="110"/>
      <c r="T8" s="110"/>
      <c r="U8" s="110"/>
      <c r="V8" s="110"/>
      <c r="W8" s="110"/>
      <c r="X8" s="110"/>
      <c r="Y8" s="110"/>
      <c r="Z8" s="110"/>
    </row>
    <row r="9" spans="1:26" ht="20.25" x14ac:dyDescent="0.3">
      <c r="A9" s="110"/>
      <c r="B9" s="115" t="s">
        <v>103</v>
      </c>
      <c r="C9" s="114" t="s">
        <v>129</v>
      </c>
      <c r="D9" s="115" t="s">
        <v>130</v>
      </c>
      <c r="E9" s="116" t="s">
        <v>127</v>
      </c>
      <c r="F9" s="110"/>
      <c r="G9" s="119" t="s">
        <v>131</v>
      </c>
      <c r="H9" s="115">
        <f>'VAL 2 TRIM'!$AO$11</f>
        <v>7</v>
      </c>
      <c r="I9" s="118">
        <f>H9/H11</f>
        <v>0.19444444444444445</v>
      </c>
      <c r="J9" s="110"/>
      <c r="K9" s="110"/>
      <c r="L9" s="110"/>
      <c r="M9" s="110"/>
      <c r="N9" s="110"/>
      <c r="O9" s="110"/>
      <c r="P9" s="110"/>
      <c r="Q9" s="110"/>
      <c r="R9" s="110"/>
      <c r="S9" s="110"/>
      <c r="T9" s="110"/>
      <c r="U9" s="110"/>
      <c r="V9" s="110"/>
      <c r="W9" s="110"/>
      <c r="X9" s="110"/>
      <c r="Y9" s="110"/>
      <c r="Z9" s="110"/>
    </row>
    <row r="10" spans="1:26" ht="20.25" x14ac:dyDescent="0.3">
      <c r="A10" s="110"/>
      <c r="B10" s="115" t="s">
        <v>104</v>
      </c>
      <c r="C10" s="114" t="s">
        <v>132</v>
      </c>
      <c r="D10" s="115" t="s">
        <v>133</v>
      </c>
      <c r="E10" s="116" t="s">
        <v>127</v>
      </c>
      <c r="F10" s="110"/>
      <c r="G10" s="119" t="s">
        <v>134</v>
      </c>
      <c r="H10" s="115">
        <f>'VAL 2 TRIM'!$AO$12</f>
        <v>19</v>
      </c>
      <c r="I10" s="118">
        <f>H10/H11</f>
        <v>0.52777777777777779</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3" t="s">
        <v>136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89" t="s">
        <v>137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0"/>
      <c r="C16" s="204"/>
      <c r="D16" s="204"/>
      <c r="E16" s="204"/>
      <c r="F16" s="204"/>
      <c r="G16" s="204"/>
      <c r="H16" s="204"/>
      <c r="I16" s="204"/>
      <c r="J16" s="291"/>
      <c r="K16" s="110"/>
      <c r="L16" s="110"/>
      <c r="M16" s="110"/>
      <c r="N16" s="110"/>
      <c r="O16" s="110"/>
      <c r="P16" s="110"/>
      <c r="Q16" s="110"/>
      <c r="R16" s="110"/>
      <c r="S16" s="110"/>
      <c r="T16" s="110"/>
      <c r="U16" s="110"/>
      <c r="V16" s="110"/>
      <c r="W16" s="110"/>
      <c r="X16" s="110"/>
      <c r="Y16" s="110"/>
      <c r="Z16" s="110"/>
    </row>
    <row r="17" spans="1:26" ht="16.5" customHeight="1" x14ac:dyDescent="0.3">
      <c r="A17" s="110"/>
      <c r="B17" s="275"/>
      <c r="C17" s="276"/>
      <c r="D17" s="276"/>
      <c r="E17" s="276"/>
      <c r="F17" s="276"/>
      <c r="G17" s="276"/>
      <c r="H17" s="276"/>
      <c r="I17" s="276"/>
      <c r="J17" s="277"/>
      <c r="K17" s="110"/>
      <c r="L17" s="110"/>
      <c r="M17" s="110"/>
      <c r="N17" s="110"/>
      <c r="O17" s="110"/>
      <c r="P17" s="110"/>
      <c r="Q17" s="110"/>
      <c r="R17" s="110"/>
      <c r="S17" s="110"/>
      <c r="T17" s="110"/>
      <c r="U17" s="110"/>
      <c r="V17" s="110"/>
      <c r="W17" s="110"/>
      <c r="X17" s="110"/>
      <c r="Y17" s="110"/>
      <c r="Z17" s="110"/>
    </row>
    <row r="18" spans="1:26" ht="16.5" customHeight="1" x14ac:dyDescent="0.3">
      <c r="A18" s="110"/>
      <c r="B18" s="289" t="s">
        <v>138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0"/>
      <c r="C19" s="204"/>
      <c r="D19" s="204"/>
      <c r="E19" s="204"/>
      <c r="F19" s="204"/>
      <c r="G19" s="204"/>
      <c r="H19" s="204"/>
      <c r="I19" s="204"/>
      <c r="J19" s="291"/>
      <c r="K19" s="110"/>
      <c r="L19" s="110"/>
      <c r="M19" s="110"/>
      <c r="N19" s="110"/>
      <c r="O19" s="110"/>
      <c r="P19" s="110"/>
      <c r="Q19" s="110"/>
      <c r="R19" s="110"/>
      <c r="S19" s="110"/>
      <c r="T19" s="110"/>
      <c r="U19" s="110"/>
      <c r="V19" s="110"/>
      <c r="W19" s="110"/>
      <c r="X19" s="110"/>
      <c r="Y19" s="110"/>
      <c r="Z19" s="110"/>
    </row>
    <row r="20" spans="1:26" ht="16.5" customHeight="1" x14ac:dyDescent="0.3">
      <c r="A20" s="110"/>
      <c r="B20" s="275"/>
      <c r="C20" s="276"/>
      <c r="D20" s="276"/>
      <c r="E20" s="276"/>
      <c r="F20" s="276"/>
      <c r="G20" s="276"/>
      <c r="H20" s="276"/>
      <c r="I20" s="276"/>
      <c r="J20" s="277"/>
      <c r="K20" s="110"/>
      <c r="L20" s="110"/>
      <c r="M20" s="110"/>
      <c r="N20" s="110"/>
      <c r="O20" s="110"/>
      <c r="P20" s="110"/>
      <c r="Q20" s="110"/>
      <c r="R20" s="110"/>
      <c r="S20" s="110"/>
      <c r="T20" s="110"/>
      <c r="U20" s="110"/>
      <c r="V20" s="110"/>
      <c r="W20" s="110"/>
      <c r="X20" s="110"/>
      <c r="Y20" s="110"/>
      <c r="Z20" s="110"/>
    </row>
    <row r="21" spans="1:26" ht="16.5" customHeight="1" x14ac:dyDescent="0.3">
      <c r="A21" s="110"/>
      <c r="B21" s="289" t="s">
        <v>139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0"/>
      <c r="C22" s="204"/>
      <c r="D22" s="204"/>
      <c r="E22" s="204"/>
      <c r="F22" s="204"/>
      <c r="G22" s="204"/>
      <c r="H22" s="204"/>
      <c r="I22" s="204"/>
      <c r="J22" s="291"/>
      <c r="K22" s="110"/>
      <c r="L22" s="110"/>
      <c r="M22" s="110"/>
      <c r="N22" s="110"/>
      <c r="O22" s="110"/>
      <c r="P22" s="110"/>
      <c r="Q22" s="110"/>
      <c r="R22" s="110"/>
      <c r="S22" s="110"/>
      <c r="T22" s="110"/>
      <c r="U22" s="110"/>
      <c r="V22" s="110"/>
      <c r="W22" s="110"/>
      <c r="X22" s="110"/>
      <c r="Y22" s="110"/>
      <c r="Z22" s="110"/>
    </row>
    <row r="23" spans="1:26" ht="16.5" customHeight="1" x14ac:dyDescent="0.3">
      <c r="A23" s="110"/>
      <c r="B23" s="275"/>
      <c r="C23" s="276"/>
      <c r="D23" s="276"/>
      <c r="E23" s="276"/>
      <c r="F23" s="276"/>
      <c r="G23" s="276"/>
      <c r="H23" s="276"/>
      <c r="I23" s="276"/>
      <c r="J23" s="277"/>
      <c r="K23" s="110"/>
      <c r="L23" s="110"/>
      <c r="M23" s="110"/>
      <c r="N23" s="110"/>
      <c r="O23" s="110"/>
      <c r="P23" s="110"/>
      <c r="Q23" s="110"/>
      <c r="R23" s="110"/>
      <c r="S23" s="110"/>
      <c r="T23" s="110"/>
      <c r="U23" s="110"/>
      <c r="V23" s="110"/>
      <c r="W23" s="110"/>
      <c r="X23" s="110"/>
      <c r="Y23" s="110"/>
      <c r="Z23" s="110"/>
    </row>
    <row r="24" spans="1:26" ht="16.5" customHeight="1" x14ac:dyDescent="0.3">
      <c r="A24" s="110"/>
      <c r="B24" s="289" t="s">
        <v>140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0"/>
      <c r="C25" s="204"/>
      <c r="D25" s="204"/>
      <c r="E25" s="204"/>
      <c r="F25" s="204"/>
      <c r="G25" s="204"/>
      <c r="H25" s="204"/>
      <c r="I25" s="204"/>
      <c r="J25" s="291"/>
      <c r="K25" s="110"/>
      <c r="L25" s="110"/>
      <c r="M25" s="110"/>
      <c r="N25" s="110"/>
      <c r="O25" s="110"/>
      <c r="P25" s="110"/>
      <c r="Q25" s="110"/>
      <c r="R25" s="110"/>
      <c r="S25" s="110"/>
      <c r="T25" s="110"/>
      <c r="U25" s="110"/>
      <c r="V25" s="110"/>
      <c r="W25" s="110"/>
      <c r="X25" s="110"/>
      <c r="Y25" s="110"/>
      <c r="Z25" s="110"/>
    </row>
    <row r="26" spans="1:26" ht="16.5" customHeight="1" x14ac:dyDescent="0.3">
      <c r="A26" s="110"/>
      <c r="B26" s="275"/>
      <c r="C26" s="276"/>
      <c r="D26" s="276"/>
      <c r="E26" s="276"/>
      <c r="F26" s="276"/>
      <c r="G26" s="276"/>
      <c r="H26" s="276"/>
      <c r="I26" s="276"/>
      <c r="J26" s="277"/>
      <c r="K26" s="110"/>
      <c r="L26" s="110"/>
      <c r="M26" s="110"/>
      <c r="N26" s="110"/>
      <c r="O26" s="110"/>
      <c r="P26" s="110"/>
      <c r="Q26" s="110"/>
      <c r="R26" s="110"/>
      <c r="S26" s="110"/>
      <c r="T26" s="110"/>
      <c r="U26" s="110"/>
      <c r="V26" s="110"/>
      <c r="W26" s="110"/>
      <c r="X26" s="110"/>
      <c r="Y26" s="110"/>
      <c r="Z26" s="110"/>
    </row>
    <row r="27" spans="1:26" ht="16.5" customHeight="1" x14ac:dyDescent="0.3">
      <c r="A27" s="110"/>
      <c r="B27" s="289" t="s">
        <v>141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0"/>
      <c r="C28" s="204"/>
      <c r="D28" s="204"/>
      <c r="E28" s="204"/>
      <c r="F28" s="204"/>
      <c r="G28" s="204"/>
      <c r="H28" s="204"/>
      <c r="I28" s="204"/>
      <c r="J28" s="291"/>
      <c r="K28" s="110"/>
      <c r="L28" s="110"/>
      <c r="M28" s="110"/>
      <c r="N28" s="110"/>
      <c r="O28" s="110"/>
      <c r="P28" s="110"/>
      <c r="Q28" s="110"/>
      <c r="R28" s="110"/>
      <c r="S28" s="110"/>
      <c r="T28" s="110"/>
      <c r="U28" s="110"/>
      <c r="V28" s="110"/>
      <c r="W28" s="110"/>
      <c r="X28" s="110"/>
      <c r="Y28" s="110"/>
      <c r="Z28" s="110"/>
    </row>
    <row r="29" spans="1:26" ht="16.5" customHeight="1" x14ac:dyDescent="0.3">
      <c r="A29" s="110"/>
      <c r="B29" s="275"/>
      <c r="C29" s="276"/>
      <c r="D29" s="276"/>
      <c r="E29" s="276"/>
      <c r="F29" s="276"/>
      <c r="G29" s="276"/>
      <c r="H29" s="276"/>
      <c r="I29" s="276"/>
      <c r="J29" s="277"/>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2" t="s">
        <v>144</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44426</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25" x14ac:dyDescent="0.3">
      <c r="A7" s="110"/>
      <c r="B7" s="115" t="s">
        <v>101</v>
      </c>
      <c r="C7" s="114" t="s">
        <v>121</v>
      </c>
      <c r="D7" s="115" t="s">
        <v>122</v>
      </c>
      <c r="E7" s="116" t="s">
        <v>123</v>
      </c>
      <c r="F7" s="110"/>
      <c r="G7" s="117" t="s">
        <v>124</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102</v>
      </c>
      <c r="C8" s="114" t="s">
        <v>125</v>
      </c>
      <c r="D8" s="115" t="s">
        <v>126</v>
      </c>
      <c r="E8" s="116" t="s">
        <v>127</v>
      </c>
      <c r="F8" s="110"/>
      <c r="G8" s="117" t="s">
        <v>128</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103</v>
      </c>
      <c r="C9" s="114" t="s">
        <v>129</v>
      </c>
      <c r="D9" s="115" t="s">
        <v>130</v>
      </c>
      <c r="E9" s="116" t="s">
        <v>127</v>
      </c>
      <c r="F9" s="110"/>
      <c r="G9" s="119" t="s">
        <v>131</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104</v>
      </c>
      <c r="C10" s="114" t="s">
        <v>132</v>
      </c>
      <c r="D10" s="115" t="s">
        <v>133</v>
      </c>
      <c r="E10" s="116" t="s">
        <v>127</v>
      </c>
      <c r="F10" s="110"/>
      <c r="G10" s="119" t="s">
        <v>134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3" t="s">
        <v>136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89" t="s">
        <v>137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0"/>
      <c r="C16" s="204"/>
      <c r="D16" s="204"/>
      <c r="E16" s="204"/>
      <c r="F16" s="204"/>
      <c r="G16" s="204"/>
      <c r="H16" s="204"/>
      <c r="I16" s="204"/>
      <c r="J16" s="291"/>
      <c r="K16" s="110"/>
      <c r="L16" s="110"/>
      <c r="M16" s="110"/>
      <c r="N16" s="110"/>
      <c r="O16" s="110"/>
      <c r="P16" s="110"/>
      <c r="Q16" s="110"/>
      <c r="R16" s="110"/>
      <c r="S16" s="110"/>
      <c r="T16" s="110"/>
      <c r="U16" s="110"/>
      <c r="V16" s="110"/>
      <c r="W16" s="110"/>
      <c r="X16" s="110"/>
      <c r="Y16" s="110"/>
      <c r="Z16" s="110"/>
    </row>
    <row r="17" spans="1:26" ht="16.5" customHeight="1" x14ac:dyDescent="0.3">
      <c r="A17" s="110"/>
      <c r="B17" s="275"/>
      <c r="C17" s="276"/>
      <c r="D17" s="276"/>
      <c r="E17" s="276"/>
      <c r="F17" s="276"/>
      <c r="G17" s="276"/>
      <c r="H17" s="276"/>
      <c r="I17" s="276"/>
      <c r="J17" s="277"/>
      <c r="K17" s="110"/>
      <c r="L17" s="110"/>
      <c r="M17" s="110"/>
      <c r="N17" s="110"/>
      <c r="O17" s="110"/>
      <c r="P17" s="110"/>
      <c r="Q17" s="110"/>
      <c r="R17" s="110"/>
      <c r="S17" s="110"/>
      <c r="T17" s="110"/>
      <c r="U17" s="110"/>
      <c r="V17" s="110"/>
      <c r="W17" s="110"/>
      <c r="X17" s="110"/>
      <c r="Y17" s="110"/>
      <c r="Z17" s="110"/>
    </row>
    <row r="18" spans="1:26" ht="16.5" customHeight="1" x14ac:dyDescent="0.3">
      <c r="A18" s="110"/>
      <c r="B18" s="289" t="s">
        <v>138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0"/>
      <c r="C19" s="204"/>
      <c r="D19" s="204"/>
      <c r="E19" s="204"/>
      <c r="F19" s="204"/>
      <c r="G19" s="204"/>
      <c r="H19" s="204"/>
      <c r="I19" s="204"/>
      <c r="J19" s="291"/>
      <c r="K19" s="110"/>
      <c r="L19" s="110"/>
      <c r="M19" s="110"/>
      <c r="N19" s="110"/>
      <c r="O19" s="110"/>
      <c r="P19" s="110"/>
      <c r="Q19" s="110"/>
      <c r="R19" s="110"/>
      <c r="S19" s="110"/>
      <c r="T19" s="110"/>
      <c r="U19" s="110"/>
      <c r="V19" s="110"/>
      <c r="W19" s="110"/>
      <c r="X19" s="110"/>
      <c r="Y19" s="110"/>
      <c r="Z19" s="110"/>
    </row>
    <row r="20" spans="1:26" ht="16.5" customHeight="1" x14ac:dyDescent="0.3">
      <c r="A20" s="110"/>
      <c r="B20" s="275"/>
      <c r="C20" s="276"/>
      <c r="D20" s="276"/>
      <c r="E20" s="276"/>
      <c r="F20" s="276"/>
      <c r="G20" s="276"/>
      <c r="H20" s="276"/>
      <c r="I20" s="276"/>
      <c r="J20" s="277"/>
      <c r="K20" s="110"/>
      <c r="L20" s="110"/>
      <c r="M20" s="110"/>
      <c r="N20" s="110"/>
      <c r="O20" s="110"/>
      <c r="P20" s="110"/>
      <c r="Q20" s="110"/>
      <c r="R20" s="110"/>
      <c r="S20" s="110"/>
      <c r="T20" s="110"/>
      <c r="U20" s="110"/>
      <c r="V20" s="110"/>
      <c r="W20" s="110"/>
      <c r="X20" s="110"/>
      <c r="Y20" s="110"/>
      <c r="Z20" s="110"/>
    </row>
    <row r="21" spans="1:26" ht="16.5" customHeight="1" x14ac:dyDescent="0.3">
      <c r="A21" s="110"/>
      <c r="B21" s="289" t="s">
        <v>139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0"/>
      <c r="C22" s="204"/>
      <c r="D22" s="204"/>
      <c r="E22" s="204"/>
      <c r="F22" s="204"/>
      <c r="G22" s="204"/>
      <c r="H22" s="204"/>
      <c r="I22" s="204"/>
      <c r="J22" s="291"/>
      <c r="K22" s="110"/>
      <c r="L22" s="110"/>
      <c r="M22" s="110"/>
      <c r="N22" s="110"/>
      <c r="O22" s="110"/>
      <c r="P22" s="110"/>
      <c r="Q22" s="110"/>
      <c r="R22" s="110"/>
      <c r="S22" s="110"/>
      <c r="T22" s="110"/>
      <c r="U22" s="110"/>
      <c r="V22" s="110"/>
      <c r="W22" s="110"/>
      <c r="X22" s="110"/>
      <c r="Y22" s="110"/>
      <c r="Z22" s="110"/>
    </row>
    <row r="23" spans="1:26" ht="16.5" customHeight="1" x14ac:dyDescent="0.3">
      <c r="A23" s="110"/>
      <c r="B23" s="275"/>
      <c r="C23" s="276"/>
      <c r="D23" s="276"/>
      <c r="E23" s="276"/>
      <c r="F23" s="276"/>
      <c r="G23" s="276"/>
      <c r="H23" s="276"/>
      <c r="I23" s="276"/>
      <c r="J23" s="277"/>
      <c r="K23" s="110"/>
      <c r="L23" s="110"/>
      <c r="M23" s="110"/>
      <c r="N23" s="110"/>
      <c r="O23" s="110"/>
      <c r="P23" s="110"/>
      <c r="Q23" s="110"/>
      <c r="R23" s="110"/>
      <c r="S23" s="110"/>
      <c r="T23" s="110"/>
      <c r="U23" s="110"/>
      <c r="V23" s="110"/>
      <c r="W23" s="110"/>
      <c r="X23" s="110"/>
      <c r="Y23" s="110"/>
      <c r="Z23" s="110"/>
    </row>
    <row r="24" spans="1:26" ht="16.5" customHeight="1" x14ac:dyDescent="0.3">
      <c r="A24" s="110"/>
      <c r="B24" s="289" t="s">
        <v>140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0"/>
      <c r="C25" s="204"/>
      <c r="D25" s="204"/>
      <c r="E25" s="204"/>
      <c r="F25" s="204"/>
      <c r="G25" s="204"/>
      <c r="H25" s="204"/>
      <c r="I25" s="204"/>
      <c r="J25" s="291"/>
      <c r="K25" s="110"/>
      <c r="L25" s="110"/>
      <c r="M25" s="110"/>
      <c r="N25" s="110"/>
      <c r="O25" s="110"/>
      <c r="P25" s="110"/>
      <c r="Q25" s="110"/>
      <c r="R25" s="110"/>
      <c r="S25" s="110"/>
      <c r="T25" s="110"/>
      <c r="U25" s="110"/>
      <c r="V25" s="110"/>
      <c r="W25" s="110"/>
      <c r="X25" s="110"/>
      <c r="Y25" s="110"/>
      <c r="Z25" s="110"/>
    </row>
    <row r="26" spans="1:26" ht="16.5" customHeight="1" x14ac:dyDescent="0.3">
      <c r="A26" s="110"/>
      <c r="B26" s="275"/>
      <c r="C26" s="276"/>
      <c r="D26" s="276"/>
      <c r="E26" s="276"/>
      <c r="F26" s="276"/>
      <c r="G26" s="276"/>
      <c r="H26" s="276"/>
      <c r="I26" s="276"/>
      <c r="J26" s="277"/>
      <c r="K26" s="110"/>
      <c r="L26" s="110"/>
      <c r="M26" s="110"/>
      <c r="N26" s="110"/>
      <c r="O26" s="110"/>
      <c r="P26" s="110"/>
      <c r="Q26" s="110"/>
      <c r="R26" s="110"/>
      <c r="S26" s="110"/>
      <c r="T26" s="110"/>
      <c r="U26" s="110"/>
      <c r="V26" s="110"/>
      <c r="W26" s="110"/>
      <c r="X26" s="110"/>
      <c r="Y26" s="110"/>
      <c r="Z26" s="110"/>
    </row>
    <row r="27" spans="1:26" ht="16.5" customHeight="1" x14ac:dyDescent="0.3">
      <c r="A27" s="110"/>
      <c r="B27" s="289" t="s">
        <v>141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0"/>
      <c r="C28" s="204"/>
      <c r="D28" s="204"/>
      <c r="E28" s="204"/>
      <c r="F28" s="204"/>
      <c r="G28" s="204"/>
      <c r="H28" s="204"/>
      <c r="I28" s="204"/>
      <c r="J28" s="291"/>
      <c r="K28" s="110"/>
      <c r="L28" s="110"/>
      <c r="M28" s="110"/>
      <c r="N28" s="110"/>
      <c r="O28" s="110"/>
      <c r="P28" s="110"/>
      <c r="Q28" s="110"/>
      <c r="R28" s="110"/>
      <c r="S28" s="110"/>
      <c r="T28" s="110"/>
      <c r="U28" s="110"/>
      <c r="V28" s="110"/>
      <c r="W28" s="110"/>
      <c r="X28" s="110"/>
      <c r="Y28" s="110"/>
      <c r="Z28" s="110"/>
    </row>
    <row r="29" spans="1:26" ht="16.5" customHeight="1" x14ac:dyDescent="0.3">
      <c r="A29" s="110"/>
      <c r="B29" s="275"/>
      <c r="C29" s="276"/>
      <c r="D29" s="276"/>
      <c r="E29" s="276"/>
      <c r="F29" s="276"/>
      <c r="G29" s="276"/>
      <c r="H29" s="276"/>
      <c r="I29" s="276"/>
      <c r="J29" s="277"/>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08" t="s">
        <v>145</v>
      </c>
      <c r="D2" s="204"/>
      <c r="E2" s="204"/>
      <c r="F2" s="204"/>
      <c r="G2" s="204"/>
      <c r="H2" s="204"/>
      <c r="I2" s="204"/>
      <c r="J2" s="204"/>
      <c r="K2" s="204"/>
      <c r="L2" s="204"/>
      <c r="M2" s="204"/>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t="str">
        <f>CARÁTULA!$C$25</f>
        <v>Tec. Tecnologica Programacion Visual</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
      <c r="A5" s="40"/>
      <c r="B5" s="123" t="s">
        <v>22</v>
      </c>
      <c r="C5" s="40"/>
      <c r="D5" s="40"/>
      <c r="E5" s="40" t="str">
        <f>CARÁTULA!$C$23</f>
        <v>6to de Secundaria</v>
      </c>
      <c r="F5" s="40"/>
      <c r="G5" s="40"/>
      <c r="H5" s="40"/>
      <c r="I5" s="40"/>
      <c r="J5" s="43" t="s">
        <v>23</v>
      </c>
      <c r="K5" s="68">
        <f ca="1">TODAY()</f>
        <v>44426</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55" t="s">
        <v>146</v>
      </c>
      <c r="D10" s="204"/>
      <c r="E10" s="124"/>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148</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9" t="s">
        <v>149</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150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55" t="s">
        <v>151</v>
      </c>
      <c r="D23" s="204"/>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148</v>
      </c>
      <c r="D24" s="40"/>
      <c r="E24" s="126">
        <f>'CENTRAL 2'!$J$9</f>
        <v>30</v>
      </c>
      <c r="F24" s="40"/>
      <c r="G24" s="127">
        <f t="shared" ref="G24:G25" si="1">E24/$E$26</f>
        <v>0.81081081081081086</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9" t="s">
        <v>149</v>
      </c>
      <c r="D25" s="40"/>
      <c r="E25" s="129">
        <f>'CENTRAL 2'!$J$13</f>
        <v>7</v>
      </c>
      <c r="F25" s="40"/>
      <c r="G25" s="127">
        <f t="shared" si="1"/>
        <v>0.1891891891891892</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150</v>
      </c>
      <c r="D26" s="40"/>
      <c r="E26" s="131">
        <f>SUM(E24:E25)</f>
        <v>37</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55" t="s">
        <v>153</v>
      </c>
      <c r="D35" s="204"/>
      <c r="E35" s="40"/>
      <c r="F35" s="40"/>
      <c r="G35" s="123" t="s">
        <v>154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148</v>
      </c>
      <c r="D36" s="40"/>
      <c r="E36" s="126">
        <f>'CENTRAL 2'!$K$9</f>
        <v>36</v>
      </c>
      <c r="F36" s="40"/>
      <c r="G36" s="127">
        <f t="shared" ref="G36:G37" si="2">E36/$E$26</f>
        <v>0.97297297297297303</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9" t="s">
        <v>149</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150</v>
      </c>
      <c r="D38" s="40"/>
      <c r="E38" s="131">
        <f>SUM(E36:E37)</f>
        <v>36</v>
      </c>
      <c r="F38" s="40"/>
      <c r="G38" s="127">
        <f>SUM(G36:G37)</f>
        <v>0.97297297297297303</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95" t="s">
        <v>155</v>
      </c>
      <c r="D2" s="204"/>
      <c r="E2" s="204"/>
      <c r="F2" s="204"/>
      <c r="G2" s="204"/>
      <c r="H2" s="204"/>
      <c r="I2" s="204"/>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t="str">
        <f>CARÁTULA!$C$25</f>
        <v>Tec. Tecnologica Programacion Visual</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22</v>
      </c>
      <c r="C5" s="133"/>
      <c r="D5" s="133"/>
      <c r="E5" s="133" t="str">
        <f>CARÁTULA!$C$23</f>
        <v>6to de Secundaria</v>
      </c>
      <c r="F5" s="133"/>
      <c r="G5" s="132" t="s">
        <v>23</v>
      </c>
      <c r="H5" s="134">
        <f ca="1">TODAY()</f>
        <v>44426</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94" t="s">
        <v>156</v>
      </c>
      <c r="D8" s="136" t="s">
        <v>157</v>
      </c>
      <c r="E8" s="136" t="s">
        <v>158</v>
      </c>
      <c r="F8" s="137" t="s">
        <v>159</v>
      </c>
      <c r="G8" s="136" t="s">
        <v>160</v>
      </c>
      <c r="H8" s="136" t="s">
        <v>161</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81"/>
      <c r="D9" s="138" t="s">
        <v>162</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81"/>
      <c r="D10" s="138" t="s">
        <v>163</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81"/>
      <c r="D11" s="138" t="s">
        <v>164</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66"/>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94" t="s">
        <v>165</v>
      </c>
      <c r="D15" s="136" t="s">
        <v>157</v>
      </c>
      <c r="E15" s="136" t="s">
        <v>158</v>
      </c>
      <c r="F15" s="137" t="s">
        <v>159</v>
      </c>
      <c r="G15" s="136" t="s">
        <v>160</v>
      </c>
      <c r="H15" s="136" t="s">
        <v>161</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81"/>
      <c r="D16" s="138" t="s">
        <v>162</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81"/>
      <c r="D17" s="138" t="s">
        <v>163</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81"/>
      <c r="D18" s="138" t="s">
        <v>164</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66"/>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94" t="s">
        <v>166</v>
      </c>
      <c r="D22" s="136" t="s">
        <v>157</v>
      </c>
      <c r="E22" s="136" t="s">
        <v>158</v>
      </c>
      <c r="F22" s="137" t="s">
        <v>159</v>
      </c>
      <c r="G22" s="136" t="s">
        <v>160</v>
      </c>
      <c r="H22" s="136" t="s">
        <v>161</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81"/>
      <c r="D23" s="138" t="s">
        <v>162</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81"/>
      <c r="D24" s="138" t="s">
        <v>163</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81"/>
      <c r="D25" s="138" t="s">
        <v>164</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66"/>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94" t="s">
        <v>167</v>
      </c>
      <c r="D29" s="136" t="s">
        <v>157</v>
      </c>
      <c r="E29" s="136" t="s">
        <v>158</v>
      </c>
      <c r="F29" s="137" t="s">
        <v>159</v>
      </c>
      <c r="G29" s="136" t="s">
        <v>160</v>
      </c>
      <c r="H29" s="136" t="s">
        <v>161</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81"/>
      <c r="D30" s="138" t="s">
        <v>162</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81"/>
      <c r="D31" s="138" t="s">
        <v>163</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81"/>
      <c r="D32" s="138" t="s">
        <v>164</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66"/>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94" t="s">
        <v>168</v>
      </c>
      <c r="D36" s="136" t="s">
        <v>157</v>
      </c>
      <c r="E36" s="136" t="s">
        <v>158</v>
      </c>
      <c r="F36" s="137" t="s">
        <v>159</v>
      </c>
      <c r="G36" s="136" t="s">
        <v>160</v>
      </c>
      <c r="H36" s="136" t="s">
        <v>161</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81"/>
      <c r="D37" s="138" t="s">
        <v>162</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81"/>
      <c r="D38" s="138" t="s">
        <v>163</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81"/>
      <c r="D39" s="138" t="s">
        <v>164</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66"/>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94" t="s">
        <v>169</v>
      </c>
      <c r="D43" s="136" t="s">
        <v>157</v>
      </c>
      <c r="E43" s="136" t="s">
        <v>158</v>
      </c>
      <c r="F43" s="137" t="s">
        <v>159</v>
      </c>
      <c r="G43" s="136" t="s">
        <v>160</v>
      </c>
      <c r="H43" s="136" t="s">
        <v>161</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81"/>
      <c r="D44" s="138" t="s">
        <v>162</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81"/>
      <c r="D45" s="138" t="s">
        <v>163</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81"/>
      <c r="D46" s="138" t="s">
        <v>164</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66"/>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296" t="s">
        <v>170</v>
      </c>
      <c r="F3" s="204"/>
      <c r="G3" s="204"/>
      <c r="H3" s="204"/>
      <c r="I3" s="204"/>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t="str">
        <f>CARÁTULA!$C$25</f>
        <v>Tec. Tecnologica Programacion Visual</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22</v>
      </c>
      <c r="C8" s="19"/>
      <c r="D8" s="19"/>
      <c r="E8" s="19"/>
      <c r="F8" s="19"/>
      <c r="G8" s="40" t="str">
        <f>CARÁTULA!$C$23</f>
        <v>6to de Secundaria</v>
      </c>
      <c r="H8" s="144" t="s">
        <v>23</v>
      </c>
      <c r="I8" s="134">
        <f ca="1">TODAY()</f>
        <v>44426</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297" t="s">
        <v>171</v>
      </c>
      <c r="F16" s="298"/>
      <c r="G16" s="146" t="s">
        <v>24</v>
      </c>
      <c r="H16" s="147" t="s">
        <v>172</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299"/>
      <c r="F17" s="259"/>
      <c r="G17" s="149" t="str">
        <f>'C. FILIACION'!B8</f>
        <v>ALTAMIRANO RAMOS ESTEFANI MILENKA</v>
      </c>
      <c r="H17" s="150">
        <f>'CENTRAL 2'!F9</f>
        <v>93</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299"/>
      <c r="F18" s="259"/>
      <c r="G18" s="149" t="str">
        <f>'C. FILIACION'!B9</f>
        <v>APAZA LINO TATIANA JAZMIN</v>
      </c>
      <c r="H18" s="150">
        <f>'CENTRAL 2'!F10</f>
        <v>94.666666666666671</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299"/>
      <c r="F19" s="259"/>
      <c r="G19" s="149" t="str">
        <f>'C. FILIACION'!B10</f>
        <v>BOLAÑOS OVANDO MIJHAIL ALEXANDER</v>
      </c>
      <c r="H19" s="150">
        <f>'CENTRAL 2'!F11</f>
        <v>77</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299"/>
      <c r="F20" s="259"/>
      <c r="G20" s="149" t="str">
        <f>'C. FILIACION'!B11</f>
        <v>BRICHER ETHELBERT ISMAEL</v>
      </c>
      <c r="H20" s="150">
        <f>'CENTRAL 2'!F12</f>
        <v>61.333333333333336</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299"/>
      <c r="F21" s="259"/>
      <c r="G21" s="149" t="str">
        <f>'C. FILIACION'!B12</f>
        <v>CANAVIRI QUISBERT ALEJANDRA ELENA</v>
      </c>
      <c r="H21" s="150">
        <f>'CENTRAL 2'!F13</f>
        <v>88</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299"/>
      <c r="F22" s="259"/>
      <c r="G22" s="149" t="str">
        <f>'C. FILIACION'!B13</f>
        <v>GOMEZ BELTRAN ALBERT NORMAN</v>
      </c>
      <c r="H22" s="150">
        <f>'CENTRAL 2'!F14</f>
        <v>90</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299"/>
      <c r="F23" s="259"/>
      <c r="G23" s="149" t="str">
        <f>'C. FILIACION'!B14</f>
        <v>GOMEZ COSME MELANY KARINA</v>
      </c>
      <c r="H23" s="150">
        <f>'CENTRAL 2'!F15</f>
        <v>73.333333333333329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299"/>
      <c r="F24" s="259"/>
      <c r="G24" s="149" t="str">
        <f>'C. FILIACION'!B15</f>
        <v>GONZALES ZUAZO KALEB RAMSES</v>
      </c>
      <c r="H24" s="150">
        <f>'CENTRAL 2'!F16</f>
        <v>88.333333333333329</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299"/>
      <c r="F25" s="259"/>
      <c r="G25" s="149" t="str">
        <f>'C. FILIACION'!B16</f>
        <v>LEDEZMA AGUILAR ELVIS JHEFERSON</v>
      </c>
      <c r="H25" s="150">
        <f>'CENTRAL 2'!F17</f>
        <v>88.333333333333329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299"/>
      <c r="F26" s="259"/>
      <c r="G26" s="149" t="str">
        <f>'C. FILIACION'!B17</f>
        <v>LOBATON RODRIGUEZ JHONATAN A.</v>
      </c>
      <c r="H26" s="150">
        <f>'CENTRAL 2'!F18</f>
        <v>88.333333333333329</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299"/>
      <c r="F27" s="259"/>
      <c r="G27" s="149" t="str">
        <f>'C. FILIACION'!B18</f>
        <v>MAMANI LOPEZ DAFNE MILDRED</v>
      </c>
      <c r="H27" s="150">
        <f>'CENTRAL 2'!F19</f>
        <v>81.333333333333329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299"/>
      <c r="F28" s="259"/>
      <c r="G28" s="149" t="str">
        <f>'C. FILIACION'!B19</f>
        <v>MARCONI PEREZ SINDEL LUANA</v>
      </c>
      <c r="H28" s="150">
        <f>'CENTRAL 2'!F20</f>
        <v>80</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299"/>
      <c r="F29" s="259"/>
      <c r="G29" s="149" t="str">
        <f>'C. FILIACION'!B20</f>
        <v>MENACHO LINEO ANDREA KIMBERLY</v>
      </c>
      <c r="H29" s="150">
        <f>'CENTRAL 2'!F21</f>
        <v>83</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299"/>
      <c r="F30" s="259"/>
      <c r="G30" s="149" t="str">
        <f>'C. FILIACION'!B21</f>
        <v>PILLCO APAZA MARIAN ALEXANDRA</v>
      </c>
      <c r="H30" s="150">
        <f>'CENTRAL 2'!F22</f>
        <v>80.333333333333329</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299"/>
      <c r="F31" s="259"/>
      <c r="G31" s="149" t="str">
        <f>'C. FILIACION'!B22</f>
        <v>RUEDA ALVAREZ GREGORY STEVEN</v>
      </c>
      <c r="H31" s="150">
        <f>'CENTRAL 2'!F23</f>
        <v>86.333333333333329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299"/>
      <c r="F32" s="259"/>
      <c r="G32" s="149" t="str">
        <f>'C. FILIACION'!B23</f>
        <v>VARGAS JOYCE BELEN</v>
      </c>
      <c r="H32" s="150">
        <f>'CENTRAL 2'!F24</f>
        <v>74.333333333333329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299"/>
      <c r="F33" s="259"/>
      <c r="G33" s="149" t="str">
        <f>'C. FILIACION'!B24</f>
        <v>ZURITA JIMENEZ ELMER ARTURO</v>
      </c>
      <c r="H33" s="150">
        <f>'CENTRAL 2'!F25</f>
        <v>90.333333333333329</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299"/>
      <c r="F34" s="259"/>
      <c r="G34" s="149" t="str">
        <f>'C. FILIACION'!B25</f>
        <v>ADRIAN FLORES EDDY BEYMAR</v>
      </c>
      <c r="H34" s="150">
        <f>'CENTRAL 2'!F26</f>
        <v>81.333333333333329</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300"/>
      <c r="F35" s="259"/>
      <c r="G35" s="149" t="str">
        <f>'C. FILIACION'!B26</f>
        <v>Ventura Choque Danely Keyla</v>
      </c>
      <c r="H35" s="150">
        <f>'CENTRAL 2'!F27</f>
        <v>87</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299"/>
      <c r="F36" s="259"/>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299"/>
      <c r="F37" s="259"/>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299"/>
      <c r="F38" s="259"/>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299"/>
      <c r="F39" s="259"/>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299"/>
      <c r="F40" s="259"/>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299"/>
      <c r="F41" s="259"/>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299"/>
      <c r="F42" s="259"/>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299"/>
      <c r="F43" s="259"/>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299"/>
      <c r="F44" s="259"/>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299"/>
      <c r="F45" s="259"/>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299"/>
      <c r="F46" s="259"/>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299"/>
      <c r="F47" s="259"/>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299"/>
      <c r="F48" s="259"/>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299"/>
      <c r="F49" s="259"/>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299"/>
      <c r="F50" s="259"/>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299"/>
      <c r="F51" s="259"/>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299"/>
      <c r="F52" s="259"/>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299"/>
      <c r="F53" s="259"/>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299"/>
      <c r="F54" s="259"/>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299"/>
      <c r="F55" s="259"/>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299"/>
      <c r="F56" s="259"/>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299"/>
      <c r="F57" s="259"/>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299"/>
      <c r="F58" s="259"/>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299"/>
      <c r="F59" s="259"/>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301"/>
      <c r="F60" s="302"/>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por Estudiante</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2021-08-13T20:19:58Z</cp:lastPrinted>
  <dcterms:created xsi:type="dcterms:W3CDTF">2020-01-23T13:58:13Z</dcterms:created>
  <dcterms:modified xsi:type="dcterms:W3CDTF">2021-08-18T20:02:47Z</dcterms:modified>
</cp:coreProperties>
</file>