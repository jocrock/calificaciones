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mc:AlternateContent xmlns:mc="http://schemas.openxmlformats.org/markup-compatibility/2006">
    <mc:Choice Requires="x15">
      <x15ac:absPath xmlns:x15ac="http://schemas.microsoft.com/office/spreadsheetml/2010/11/ac" url="D:\Calificaciones\"/>
    </mc:Choice>
  </mc:AlternateContent>
  <xr:revisionPtr revIDLastSave="0" documentId="13_ncr:1_{5770F81F-DD65-40BD-84DC-986B68F3DB5B}" xr6:coauthVersionLast="47" xr6:coauthVersionMax="47" xr10:uidLastSave="{00000000-0000-0000-0000-000000000000}"/>
  <bookViews>
    <workbookView xWindow="-108" yWindow="-108" windowWidth="23256" windowHeight="12576" firstSheet="3" activeTab="9" xr2:uid="{00000000-000D-0000-FFFF-FFFF00000000}"/>
  </bookViews>
  <sheets>
    <sheet name="CARÁTULA" sheetId="1" r:id="rId1"/>
    <sheet name="C. FILIACION" sheetId="2" r:id="rId2"/>
    <sheet name="ASIS 1 TRIM" sheetId="3" r:id="rId3"/>
    <sheet name="ASIS 2 TRIM" sheetId="4" r:id="rId4"/>
    <sheet name="Informe por Estudiante"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T10" i="8" l="1"/>
  <c r="AT11" i="8"/>
  <c r="AT12" i="8"/>
  <c r="AT13" i="8"/>
  <c r="AT14" i="8"/>
  <c r="AT15" i="8"/>
  <c r="AT16" i="8"/>
  <c r="AT17" i="8"/>
  <c r="AT18" i="8"/>
  <c r="AT19" i="8"/>
  <c r="AT20" i="8"/>
  <c r="AT21" i="8"/>
  <c r="AT22" i="8"/>
  <c r="AT23" i="8"/>
  <c r="AT24" i="8"/>
  <c r="AT25" i="8"/>
  <c r="AT26" i="8"/>
  <c r="AT27" i="8"/>
  <c r="AT9" i="8"/>
  <c r="AE11" i="8" l="1"/>
  <c r="AA11" i="8" l="1"/>
  <c r="AA12" i="8"/>
  <c r="AA13" i="8"/>
  <c r="AA16" i="8"/>
  <c r="AA19" i="8"/>
  <c r="AA21" i="8"/>
  <c r="AA22" i="8"/>
  <c r="AA25" i="8"/>
  <c r="AA27" i="8"/>
  <c r="C12" i="8"/>
  <c r="C24" i="8"/>
  <c r="BJ11" i="5"/>
  <c r="BJ23" i="5"/>
  <c r="BE11" i="5"/>
  <c r="BE23" i="5"/>
  <c r="BA9" i="5"/>
  <c r="BB9" i="5"/>
  <c r="BC9" i="5"/>
  <c r="BD9" i="5"/>
  <c r="BA10" i="5"/>
  <c r="BB10" i="5"/>
  <c r="BC10" i="5"/>
  <c r="BD10" i="5"/>
  <c r="BA11" i="5"/>
  <c r="BB11" i="5"/>
  <c r="BC11" i="5"/>
  <c r="BD11" i="5"/>
  <c r="BA12" i="5"/>
  <c r="BB12" i="5"/>
  <c r="BC12" i="5"/>
  <c r="BD12" i="5"/>
  <c r="BA13" i="5"/>
  <c r="BB13" i="5"/>
  <c r="BC13" i="5"/>
  <c r="BD13" i="5"/>
  <c r="BA14" i="5"/>
  <c r="BB14" i="5"/>
  <c r="BC14" i="5"/>
  <c r="BD14" i="5"/>
  <c r="BA15" i="5"/>
  <c r="BB15" i="5"/>
  <c r="BC15" i="5"/>
  <c r="BD15" i="5"/>
  <c r="BA16" i="5"/>
  <c r="BE16" i="5" s="1"/>
  <c r="BB16" i="5"/>
  <c r="BC16" i="5"/>
  <c r="BD16" i="5"/>
  <c r="BA17" i="5"/>
  <c r="BB17" i="5"/>
  <c r="BC17" i="5"/>
  <c r="BD17" i="5"/>
  <c r="BA18" i="5"/>
  <c r="BB18" i="5"/>
  <c r="BC18" i="5"/>
  <c r="BD18" i="5"/>
  <c r="BA19" i="5"/>
  <c r="BB19" i="5"/>
  <c r="BC19" i="5"/>
  <c r="BD19" i="5"/>
  <c r="BA20" i="5"/>
  <c r="BB20" i="5"/>
  <c r="BC20" i="5"/>
  <c r="BD20" i="5"/>
  <c r="BA21" i="5"/>
  <c r="BB21" i="5"/>
  <c r="BC21" i="5"/>
  <c r="BD21" i="5"/>
  <c r="BA22" i="5"/>
  <c r="BB22" i="5"/>
  <c r="BC22" i="5"/>
  <c r="BD22" i="5"/>
  <c r="BA23" i="5"/>
  <c r="BB23" i="5"/>
  <c r="BC23" i="5"/>
  <c r="BD23" i="5"/>
  <c r="BA24" i="5"/>
  <c r="BB24" i="5"/>
  <c r="BC24" i="5"/>
  <c r="BD24" i="5"/>
  <c r="BA25" i="5"/>
  <c r="BE25" i="5" s="1"/>
  <c r="BB25" i="5"/>
  <c r="BC25" i="5"/>
  <c r="BD25" i="5"/>
  <c r="BA26" i="5"/>
  <c r="BB26" i="5"/>
  <c r="BC26" i="5"/>
  <c r="BD26" i="5"/>
  <c r="BD8" i="5"/>
  <c r="BC8" i="5"/>
  <c r="BB8" i="5"/>
  <c r="BA8" i="5"/>
  <c r="AW22" i="7"/>
  <c r="BE21" i="5" l="1"/>
  <c r="BE17" i="5"/>
  <c r="BE13" i="5"/>
  <c r="BE8" i="5"/>
  <c r="BE26" i="5"/>
  <c r="BJ26" i="5" s="1"/>
  <c r="C27" i="8" s="1"/>
  <c r="BJ25" i="5"/>
  <c r="C26" i="8" s="1"/>
  <c r="BE24" i="5"/>
  <c r="BJ24" i="5" s="1"/>
  <c r="C25" i="8" s="1"/>
  <c r="BE22" i="5"/>
  <c r="BJ22" i="5" s="1"/>
  <c r="C23" i="8" s="1"/>
  <c r="BJ21" i="5"/>
  <c r="C22" i="8" s="1"/>
  <c r="BE20" i="5"/>
  <c r="BJ20" i="5" s="1"/>
  <c r="C21" i="8" s="1"/>
  <c r="BE19" i="5"/>
  <c r="BJ19" i="5" s="1"/>
  <c r="C20" i="8" s="1"/>
  <c r="BE18" i="5"/>
  <c r="BJ18" i="5" s="1"/>
  <c r="C19" i="8" s="1"/>
  <c r="BJ17" i="5"/>
  <c r="C18" i="8" s="1"/>
  <c r="BJ16" i="5"/>
  <c r="C17" i="8" s="1"/>
  <c r="BE15" i="5"/>
  <c r="BJ15" i="5" s="1"/>
  <c r="C16" i="8" s="1"/>
  <c r="BE14" i="5"/>
  <c r="BJ14" i="5" s="1"/>
  <c r="C15" i="8" s="1"/>
  <c r="BJ13" i="5"/>
  <c r="C14" i="8" s="1"/>
  <c r="BE12" i="5"/>
  <c r="BJ12" i="5" s="1"/>
  <c r="C13" i="8" s="1"/>
  <c r="BE10" i="5"/>
  <c r="BJ10" i="5" s="1"/>
  <c r="C11" i="8" s="1"/>
  <c r="BE9" i="5"/>
  <c r="BJ9" i="5" s="1"/>
  <c r="C10" i="8" s="1"/>
  <c r="BJ8" i="5"/>
  <c r="C9" i="8" s="1"/>
  <c r="F4" i="17"/>
  <c r="R4" i="17" l="1"/>
  <c r="AD33" i="17"/>
  <c r="AE28" i="17"/>
  <c r="A32" i="17" l="1"/>
  <c r="A31" i="17"/>
  <c r="A30" i="17"/>
  <c r="A29" i="17"/>
  <c r="A28" i="17"/>
  <c r="A27" i="17"/>
  <c r="A26" i="17"/>
  <c r="A25" i="17"/>
  <c r="A24" i="17"/>
  <c r="A19" i="17"/>
  <c r="A18" i="17"/>
  <c r="A17" i="17"/>
  <c r="A16" i="17"/>
  <c r="A15" i="17"/>
  <c r="AF11" i="17"/>
  <c r="AG11" i="17" s="1"/>
  <c r="AH11" i="17" s="1"/>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C10" i="17"/>
  <c r="D10" i="17"/>
  <c r="E10" i="17"/>
  <c r="F10" i="17"/>
  <c r="G10" i="17"/>
  <c r="H10" i="17"/>
  <c r="I10" i="17"/>
  <c r="J10" i="17"/>
  <c r="K10" i="17"/>
  <c r="L10" i="17"/>
  <c r="M10" i="17"/>
  <c r="N10" i="17"/>
  <c r="O10" i="17"/>
  <c r="P10" i="17"/>
  <c r="Q10" i="17"/>
  <c r="R10" i="17"/>
  <c r="S10" i="17"/>
  <c r="T10" i="17"/>
  <c r="U10" i="17"/>
  <c r="B10" i="17"/>
  <c r="Z10" i="17"/>
  <c r="Y10" i="17"/>
  <c r="X10" i="17"/>
  <c r="W10" i="17"/>
  <c r="V10" i="17"/>
  <c r="BD9" i="4"/>
  <c r="BD10" i="4"/>
  <c r="BD11" i="4"/>
  <c r="BD12" i="4"/>
  <c r="BD13" i="4"/>
  <c r="BD14" i="4"/>
  <c r="BD15" i="4"/>
  <c r="BD16" i="4"/>
  <c r="BD17" i="4"/>
  <c r="BD18" i="4"/>
  <c r="BD19" i="4"/>
  <c r="BD20" i="4"/>
  <c r="BD21" i="4"/>
  <c r="BD22" i="4"/>
  <c r="BD23" i="4"/>
  <c r="BD24" i="4"/>
  <c r="BD25" i="4"/>
  <c r="BD26" i="4"/>
  <c r="BD8" i="4"/>
  <c r="BC9" i="4"/>
  <c r="BC10" i="4"/>
  <c r="BC11" i="4"/>
  <c r="BC12" i="4"/>
  <c r="BC13" i="4"/>
  <c r="BC14" i="4"/>
  <c r="BC15" i="4"/>
  <c r="BC16" i="4"/>
  <c r="BC17" i="4"/>
  <c r="BC18" i="4"/>
  <c r="BC19" i="4"/>
  <c r="BC20" i="4"/>
  <c r="BC21" i="4"/>
  <c r="BC22" i="4"/>
  <c r="BC23" i="4"/>
  <c r="BC24" i="4"/>
  <c r="BC25" i="4"/>
  <c r="BC26" i="4"/>
  <c r="BC8" i="4"/>
  <c r="BB9" i="4"/>
  <c r="BB10" i="4"/>
  <c r="BB11" i="4"/>
  <c r="BB12" i="4"/>
  <c r="BB13" i="4"/>
  <c r="BB14" i="4"/>
  <c r="BB15" i="4"/>
  <c r="BB16" i="4"/>
  <c r="BB17" i="4"/>
  <c r="BB18" i="4"/>
  <c r="BB19" i="4"/>
  <c r="BB20" i="4"/>
  <c r="BB21" i="4"/>
  <c r="BB22" i="4"/>
  <c r="BB23" i="4"/>
  <c r="BB24" i="4"/>
  <c r="BB25" i="4"/>
  <c r="BB26" i="4"/>
  <c r="BB8" i="4"/>
  <c r="B25" i="4" l="1"/>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G40" i="15"/>
  <c r="H39" i="15" s="1"/>
  <c r="F40" i="15"/>
  <c r="E40" i="15"/>
  <c r="H37" i="15"/>
  <c r="G33" i="15"/>
  <c r="H32" i="15" s="1"/>
  <c r="F33" i="15"/>
  <c r="E33" i="15"/>
  <c r="G26" i="15"/>
  <c r="H25" i="15" s="1"/>
  <c r="F26" i="15"/>
  <c r="E26" i="15"/>
  <c r="H24" i="15"/>
  <c r="G19" i="15"/>
  <c r="H16" i="15" s="1"/>
  <c r="F19" i="15"/>
  <c r="E19" i="15"/>
  <c r="H17" i="15"/>
  <c r="G12" i="15"/>
  <c r="H10"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O26" i="9"/>
  <c r="L26" i="9"/>
  <c r="I26" i="9"/>
  <c r="C26" i="9"/>
  <c r="B26" i="9"/>
  <c r="R25" i="9"/>
  <c r="O25" i="9"/>
  <c r="L25" i="9"/>
  <c r="I25" i="9"/>
  <c r="C25" i="9"/>
  <c r="B25" i="9"/>
  <c r="O24" i="9"/>
  <c r="L24" i="9"/>
  <c r="I24" i="9"/>
  <c r="C24" i="9"/>
  <c r="B24" i="9"/>
  <c r="O23" i="9"/>
  <c r="L23" i="9"/>
  <c r="I23" i="9"/>
  <c r="C23" i="9"/>
  <c r="B23" i="9"/>
  <c r="R22" i="9"/>
  <c r="O22" i="9"/>
  <c r="L22" i="9"/>
  <c r="I22" i="9"/>
  <c r="C22" i="9"/>
  <c r="B22" i="9"/>
  <c r="R21" i="9"/>
  <c r="O21" i="9"/>
  <c r="L21" i="9"/>
  <c r="I21" i="9"/>
  <c r="C21" i="9"/>
  <c r="B21" i="9"/>
  <c r="O20" i="9"/>
  <c r="L20" i="9"/>
  <c r="I20" i="9"/>
  <c r="C20" i="9"/>
  <c r="B20" i="9"/>
  <c r="R19" i="9"/>
  <c r="O19" i="9"/>
  <c r="L19" i="9"/>
  <c r="I19" i="9"/>
  <c r="C19" i="9"/>
  <c r="B19" i="9"/>
  <c r="O18" i="9"/>
  <c r="L18" i="9"/>
  <c r="I18" i="9"/>
  <c r="C18" i="9"/>
  <c r="B18" i="9"/>
  <c r="O17" i="9"/>
  <c r="L17" i="9"/>
  <c r="I17" i="9"/>
  <c r="C17" i="9"/>
  <c r="B17" i="9"/>
  <c r="R16" i="9"/>
  <c r="O16" i="9"/>
  <c r="L16" i="9"/>
  <c r="I16" i="9"/>
  <c r="C16" i="9"/>
  <c r="B16" i="9"/>
  <c r="O15" i="9"/>
  <c r="L15" i="9"/>
  <c r="I15" i="9"/>
  <c r="C15" i="9"/>
  <c r="B15" i="9"/>
  <c r="O14" i="9"/>
  <c r="L14" i="9"/>
  <c r="I14" i="9"/>
  <c r="C14" i="9"/>
  <c r="B14" i="9"/>
  <c r="R13" i="9"/>
  <c r="O13" i="9"/>
  <c r="L13" i="9"/>
  <c r="I13" i="9"/>
  <c r="C13" i="9"/>
  <c r="B13" i="9"/>
  <c r="R12" i="9"/>
  <c r="O12" i="9"/>
  <c r="L12" i="9"/>
  <c r="I12" i="9"/>
  <c r="C12" i="9"/>
  <c r="B12" i="9"/>
  <c r="R11" i="9"/>
  <c r="O11" i="9"/>
  <c r="L11" i="9"/>
  <c r="I11" i="9"/>
  <c r="C11" i="9"/>
  <c r="B11" i="9"/>
  <c r="O10" i="9"/>
  <c r="M10" i="9"/>
  <c r="L10" i="9"/>
  <c r="I10" i="9"/>
  <c r="C10" i="9"/>
  <c r="B10" i="9"/>
  <c r="O9" i="9"/>
  <c r="L9" i="9"/>
  <c r="I9" i="9"/>
  <c r="C9" i="9"/>
  <c r="B9" i="9"/>
  <c r="U5" i="9"/>
  <c r="C5" i="9"/>
  <c r="U4" i="9"/>
  <c r="C4" i="9"/>
  <c r="U3" i="9"/>
  <c r="C3" i="9"/>
  <c r="AG44" i="8"/>
  <c r="AE44" i="8"/>
  <c r="S44" i="9" s="1"/>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Q29" i="9" s="1"/>
  <c r="O29" i="8"/>
  <c r="B29" i="8"/>
  <c r="AE28" i="8"/>
  <c r="S28" i="9" s="1"/>
  <c r="AB28" i="8"/>
  <c r="Q28" i="9" s="1"/>
  <c r="O28" i="8"/>
  <c r="P28" i="9" s="1"/>
  <c r="B28" i="8"/>
  <c r="AE27" i="8"/>
  <c r="S27" i="9" s="1"/>
  <c r="AB27" i="8"/>
  <c r="Q27" i="9" s="1"/>
  <c r="O27" i="8"/>
  <c r="B27" i="8"/>
  <c r="AE26" i="8"/>
  <c r="S26" i="9" s="1"/>
  <c r="AB26" i="8"/>
  <c r="Q26" i="9" s="1"/>
  <c r="O26" i="8"/>
  <c r="B26" i="8"/>
  <c r="AE25" i="8"/>
  <c r="S25" i="9" s="1"/>
  <c r="AB25" i="8"/>
  <c r="Q25" i="9" s="1"/>
  <c r="O25" i="8"/>
  <c r="P25" i="9" s="1"/>
  <c r="B25" i="8"/>
  <c r="AE24" i="8"/>
  <c r="S24" i="9" s="1"/>
  <c r="AB24" i="8"/>
  <c r="Q24" i="9" s="1"/>
  <c r="O24" i="8"/>
  <c r="AA24" i="8" s="1"/>
  <c r="R24" i="9" s="1"/>
  <c r="B24" i="8"/>
  <c r="AE23" i="8"/>
  <c r="S23" i="9" s="1"/>
  <c r="AB23" i="8"/>
  <c r="Q23" i="9" s="1"/>
  <c r="O23" i="8"/>
  <c r="B23" i="8"/>
  <c r="AE22" i="8"/>
  <c r="S22" i="9" s="1"/>
  <c r="AB22" i="8"/>
  <c r="Q22" i="9" s="1"/>
  <c r="O22" i="8"/>
  <c r="B22" i="8"/>
  <c r="AE21" i="8"/>
  <c r="S21" i="9" s="1"/>
  <c r="AB21" i="8"/>
  <c r="Q21" i="9" s="1"/>
  <c r="O21" i="8"/>
  <c r="P21" i="9" s="1"/>
  <c r="B21" i="8"/>
  <c r="AE20" i="8"/>
  <c r="S20" i="9" s="1"/>
  <c r="AB20" i="8"/>
  <c r="O20" i="8"/>
  <c r="P20" i="9" s="1"/>
  <c r="B20" i="8"/>
  <c r="AE19" i="8"/>
  <c r="S19" i="9" s="1"/>
  <c r="AB19" i="8"/>
  <c r="O19" i="8"/>
  <c r="P19" i="9" s="1"/>
  <c r="B19" i="8"/>
  <c r="AE18" i="8"/>
  <c r="S18" i="9" s="1"/>
  <c r="AB18" i="8"/>
  <c r="O18" i="8"/>
  <c r="P18" i="9" s="1"/>
  <c r="B18" i="8"/>
  <c r="AE17" i="8"/>
  <c r="S17" i="9" s="1"/>
  <c r="AB17" i="8"/>
  <c r="O17" i="8"/>
  <c r="P17" i="9" s="1"/>
  <c r="B17" i="8"/>
  <c r="AE16" i="8"/>
  <c r="S16" i="9" s="1"/>
  <c r="AB16" i="8"/>
  <c r="Q16" i="9" s="1"/>
  <c r="O16" i="8"/>
  <c r="P16" i="9" s="1"/>
  <c r="B16" i="8"/>
  <c r="AE15" i="8"/>
  <c r="S15" i="9" s="1"/>
  <c r="AB15" i="8"/>
  <c r="Q15" i="9" s="1"/>
  <c r="O15" i="8"/>
  <c r="B15" i="8"/>
  <c r="AE14" i="8"/>
  <c r="S14" i="9" s="1"/>
  <c r="AB14" i="8"/>
  <c r="O14" i="8"/>
  <c r="P14" i="9" s="1"/>
  <c r="B14" i="8"/>
  <c r="AE13" i="8"/>
  <c r="S13" i="9" s="1"/>
  <c r="AB13" i="8"/>
  <c r="Q13" i="9" s="1"/>
  <c r="O13" i="8"/>
  <c r="P13" i="9" s="1"/>
  <c r="B13" i="8"/>
  <c r="AE12" i="8"/>
  <c r="S12" i="9" s="1"/>
  <c r="AB12" i="8"/>
  <c r="Q12" i="9" s="1"/>
  <c r="O12" i="8"/>
  <c r="P12" i="9" s="1"/>
  <c r="B12" i="8"/>
  <c r="S11" i="9"/>
  <c r="AB11" i="8"/>
  <c r="Q11" i="9" s="1"/>
  <c r="O11" i="8"/>
  <c r="P11" i="9" s="1"/>
  <c r="B11" i="8"/>
  <c r="AE10" i="8"/>
  <c r="S10" i="9" s="1"/>
  <c r="AB10" i="8"/>
  <c r="O10" i="8"/>
  <c r="P10" i="9" s="1"/>
  <c r="B10" i="8"/>
  <c r="AE9" i="8"/>
  <c r="S9" i="9" s="1"/>
  <c r="AB9" i="8"/>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26" i="5"/>
  <c r="B25" i="5"/>
  <c r="B24" i="5"/>
  <c r="B23" i="5"/>
  <c r="B22" i="5"/>
  <c r="B21" i="5"/>
  <c r="B20" i="5"/>
  <c r="B19" i="5"/>
  <c r="B18" i="5"/>
  <c r="B17" i="5"/>
  <c r="B16" i="5"/>
  <c r="B15" i="5"/>
  <c r="B14" i="5"/>
  <c r="B13" i="5"/>
  <c r="B12" i="5"/>
  <c r="B11" i="5"/>
  <c r="B10" i="5"/>
  <c r="B9"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A26" i="4"/>
  <c r="BE26" i="4" s="1"/>
  <c r="BA25" i="4"/>
  <c r="BA24" i="4"/>
  <c r="BE24" i="4" s="1"/>
  <c r="B24" i="4"/>
  <c r="BA23" i="4"/>
  <c r="BE23" i="4" s="1"/>
  <c r="B23" i="4"/>
  <c r="BA22" i="4"/>
  <c r="BE22" i="4" s="1"/>
  <c r="B22" i="4"/>
  <c r="BA21" i="4"/>
  <c r="BE21" i="4" s="1"/>
  <c r="B21" i="4"/>
  <c r="BA20" i="4"/>
  <c r="BE20" i="4" s="1"/>
  <c r="B20" i="4"/>
  <c r="BA19" i="4"/>
  <c r="BE19" i="4" s="1"/>
  <c r="B19" i="4"/>
  <c r="BA18" i="4"/>
  <c r="BE18" i="4" s="1"/>
  <c r="B18" i="4"/>
  <c r="BA17" i="4"/>
  <c r="BE17" i="4" s="1"/>
  <c r="BA16" i="4"/>
  <c r="BE16" i="4" s="1"/>
  <c r="B16" i="4"/>
  <c r="BA15" i="4"/>
  <c r="BE15" i="4" s="1"/>
  <c r="B15" i="4"/>
  <c r="BA14" i="4"/>
  <c r="BE14" i="4" s="1"/>
  <c r="B14" i="4"/>
  <c r="BA13" i="4"/>
  <c r="BE13" i="4" s="1"/>
  <c r="B13" i="4"/>
  <c r="BA12" i="4"/>
  <c r="BE12" i="4" s="1"/>
  <c r="B12" i="4"/>
  <c r="BA11" i="4"/>
  <c r="BE11" i="4" s="1"/>
  <c r="B11" i="4"/>
  <c r="BA10" i="4"/>
  <c r="BE10" i="4" s="1"/>
  <c r="B10" i="4"/>
  <c r="BA9" i="4"/>
  <c r="BE9" i="4" s="1"/>
  <c r="B9" i="4"/>
  <c r="BA8" i="4"/>
  <c r="BE8" i="4" s="1"/>
  <c r="B8" i="4"/>
  <c r="B11" i="17" s="1"/>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P26" i="9" l="1"/>
  <c r="AA26" i="8"/>
  <c r="R26" i="9" s="1"/>
  <c r="Q18" i="9"/>
  <c r="AA18" i="8"/>
  <c r="R18" i="9" s="1"/>
  <c r="P23" i="9"/>
  <c r="AA23" i="8"/>
  <c r="R23" i="9" s="1"/>
  <c r="Q17" i="9"/>
  <c r="AA17" i="8"/>
  <c r="R17" i="9" s="1"/>
  <c r="Q10" i="9"/>
  <c r="AA10" i="8"/>
  <c r="R10" i="9" s="1"/>
  <c r="Q9" i="9"/>
  <c r="AA9" i="8"/>
  <c r="R9" i="9" s="1"/>
  <c r="Q14" i="9"/>
  <c r="AA14" i="8"/>
  <c r="R14" i="9" s="1"/>
  <c r="P15" i="9"/>
  <c r="AA15" i="8"/>
  <c r="R15" i="9" s="1"/>
  <c r="AG23" i="6"/>
  <c r="AF23" i="6" s="1"/>
  <c r="AG15" i="6"/>
  <c r="AF15" i="6" s="1"/>
  <c r="Q20" i="9"/>
  <c r="AA20" i="8"/>
  <c r="R20" i="9" s="1"/>
  <c r="AG25" i="8"/>
  <c r="AF25" i="8" s="1"/>
  <c r="AG24" i="8"/>
  <c r="AH24" i="8" s="1"/>
  <c r="N11" i="17"/>
  <c r="J11" i="17"/>
  <c r="AG31" i="6"/>
  <c r="AF31" i="6" s="1"/>
  <c r="H38" i="15"/>
  <c r="X11" i="17"/>
  <c r="C11" i="17"/>
  <c r="M11" i="17"/>
  <c r="I25" i="17"/>
  <c r="AC25" i="17" s="1"/>
  <c r="I24" i="17"/>
  <c r="I32" i="17"/>
  <c r="AC32" i="17" s="1"/>
  <c r="I19" i="17"/>
  <c r="AC19" i="17" s="1"/>
  <c r="I18" i="17"/>
  <c r="AC18" i="17" s="1"/>
  <c r="I17" i="17"/>
  <c r="AC17" i="17" s="1"/>
  <c r="I31" i="17"/>
  <c r="AC31" i="17" s="1"/>
  <c r="I28" i="17"/>
  <c r="AC28" i="17" s="1"/>
  <c r="I16" i="17"/>
  <c r="AC16" i="17" s="1"/>
  <c r="I29" i="17"/>
  <c r="AC29" i="17" s="1"/>
  <c r="I26" i="17"/>
  <c r="AC26" i="17" s="1"/>
  <c r="I30" i="17"/>
  <c r="AC30" i="17" s="1"/>
  <c r="I27" i="17"/>
  <c r="AC27" i="17" s="1"/>
  <c r="I15" i="17"/>
  <c r="Q11" i="17"/>
  <c r="AG39" i="6"/>
  <c r="AF39" i="6" s="1"/>
  <c r="AG16" i="8"/>
  <c r="E16" i="10" s="1"/>
  <c r="H12" i="15"/>
  <c r="G11" i="17"/>
  <c r="K11" i="17"/>
  <c r="R11" i="17"/>
  <c r="AG33" i="7"/>
  <c r="AF33" i="7" s="1"/>
  <c r="O11" i="17"/>
  <c r="S11" i="17"/>
  <c r="U11" i="17"/>
  <c r="AG41" i="7"/>
  <c r="AF41" i="7" s="1"/>
  <c r="H31" i="15"/>
  <c r="Y11" i="17"/>
  <c r="D11" i="17"/>
  <c r="AG19" i="8"/>
  <c r="T19" i="9" s="1"/>
  <c r="AG28" i="8"/>
  <c r="AF28" i="8" s="1"/>
  <c r="H44" i="15"/>
  <c r="H47" i="15" s="1"/>
  <c r="H11" i="17"/>
  <c r="L11" i="17"/>
  <c r="AG36" i="8"/>
  <c r="W11" i="17"/>
  <c r="P11" i="17"/>
  <c r="T11" i="17"/>
  <c r="H23" i="15"/>
  <c r="H26" i="15" s="1"/>
  <c r="F11" i="17"/>
  <c r="I11" i="17"/>
  <c r="E11" i="17"/>
  <c r="BE25" i="4"/>
  <c r="Z11" i="17" s="1"/>
  <c r="V11" i="17"/>
  <c r="BA4" i="4"/>
  <c r="AG20" i="7"/>
  <c r="AG25" i="7"/>
  <c r="AG17" i="7"/>
  <c r="BA4" i="3"/>
  <c r="BA4" i="5"/>
  <c r="AN4" i="6"/>
  <c r="G18" i="9"/>
  <c r="F18" i="9"/>
  <c r="AG20" i="6"/>
  <c r="G26" i="9"/>
  <c r="F26" i="9"/>
  <c r="AG28" i="6"/>
  <c r="G34" i="9"/>
  <c r="F34" i="9"/>
  <c r="AG36" i="6"/>
  <c r="F42" i="9"/>
  <c r="G42" i="9"/>
  <c r="AG44" i="6"/>
  <c r="AG14" i="7"/>
  <c r="AW14" i="7" s="1"/>
  <c r="AG22" i="7"/>
  <c r="AG30" i="7"/>
  <c r="AG38" i="7"/>
  <c r="Q31" i="9"/>
  <c r="AG31" i="8"/>
  <c r="Q33" i="9"/>
  <c r="AG33" i="8"/>
  <c r="M20" i="9"/>
  <c r="P24" i="9"/>
  <c r="G17" i="9"/>
  <c r="F17" i="9"/>
  <c r="AG19" i="6"/>
  <c r="G25" i="9"/>
  <c r="F25" i="9"/>
  <c r="G33" i="9"/>
  <c r="F33" i="9"/>
  <c r="AG35" i="6"/>
  <c r="G41" i="9"/>
  <c r="F41" i="9"/>
  <c r="AG43" i="6"/>
  <c r="AG9" i="7"/>
  <c r="AW9" i="7" s="1"/>
  <c r="AG10" i="7"/>
  <c r="AW10" i="7" s="1"/>
  <c r="AG11" i="7"/>
  <c r="AW11" i="7" s="1"/>
  <c r="AG12" i="7"/>
  <c r="AW12" i="7" s="1"/>
  <c r="AG13" i="7"/>
  <c r="AW13" i="7" s="1"/>
  <c r="AG21" i="7"/>
  <c r="AW21" i="7" s="1"/>
  <c r="AG29" i="7"/>
  <c r="AG37" i="7"/>
  <c r="AG38" i="8"/>
  <c r="P38" i="9"/>
  <c r="AG40" i="8"/>
  <c r="P40" i="9"/>
  <c r="E42" i="10"/>
  <c r="T42" i="9"/>
  <c r="AH42" i="8"/>
  <c r="AF42" i="8"/>
  <c r="Q19" i="9"/>
  <c r="AG18" i="6"/>
  <c r="AG26" i="6"/>
  <c r="G32" i="9"/>
  <c r="F32" i="9"/>
  <c r="AG34" i="6"/>
  <c r="G40" i="9"/>
  <c r="F40" i="9"/>
  <c r="AG42" i="6"/>
  <c r="AG28" i="7"/>
  <c r="AG36" i="7"/>
  <c r="AG44" i="7"/>
  <c r="AG21" i="8"/>
  <c r="AG27" i="8"/>
  <c r="P27" i="9"/>
  <c r="AF36" i="8"/>
  <c r="E36" i="10"/>
  <c r="AH36" i="8"/>
  <c r="T36" i="9"/>
  <c r="G15" i="9"/>
  <c r="F15" i="9"/>
  <c r="AG17" i="6"/>
  <c r="G23" i="9"/>
  <c r="F23" i="9"/>
  <c r="AG25" i="6"/>
  <c r="G31" i="9"/>
  <c r="F31" i="9"/>
  <c r="AG33" i="6"/>
  <c r="G39" i="9"/>
  <c r="F39" i="9"/>
  <c r="AG41" i="6"/>
  <c r="AG19" i="7"/>
  <c r="AW19" i="7" s="1"/>
  <c r="AG27" i="7"/>
  <c r="AW27" i="7" s="1"/>
  <c r="AG35" i="7"/>
  <c r="AG43" i="7"/>
  <c r="AG11" i="8"/>
  <c r="AG12" i="8"/>
  <c r="AG13" i="8"/>
  <c r="AG30" i="8"/>
  <c r="P30" i="9"/>
  <c r="AG32" i="8"/>
  <c r="P32" i="9"/>
  <c r="G14" i="9"/>
  <c r="F14" i="9"/>
  <c r="AG16" i="6"/>
  <c r="AG24" i="6"/>
  <c r="G30" i="9"/>
  <c r="F30" i="9"/>
  <c r="AG32" i="6"/>
  <c r="G38" i="9"/>
  <c r="F38" i="9"/>
  <c r="AG40" i="6"/>
  <c r="AG18" i="7"/>
  <c r="AW18" i="7" s="1"/>
  <c r="AG26" i="7"/>
  <c r="AW26" i="7" s="1"/>
  <c r="AG34" i="7"/>
  <c r="AG42" i="7"/>
  <c r="E28" i="10"/>
  <c r="T28" i="9"/>
  <c r="AH28" i="8"/>
  <c r="T37" i="9"/>
  <c r="E37" i="10"/>
  <c r="AF37" i="8"/>
  <c r="G24" i="9"/>
  <c r="G9" i="9"/>
  <c r="F9" i="9"/>
  <c r="G10" i="9"/>
  <c r="F10" i="9"/>
  <c r="G11" i="9"/>
  <c r="F11" i="9"/>
  <c r="G12" i="9"/>
  <c r="F12" i="9"/>
  <c r="G21" i="9"/>
  <c r="F21" i="9"/>
  <c r="G29" i="9"/>
  <c r="F29" i="9"/>
  <c r="H31" i="9"/>
  <c r="C31" i="10"/>
  <c r="G37" i="9"/>
  <c r="F37" i="9"/>
  <c r="C39" i="10"/>
  <c r="H39" i="9"/>
  <c r="D33" i="10"/>
  <c r="N33" i="9"/>
  <c r="D41" i="10"/>
  <c r="N41" i="9"/>
  <c r="AG22" i="8"/>
  <c r="P22" i="9"/>
  <c r="AF44" i="8"/>
  <c r="E44" i="10"/>
  <c r="T44" i="9"/>
  <c r="AH44" i="8"/>
  <c r="F22" i="9"/>
  <c r="AG14" i="6"/>
  <c r="G20" i="9"/>
  <c r="F20" i="9"/>
  <c r="AG22" i="6"/>
  <c r="G28" i="9"/>
  <c r="F28" i="9"/>
  <c r="AG30" i="6"/>
  <c r="AH31" i="6"/>
  <c r="G36" i="9"/>
  <c r="F36" i="9"/>
  <c r="AG38" i="6"/>
  <c r="AH39" i="6"/>
  <c r="G44" i="9"/>
  <c r="F44" i="9"/>
  <c r="AG16" i="7"/>
  <c r="AW16" i="7" s="1"/>
  <c r="AG24" i="7"/>
  <c r="AW24" i="7" s="1"/>
  <c r="AG32" i="7"/>
  <c r="AH33" i="7"/>
  <c r="AG40" i="7"/>
  <c r="AH41" i="7"/>
  <c r="AG23" i="8"/>
  <c r="P29" i="9"/>
  <c r="AG29" i="8"/>
  <c r="AG39" i="8"/>
  <c r="Q39" i="9"/>
  <c r="Q41" i="9"/>
  <c r="AG41" i="8"/>
  <c r="F13" i="9"/>
  <c r="G16" i="9"/>
  <c r="AG9" i="6"/>
  <c r="AG10" i="6"/>
  <c r="AG11" i="6"/>
  <c r="AG12" i="6"/>
  <c r="AG13" i="6"/>
  <c r="G19" i="9"/>
  <c r="F19" i="9"/>
  <c r="AG21" i="6"/>
  <c r="F27" i="9"/>
  <c r="G27" i="9"/>
  <c r="AG29" i="6"/>
  <c r="F35" i="9"/>
  <c r="G35" i="9"/>
  <c r="AG37" i="6"/>
  <c r="F43" i="9"/>
  <c r="G43" i="9"/>
  <c r="AG15" i="7"/>
  <c r="AW15" i="7" s="1"/>
  <c r="AG23" i="7"/>
  <c r="AW23" i="7" s="1"/>
  <c r="AG31" i="7"/>
  <c r="AG39" i="7"/>
  <c r="AG17" i="8"/>
  <c r="AG34" i="8"/>
  <c r="AH37" i="8"/>
  <c r="P37" i="9"/>
  <c r="P42" i="9"/>
  <c r="AG35" i="8"/>
  <c r="AG43" i="8"/>
  <c r="H40" i="15"/>
  <c r="H18" i="15"/>
  <c r="H19" i="15" s="1"/>
  <c r="H30" i="15"/>
  <c r="H33" i="15" s="1"/>
  <c r="AG26" i="8" l="1"/>
  <c r="E26" i="10" s="1"/>
  <c r="AG18" i="8"/>
  <c r="AG10" i="8"/>
  <c r="E10" i="10" s="1"/>
  <c r="AG9" i="8"/>
  <c r="E9" i="10" s="1"/>
  <c r="AG14" i="8"/>
  <c r="AG15" i="8"/>
  <c r="AH15" i="8" s="1"/>
  <c r="C23" i="10"/>
  <c r="AH23" i="6"/>
  <c r="H23" i="9"/>
  <c r="AH15" i="6"/>
  <c r="H15" i="9"/>
  <c r="C15" i="10"/>
  <c r="AG20" i="8"/>
  <c r="T20" i="9" s="1"/>
  <c r="T24" i="9"/>
  <c r="AH25" i="8"/>
  <c r="E25" i="10"/>
  <c r="T25" i="9"/>
  <c r="T16" i="9"/>
  <c r="AF24" i="8"/>
  <c r="E24" i="10"/>
  <c r="AF19" i="8"/>
  <c r="AH19" i="8"/>
  <c r="E19" i="10"/>
  <c r="AH16" i="8"/>
  <c r="AF25" i="7"/>
  <c r="AW25" i="7"/>
  <c r="AC15" i="17"/>
  <c r="AC20" i="17" s="1"/>
  <c r="I20" i="17"/>
  <c r="AF17" i="7"/>
  <c r="AW17" i="7"/>
  <c r="AF16" i="8"/>
  <c r="AC24" i="17"/>
  <c r="AC33" i="17" s="1"/>
  <c r="I33" i="17"/>
  <c r="D20" i="10"/>
  <c r="AW20" i="7"/>
  <c r="N20" i="9"/>
  <c r="AF20" i="7"/>
  <c r="AH20" i="7"/>
  <c r="N25" i="9"/>
  <c r="D25" i="10"/>
  <c r="AH25" i="7"/>
  <c r="N17" i="9"/>
  <c r="AH17" i="7"/>
  <c r="D17" i="10"/>
  <c r="D10" i="10"/>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D9" i="10"/>
  <c r="N9" i="9"/>
  <c r="AH9" i="7"/>
  <c r="AF9" i="7"/>
  <c r="D30" i="10"/>
  <c r="N30" i="9"/>
  <c r="AF30" i="7"/>
  <c r="AH30" i="7"/>
  <c r="H33" i="9"/>
  <c r="C33" i="10"/>
  <c r="AH33" i="6"/>
  <c r="AF33" i="6"/>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AF15" i="7"/>
  <c r="AH15" i="7"/>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AF9" i="8"/>
  <c r="E23" i="10"/>
  <c r="AH23" i="8"/>
  <c r="AF23" i="8"/>
  <c r="T23" i="9"/>
  <c r="E35" i="10"/>
  <c r="T35" i="9"/>
  <c r="AH35" i="8"/>
  <c r="AF35" i="8"/>
  <c r="D39" i="10"/>
  <c r="N39" i="9"/>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AH35" i="6"/>
  <c r="AF35" i="6"/>
  <c r="C20" i="10"/>
  <c r="H20" i="9"/>
  <c r="AF20" i="6"/>
  <c r="AH20" i="6"/>
  <c r="D31" i="10"/>
  <c r="N31" i="9"/>
  <c r="U31" i="9" s="1"/>
  <c r="AF31" i="7"/>
  <c r="AH31" i="7"/>
  <c r="H29" i="9"/>
  <c r="C29" i="10"/>
  <c r="AF29" i="6"/>
  <c r="AH29" i="6"/>
  <c r="C11" i="10"/>
  <c r="H11" i="9"/>
  <c r="AF11" i="6"/>
  <c r="AH11" i="6"/>
  <c r="AH39" i="8"/>
  <c r="AF39" i="8"/>
  <c r="E39" i="10"/>
  <c r="T39" i="9"/>
  <c r="D32" i="10"/>
  <c r="N32" i="9"/>
  <c r="AH32" i="7"/>
  <c r="AF32" i="7"/>
  <c r="C38" i="10"/>
  <c r="H38" i="9"/>
  <c r="AH38" i="6"/>
  <c r="AF38" i="6"/>
  <c r="C22" i="10"/>
  <c r="H22" i="9"/>
  <c r="AH22" i="6"/>
  <c r="AF22" i="6"/>
  <c r="E11" i="10"/>
  <c r="T11" i="9"/>
  <c r="AH11" i="8"/>
  <c r="AF11" i="8"/>
  <c r="H17" i="9"/>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AF23" i="7"/>
  <c r="AH23" i="7"/>
  <c r="H10" i="9"/>
  <c r="C10" i="10"/>
  <c r="AF10" i="6"/>
  <c r="AH10" i="6"/>
  <c r="T29" i="9"/>
  <c r="E29" i="10"/>
  <c r="AF29" i="8"/>
  <c r="AH29" i="8"/>
  <c r="C42" i="10"/>
  <c r="H42" i="9"/>
  <c r="U42" i="9" s="1"/>
  <c r="AH42" i="6"/>
  <c r="AF42" i="6"/>
  <c r="T38" i="9"/>
  <c r="AH38" i="8"/>
  <c r="AF38" i="8"/>
  <c r="E38" i="10"/>
  <c r="N11" i="9"/>
  <c r="D11" i="10"/>
  <c r="AH11" i="7"/>
  <c r="AF11" i="7"/>
  <c r="C36" i="10"/>
  <c r="H36" i="9"/>
  <c r="U36" i="9" s="1"/>
  <c r="AF36" i="6"/>
  <c r="AH36" i="6"/>
  <c r="U38" i="9" l="1"/>
  <c r="U39" i="9"/>
  <c r="T26" i="9"/>
  <c r="AH26" i="8"/>
  <c r="AF26" i="8"/>
  <c r="AF10" i="8"/>
  <c r="AH10" i="8"/>
  <c r="T10" i="9"/>
  <c r="U10" i="9" s="1"/>
  <c r="AH9" i="8"/>
  <c r="T9" i="9"/>
  <c r="U9" i="9" s="1"/>
  <c r="T15" i="9"/>
  <c r="U15" i="9" s="1"/>
  <c r="F15" i="10" s="1"/>
  <c r="E15" i="10"/>
  <c r="AF15" i="8"/>
  <c r="AH20" i="8"/>
  <c r="AF20" i="8"/>
  <c r="AO12" i="8" s="1"/>
  <c r="H10" i="13" s="1"/>
  <c r="E20" i="10"/>
  <c r="K9" i="10" s="1"/>
  <c r="E36" i="14" s="1"/>
  <c r="U23" i="9"/>
  <c r="V23" i="9" s="1"/>
  <c r="U35" i="9"/>
  <c r="AC34" i="17"/>
  <c r="A34" i="17" s="1"/>
  <c r="U20" i="9"/>
  <c r="F20" i="10" s="1"/>
  <c r="U16" i="9"/>
  <c r="V16" i="9" s="1"/>
  <c r="U25" i="9"/>
  <c r="F25" i="10" s="1"/>
  <c r="U17" i="9"/>
  <c r="V17" i="9" s="1"/>
  <c r="U22" i="9"/>
  <c r="V22" i="9" s="1"/>
  <c r="F39" i="10"/>
  <c r="V39" i="9"/>
  <c r="F31" i="10"/>
  <c r="V31" i="9"/>
  <c r="U11" i="9"/>
  <c r="F35" i="10"/>
  <c r="V35" i="9"/>
  <c r="U12" i="9"/>
  <c r="I9" i="10"/>
  <c r="E11" i="14" s="1"/>
  <c r="I13" i="10"/>
  <c r="E12" i="14" s="1"/>
  <c r="U24" i="9"/>
  <c r="U28" i="9"/>
  <c r="AO12" i="7"/>
  <c r="H10" i="12" s="1"/>
  <c r="AO11" i="7"/>
  <c r="H9" i="12" s="1"/>
  <c r="AO10" i="7"/>
  <c r="H8" i="12" s="1"/>
  <c r="AO9" i="7"/>
  <c r="H7" i="12" s="1"/>
  <c r="F42" i="10"/>
  <c r="V42" i="9"/>
  <c r="U27" i="9"/>
  <c r="F36" i="10"/>
  <c r="V36" i="9"/>
  <c r="U14" i="9"/>
  <c r="U33" i="9"/>
  <c r="J13" i="10"/>
  <c r="E25" i="14" s="1"/>
  <c r="J9" i="10"/>
  <c r="E24" i="14" s="1"/>
  <c r="F44" i="10"/>
  <c r="V44" i="9"/>
  <c r="U32" i="9"/>
  <c r="F18" i="10"/>
  <c r="V18" i="9"/>
  <c r="F38" i="10"/>
  <c r="V38" i="9"/>
  <c r="U40" i="9"/>
  <c r="U13" i="9"/>
  <c r="U19" i="9"/>
  <c r="F37" i="10"/>
  <c r="V37" i="9"/>
  <c r="U30" i="9"/>
  <c r="F43" i="10"/>
  <c r="V43" i="9"/>
  <c r="U34" i="9"/>
  <c r="U29" i="9"/>
  <c r="U26" i="9"/>
  <c r="U41" i="9"/>
  <c r="U21" i="9"/>
  <c r="AO12" i="6"/>
  <c r="H10" i="11" s="1"/>
  <c r="AO11" i="6"/>
  <c r="H9" i="11" s="1"/>
  <c r="AO10" i="6"/>
  <c r="H8" i="11" s="1"/>
  <c r="AO9" i="6"/>
  <c r="H7" i="11" s="1"/>
  <c r="V15" i="9" l="1"/>
  <c r="AO9" i="8"/>
  <c r="H7" i="13" s="1"/>
  <c r="AO11" i="8"/>
  <c r="H9" i="13" s="1"/>
  <c r="K13" i="10"/>
  <c r="E37" i="14" s="1"/>
  <c r="E38" i="14" s="1"/>
  <c r="AO10" i="8"/>
  <c r="H8" i="13" s="1"/>
  <c r="F23" i="10"/>
  <c r="H31" i="16" s="1"/>
  <c r="V20" i="9"/>
  <c r="F22" i="10"/>
  <c r="G22" i="10" s="1"/>
  <c r="F17" i="10"/>
  <c r="H25" i="16" s="1"/>
  <c r="V25" i="9"/>
  <c r="F16" i="10"/>
  <c r="H24" i="16" s="1"/>
  <c r="F30" i="10"/>
  <c r="V30" i="9"/>
  <c r="V12" i="9"/>
  <c r="F12" i="10"/>
  <c r="H11" i="11"/>
  <c r="I8" i="11" s="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F26" i="10"/>
  <c r="V26" i="9"/>
  <c r="F19" i="10"/>
  <c r="V19" i="9"/>
  <c r="F9" i="10"/>
  <c r="V9" i="9"/>
  <c r="F24" i="10"/>
  <c r="V24" i="9"/>
  <c r="F11" i="10"/>
  <c r="V11" i="9"/>
  <c r="H23" i="16"/>
  <c r="G15" i="10"/>
  <c r="F29" i="10"/>
  <c r="V29" i="9"/>
  <c r="F13" i="10"/>
  <c r="V13" i="9"/>
  <c r="H52" i="16"/>
  <c r="G44" i="10"/>
  <c r="H44" i="16"/>
  <c r="G36" i="10"/>
  <c r="F34" i="10"/>
  <c r="V34" i="9"/>
  <c r="F40" i="10"/>
  <c r="V40" i="9"/>
  <c r="F27" i="10"/>
  <c r="V27" i="9"/>
  <c r="H47" i="16"/>
  <c r="G39" i="10"/>
  <c r="H11" i="12"/>
  <c r="I9" i="12" s="1"/>
  <c r="H51" i="16"/>
  <c r="G43" i="10"/>
  <c r="E13" i="14"/>
  <c r="G11" i="14" s="1"/>
  <c r="I9" i="11" l="1"/>
  <c r="I7" i="11"/>
  <c r="I10" i="11"/>
  <c r="H11" i="13"/>
  <c r="I10" i="13" s="1"/>
  <c r="G23" i="10"/>
  <c r="G12" i="14"/>
  <c r="G13" i="14" s="1"/>
  <c r="H30" i="16"/>
  <c r="G17" i="10"/>
  <c r="G16" i="10"/>
  <c r="G36" i="14"/>
  <c r="G37" i="14"/>
  <c r="G25" i="14"/>
  <c r="G26" i="14" s="1"/>
  <c r="I7" i="12"/>
  <c r="I8" i="12"/>
  <c r="H49" i="16"/>
  <c r="G41" i="10"/>
  <c r="H19" i="16"/>
  <c r="G11" i="10"/>
  <c r="H34" i="16"/>
  <c r="G26" i="10"/>
  <c r="H20" i="16"/>
  <c r="G12" i="10"/>
  <c r="H42" i="16"/>
  <c r="G34" i="10"/>
  <c r="H21" i="16"/>
  <c r="G13" i="10"/>
  <c r="H22" i="16"/>
  <c r="G14" i="10"/>
  <c r="I10" i="12"/>
  <c r="H32" i="16"/>
  <c r="G24" i="10"/>
  <c r="H37" i="16"/>
  <c r="G29" i="10"/>
  <c r="H29" i="16"/>
  <c r="G21" i="10"/>
  <c r="H40" i="16"/>
  <c r="G32" i="10"/>
  <c r="H41" i="16"/>
  <c r="G33" i="10"/>
  <c r="H27" i="16"/>
  <c r="G19" i="10"/>
  <c r="H35" i="16"/>
  <c r="G27" i="10"/>
  <c r="H17" i="16"/>
  <c r="G9" i="10"/>
  <c r="H38" i="16"/>
  <c r="G30" i="10"/>
  <c r="H48" i="16"/>
  <c r="G40" i="10"/>
  <c r="G10" i="10"/>
  <c r="H18" i="16"/>
  <c r="H36" i="16"/>
  <c r="G28" i="10"/>
  <c r="I8" i="13" l="1"/>
  <c r="I11" i="11"/>
  <c r="I9" i="13"/>
  <c r="I7" i="13"/>
  <c r="G38" i="14"/>
  <c r="I11" i="12"/>
  <c r="I11" i="13" l="1"/>
</calcChain>
</file>

<file path=xl/sharedStrings.xml><?xml version="1.0" encoding="utf-8"?>
<sst xmlns="http://schemas.openxmlformats.org/spreadsheetml/2006/main" count="1534" uniqueCount="285">
  <si>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</si>
  <si>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</si>
  <si>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</si>
  <si>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</si>
  <si>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</si>
  <si>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</si>
  <si>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</si>
  <si>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</si>
  <si>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</si>
  <si>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</si>
  <si>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</si>
  <si>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</si>
  <si>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</si>
  <si>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</si>
  <si>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</si>
  <si>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</si>
  <si>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</si>
  <si>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</si>
  <si>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</si>
  <si>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</si>
  <si>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</si>
  <si>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</si>
  <si>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</si>
  <si>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</si>
  <si>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</si>
  <si>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</si>
  <si>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</si>
  <si>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</si>
  <si>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</si>
  <si>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</si>
  <si>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</si>
  <si>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</si>
  <si>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</si>
  <si>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</si>
  <si>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</si>
  <si>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</si>
  <si>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</si>
  <si>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</si>
  <si>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</si>
  <si>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</si>
  <si>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</si>
  <si>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</si>
  <si>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</si>
  <si>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</si>
  <si>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</si>
  <si>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</si>
  <si>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</si>
  <si>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</si>
  <si>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</si>
  <si>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</si>
  <si>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</si>
  <si>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</si>
  <si>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</si>
  <si>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</si>
  <si>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</si>
  <si>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</si>
  <si>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</si>
  <si>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</si>
  <si>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</si>
  <si>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</si>
  <si>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</si>
  <si>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</si>
  <si>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</si>
  <si>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</si>
  <si>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</si>
  <si>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</si>
  <si>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</si>
  <si>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</si>
  <si>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</si>
  <si>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</si>
  <si>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</si>
  <si>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</si>
  <si>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</si>
  <si>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</si>
  <si>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</si>
  <si>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</si>
  <si>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</si>
  <si>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</si>
  <si>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</si>
  <si>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</si>
  <si>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</si>
  <si>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</si>
  <si>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</si>
  <si>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</si>
  <si>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</si>
  <si>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</si>
  <si>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</si>
  <si>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</si>
  <si>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</si>
  <si>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</si>
  <si>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</si>
  <si>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</si>
  <si>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</si>
  <si>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</si>
  <si>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</si>
  <si>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</si>
  <si>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</si>
  <si>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</si>
  <si>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</si>
  <si>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</si>
  <si>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</si>
  <si>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</si>
  <si>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</si>
  <si>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</si>
  <si>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</si>
  <si>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</si>
  <si>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</si>
  <si>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</si>
  <si>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</si>
  <si>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</si>
  <si>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</si>
  <si>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</si>
  <si>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</si>
  <si>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</si>
  <si>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</si>
  <si>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</si>
  <si>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</si>
  <si>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</si>
  <si>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</si>
  <si>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</si>
  <si>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</si>
  <si>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</si>
  <si>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</si>
  <si>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</si>
  <si>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</si>
  <si>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</si>
  <si>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</si>
  <si>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</si>
  <si>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</si>
  <si>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</si>
  <si>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</si>
  <si>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</si>
  <si>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</si>
  <si>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</si>
  <si>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</si>
  <si>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</si>
  <si>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</si>
  <si>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</si>
  <si>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</si>
  <si>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</si>
  <si>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</si>
  <si>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</si>
  <si>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</si>
  <si>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</si>
  <si>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</si>
  <si>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</si>
  <si>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</si>
  <si>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</si>
  <si>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</si>
  <si>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</si>
  <si>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</si>
  <si>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</si>
  <si>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</si>
  <si>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</si>
  <si>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</si>
  <si>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</si>
  <si>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</si>
  <si>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</si>
  <si>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</si>
  <si>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</si>
  <si>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</si>
  <si>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</si>
  <si>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</si>
  <si>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</si>
  <si>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</si>
  <si>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</si>
  <si>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</si>
  <si>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</si>
  <si>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</si>
  <si>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participacion</t>
  </si>
  <si>
    <t>ADRIAN FLORES EDDY BEYMAR</t>
  </si>
  <si>
    <t>grupos</t>
  </si>
  <si>
    <t>r</t>
  </si>
  <si>
    <t>l</t>
  </si>
  <si>
    <t>o</t>
  </si>
  <si>
    <t>10/5/2021</t>
  </si>
  <si>
    <t>12/5/2021</t>
  </si>
  <si>
    <t>17/5/2021</t>
  </si>
  <si>
    <t>19/5/2021</t>
  </si>
  <si>
    <t>24/5/2021</t>
  </si>
  <si>
    <t>26/5/2021</t>
  </si>
  <si>
    <t>31/5/2021</t>
  </si>
  <si>
    <t>28/6/2021</t>
  </si>
  <si>
    <t>30/6/2021</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</si>
  <si>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</si>
  <si>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</si>
  <si>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</si>
  <si>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</si>
  <si>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</si>
  <si>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</si>
  <si>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</si>
  <si>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</si>
  <si>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</si>
  <si>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</si>
  <si>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</si>
  <si>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</si>
  <si>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</si>
  <si>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</si>
  <si>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</si>
  <si>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</si>
  <si>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</si>
  <si>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</si>
  <si>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</si>
  <si>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</si>
  <si>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</si>
  <si>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5/7/2021</t>
  </si>
  <si>
    <t>7/7/2021</t>
  </si>
  <si>
    <t>12/7/2021</t>
  </si>
  <si>
    <t>14/7/2021</t>
  </si>
  <si>
    <t>19/7/2021</t>
  </si>
  <si>
    <t>26/7/2021</t>
  </si>
  <si>
    <t>28/7/2021</t>
  </si>
  <si>
    <t>2/8/2021</t>
  </si>
  <si>
    <t>4/8/2021</t>
  </si>
  <si>
    <t>9/8/2021</t>
  </si>
  <si>
    <t>11/8/2021</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</si>
  <si>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</si>
  <si>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</si>
  <si>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</si>
  <si>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</si>
  <si>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</si>
  <si>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</si>
  <si>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</si>
  <si>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</si>
  <si>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</si>
  <si>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</si>
  <si>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</si>
  <si>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</si>
  <si>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</si>
  <si>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24/05/2021 (Logica de Funcionamiento de juegos)</t>
  </si>
  <si>
    <t>24/5/2021 (Cuestionario)</t>
  </si>
  <si>
    <t>26/05/2021(Diseño de Interface)</t>
  </si>
  <si>
    <t>05/07/2021(Imágenes Juego Ahorcado)</t>
  </si>
  <si>
    <t>07/07/2021(Diseño de Botones)</t>
  </si>
  <si>
    <t>14/07/2021(Diagrama de Flujo)</t>
  </si>
  <si>
    <t>19/07/2021(Funcion)</t>
  </si>
  <si>
    <t>28/07/2021(Base de datos Access)</t>
  </si>
  <si>
    <t>28/06/2021(Repaso)</t>
  </si>
  <si>
    <t>12/08/2021(Disertacion Programa tres en raya)</t>
  </si>
  <si>
    <t>9/08/2021(Cuestionario BD)</t>
  </si>
  <si>
    <t>09/08/2021(CRUD)</t>
  </si>
  <si>
    <t>26/05/2021(Defensa Diseño de Interface)</t>
  </si>
  <si>
    <t>12/08/2021 (Trabajo 3 en Raya)</t>
  </si>
  <si>
    <t>https://classroom.google.com/c/MzQwOTQ1MTY0MTMw/a/MzQyMDY1OTk4OTY3/details</t>
  </si>
  <si>
    <t>https://classroom.google.com/c/MzQwOTQ1MTY0MTMw/a/MzY3MTU2NDExMDIx/details</t>
  </si>
  <si>
    <t>https://classroom.google.com/c/MzQwOTQ1MTY0MTMw/a/MzE5MjgxODM4MzA4/details</t>
  </si>
  <si>
    <t>https://classroom.google.com/c/MzQwOTQ1MTY0MTMw/a/MzQyMDU4ODY2ODAz/details</t>
  </si>
  <si>
    <t>https://classroom.google.com/c/MzQwOTQ1MTY0MTMw/a/MzQ5MDM4MzIxMDQ5/details</t>
  </si>
  <si>
    <t>https://classroom.google.com/c/MzQwOTQ1MTY0MTMw/a/MzY5NTI0NDA4NjYx/details</t>
  </si>
  <si>
    <t>https://classroom.google.com/c/MzQwOTQ1MTY0MTMw/a/MzY5ODQ1NjQ5NjM3/details</t>
  </si>
  <si>
    <t>https://classroom.google.com/c/MzQwOTQ1MTY0MTMw/a/MzcwMjU5NTc2OTk2/details</t>
  </si>
  <si>
    <t>https://classroom.google.com/c/MzQwOTQ1MTY0MTMw/a/MzcyOTgwMzk4ODA4/details</t>
  </si>
  <si>
    <t>https://classroom.google.com/c/MzQwOTQ1MTY0MTMw/a/Mzc0NDgyNzMxMTMw/details</t>
  </si>
  <si>
    <t>https://classroom.google.com/c/MzQwOTQ1MTY0MTMw/a/MzE5Mjg0MzM5MTA1/details</t>
  </si>
  <si>
    <t>omw5vnh</t>
  </si>
  <si>
    <t>Tec. Tecnologica Programacion Visual</t>
  </si>
  <si>
    <t>16/8/2021</t>
  </si>
  <si>
    <t>16/08/2021 (Desfensa CRUD)</t>
  </si>
  <si>
    <t>18/8/2021</t>
  </si>
  <si>
    <t>23/8/2021</t>
  </si>
  <si>
    <t>25/8/2021</t>
  </si>
  <si>
    <t>30/8/2021</t>
  </si>
  <si>
    <t>1/9/2021</t>
  </si>
  <si>
    <t>6/9/2021</t>
  </si>
  <si>
    <t>8/9/2021</t>
  </si>
  <si>
    <t>13/9/2021</t>
  </si>
  <si>
    <t>18/8/2021 (cuestionario Arq. Tres Capas y CRUD)</t>
  </si>
  <si>
    <t>25/08/2021 (Validacion)</t>
  </si>
  <si>
    <t>15/09/2021(Examen Parcial)</t>
  </si>
  <si>
    <t>4/10/2021 (Caida de Whatsapp)</t>
  </si>
  <si>
    <t>VENTURA CHOQUE DANELY KEYLA</t>
  </si>
  <si>
    <t>27/9/2021 (Cuesionario Requerimientos)</t>
  </si>
  <si>
    <t>6/10/2021 (Procesos de la Ingenieria de Requerimientos)</t>
  </si>
  <si>
    <t>13/10/2021 (Registro Plataforma TITANCODE)</t>
  </si>
  <si>
    <t>27/10/2021 (Programacion TITANCODE)</t>
  </si>
  <si>
    <t>27/10/2021 (Cuestionario Ciclo de Vida)</t>
  </si>
  <si>
    <t>10/11/2021 (Cuestionario Analisis de Sistemas)</t>
  </si>
  <si>
    <t>8/11/2021 (Investigacion Diagrama Despliegue)</t>
  </si>
  <si>
    <t>13/10/2021 (Cuestionario Especificacion de Sistemas)</t>
  </si>
  <si>
    <t>24/03/2021 (Cuestionario de Preguntas)</t>
  </si>
  <si>
    <t>29/03/2021 (Cuestionario de Preguntas)</t>
  </si>
  <si>
    <t>26/04/2021 (1er Examen)</t>
  </si>
  <si>
    <t>24/03/2021 (Trabajo de Investigacion)</t>
  </si>
  <si>
    <t>28/04/2021 (Entorno de Desarrollo Visual)</t>
  </si>
  <si>
    <t>JOSÉ COAQUIRA COPA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</si>
</sst>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4"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b/>
      <sz val="9"/>
      <color theme="0"/>
      <name val="Calibri"/>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0"/>
      <color theme="1"/>
      <name val="Roboto"/>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u/>
      <sz val="11"/>
      <color theme="10"/>
      <name val="Arial"/>
      <family val="2"/>
    </font>
    <font>
      <u/>
      <sz val="11"/>
      <color rgb="FF0563C1"/>
      <name val="Arial"/>
      <family val="2"/>
    </font>
    <font>
      <b/>
      <sz val="9"/>
      <color rgb="FF000000"/>
      <name val="Calibri"/>
      <family val="2"/>
    </font>
    <font>
      <sz val="9"/>
      <color rgb="FF000000"/>
      <name val="Calibri"/>
      <family val="2"/>
    </font>
    <font>
      <b/>
      <sz val="10"/>
      <color rgb="FF000000"/>
      <name val="Arial"/>
      <family val="2"/>
    </font>
    <font>
      <u/>
      <sz val="12"/>
      <color theme="10"/>
      <name val="Arial"/>
      <family val="2"/>
    </font>
    <font>
      <b/>
      <sz val="16"/>
      <color theme="1"/>
      <name val="Arial"/>
      <family val="2"/>
    </font>
    <font>
      <sz val="8"/>
      <color theme="1"/>
      <name val="Arial"/>
      <family val="2"/>
    </font>
    <font>
      <sz val="16"/>
      <color theme="1"/>
      <name val="Arial"/>
      <family val="2"/>
    </font>
    <font>
      <sz val="8"/>
      <color rgb="FF000000"/>
      <name val="Arial"/>
      <family val="2"/>
    </font>
    <font>
      <sz val="9"/>
      <color theme="0"/>
      <name val="Calibri"/>
      <family val="2"/>
    </font>
    <font>
      <sz val="10"/>
      <color theme="1"/>
      <name val="Arial"/>
      <family val="2"/>
    </font>
    <font>
      <b/>
      <sz val="10"/>
      <color theme="1"/>
      <name val="Arial"/>
      <family val="2"/>
    </font>
  </fonts>
  <fills count="32">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rgb="FF0070C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rgb="FFD6DCE4"/>
      </patternFill>
    </fill>
    <fill>
      <patternFill patternType="solid">
        <fgColor theme="2"/>
        <bgColor indexed="64"/>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
      <patternFill patternType="solid">
        <fgColor rgb="FFFFFF00"/>
        <bgColor rgb="FFFBE4D5"/>
      </patternFill>
    </fill>
    <fill>
      <patternFill patternType="solid">
        <fgColor theme="0"/>
        <bgColor indexed="64"/>
      </patternFill>
    </fill>
    <fill>
      <patternFill patternType="solid">
        <fgColor rgb="FFFFC000"/>
        <bgColor indexed="64"/>
      </patternFill>
    </fill>
    <fill>
      <patternFill patternType="solid">
        <fgColor rgb="FFFFC000"/>
        <bgColor rgb="FFD6DCE4"/>
      </patternFill>
    </fill>
    <fill>
      <patternFill patternType="solid">
        <fgColor rgb="FFFFC000"/>
        <bgColor rgb="FFFBE4D5"/>
      </patternFill>
    </fill>
    <fill>
      <patternFill patternType="solid">
        <fgColor rgb="FF00B0F0"/>
        <bgColor rgb="FFD6DCE4"/>
      </patternFill>
    </fill>
    <fill>
      <patternFill patternType="solid">
        <fgColor rgb="FF00B0F0"/>
        <bgColor rgb="FFFBE4D5"/>
      </patternFill>
    </fill>
    <fill>
      <patternFill patternType="solid">
        <fgColor rgb="FFFFFF00"/>
        <bgColor rgb="FFDEEAF6"/>
      </patternFill>
    </fill>
    <fill>
      <patternFill patternType="solid">
        <fgColor rgb="FFFFFF00"/>
        <bgColor rgb="FFE2EFD9"/>
      </patternFill>
    </fill>
    <fill>
      <patternFill patternType="solid">
        <fgColor rgb="FFFF0000"/>
        <bgColor rgb="FFE2EFD9"/>
      </patternFill>
    </fill>
    <fill>
      <patternFill patternType="solid">
        <fgColor rgb="FF92D050"/>
        <bgColor indexed="64"/>
      </patternFill>
    </fill>
  </fills>
  <borders count="65">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s>
  <cellStyleXfs count="3">
    <xf numFmtId="0" fontId="0" fillId="0" borderId="0"/>
    <xf numFmtId="0" fontId="40" fillId="0" borderId="0" applyNumberFormat="0" applyFill="0" applyBorder="0" applyAlignment="0" applyProtection="0"/>
    <xf numFmtId="43" fontId="59" fillId="0" borderId="0" applyFont="0" applyFill="0" applyBorder="0" applyAlignment="0" applyProtection="0"/>
  </cellStyleXfs>
  <cellXfs count="360">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center" vertical="center"/>
    </xf>
    <xf numFmtId="0" fontId="9" fillId="10" borderId="19" xfId="0" applyFont="1" applyFill="1" applyBorder="1" applyAlignment="1">
      <alignment horizontal="center" vertical="center"/>
    </xf>
    <xf numFmtId="0" fontId="9" fillId="11" borderId="19" xfId="0" applyFont="1" applyFill="1" applyBorder="1" applyAlignment="1">
      <alignment horizontal="center" vertical="center"/>
    </xf>
    <xf numFmtId="0" fontId="9" fillId="12" borderId="19" xfId="0" applyFont="1" applyFill="1" applyBorder="1" applyAlignment="1">
      <alignment horizontal="center" vertical="center"/>
    </xf>
    <xf numFmtId="0" fontId="9" fillId="0" borderId="39" xfId="0" applyFont="1" applyBorder="1" applyAlignment="1">
      <alignment horizontal="center" vertical="center"/>
    </xf>
    <xf numFmtId="0" fontId="0" fillId="0" borderId="0" xfId="0" applyFont="1" applyAlignment="1"/>
    <xf numFmtId="14" fontId="39" fillId="13" borderId="19" xfId="0" applyNumberFormat="1" applyFont="1" applyFill="1" applyBorder="1" applyAlignment="1">
      <alignment horizontal="center" vertical="center" textRotation="90"/>
    </xf>
    <xf numFmtId="0" fontId="9" fillId="14" borderId="19" xfId="0" applyFont="1" applyFill="1" applyBorder="1" applyAlignment="1">
      <alignment horizontal="center" vertical="center"/>
    </xf>
    <xf numFmtId="0" fontId="9" fillId="15" borderId="19"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14" borderId="29" xfId="0" applyFont="1" applyFill="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57" xfId="0" applyFont="1" applyBorder="1" applyAlignment="1">
      <alignment horizontal="center" vertical="center"/>
    </xf>
    <xf numFmtId="0" fontId="38" fillId="0" borderId="15" xfId="0" applyFont="1" applyBorder="1"/>
    <xf numFmtId="0" fontId="45" fillId="0" borderId="15" xfId="0" applyFont="1" applyBorder="1" applyAlignment="1">
      <alignment vertical="center" wrapText="1"/>
    </xf>
    <xf numFmtId="14" fontId="47" fillId="0" borderId="58" xfId="0" applyNumberFormat="1" applyFont="1" applyBorder="1" applyAlignment="1">
      <alignment horizontal="center" textRotation="90"/>
    </xf>
    <xf numFmtId="0" fontId="48" fillId="0" borderId="58" xfId="0" applyFont="1" applyBorder="1" applyAlignment="1">
      <alignment horizontal="center" vertical="center"/>
    </xf>
    <xf numFmtId="0" fontId="58" fillId="0" borderId="0" xfId="0" applyFont="1"/>
    <xf numFmtId="0" fontId="58" fillId="0" borderId="15" xfId="0" applyFont="1" applyBorder="1"/>
    <xf numFmtId="166" fontId="54" fillId="0" borderId="19" xfId="2" applyNumberFormat="1" applyFont="1" applyFill="1" applyBorder="1" applyAlignment="1">
      <alignment horizontal="left" vertical="center"/>
    </xf>
    <xf numFmtId="0" fontId="0" fillId="0" borderId="15" xfId="0" applyBorder="1"/>
    <xf numFmtId="166" fontId="58" fillId="0" borderId="15" xfId="0" applyNumberFormat="1" applyFont="1" applyBorder="1"/>
    <xf numFmtId="166" fontId="0" fillId="0" borderId="15" xfId="0" applyNumberFormat="1" applyBorder="1"/>
    <xf numFmtId="0" fontId="0" fillId="0" borderId="0" xfId="0"/>
    <xf numFmtId="0" fontId="58" fillId="0" borderId="15" xfId="0" applyFont="1" applyFill="1" applyBorder="1" applyAlignment="1"/>
    <xf numFmtId="0" fontId="10" fillId="15" borderId="19" xfId="0" applyFont="1" applyFill="1" applyBorder="1" applyAlignment="1">
      <alignment horizontal="left" vertical="center"/>
    </xf>
    <xf numFmtId="0" fontId="10" fillId="15" borderId="19" xfId="0" applyFont="1" applyFill="1" applyBorder="1" applyAlignment="1">
      <alignment horizontal="center" vertical="center"/>
    </xf>
    <xf numFmtId="0" fontId="25" fillId="16" borderId="19" xfId="0" applyFont="1" applyFill="1" applyBorder="1" applyAlignment="1">
      <alignment horizontal="center" vertical="center"/>
    </xf>
    <xf numFmtId="0" fontId="9" fillId="15" borderId="19" xfId="0" applyFont="1" applyFill="1" applyBorder="1" applyAlignment="1">
      <alignment horizontal="left" vertical="center"/>
    </xf>
    <xf numFmtId="166" fontId="0" fillId="0" borderId="0" xfId="0" applyNumberFormat="1"/>
    <xf numFmtId="0" fontId="9" fillId="10" borderId="19" xfId="0" applyFont="1" applyFill="1" applyBorder="1" applyAlignment="1">
      <alignment horizontal="left" vertical="center"/>
    </xf>
    <xf numFmtId="0" fontId="9" fillId="17" borderId="19" xfId="0" applyFont="1" applyFill="1" applyBorder="1" applyAlignment="1">
      <alignment horizontal="left" vertical="center"/>
    </xf>
    <xf numFmtId="0" fontId="9" fillId="17" borderId="19" xfId="0" applyFont="1" applyFill="1" applyBorder="1" applyAlignment="1">
      <alignment horizontal="center" vertical="center"/>
    </xf>
    <xf numFmtId="0" fontId="61" fillId="10" borderId="19" xfId="0" applyFont="1" applyFill="1" applyBorder="1" applyAlignment="1">
      <alignment horizontal="left" vertical="center"/>
    </xf>
    <xf numFmtId="0" fontId="61" fillId="10" borderId="19" xfId="0" applyFont="1" applyFill="1" applyBorder="1" applyAlignment="1">
      <alignment horizontal="center" vertical="center"/>
    </xf>
    <xf numFmtId="0" fontId="61" fillId="10" borderId="39" xfId="0" applyFont="1" applyFill="1" applyBorder="1" applyAlignment="1">
      <alignment horizontal="center" vertical="center"/>
    </xf>
    <xf numFmtId="0" fontId="61" fillId="10" borderId="26" xfId="0" applyFont="1" applyFill="1" applyBorder="1" applyAlignment="1">
      <alignment horizontal="center" vertical="center"/>
    </xf>
    <xf numFmtId="0" fontId="10" fillId="10" borderId="19" xfId="0" applyFont="1" applyFill="1" applyBorder="1" applyAlignment="1">
      <alignment horizontal="left" vertical="center"/>
    </xf>
    <xf numFmtId="0" fontId="10" fillId="10" borderId="19" xfId="0" applyFont="1" applyFill="1" applyBorder="1" applyAlignment="1">
      <alignment horizontal="center" vertical="center"/>
    </xf>
    <xf numFmtId="0" fontId="25" fillId="18" borderId="19" xfId="0" applyFont="1" applyFill="1" applyBorder="1" applyAlignment="1">
      <alignment horizontal="center" vertical="center"/>
    </xf>
    <xf numFmtId="0" fontId="26" fillId="19" borderId="19" xfId="0" applyFont="1" applyFill="1" applyBorder="1" applyAlignment="1">
      <alignment horizontal="center" vertical="center"/>
    </xf>
    <xf numFmtId="0" fontId="9" fillId="20" borderId="1" xfId="0" applyFont="1" applyFill="1" applyBorder="1" applyAlignment="1">
      <alignment horizontal="center" vertical="center"/>
    </xf>
    <xf numFmtId="0" fontId="9" fillId="10" borderId="39" xfId="0" applyFont="1" applyFill="1" applyBorder="1" applyAlignment="1">
      <alignment horizontal="center" vertical="center"/>
    </xf>
    <xf numFmtId="0" fontId="26" fillId="21" borderId="19" xfId="0" applyFont="1" applyFill="1" applyBorder="1" applyAlignment="1">
      <alignment horizontal="center" vertical="center"/>
    </xf>
    <xf numFmtId="0" fontId="10" fillId="22" borderId="19" xfId="0" applyFont="1" applyFill="1" applyBorder="1" applyAlignment="1">
      <alignment horizontal="center" vertical="center"/>
    </xf>
    <xf numFmtId="0" fontId="10" fillId="23" borderId="19" xfId="0" applyFont="1" applyFill="1" applyBorder="1" applyAlignment="1">
      <alignment horizontal="left" vertical="center"/>
    </xf>
    <xf numFmtId="0" fontId="10" fillId="23" borderId="19" xfId="0" applyFont="1" applyFill="1" applyBorder="1" applyAlignment="1">
      <alignment horizontal="center" vertical="center"/>
    </xf>
    <xf numFmtId="0" fontId="25" fillId="24" borderId="19" xfId="0" applyFont="1" applyFill="1" applyBorder="1" applyAlignment="1">
      <alignment horizontal="center" vertical="center"/>
    </xf>
    <xf numFmtId="0" fontId="26" fillId="25" borderId="19" xfId="0" applyFont="1" applyFill="1" applyBorder="1" applyAlignment="1">
      <alignment horizontal="center" vertical="center"/>
    </xf>
    <xf numFmtId="0" fontId="9" fillId="10" borderId="26" xfId="0" applyFont="1" applyFill="1" applyBorder="1" applyAlignment="1">
      <alignment horizontal="center" vertical="center"/>
    </xf>
    <xf numFmtId="0" fontId="0" fillId="10" borderId="0" xfId="0" applyFont="1" applyFill="1" applyAlignment="1"/>
    <xf numFmtId="165" fontId="62" fillId="0" borderId="0" xfId="0" applyNumberFormat="1" applyFont="1" applyAlignment="1"/>
    <xf numFmtId="1" fontId="19" fillId="0" borderId="0" xfId="0" applyNumberFormat="1" applyFont="1" applyAlignment="1"/>
    <xf numFmtId="1" fontId="10" fillId="0" borderId="19" xfId="0" applyNumberFormat="1" applyFont="1" applyBorder="1" applyAlignment="1">
      <alignment horizontal="center" vertical="center"/>
    </xf>
    <xf numFmtId="1" fontId="10" fillId="10" borderId="19" xfId="0" applyNumberFormat="1" applyFont="1" applyFill="1" applyBorder="1" applyAlignment="1">
      <alignment horizontal="center" vertical="center"/>
    </xf>
    <xf numFmtId="1" fontId="10" fillId="15" borderId="19" xfId="0" applyNumberFormat="1" applyFont="1" applyFill="1" applyBorder="1" applyAlignment="1">
      <alignment horizontal="center" vertical="center"/>
    </xf>
    <xf numFmtId="0" fontId="19" fillId="0" borderId="19" xfId="0" applyFont="1" applyBorder="1" applyAlignment="1">
      <alignment horizontal="center" textRotation="90"/>
    </xf>
    <xf numFmtId="164" fontId="19" fillId="0" borderId="19" xfId="0" applyNumberFormat="1" applyFont="1" applyBorder="1" applyAlignment="1">
      <alignment horizontal="center" textRotation="90"/>
    </xf>
    <xf numFmtId="0" fontId="9" fillId="0" borderId="19" xfId="0" applyFont="1" applyBorder="1" applyAlignment="1">
      <alignment horizontal="center" textRotation="90"/>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25" fillId="26" borderId="19" xfId="0" applyFont="1" applyFill="1" applyBorder="1" applyAlignment="1">
      <alignment horizontal="center" vertical="center"/>
    </xf>
    <xf numFmtId="0" fontId="26" fillId="27" borderId="19" xfId="0" applyFont="1" applyFill="1" applyBorder="1" applyAlignment="1">
      <alignment horizontal="center" vertical="center"/>
    </xf>
    <xf numFmtId="1" fontId="25" fillId="5" borderId="19" xfId="0" applyNumberFormat="1" applyFont="1" applyFill="1" applyBorder="1" applyAlignment="1">
      <alignment horizontal="center" vertical="center"/>
    </xf>
    <xf numFmtId="1" fontId="25" fillId="18" borderId="19" xfId="0" applyNumberFormat="1" applyFont="1" applyFill="1" applyBorder="1" applyAlignment="1">
      <alignment horizontal="center" vertical="center"/>
    </xf>
    <xf numFmtId="1" fontId="25" fillId="16" borderId="19" xfId="0" applyNumberFormat="1" applyFont="1" applyFill="1" applyBorder="1" applyAlignment="1">
      <alignment horizontal="center" vertical="center"/>
    </xf>
    <xf numFmtId="0" fontId="9" fillId="0" borderId="41" xfId="0" applyFont="1" applyBorder="1" applyAlignment="1">
      <alignment horizontal="center" textRotation="90"/>
    </xf>
    <xf numFmtId="0" fontId="20" fillId="15" borderId="19" xfId="0" applyFont="1" applyFill="1" applyBorder="1" applyAlignment="1">
      <alignment horizontal="center" vertical="center"/>
    </xf>
    <xf numFmtId="0" fontId="12" fillId="28" borderId="19" xfId="0" applyFont="1" applyFill="1" applyBorder="1" applyAlignment="1">
      <alignment horizontal="center" vertical="center"/>
    </xf>
    <xf numFmtId="1" fontId="12" fillId="29" borderId="19" xfId="0" applyNumberFormat="1" applyFont="1" applyFill="1" applyBorder="1" applyAlignment="1">
      <alignment horizontal="center" vertical="center"/>
    </xf>
    <xf numFmtId="0" fontId="27" fillId="15" borderId="19" xfId="0" applyFont="1" applyFill="1" applyBorder="1" applyAlignment="1">
      <alignment horizontal="center" vertical="center"/>
    </xf>
    <xf numFmtId="0" fontId="12" fillId="20" borderId="19" xfId="0" applyFont="1" applyFill="1" applyBorder="1" applyAlignment="1">
      <alignment horizontal="center" vertical="center"/>
    </xf>
    <xf numFmtId="1" fontId="12" fillId="30" borderId="19" xfId="0" applyNumberFormat="1" applyFont="1" applyFill="1" applyBorder="1" applyAlignment="1">
      <alignment horizontal="center" vertical="center"/>
    </xf>
    <xf numFmtId="0" fontId="27" fillId="10" borderId="19" xfId="0" applyFont="1" applyFill="1" applyBorder="1" applyAlignment="1">
      <alignment horizontal="center" vertical="center"/>
    </xf>
    <xf numFmtId="0" fontId="63" fillId="31" borderId="0" xfId="0" applyFont="1" applyFill="1" applyAlignment="1"/>
    <xf numFmtId="0" fontId="63" fillId="10" borderId="0" xfId="0" applyFont="1" applyFill="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14" fontId="60" fillId="0" borderId="58" xfId="0" applyNumberFormat="1" applyFont="1" applyBorder="1" applyAlignment="1">
      <alignment horizontal="right" vertical="center"/>
    </xf>
    <xf numFmtId="0" fontId="60" fillId="0" borderId="58" xfId="0" applyFont="1" applyBorder="1" applyAlignment="1">
      <alignment horizontal="right" vertical="center"/>
    </xf>
    <xf numFmtId="0" fontId="49" fillId="0" borderId="58" xfId="0" applyFont="1" applyBorder="1" applyAlignment="1">
      <alignment horizontal="center"/>
    </xf>
    <xf numFmtId="0" fontId="52" fillId="0" borderId="58" xfId="1" applyFont="1" applyFill="1" applyBorder="1" applyAlignment="1">
      <alignment horizontal="left"/>
    </xf>
    <xf numFmtId="0" fontId="54" fillId="0" borderId="58" xfId="0" applyFont="1" applyBorder="1" applyAlignment="1">
      <alignment horizontal="right" vertical="center"/>
    </xf>
    <xf numFmtId="0" fontId="51" fillId="0" borderId="58" xfId="1" applyFont="1" applyFill="1" applyBorder="1" applyAlignment="1">
      <alignment horizontal="left"/>
    </xf>
    <xf numFmtId="0" fontId="53" fillId="0" borderId="58" xfId="0" applyFont="1" applyBorder="1" applyAlignment="1">
      <alignment horizontal="right" vertical="center"/>
    </xf>
    <xf numFmtId="1" fontId="55" fillId="0" borderId="58" xfId="0" applyNumberFormat="1" applyFont="1" applyBorder="1" applyAlignment="1">
      <alignment horizontal="center"/>
    </xf>
    <xf numFmtId="0" fontId="46" fillId="0" borderId="58" xfId="0" applyFont="1" applyBorder="1" applyAlignment="1">
      <alignment horizontal="center" vertical="center"/>
    </xf>
    <xf numFmtId="0" fontId="48" fillId="0" borderId="58" xfId="0" applyFont="1" applyBorder="1" applyAlignment="1">
      <alignment horizontal="left"/>
    </xf>
    <xf numFmtId="0" fontId="57" fillId="0" borderId="15" xfId="0" applyFont="1" applyBorder="1" applyAlignment="1">
      <alignment horizontal="center"/>
    </xf>
    <xf numFmtId="0" fontId="41" fillId="0" borderId="58" xfId="0" applyFont="1" applyBorder="1" applyAlignment="1">
      <alignment horizontal="left"/>
    </xf>
    <xf numFmtId="0" fontId="41" fillId="0" borderId="58" xfId="0" applyFont="1" applyBorder="1" applyAlignment="1">
      <alignment horizontal="center"/>
    </xf>
    <xf numFmtId="0" fontId="42" fillId="0" borderId="59" xfId="0" applyFont="1" applyBorder="1" applyAlignment="1">
      <alignment horizontal="center"/>
    </xf>
    <xf numFmtId="0" fontId="42" fillId="0" borderId="60" xfId="0" applyFont="1" applyBorder="1" applyAlignment="1">
      <alignment horizontal="center"/>
    </xf>
    <xf numFmtId="0" fontId="42" fillId="0" borderId="61" xfId="0" applyFont="1" applyBorder="1" applyAlignment="1">
      <alignment horizontal="center"/>
    </xf>
    <xf numFmtId="0" fontId="43" fillId="0" borderId="62" xfId="0" applyFont="1" applyBorder="1" applyAlignment="1">
      <alignment horizontal="center" vertical="center"/>
    </xf>
    <xf numFmtId="0" fontId="43" fillId="0" borderId="63" xfId="0" applyFont="1" applyBorder="1" applyAlignment="1">
      <alignment horizontal="center" vertical="center"/>
    </xf>
    <xf numFmtId="0" fontId="44" fillId="0" borderId="58" xfId="0" applyFont="1" applyBorder="1" applyAlignment="1">
      <alignment horizontal="center" vertical="center"/>
    </xf>
    <xf numFmtId="0" fontId="42" fillId="0" borderId="58" xfId="0" applyFont="1" applyBorder="1" applyAlignment="1">
      <alignment horizontal="left"/>
    </xf>
    <xf numFmtId="0" fontId="42" fillId="0" borderId="59" xfId="0" applyFont="1" applyBorder="1" applyAlignment="1">
      <alignment horizontal="left"/>
    </xf>
    <xf numFmtId="0" fontId="42" fillId="0" borderId="60" xfId="0" applyFont="1" applyBorder="1" applyAlignment="1">
      <alignment horizontal="left"/>
    </xf>
    <xf numFmtId="0" fontId="42" fillId="0" borderId="61" xfId="0" applyFont="1" applyBorder="1" applyAlignment="1">
      <alignment horizontal="left"/>
    </xf>
    <xf numFmtId="0" fontId="46" fillId="0" borderId="15" xfId="0" applyFont="1" applyBorder="1" applyAlignment="1">
      <alignment horizontal="center"/>
    </xf>
    <xf numFmtId="0" fontId="43" fillId="0" borderId="59" xfId="0" applyFont="1" applyBorder="1" applyAlignment="1">
      <alignment horizontal="center"/>
    </xf>
    <xf numFmtId="0" fontId="43" fillId="0" borderId="61" xfId="0" applyFont="1" applyBorder="1" applyAlignment="1">
      <alignment horizontal="center"/>
    </xf>
    <xf numFmtId="14" fontId="54" fillId="0" borderId="58" xfId="0" applyNumberFormat="1" applyFont="1" applyBorder="1" applyAlignment="1">
      <alignment horizontal="right" vertical="center"/>
    </xf>
    <xf numFmtId="0" fontId="48" fillId="0" borderId="58" xfId="0" applyFont="1" applyBorder="1" applyAlignment="1">
      <alignment horizontal="center"/>
    </xf>
    <xf numFmtId="0" fontId="53" fillId="0" borderId="64" xfId="0" applyFont="1" applyBorder="1" applyAlignment="1">
      <alignment horizontal="left" vertical="center" wrapText="1"/>
    </xf>
    <xf numFmtId="0" fontId="53" fillId="0" borderId="15" xfId="0" applyFont="1" applyBorder="1" applyAlignment="1">
      <alignment horizontal="left" vertical="center" wrapText="1"/>
    </xf>
    <xf numFmtId="0" fontId="56" fillId="0" borderId="58" xfId="1" applyFont="1" applyFill="1" applyBorder="1" applyAlignment="1">
      <alignment horizontal="left"/>
    </xf>
    <xf numFmtId="0" fontId="50" fillId="0" borderId="58" xfId="1" applyFont="1" applyFill="1" applyBorder="1" applyAlignment="1">
      <alignment horizontal="left"/>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27" fillId="10" borderId="39" xfId="0" applyFont="1" applyFill="1" applyBorder="1" applyAlignment="1">
      <alignment horizontal="center" vertical="center"/>
    </xf>
    <xf numFmtId="0" fontId="3" fillId="10" borderId="40" xfId="0" applyFont="1" applyFill="1" applyBorder="1"/>
    <xf numFmtId="0" fontId="3" fillId="10" borderId="41" xfId="0" applyFont="1" applyFill="1" applyBorder="1"/>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7" fillId="15" borderId="39" xfId="0" applyFont="1" applyFill="1" applyBorder="1" applyAlignment="1">
      <alignment horizontal="center" vertical="center"/>
    </xf>
    <xf numFmtId="0" fontId="3" fillId="15" borderId="40" xfId="0" applyFont="1" applyFill="1" applyBorder="1"/>
    <xf numFmtId="0" fontId="3" fillId="15" borderId="41" xfId="0" applyFont="1" applyFill="1" applyBorder="1"/>
    <xf numFmtId="0" fontId="27" fillId="23" borderId="39" xfId="0" applyFont="1" applyFill="1" applyBorder="1" applyAlignment="1">
      <alignment horizontal="center" vertical="center"/>
    </xf>
    <xf numFmtId="0" fontId="3" fillId="23" borderId="40" xfId="0" applyFont="1" applyFill="1" applyBorder="1"/>
    <xf numFmtId="0" fontId="3" fillId="23" borderId="41" xfId="0" applyFont="1" applyFill="1" applyBorder="1"/>
    <xf numFmtId="0" fontId="9" fillId="10" borderId="39" xfId="0" applyFont="1" applyFill="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1" builtinId="8"/>
    <cellStyle name="Millares" xfId="2" builtinId="3"/>
    <cellStyle name="Normal" xfId="0" builtinId="0"/>
  </cellStyles>
  <dxfs count="53">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0.91666666666666663</c:v>
                </c:pt>
                <c:pt idx="1">
                  <c:v>8.3333333333333329E-2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0.82499999999999996</c:v>
                </c:pt>
                <c:pt idx="1">
                  <c:v>0.17499999999999999</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0.8</c:v>
                </c:pt>
                <c:pt idx="1">
                  <c:v>0.1</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3</xdr:row>
      <xdr:rowOff>40324</xdr:rowOff>
    </xdr:to>
    <xdr:pic>
      <xdr:nvPicPr>
        <xdr:cNvPr id="15" name="Imagen 14">
          <a:extLst>
            <a:ext uri="{FF2B5EF4-FFF2-40B4-BE49-F238E27FC236}">
              <a16:creationId xmlns:a16="http://schemas.microsoft.com/office/drawing/2014/main" id="{81EF2EA5-2ED6-412B-BC5E-FE75439B7D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922" y="1"/>
          <a:ext cx="775873" cy="468518"/>
        </a:xfrm>
        <a:prstGeom prst="rect">
          <a:avLst/>
        </a:prstGeom>
      </xdr:spPr>
    </xdr:pic>
    <xdr:clientData/>
  </xdr:twoCellAnchor>
  <xdr:twoCellAnchor>
    <xdr:from>
      <xdr:col>16</xdr:col>
      <xdr:colOff>190403</xdr:colOff>
      <xdr:row>36</xdr:row>
      <xdr:rowOff>228267</xdr:rowOff>
    </xdr:from>
    <xdr:to>
      <xdr:col>21</xdr:col>
      <xdr:colOff>28112</xdr:colOff>
      <xdr:row>39</xdr:row>
      <xdr:rowOff>203874</xdr:rowOff>
    </xdr:to>
    <xdr:sp macro="" textlink="">
      <xdr:nvSpPr>
        <xdr:cNvPr id="16" name="Cuadro de texto 2">
          <a:extLst>
            <a:ext uri="{FF2B5EF4-FFF2-40B4-BE49-F238E27FC236}">
              <a16:creationId xmlns:a16="http://schemas.microsoft.com/office/drawing/2014/main" id="{523C8808-82AE-4237-91CB-1ABE401ADAD5}"/>
            </a:ext>
          </a:extLst>
        </xdr:cNvPr>
        <xdr:cNvSpPr txBox="1">
          <a:spLocks noChangeArrowheads="1"/>
        </xdr:cNvSpPr>
      </xdr:nvSpPr>
      <xdr:spPr bwMode="auto">
        <a:xfrm>
          <a:off x="4393693" y="7713073"/>
          <a:ext cx="1128193" cy="749898"/>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efreshError="1"/>
      <sheetData sheetId="1" refreshError="1"/>
      <sheetData sheetId="2" refreshError="1"/>
      <sheetData sheetId="3">
        <row r="7">
          <cell r="BA7" t="str">
            <v>Asist. (A)</v>
          </cell>
          <cell r="BB7" t="str">
            <v>Faltas (F)</v>
          </cell>
          <cell r="BC7" t="str">
            <v>Retrasos (R)</v>
          </cell>
          <cell r="BD7" t="str">
            <v>Licencias (L)</v>
          </cell>
          <cell r="BE7" t="str">
            <v>DÍAS TRABAJADOS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0DE5E5-5E08-4E44-A641-B4FA0FCB4147}" name="Tabla2" displayName="Tabla2" ref="A7:BE26" totalsRowShown="0" headerRowDxfId="52" dataDxfId="50" headerRowBorderDxfId="51" tableBorderDxfId="49" totalsRowBorderDxfId="48">
  <autoFilter ref="A7:BE26" xr:uid="{CE0DE5E5-5E08-4E44-A641-B4FA0FCB41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F3BD5C06-F926-464B-A6B7-0A60C76EF9A4}" name="Nº" dataDxfId="47"/>
    <tableColumn id="2" xr3:uid="{B5E7E238-5AE2-45B4-B269-9591F700C330}" name="NÓMINA DE ESTUDIANTES" dataDxfId="46">
      <calculatedColumnFormula>'C. FILIACION'!B8</calculatedColumnFormula>
    </tableColumn>
    <tableColumn id="3" xr3:uid="{0A200517-F529-4401-BBA4-7EDD186CEACF}" name="10/5/2021"/>
    <tableColumn id="4" xr3:uid="{7A599BDF-8253-44DF-A737-08CA38185E84}" name="12/5/2021"/>
    <tableColumn id="5" xr3:uid="{EFB5F927-224B-4A85-8C42-A9A85A031FD1}" name="17/5/2021"/>
    <tableColumn id="6" xr3:uid="{8CFB5C1C-B1CC-4E62-BAA6-2836E592C34B}" name="19/5/2021"/>
    <tableColumn id="7" xr3:uid="{6D8A6D45-61B2-41F1-8419-55A2BAF15362}" name="24/5/2021"/>
    <tableColumn id="8" xr3:uid="{76121195-18F9-4E33-B9FD-050DC38944E9}" name="26/5/2021"/>
    <tableColumn id="9" xr3:uid="{9D70DC88-AD06-470B-935F-5B6702032741}" name="31/5/2021"/>
    <tableColumn id="10" xr3:uid="{F69CDBB2-AB3F-4861-A55A-CBBAD6A22878}" name="28/6/2021"/>
    <tableColumn id="11" xr3:uid="{E0F0B5E5-BAAC-4041-AE9A-A4D72C1FBA54}" name="30/6/2021"/>
    <tableColumn id="12" xr3:uid="{91507E2D-F298-48C1-A6F6-975D78E76DC2}" name="5/7/2021" dataDxfId="45"/>
    <tableColumn id="13" xr3:uid="{6CFC6252-B944-4B50-BAE1-CFBEAF997925}" name="7/7/2021" dataDxfId="44"/>
    <tableColumn id="14" xr3:uid="{566E9052-2048-49B2-96A4-29537E340BEA}" name="12/7/2021" dataDxfId="43"/>
    <tableColumn id="15" xr3:uid="{5B242C9E-E5E5-43CA-B88C-25A790F18E65}" name="14/7/2021" dataDxfId="42"/>
    <tableColumn id="16" xr3:uid="{D2499745-4BB3-4663-A09D-5BF8E956698D}" name="19/7/2021" dataDxfId="41"/>
    <tableColumn id="17" xr3:uid="{F8F60032-4D93-4D30-A0A0-918045851ED3}" name="26/7/2021" dataDxfId="40"/>
    <tableColumn id="18" xr3:uid="{5905520C-819F-45C4-9AB6-87231EBBB779}" name="28/7/2021" dataDxfId="39"/>
    <tableColumn id="19" xr3:uid="{36915268-6498-48B6-A2A8-F94A5AA0E9F4}" name="2/8/2021" dataDxfId="38"/>
    <tableColumn id="20" xr3:uid="{473CE4FD-326F-40DA-99C0-36D9850B0D09}" name="4/8/2021" dataDxfId="37"/>
    <tableColumn id="21" xr3:uid="{A8488103-006E-4AE1-A58E-18B9E30E197B}" name="9/8/2021" dataDxfId="36"/>
    <tableColumn id="22" xr3:uid="{5C609EB0-E16E-4A52-B83A-CC24AE61AE7D}" name="11/8/2021" dataDxfId="35"/>
    <tableColumn id="23" xr3:uid="{2489712E-1F55-4F67-A27C-1F5EB22B857A}" name="16/8/2021" dataDxfId="34"/>
    <tableColumn id="24" xr3:uid="{722E66E0-9161-48AC-8660-5A053887EC03}" name="18/8/2021" dataDxfId="33"/>
    <tableColumn id="25" xr3:uid="{60E7F77A-EAFF-46E4-B9C4-184EB8A868EB}" name="23/8/2021" dataDxfId="32"/>
    <tableColumn id="26" xr3:uid="{C7656970-4D2F-4018-9C29-ECB79A24BA60}" name="25/8/2021" dataDxfId="31"/>
    <tableColumn id="27" xr3:uid="{5BB33AAE-EA1D-4A9E-A281-5D36058A9226}" name="30/8/2021" dataDxfId="30"/>
    <tableColumn id="28" xr3:uid="{EE8C2EC9-08C4-4EEB-B527-E125EA597254}" name="1/9/2021" dataDxfId="29"/>
    <tableColumn id="29" xr3:uid="{A437A227-F0D6-4C27-9243-BFA5ECC15791}" name="6/9/2021" dataDxfId="28"/>
    <tableColumn id="30" xr3:uid="{18D0A452-B4F2-4317-B448-F1108698B32C}" name="8/9/2021" dataDxfId="27"/>
    <tableColumn id="31" xr3:uid="{F5324769-2D08-467B-8781-4B5D7F095947}" name="13/9/2021" dataDxfId="26"/>
    <tableColumn id="32" xr3:uid="{D2F92FDC-44FE-413A-BF75-8A194A964123}" name="Columna10" dataDxfId="25"/>
    <tableColumn id="33" xr3:uid="{A2487EEB-DD2A-4BC1-9A45-88362614B09D}" name="Columna11" dataDxfId="24"/>
    <tableColumn id="34" xr3:uid="{175D2D2D-74EC-464E-BB91-1B9B4F5F96A4}" name="Columna12" dataDxfId="23"/>
    <tableColumn id="35" xr3:uid="{B9BD5FD3-7283-4D90-B30F-AA0963A4994F}" name="Columna13" dataDxfId="22"/>
    <tableColumn id="36" xr3:uid="{D988A45D-A3F0-4311-906B-7E43EEEE808F}" name="Columna14" dataDxfId="21"/>
    <tableColumn id="37" xr3:uid="{39B78A2D-2578-4790-829C-70C387C88E64}" name="Columna15" dataDxfId="20"/>
    <tableColumn id="38" xr3:uid="{D987F8C9-BD9B-482B-8C29-237F3AB56A80}" name="Columna16" dataDxfId="19"/>
    <tableColumn id="39" xr3:uid="{E602BE35-7013-4B8E-A810-769A3456BB81}" name="Columna17" dataDxfId="18"/>
    <tableColumn id="40" xr3:uid="{08AF460F-8B2A-4185-BCCD-575E51749C22}" name="Columna18" dataDxfId="17"/>
    <tableColumn id="41" xr3:uid="{E6B8CB16-BFE3-40E8-ADEF-9F3DD78A1348}" name="Columna19" dataDxfId="16"/>
    <tableColumn id="42" xr3:uid="{168AFB04-477E-45FF-9C89-37B2A10B4ABB}" name="Columna20" dataDxfId="15"/>
    <tableColumn id="43" xr3:uid="{2F1EE3DC-AD01-44FA-96D6-233214545C0F}" name="Columna21" dataDxfId="14"/>
    <tableColumn id="44" xr3:uid="{EBC1270A-CEA2-44A4-9E04-E41D70B5979C}" name="Columna22" dataDxfId="13"/>
    <tableColumn id="45" xr3:uid="{C38FE072-BD07-4E6B-A5DB-FC6E32DA47C5}" name="Columna23" dataDxfId="12"/>
    <tableColumn id="46" xr3:uid="{3F1B400D-E1F6-4799-85BD-1755809B8CC1}" name="Columna24" dataDxfId="11"/>
    <tableColumn id="47" xr3:uid="{4E4AF221-3D13-41F6-A7FE-FD175F592902}" name="Columna25" dataDxfId="10"/>
    <tableColumn id="48" xr3:uid="{F170A1AA-1766-4EE3-8756-5768415C9269}" name="Columna26" dataDxfId="9"/>
    <tableColumn id="49" xr3:uid="{883A1C75-960E-4652-B4A6-AFA3B0B3F681}" name="Columna27" dataDxfId="8"/>
    <tableColumn id="50" xr3:uid="{9B46DD8E-1940-4C80-8EE7-BF2403B56936}" name="Columna28" dataDxfId="7"/>
    <tableColumn id="51" xr3:uid="{B01A0811-1039-46CC-92E3-E0E5F0AAD444}" name="Columna29" dataDxfId="6"/>
    <tableColumn id="52" xr3:uid="{66480B19-E1C5-4E3E-A41A-4998012BDBE2}" name="Columna30" dataDxfId="5"/>
    <tableColumn id="53" xr3:uid="{6CCE493B-01FA-4C85-8529-EA9FBE20875E}" name="Asist. (A)" dataDxfId="4">
      <calculatedColumnFormula>IF(COUNTIF(C8:AZ8,"A")=0,"",COUNTIF(C8:AZ8,"A"))</calculatedColumnFormula>
    </tableColumn>
    <tableColumn id="54" xr3:uid="{04716F78-A4DB-43CF-A29C-E40F5F40ECA0}" name="Faltas (F)" dataDxfId="3">
      <calculatedColumnFormula>IF(COUNTIF(C8:AZ8,"F")=0,"0",COUNTIF(C8:AZ8,"F"))</calculatedColumnFormula>
    </tableColumn>
    <tableColumn id="55" xr3:uid="{B26FBEF5-9EAD-49D6-96FB-A4D281BD70CB}" name="Retrasos (R)" dataDxfId="2">
      <calculatedColumnFormula>IF(COUNTIF(C8:AZ8,"R")=0,"0",COUNTIF(C8:AZ8,"R"))</calculatedColumnFormula>
    </tableColumn>
    <tableColumn id="56" xr3:uid="{A0AE353E-2693-4202-A679-252B81969FA6}" name="Licencias (L)" dataDxfId="1">
      <calculatedColumnFormula>IF(COUNTIF(C8:AZ8,"L")=0,"0",COUNTIF(C8:AZ8,"L"))</calculatedColumnFormula>
    </tableColumn>
    <tableColumn id="57" xr3:uid="{3FB7E29A-AFED-4646-BC62-CCBB17BD7BF2}"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wOTQ1MTY0MTMw/a/MzcwMjU5NTc2OTk2/details" TargetMode="External"/><Relationship Id="rId13" Type="http://schemas.openxmlformats.org/officeDocument/2006/relationships/drawing" Target="../drawings/drawing2.xml"/><Relationship Id="rId3" Type="http://schemas.openxmlformats.org/officeDocument/2006/relationships/hyperlink" Target="https://classroom.google.com/c/MzQwOTQ1MTY0MTMw/a/MzE5MjgxODM4MzA4/details" TargetMode="External"/><Relationship Id="rId7" Type="http://schemas.openxmlformats.org/officeDocument/2006/relationships/hyperlink" Target="https://classroom.google.com/c/MzQwOTQ1MTY0MTMw/a/MzY5ODQ1NjQ5NjM3/details" TargetMode="External"/><Relationship Id="rId12" Type="http://schemas.openxmlformats.org/officeDocument/2006/relationships/printerSettings" Target="../printerSettings/printerSettings2.bin"/><Relationship Id="rId2" Type="http://schemas.openxmlformats.org/officeDocument/2006/relationships/hyperlink" Target="https://classroom.google.com/c/MzQwOTQ1MTY0MTMw/a/MzY3MTU2NDExMDIx/details" TargetMode="External"/><Relationship Id="rId1" Type="http://schemas.openxmlformats.org/officeDocument/2006/relationships/hyperlink" Target="https://classroom.google.com/c/MzQwOTQ1MTY0MTMw/a/MzQyMDY1OTk4OTY3/details" TargetMode="External"/><Relationship Id="rId6" Type="http://schemas.openxmlformats.org/officeDocument/2006/relationships/hyperlink" Target="https://classroom.google.com/c/MzQwOTQ1MTY0MTMw/a/MzY5NTI0NDA4NjYx/details" TargetMode="External"/><Relationship Id="rId11" Type="http://schemas.openxmlformats.org/officeDocument/2006/relationships/hyperlink" Target="https://classroom.google.com/c/MzQwOTQ1MTY0MTMw/a/MzE5Mjg0MzM5MTA1/details" TargetMode="External"/><Relationship Id="rId5" Type="http://schemas.openxmlformats.org/officeDocument/2006/relationships/hyperlink" Target="https://classroom.google.com/c/MzQwOTQ1MTY0MTMw/a/MzQ5MDM4MzIxMDQ5/details" TargetMode="External"/><Relationship Id="rId10" Type="http://schemas.openxmlformats.org/officeDocument/2006/relationships/hyperlink" Target="https://classroom.google.com/c/MzQwOTQ1MTY0MTMw/a/Mzc0NDgyNzMxMTMw/details" TargetMode="External"/><Relationship Id="rId4" Type="http://schemas.openxmlformats.org/officeDocument/2006/relationships/hyperlink" Target="https://classroom.google.com/c/MzQwOTQ1MTY0MTMw/a/MzQyMDU4ODY2ODAz/details" TargetMode="External"/><Relationship Id="rId9" Type="http://schemas.openxmlformats.org/officeDocument/2006/relationships/hyperlink" Target="https://classroom.google.com/c/MzQwOTQ1MTY0MTMw/a/MzcyOTgwMzk4ODA4/detail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topLeftCell="A10" workbookViewId="0">
      <selection activeCell="C25" sqref="C25:E25"/>
    </sheetView>
  </sheetViews>
  <sheetFormatPr baseColWidth="10" defaultColWidth="9.1328125" defaultRowHeight="15" customHeight="1" x14ac:dyDescent="0.35"/>
  <cols>
    <col min="1" max="1" width="3.6640625" customWidth="1"/>
    <col min="2" max="2" width="18.6640625" customWidth="1"/>
    <col min="3" max="6" width="8.73046875" customWidth="1"/>
    <col min="7" max="7" width="1.796875" customWidth="1"/>
    <col min="8" max="8" width="8.73046875" customWidth="1"/>
    <col min="9" max="9" width="3.6640625" customWidth="1"/>
    <col min="10" max="10" width="8.73046875" customWidth="1"/>
    <col min="11" max="11" width="1.7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38" t="s">
        <v>0</v>
      </c>
      <c r="D8" s="239"/>
      <c r="E8" s="240"/>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41" t="s">
        <v>1</v>
      </c>
      <c r="I9" s="242"/>
      <c r="J9" s="243"/>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44"/>
      <c r="I10" s="245"/>
      <c r="J10" s="246"/>
      <c r="K10" s="7"/>
      <c r="L10" s="1"/>
      <c r="M10" s="1"/>
      <c r="N10" s="1"/>
      <c r="O10" s="1"/>
      <c r="P10" s="1"/>
      <c r="Q10" s="1"/>
      <c r="R10" s="1"/>
      <c r="S10" s="1"/>
      <c r="T10" s="1"/>
      <c r="U10" s="1"/>
      <c r="V10" s="1"/>
      <c r="W10" s="1"/>
      <c r="X10" s="1"/>
      <c r="Y10" s="1"/>
      <c r="Z10" s="1"/>
    </row>
    <row r="11" spans="1:26" ht="15" customHeight="1" x14ac:dyDescent="0.35">
      <c r="A11" s="1"/>
      <c r="B11" s="8" t="s">
        <v>2</v>
      </c>
      <c r="C11" s="235" t="s">
        <v>3</v>
      </c>
      <c r="D11" s="236"/>
      <c r="E11" s="237"/>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47" t="s">
        <v>4</v>
      </c>
      <c r="I12" s="248"/>
      <c r="J12" s="248"/>
      <c r="K12" s="7"/>
      <c r="L12" s="1"/>
      <c r="M12" s="1"/>
      <c r="N12" s="1"/>
      <c r="O12" s="1"/>
      <c r="P12" s="1"/>
      <c r="Q12" s="1"/>
      <c r="R12" s="1"/>
      <c r="S12" s="1"/>
      <c r="T12" s="1"/>
      <c r="U12" s="1"/>
      <c r="V12" s="1"/>
      <c r="W12" s="1"/>
      <c r="X12" s="1"/>
      <c r="Y12" s="1"/>
      <c r="Z12" s="1"/>
    </row>
    <row r="13" spans="1:26" ht="20.399999999999999" x14ac:dyDescent="0.35">
      <c r="A13" s="1"/>
      <c r="B13" s="8" t="s">
        <v>5</v>
      </c>
      <c r="C13" s="235"/>
      <c r="D13" s="236"/>
      <c r="E13" s="237"/>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35" t="s">
        <v>9</v>
      </c>
      <c r="D15" s="236"/>
      <c r="E15" s="237"/>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49" t="s">
        <v>10</v>
      </c>
      <c r="I16" s="248"/>
      <c r="J16" s="248"/>
      <c r="K16" s="7"/>
      <c r="L16" s="1"/>
      <c r="M16" s="1"/>
      <c r="N16" s="1"/>
      <c r="O16" s="1"/>
      <c r="P16" s="1"/>
      <c r="Q16" s="1"/>
      <c r="R16" s="1"/>
      <c r="S16" s="1"/>
      <c r="T16" s="1"/>
      <c r="U16" s="1"/>
      <c r="V16" s="1"/>
      <c r="W16" s="1"/>
      <c r="X16" s="1"/>
      <c r="Y16" s="1"/>
      <c r="Z16" s="1"/>
    </row>
    <row r="17" spans="1:26" ht="20.399999999999999" x14ac:dyDescent="0.35">
      <c r="A17" s="1"/>
      <c r="B17" s="8" t="s">
        <v>11</v>
      </c>
      <c r="C17" s="235" t="s">
        <v>12</v>
      </c>
      <c r="D17" s="236"/>
      <c r="E17" s="237"/>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35" t="s">
        <v>284</v>
      </c>
      <c r="D19" s="236"/>
      <c r="E19" s="237"/>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35" t="s">
        <v>15</v>
      </c>
      <c r="D21" s="236"/>
      <c r="E21" s="237"/>
      <c r="F21" s="9"/>
      <c r="G21" s="6"/>
      <c r="H21" s="249" t="s">
        <v>16</v>
      </c>
      <c r="I21" s="248"/>
      <c r="J21" s="248"/>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35" t="s">
        <v>18</v>
      </c>
      <c r="D23" s="236"/>
      <c r="E23" s="237"/>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35" t="s">
        <v>255</v>
      </c>
      <c r="D25" s="236"/>
      <c r="E25" s="237"/>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35">
        <v>2021</v>
      </c>
      <c r="D27" s="236"/>
      <c r="E27" s="237"/>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0" sqref="B20"/>
    </sheetView>
  </sheetViews>
  <sheetFormatPr baseColWidth="10" defaultColWidth="9.1328125" defaultRowHeight="15" customHeight="1" x14ac:dyDescent="0.35"/>
  <cols>
    <col min="1" max="1" width="2" customWidth="1"/>
    <col min="2" max="2" width="22.1328125" customWidth="1"/>
    <col min="3" max="3" width="8.06640625" customWidth="1"/>
    <col min="4" max="4" width="3.796875" hidden="1" customWidth="1"/>
    <col min="5" max="5" width="8.796875" customWidth="1"/>
    <col min="6" max="6" width="10.7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52" t="s">
        <v>21</v>
      </c>
      <c r="C2" s="248"/>
      <c r="D2" s="248"/>
      <c r="E2" s="248"/>
      <c r="F2" s="248"/>
      <c r="G2" s="248"/>
      <c r="H2" s="248"/>
      <c r="I2" s="248"/>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50" t="str">
        <f>CARÁTULA!$C$15</f>
        <v>Instituto Tecnico Humanistico Jauzel Arrieta</v>
      </c>
      <c r="D4" s="248"/>
      <c r="E4" s="248"/>
      <c r="F4" s="22" t="s">
        <v>19</v>
      </c>
      <c r="G4" s="250" t="str">
        <f>CARÁTULA!$C$25</f>
        <v>Tec. Tecnologica Programacion Visual</v>
      </c>
      <c r="H4" s="248"/>
      <c r="I4" s="248"/>
      <c r="J4" s="19"/>
      <c r="K4" s="19"/>
      <c r="L4" s="19"/>
      <c r="M4" s="19"/>
      <c r="N4" s="19"/>
      <c r="O4" s="19"/>
      <c r="P4" s="19"/>
      <c r="Q4" s="19"/>
      <c r="R4" s="19"/>
      <c r="S4" s="19"/>
      <c r="T4" s="19"/>
      <c r="U4" s="19"/>
      <c r="V4" s="19"/>
      <c r="W4" s="19"/>
      <c r="X4" s="19"/>
      <c r="Y4" s="19"/>
      <c r="Z4" s="19"/>
    </row>
    <row r="5" spans="1:26" ht="12" customHeight="1" x14ac:dyDescent="0.35">
      <c r="A5" s="20"/>
      <c r="B5" s="21" t="s">
        <v>14</v>
      </c>
      <c r="C5" s="250" t="str">
        <f>CARÁTULA!$C$21</f>
        <v>Secundaria</v>
      </c>
      <c r="D5" s="248"/>
      <c r="E5" s="248"/>
      <c r="F5" s="22" t="s">
        <v>13</v>
      </c>
      <c r="G5" s="250" t="str">
        <f>CARÁTULA!$C$19</f>
        <v>JOSÉ COAQUIRA COPA</v>
      </c>
      <c r="H5" s="248"/>
      <c r="I5" s="248"/>
      <c r="J5" s="19"/>
      <c r="K5" s="19"/>
      <c r="L5" s="19"/>
      <c r="M5" s="19"/>
      <c r="N5" s="19"/>
      <c r="O5" s="19"/>
      <c r="P5" s="19"/>
      <c r="Q5" s="19"/>
      <c r="R5" s="19"/>
      <c r="S5" s="19"/>
      <c r="T5" s="19"/>
      <c r="U5" s="19"/>
      <c r="V5" s="19"/>
      <c r="W5" s="19"/>
      <c r="X5" s="19"/>
      <c r="Y5" s="19"/>
      <c r="Z5" s="19"/>
    </row>
    <row r="6" spans="1:26" ht="12" customHeight="1" x14ac:dyDescent="0.35">
      <c r="A6" s="20"/>
      <c r="B6" s="21" t="s">
        <v>22</v>
      </c>
      <c r="C6" s="250" t="str">
        <f>CARÁTULA!$C$23</f>
        <v>6to de Secundaria</v>
      </c>
      <c r="D6" s="248"/>
      <c r="E6" s="248"/>
      <c r="F6" s="22" t="s">
        <v>23</v>
      </c>
      <c r="G6" s="251">
        <f ca="1">TODAY()</f>
        <v>44543</v>
      </c>
      <c r="H6" s="248"/>
      <c r="I6" s="248"/>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44543</v>
      </c>
      <c r="E8" s="31">
        <f t="shared" ref="E8:E43" ca="1" si="1">INT((D8-C8)/365)</f>
        <v>122</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44543</v>
      </c>
      <c r="E9" s="31">
        <f t="shared" ca="1" si="1"/>
        <v>122</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44543</v>
      </c>
      <c r="E10" s="31">
        <f t="shared" ca="1" si="1"/>
        <v>122</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44543</v>
      </c>
      <c r="E11" s="31">
        <f t="shared" ca="1" si="1"/>
        <v>122</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44543</v>
      </c>
      <c r="E12" s="31">
        <f t="shared" ca="1" si="1"/>
        <v>122</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44543</v>
      </c>
      <c r="E13" s="31">
        <f t="shared" ca="1" si="1"/>
        <v>122</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44543</v>
      </c>
      <c r="E14" s="31">
        <f t="shared" ca="1" si="1"/>
        <v>122</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44543</v>
      </c>
      <c r="E15" s="31">
        <f t="shared" ca="1" si="1"/>
        <v>122</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44543</v>
      </c>
      <c r="E16" s="31">
        <f t="shared" ca="1" si="1"/>
        <v>122</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44543</v>
      </c>
      <c r="E17" s="31">
        <f t="shared" ca="1" si="1"/>
        <v>122</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c r="D18" s="30">
        <f t="shared" ca="1" si="0"/>
        <v>44543</v>
      </c>
      <c r="E18" s="31">
        <f t="shared" ca="1" si="1"/>
        <v>122</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c r="D19" s="30">
        <f t="shared" ca="1" si="0"/>
        <v>44543</v>
      </c>
      <c r="E19" s="31">
        <f t="shared" ca="1" si="1"/>
        <v>122</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c r="D20" s="30">
        <f t="shared" ca="1" si="0"/>
        <v>44543</v>
      </c>
      <c r="E20" s="31">
        <f t="shared" ca="1" si="1"/>
        <v>122</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c r="D21" s="30">
        <f t="shared" ca="1" si="0"/>
        <v>44543</v>
      </c>
      <c r="E21" s="31">
        <f t="shared" ca="1" si="1"/>
        <v>122</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c r="D22" s="30">
        <f t="shared" ca="1" si="0"/>
        <v>44543</v>
      </c>
      <c r="E22" s="31">
        <f t="shared" ca="1" si="1"/>
        <v>122</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c r="D23" s="30">
        <f t="shared" ca="1" si="0"/>
        <v>44543</v>
      </c>
      <c r="E23" s="31">
        <f t="shared" ca="1" si="1"/>
        <v>122</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48</v>
      </c>
      <c r="C24" s="35"/>
      <c r="D24" s="30">
        <f t="shared" ca="1" si="0"/>
        <v>44543</v>
      </c>
      <c r="E24" s="31">
        <f t="shared" ca="1" si="1"/>
        <v>122</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89" t="s">
        <v>170</v>
      </c>
      <c r="C25" s="35"/>
      <c r="D25" s="30">
        <f t="shared" ca="1" si="0"/>
        <v>44543</v>
      </c>
      <c r="E25" s="31">
        <f t="shared" ca="1" si="1"/>
        <v>122</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36" t="s">
        <v>270</v>
      </c>
      <c r="C26" s="35"/>
      <c r="D26" s="30">
        <f t="shared" ca="1" si="0"/>
        <v>44543</v>
      </c>
      <c r="E26" s="31">
        <f t="shared" ca="1" si="1"/>
        <v>122</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44543</v>
      </c>
      <c r="E27" s="31">
        <f t="shared" ca="1" si="1"/>
        <v>122</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44543</v>
      </c>
      <c r="E28" s="31">
        <f t="shared" ca="1" si="1"/>
        <v>122</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44543</v>
      </c>
      <c r="E29" s="31">
        <f t="shared" ca="1" si="1"/>
        <v>122</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44543</v>
      </c>
      <c r="E30" s="31">
        <f t="shared" ca="1" si="1"/>
        <v>122</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44543</v>
      </c>
      <c r="E31" s="31">
        <f t="shared" ca="1" si="1"/>
        <v>122</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44543</v>
      </c>
      <c r="E32" s="31">
        <f t="shared" ca="1" si="1"/>
        <v>122</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44543</v>
      </c>
      <c r="E33" s="31">
        <f t="shared" ca="1" si="1"/>
        <v>122</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44543</v>
      </c>
      <c r="E34" s="31">
        <f t="shared" ca="1" si="1"/>
        <v>122</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44543</v>
      </c>
      <c r="E35" s="31">
        <f t="shared" ca="1" si="1"/>
        <v>122</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44543</v>
      </c>
      <c r="E36" s="31">
        <f t="shared" ca="1" si="1"/>
        <v>122</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44543</v>
      </c>
      <c r="E37" s="31">
        <f t="shared" ca="1" si="1"/>
        <v>122</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44543</v>
      </c>
      <c r="E38" s="31">
        <f t="shared" ca="1" si="1"/>
        <v>122</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44543</v>
      </c>
      <c r="E39" s="31">
        <f t="shared" ca="1" si="1"/>
        <v>122</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44543</v>
      </c>
      <c r="E40" s="31">
        <f t="shared" ca="1" si="1"/>
        <v>122</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44543</v>
      </c>
      <c r="E41" s="31">
        <f t="shared" ca="1" si="1"/>
        <v>122</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44543</v>
      </c>
      <c r="E42" s="31">
        <f t="shared" ca="1" si="1"/>
        <v>122</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44543</v>
      </c>
      <c r="E43" s="31">
        <f t="shared" ca="1" si="1"/>
        <v>122</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topLeftCell="A13" workbookViewId="0"/>
  </sheetViews>
  <sheetFormatPr baseColWidth="10" defaultColWidth="9.1328125" defaultRowHeight="15" customHeight="1" x14ac:dyDescent="0.35"/>
  <cols>
    <col min="1" max="1" width="1.6640625" customWidth="1"/>
    <col min="2" max="2" width="20.6640625" customWidth="1"/>
    <col min="3" max="52" width="1.1328125" customWidth="1"/>
    <col min="53" max="57" width="1.3984375" customWidth="1"/>
    <col min="58" max="61" width="1.6640625" customWidth="1"/>
  </cols>
  <sheetData>
    <row r="1" spans="1:61" ht="4.5" customHeight="1" x14ac:dyDescent="0.35"/>
    <row r="2" spans="1:61" ht="21" x14ac:dyDescent="0.35">
      <c r="B2" s="252" t="s">
        <v>49</v>
      </c>
      <c r="C2" s="248"/>
      <c r="D2" s="248"/>
      <c r="E2" s="248"/>
      <c r="F2" s="248"/>
      <c r="G2" s="248"/>
      <c r="H2" s="248"/>
      <c r="I2" s="248"/>
      <c r="J2" s="248"/>
      <c r="K2" s="248"/>
      <c r="L2" s="248"/>
      <c r="M2" s="248"/>
      <c r="N2" s="248"/>
      <c r="O2" s="248"/>
      <c r="P2" s="248"/>
      <c r="Q2" s="248"/>
      <c r="R2" s="248"/>
      <c r="S2" s="248"/>
      <c r="T2" s="248"/>
      <c r="U2" s="248"/>
      <c r="V2" s="248"/>
      <c r="W2" s="248"/>
      <c r="X2" s="248"/>
      <c r="Y2" s="248"/>
      <c r="Z2" s="248"/>
      <c r="AA2" s="248"/>
      <c r="AB2" s="248"/>
      <c r="AC2" s="248"/>
      <c r="AD2" s="248"/>
      <c r="AE2" s="248"/>
      <c r="AF2" s="248"/>
      <c r="AG2" s="248"/>
      <c r="AH2" s="248"/>
      <c r="AI2" s="248"/>
      <c r="AJ2" s="248"/>
      <c r="AK2" s="248"/>
      <c r="AL2" s="248"/>
      <c r="AM2" s="248"/>
      <c r="AN2" s="248"/>
      <c r="AO2" s="248"/>
      <c r="AP2" s="248"/>
      <c r="AQ2" s="248"/>
      <c r="AR2" s="248"/>
      <c r="AS2" s="248"/>
      <c r="AT2" s="248"/>
      <c r="AU2" s="248"/>
      <c r="AV2" s="248"/>
      <c r="AW2" s="248"/>
      <c r="AX2" s="248"/>
      <c r="AY2" s="248"/>
      <c r="AZ2" s="248"/>
      <c r="BA2" s="248"/>
      <c r="BB2" s="248"/>
      <c r="BC2" s="248"/>
      <c r="BD2" s="248"/>
      <c r="BE2" s="248"/>
      <c r="BF2" s="248"/>
      <c r="BG2" s="248"/>
      <c r="BH2" s="248"/>
      <c r="BI2" s="248"/>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53">
        <f>CARÁTULA!$H$14</f>
        <v>44228</v>
      </c>
      <c r="AU3" s="248"/>
      <c r="AV3" s="248"/>
      <c r="AW3" s="248"/>
      <c r="AX3" s="248"/>
      <c r="AY3" s="248"/>
      <c r="AZ3" s="248"/>
      <c r="BA3" s="254" t="s">
        <v>51</v>
      </c>
      <c r="BB3" s="255"/>
      <c r="BC3" s="255"/>
      <c r="BD3" s="255"/>
      <c r="BE3" s="256"/>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t="str">
        <f>CARÁTULA!$C$19</f>
        <v>JOSÉ COAQUIRA COPA</v>
      </c>
      <c r="Y4" s="40"/>
      <c r="Z4" s="40"/>
      <c r="AA4" s="40"/>
      <c r="AB4" s="40"/>
      <c r="AC4" s="40"/>
      <c r="AD4" s="40"/>
      <c r="AE4" s="40"/>
      <c r="AF4" s="40"/>
      <c r="AG4" s="40"/>
      <c r="AH4" s="40"/>
      <c r="AI4" s="40"/>
      <c r="AJ4" s="40"/>
      <c r="AK4" s="42" t="s">
        <v>53</v>
      </c>
      <c r="AL4" s="40"/>
      <c r="AM4" s="40"/>
      <c r="AN4" s="40"/>
      <c r="AO4" s="40"/>
      <c r="AP4" s="40"/>
      <c r="AQ4" s="40"/>
      <c r="AR4" s="40"/>
      <c r="AS4" s="40"/>
      <c r="AT4" s="253">
        <f>CARÁTULA!$J$14</f>
        <v>44323</v>
      </c>
      <c r="AU4" s="248"/>
      <c r="AV4" s="248"/>
      <c r="AW4" s="248"/>
      <c r="AX4" s="248"/>
      <c r="AY4" s="248"/>
      <c r="AZ4" s="248"/>
      <c r="BA4" s="257">
        <f ca="1">AT4-AT5</f>
        <v>-220</v>
      </c>
      <c r="BB4" s="258"/>
      <c r="BC4" s="258"/>
      <c r="BD4" s="258"/>
      <c r="BE4" s="259"/>
    </row>
    <row r="5" spans="1:61" ht="12.75" customHeight="1" x14ac:dyDescent="0.35">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63">
        <f ca="1">TODAY()</f>
        <v>44543</v>
      </c>
      <c r="Y5" s="248"/>
      <c r="Z5" s="248"/>
      <c r="AA5" s="248"/>
      <c r="AB5" s="248"/>
      <c r="AC5" s="248"/>
      <c r="AD5" s="40"/>
      <c r="AE5" s="40"/>
      <c r="AF5" s="40"/>
      <c r="AG5" s="40"/>
      <c r="AH5" s="40"/>
      <c r="AI5" s="40"/>
      <c r="AJ5" s="40"/>
      <c r="AK5" s="45" t="s">
        <v>54</v>
      </c>
      <c r="AL5" s="46"/>
      <c r="AM5" s="46"/>
      <c r="AN5" s="46"/>
      <c r="AO5" s="46"/>
      <c r="AP5" s="46"/>
      <c r="AQ5" s="46"/>
      <c r="AR5" s="40"/>
      <c r="AS5" s="40"/>
      <c r="AT5" s="264">
        <f ca="1">TODAY()</f>
        <v>44543</v>
      </c>
      <c r="AU5" s="248"/>
      <c r="AV5" s="248"/>
      <c r="AW5" s="248"/>
      <c r="AX5" s="248"/>
      <c r="AY5" s="248"/>
      <c r="AZ5" s="248"/>
      <c r="BA5" s="260"/>
      <c r="BB5" s="261"/>
      <c r="BC5" s="261"/>
      <c r="BD5" s="261"/>
      <c r="BE5" s="262"/>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55</v>
      </c>
      <c r="B7" s="49" t="s">
        <v>56</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57</v>
      </c>
      <c r="BB7" s="57" t="s">
        <v>58</v>
      </c>
      <c r="BC7" s="57" t="s">
        <v>59</v>
      </c>
      <c r="BD7" s="57" t="s">
        <v>60</v>
      </c>
      <c r="BE7" s="58" t="s">
        <v>61</v>
      </c>
    </row>
    <row r="8" spans="1:61" ht="12" customHeight="1" x14ac:dyDescent="0.35">
      <c r="A8" s="59">
        <v>1</v>
      </c>
      <c r="B8" s="60" t="str">
        <f>'C. FILIACION'!B8</f>
        <v>ALTAMIRANO RAMOS ESTEFANI MILENKA</v>
      </c>
      <c r="C8" s="48"/>
      <c r="D8" s="61" t="s">
        <v>62</v>
      </c>
      <c r="E8" s="61" t="s">
        <v>62</v>
      </c>
      <c r="F8" s="62" t="s">
        <v>62</v>
      </c>
      <c r="G8" s="62" t="s">
        <v>62</v>
      </c>
      <c r="H8" s="62" t="s">
        <v>62</v>
      </c>
      <c r="I8" s="62" t="s">
        <v>62</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35">
      <c r="A9" s="59">
        <v>2</v>
      </c>
      <c r="B9" s="60" t="str">
        <f>'C. FILIACION'!B9</f>
        <v>APAZA LINO TATIANA JAZMIN</v>
      </c>
      <c r="C9" s="48"/>
      <c r="D9" s="61" t="s">
        <v>62</v>
      </c>
      <c r="E9" s="61" t="s">
        <v>62</v>
      </c>
      <c r="F9" s="62" t="s">
        <v>62</v>
      </c>
      <c r="G9" s="62" t="s">
        <v>63</v>
      </c>
      <c r="H9" s="62" t="s">
        <v>62</v>
      </c>
      <c r="I9" s="62" t="s">
        <v>62</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35">
      <c r="A10" s="59">
        <v>3</v>
      </c>
      <c r="B10" s="60" t="str">
        <f>'C. FILIACION'!B10</f>
        <v>BOLAÑOS OVANDO MIJHAIL ALEXANDER</v>
      </c>
      <c r="C10" s="48"/>
      <c r="D10" s="61" t="s">
        <v>62</v>
      </c>
      <c r="E10" s="61" t="s">
        <v>62</v>
      </c>
      <c r="F10" s="62" t="s">
        <v>62</v>
      </c>
      <c r="G10" s="62" t="s">
        <v>63</v>
      </c>
      <c r="H10" s="62" t="s">
        <v>62</v>
      </c>
      <c r="I10" s="62" t="s">
        <v>62</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35">
      <c r="A11" s="59">
        <v>4</v>
      </c>
      <c r="B11" s="60" t="str">
        <f>'C. FILIACION'!B11</f>
        <v>BRICHER ETHELBERT ISMAEL</v>
      </c>
      <c r="C11" s="48"/>
      <c r="D11" s="61" t="s">
        <v>62</v>
      </c>
      <c r="E11" s="61" t="s">
        <v>62</v>
      </c>
      <c r="F11" s="62" t="s">
        <v>62</v>
      </c>
      <c r="G11" s="62" t="s">
        <v>62</v>
      </c>
      <c r="H11" s="62" t="s">
        <v>62</v>
      </c>
      <c r="I11" s="62" t="s">
        <v>62</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35">
      <c r="A12" s="59">
        <v>5</v>
      </c>
      <c r="B12" s="60" t="str">
        <f>'C. FILIACION'!B12</f>
        <v>CANAVIRI QUISBERT ALEJANDRA ELENA</v>
      </c>
      <c r="C12" s="48"/>
      <c r="D12" s="61" t="s">
        <v>62</v>
      </c>
      <c r="E12" s="61" t="s">
        <v>62</v>
      </c>
      <c r="F12" s="62" t="s">
        <v>62</v>
      </c>
      <c r="G12" s="62" t="s">
        <v>62</v>
      </c>
      <c r="H12" s="62" t="s">
        <v>62</v>
      </c>
      <c r="I12" s="62" t="s">
        <v>62</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35">
      <c r="A13" s="59">
        <v>6</v>
      </c>
      <c r="B13" s="60" t="str">
        <f>'C. FILIACION'!B13</f>
        <v>GOMEZ BELTRAN ALBERT NORMAN</v>
      </c>
      <c r="C13" s="48"/>
      <c r="D13" s="61" t="s">
        <v>62</v>
      </c>
      <c r="E13" s="61" t="s">
        <v>62</v>
      </c>
      <c r="F13" s="62" t="s">
        <v>63</v>
      </c>
      <c r="G13" s="62" t="s">
        <v>62</v>
      </c>
      <c r="H13" s="62" t="s">
        <v>62</v>
      </c>
      <c r="I13" s="62" t="s">
        <v>62</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35">
      <c r="A14" s="59">
        <v>7</v>
      </c>
      <c r="B14" s="60" t="str">
        <f>'C. FILIACION'!B14</f>
        <v>GOMEZ COSME MELANY KARINA</v>
      </c>
      <c r="C14" s="48"/>
      <c r="D14" s="61" t="s">
        <v>62</v>
      </c>
      <c r="E14" s="61" t="s">
        <v>62</v>
      </c>
      <c r="F14" s="62" t="s">
        <v>62</v>
      </c>
      <c r="G14" s="62" t="s">
        <v>62</v>
      </c>
      <c r="H14" s="62" t="s">
        <v>62</v>
      </c>
      <c r="I14" s="62" t="s">
        <v>62</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35">
      <c r="A15" s="59">
        <v>8</v>
      </c>
      <c r="B15" s="60" t="str">
        <f>'C. FILIACION'!B15</f>
        <v>GONZALES ZUAZO KALEB RAMSES</v>
      </c>
      <c r="C15" s="48"/>
      <c r="D15" s="61" t="s">
        <v>62</v>
      </c>
      <c r="E15" s="61" t="s">
        <v>62</v>
      </c>
      <c r="F15" s="62" t="s">
        <v>62</v>
      </c>
      <c r="G15" s="62" t="s">
        <v>62</v>
      </c>
      <c r="H15" s="62" t="s">
        <v>62</v>
      </c>
      <c r="I15" s="62" t="s">
        <v>62</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5">
      <c r="A16" s="59">
        <v>9</v>
      </c>
      <c r="B16" s="60" t="str">
        <f>'C. FILIACION'!B16</f>
        <v>LEDEZMA AGUILAR ELVIS JHEFERSON</v>
      </c>
      <c r="C16" s="48"/>
      <c r="D16" s="61" t="s">
        <v>62</v>
      </c>
      <c r="E16" s="61" t="s">
        <v>62</v>
      </c>
      <c r="F16" s="62" t="s">
        <v>62</v>
      </c>
      <c r="G16" s="62" t="s">
        <v>62</v>
      </c>
      <c r="H16" s="62" t="s">
        <v>62</v>
      </c>
      <c r="I16" s="62" t="s">
        <v>62</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5">
      <c r="A17" s="59">
        <v>10</v>
      </c>
      <c r="B17" s="60" t="str">
        <f>'C. FILIACION'!B17</f>
        <v>LOBATON RODRIGUEZ JHONATAN A.</v>
      </c>
      <c r="C17" s="48"/>
      <c r="D17" s="61" t="s">
        <v>62</v>
      </c>
      <c r="E17" s="61" t="s">
        <v>62</v>
      </c>
      <c r="F17" s="62" t="s">
        <v>62</v>
      </c>
      <c r="G17" s="62" t="s">
        <v>62</v>
      </c>
      <c r="H17" s="62" t="s">
        <v>62</v>
      </c>
      <c r="I17" s="62" t="s">
        <v>62</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35">
      <c r="A18" s="59">
        <v>11</v>
      </c>
      <c r="B18" s="60" t="str">
        <f>'C. FILIACION'!B18</f>
        <v>MAMANI LOPEZ DAFNE MILDRED</v>
      </c>
      <c r="C18" s="48"/>
      <c r="D18" s="61" t="s">
        <v>62</v>
      </c>
      <c r="E18" s="61" t="s">
        <v>62</v>
      </c>
      <c r="F18" s="62" t="s">
        <v>62</v>
      </c>
      <c r="G18" s="62" t="s">
        <v>62</v>
      </c>
      <c r="H18" s="62" t="s">
        <v>62</v>
      </c>
      <c r="I18" s="62" t="s">
        <v>62</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35">
      <c r="A19" s="59">
        <v>12</v>
      </c>
      <c r="B19" s="60" t="str">
        <f>'C. FILIACION'!B19</f>
        <v>MARCONI PEREZ SINDEL LUANA</v>
      </c>
      <c r="C19" s="48"/>
      <c r="D19" s="61" t="s">
        <v>62</v>
      </c>
      <c r="E19" s="61" t="s">
        <v>62</v>
      </c>
      <c r="F19" s="62" t="s">
        <v>63</v>
      </c>
      <c r="G19" s="62" t="s">
        <v>62</v>
      </c>
      <c r="H19" s="62" t="s">
        <v>62</v>
      </c>
      <c r="I19" s="62" t="s">
        <v>62</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35">
      <c r="A20" s="59">
        <v>13</v>
      </c>
      <c r="B20" s="60" t="str">
        <f>'C. FILIACION'!B20</f>
        <v>MENACHO LINEO ANDREA KIMBERLY</v>
      </c>
      <c r="C20" s="48"/>
      <c r="D20" s="61" t="s">
        <v>62</v>
      </c>
      <c r="E20" s="61" t="s">
        <v>62</v>
      </c>
      <c r="F20" s="62" t="s">
        <v>62</v>
      </c>
      <c r="G20" s="62" t="s">
        <v>62</v>
      </c>
      <c r="H20" s="62" t="s">
        <v>62</v>
      </c>
      <c r="I20" s="62" t="s">
        <v>62</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5">
      <c r="A21" s="59">
        <v>14</v>
      </c>
      <c r="B21" s="60" t="str">
        <f>'C. FILIACION'!B21</f>
        <v>PILLCO APAZA MARIAN ALEXANDRA</v>
      </c>
      <c r="C21" s="48"/>
      <c r="D21" s="61" t="s">
        <v>62</v>
      </c>
      <c r="E21" s="61" t="s">
        <v>62</v>
      </c>
      <c r="F21" s="62" t="s">
        <v>62</v>
      </c>
      <c r="G21" s="62" t="s">
        <v>63</v>
      </c>
      <c r="H21" s="62" t="s">
        <v>62</v>
      </c>
      <c r="I21" s="62" t="s">
        <v>62</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35">
      <c r="A22" s="59">
        <v>15</v>
      </c>
      <c r="B22" s="60" t="str">
        <f>'C. FILIACION'!B22</f>
        <v>RUEDA ALVAREZ GREGORY STEVEN</v>
      </c>
      <c r="C22" s="48"/>
      <c r="D22" s="61" t="s">
        <v>62</v>
      </c>
      <c r="E22" s="61" t="s">
        <v>62</v>
      </c>
      <c r="F22" s="62" t="s">
        <v>62</v>
      </c>
      <c r="G22" s="62" t="s">
        <v>62</v>
      </c>
      <c r="H22" s="62" t="s">
        <v>62</v>
      </c>
      <c r="I22" s="62" t="s">
        <v>62</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35">
      <c r="A23" s="59">
        <v>16</v>
      </c>
      <c r="B23" s="60" t="str">
        <f>'C. FILIACION'!B23</f>
        <v>VARGAS JOYCE BELEN</v>
      </c>
      <c r="C23" s="48"/>
      <c r="D23" s="61" t="s">
        <v>62</v>
      </c>
      <c r="E23" s="61" t="s">
        <v>62</v>
      </c>
      <c r="F23" s="61" t="s">
        <v>62</v>
      </c>
      <c r="G23" s="62" t="s">
        <v>62</v>
      </c>
      <c r="H23" s="62" t="s">
        <v>62</v>
      </c>
      <c r="I23" s="62" t="s">
        <v>62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35">
      <c r="A24" s="59">
        <v>17</v>
      </c>
      <c r="B24" s="60" t="str">
        <f>'C. FILIACION'!B24</f>
        <v>ZURITA JIMENEZ ELMER ARTURO</v>
      </c>
      <c r="C24" s="48"/>
      <c r="D24" s="61" t="s">
        <v>62</v>
      </c>
      <c r="E24" s="61" t="s">
        <v>62</v>
      </c>
      <c r="F24" s="61" t="s">
        <v>62</v>
      </c>
      <c r="G24" s="62" t="s">
        <v>62</v>
      </c>
      <c r="H24" s="62" t="s">
        <v>62</v>
      </c>
      <c r="I24" s="62" t="s">
        <v>62</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35">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5">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B6" workbookViewId="0">
      <selection activeCell="H14" sqref="H14"/>
    </sheetView>
  </sheetViews>
  <sheetFormatPr baseColWidth="10" defaultColWidth="9.1328125" defaultRowHeight="15" customHeight="1" x14ac:dyDescent="0.35"/>
  <cols>
    <col min="1" max="1" width="1.46484375" customWidth="1"/>
    <col min="2" max="2" width="17.73046875" customWidth="1"/>
    <col min="3" max="57" width="1.46484375" customWidth="1"/>
    <col min="58" max="61" width="1.6640625" customWidth="1"/>
  </cols>
  <sheetData>
    <row r="1" spans="1:61" ht="4.5" customHeight="1" x14ac:dyDescent="0.35"/>
    <row r="2" spans="1:61" ht="12.75" customHeight="1" x14ac:dyDescent="0.35">
      <c r="B2" s="252" t="s">
        <v>64</v>
      </c>
      <c r="C2" s="248"/>
      <c r="D2" s="248"/>
      <c r="E2" s="248"/>
      <c r="F2" s="248"/>
      <c r="G2" s="248"/>
      <c r="H2" s="248"/>
      <c r="I2" s="248"/>
      <c r="J2" s="248"/>
      <c r="K2" s="248"/>
      <c r="L2" s="248"/>
      <c r="M2" s="248"/>
      <c r="N2" s="248"/>
      <c r="O2" s="248"/>
      <c r="P2" s="248"/>
      <c r="Q2" s="248"/>
      <c r="R2" s="248"/>
      <c r="S2" s="248"/>
      <c r="T2" s="248"/>
      <c r="U2" s="248"/>
      <c r="V2" s="248"/>
      <c r="W2" s="248"/>
      <c r="X2" s="248"/>
      <c r="Y2" s="248"/>
      <c r="Z2" s="248"/>
      <c r="AA2" s="248"/>
      <c r="AB2" s="248"/>
      <c r="AC2" s="248"/>
      <c r="AD2" s="248"/>
      <c r="AE2" s="248"/>
      <c r="AF2" s="248"/>
      <c r="AG2" s="248"/>
      <c r="AH2" s="248"/>
      <c r="AI2" s="248"/>
      <c r="AJ2" s="248"/>
      <c r="AK2" s="248"/>
      <c r="AL2" s="248"/>
      <c r="AM2" s="248"/>
      <c r="AN2" s="248"/>
      <c r="AO2" s="248"/>
      <c r="AP2" s="248"/>
      <c r="AQ2" s="248"/>
      <c r="AR2" s="248"/>
      <c r="AS2" s="248"/>
      <c r="AT2" s="248"/>
      <c r="AU2" s="248"/>
      <c r="AV2" s="248"/>
      <c r="AW2" s="248"/>
      <c r="AX2" s="248"/>
      <c r="AY2" s="248"/>
      <c r="AZ2" s="248"/>
      <c r="BA2" s="248"/>
      <c r="BB2" s="248"/>
      <c r="BC2" s="248"/>
      <c r="BD2" s="248"/>
      <c r="BE2" s="248"/>
      <c r="BF2" s="248"/>
      <c r="BG2" s="248"/>
      <c r="BH2" s="248"/>
      <c r="BI2" s="248"/>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53">
        <f>CARÁTULA!$H$19</f>
        <v>44326</v>
      </c>
      <c r="AU3" s="248"/>
      <c r="AV3" s="248"/>
      <c r="AW3" s="248"/>
      <c r="AX3" s="248"/>
      <c r="AY3" s="248"/>
      <c r="AZ3" s="248"/>
      <c r="BA3" s="254" t="s">
        <v>51</v>
      </c>
      <c r="BB3" s="255"/>
      <c r="BC3" s="255"/>
      <c r="BD3" s="255"/>
      <c r="BE3" s="256"/>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t="str">
        <f>CARÁTULA!$C$19</f>
        <v>JOSÉ COAQUIRA COPA</v>
      </c>
      <c r="Y4" s="40"/>
      <c r="Z4" s="40"/>
      <c r="AA4" s="40"/>
      <c r="AB4" s="40"/>
      <c r="AC4" s="40"/>
      <c r="AD4" s="40"/>
      <c r="AE4" s="40"/>
      <c r="AF4" s="40"/>
      <c r="AG4" s="40"/>
      <c r="AH4" s="40"/>
      <c r="AI4" s="40"/>
      <c r="AJ4" s="40"/>
      <c r="AK4" s="42" t="s">
        <v>53</v>
      </c>
      <c r="AL4" s="40"/>
      <c r="AM4" s="40"/>
      <c r="AN4" s="40"/>
      <c r="AO4" s="40"/>
      <c r="AP4" s="40"/>
      <c r="AQ4" s="40"/>
      <c r="AR4" s="40"/>
      <c r="AS4" s="40"/>
      <c r="AT4" s="253">
        <f>CARÁTULA!$J$19</f>
        <v>44439</v>
      </c>
      <c r="AU4" s="248"/>
      <c r="AV4" s="248"/>
      <c r="AW4" s="248"/>
      <c r="AX4" s="248"/>
      <c r="AY4" s="248"/>
      <c r="AZ4" s="248"/>
      <c r="BA4" s="265">
        <f ca="1">AT4-AT5</f>
        <v>-104</v>
      </c>
      <c r="BB4" s="258"/>
      <c r="BC4" s="258"/>
      <c r="BD4" s="258"/>
      <c r="BE4" s="259"/>
    </row>
    <row r="5" spans="1:61" ht="12.75" customHeight="1" x14ac:dyDescent="0.35">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66">
        <f ca="1">TODAY()</f>
        <v>44543</v>
      </c>
      <c r="Y5" s="248"/>
      <c r="Z5" s="248"/>
      <c r="AA5" s="248"/>
      <c r="AB5" s="248"/>
      <c r="AC5" s="248"/>
      <c r="AD5" s="40"/>
      <c r="AE5" s="40"/>
      <c r="AF5" s="40"/>
      <c r="AG5" s="40"/>
      <c r="AH5" s="40"/>
      <c r="AI5" s="40"/>
      <c r="AJ5" s="40"/>
      <c r="AK5" s="45" t="s">
        <v>54</v>
      </c>
      <c r="AL5" s="46"/>
      <c r="AM5" s="46"/>
      <c r="AN5" s="46"/>
      <c r="AO5" s="46"/>
      <c r="AP5" s="46"/>
      <c r="AQ5" s="46"/>
      <c r="AR5" s="40"/>
      <c r="AS5" s="40"/>
      <c r="AT5" s="264">
        <f ca="1">TODAY()</f>
        <v>44543</v>
      </c>
      <c r="AU5" s="248"/>
      <c r="AV5" s="248"/>
      <c r="AW5" s="248"/>
      <c r="AX5" s="248"/>
      <c r="AY5" s="248"/>
      <c r="AZ5" s="248"/>
      <c r="BA5" s="260"/>
      <c r="BB5" s="261"/>
      <c r="BC5" s="261"/>
      <c r="BD5" s="261"/>
      <c r="BE5" s="262"/>
    </row>
    <row r="6" spans="1:61" ht="3" customHeight="1" thickBo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5">
      <c r="A7" s="163" t="s">
        <v>55</v>
      </c>
      <c r="B7" s="49" t="s">
        <v>56</v>
      </c>
      <c r="C7" s="160" t="s">
        <v>175</v>
      </c>
      <c r="D7" s="160" t="s">
        <v>176</v>
      </c>
      <c r="E7" s="160" t="s">
        <v>177</v>
      </c>
      <c r="F7" s="160" t="s">
        <v>178</v>
      </c>
      <c r="G7" s="160" t="s">
        <v>179</v>
      </c>
      <c r="H7" s="160" t="s">
        <v>180</v>
      </c>
      <c r="I7" s="160" t="s">
        <v>181</v>
      </c>
      <c r="J7" s="160" t="s">
        <v>182</v>
      </c>
      <c r="K7" s="160" t="s">
        <v>183</v>
      </c>
      <c r="L7" s="50" t="s">
        <v>205</v>
      </c>
      <c r="M7" s="50" t="s">
        <v>206</v>
      </c>
      <c r="N7" s="50" t="s">
        <v>207</v>
      </c>
      <c r="O7" s="50" t="s">
        <v>208</v>
      </c>
      <c r="P7" s="50" t="s">
        <v>209</v>
      </c>
      <c r="Q7" s="50" t="s">
        <v>210</v>
      </c>
      <c r="R7" s="50" t="s">
        <v>211</v>
      </c>
      <c r="S7" s="50" t="s">
        <v>212</v>
      </c>
      <c r="T7" s="50" t="s">
        <v>213</v>
      </c>
      <c r="U7" s="50" t="s">
        <v>214</v>
      </c>
      <c r="V7" s="50" t="s">
        <v>215</v>
      </c>
      <c r="W7" s="50" t="s">
        <v>256</v>
      </c>
      <c r="X7" s="50" t="s">
        <v>258</v>
      </c>
      <c r="Y7" s="50" t="s">
        <v>259</v>
      </c>
      <c r="Z7" s="50" t="s">
        <v>260</v>
      </c>
      <c r="AA7" s="50" t="s">
        <v>261</v>
      </c>
      <c r="AB7" s="50" t="s">
        <v>262</v>
      </c>
      <c r="AC7" s="50" t="s">
        <v>263</v>
      </c>
      <c r="AD7" s="50" t="s">
        <v>264</v>
      </c>
      <c r="AE7" s="50" t="s">
        <v>265</v>
      </c>
      <c r="AF7" s="54" t="s">
        <v>184</v>
      </c>
      <c r="AG7" s="54" t="s">
        <v>185</v>
      </c>
      <c r="AH7" s="54" t="s">
        <v>186</v>
      </c>
      <c r="AI7" s="54" t="s">
        <v>187</v>
      </c>
      <c r="AJ7" s="54" t="s">
        <v>188</v>
      </c>
      <c r="AK7" s="54" t="s">
        <v>189</v>
      </c>
      <c r="AL7" s="54" t="s">
        <v>190</v>
      </c>
      <c r="AM7" s="54" t="s">
        <v>191</v>
      </c>
      <c r="AN7" s="54" t="s">
        <v>192</v>
      </c>
      <c r="AO7" s="54" t="s">
        <v>193</v>
      </c>
      <c r="AP7" s="54" t="s">
        <v>194</v>
      </c>
      <c r="AQ7" s="54" t="s">
        <v>195</v>
      </c>
      <c r="AR7" s="54" t="s">
        <v>196</v>
      </c>
      <c r="AS7" s="54" t="s">
        <v>197</v>
      </c>
      <c r="AT7" s="54" t="s">
        <v>198</v>
      </c>
      <c r="AU7" s="54" t="s">
        <v>199</v>
      </c>
      <c r="AV7" s="54" t="s">
        <v>200</v>
      </c>
      <c r="AW7" s="54" t="s">
        <v>201</v>
      </c>
      <c r="AX7" s="54" t="s">
        <v>202</v>
      </c>
      <c r="AY7" s="54" t="s">
        <v>203</v>
      </c>
      <c r="AZ7" s="55" t="s">
        <v>204</v>
      </c>
      <c r="BA7" s="56" t="s">
        <v>65</v>
      </c>
      <c r="BB7" s="57" t="s">
        <v>66</v>
      </c>
      <c r="BC7" s="57" t="s">
        <v>67</v>
      </c>
      <c r="BD7" s="57" t="s">
        <v>68</v>
      </c>
      <c r="BE7" s="165" t="s">
        <v>61</v>
      </c>
      <c r="BF7" s="54" t="s">
        <v>171</v>
      </c>
      <c r="BG7" s="54" t="s">
        <v>169</v>
      </c>
    </row>
    <row r="8" spans="1:61" ht="12" customHeight="1" x14ac:dyDescent="0.35">
      <c r="A8" s="164">
        <v>1</v>
      </c>
      <c r="B8" s="60" t="str">
        <f>'C. FILIACION'!B8</f>
        <v>ALTAMIRANO RAMOS ESTEFANI MILENKA</v>
      </c>
      <c r="C8" s="161" t="s">
        <v>62</v>
      </c>
      <c r="D8" s="161" t="s">
        <v>62</v>
      </c>
      <c r="E8" s="161" t="s">
        <v>62</v>
      </c>
      <c r="F8" s="161" t="s">
        <v>62</v>
      </c>
      <c r="G8" s="161" t="s">
        <v>62</v>
      </c>
      <c r="H8" s="161" t="s">
        <v>62</v>
      </c>
      <c r="I8" s="161" t="s">
        <v>62</v>
      </c>
      <c r="J8" s="161" t="s">
        <v>62</v>
      </c>
      <c r="K8" s="161" t="s">
        <v>62</v>
      </c>
      <c r="L8" s="61" t="s">
        <v>62</v>
      </c>
      <c r="M8" s="61" t="s">
        <v>62</v>
      </c>
      <c r="N8" s="61" t="s">
        <v>63</v>
      </c>
      <c r="O8" s="61" t="s">
        <v>62</v>
      </c>
      <c r="P8" s="61" t="s">
        <v>62</v>
      </c>
      <c r="Q8" s="61" t="s">
        <v>62</v>
      </c>
      <c r="R8" s="61" t="s">
        <v>62</v>
      </c>
      <c r="S8" s="61" t="s">
        <v>62</v>
      </c>
      <c r="T8" s="61" t="s">
        <v>62</v>
      </c>
      <c r="U8" s="61" t="s">
        <v>62</v>
      </c>
      <c r="V8" s="61" t="s">
        <v>172</v>
      </c>
      <c r="W8" s="61" t="s">
        <v>62</v>
      </c>
      <c r="X8" s="61" t="s">
        <v>62</v>
      </c>
      <c r="Y8" s="61" t="s">
        <v>62</v>
      </c>
      <c r="Z8" s="61" t="s">
        <v>62</v>
      </c>
      <c r="AA8" s="61" t="s">
        <v>62</v>
      </c>
      <c r="AB8" s="61" t="s">
        <v>62</v>
      </c>
      <c r="AC8" s="48" t="s">
        <v>62</v>
      </c>
      <c r="AD8" s="48" t="s">
        <v>62</v>
      </c>
      <c r="AE8" s="48" t="s">
        <v>62</v>
      </c>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27</v>
      </c>
      <c r="BB8" s="48">
        <f>IF(COUNTIF(C8:AZ8,"F")=0,"0",COUNTIF(C8:AZ8,"F"))</f>
        <v>1</v>
      </c>
      <c r="BC8" s="48">
        <f>IF(COUNTIF(C8:AZ8,"R")=0,"0",COUNTIF(C8:AZ8,"R"))</f>
        <v>1</v>
      </c>
      <c r="BD8" s="48" t="str">
        <f>IF(COUNTIF(C8:AZ8,"L")=0,"0",COUNTIF(C8:AZ8,"L"))</f>
        <v>0</v>
      </c>
      <c r="BE8" s="158">
        <f>SUM(BA8:BD8)</f>
        <v>29</v>
      </c>
      <c r="BF8" s="154">
        <v>2</v>
      </c>
      <c r="BG8" s="61">
        <v>25</v>
      </c>
      <c r="BH8" s="61" t="s">
        <v>174</v>
      </c>
    </row>
    <row r="9" spans="1:61" ht="12" customHeight="1" x14ac:dyDescent="0.35">
      <c r="A9" s="164">
        <v>2</v>
      </c>
      <c r="B9" s="60" t="str">
        <f>'C. FILIACION'!B9</f>
        <v>APAZA LINO TATIANA JAZMIN</v>
      </c>
      <c r="C9" s="61" t="s">
        <v>62</v>
      </c>
      <c r="D9" s="61" t="s">
        <v>62</v>
      </c>
      <c r="E9" s="61" t="s">
        <v>62</v>
      </c>
      <c r="F9" s="61" t="s">
        <v>62</v>
      </c>
      <c r="G9" s="61" t="s">
        <v>62</v>
      </c>
      <c r="H9" s="61" t="s">
        <v>62</v>
      </c>
      <c r="I9" s="61" t="s">
        <v>62</v>
      </c>
      <c r="J9" s="61" t="s">
        <v>62</v>
      </c>
      <c r="K9" s="61" t="s">
        <v>62</v>
      </c>
      <c r="L9" s="61" t="s">
        <v>62</v>
      </c>
      <c r="M9" s="61" t="s">
        <v>62</v>
      </c>
      <c r="N9" s="61" t="s">
        <v>62</v>
      </c>
      <c r="O9" s="61" t="s">
        <v>62</v>
      </c>
      <c r="P9" s="61" t="s">
        <v>62</v>
      </c>
      <c r="Q9" s="61" t="s">
        <v>62</v>
      </c>
      <c r="R9" s="61" t="s">
        <v>62</v>
      </c>
      <c r="S9" s="61" t="s">
        <v>62</v>
      </c>
      <c r="T9" s="61" t="s">
        <v>62</v>
      </c>
      <c r="U9" s="61" t="s">
        <v>62</v>
      </c>
      <c r="V9" s="61" t="s">
        <v>62</v>
      </c>
      <c r="W9" s="61" t="s">
        <v>62</v>
      </c>
      <c r="X9" s="61" t="s">
        <v>62</v>
      </c>
      <c r="Y9" s="61" t="s">
        <v>62</v>
      </c>
      <c r="Z9" s="61" t="s">
        <v>62</v>
      </c>
      <c r="AA9" s="61" t="s">
        <v>62</v>
      </c>
      <c r="AB9" s="61" t="s">
        <v>62</v>
      </c>
      <c r="AC9" s="48" t="s">
        <v>62</v>
      </c>
      <c r="AD9" s="48" t="s">
        <v>62</v>
      </c>
      <c r="AE9" s="48" t="s">
        <v>62</v>
      </c>
      <c r="AF9" s="48"/>
      <c r="AG9" s="48"/>
      <c r="AH9" s="48"/>
      <c r="AI9" s="48"/>
      <c r="AJ9" s="48"/>
      <c r="AK9" s="48"/>
      <c r="AL9" s="48"/>
      <c r="AM9" s="48"/>
      <c r="AN9" s="48"/>
      <c r="AO9" s="48"/>
      <c r="AP9" s="48"/>
      <c r="AQ9" s="48"/>
      <c r="AR9" s="48"/>
      <c r="AS9" s="48"/>
      <c r="AT9" s="48"/>
      <c r="AU9" s="48"/>
      <c r="AV9" s="48"/>
      <c r="AW9" s="48"/>
      <c r="AX9" s="48"/>
      <c r="AY9" s="48"/>
      <c r="AZ9" s="63"/>
      <c r="BA9" s="64">
        <f t="shared" si="0"/>
        <v>29</v>
      </c>
      <c r="BB9" s="61" t="str">
        <f t="shared" ref="BB9:BB26" si="1">IF(COUNTIF(C9:AZ9,"F")=0,"0",COUNTIF(C9:AZ9,"F"))</f>
        <v>0</v>
      </c>
      <c r="BC9" s="61" t="str">
        <f t="shared" ref="BC9:BC26" si="2">IF(COUNTIF(C9:AZ9,"R")=0,"0",COUNTIF(C9:AZ9,"R"))</f>
        <v>0</v>
      </c>
      <c r="BD9" s="61" t="str">
        <f t="shared" ref="BD9:BD26" si="3">IF(COUNTIF(C9:AZ9,"L")=0,"0",COUNTIF(C9:AZ9,"L"))</f>
        <v>0</v>
      </c>
      <c r="BE9" s="158">
        <f t="shared" ref="BE9:BE26" si="4">SUM(BA9:BD9)</f>
        <v>29</v>
      </c>
      <c r="BF9" s="155">
        <v>1</v>
      </c>
      <c r="BG9" s="61"/>
      <c r="BH9" s="61" t="s">
        <v>174</v>
      </c>
    </row>
    <row r="10" spans="1:61" ht="12" customHeight="1" x14ac:dyDescent="0.35">
      <c r="A10" s="164">
        <v>3</v>
      </c>
      <c r="B10" s="60" t="str">
        <f>'C. FILIACION'!B10</f>
        <v>BOLAÑOS OVANDO MIJHAIL ALEXANDER</v>
      </c>
      <c r="C10" s="161" t="s">
        <v>62</v>
      </c>
      <c r="D10" s="161" t="s">
        <v>62</v>
      </c>
      <c r="E10" s="161" t="s">
        <v>62</v>
      </c>
      <c r="F10" s="161" t="s">
        <v>62</v>
      </c>
      <c r="G10" s="161" t="s">
        <v>63</v>
      </c>
      <c r="H10" s="161" t="s">
        <v>62</v>
      </c>
      <c r="I10" s="161" t="s">
        <v>62</v>
      </c>
      <c r="J10" s="161" t="s">
        <v>63</v>
      </c>
      <c r="K10" s="161" t="s">
        <v>62</v>
      </c>
      <c r="L10" s="61" t="s">
        <v>62</v>
      </c>
      <c r="M10" s="61" t="s">
        <v>62</v>
      </c>
      <c r="N10" s="61" t="s">
        <v>63</v>
      </c>
      <c r="O10" s="61" t="s">
        <v>62</v>
      </c>
      <c r="P10" s="61" t="s">
        <v>63</v>
      </c>
      <c r="Q10" s="61" t="s">
        <v>172</v>
      </c>
      <c r="R10" s="61" t="s">
        <v>62</v>
      </c>
      <c r="S10" s="61" t="s">
        <v>63</v>
      </c>
      <c r="T10" s="61" t="s">
        <v>62</v>
      </c>
      <c r="U10" s="61" t="s">
        <v>63</v>
      </c>
      <c r="V10" s="61" t="s">
        <v>62</v>
      </c>
      <c r="W10" s="61" t="s">
        <v>63</v>
      </c>
      <c r="X10" s="61" t="s">
        <v>63</v>
      </c>
      <c r="Y10" s="61" t="s">
        <v>63</v>
      </c>
      <c r="Z10" s="61" t="s">
        <v>63</v>
      </c>
      <c r="AA10" s="61" t="s">
        <v>63</v>
      </c>
      <c r="AB10" s="61" t="s">
        <v>63</v>
      </c>
      <c r="AC10" s="48" t="s">
        <v>63</v>
      </c>
      <c r="AD10" s="48" t="s">
        <v>63</v>
      </c>
      <c r="AE10" s="48" t="s">
        <v>63</v>
      </c>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13</v>
      </c>
      <c r="BB10" s="61">
        <f t="shared" si="1"/>
        <v>15</v>
      </c>
      <c r="BC10" s="61">
        <f t="shared" si="2"/>
        <v>1</v>
      </c>
      <c r="BD10" s="61" t="str">
        <f t="shared" si="3"/>
        <v>0</v>
      </c>
      <c r="BE10" s="158">
        <f t="shared" si="4"/>
        <v>29</v>
      </c>
      <c r="BF10" s="156">
        <v>3</v>
      </c>
      <c r="BG10" s="61"/>
      <c r="BH10" s="61"/>
    </row>
    <row r="11" spans="1:61" ht="12" customHeight="1" x14ac:dyDescent="0.35">
      <c r="A11" s="164">
        <v>4</v>
      </c>
      <c r="B11" s="189" t="str">
        <f>'C. FILIACION'!B11</f>
        <v>BRICHER ETHELBERT ISMAEL</v>
      </c>
      <c r="C11" s="155" t="s">
        <v>63</v>
      </c>
      <c r="D11" s="155" t="s">
        <v>62</v>
      </c>
      <c r="E11" s="155" t="s">
        <v>62</v>
      </c>
      <c r="F11" s="155" t="s">
        <v>63</v>
      </c>
      <c r="G11" s="155" t="s">
        <v>62</v>
      </c>
      <c r="H11" s="155" t="s">
        <v>62</v>
      </c>
      <c r="I11" s="155" t="s">
        <v>63</v>
      </c>
      <c r="J11" s="155" t="s">
        <v>62</v>
      </c>
      <c r="K11" s="155" t="s">
        <v>62</v>
      </c>
      <c r="L11" s="155" t="s">
        <v>62</v>
      </c>
      <c r="M11" s="155" t="s">
        <v>63</v>
      </c>
      <c r="N11" s="155" t="s">
        <v>63</v>
      </c>
      <c r="O11" s="155" t="s">
        <v>63</v>
      </c>
      <c r="P11" s="155" t="s">
        <v>63</v>
      </c>
      <c r="Q11" s="155" t="s">
        <v>63</v>
      </c>
      <c r="R11" s="155" t="s">
        <v>63</v>
      </c>
      <c r="S11" s="155" t="s">
        <v>63</v>
      </c>
      <c r="T11" s="155" t="s">
        <v>63</v>
      </c>
      <c r="U11" s="155" t="s">
        <v>63</v>
      </c>
      <c r="V11" s="155" t="s">
        <v>63</v>
      </c>
      <c r="W11" s="155" t="s">
        <v>63</v>
      </c>
      <c r="X11" s="155" t="s">
        <v>63</v>
      </c>
      <c r="Y11" s="155" t="s">
        <v>63</v>
      </c>
      <c r="Z11" s="155" t="s">
        <v>63</v>
      </c>
      <c r="AA11" s="155" t="s">
        <v>63</v>
      </c>
      <c r="AB11" s="155" t="s">
        <v>63</v>
      </c>
      <c r="AC11" s="155" t="s">
        <v>63</v>
      </c>
      <c r="AD11" s="48" t="s">
        <v>63</v>
      </c>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7</v>
      </c>
      <c r="BB11" s="61">
        <f t="shared" si="1"/>
        <v>21</v>
      </c>
      <c r="BC11" s="61" t="str">
        <f t="shared" si="2"/>
        <v>0</v>
      </c>
      <c r="BD11" s="61" t="str">
        <f t="shared" si="3"/>
        <v>0</v>
      </c>
      <c r="BE11" s="158">
        <f t="shared" si="4"/>
        <v>28</v>
      </c>
      <c r="BF11" s="155">
        <v>1</v>
      </c>
      <c r="BG11" s="61"/>
      <c r="BH11" s="61"/>
    </row>
    <row r="12" spans="1:61" ht="12" customHeight="1" x14ac:dyDescent="0.35">
      <c r="A12" s="164">
        <v>5</v>
      </c>
      <c r="B12" s="60" t="str">
        <f>'C. FILIACION'!B12</f>
        <v>CANAVIRI QUISBERT ALEJANDRA ELENA</v>
      </c>
      <c r="C12" s="161" t="s">
        <v>62</v>
      </c>
      <c r="D12" s="161" t="s">
        <v>62</v>
      </c>
      <c r="E12" s="161" t="s">
        <v>63</v>
      </c>
      <c r="F12" s="161" t="s">
        <v>62</v>
      </c>
      <c r="G12" s="161" t="s">
        <v>62</v>
      </c>
      <c r="H12" s="161" t="s">
        <v>62</v>
      </c>
      <c r="I12" s="161" t="s">
        <v>63</v>
      </c>
      <c r="J12" s="161" t="s">
        <v>62</v>
      </c>
      <c r="K12" s="161" t="s">
        <v>62</v>
      </c>
      <c r="L12" s="61" t="s">
        <v>62</v>
      </c>
      <c r="M12" s="61" t="s">
        <v>62</v>
      </c>
      <c r="N12" s="61" t="s">
        <v>62</v>
      </c>
      <c r="O12" s="61" t="s">
        <v>62</v>
      </c>
      <c r="P12" s="61" t="s">
        <v>62</v>
      </c>
      <c r="Q12" s="61" t="s">
        <v>62</v>
      </c>
      <c r="R12" s="61" t="s">
        <v>63</v>
      </c>
      <c r="S12" s="61" t="s">
        <v>62</v>
      </c>
      <c r="T12" s="61" t="s">
        <v>62</v>
      </c>
      <c r="U12" s="61" t="s">
        <v>62</v>
      </c>
      <c r="V12" s="61" t="s">
        <v>62</v>
      </c>
      <c r="W12" s="61" t="s">
        <v>63</v>
      </c>
      <c r="X12" s="61" t="s">
        <v>63</v>
      </c>
      <c r="Y12" s="61" t="s">
        <v>62</v>
      </c>
      <c r="Z12" s="61" t="s">
        <v>62</v>
      </c>
      <c r="AA12" s="61" t="s">
        <v>62</v>
      </c>
      <c r="AB12" s="61" t="s">
        <v>62</v>
      </c>
      <c r="AC12" s="48" t="s">
        <v>62</v>
      </c>
      <c r="AD12" s="48" t="s">
        <v>62</v>
      </c>
      <c r="AE12" s="48" t="s">
        <v>62</v>
      </c>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24</v>
      </c>
      <c r="BB12" s="61">
        <f t="shared" si="1"/>
        <v>5</v>
      </c>
      <c r="BC12" s="61" t="str">
        <f t="shared" si="2"/>
        <v>0</v>
      </c>
      <c r="BD12" s="61" t="str">
        <f t="shared" si="3"/>
        <v>0</v>
      </c>
      <c r="BE12" s="158">
        <f t="shared" si="4"/>
        <v>29</v>
      </c>
      <c r="BF12" s="61">
        <v>4</v>
      </c>
      <c r="BG12" s="61"/>
      <c r="BH12" s="61"/>
    </row>
    <row r="13" spans="1:61" ht="12" customHeight="1" x14ac:dyDescent="0.35">
      <c r="A13" s="164">
        <v>6</v>
      </c>
      <c r="B13" s="60" t="str">
        <f>'C. FILIACION'!B13</f>
        <v>GOMEZ BELTRAN ALBERT NORMAN</v>
      </c>
      <c r="C13" s="61" t="s">
        <v>62</v>
      </c>
      <c r="D13" s="61" t="s">
        <v>62</v>
      </c>
      <c r="E13" s="61" t="s">
        <v>62</v>
      </c>
      <c r="F13" s="61" t="s">
        <v>62</v>
      </c>
      <c r="G13" s="61" t="s">
        <v>62</v>
      </c>
      <c r="H13" s="61" t="s">
        <v>62</v>
      </c>
      <c r="I13" s="61" t="s">
        <v>62</v>
      </c>
      <c r="J13" s="61" t="s">
        <v>62</v>
      </c>
      <c r="K13" s="61" t="s">
        <v>62</v>
      </c>
      <c r="L13" s="61" t="s">
        <v>62</v>
      </c>
      <c r="M13" s="61" t="s">
        <v>62</v>
      </c>
      <c r="N13" s="61" t="s">
        <v>62</v>
      </c>
      <c r="O13" s="61" t="s">
        <v>62</v>
      </c>
      <c r="P13" s="61" t="s">
        <v>62</v>
      </c>
      <c r="Q13" s="61" t="s">
        <v>62</v>
      </c>
      <c r="R13" s="61" t="s">
        <v>62</v>
      </c>
      <c r="S13" s="61" t="s">
        <v>62</v>
      </c>
      <c r="T13" s="61" t="s">
        <v>62</v>
      </c>
      <c r="U13" s="61" t="s">
        <v>62</v>
      </c>
      <c r="V13" s="61" t="s">
        <v>62</v>
      </c>
      <c r="W13" s="61" t="s">
        <v>173</v>
      </c>
      <c r="X13" s="61" t="s">
        <v>62</v>
      </c>
      <c r="Y13" s="61" t="s">
        <v>62</v>
      </c>
      <c r="Z13" s="61" t="s">
        <v>62</v>
      </c>
      <c r="AA13" s="61" t="s">
        <v>62</v>
      </c>
      <c r="AB13" s="61" t="s">
        <v>62</v>
      </c>
      <c r="AC13" s="48" t="s">
        <v>62</v>
      </c>
      <c r="AD13" s="48" t="s">
        <v>62</v>
      </c>
      <c r="AE13" s="48" t="s">
        <v>62</v>
      </c>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28</v>
      </c>
      <c r="BB13" s="61" t="str">
        <f t="shared" si="1"/>
        <v>0</v>
      </c>
      <c r="BC13" s="61" t="str">
        <f t="shared" si="2"/>
        <v>0</v>
      </c>
      <c r="BD13" s="61">
        <f t="shared" si="3"/>
        <v>1</v>
      </c>
      <c r="BE13" s="158">
        <f t="shared" si="4"/>
        <v>29</v>
      </c>
      <c r="BF13" s="154">
        <v>2</v>
      </c>
      <c r="BG13" s="61"/>
      <c r="BH13" s="61"/>
    </row>
    <row r="14" spans="1:61" ht="12" customHeight="1" x14ac:dyDescent="0.35">
      <c r="A14" s="164">
        <v>7</v>
      </c>
      <c r="B14" s="60" t="str">
        <f>'C. FILIACION'!B14</f>
        <v>GOMEZ COSME MELANY KARINA</v>
      </c>
      <c r="C14" s="161" t="s">
        <v>62</v>
      </c>
      <c r="D14" s="161" t="s">
        <v>63</v>
      </c>
      <c r="E14" s="161" t="s">
        <v>62</v>
      </c>
      <c r="F14" s="161" t="s">
        <v>63</v>
      </c>
      <c r="G14" s="161" t="s">
        <v>62</v>
      </c>
      <c r="H14" s="161" t="s">
        <v>63</v>
      </c>
      <c r="I14" s="161" t="s">
        <v>62</v>
      </c>
      <c r="J14" s="161" t="s">
        <v>62</v>
      </c>
      <c r="K14" s="161" t="s">
        <v>62</v>
      </c>
      <c r="L14" s="61" t="s">
        <v>63</v>
      </c>
      <c r="M14" s="61" t="s">
        <v>62</v>
      </c>
      <c r="N14" s="61" t="s">
        <v>63</v>
      </c>
      <c r="O14" s="61" t="s">
        <v>62</v>
      </c>
      <c r="P14" s="61" t="s">
        <v>62</v>
      </c>
      <c r="Q14" s="61" t="s">
        <v>63</v>
      </c>
      <c r="R14" s="61" t="s">
        <v>63</v>
      </c>
      <c r="S14" s="61" t="s">
        <v>63</v>
      </c>
      <c r="T14" s="61" t="s">
        <v>63</v>
      </c>
      <c r="U14" s="61" t="s">
        <v>63</v>
      </c>
      <c r="V14" s="61" t="s">
        <v>63</v>
      </c>
      <c r="W14" s="61" t="s">
        <v>63</v>
      </c>
      <c r="X14" s="61" t="s">
        <v>62</v>
      </c>
      <c r="Y14" s="61" t="s">
        <v>62</v>
      </c>
      <c r="Z14" s="61" t="s">
        <v>62</v>
      </c>
      <c r="AA14" s="61" t="s">
        <v>63</v>
      </c>
      <c r="AB14" s="61" t="s">
        <v>62</v>
      </c>
      <c r="AC14" s="48" t="s">
        <v>62</v>
      </c>
      <c r="AD14" s="48" t="s">
        <v>62</v>
      </c>
      <c r="AE14" s="48" t="s">
        <v>62</v>
      </c>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16</v>
      </c>
      <c r="BB14" s="61">
        <f t="shared" si="1"/>
        <v>13</v>
      </c>
      <c r="BC14" s="61" t="str">
        <f t="shared" si="2"/>
        <v>0</v>
      </c>
      <c r="BD14" s="61" t="str">
        <f t="shared" si="3"/>
        <v>0</v>
      </c>
      <c r="BE14" s="158">
        <f t="shared" si="4"/>
        <v>29</v>
      </c>
      <c r="BF14" s="156">
        <v>3</v>
      </c>
      <c r="BG14" s="61"/>
      <c r="BH14" s="61"/>
    </row>
    <row r="15" spans="1:61" ht="12" customHeight="1" x14ac:dyDescent="0.35">
      <c r="A15" s="164">
        <v>8</v>
      </c>
      <c r="B15" s="60" t="str">
        <f>'C. FILIACION'!B15</f>
        <v>GONZALES ZUAZO KALEB RAMSES</v>
      </c>
      <c r="C15" s="61" t="s">
        <v>62</v>
      </c>
      <c r="D15" s="61" t="s">
        <v>62</v>
      </c>
      <c r="E15" s="61" t="s">
        <v>62</v>
      </c>
      <c r="F15" s="61" t="s">
        <v>62</v>
      </c>
      <c r="G15" s="61" t="s">
        <v>62</v>
      </c>
      <c r="H15" s="61" t="s">
        <v>62</v>
      </c>
      <c r="I15" s="61" t="s">
        <v>62</v>
      </c>
      <c r="J15" s="61" t="s">
        <v>62</v>
      </c>
      <c r="K15" s="61" t="s">
        <v>62</v>
      </c>
      <c r="L15" s="61" t="s">
        <v>62</v>
      </c>
      <c r="M15" s="61" t="s">
        <v>62</v>
      </c>
      <c r="N15" s="61" t="s">
        <v>62</v>
      </c>
      <c r="O15" s="61" t="s">
        <v>62</v>
      </c>
      <c r="P15" s="61" t="s">
        <v>62</v>
      </c>
      <c r="Q15" s="61" t="s">
        <v>62</v>
      </c>
      <c r="R15" s="61" t="s">
        <v>62</v>
      </c>
      <c r="S15" s="61" t="s">
        <v>62</v>
      </c>
      <c r="T15" s="61" t="s">
        <v>62</v>
      </c>
      <c r="U15" s="61" t="s">
        <v>62</v>
      </c>
      <c r="V15" s="61" t="s">
        <v>62</v>
      </c>
      <c r="W15" s="61" t="s">
        <v>62</v>
      </c>
      <c r="X15" s="61" t="s">
        <v>62</v>
      </c>
      <c r="Y15" s="61" t="s">
        <v>62</v>
      </c>
      <c r="Z15" s="61" t="s">
        <v>62</v>
      </c>
      <c r="AA15" s="61" t="s">
        <v>62</v>
      </c>
      <c r="AB15" s="61" t="s">
        <v>62</v>
      </c>
      <c r="AC15" s="48" t="s">
        <v>62</v>
      </c>
      <c r="AD15" s="48" t="s">
        <v>62</v>
      </c>
      <c r="AE15" s="48" t="s">
        <v>62</v>
      </c>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29</v>
      </c>
      <c r="BB15" s="61" t="str">
        <f t="shared" si="1"/>
        <v>0</v>
      </c>
      <c r="BC15" s="61" t="str">
        <f t="shared" si="2"/>
        <v>0</v>
      </c>
      <c r="BD15" s="61" t="str">
        <f t="shared" si="3"/>
        <v>0</v>
      </c>
      <c r="BE15" s="158">
        <f t="shared" si="4"/>
        <v>29</v>
      </c>
      <c r="BF15" s="61">
        <v>4</v>
      </c>
      <c r="BG15" s="61"/>
      <c r="BH15" s="61" t="s">
        <v>174</v>
      </c>
    </row>
    <row r="16" spans="1:61" ht="12" customHeight="1" x14ac:dyDescent="0.35">
      <c r="A16" s="164">
        <v>9</v>
      </c>
      <c r="B16" s="60" t="str">
        <f>'C. FILIACION'!B16</f>
        <v>LEDEZMA AGUILAR ELVIS JHEFERSON</v>
      </c>
      <c r="C16" s="161" t="s">
        <v>62</v>
      </c>
      <c r="D16" s="161" t="s">
        <v>62</v>
      </c>
      <c r="E16" s="161" t="s">
        <v>62</v>
      </c>
      <c r="F16" s="161" t="s">
        <v>62</v>
      </c>
      <c r="G16" s="161" t="s">
        <v>62</v>
      </c>
      <c r="H16" s="161" t="s">
        <v>62</v>
      </c>
      <c r="I16" s="161" t="s">
        <v>62</v>
      </c>
      <c r="J16" s="161" t="s">
        <v>62</v>
      </c>
      <c r="K16" s="161" t="s">
        <v>62</v>
      </c>
      <c r="L16" s="61" t="s">
        <v>62</v>
      </c>
      <c r="M16" s="61" t="s">
        <v>62</v>
      </c>
      <c r="N16" s="61" t="s">
        <v>63</v>
      </c>
      <c r="O16" s="61" t="s">
        <v>62</v>
      </c>
      <c r="P16" s="61" t="s">
        <v>62</v>
      </c>
      <c r="Q16" s="61" t="s">
        <v>62</v>
      </c>
      <c r="R16" s="61" t="s">
        <v>62</v>
      </c>
      <c r="S16" s="61" t="s">
        <v>62</v>
      </c>
      <c r="T16" s="61" t="s">
        <v>62</v>
      </c>
      <c r="U16" s="61" t="s">
        <v>62</v>
      </c>
      <c r="V16" s="61" t="s">
        <v>62</v>
      </c>
      <c r="W16" s="61" t="s">
        <v>62</v>
      </c>
      <c r="X16" s="61" t="s">
        <v>62</v>
      </c>
      <c r="Y16" s="61" t="s">
        <v>62</v>
      </c>
      <c r="Z16" s="61" t="s">
        <v>62</v>
      </c>
      <c r="AA16" s="61" t="s">
        <v>62</v>
      </c>
      <c r="AB16" s="61" t="s">
        <v>62</v>
      </c>
      <c r="AC16" s="48" t="s">
        <v>62</v>
      </c>
      <c r="AD16" s="48" t="s">
        <v>172</v>
      </c>
      <c r="AE16" s="48" t="s">
        <v>62</v>
      </c>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27</v>
      </c>
      <c r="BB16" s="61">
        <f t="shared" si="1"/>
        <v>1</v>
      </c>
      <c r="BC16" s="61">
        <f t="shared" si="2"/>
        <v>1</v>
      </c>
      <c r="BD16" s="61" t="str">
        <f t="shared" si="3"/>
        <v>0</v>
      </c>
      <c r="BE16" s="158">
        <f t="shared" si="4"/>
        <v>29</v>
      </c>
      <c r="BF16" s="155">
        <v>1</v>
      </c>
      <c r="BG16" s="61"/>
      <c r="BH16" s="61"/>
    </row>
    <row r="17" spans="1:60" ht="12" customHeight="1" x14ac:dyDescent="0.35">
      <c r="A17" s="164">
        <v>10</v>
      </c>
      <c r="B17" s="190" t="s">
        <v>41</v>
      </c>
      <c r="C17" s="191" t="s">
        <v>62</v>
      </c>
      <c r="D17" s="191" t="s">
        <v>62</v>
      </c>
      <c r="E17" s="191" t="s">
        <v>62</v>
      </c>
      <c r="F17" s="191" t="s">
        <v>62</v>
      </c>
      <c r="G17" s="191" t="s">
        <v>62</v>
      </c>
      <c r="H17" s="191" t="s">
        <v>62</v>
      </c>
      <c r="I17" s="191" t="s">
        <v>62</v>
      </c>
      <c r="J17" s="191" t="s">
        <v>62</v>
      </c>
      <c r="K17" s="191" t="s">
        <v>62</v>
      </c>
      <c r="L17" s="191" t="s">
        <v>63</v>
      </c>
      <c r="M17" s="191" t="s">
        <v>63</v>
      </c>
      <c r="N17" s="191" t="s">
        <v>62</v>
      </c>
      <c r="O17" s="191" t="s">
        <v>62</v>
      </c>
      <c r="P17" s="191" t="s">
        <v>62</v>
      </c>
      <c r="Q17" s="191" t="s">
        <v>62</v>
      </c>
      <c r="R17" s="191" t="s">
        <v>62</v>
      </c>
      <c r="S17" s="191" t="s">
        <v>62</v>
      </c>
      <c r="T17" s="191" t="s">
        <v>62</v>
      </c>
      <c r="U17" s="191" t="s">
        <v>62</v>
      </c>
      <c r="V17" s="191" t="s">
        <v>62</v>
      </c>
      <c r="W17" s="191" t="s">
        <v>62</v>
      </c>
      <c r="X17" s="191" t="s">
        <v>172</v>
      </c>
      <c r="Y17" s="191" t="s">
        <v>62</v>
      </c>
      <c r="Z17" s="191" t="s">
        <v>62</v>
      </c>
      <c r="AA17" s="191" t="s">
        <v>62</v>
      </c>
      <c r="AB17" s="191" t="s">
        <v>62</v>
      </c>
      <c r="AC17" s="191" t="s">
        <v>62</v>
      </c>
      <c r="AD17" s="48" t="s">
        <v>62</v>
      </c>
      <c r="AE17" s="48" t="s">
        <v>63</v>
      </c>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25</v>
      </c>
      <c r="BB17" s="61">
        <f t="shared" si="1"/>
        <v>3</v>
      </c>
      <c r="BC17" s="61">
        <f t="shared" si="2"/>
        <v>1</v>
      </c>
      <c r="BD17" s="61" t="str">
        <f t="shared" si="3"/>
        <v>0</v>
      </c>
      <c r="BE17" s="158">
        <f t="shared" si="4"/>
        <v>29</v>
      </c>
      <c r="BF17" s="157">
        <v>3</v>
      </c>
      <c r="BG17" s="157"/>
      <c r="BH17" s="61"/>
    </row>
    <row r="18" spans="1:60" ht="12" customHeight="1" x14ac:dyDescent="0.35">
      <c r="A18" s="164">
        <v>11</v>
      </c>
      <c r="B18" s="60" t="str">
        <f>'C. FILIACION'!B18</f>
        <v>MAMANI LOPEZ DAFNE MILDRED</v>
      </c>
      <c r="C18" s="161" t="s">
        <v>62</v>
      </c>
      <c r="D18" s="161" t="s">
        <v>62</v>
      </c>
      <c r="E18" s="161" t="s">
        <v>62</v>
      </c>
      <c r="F18" s="161" t="s">
        <v>63</v>
      </c>
      <c r="G18" s="161" t="s">
        <v>62</v>
      </c>
      <c r="H18" s="161" t="s">
        <v>63</v>
      </c>
      <c r="I18" s="161" t="s">
        <v>62</v>
      </c>
      <c r="J18" s="161" t="s">
        <v>62</v>
      </c>
      <c r="K18" s="161" t="s">
        <v>63</v>
      </c>
      <c r="L18" s="61" t="s">
        <v>63</v>
      </c>
      <c r="M18" s="61" t="s">
        <v>63</v>
      </c>
      <c r="N18" s="61" t="s">
        <v>173</v>
      </c>
      <c r="O18" s="61" t="s">
        <v>62</v>
      </c>
      <c r="P18" s="61" t="s">
        <v>63</v>
      </c>
      <c r="Q18" s="61" t="s">
        <v>172</v>
      </c>
      <c r="R18" s="61" t="s">
        <v>63</v>
      </c>
      <c r="S18" s="61" t="s">
        <v>62</v>
      </c>
      <c r="T18" s="61" t="s">
        <v>62</v>
      </c>
      <c r="U18" s="61" t="s">
        <v>172</v>
      </c>
      <c r="V18" s="61" t="s">
        <v>63</v>
      </c>
      <c r="W18" s="61" t="s">
        <v>63</v>
      </c>
      <c r="X18" s="61" t="s">
        <v>62</v>
      </c>
      <c r="Y18" s="61" t="s">
        <v>63</v>
      </c>
      <c r="Z18" s="61" t="s">
        <v>62</v>
      </c>
      <c r="AA18" s="61" t="s">
        <v>63</v>
      </c>
      <c r="AB18" s="61" t="s">
        <v>62</v>
      </c>
      <c r="AC18" s="48" t="s">
        <v>63</v>
      </c>
      <c r="AD18" s="48" t="s">
        <v>62</v>
      </c>
      <c r="AE18" s="48" t="s">
        <v>63</v>
      </c>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13</v>
      </c>
      <c r="BB18" s="61">
        <f t="shared" si="1"/>
        <v>13</v>
      </c>
      <c r="BC18" s="61">
        <f t="shared" si="2"/>
        <v>2</v>
      </c>
      <c r="BD18" s="61">
        <f t="shared" si="3"/>
        <v>1</v>
      </c>
      <c r="BE18" s="158">
        <f t="shared" si="4"/>
        <v>29</v>
      </c>
      <c r="BF18" s="61">
        <v>4</v>
      </c>
      <c r="BG18" s="61"/>
      <c r="BH18" s="61"/>
    </row>
    <row r="19" spans="1:60" ht="12" customHeight="1" x14ac:dyDescent="0.35">
      <c r="A19" s="164">
        <v>12</v>
      </c>
      <c r="B19" s="60" t="str">
        <f>'C. FILIACION'!B19</f>
        <v>MARCONI PEREZ SINDEL LUANA</v>
      </c>
      <c r="C19" s="61" t="s">
        <v>62</v>
      </c>
      <c r="D19" s="61" t="s">
        <v>63</v>
      </c>
      <c r="E19" s="61" t="s">
        <v>62</v>
      </c>
      <c r="F19" s="61" t="s">
        <v>62</v>
      </c>
      <c r="G19" s="61" t="s">
        <v>63</v>
      </c>
      <c r="H19" s="61" t="s">
        <v>62</v>
      </c>
      <c r="I19" s="61" t="s">
        <v>62</v>
      </c>
      <c r="J19" s="61" t="s">
        <v>62</v>
      </c>
      <c r="K19" s="61" t="s">
        <v>62</v>
      </c>
      <c r="L19" s="61" t="s">
        <v>63</v>
      </c>
      <c r="M19" s="61" t="s">
        <v>62</v>
      </c>
      <c r="N19" s="61" t="s">
        <v>63</v>
      </c>
      <c r="O19" s="61" t="s">
        <v>63</v>
      </c>
      <c r="P19" s="61" t="s">
        <v>63</v>
      </c>
      <c r="Q19" s="61" t="s">
        <v>62</v>
      </c>
      <c r="R19" s="61" t="s">
        <v>63</v>
      </c>
      <c r="S19" s="61" t="s">
        <v>63</v>
      </c>
      <c r="T19" s="61" t="s">
        <v>62</v>
      </c>
      <c r="U19" s="61" t="s">
        <v>63</v>
      </c>
      <c r="V19" s="61" t="s">
        <v>172</v>
      </c>
      <c r="W19" s="61" t="s">
        <v>63</v>
      </c>
      <c r="X19" s="61" t="s">
        <v>63</v>
      </c>
      <c r="Y19" s="61" t="s">
        <v>63</v>
      </c>
      <c r="Z19" s="61" t="s">
        <v>63</v>
      </c>
      <c r="AA19" s="61" t="s">
        <v>63</v>
      </c>
      <c r="AB19" s="61" t="s">
        <v>63</v>
      </c>
      <c r="AC19" s="48" t="s">
        <v>63</v>
      </c>
      <c r="AD19" s="48" t="s">
        <v>63</v>
      </c>
      <c r="AE19" s="48" t="s">
        <v>62</v>
      </c>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11</v>
      </c>
      <c r="BB19" s="61">
        <f t="shared" si="1"/>
        <v>17</v>
      </c>
      <c r="BC19" s="61">
        <f t="shared" si="2"/>
        <v>1</v>
      </c>
      <c r="BD19" s="61" t="str">
        <f t="shared" si="3"/>
        <v>0</v>
      </c>
      <c r="BE19" s="158">
        <f t="shared" si="4"/>
        <v>29</v>
      </c>
      <c r="BF19" s="154">
        <v>2</v>
      </c>
      <c r="BG19" s="61"/>
      <c r="BH19" s="61"/>
    </row>
    <row r="20" spans="1:60" ht="12" customHeight="1" x14ac:dyDescent="0.35">
      <c r="A20" s="164">
        <v>13</v>
      </c>
      <c r="B20" s="60" t="str">
        <f>'C. FILIACION'!B20</f>
        <v>MENACHO LINEO ANDREA KIMBERLY</v>
      </c>
      <c r="C20" s="161" t="s">
        <v>62</v>
      </c>
      <c r="D20" s="161" t="s">
        <v>62</v>
      </c>
      <c r="E20" s="161" t="s">
        <v>62</v>
      </c>
      <c r="F20" s="161" t="s">
        <v>62</v>
      </c>
      <c r="G20" s="161" t="s">
        <v>62</v>
      </c>
      <c r="H20" s="161" t="s">
        <v>62</v>
      </c>
      <c r="I20" s="161" t="s">
        <v>62</v>
      </c>
      <c r="J20" s="161" t="s">
        <v>62</v>
      </c>
      <c r="K20" s="161" t="s">
        <v>62</v>
      </c>
      <c r="L20" s="61" t="s">
        <v>62</v>
      </c>
      <c r="M20" s="61" t="s">
        <v>62</v>
      </c>
      <c r="N20" s="61" t="s">
        <v>62</v>
      </c>
      <c r="O20" s="61" t="s">
        <v>62</v>
      </c>
      <c r="P20" s="61" t="s">
        <v>62</v>
      </c>
      <c r="Q20" s="61" t="s">
        <v>62</v>
      </c>
      <c r="R20" s="61" t="s">
        <v>62</v>
      </c>
      <c r="S20" s="61" t="s">
        <v>62</v>
      </c>
      <c r="T20" s="61" t="s">
        <v>62</v>
      </c>
      <c r="U20" s="61" t="s">
        <v>62</v>
      </c>
      <c r="V20" s="61" t="s">
        <v>63</v>
      </c>
      <c r="W20" s="61" t="s">
        <v>62</v>
      </c>
      <c r="X20" s="61" t="s">
        <v>62</v>
      </c>
      <c r="Y20" s="61" t="s">
        <v>63</v>
      </c>
      <c r="Z20" s="61" t="s">
        <v>62</v>
      </c>
      <c r="AA20" s="61" t="s">
        <v>62</v>
      </c>
      <c r="AB20" s="61" t="s">
        <v>62</v>
      </c>
      <c r="AC20" s="48" t="s">
        <v>62</v>
      </c>
      <c r="AD20" s="48" t="s">
        <v>62</v>
      </c>
      <c r="AE20" s="48" t="s">
        <v>62</v>
      </c>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27</v>
      </c>
      <c r="BB20" s="61">
        <f t="shared" si="1"/>
        <v>2</v>
      </c>
      <c r="BC20" s="61" t="str">
        <f t="shared" si="2"/>
        <v>0</v>
      </c>
      <c r="BD20" s="61" t="str">
        <f t="shared" si="3"/>
        <v>0</v>
      </c>
      <c r="BE20" s="158">
        <f t="shared" si="4"/>
        <v>29</v>
      </c>
      <c r="BF20" s="155">
        <v>1</v>
      </c>
      <c r="BG20" s="61"/>
      <c r="BH20" s="61"/>
    </row>
    <row r="21" spans="1:60" ht="12" customHeight="1" x14ac:dyDescent="0.35">
      <c r="A21" s="164">
        <v>14</v>
      </c>
      <c r="B21" s="60" t="str">
        <f>'C. FILIACION'!B21</f>
        <v>PILLCO APAZA MARIAN ALEXANDRA</v>
      </c>
      <c r="C21" s="61" t="s">
        <v>62</v>
      </c>
      <c r="D21" s="61" t="s">
        <v>62</v>
      </c>
      <c r="E21" s="61" t="s">
        <v>62</v>
      </c>
      <c r="F21" s="61" t="s">
        <v>62</v>
      </c>
      <c r="G21" s="61" t="s">
        <v>62</v>
      </c>
      <c r="H21" s="61" t="s">
        <v>62</v>
      </c>
      <c r="I21" s="61" t="s">
        <v>62</v>
      </c>
      <c r="J21" s="61" t="s">
        <v>62</v>
      </c>
      <c r="K21" s="61" t="s">
        <v>63</v>
      </c>
      <c r="L21" s="61" t="s">
        <v>62</v>
      </c>
      <c r="M21" s="61" t="s">
        <v>62</v>
      </c>
      <c r="N21" s="61" t="s">
        <v>62</v>
      </c>
      <c r="O21" s="61" t="s">
        <v>62</v>
      </c>
      <c r="P21" s="61" t="s">
        <v>62</v>
      </c>
      <c r="Q21" s="61" t="s">
        <v>62</v>
      </c>
      <c r="R21" s="61" t="s">
        <v>62</v>
      </c>
      <c r="S21" s="61" t="s">
        <v>62</v>
      </c>
      <c r="T21" s="61" t="s">
        <v>62</v>
      </c>
      <c r="U21" s="61" t="s">
        <v>62</v>
      </c>
      <c r="V21" s="61" t="s">
        <v>62</v>
      </c>
      <c r="W21" s="61" t="s">
        <v>62</v>
      </c>
      <c r="X21" s="61" t="s">
        <v>62</v>
      </c>
      <c r="Y21" s="61" t="s">
        <v>62</v>
      </c>
      <c r="Z21" s="61" t="s">
        <v>62</v>
      </c>
      <c r="AA21" s="61" t="s">
        <v>62</v>
      </c>
      <c r="AB21" s="61" t="s">
        <v>62</v>
      </c>
      <c r="AC21" s="48" t="s">
        <v>62</v>
      </c>
      <c r="AD21" s="48" t="s">
        <v>62</v>
      </c>
      <c r="AE21" s="48" t="s">
        <v>62</v>
      </c>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28</v>
      </c>
      <c r="BB21" s="61">
        <f t="shared" si="1"/>
        <v>1</v>
      </c>
      <c r="BC21" s="61" t="str">
        <f t="shared" si="2"/>
        <v>0</v>
      </c>
      <c r="BD21" s="61" t="str">
        <f t="shared" si="3"/>
        <v>0</v>
      </c>
      <c r="BE21" s="158">
        <f t="shared" si="4"/>
        <v>29</v>
      </c>
      <c r="BF21" s="155">
        <v>1</v>
      </c>
      <c r="BG21" s="61"/>
      <c r="BH21" s="61"/>
    </row>
    <row r="22" spans="1:60" ht="12" customHeight="1" x14ac:dyDescent="0.35">
      <c r="A22" s="164">
        <v>15</v>
      </c>
      <c r="B22" s="60" t="str">
        <f>'C. FILIACION'!B22</f>
        <v>RUEDA ALVAREZ GREGORY STEVEN</v>
      </c>
      <c r="C22" s="162" t="s">
        <v>62</v>
      </c>
      <c r="D22" s="162" t="s">
        <v>62</v>
      </c>
      <c r="E22" s="162" t="s">
        <v>62</v>
      </c>
      <c r="F22" s="162" t="s">
        <v>62</v>
      </c>
      <c r="G22" s="162" t="s">
        <v>62</v>
      </c>
      <c r="H22" s="162" t="s">
        <v>62</v>
      </c>
      <c r="I22" s="162" t="s">
        <v>62</v>
      </c>
      <c r="J22" s="162" t="s">
        <v>62</v>
      </c>
      <c r="K22" s="162" t="s">
        <v>62</v>
      </c>
      <c r="L22" s="61" t="s">
        <v>62</v>
      </c>
      <c r="M22" s="61" t="s">
        <v>62</v>
      </c>
      <c r="N22" s="61" t="s">
        <v>62</v>
      </c>
      <c r="O22" s="61" t="s">
        <v>62</v>
      </c>
      <c r="P22" s="61" t="s">
        <v>62</v>
      </c>
      <c r="Q22" s="61" t="s">
        <v>62</v>
      </c>
      <c r="R22" s="61" t="s">
        <v>62</v>
      </c>
      <c r="S22" s="61" t="s">
        <v>62</v>
      </c>
      <c r="T22" s="61" t="s">
        <v>62</v>
      </c>
      <c r="U22" s="61" t="s">
        <v>62</v>
      </c>
      <c r="V22" s="61" t="s">
        <v>62</v>
      </c>
      <c r="W22" s="61" t="s">
        <v>62</v>
      </c>
      <c r="X22" s="61" t="s">
        <v>62</v>
      </c>
      <c r="Y22" s="61" t="s">
        <v>62</v>
      </c>
      <c r="Z22" s="61" t="s">
        <v>62</v>
      </c>
      <c r="AA22" s="61" t="s">
        <v>62</v>
      </c>
      <c r="AB22" s="61" t="s">
        <v>62</v>
      </c>
      <c r="AC22" s="48" t="s">
        <v>62</v>
      </c>
      <c r="AD22" s="48" t="s">
        <v>62</v>
      </c>
      <c r="AE22" s="48" t="s">
        <v>62</v>
      </c>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29</v>
      </c>
      <c r="BB22" s="61" t="str">
        <f t="shared" si="1"/>
        <v>0</v>
      </c>
      <c r="BC22" s="61" t="str">
        <f t="shared" si="2"/>
        <v>0</v>
      </c>
      <c r="BD22" s="61" t="str">
        <f t="shared" si="3"/>
        <v>0</v>
      </c>
      <c r="BE22" s="158">
        <f t="shared" si="4"/>
        <v>29</v>
      </c>
      <c r="BF22" s="156">
        <v>3</v>
      </c>
      <c r="BG22" s="61"/>
      <c r="BH22" s="61"/>
    </row>
    <row r="23" spans="1:60" ht="12" customHeight="1" x14ac:dyDescent="0.35">
      <c r="A23" s="164">
        <v>16</v>
      </c>
      <c r="B23" s="192" t="str">
        <f>'C. FILIACION'!B23</f>
        <v>VARGAS JOYCE BELEN</v>
      </c>
      <c r="C23" s="193" t="s">
        <v>63</v>
      </c>
      <c r="D23" s="193" t="s">
        <v>63</v>
      </c>
      <c r="E23" s="193" t="s">
        <v>63</v>
      </c>
      <c r="F23" s="193" t="s">
        <v>63</v>
      </c>
      <c r="G23" s="193" t="s">
        <v>63</v>
      </c>
      <c r="H23" s="193" t="s">
        <v>62</v>
      </c>
      <c r="I23" s="193" t="s">
        <v>62</v>
      </c>
      <c r="J23" s="193" t="s">
        <v>63</v>
      </c>
      <c r="K23" s="193" t="s">
        <v>62</v>
      </c>
      <c r="L23" s="193" t="s">
        <v>62</v>
      </c>
      <c r="M23" s="193" t="s">
        <v>63</v>
      </c>
      <c r="N23" s="193" t="s">
        <v>62</v>
      </c>
      <c r="O23" s="193" t="s">
        <v>63</v>
      </c>
      <c r="P23" s="193" t="s">
        <v>63</v>
      </c>
      <c r="Q23" s="193" t="s">
        <v>63</v>
      </c>
      <c r="R23" s="193" t="s">
        <v>63</v>
      </c>
      <c r="S23" s="193" t="s">
        <v>63</v>
      </c>
      <c r="T23" s="193" t="s">
        <v>63</v>
      </c>
      <c r="U23" s="193" t="s">
        <v>63</v>
      </c>
      <c r="V23" s="193" t="s">
        <v>63</v>
      </c>
      <c r="W23" s="193" t="s">
        <v>63</v>
      </c>
      <c r="X23" s="193" t="s">
        <v>63</v>
      </c>
      <c r="Y23" s="193" t="s">
        <v>63</v>
      </c>
      <c r="Z23" s="193" t="s">
        <v>63</v>
      </c>
      <c r="AA23" s="193" t="s">
        <v>63</v>
      </c>
      <c r="AB23" s="193" t="s">
        <v>63</v>
      </c>
      <c r="AC23" s="193" t="s">
        <v>63</v>
      </c>
      <c r="AD23" s="193" t="s">
        <v>63</v>
      </c>
      <c r="AE23" s="193" t="s">
        <v>63</v>
      </c>
      <c r="AF23" s="193"/>
      <c r="AG23" s="193"/>
      <c r="AH23" s="193"/>
      <c r="AI23" s="193"/>
      <c r="AJ23" s="193"/>
      <c r="AK23" s="193"/>
      <c r="AL23" s="193"/>
      <c r="AM23" s="193"/>
      <c r="AN23" s="193"/>
      <c r="AO23" s="193"/>
      <c r="AP23" s="193"/>
      <c r="AQ23" s="193"/>
      <c r="AR23" s="193"/>
      <c r="AS23" s="193"/>
      <c r="AT23" s="193"/>
      <c r="AU23" s="193"/>
      <c r="AV23" s="193"/>
      <c r="AW23" s="193"/>
      <c r="AX23" s="193"/>
      <c r="AY23" s="193"/>
      <c r="AZ23" s="194"/>
      <c r="BA23" s="195">
        <f t="shared" si="0"/>
        <v>5</v>
      </c>
      <c r="BB23" s="193">
        <f t="shared" si="1"/>
        <v>24</v>
      </c>
      <c r="BC23" s="193" t="str">
        <f t="shared" si="2"/>
        <v>0</v>
      </c>
      <c r="BD23" s="193" t="str">
        <f t="shared" si="3"/>
        <v>0</v>
      </c>
      <c r="BE23" s="194">
        <f t="shared" si="4"/>
        <v>29</v>
      </c>
      <c r="BF23" s="193">
        <v>3</v>
      </c>
      <c r="BG23" s="193"/>
      <c r="BH23" s="193"/>
    </row>
    <row r="24" spans="1:60" ht="12" customHeight="1" x14ac:dyDescent="0.35">
      <c r="A24" s="164">
        <v>17</v>
      </c>
      <c r="B24" s="60" t="str">
        <f>'C. FILIACION'!B24</f>
        <v>ZURITA JIMENEZ ELMER ARTURO</v>
      </c>
      <c r="C24" s="161" t="s">
        <v>62</v>
      </c>
      <c r="D24" s="161" t="s">
        <v>62</v>
      </c>
      <c r="E24" s="161" t="s">
        <v>62</v>
      </c>
      <c r="F24" s="161" t="s">
        <v>62</v>
      </c>
      <c r="G24" s="161" t="s">
        <v>62</v>
      </c>
      <c r="H24" s="161" t="s">
        <v>62</v>
      </c>
      <c r="I24" s="161" t="s">
        <v>62</v>
      </c>
      <c r="J24" s="161" t="s">
        <v>62</v>
      </c>
      <c r="K24" s="161" t="s">
        <v>62</v>
      </c>
      <c r="L24" s="61" t="s">
        <v>62</v>
      </c>
      <c r="M24" s="61" t="s">
        <v>62</v>
      </c>
      <c r="N24" s="61" t="s">
        <v>62</v>
      </c>
      <c r="O24" s="61" t="s">
        <v>62</v>
      </c>
      <c r="P24" s="61" t="s">
        <v>62</v>
      </c>
      <c r="Q24" s="61" t="s">
        <v>62</v>
      </c>
      <c r="R24" s="61" t="s">
        <v>62</v>
      </c>
      <c r="S24" s="61" t="s">
        <v>62</v>
      </c>
      <c r="T24" s="61" t="s">
        <v>62</v>
      </c>
      <c r="U24" s="61" t="s">
        <v>62</v>
      </c>
      <c r="V24" s="61" t="s">
        <v>62</v>
      </c>
      <c r="W24" s="61" t="s">
        <v>62</v>
      </c>
      <c r="X24" s="61" t="s">
        <v>62</v>
      </c>
      <c r="Y24" s="61" t="s">
        <v>62</v>
      </c>
      <c r="Z24" s="61" t="s">
        <v>62</v>
      </c>
      <c r="AA24" s="61" t="s">
        <v>62</v>
      </c>
      <c r="AB24" s="61" t="s">
        <v>62</v>
      </c>
      <c r="AC24" s="48" t="s">
        <v>62</v>
      </c>
      <c r="AD24" s="48" t="s">
        <v>62</v>
      </c>
      <c r="AE24" s="48" t="s">
        <v>62</v>
      </c>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29</v>
      </c>
      <c r="BB24" s="61" t="str">
        <f t="shared" si="1"/>
        <v>0</v>
      </c>
      <c r="BC24" s="61" t="str">
        <f t="shared" si="2"/>
        <v>0</v>
      </c>
      <c r="BD24" s="61" t="str">
        <f t="shared" si="3"/>
        <v>0</v>
      </c>
      <c r="BE24" s="158">
        <f t="shared" si="4"/>
        <v>29</v>
      </c>
      <c r="BF24" s="154">
        <v>2</v>
      </c>
      <c r="BG24" s="61"/>
      <c r="BH24" s="61"/>
    </row>
    <row r="25" spans="1:60" ht="12" customHeight="1" x14ac:dyDescent="0.35">
      <c r="A25" s="164">
        <v>18</v>
      </c>
      <c r="B25" s="60" t="str">
        <f>'C. FILIACION'!B25</f>
        <v>ADRIAN FLORES EDDY BEYMAR</v>
      </c>
      <c r="C25" s="61" t="s">
        <v>63</v>
      </c>
      <c r="D25" s="61" t="s">
        <v>63</v>
      </c>
      <c r="E25" s="61" t="s">
        <v>63</v>
      </c>
      <c r="F25" s="61" t="s">
        <v>63</v>
      </c>
      <c r="G25" s="61" t="s">
        <v>63</v>
      </c>
      <c r="H25" s="61" t="s">
        <v>62</v>
      </c>
      <c r="I25" s="61" t="s">
        <v>62</v>
      </c>
      <c r="J25" s="61" t="s">
        <v>63</v>
      </c>
      <c r="K25" s="61" t="s">
        <v>62</v>
      </c>
      <c r="L25" s="61" t="s">
        <v>62</v>
      </c>
      <c r="M25" s="61" t="s">
        <v>62</v>
      </c>
      <c r="N25" s="61" t="s">
        <v>63</v>
      </c>
      <c r="O25" s="61" t="s">
        <v>63</v>
      </c>
      <c r="P25" s="61" t="s">
        <v>62</v>
      </c>
      <c r="Q25" s="61" t="s">
        <v>63</v>
      </c>
      <c r="R25" s="61" t="s">
        <v>62</v>
      </c>
      <c r="S25" s="61" t="s">
        <v>62</v>
      </c>
      <c r="T25" s="61" t="s">
        <v>62</v>
      </c>
      <c r="U25" s="61" t="s">
        <v>63</v>
      </c>
      <c r="V25" s="61" t="s">
        <v>63</v>
      </c>
      <c r="W25" s="61" t="s">
        <v>62</v>
      </c>
      <c r="X25" s="61" t="s">
        <v>62</v>
      </c>
      <c r="Y25" s="61" t="s">
        <v>63</v>
      </c>
      <c r="Z25" s="61" t="s">
        <v>63</v>
      </c>
      <c r="AA25" s="61" t="s">
        <v>63</v>
      </c>
      <c r="AB25" s="61" t="s">
        <v>62</v>
      </c>
      <c r="AC25" s="48" t="s">
        <v>63</v>
      </c>
      <c r="AD25" s="48" t="s">
        <v>62</v>
      </c>
      <c r="AE25" s="48" t="s">
        <v>62</v>
      </c>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14</v>
      </c>
      <c r="BB25" s="61">
        <f t="shared" si="1"/>
        <v>15</v>
      </c>
      <c r="BC25" s="61" t="str">
        <f t="shared" si="2"/>
        <v>0</v>
      </c>
      <c r="BD25" s="61" t="str">
        <f t="shared" si="3"/>
        <v>0</v>
      </c>
      <c r="BE25" s="158">
        <f t="shared" si="4"/>
        <v>29</v>
      </c>
      <c r="BF25" s="61">
        <v>4</v>
      </c>
      <c r="BG25" s="61"/>
      <c r="BH25" s="61"/>
    </row>
    <row r="26" spans="1:60" ht="12" customHeight="1" x14ac:dyDescent="0.35">
      <c r="A26" s="166">
        <v>19</v>
      </c>
      <c r="B26" s="167" t="str">
        <f>'C. FILIACION'!B26</f>
        <v>VENTURA CHOQUE DANELY KEYLA</v>
      </c>
      <c r="C26" s="168"/>
      <c r="D26" s="168"/>
      <c r="E26" s="168"/>
      <c r="F26" s="168"/>
      <c r="G26" s="168"/>
      <c r="H26" s="168"/>
      <c r="I26" s="168"/>
      <c r="J26" s="168"/>
      <c r="K26" s="168"/>
      <c r="L26" s="169"/>
      <c r="M26" s="169"/>
      <c r="N26" s="169"/>
      <c r="O26" s="169"/>
      <c r="P26" s="169" t="s">
        <v>63</v>
      </c>
      <c r="Q26" s="169" t="s">
        <v>173</v>
      </c>
      <c r="R26" s="169" t="s">
        <v>173</v>
      </c>
      <c r="S26" s="169" t="s">
        <v>62</v>
      </c>
      <c r="T26" s="169" t="s">
        <v>62</v>
      </c>
      <c r="U26" s="169" t="s">
        <v>62</v>
      </c>
      <c r="V26" s="169" t="s">
        <v>62</v>
      </c>
      <c r="W26" s="169" t="s">
        <v>63</v>
      </c>
      <c r="X26" s="169" t="s">
        <v>62</v>
      </c>
      <c r="Y26" s="169" t="s">
        <v>62</v>
      </c>
      <c r="Z26" s="169" t="s">
        <v>62</v>
      </c>
      <c r="AA26" s="169" t="s">
        <v>62</v>
      </c>
      <c r="AB26" s="169" t="s">
        <v>62</v>
      </c>
      <c r="AC26" s="169" t="s">
        <v>62</v>
      </c>
      <c r="AD26" s="169" t="s">
        <v>62</v>
      </c>
      <c r="AE26" s="169" t="s">
        <v>62</v>
      </c>
      <c r="AF26" s="169"/>
      <c r="AG26" s="169"/>
      <c r="AH26" s="169"/>
      <c r="AI26" s="169"/>
      <c r="AJ26" s="169"/>
      <c r="AK26" s="169"/>
      <c r="AL26" s="169"/>
      <c r="AM26" s="169"/>
      <c r="AN26" s="169"/>
      <c r="AO26" s="169"/>
      <c r="AP26" s="169"/>
      <c r="AQ26" s="169"/>
      <c r="AR26" s="169"/>
      <c r="AS26" s="169"/>
      <c r="AT26" s="169"/>
      <c r="AU26" s="169"/>
      <c r="AV26" s="169"/>
      <c r="AW26" s="169"/>
      <c r="AX26" s="169"/>
      <c r="AY26" s="169"/>
      <c r="AZ26" s="170"/>
      <c r="BA26" s="171">
        <f t="shared" si="0"/>
        <v>12</v>
      </c>
      <c r="BB26" s="169">
        <f t="shared" si="1"/>
        <v>2</v>
      </c>
      <c r="BC26" s="169" t="str">
        <f t="shared" si="2"/>
        <v>0</v>
      </c>
      <c r="BD26" s="169">
        <f t="shared" si="3"/>
        <v>2</v>
      </c>
      <c r="BE26" s="170">
        <f t="shared" si="4"/>
        <v>16</v>
      </c>
      <c r="BF26" s="156">
        <v>3</v>
      </c>
      <c r="BG26" s="61"/>
      <c r="BH26" s="61"/>
    </row>
    <row r="27" spans="1:60" ht="12" customHeight="1" x14ac:dyDescent="0.35">
      <c r="A27" s="59">
        <v>20</v>
      </c>
      <c r="B27" s="60">
        <f>'C. FILIACION'!B27</f>
        <v>0</v>
      </c>
      <c r="C27" s="61"/>
      <c r="D27" s="61"/>
      <c r="E27" s="61"/>
      <c r="F27" s="61"/>
      <c r="G27" s="61"/>
      <c r="H27" s="61"/>
      <c r="I27" s="61"/>
      <c r="J27" s="61"/>
      <c r="K27" s="61"/>
      <c r="L27" s="48"/>
      <c r="M27" s="48"/>
      <c r="N27" s="61"/>
      <c r="O27" s="61"/>
      <c r="P27" s="61"/>
      <c r="Q27" s="61"/>
      <c r="R27" s="61"/>
      <c r="S27" s="61"/>
      <c r="T27" s="61"/>
      <c r="U27" s="61"/>
      <c r="V27" s="61"/>
      <c r="W27" s="61"/>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ref="BB27:BB43" si="5">IF(COUNTIF(C27:AZ27,"F")=0,"",COUNTIF(C27:AZ27,"F"))</f>
        <v/>
      </c>
      <c r="BC27" s="48" t="str">
        <f t="shared" ref="BC27:BC43" si="6">IF(COUNTIF(C27:AZ27,"R")=0,"",COUNTIF(C27:AZ27,"R"))</f>
        <v/>
      </c>
      <c r="BD27" s="48" t="str">
        <f t="shared" ref="BD27:BD43" si="7">IF(COUNTIF(C27:AZ27,"L")=0,"",COUNTIF(C27:AZ27,"L"))</f>
        <v/>
      </c>
      <c r="BE27" s="65" t="str">
        <f t="shared" ref="BE27:BE43" si="8">IF(COUNTIF(C27:AZ27,"L")=0,"",COUNTIF(C27:AZ27,"L"))</f>
        <v/>
      </c>
    </row>
    <row r="28" spans="1:60" ht="12" customHeight="1" x14ac:dyDescent="0.35">
      <c r="A28" s="59">
        <v>21</v>
      </c>
      <c r="B28" s="60">
        <f>'C. FILIACION'!B28</f>
        <v>0</v>
      </c>
      <c r="C28" s="161"/>
      <c r="D28" s="161"/>
      <c r="E28" s="161"/>
      <c r="F28" s="161"/>
      <c r="G28" s="161"/>
      <c r="H28" s="161"/>
      <c r="I28" s="161"/>
      <c r="J28" s="161"/>
      <c r="K28" s="161"/>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5"/>
        <v/>
      </c>
      <c r="BC28" s="48" t="str">
        <f t="shared" si="6"/>
        <v/>
      </c>
      <c r="BD28" s="48" t="str">
        <f t="shared" si="7"/>
        <v/>
      </c>
      <c r="BE28" s="65" t="str">
        <f t="shared" si="8"/>
        <v/>
      </c>
    </row>
    <row r="29" spans="1:60" ht="12" customHeight="1" x14ac:dyDescent="0.35">
      <c r="A29" s="59">
        <v>22</v>
      </c>
      <c r="B29" s="60">
        <f>'C. FILIACION'!B29</f>
        <v>0</v>
      </c>
      <c r="C29" s="162"/>
      <c r="D29" s="162"/>
      <c r="E29" s="162"/>
      <c r="F29" s="162"/>
      <c r="G29" s="162"/>
      <c r="H29" s="162"/>
      <c r="I29" s="162"/>
      <c r="J29" s="162"/>
      <c r="K29" s="162"/>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5"/>
        <v/>
      </c>
      <c r="BC29" s="48" t="str">
        <f t="shared" si="6"/>
        <v/>
      </c>
      <c r="BD29" s="48" t="str">
        <f t="shared" si="7"/>
        <v/>
      </c>
      <c r="BE29" s="65" t="str">
        <f t="shared" si="8"/>
        <v/>
      </c>
    </row>
    <row r="30" spans="1:60" ht="12" customHeight="1" x14ac:dyDescent="0.35">
      <c r="A30" s="59">
        <v>23</v>
      </c>
      <c r="B30" s="60">
        <f>'C. FILIACION'!B30</f>
        <v>0</v>
      </c>
      <c r="C30" s="161"/>
      <c r="D30" s="161"/>
      <c r="E30" s="161"/>
      <c r="F30" s="161"/>
      <c r="G30" s="161"/>
      <c r="H30" s="161"/>
      <c r="I30" s="161"/>
      <c r="J30" s="161"/>
      <c r="K30" s="161"/>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5"/>
        <v/>
      </c>
      <c r="BC30" s="48" t="str">
        <f t="shared" si="6"/>
        <v/>
      </c>
      <c r="BD30" s="48" t="str">
        <f t="shared" si="7"/>
        <v/>
      </c>
      <c r="BE30" s="65" t="str">
        <f t="shared" si="8"/>
        <v/>
      </c>
    </row>
    <row r="31" spans="1:60" ht="12" customHeight="1" x14ac:dyDescent="0.35">
      <c r="A31" s="59">
        <v>24</v>
      </c>
      <c r="B31" s="60">
        <f>'C. FILIACION'!B31</f>
        <v>0</v>
      </c>
      <c r="C31" s="61"/>
      <c r="D31" s="61"/>
      <c r="E31" s="61"/>
      <c r="F31" s="61"/>
      <c r="G31" s="61"/>
      <c r="H31" s="61"/>
      <c r="I31" s="61"/>
      <c r="J31" s="61"/>
      <c r="K31" s="61"/>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5"/>
        <v/>
      </c>
      <c r="BC31" s="48" t="str">
        <f t="shared" si="6"/>
        <v/>
      </c>
      <c r="BD31" s="48" t="str">
        <f t="shared" si="7"/>
        <v/>
      </c>
      <c r="BE31" s="65" t="str">
        <f t="shared" si="8"/>
        <v/>
      </c>
    </row>
    <row r="32" spans="1:60"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5"/>
        <v/>
      </c>
      <c r="BC32" s="48" t="str">
        <f t="shared" si="6"/>
        <v/>
      </c>
      <c r="BD32" s="48" t="str">
        <f t="shared" si="7"/>
        <v/>
      </c>
      <c r="BE32" s="65" t="str">
        <f t="shared" si="8"/>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5"/>
        <v/>
      </c>
      <c r="BC33" s="48" t="str">
        <f t="shared" si="6"/>
        <v/>
      </c>
      <c r="BD33" s="48" t="str">
        <f t="shared" si="7"/>
        <v/>
      </c>
      <c r="BE33" s="65" t="str">
        <f t="shared" si="8"/>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5"/>
        <v/>
      </c>
      <c r="BC34" s="48" t="str">
        <f t="shared" si="6"/>
        <v/>
      </c>
      <c r="BD34" s="48" t="str">
        <f t="shared" si="7"/>
        <v/>
      </c>
      <c r="BE34" s="65" t="str">
        <f t="shared" si="8"/>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5"/>
        <v/>
      </c>
      <c r="BC35" s="48" t="str">
        <f t="shared" si="6"/>
        <v/>
      </c>
      <c r="BD35" s="48" t="str">
        <f t="shared" si="7"/>
        <v/>
      </c>
      <c r="BE35" s="65" t="str">
        <f t="shared" si="8"/>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5"/>
        <v/>
      </c>
      <c r="BC36" s="48" t="str">
        <f t="shared" si="6"/>
        <v/>
      </c>
      <c r="BD36" s="48" t="str">
        <f t="shared" si="7"/>
        <v/>
      </c>
      <c r="BE36" s="65" t="str">
        <f t="shared" si="8"/>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5"/>
        <v/>
      </c>
      <c r="BC37" s="48" t="str">
        <f t="shared" si="6"/>
        <v/>
      </c>
      <c r="BD37" s="48" t="str">
        <f t="shared" si="7"/>
        <v/>
      </c>
      <c r="BE37" s="65" t="str">
        <f t="shared" si="8"/>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5"/>
        <v/>
      </c>
      <c r="BC38" s="48" t="str">
        <f t="shared" si="6"/>
        <v/>
      </c>
      <c r="BD38" s="48" t="str">
        <f t="shared" si="7"/>
        <v/>
      </c>
      <c r="BE38" s="65" t="str">
        <f t="shared" si="8"/>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5"/>
        <v/>
      </c>
      <c r="BC39" s="48" t="str">
        <f t="shared" si="6"/>
        <v/>
      </c>
      <c r="BD39" s="48" t="str">
        <f t="shared" si="7"/>
        <v/>
      </c>
      <c r="BE39" s="65" t="str">
        <f t="shared" si="8"/>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5"/>
        <v/>
      </c>
      <c r="BC40" s="48" t="str">
        <f t="shared" si="6"/>
        <v/>
      </c>
      <c r="BD40" s="48" t="str">
        <f t="shared" si="7"/>
        <v/>
      </c>
      <c r="BE40" s="65" t="str">
        <f t="shared" si="8"/>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5"/>
        <v/>
      </c>
      <c r="BC41" s="48" t="str">
        <f t="shared" si="6"/>
        <v/>
      </c>
      <c r="BD41" s="48" t="str">
        <f t="shared" si="7"/>
        <v/>
      </c>
      <c r="BE41" s="65" t="str">
        <f t="shared" si="8"/>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5"/>
        <v/>
      </c>
      <c r="BC42" s="48" t="str">
        <f t="shared" si="6"/>
        <v/>
      </c>
      <c r="BD42" s="48" t="str">
        <f t="shared" si="7"/>
        <v/>
      </c>
      <c r="BE42" s="65" t="str">
        <f t="shared" si="8"/>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5"/>
        <v/>
      </c>
      <c r="BC43" s="48" t="str">
        <f t="shared" si="6"/>
        <v/>
      </c>
      <c r="BD43" s="48" t="str">
        <f t="shared" si="7"/>
        <v/>
      </c>
      <c r="BE43" s="65" t="str">
        <f t="shared" si="8"/>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AFEE9-C408-4811-AD55-DC2FE4F95A5E}">
  <sheetPr>
    <tabColor rgb="FFC00000"/>
    <pageSetUpPr fitToPage="1"/>
  </sheetPr>
  <dimension ref="A1:BP39"/>
  <sheetViews>
    <sheetView zoomScaleNormal="100" workbookViewId="0">
      <selection activeCell="AB39" sqref="AB39"/>
    </sheetView>
  </sheetViews>
  <sheetFormatPr baseColWidth="10" defaultRowHeight="20.399999999999999" x14ac:dyDescent="0.35"/>
  <cols>
    <col min="1" max="11" width="2.1328125" customWidth="1"/>
    <col min="12" max="12" width="2.796875" customWidth="1"/>
    <col min="13" max="13" width="2.1328125" customWidth="1"/>
    <col min="14" max="14" width="2.33203125" customWidth="1"/>
    <col min="15" max="26" width="2.1328125" customWidth="1"/>
    <col min="27" max="27" width="10.46484375" customWidth="1"/>
    <col min="28" max="28" width="7.3984375" customWidth="1"/>
  </cols>
  <sheetData>
    <row r="1" spans="1:68" ht="7.2" customHeight="1" x14ac:dyDescent="0.35">
      <c r="A1" s="172"/>
      <c r="B1" s="172"/>
      <c r="C1" s="172"/>
      <c r="D1" s="172"/>
      <c r="E1" s="172"/>
      <c r="F1" s="172"/>
      <c r="G1" s="172"/>
      <c r="H1" s="172"/>
      <c r="I1" s="172"/>
      <c r="J1" s="172"/>
      <c r="K1" s="172"/>
      <c r="L1" s="172"/>
      <c r="M1" s="172"/>
      <c r="N1" s="172"/>
      <c r="O1" s="172"/>
      <c r="P1" s="172"/>
      <c r="Q1" s="172"/>
      <c r="R1" s="172"/>
      <c r="S1" s="172"/>
      <c r="T1" s="172"/>
      <c r="U1" s="172"/>
      <c r="V1" s="172"/>
      <c r="W1" s="172"/>
      <c r="X1" s="172"/>
      <c r="Y1" s="172"/>
      <c r="Z1" s="172"/>
      <c r="AA1" s="172"/>
      <c r="AB1" s="172"/>
    </row>
    <row r="2" spans="1:68" ht="21" x14ac:dyDescent="0.4">
      <c r="A2" s="277" t="s">
        <v>216</v>
      </c>
      <c r="B2" s="277"/>
      <c r="C2" s="277"/>
      <c r="D2" s="277"/>
      <c r="E2" s="277"/>
      <c r="F2" s="277"/>
      <c r="G2" s="277"/>
      <c r="H2" s="277"/>
      <c r="I2" s="277"/>
      <c r="J2" s="277"/>
      <c r="K2" s="277"/>
      <c r="L2" s="277"/>
      <c r="M2" s="277"/>
      <c r="N2" s="277"/>
      <c r="O2" s="277"/>
      <c r="P2" s="277"/>
      <c r="Q2" s="277"/>
      <c r="R2" s="277"/>
      <c r="S2" s="277"/>
      <c r="T2" s="277"/>
      <c r="U2" s="277"/>
      <c r="V2" s="277"/>
      <c r="W2" s="277"/>
      <c r="X2" s="277"/>
      <c r="Y2" s="277"/>
      <c r="Z2" s="277"/>
      <c r="AA2" s="277"/>
      <c r="AB2" s="277"/>
    </row>
    <row r="3" spans="1:68" ht="6.6" customHeight="1" x14ac:dyDescent="0.35">
      <c r="A3" s="172"/>
      <c r="B3" s="172"/>
      <c r="C3" s="172"/>
      <c r="D3" s="172"/>
      <c r="E3" s="172"/>
      <c r="F3" s="172"/>
      <c r="G3" s="172"/>
      <c r="H3" s="172"/>
      <c r="I3" s="172"/>
      <c r="J3" s="172"/>
      <c r="K3" s="172"/>
      <c r="L3" s="172"/>
      <c r="M3" s="172"/>
      <c r="N3" s="172"/>
      <c r="O3" s="172"/>
      <c r="P3" s="172"/>
      <c r="Q3" s="172"/>
      <c r="R3" s="172"/>
      <c r="S3" s="172"/>
      <c r="T3" s="172"/>
      <c r="U3" s="172"/>
      <c r="V3" s="172"/>
      <c r="W3" s="172"/>
      <c r="X3" s="172"/>
      <c r="Y3" s="172"/>
      <c r="Z3" s="172"/>
      <c r="AA3" s="172"/>
      <c r="AB3" s="172"/>
    </row>
    <row r="4" spans="1:68" ht="15.6" customHeight="1" x14ac:dyDescent="0.35">
      <c r="A4" s="278" t="s">
        <v>217</v>
      </c>
      <c r="B4" s="278"/>
      <c r="C4" s="278"/>
      <c r="D4" s="278"/>
      <c r="E4" s="278"/>
      <c r="F4" s="269" t="str">
        <f>CARÁTULA!C25</f>
        <v>Tec. Tecnologica Programacion Visual</v>
      </c>
      <c r="G4" s="269"/>
      <c r="H4" s="269"/>
      <c r="I4" s="269"/>
      <c r="J4" s="269"/>
      <c r="K4" s="269"/>
      <c r="L4" s="269"/>
      <c r="M4" s="269"/>
      <c r="N4" s="269"/>
      <c r="O4" s="279" t="s">
        <v>218</v>
      </c>
      <c r="P4" s="279"/>
      <c r="Q4" s="279"/>
      <c r="R4" s="280" t="str">
        <f>CARÁTULA!C23</f>
        <v>6to de Secundaria</v>
      </c>
      <c r="S4" s="281"/>
      <c r="T4" s="281"/>
      <c r="U4" s="281"/>
      <c r="V4" s="281"/>
      <c r="W4" s="281"/>
      <c r="X4" s="281"/>
      <c r="Y4" s="281"/>
      <c r="Z4" s="282"/>
      <c r="AA4" s="283" t="s">
        <v>219</v>
      </c>
      <c r="AB4" s="285" t="s">
        <v>254</v>
      </c>
    </row>
    <row r="5" spans="1:68" ht="17.7" customHeight="1" x14ac:dyDescent="0.35">
      <c r="A5" s="278" t="s">
        <v>220</v>
      </c>
      <c r="B5" s="278"/>
      <c r="C5" s="278"/>
      <c r="D5" s="278"/>
      <c r="E5" s="278"/>
      <c r="F5" s="286" t="s">
        <v>170</v>
      </c>
      <c r="G5" s="286"/>
      <c r="H5" s="286"/>
      <c r="I5" s="286"/>
      <c r="J5" s="286"/>
      <c r="K5" s="286"/>
      <c r="L5" s="286"/>
      <c r="M5" s="286"/>
      <c r="N5" s="286"/>
      <c r="O5" s="286"/>
      <c r="P5" s="286"/>
      <c r="Q5" s="286"/>
      <c r="R5" s="286"/>
      <c r="S5" s="286"/>
      <c r="T5" s="286"/>
      <c r="U5" s="286"/>
      <c r="V5" s="286"/>
      <c r="W5" s="286"/>
      <c r="X5" s="286"/>
      <c r="Y5" s="286"/>
      <c r="Z5" s="286"/>
      <c r="AA5" s="284"/>
      <c r="AB5" s="285"/>
    </row>
    <row r="6" spans="1:68" ht="18.600000000000001" customHeight="1" x14ac:dyDescent="0.35">
      <c r="A6" s="278" t="s">
        <v>221</v>
      </c>
      <c r="B6" s="278"/>
      <c r="C6" s="278"/>
      <c r="D6" s="278"/>
      <c r="E6" s="278"/>
      <c r="F6" s="287" t="s">
        <v>222</v>
      </c>
      <c r="G6" s="288"/>
      <c r="H6" s="288"/>
      <c r="I6" s="288"/>
      <c r="J6" s="288"/>
      <c r="K6" s="288"/>
      <c r="L6" s="288"/>
      <c r="M6" s="288"/>
      <c r="N6" s="288"/>
      <c r="O6" s="288"/>
      <c r="P6" s="288"/>
      <c r="Q6" s="288"/>
      <c r="R6" s="288"/>
      <c r="S6" s="288"/>
      <c r="T6" s="288"/>
      <c r="U6" s="288"/>
      <c r="V6" s="288"/>
      <c r="W6" s="288"/>
      <c r="X6" s="288"/>
      <c r="Y6" s="288"/>
      <c r="Z6" s="289"/>
      <c r="AA6" s="291"/>
      <c r="AB6" s="292"/>
    </row>
    <row r="7" spans="1:68" ht="6" customHeight="1" x14ac:dyDescent="0.35">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3"/>
    </row>
    <row r="8" spans="1:68" x14ac:dyDescent="0.35">
      <c r="A8" s="290" t="s">
        <v>223</v>
      </c>
      <c r="B8" s="290"/>
      <c r="C8" s="290"/>
      <c r="D8" s="290"/>
      <c r="E8" s="290"/>
      <c r="F8" s="290"/>
      <c r="G8" s="290"/>
      <c r="H8" s="290"/>
      <c r="I8" s="290"/>
      <c r="J8" s="290"/>
      <c r="K8" s="290"/>
      <c r="L8" s="290"/>
      <c r="M8" s="290"/>
      <c r="N8" s="290"/>
      <c r="O8" s="290"/>
      <c r="P8" s="290"/>
      <c r="Q8" s="290"/>
      <c r="R8" s="290"/>
      <c r="S8" s="290"/>
      <c r="T8" s="290"/>
      <c r="U8" s="290"/>
      <c r="V8" s="290"/>
      <c r="W8" s="290"/>
      <c r="X8" s="290"/>
      <c r="Y8" s="290"/>
      <c r="Z8" s="290"/>
      <c r="AA8" s="290"/>
      <c r="AB8" s="290"/>
    </row>
    <row r="9" spans="1:68" ht="1.5" customHeight="1" x14ac:dyDescent="0.35">
      <c r="A9" s="172"/>
      <c r="B9" s="172"/>
      <c r="C9" s="172"/>
      <c r="D9" s="172"/>
      <c r="E9" s="172"/>
      <c r="F9" s="172"/>
      <c r="G9" s="172"/>
      <c r="H9" s="172"/>
      <c r="I9" s="172"/>
      <c r="J9" s="172"/>
      <c r="K9" s="172"/>
      <c r="L9" s="172"/>
      <c r="M9" s="172"/>
      <c r="N9" s="172"/>
      <c r="O9" s="172"/>
      <c r="P9" s="172"/>
      <c r="Q9" s="172"/>
      <c r="R9" s="172"/>
      <c r="S9" s="172"/>
      <c r="T9" s="172"/>
      <c r="U9" s="172"/>
      <c r="V9" s="172"/>
      <c r="W9" s="172"/>
      <c r="X9" s="172"/>
      <c r="Y9" s="172"/>
      <c r="Z9" s="172"/>
      <c r="AA9" s="172"/>
      <c r="AB9" s="172"/>
    </row>
    <row r="10" spans="1:68" ht="73.8" x14ac:dyDescent="0.35">
      <c r="A10" s="172"/>
      <c r="B10" s="174" t="str">
        <f>Tabla2[[#Headers],[10/5/2021]]</f>
        <v>10/5/2021</v>
      </c>
      <c r="C10" s="174" t="str">
        <f>Tabla2[[#Headers],[12/5/2021]]</f>
        <v>12/5/2021</v>
      </c>
      <c r="D10" s="174" t="str">
        <f>Tabla2[[#Headers],[17/5/2021]]</f>
        <v>17/5/2021</v>
      </c>
      <c r="E10" s="174" t="str">
        <f>Tabla2[[#Headers],[19/5/2021]]</f>
        <v>19/5/2021</v>
      </c>
      <c r="F10" s="174" t="str">
        <f>Tabla2[[#Headers],[24/5/2021]]</f>
        <v>24/5/2021</v>
      </c>
      <c r="G10" s="174" t="str">
        <f>Tabla2[[#Headers],[26/5/2021]]</f>
        <v>26/5/2021</v>
      </c>
      <c r="H10" s="174" t="str">
        <f>Tabla2[[#Headers],[31/5/2021]]</f>
        <v>31/5/2021</v>
      </c>
      <c r="I10" s="174" t="str">
        <f>Tabla2[[#Headers],[28/6/2021]]</f>
        <v>28/6/2021</v>
      </c>
      <c r="J10" s="174" t="str">
        <f>Tabla2[[#Headers],[30/6/2021]]</f>
        <v>30/6/2021</v>
      </c>
      <c r="K10" s="174" t="str">
        <f>Tabla2[[#Headers],[5/7/2021]]</f>
        <v>5/7/2021</v>
      </c>
      <c r="L10" s="174" t="str">
        <f>Tabla2[[#Headers],[7/7/2021]]</f>
        <v>7/7/2021</v>
      </c>
      <c r="M10" s="174" t="str">
        <f>Tabla2[[#Headers],[12/7/2021]]</f>
        <v>12/7/2021</v>
      </c>
      <c r="N10" s="174" t="str">
        <f>Tabla2[[#Headers],[14/7/2021]]</f>
        <v>14/7/2021</v>
      </c>
      <c r="O10" s="174" t="str">
        <f>Tabla2[[#Headers],[19/7/2021]]</f>
        <v>19/7/2021</v>
      </c>
      <c r="P10" s="174" t="str">
        <f>Tabla2[[#Headers],[26/7/2021]]</f>
        <v>26/7/2021</v>
      </c>
      <c r="Q10" s="174" t="str">
        <f>Tabla2[[#Headers],[28/7/2021]]</f>
        <v>28/7/2021</v>
      </c>
      <c r="R10" s="174" t="str">
        <f>Tabla2[[#Headers],[2/8/2021]]</f>
        <v>2/8/2021</v>
      </c>
      <c r="S10" s="174" t="str">
        <f>Tabla2[[#Headers],[4/8/2021]]</f>
        <v>4/8/2021</v>
      </c>
      <c r="T10" s="174" t="str">
        <f>Tabla2[[#Headers],[9/8/2021]]</f>
        <v>9/8/2021</v>
      </c>
      <c r="U10" s="174" t="str">
        <f>Tabla2[[#Headers],[11/8/2021]]</f>
        <v>11/8/2021</v>
      </c>
      <c r="V10" s="174" t="str">
        <f>'[1]ASIS 2 TRIM'!BA7</f>
        <v>Asist. (A)</v>
      </c>
      <c r="W10" s="174" t="str">
        <f>'[1]ASIS 2 TRIM'!BB7</f>
        <v>Faltas (F)</v>
      </c>
      <c r="X10" s="174" t="str">
        <f>'[1]ASIS 2 TRIM'!BC7</f>
        <v>Retrasos (R)</v>
      </c>
      <c r="Y10" s="174" t="str">
        <f>'[1]ASIS 2 TRIM'!BD7</f>
        <v>Licencias (L)</v>
      </c>
      <c r="Z10" s="174" t="str">
        <f>'[1]ASIS 2 TRIM'!BE7</f>
        <v>DÍAS TRABAJADOS</v>
      </c>
      <c r="AA10" s="172"/>
      <c r="AB10" s="172"/>
    </row>
    <row r="11" spans="1:68" x14ac:dyDescent="0.35">
      <c r="A11" s="172"/>
      <c r="B11" s="175" t="str">
        <f>VLOOKUP($F$5,Tabla2[[NÓMINA DE ESTUDIANTES]:[DÍAS TRABAJADOS]],1+AE11,FALSE)</f>
        <v>f</v>
      </c>
      <c r="C11" s="175" t="str">
        <f>VLOOKUP($F$5,Tabla2[[NÓMINA DE ESTUDIANTES]:[DÍAS TRABAJADOS]],1+AF11,FALSE)</f>
        <v>f</v>
      </c>
      <c r="D11" s="175" t="str">
        <f>VLOOKUP($F$5,Tabla2[[NÓMINA DE ESTUDIANTES]:[DÍAS TRABAJADOS]],1+AG11,FALSE)</f>
        <v>f</v>
      </c>
      <c r="E11" s="175" t="str">
        <f>VLOOKUP($F$5,Tabla2[[NÓMINA DE ESTUDIANTES]:[DÍAS TRABAJADOS]],1+AH11,FALSE)</f>
        <v>f</v>
      </c>
      <c r="F11" s="175" t="str">
        <f>VLOOKUP($F$5,Tabla2[[NÓMINA DE ESTUDIANTES]:[DÍAS TRABAJADOS]],1+AI11,FALSE)</f>
        <v>f</v>
      </c>
      <c r="G11" s="175" t="str">
        <f>VLOOKUP($F$5,Tabla2[[NÓMINA DE ESTUDIANTES]:[DÍAS TRABAJADOS]],1+AJ11,FALSE)</f>
        <v>a</v>
      </c>
      <c r="H11" s="175" t="str">
        <f>VLOOKUP($F$5,Tabla2[[NÓMINA DE ESTUDIANTES]:[DÍAS TRABAJADOS]],1+AK11,FALSE)</f>
        <v>a</v>
      </c>
      <c r="I11" s="175" t="str">
        <f>VLOOKUP($F$5,Tabla2[[NÓMINA DE ESTUDIANTES]:[DÍAS TRABAJADOS]],1+AL11,FALSE)</f>
        <v>f</v>
      </c>
      <c r="J11" s="175" t="str">
        <f>VLOOKUP($F$5,Tabla2[[NÓMINA DE ESTUDIANTES]:[DÍAS TRABAJADOS]],1+AM11,FALSE)</f>
        <v>a</v>
      </c>
      <c r="K11" s="175" t="str">
        <f>VLOOKUP($F$5,Tabla2[[NÓMINA DE ESTUDIANTES]:[DÍAS TRABAJADOS]],1+AN11,FALSE)</f>
        <v>a</v>
      </c>
      <c r="L11" s="175" t="str">
        <f>VLOOKUP($F$5,Tabla2[[NÓMINA DE ESTUDIANTES]:[DÍAS TRABAJADOS]],1+AO11,FALSE)</f>
        <v>a</v>
      </c>
      <c r="M11" s="175" t="str">
        <f>VLOOKUP($F$5,Tabla2[[NÓMINA DE ESTUDIANTES]:[DÍAS TRABAJADOS]],1+AP11,FALSE)</f>
        <v>f</v>
      </c>
      <c r="N11" s="175" t="str">
        <f>VLOOKUP($F$5,Tabla2[[NÓMINA DE ESTUDIANTES]:[DÍAS TRABAJADOS]],1+AQ11,FALSE)</f>
        <v>f</v>
      </c>
      <c r="O11" s="175" t="str">
        <f>VLOOKUP($F$5,Tabla2[[NÓMINA DE ESTUDIANTES]:[DÍAS TRABAJADOS]],1+AR11,FALSE)</f>
        <v>a</v>
      </c>
      <c r="P11" s="175" t="str">
        <f>VLOOKUP($F$5,Tabla2[[NÓMINA DE ESTUDIANTES]:[DÍAS TRABAJADOS]],1+AS11,FALSE)</f>
        <v>f</v>
      </c>
      <c r="Q11" s="175" t="str">
        <f>VLOOKUP($F$5,Tabla2[[NÓMINA DE ESTUDIANTES]:[DÍAS TRABAJADOS]],1+AT11,FALSE)</f>
        <v>a</v>
      </c>
      <c r="R11" s="175" t="str">
        <f>VLOOKUP($F$5,Tabla2[[NÓMINA DE ESTUDIANTES]:[DÍAS TRABAJADOS]],1+AU11,FALSE)</f>
        <v>a</v>
      </c>
      <c r="S11" s="175" t="str">
        <f>VLOOKUP($F$5,Tabla2[[NÓMINA DE ESTUDIANTES]:[DÍAS TRABAJADOS]],1+AV11,FALSE)</f>
        <v>a</v>
      </c>
      <c r="T11" s="175" t="str">
        <f>VLOOKUP($F$5,Tabla2[[NÓMINA DE ESTUDIANTES]:[DÍAS TRABAJADOS]],1+AW11,FALSE)</f>
        <v>f</v>
      </c>
      <c r="U11" s="175" t="str">
        <f>VLOOKUP($F$5,Tabla2[[NÓMINA DE ESTUDIANTES]:[DÍAS TRABAJADOS]],1+AX11,FALSE)</f>
        <v>f</v>
      </c>
      <c r="V11" s="175">
        <f>VLOOKUP($F$5,Tabla2[[NÓMINA DE ESTUDIANTES]:[DÍAS TRABAJADOS]],51+AE11,FALSE)</f>
        <v>14</v>
      </c>
      <c r="W11" s="175">
        <f>VLOOKUP($F$5,Tabla2[[NÓMINA DE ESTUDIANTES]:[DÍAS TRABAJADOS]],51+AF11,FALSE)</f>
        <v>15</v>
      </c>
      <c r="X11" s="175" t="str">
        <f>VLOOKUP($F$5,Tabla2[[NÓMINA DE ESTUDIANTES]:[DÍAS TRABAJADOS]],51+AG11,FALSE)</f>
        <v>0</v>
      </c>
      <c r="Y11" s="175" t="str">
        <f>VLOOKUP($F$5,Tabla2[[NÓMINA DE ESTUDIANTES]:[DÍAS TRABAJADOS]],51+AH11,FALSE)</f>
        <v>0</v>
      </c>
      <c r="Z11" s="175">
        <f>VLOOKUP($F$5,Tabla2[[NÓMINA DE ESTUDIANTES]:[DÍAS TRABAJADOS]],51+AI11,FALSE)</f>
        <v>29</v>
      </c>
      <c r="AA11" s="172"/>
      <c r="AB11" s="172"/>
      <c r="AE11" s="176">
        <v>1</v>
      </c>
      <c r="AF11" s="176">
        <f>AE11+1</f>
        <v>2</v>
      </c>
      <c r="AG11" s="176">
        <f t="shared" ref="AG11:BP11" si="0">AF11+1</f>
        <v>3</v>
      </c>
      <c r="AH11" s="176">
        <f t="shared" si="0"/>
        <v>4</v>
      </c>
      <c r="AI11" s="176">
        <f t="shared" si="0"/>
        <v>5</v>
      </c>
      <c r="AJ11" s="176">
        <f t="shared" si="0"/>
        <v>6</v>
      </c>
      <c r="AK11" s="176">
        <f t="shared" si="0"/>
        <v>7</v>
      </c>
      <c r="AL11" s="176">
        <f t="shared" si="0"/>
        <v>8</v>
      </c>
      <c r="AM11" s="176">
        <f t="shared" si="0"/>
        <v>9</v>
      </c>
      <c r="AN11" s="176">
        <f t="shared" si="0"/>
        <v>10</v>
      </c>
      <c r="AO11" s="176">
        <f t="shared" si="0"/>
        <v>11</v>
      </c>
      <c r="AP11" s="176">
        <f t="shared" si="0"/>
        <v>12</v>
      </c>
      <c r="AQ11" s="176">
        <f t="shared" si="0"/>
        <v>13</v>
      </c>
      <c r="AR11" s="176">
        <f t="shared" si="0"/>
        <v>14</v>
      </c>
      <c r="AS11" s="176">
        <f t="shared" si="0"/>
        <v>15</v>
      </c>
      <c r="AT11" s="176">
        <f t="shared" si="0"/>
        <v>16</v>
      </c>
      <c r="AU11" s="176">
        <f t="shared" si="0"/>
        <v>17</v>
      </c>
      <c r="AV11" s="176">
        <f t="shared" si="0"/>
        <v>18</v>
      </c>
      <c r="AW11" s="176">
        <f t="shared" si="0"/>
        <v>19</v>
      </c>
      <c r="AX11" s="176">
        <f t="shared" si="0"/>
        <v>20</v>
      </c>
      <c r="AY11" s="176">
        <f t="shared" si="0"/>
        <v>21</v>
      </c>
      <c r="AZ11" s="176">
        <f t="shared" si="0"/>
        <v>22</v>
      </c>
      <c r="BA11" s="176">
        <f t="shared" si="0"/>
        <v>23</v>
      </c>
      <c r="BB11" s="176">
        <f t="shared" si="0"/>
        <v>24</v>
      </c>
      <c r="BC11" s="176">
        <f t="shared" si="0"/>
        <v>25</v>
      </c>
      <c r="BD11" s="176">
        <f t="shared" si="0"/>
        <v>26</v>
      </c>
      <c r="BE11" s="176">
        <f t="shared" si="0"/>
        <v>27</v>
      </c>
      <c r="BF11" s="176">
        <f t="shared" si="0"/>
        <v>28</v>
      </c>
      <c r="BG11" s="176">
        <f t="shared" si="0"/>
        <v>29</v>
      </c>
      <c r="BH11" s="176">
        <f t="shared" si="0"/>
        <v>30</v>
      </c>
      <c r="BI11" s="176">
        <f t="shared" si="0"/>
        <v>31</v>
      </c>
      <c r="BJ11" s="176">
        <f t="shared" si="0"/>
        <v>32</v>
      </c>
      <c r="BK11" s="176">
        <f t="shared" si="0"/>
        <v>33</v>
      </c>
      <c r="BL11" s="176">
        <f t="shared" si="0"/>
        <v>34</v>
      </c>
      <c r="BM11" s="176">
        <f t="shared" si="0"/>
        <v>35</v>
      </c>
      <c r="BN11" s="176">
        <f t="shared" si="0"/>
        <v>36</v>
      </c>
      <c r="BO11" s="176">
        <f t="shared" si="0"/>
        <v>37</v>
      </c>
      <c r="BP11" s="176">
        <f t="shared" si="0"/>
        <v>38</v>
      </c>
    </row>
    <row r="12" spans="1:68" ht="8.25" customHeight="1" x14ac:dyDescent="0.35">
      <c r="A12" s="172"/>
      <c r="B12" s="172"/>
      <c r="C12" s="172"/>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2"/>
      <c r="AB12" s="172"/>
    </row>
    <row r="13" spans="1:68" ht="15" customHeight="1" x14ac:dyDescent="0.35">
      <c r="A13" s="275" t="s">
        <v>224</v>
      </c>
      <c r="B13" s="275"/>
      <c r="C13" s="275"/>
      <c r="D13" s="275"/>
      <c r="E13" s="275"/>
      <c r="F13" s="275"/>
      <c r="G13" s="275"/>
      <c r="H13" s="275"/>
      <c r="I13" s="275"/>
      <c r="J13" s="275"/>
      <c r="K13" s="275"/>
      <c r="L13" s="275"/>
      <c r="M13" s="275"/>
      <c r="N13" s="275"/>
      <c r="O13" s="275"/>
      <c r="P13" s="275"/>
      <c r="Q13" s="275"/>
      <c r="R13" s="275"/>
      <c r="S13" s="275"/>
      <c r="T13" s="275"/>
      <c r="U13" s="275"/>
      <c r="V13" s="275"/>
      <c r="W13" s="275"/>
      <c r="X13" s="275"/>
      <c r="Y13" s="275"/>
      <c r="Z13" s="275"/>
      <c r="AA13" s="275"/>
      <c r="AB13" s="275"/>
    </row>
    <row r="14" spans="1:68" ht="15" customHeight="1" x14ac:dyDescent="0.35">
      <c r="A14" s="275" t="s">
        <v>225</v>
      </c>
      <c r="B14" s="275"/>
      <c r="C14" s="275"/>
      <c r="D14" s="275"/>
      <c r="E14" s="275"/>
      <c r="F14" s="275"/>
      <c r="G14" s="275"/>
      <c r="H14" s="275"/>
      <c r="I14" s="275" t="s">
        <v>226</v>
      </c>
      <c r="J14" s="275"/>
      <c r="K14" s="275" t="s">
        <v>227</v>
      </c>
      <c r="L14" s="275"/>
      <c r="M14" s="275"/>
      <c r="N14" s="275"/>
      <c r="O14" s="275"/>
      <c r="P14" s="275"/>
      <c r="Q14" s="275"/>
      <c r="R14" s="275"/>
      <c r="S14" s="275"/>
      <c r="T14" s="275"/>
      <c r="U14" s="275"/>
      <c r="V14" s="275"/>
      <c r="W14" s="275"/>
      <c r="X14" s="275"/>
      <c r="Y14" s="275"/>
      <c r="Z14" s="275"/>
      <c r="AA14" s="275"/>
      <c r="AB14" s="275"/>
    </row>
    <row r="15" spans="1:68" ht="15" customHeight="1" x14ac:dyDescent="0.35">
      <c r="A15" s="267" t="str">
        <f>'VAL 2 TRIM'!D$8</f>
        <v>24/5/2021 (Cuestionario)</v>
      </c>
      <c r="B15" s="268"/>
      <c r="C15" s="268"/>
      <c r="D15" s="268"/>
      <c r="E15" s="268"/>
      <c r="F15" s="268"/>
      <c r="G15" s="268"/>
      <c r="H15" s="268"/>
      <c r="I15" s="269">
        <f>VLOOKUP($F$5,'VAL 2 TRIM'!$B$9:$Z$32,3,FALSE)</f>
        <v>18</v>
      </c>
      <c r="J15" s="269"/>
      <c r="K15" s="272" t="s">
        <v>243</v>
      </c>
      <c r="L15" s="276"/>
      <c r="M15" s="276"/>
      <c r="N15" s="276"/>
      <c r="O15" s="276"/>
      <c r="P15" s="276"/>
      <c r="Q15" s="276"/>
      <c r="R15" s="276"/>
      <c r="S15" s="276"/>
      <c r="T15" s="276"/>
      <c r="U15" s="276"/>
      <c r="V15" s="276"/>
      <c r="W15" s="276"/>
      <c r="X15" s="276"/>
      <c r="Y15" s="276"/>
      <c r="Z15" s="276"/>
      <c r="AA15" s="276"/>
      <c r="AB15" s="276"/>
      <c r="AC15" s="177">
        <f>IF(I15=0,1,0)</f>
        <v>0</v>
      </c>
      <c r="AD15" s="178">
        <v>1</v>
      </c>
      <c r="AE15" s="178">
        <v>1</v>
      </c>
    </row>
    <row r="16" spans="1:68" ht="15" customHeight="1" x14ac:dyDescent="0.35">
      <c r="A16" s="267" t="str">
        <f>'VAL 2 TRIM'!E$8</f>
        <v>26/05/2021(Defensa Diseño de Interface)</v>
      </c>
      <c r="B16" s="268"/>
      <c r="C16" s="268"/>
      <c r="D16" s="268"/>
      <c r="E16" s="268"/>
      <c r="F16" s="268"/>
      <c r="G16" s="268"/>
      <c r="H16" s="268"/>
      <c r="I16" s="269">
        <f>VLOOKUP($F$5,'VAL 2 TRIM'!$B$9:$Z$32,4,FALSE)</f>
        <v>18</v>
      </c>
      <c r="J16" s="269"/>
      <c r="K16" s="272"/>
      <c r="L16" s="276"/>
      <c r="M16" s="276"/>
      <c r="N16" s="276"/>
      <c r="O16" s="276"/>
      <c r="P16" s="276"/>
      <c r="Q16" s="276"/>
      <c r="R16" s="276"/>
      <c r="S16" s="276"/>
      <c r="T16" s="276"/>
      <c r="U16" s="276"/>
      <c r="V16" s="276"/>
      <c r="W16" s="276"/>
      <c r="X16" s="276"/>
      <c r="Y16" s="276"/>
      <c r="Z16" s="276"/>
      <c r="AA16" s="276"/>
      <c r="AB16" s="276"/>
      <c r="AC16" s="177">
        <f>IF(I16=0,1,0)</f>
        <v>0</v>
      </c>
      <c r="AD16" s="178">
        <v>1</v>
      </c>
      <c r="AE16" s="178">
        <v>1</v>
      </c>
    </row>
    <row r="17" spans="1:31" ht="15" customHeight="1" x14ac:dyDescent="0.35">
      <c r="A17" s="267" t="str">
        <f>'VAL 2 TRIM'!F$8</f>
        <v>28/06/2021(Repaso)</v>
      </c>
      <c r="B17" s="268"/>
      <c r="C17" s="268"/>
      <c r="D17" s="268"/>
      <c r="E17" s="268"/>
      <c r="F17" s="268"/>
      <c r="G17" s="268"/>
      <c r="H17" s="268"/>
      <c r="I17" s="269">
        <f>VLOOKUP($F$5,'VAL 2 TRIM'!$B$9:$Z$32,5,FALSE)</f>
        <v>18</v>
      </c>
      <c r="J17" s="269"/>
      <c r="K17" s="272" t="s">
        <v>244</v>
      </c>
      <c r="L17" s="270"/>
      <c r="M17" s="270"/>
      <c r="N17" s="270"/>
      <c r="O17" s="270"/>
      <c r="P17" s="270"/>
      <c r="Q17" s="270"/>
      <c r="R17" s="270"/>
      <c r="S17" s="270"/>
      <c r="T17" s="270"/>
      <c r="U17" s="270"/>
      <c r="V17" s="270"/>
      <c r="W17" s="270"/>
      <c r="X17" s="270"/>
      <c r="Y17" s="270"/>
      <c r="Z17" s="270"/>
      <c r="AA17" s="270"/>
      <c r="AB17" s="270"/>
      <c r="AC17" s="177">
        <f>IF(I17=0,1,0)</f>
        <v>0</v>
      </c>
      <c r="AD17" s="178">
        <v>1</v>
      </c>
      <c r="AE17" s="179"/>
    </row>
    <row r="18" spans="1:31" ht="15" customHeight="1" x14ac:dyDescent="0.35">
      <c r="A18" s="267" t="str">
        <f>'VAL 2 TRIM'!G$8</f>
        <v>9/08/2021(Cuestionario BD)</v>
      </c>
      <c r="B18" s="268"/>
      <c r="C18" s="268"/>
      <c r="D18" s="268"/>
      <c r="E18" s="268"/>
      <c r="F18" s="268"/>
      <c r="G18" s="268"/>
      <c r="H18" s="268"/>
      <c r="I18" s="269">
        <f>VLOOKUP($F$5,'VAL 2 TRIM'!$B$9:$Z$32,6,FALSE)</f>
        <v>18</v>
      </c>
      <c r="J18" s="269"/>
      <c r="K18" s="272" t="s">
        <v>245</v>
      </c>
      <c r="L18" s="270"/>
      <c r="M18" s="270"/>
      <c r="N18" s="270"/>
      <c r="O18" s="270"/>
      <c r="P18" s="270"/>
      <c r="Q18" s="270"/>
      <c r="R18" s="270"/>
      <c r="S18" s="270"/>
      <c r="T18" s="270"/>
      <c r="U18" s="270"/>
      <c r="V18" s="270"/>
      <c r="W18" s="270"/>
      <c r="X18" s="270"/>
      <c r="Y18" s="270"/>
      <c r="Z18" s="270"/>
      <c r="AA18" s="270"/>
      <c r="AB18" s="270"/>
      <c r="AC18" s="177">
        <f>IF(I18=0,1,0)</f>
        <v>0</v>
      </c>
      <c r="AD18" s="178">
        <v>1</v>
      </c>
      <c r="AE18" s="179"/>
    </row>
    <row r="19" spans="1:31" s="159" customFormat="1" ht="15" customHeight="1" x14ac:dyDescent="0.35">
      <c r="A19" s="267" t="str">
        <f>'VAL 2 TRIM'!H$8</f>
        <v>12/08/2021(Disertacion Programa tres en raya)</v>
      </c>
      <c r="B19" s="268"/>
      <c r="C19" s="268"/>
      <c r="D19" s="268"/>
      <c r="E19" s="268"/>
      <c r="F19" s="268"/>
      <c r="G19" s="268"/>
      <c r="H19" s="268"/>
      <c r="I19" s="269">
        <f>VLOOKUP($F$5,'VAL 2 TRIM'!$B$9:$Z$32,7,FALSE)</f>
        <v>30</v>
      </c>
      <c r="J19" s="269"/>
      <c r="K19" s="270"/>
      <c r="L19" s="270"/>
      <c r="M19" s="270"/>
      <c r="N19" s="270"/>
      <c r="O19" s="270"/>
      <c r="P19" s="270"/>
      <c r="Q19" s="270"/>
      <c r="R19" s="270"/>
      <c r="S19" s="270"/>
      <c r="T19" s="270"/>
      <c r="U19" s="270"/>
      <c r="V19" s="270"/>
      <c r="W19" s="270"/>
      <c r="X19" s="270"/>
      <c r="Y19" s="270"/>
      <c r="Z19" s="270"/>
      <c r="AA19" s="270"/>
      <c r="AB19" s="270"/>
      <c r="AC19" s="177">
        <f>IF(I19=0,1,0)</f>
        <v>0</v>
      </c>
      <c r="AD19" s="178">
        <v>1</v>
      </c>
      <c r="AE19" s="179"/>
    </row>
    <row r="20" spans="1:31" ht="15" customHeight="1" x14ac:dyDescent="0.35">
      <c r="A20" s="273" t="s">
        <v>79</v>
      </c>
      <c r="B20" s="271"/>
      <c r="C20" s="271"/>
      <c r="D20" s="271"/>
      <c r="E20" s="271"/>
      <c r="F20" s="271"/>
      <c r="G20" s="271"/>
      <c r="H20" s="271"/>
      <c r="I20" s="274">
        <f>SUM(I15:J19)/5</f>
        <v>20.399999999999999</v>
      </c>
      <c r="J20" s="274"/>
      <c r="K20" s="269"/>
      <c r="L20" s="269"/>
      <c r="M20" s="269"/>
      <c r="N20" s="269"/>
      <c r="O20" s="269"/>
      <c r="P20" s="269"/>
      <c r="Q20" s="269"/>
      <c r="R20" s="269"/>
      <c r="S20" s="269"/>
      <c r="T20" s="269"/>
      <c r="U20" s="269"/>
      <c r="V20" s="269"/>
      <c r="W20" s="269"/>
      <c r="X20" s="269"/>
      <c r="Y20" s="269"/>
      <c r="Z20" s="269"/>
      <c r="AA20" s="269"/>
      <c r="AB20" s="269"/>
      <c r="AC20" s="177">
        <f>SUM(AC15:AC19)</f>
        <v>0</v>
      </c>
      <c r="AD20" s="179"/>
      <c r="AE20" s="179"/>
    </row>
    <row r="21" spans="1:31" ht="4.2" customHeight="1" x14ac:dyDescent="0.35">
      <c r="A21" s="172"/>
      <c r="B21" s="172"/>
      <c r="C21" s="172"/>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2"/>
    </row>
    <row r="22" spans="1:31" ht="15" customHeight="1" x14ac:dyDescent="0.35">
      <c r="A22" s="275" t="s">
        <v>228</v>
      </c>
      <c r="B22" s="275"/>
      <c r="C22" s="275"/>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row>
    <row r="23" spans="1:31" ht="15" customHeight="1" x14ac:dyDescent="0.35">
      <c r="A23" s="275" t="s">
        <v>225</v>
      </c>
      <c r="B23" s="275"/>
      <c r="C23" s="275"/>
      <c r="D23" s="275"/>
      <c r="E23" s="275"/>
      <c r="F23" s="275"/>
      <c r="G23" s="275"/>
      <c r="H23" s="275"/>
      <c r="I23" s="275" t="s">
        <v>226</v>
      </c>
      <c r="J23" s="275"/>
      <c r="K23" s="275" t="s">
        <v>227</v>
      </c>
      <c r="L23" s="275"/>
      <c r="M23" s="275"/>
      <c r="N23" s="275"/>
      <c r="O23" s="275"/>
      <c r="P23" s="275"/>
      <c r="Q23" s="275"/>
      <c r="R23" s="275"/>
      <c r="S23" s="275"/>
      <c r="T23" s="275"/>
      <c r="U23" s="275"/>
      <c r="V23" s="275"/>
      <c r="W23" s="275"/>
      <c r="X23" s="275"/>
      <c r="Y23" s="275"/>
      <c r="Z23" s="275"/>
      <c r="AA23" s="275"/>
      <c r="AB23" s="275"/>
    </row>
    <row r="24" spans="1:31" ht="15" customHeight="1" x14ac:dyDescent="0.35">
      <c r="A24" s="271" t="str">
        <f>'VAL 2 TRIM'!P$8</f>
        <v>24/05/2021 (Logica de Funcionamiento de juegos)</v>
      </c>
      <c r="B24" s="271"/>
      <c r="C24" s="271"/>
      <c r="D24" s="271"/>
      <c r="E24" s="271"/>
      <c r="F24" s="271"/>
      <c r="G24" s="271"/>
      <c r="H24" s="271"/>
      <c r="I24" s="269">
        <f>VLOOKUP($F$5,'VAL 2 TRIM'!$B$9:$Z$32,15,FALSE)</f>
        <v>10</v>
      </c>
      <c r="J24" s="269"/>
      <c r="K24" s="272" t="s">
        <v>246</v>
      </c>
      <c r="L24" s="276"/>
      <c r="M24" s="276"/>
      <c r="N24" s="276"/>
      <c r="O24" s="276"/>
      <c r="P24" s="276"/>
      <c r="Q24" s="276"/>
      <c r="R24" s="276"/>
      <c r="S24" s="276"/>
      <c r="T24" s="276"/>
      <c r="U24" s="276"/>
      <c r="V24" s="276"/>
      <c r="W24" s="276"/>
      <c r="X24" s="276"/>
      <c r="Y24" s="276"/>
      <c r="Z24" s="276"/>
      <c r="AA24" s="276"/>
      <c r="AB24" s="276"/>
      <c r="AC24" s="177">
        <f>IF(I24=0,1,0)</f>
        <v>0</v>
      </c>
      <c r="AD24" s="179">
        <v>1</v>
      </c>
      <c r="AE24" s="179">
        <v>1</v>
      </c>
    </row>
    <row r="25" spans="1:31" ht="15" customHeight="1" x14ac:dyDescent="0.35">
      <c r="A25" s="271" t="str">
        <f>'VAL 2 TRIM'!Q$8</f>
        <v>26/05/2021(Diseño de Interface)</v>
      </c>
      <c r="B25" s="271"/>
      <c r="C25" s="271"/>
      <c r="D25" s="271"/>
      <c r="E25" s="271"/>
      <c r="F25" s="271"/>
      <c r="G25" s="271"/>
      <c r="H25" s="271"/>
      <c r="I25" s="269">
        <f>VLOOKUP($F$5,'VAL 2 TRIM'!$B$9:$Z$32,16,FALSE)</f>
        <v>10</v>
      </c>
      <c r="J25" s="269"/>
      <c r="K25" s="272" t="s">
        <v>247</v>
      </c>
      <c r="L25" s="276"/>
      <c r="M25" s="276"/>
      <c r="N25" s="276"/>
      <c r="O25" s="276"/>
      <c r="P25" s="276"/>
      <c r="Q25" s="276"/>
      <c r="R25" s="276"/>
      <c r="S25" s="276"/>
      <c r="T25" s="276"/>
      <c r="U25" s="276"/>
      <c r="V25" s="276"/>
      <c r="W25" s="276"/>
      <c r="X25" s="276"/>
      <c r="Y25" s="276"/>
      <c r="Z25" s="276"/>
      <c r="AA25" s="276"/>
      <c r="AB25" s="276"/>
      <c r="AC25" s="177">
        <f t="shared" ref="AC25:AC32" si="1">IF(I25=0,1,0)</f>
        <v>0</v>
      </c>
      <c r="AD25" s="179">
        <v>1</v>
      </c>
      <c r="AE25" s="179">
        <v>1</v>
      </c>
    </row>
    <row r="26" spans="1:31" ht="15" customHeight="1" x14ac:dyDescent="0.35">
      <c r="A26" s="271" t="str">
        <f>'VAL 2 TRIM'!R$8</f>
        <v>05/07/2021(Imágenes Juego Ahorcado)</v>
      </c>
      <c r="B26" s="271"/>
      <c r="C26" s="271"/>
      <c r="D26" s="271"/>
      <c r="E26" s="271"/>
      <c r="F26" s="271"/>
      <c r="G26" s="271"/>
      <c r="H26" s="271"/>
      <c r="I26" s="269">
        <f>VLOOKUP($F$5,'VAL 2 TRIM'!$B$9:$Z$32,17,FALSE)</f>
        <v>10</v>
      </c>
      <c r="J26" s="269"/>
      <c r="K26" s="272" t="s">
        <v>248</v>
      </c>
      <c r="L26" s="276"/>
      <c r="M26" s="276"/>
      <c r="N26" s="276"/>
      <c r="O26" s="276"/>
      <c r="P26" s="276"/>
      <c r="Q26" s="276"/>
      <c r="R26" s="276"/>
      <c r="S26" s="276"/>
      <c r="T26" s="276"/>
      <c r="U26" s="276"/>
      <c r="V26" s="276"/>
      <c r="W26" s="276"/>
      <c r="X26" s="276"/>
      <c r="Y26" s="276"/>
      <c r="Z26" s="276"/>
      <c r="AA26" s="276"/>
      <c r="AB26" s="276"/>
      <c r="AC26" s="177">
        <f t="shared" si="1"/>
        <v>0</v>
      </c>
      <c r="AD26" s="177">
        <v>1</v>
      </c>
      <c r="AE26" s="179">
        <v>1</v>
      </c>
    </row>
    <row r="27" spans="1:31" ht="15" customHeight="1" x14ac:dyDescent="0.35">
      <c r="A27" s="293" t="str">
        <f>'VAL 2 TRIM'!S$8</f>
        <v>07/07/2021(Diseño de Botones)</v>
      </c>
      <c r="B27" s="271"/>
      <c r="C27" s="271"/>
      <c r="D27" s="271"/>
      <c r="E27" s="271"/>
      <c r="F27" s="271"/>
      <c r="G27" s="271"/>
      <c r="H27" s="271"/>
      <c r="I27" s="269">
        <f>VLOOKUP($F$5,'VAL 2 TRIM'!$B$9:$Z$32,18,FALSE)</f>
        <v>10</v>
      </c>
      <c r="J27" s="269"/>
      <c r="K27" s="272" t="s">
        <v>249</v>
      </c>
      <c r="L27" s="270"/>
      <c r="M27" s="270"/>
      <c r="N27" s="270"/>
      <c r="O27" s="270"/>
      <c r="P27" s="270"/>
      <c r="Q27" s="270"/>
      <c r="R27" s="270"/>
      <c r="S27" s="270"/>
      <c r="T27" s="270"/>
      <c r="U27" s="270"/>
      <c r="V27" s="270"/>
      <c r="W27" s="270"/>
      <c r="X27" s="270"/>
      <c r="Y27" s="270"/>
      <c r="Z27" s="270"/>
      <c r="AA27" s="270"/>
      <c r="AB27" s="270"/>
      <c r="AC27" s="177">
        <f t="shared" si="1"/>
        <v>0</v>
      </c>
      <c r="AD27" s="177">
        <v>1</v>
      </c>
      <c r="AE27" s="179"/>
    </row>
    <row r="28" spans="1:31" ht="15" customHeight="1" x14ac:dyDescent="0.35">
      <c r="A28" s="271" t="str">
        <f>'VAL 2 TRIM'!T$8</f>
        <v>14/07/2021(Diagrama de Flujo)</v>
      </c>
      <c r="B28" s="271"/>
      <c r="C28" s="271"/>
      <c r="D28" s="271"/>
      <c r="E28" s="271"/>
      <c r="F28" s="271"/>
      <c r="G28" s="271"/>
      <c r="H28" s="271"/>
      <c r="I28" s="269">
        <f>VLOOKUP($F$5,'VAL 2 TRIM'!$B$9:$Z$32,19,FALSE)</f>
        <v>10</v>
      </c>
      <c r="J28" s="269"/>
      <c r="K28" s="272" t="s">
        <v>250</v>
      </c>
      <c r="L28" s="270"/>
      <c r="M28" s="270"/>
      <c r="N28" s="270"/>
      <c r="O28" s="270"/>
      <c r="P28" s="270"/>
      <c r="Q28" s="270"/>
      <c r="R28" s="270"/>
      <c r="S28" s="270"/>
      <c r="T28" s="270"/>
      <c r="U28" s="270"/>
      <c r="V28" s="270"/>
      <c r="W28" s="270"/>
      <c r="X28" s="270"/>
      <c r="Y28" s="270"/>
      <c r="Z28" s="270"/>
      <c r="AA28" s="270"/>
      <c r="AB28" s="270"/>
      <c r="AC28" s="177">
        <f t="shared" si="1"/>
        <v>0</v>
      </c>
      <c r="AD28" s="180">
        <v>1</v>
      </c>
      <c r="AE28" s="181">
        <f>SUM(AE15:AE26)</f>
        <v>5</v>
      </c>
    </row>
    <row r="29" spans="1:31" s="159" customFormat="1" ht="15" customHeight="1" x14ac:dyDescent="0.35">
      <c r="A29" s="271" t="str">
        <f>'VAL 2 TRIM'!U$8</f>
        <v>19/07/2021(Funcion)</v>
      </c>
      <c r="B29" s="271"/>
      <c r="C29" s="271"/>
      <c r="D29" s="271"/>
      <c r="E29" s="271"/>
      <c r="F29" s="271"/>
      <c r="G29" s="271"/>
      <c r="H29" s="271"/>
      <c r="I29" s="269">
        <f>VLOOKUP($F$5,'VAL 2 TRIM'!$B$9:$Z$32,20,FALSE)</f>
        <v>17</v>
      </c>
      <c r="J29" s="269"/>
      <c r="K29" s="272" t="s">
        <v>251</v>
      </c>
      <c r="L29" s="270"/>
      <c r="M29" s="270"/>
      <c r="N29" s="270"/>
      <c r="O29" s="270"/>
      <c r="P29" s="270"/>
      <c r="Q29" s="270"/>
      <c r="R29" s="270"/>
      <c r="S29" s="270"/>
      <c r="T29" s="270"/>
      <c r="U29" s="270"/>
      <c r="V29" s="270"/>
      <c r="W29" s="270"/>
      <c r="X29" s="270"/>
      <c r="Y29" s="270"/>
      <c r="Z29" s="270"/>
      <c r="AA29" s="270"/>
      <c r="AB29" s="270"/>
      <c r="AC29" s="177">
        <f t="shared" si="1"/>
        <v>0</v>
      </c>
      <c r="AD29" s="177">
        <v>1</v>
      </c>
      <c r="AE29" s="179"/>
    </row>
    <row r="30" spans="1:31" s="159" customFormat="1" ht="15" customHeight="1" x14ac:dyDescent="0.35">
      <c r="A30" s="271" t="str">
        <f>'VAL 2 TRIM'!V$8</f>
        <v>28/07/2021(Base de datos Access)</v>
      </c>
      <c r="B30" s="271"/>
      <c r="C30" s="271"/>
      <c r="D30" s="271"/>
      <c r="E30" s="271"/>
      <c r="F30" s="271"/>
      <c r="G30" s="271"/>
      <c r="H30" s="271"/>
      <c r="I30" s="269">
        <f>VLOOKUP($F$5,'VAL 2 TRIM'!$B$9:$Z$32,21,FALSE)</f>
        <v>17</v>
      </c>
      <c r="J30" s="269"/>
      <c r="K30" s="272" t="s">
        <v>252</v>
      </c>
      <c r="L30" s="270"/>
      <c r="M30" s="270"/>
      <c r="N30" s="270"/>
      <c r="O30" s="270"/>
      <c r="P30" s="270"/>
      <c r="Q30" s="270"/>
      <c r="R30" s="270"/>
      <c r="S30" s="270"/>
      <c r="T30" s="270"/>
      <c r="U30" s="270"/>
      <c r="V30" s="270"/>
      <c r="W30" s="270"/>
      <c r="X30" s="270"/>
      <c r="Y30" s="270"/>
      <c r="Z30" s="270"/>
      <c r="AA30" s="270"/>
      <c r="AB30" s="270"/>
      <c r="AC30" s="177">
        <f t="shared" si="1"/>
        <v>0</v>
      </c>
      <c r="AD30" s="177">
        <v>1</v>
      </c>
      <c r="AE30" s="182"/>
    </row>
    <row r="31" spans="1:31" s="159" customFormat="1" ht="15" customHeight="1" x14ac:dyDescent="0.35">
      <c r="A31" s="271" t="str">
        <f>'VAL 2 TRIM'!W$8</f>
        <v>09/08/2021(CRUD)</v>
      </c>
      <c r="B31" s="271"/>
      <c r="C31" s="271"/>
      <c r="D31" s="271"/>
      <c r="E31" s="271"/>
      <c r="F31" s="271"/>
      <c r="G31" s="271"/>
      <c r="H31" s="271"/>
      <c r="I31" s="269">
        <f>VLOOKUP($F$5,'VAL 2 TRIM'!$B$9:$Z$32,22,FALSE)</f>
        <v>15</v>
      </c>
      <c r="J31" s="269"/>
      <c r="K31" s="272" t="s">
        <v>253</v>
      </c>
      <c r="L31" s="270"/>
      <c r="M31" s="270"/>
      <c r="N31" s="270"/>
      <c r="O31" s="270"/>
      <c r="P31" s="270"/>
      <c r="Q31" s="270"/>
      <c r="R31" s="270"/>
      <c r="S31" s="270"/>
      <c r="T31" s="270"/>
      <c r="U31" s="270"/>
      <c r="V31" s="270"/>
      <c r="W31" s="270"/>
      <c r="X31" s="270"/>
      <c r="Y31" s="270"/>
      <c r="Z31" s="270"/>
      <c r="AA31" s="270"/>
      <c r="AB31" s="270"/>
      <c r="AC31" s="177">
        <f t="shared" si="1"/>
        <v>0</v>
      </c>
      <c r="AD31" s="177">
        <v>1</v>
      </c>
      <c r="AE31" s="182"/>
    </row>
    <row r="32" spans="1:31" ht="15" customHeight="1" x14ac:dyDescent="0.35">
      <c r="A32" s="271" t="str">
        <f>'VAL 2 TRIM'!X$8</f>
        <v>12/08/2021 (Trabajo 3 en Raya)</v>
      </c>
      <c r="B32" s="271"/>
      <c r="C32" s="271"/>
      <c r="D32" s="271"/>
      <c r="E32" s="271"/>
      <c r="F32" s="271"/>
      <c r="G32" s="271"/>
      <c r="H32" s="271"/>
      <c r="I32" s="269">
        <f>VLOOKUP($F$5,'VAL 2 TRIM'!$B$9:$Z$32,23,FALSE)</f>
        <v>25</v>
      </c>
      <c r="J32" s="269"/>
      <c r="K32" s="297"/>
      <c r="L32" s="298"/>
      <c r="M32" s="298"/>
      <c r="N32" s="298"/>
      <c r="O32" s="298"/>
      <c r="P32" s="298"/>
      <c r="Q32" s="298"/>
      <c r="R32" s="298"/>
      <c r="S32" s="298"/>
      <c r="T32" s="298"/>
      <c r="U32" s="298"/>
      <c r="V32" s="298"/>
      <c r="W32" s="298"/>
      <c r="X32" s="298"/>
      <c r="Y32" s="298"/>
      <c r="Z32" s="298"/>
      <c r="AA32" s="298"/>
      <c r="AB32" s="298"/>
      <c r="AC32" s="177">
        <f t="shared" si="1"/>
        <v>0</v>
      </c>
      <c r="AD32" s="177">
        <v>1</v>
      </c>
      <c r="AE32" s="182"/>
    </row>
    <row r="33" spans="1:31" ht="15" customHeight="1" x14ac:dyDescent="0.35">
      <c r="A33" s="273" t="s">
        <v>79</v>
      </c>
      <c r="B33" s="271"/>
      <c r="C33" s="271"/>
      <c r="D33" s="271"/>
      <c r="E33" s="271"/>
      <c r="F33" s="271"/>
      <c r="G33" s="271"/>
      <c r="H33" s="271"/>
      <c r="I33" s="274">
        <f>SUM(I24:J32)/9</f>
        <v>13.777777777777779</v>
      </c>
      <c r="J33" s="274"/>
      <c r="K33" s="294"/>
      <c r="L33" s="294"/>
      <c r="M33" s="294"/>
      <c r="N33" s="294"/>
      <c r="O33" s="294"/>
      <c r="P33" s="294"/>
      <c r="Q33" s="294"/>
      <c r="R33" s="294"/>
      <c r="S33" s="294"/>
      <c r="T33" s="294"/>
      <c r="U33" s="294"/>
      <c r="V33" s="294"/>
      <c r="W33" s="294"/>
      <c r="X33" s="294"/>
      <c r="Y33" s="294"/>
      <c r="Z33" s="294"/>
      <c r="AA33" s="294"/>
      <c r="AB33" s="294"/>
      <c r="AC33" s="183">
        <f>SUM(AC24:AC32)</f>
        <v>0</v>
      </c>
      <c r="AD33" s="188">
        <f>SUM(AD15:AD32)</f>
        <v>14</v>
      </c>
      <c r="AE33" s="182"/>
    </row>
    <row r="34" spans="1:31" x14ac:dyDescent="0.35">
      <c r="A34" s="295" t="str">
        <f>IF(AC34&gt;0,CONCATENATE("Observaciones:El estudiante  ",F5,"  durante el segundo trimestre tuvo ",V11," Asistencias, ",W11," Faltas, ",X11," Retrasos, ",Y11," Licencias,  Total de Dias Trabajados ",Z11,", En relacion a las practicas",IF(AC34&gt;0,CONCATENATE(" No presentó ",AC34," Practicas"),"Presentó todo")," de las ",AD33,"  tareas (El estudiante puede presentar practicas por una ponderacion de 20 puntos)"),"Observaciones: Ninguna")</f>
        <v>Observaciones: Ninguna</v>
      </c>
      <c r="B34" s="295"/>
      <c r="C34" s="295"/>
      <c r="D34" s="295"/>
      <c r="E34" s="295"/>
      <c r="F34" s="295"/>
      <c r="G34" s="295"/>
      <c r="H34" s="295"/>
      <c r="I34" s="295"/>
      <c r="J34" s="295"/>
      <c r="K34" s="295"/>
      <c r="L34" s="295"/>
      <c r="M34" s="295"/>
      <c r="N34" s="295"/>
      <c r="O34" s="295"/>
      <c r="P34" s="295"/>
      <c r="Q34" s="295"/>
      <c r="R34" s="295"/>
      <c r="S34" s="295"/>
      <c r="T34" s="295"/>
      <c r="U34" s="295"/>
      <c r="V34" s="295"/>
      <c r="W34" s="295"/>
      <c r="X34" s="295"/>
      <c r="Y34" s="295"/>
      <c r="Z34" s="295"/>
      <c r="AA34" s="295"/>
      <c r="AB34" s="295"/>
      <c r="AC34" s="177">
        <f>AC20+AC33</f>
        <v>0</v>
      </c>
    </row>
    <row r="35" spans="1:31" x14ac:dyDescent="0.35">
      <c r="A35" s="296"/>
      <c r="B35" s="296"/>
      <c r="C35" s="296"/>
      <c r="D35" s="296"/>
      <c r="E35" s="296"/>
      <c r="F35" s="296"/>
      <c r="G35" s="296"/>
      <c r="H35" s="296"/>
      <c r="I35" s="296"/>
      <c r="J35" s="296"/>
      <c r="K35" s="296"/>
      <c r="L35" s="296"/>
      <c r="M35" s="296"/>
      <c r="N35" s="296"/>
      <c r="O35" s="296"/>
      <c r="P35" s="296"/>
      <c r="Q35" s="296"/>
      <c r="R35" s="296"/>
      <c r="S35" s="296"/>
      <c r="T35" s="296"/>
      <c r="U35" s="296"/>
      <c r="V35" s="296"/>
      <c r="W35" s="296"/>
      <c r="X35" s="296"/>
      <c r="Y35" s="296"/>
      <c r="Z35" s="296"/>
      <c r="AA35" s="296"/>
      <c r="AB35" s="296"/>
    </row>
    <row r="36" spans="1:31" x14ac:dyDescent="0.35">
      <c r="A36" s="172"/>
      <c r="B36" s="172"/>
      <c r="C36" s="172"/>
      <c r="D36" s="172"/>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2"/>
    </row>
    <row r="37" spans="1:31" x14ac:dyDescent="0.35">
      <c r="A37" s="172"/>
      <c r="B37" s="172"/>
      <c r="C37" s="172"/>
      <c r="D37" s="172"/>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2"/>
    </row>
    <row r="38" spans="1:31" x14ac:dyDescent="0.35">
      <c r="A38" s="172"/>
      <c r="B38" s="172"/>
      <c r="C38" s="172"/>
      <c r="D38" s="172"/>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2"/>
    </row>
    <row r="39" spans="1:31" x14ac:dyDescent="0.35">
      <c r="A39" s="172"/>
      <c r="B39" s="172"/>
      <c r="C39" s="172"/>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row>
  </sheetData>
  <mergeCells count="70">
    <mergeCell ref="A34:AB35"/>
    <mergeCell ref="A28:H28"/>
    <mergeCell ref="I28:J28"/>
    <mergeCell ref="K28:AB28"/>
    <mergeCell ref="A32:H32"/>
    <mergeCell ref="I32:J32"/>
    <mergeCell ref="K32:AB32"/>
    <mergeCell ref="A30:H30"/>
    <mergeCell ref="I30:J30"/>
    <mergeCell ref="K30:AB30"/>
    <mergeCell ref="A31:H31"/>
    <mergeCell ref="I31:J31"/>
    <mergeCell ref="K31:AB31"/>
    <mergeCell ref="A27:H27"/>
    <mergeCell ref="I27:J27"/>
    <mergeCell ref="K27:AB27"/>
    <mergeCell ref="A33:H33"/>
    <mergeCell ref="I33:J33"/>
    <mergeCell ref="K33:AB33"/>
    <mergeCell ref="A25:H25"/>
    <mergeCell ref="I25:J25"/>
    <mergeCell ref="K25:AB25"/>
    <mergeCell ref="A26:H26"/>
    <mergeCell ref="I26:J26"/>
    <mergeCell ref="K26:AB26"/>
    <mergeCell ref="A17:H17"/>
    <mergeCell ref="I17:J17"/>
    <mergeCell ref="K17:AB17"/>
    <mergeCell ref="A18:H18"/>
    <mergeCell ref="I18:J18"/>
    <mergeCell ref="K18:AB18"/>
    <mergeCell ref="A15:H15"/>
    <mergeCell ref="I15:J15"/>
    <mergeCell ref="K15:AB15"/>
    <mergeCell ref="A16:H16"/>
    <mergeCell ref="I16:J16"/>
    <mergeCell ref="K16:AB16"/>
    <mergeCell ref="A6:E6"/>
    <mergeCell ref="F6:Z6"/>
    <mergeCell ref="A8:AB8"/>
    <mergeCell ref="A13:AB13"/>
    <mergeCell ref="A14:H14"/>
    <mergeCell ref="I14:J14"/>
    <mergeCell ref="K14:AB14"/>
    <mergeCell ref="AA6:AB6"/>
    <mergeCell ref="A2:AB2"/>
    <mergeCell ref="A4:E4"/>
    <mergeCell ref="F4:N4"/>
    <mergeCell ref="O4:Q4"/>
    <mergeCell ref="R4:Z4"/>
    <mergeCell ref="AA4:AA5"/>
    <mergeCell ref="AB4:AB5"/>
    <mergeCell ref="A5:E5"/>
    <mergeCell ref="F5:Z5"/>
    <mergeCell ref="A19:H19"/>
    <mergeCell ref="I19:J19"/>
    <mergeCell ref="K19:AB19"/>
    <mergeCell ref="A29:H29"/>
    <mergeCell ref="I29:J29"/>
    <mergeCell ref="K29:AB29"/>
    <mergeCell ref="A20:H20"/>
    <mergeCell ref="I20:J20"/>
    <mergeCell ref="K20:AB20"/>
    <mergeCell ref="A22:AB22"/>
    <mergeCell ref="A23:H23"/>
    <mergeCell ref="I23:J23"/>
    <mergeCell ref="K23:AB23"/>
    <mergeCell ref="A24:H24"/>
    <mergeCell ref="I24:J24"/>
    <mergeCell ref="K24:AB24"/>
  </mergeCells>
  <hyperlinks>
    <hyperlink ref="K15" r:id="rId1" xr:uid="{1E712F07-E716-4479-8499-0AB609575100}"/>
    <hyperlink ref="K17" r:id="rId2" xr:uid="{B4DF9C02-5CAA-4EFC-981C-F5066B52D18E}"/>
    <hyperlink ref="K18" r:id="rId3" xr:uid="{19FD7E0B-6FFC-47AA-8C94-CD0A5904A464}"/>
    <hyperlink ref="K24" r:id="rId4" xr:uid="{E6B31439-F283-4E0E-8633-71C71F3031E0}"/>
    <hyperlink ref="K25" r:id="rId5" xr:uid="{DBEF01F0-BF6C-459A-8285-3C01BD95D64F}"/>
    <hyperlink ref="K26" r:id="rId6" xr:uid="{5641170D-A95B-4F77-9777-0BC89D027D35}"/>
    <hyperlink ref="K27" r:id="rId7" xr:uid="{4FCF198F-84C7-48D5-B7D1-80A5958496D3}"/>
    <hyperlink ref="K28" r:id="rId8" xr:uid="{CBB60202-E60C-411F-9CFC-A5DFFC378E05}"/>
    <hyperlink ref="K29" r:id="rId9" xr:uid="{9D5023F1-1E56-4446-AA52-8D674013C93E}"/>
    <hyperlink ref="K30" r:id="rId10" xr:uid="{202617A6-7CAB-4E32-A636-84695399EA35}"/>
    <hyperlink ref="K31" r:id="rId11" xr:uid="{83E67457-F57B-4EE7-AB24-DF6CABD948FD}"/>
  </hyperlinks>
  <pageMargins left="1.4173228346456694" right="0.23622047244094491" top="0.74803149606299213" bottom="0.74803149606299213" header="0" footer="0"/>
  <pageSetup scale="15" orientation="landscape" r:id="rId12"/>
  <drawing r:id="rId13"/>
  <extLst>
    <ext xmlns:x14="http://schemas.microsoft.com/office/spreadsheetml/2009/9/main" uri="{CCE6A557-97BC-4b89-ADB6-D9C93CAAB3DF}">
      <x14:dataValidations xmlns:xm="http://schemas.microsoft.com/office/excel/2006/main" count="1">
        <x14:dataValidation type="list" allowBlank="1" showInputMessage="1" showErrorMessage="1" xr:uid="{8CAFB3B1-1E87-4B6E-928F-AFA58D18C5ED}">
          <x14:formula1>
            <xm:f>'C. FILIACION'!$B$8:$B$26</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J1000"/>
  <sheetViews>
    <sheetView topLeftCell="A4" workbookViewId="0">
      <selection activeCell="T17" sqref="T17"/>
    </sheetView>
  </sheetViews>
  <sheetFormatPr baseColWidth="10" defaultColWidth="9.1328125" defaultRowHeight="15" customHeight="1" x14ac:dyDescent="0.35"/>
  <cols>
    <col min="1" max="1" width="1.6640625" customWidth="1"/>
    <col min="2" max="2" width="20.6640625" customWidth="1"/>
    <col min="3" max="52" width="1.1328125" customWidth="1"/>
    <col min="53" max="57" width="1.3984375" customWidth="1"/>
    <col min="58" max="61" width="1.6640625" customWidth="1"/>
  </cols>
  <sheetData>
    <row r="1" spans="1:62" ht="4.5" customHeight="1" x14ac:dyDescent="0.35"/>
    <row r="2" spans="1:62" ht="12.75" customHeight="1" x14ac:dyDescent="0.35">
      <c r="B2" s="252" t="s">
        <v>69</v>
      </c>
      <c r="C2" s="248"/>
      <c r="D2" s="248"/>
      <c r="E2" s="248"/>
      <c r="F2" s="248"/>
      <c r="G2" s="248"/>
      <c r="H2" s="248"/>
      <c r="I2" s="248"/>
      <c r="J2" s="248"/>
      <c r="K2" s="248"/>
      <c r="L2" s="248"/>
      <c r="M2" s="248"/>
      <c r="N2" s="248"/>
      <c r="O2" s="248"/>
      <c r="P2" s="248"/>
      <c r="Q2" s="248"/>
      <c r="R2" s="248"/>
      <c r="S2" s="248"/>
      <c r="T2" s="248"/>
      <c r="U2" s="248"/>
      <c r="V2" s="248"/>
      <c r="W2" s="248"/>
      <c r="X2" s="248"/>
      <c r="Y2" s="248"/>
      <c r="Z2" s="248"/>
      <c r="AA2" s="248"/>
      <c r="AB2" s="248"/>
      <c r="AC2" s="248"/>
      <c r="AD2" s="248"/>
      <c r="AE2" s="248"/>
      <c r="AF2" s="248"/>
      <c r="AG2" s="248"/>
      <c r="AH2" s="248"/>
      <c r="AI2" s="248"/>
      <c r="AJ2" s="248"/>
      <c r="AK2" s="248"/>
      <c r="AL2" s="248"/>
      <c r="AM2" s="248"/>
      <c r="AN2" s="248"/>
      <c r="AO2" s="248"/>
      <c r="AP2" s="248"/>
      <c r="AQ2" s="248"/>
      <c r="AR2" s="248"/>
      <c r="AS2" s="248"/>
      <c r="AT2" s="248"/>
      <c r="AU2" s="248"/>
      <c r="AV2" s="248"/>
      <c r="AW2" s="248"/>
      <c r="AX2" s="248"/>
      <c r="AY2" s="248"/>
      <c r="AZ2" s="248"/>
      <c r="BA2" s="248"/>
      <c r="BB2" s="248"/>
      <c r="BC2" s="248"/>
      <c r="BD2" s="248"/>
      <c r="BE2" s="248"/>
      <c r="BF2" s="248"/>
      <c r="BG2" s="248"/>
      <c r="BH2" s="248"/>
      <c r="BI2" s="248"/>
    </row>
    <row r="3" spans="1:62"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53">
        <f>CARÁTULA!$H$24</f>
        <v>44440</v>
      </c>
      <c r="AU3" s="248"/>
      <c r="AV3" s="248"/>
      <c r="AW3" s="248"/>
      <c r="AX3" s="248"/>
      <c r="AY3" s="248"/>
      <c r="AZ3" s="248"/>
      <c r="BA3" s="299"/>
      <c r="BB3" s="248"/>
      <c r="BC3" s="248"/>
      <c r="BD3" s="248"/>
      <c r="BE3" s="248"/>
    </row>
    <row r="4" spans="1:62"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t="str">
        <f>CARÁTULA!$C$19</f>
        <v>JOSÉ COAQUIRA COPA</v>
      </c>
      <c r="Y4" s="40"/>
      <c r="Z4" s="40"/>
      <c r="AA4" s="40"/>
      <c r="AB4" s="40"/>
      <c r="AC4" s="40"/>
      <c r="AD4" s="40"/>
      <c r="AE4" s="40"/>
      <c r="AF4" s="40"/>
      <c r="AG4" s="40"/>
      <c r="AH4" s="40"/>
      <c r="AI4" s="40"/>
      <c r="AJ4" s="40"/>
      <c r="AK4" s="42" t="s">
        <v>53</v>
      </c>
      <c r="AL4" s="40"/>
      <c r="AM4" s="40"/>
      <c r="AN4" s="40"/>
      <c r="AO4" s="40"/>
      <c r="AP4" s="40"/>
      <c r="AQ4" s="40"/>
      <c r="AR4" s="40"/>
      <c r="AS4" s="40"/>
      <c r="AT4" s="253">
        <f>CARÁTULA!$J$24</f>
        <v>44531</v>
      </c>
      <c r="AU4" s="248"/>
      <c r="AV4" s="248"/>
      <c r="AW4" s="248"/>
      <c r="AX4" s="248"/>
      <c r="AY4" s="248"/>
      <c r="AZ4" s="248"/>
      <c r="BA4" s="300">
        <f ca="1">AT4-AT5</f>
        <v>-12</v>
      </c>
      <c r="BB4" s="258"/>
      <c r="BC4" s="258"/>
      <c r="BD4" s="258"/>
      <c r="BE4" s="259"/>
    </row>
    <row r="5" spans="1:62" ht="12.75" customHeight="1" x14ac:dyDescent="0.35">
      <c r="B5" s="38" t="s">
        <v>22</v>
      </c>
      <c r="C5" s="39" t="str">
        <f>CARÁTULA!$C$23</f>
        <v>6to de Secundaria</v>
      </c>
      <c r="D5" s="40"/>
      <c r="E5" s="40"/>
      <c r="F5" s="40"/>
      <c r="G5" s="40"/>
      <c r="H5" s="40"/>
      <c r="I5" s="40"/>
      <c r="J5" s="40"/>
      <c r="K5" s="40"/>
      <c r="L5" s="40"/>
      <c r="M5" s="40"/>
      <c r="N5" s="40"/>
      <c r="O5" s="38"/>
      <c r="P5" s="38"/>
      <c r="Q5" s="38"/>
      <c r="R5" s="38"/>
      <c r="S5" s="43" t="s">
        <v>23</v>
      </c>
      <c r="T5" s="44"/>
      <c r="U5" s="44"/>
      <c r="V5" s="44"/>
      <c r="W5" s="44"/>
      <c r="X5" s="266">
        <f ca="1">TODAY()</f>
        <v>44543</v>
      </c>
      <c r="Y5" s="248"/>
      <c r="Z5" s="248"/>
      <c r="AA5" s="248"/>
      <c r="AB5" s="248"/>
      <c r="AC5" s="248"/>
      <c r="AD5" s="40"/>
      <c r="AE5" s="40"/>
      <c r="AF5" s="40"/>
      <c r="AG5" s="40"/>
      <c r="AH5" s="40"/>
      <c r="AI5" s="40"/>
      <c r="AJ5" s="40"/>
      <c r="AK5" s="45" t="s">
        <v>54</v>
      </c>
      <c r="AL5" s="46"/>
      <c r="AM5" s="46"/>
      <c r="AN5" s="46"/>
      <c r="AO5" s="46"/>
      <c r="AP5" s="46"/>
      <c r="AQ5" s="46"/>
      <c r="AR5" s="40"/>
      <c r="AS5" s="40"/>
      <c r="AT5" s="264">
        <f ca="1">TODAY()</f>
        <v>44543</v>
      </c>
      <c r="AU5" s="248"/>
      <c r="AV5" s="248"/>
      <c r="AW5" s="248"/>
      <c r="AX5" s="248"/>
      <c r="AY5" s="248"/>
      <c r="AZ5" s="248"/>
      <c r="BA5" s="260"/>
      <c r="BB5" s="261"/>
      <c r="BC5" s="261"/>
      <c r="BD5" s="261"/>
      <c r="BE5" s="262"/>
    </row>
    <row r="6" spans="1:62"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2" ht="67.5" customHeight="1" x14ac:dyDescent="0.35">
      <c r="A7" s="48" t="s">
        <v>55</v>
      </c>
      <c r="B7" s="49" t="s">
        <v>56</v>
      </c>
      <c r="C7" s="50">
        <v>44459</v>
      </c>
      <c r="D7" s="50">
        <v>44461</v>
      </c>
      <c r="E7" s="50">
        <v>44466</v>
      </c>
      <c r="F7" s="50">
        <v>44468</v>
      </c>
      <c r="G7" s="50" t="s">
        <v>269</v>
      </c>
      <c r="H7" s="50">
        <v>44475</v>
      </c>
      <c r="I7" s="50">
        <v>44480</v>
      </c>
      <c r="J7" s="50">
        <v>44482</v>
      </c>
      <c r="K7" s="50">
        <v>44487</v>
      </c>
      <c r="L7" s="50">
        <v>44489</v>
      </c>
      <c r="M7" s="50">
        <v>44494</v>
      </c>
      <c r="N7" s="50">
        <v>44496</v>
      </c>
      <c r="O7" s="50">
        <v>44501</v>
      </c>
      <c r="P7" s="50">
        <v>44503</v>
      </c>
      <c r="Q7" s="50">
        <v>44508</v>
      </c>
      <c r="R7" s="50">
        <v>44510</v>
      </c>
      <c r="S7" s="50">
        <v>44515</v>
      </c>
      <c r="T7" s="50">
        <v>44517</v>
      </c>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70</v>
      </c>
      <c r="BB7" s="57" t="s">
        <v>71</v>
      </c>
      <c r="BC7" s="57" t="s">
        <v>72</v>
      </c>
      <c r="BD7" s="57" t="s">
        <v>73</v>
      </c>
      <c r="BE7" s="58" t="s">
        <v>61</v>
      </c>
    </row>
    <row r="8" spans="1:62" ht="12" customHeight="1" x14ac:dyDescent="0.35">
      <c r="A8" s="59">
        <v>1</v>
      </c>
      <c r="B8" s="60" t="str">
        <f>'C. FILIACION'!B8</f>
        <v>ALTAMIRANO RAMOS ESTEFANI MILENKA</v>
      </c>
      <c r="C8" s="48" t="s">
        <v>62</v>
      </c>
      <c r="D8" s="48" t="s">
        <v>62</v>
      </c>
      <c r="E8" s="48" t="s">
        <v>62</v>
      </c>
      <c r="F8" s="48" t="s">
        <v>62</v>
      </c>
      <c r="G8" s="48" t="s">
        <v>173</v>
      </c>
      <c r="H8" s="48" t="s">
        <v>62</v>
      </c>
      <c r="I8" s="48" t="s">
        <v>62</v>
      </c>
      <c r="J8" s="48" t="s">
        <v>62</v>
      </c>
      <c r="K8" s="48" t="s">
        <v>62</v>
      </c>
      <c r="L8" s="48" t="s">
        <v>62</v>
      </c>
      <c r="M8" s="48" t="s">
        <v>62</v>
      </c>
      <c r="N8" s="48" t="s">
        <v>62</v>
      </c>
      <c r="O8" s="48"/>
      <c r="P8" s="48" t="s">
        <v>63</v>
      </c>
      <c r="Q8" s="48" t="s">
        <v>62</v>
      </c>
      <c r="R8" s="48" t="s">
        <v>62</v>
      </c>
      <c r="S8" s="48" t="s">
        <v>62</v>
      </c>
      <c r="T8" s="48" t="s">
        <v>62</v>
      </c>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IF(COUNTIF(C8:AZ8,"A")=0,"0",COUNTIF(C8:AZ8,"A"))</f>
        <v>15</v>
      </c>
      <c r="BB8" s="48">
        <f>IF(COUNTIF(C8:AZ8,"F")=0,"0",COUNTIF(C8:AZ8,"F"))</f>
        <v>1</v>
      </c>
      <c r="BC8" s="48" t="str">
        <f>IF(COUNTIF(C8:AZ8,"R")=0,"0",COUNTIF(C8:AZ8,"R"))</f>
        <v>0</v>
      </c>
      <c r="BD8" s="48">
        <f>IF(COUNTIF(C8:AZ8,"L")=0,"0",COUNTIF(C8:AZ8,"L"))</f>
        <v>1</v>
      </c>
      <c r="BE8" s="65">
        <f>SUM(BA8:BD8)</f>
        <v>17</v>
      </c>
      <c r="BJ8" s="211">
        <f>(BA8+BC8+BD8)*10/BE8</f>
        <v>9.4117647058823533</v>
      </c>
    </row>
    <row r="9" spans="1:62" ht="12" customHeight="1" x14ac:dyDescent="0.35">
      <c r="A9" s="59">
        <v>2</v>
      </c>
      <c r="B9" s="60" t="str">
        <f>'C. FILIACION'!B9</f>
        <v>APAZA LINO TATIANA JAZMIN</v>
      </c>
      <c r="C9" s="48" t="s">
        <v>62</v>
      </c>
      <c r="D9" s="48" t="s">
        <v>62</v>
      </c>
      <c r="E9" s="48" t="s">
        <v>62</v>
      </c>
      <c r="F9" s="48" t="s">
        <v>62</v>
      </c>
      <c r="G9" s="48" t="s">
        <v>173</v>
      </c>
      <c r="H9" s="48" t="s">
        <v>62</v>
      </c>
      <c r="I9" s="48" t="s">
        <v>62</v>
      </c>
      <c r="J9" s="48" t="s">
        <v>62</v>
      </c>
      <c r="K9" s="48" t="s">
        <v>62</v>
      </c>
      <c r="L9" s="48" t="s">
        <v>62</v>
      </c>
      <c r="M9" s="48" t="s">
        <v>62</v>
      </c>
      <c r="N9" s="48" t="s">
        <v>62</v>
      </c>
      <c r="O9" s="48"/>
      <c r="P9" s="48" t="s">
        <v>62</v>
      </c>
      <c r="Q9" s="48" t="s">
        <v>62</v>
      </c>
      <c r="R9" s="48" t="s">
        <v>62</v>
      </c>
      <c r="S9" s="48" t="s">
        <v>62</v>
      </c>
      <c r="T9" s="48" t="s">
        <v>62</v>
      </c>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ref="BA9:BA26" si="0">IF(COUNTIF(C9:AZ9,"A")=0,"0",COUNTIF(C9:AZ9,"A"))</f>
        <v>16</v>
      </c>
      <c r="BB9" s="61" t="str">
        <f t="shared" ref="BB9:BB26" si="1">IF(COUNTIF(C9:AZ9,"F")=0,"0",COUNTIF(C9:AZ9,"F"))</f>
        <v>0</v>
      </c>
      <c r="BC9" s="61" t="str">
        <f t="shared" ref="BC9:BC26" si="2">IF(COUNTIF(C9:AZ9,"R")=0,"0",COUNTIF(C9:AZ9,"R"))</f>
        <v>0</v>
      </c>
      <c r="BD9" s="61">
        <f t="shared" ref="BD9:BD26" si="3">IF(COUNTIF(C9:AZ9,"L")=0,"0",COUNTIF(C9:AZ9,"L"))</f>
        <v>1</v>
      </c>
      <c r="BE9" s="65">
        <f t="shared" ref="BE9:BE26" si="4">SUM(BA9:BD9)</f>
        <v>17</v>
      </c>
      <c r="BJ9" s="211">
        <f t="shared" ref="BJ9:BJ26" si="5">(BA9+BC9+BD9)*10/BE9</f>
        <v>10</v>
      </c>
    </row>
    <row r="10" spans="1:62" ht="12" customHeight="1" x14ac:dyDescent="0.35">
      <c r="A10" s="59">
        <v>3</v>
      </c>
      <c r="B10" s="60" t="str">
        <f>'C. FILIACION'!B10</f>
        <v>BOLAÑOS OVANDO MIJHAIL ALEXANDER</v>
      </c>
      <c r="C10" s="48" t="s">
        <v>62</v>
      </c>
      <c r="D10" s="48" t="s">
        <v>63</v>
      </c>
      <c r="E10" s="48" t="s">
        <v>62</v>
      </c>
      <c r="F10" s="48" t="s">
        <v>172</v>
      </c>
      <c r="G10" s="48" t="s">
        <v>173</v>
      </c>
      <c r="H10" s="48" t="s">
        <v>62</v>
      </c>
      <c r="I10" s="48" t="s">
        <v>172</v>
      </c>
      <c r="J10" s="48" t="s">
        <v>62</v>
      </c>
      <c r="K10" s="48" t="s">
        <v>62</v>
      </c>
      <c r="L10" s="48" t="s">
        <v>172</v>
      </c>
      <c r="M10" s="48" t="s">
        <v>172</v>
      </c>
      <c r="N10" s="48" t="s">
        <v>62</v>
      </c>
      <c r="O10" s="48"/>
      <c r="P10" s="48" t="s">
        <v>62</v>
      </c>
      <c r="Q10" s="48" t="s">
        <v>172</v>
      </c>
      <c r="R10" s="48" t="s">
        <v>62</v>
      </c>
      <c r="S10" s="48" t="s">
        <v>63</v>
      </c>
      <c r="T10" s="48" t="s">
        <v>172</v>
      </c>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8</v>
      </c>
      <c r="BB10" s="61">
        <f t="shared" si="1"/>
        <v>2</v>
      </c>
      <c r="BC10" s="61">
        <f t="shared" si="2"/>
        <v>6</v>
      </c>
      <c r="BD10" s="61">
        <f t="shared" si="3"/>
        <v>1</v>
      </c>
      <c r="BE10" s="65">
        <f t="shared" si="4"/>
        <v>17</v>
      </c>
      <c r="BJ10" s="211">
        <f t="shared" si="5"/>
        <v>8.8235294117647065</v>
      </c>
    </row>
    <row r="11" spans="1:62" ht="12" customHeight="1" x14ac:dyDescent="0.35">
      <c r="A11" s="59">
        <v>4</v>
      </c>
      <c r="B11" s="189" t="str">
        <f>'C. FILIACION'!B11</f>
        <v>BRICHER ETHELBERT ISMAEL</v>
      </c>
      <c r="C11" s="155" t="s">
        <v>63</v>
      </c>
      <c r="D11" s="155"/>
      <c r="E11" s="155"/>
      <c r="F11" s="155"/>
      <c r="G11" s="155"/>
      <c r="H11" s="155"/>
      <c r="I11" s="155"/>
      <c r="J11" s="155"/>
      <c r="K11" s="155"/>
      <c r="L11" s="155"/>
      <c r="M11" s="155"/>
      <c r="N11" s="155"/>
      <c r="O11" s="155"/>
      <c r="P11" s="155"/>
      <c r="Q11" s="155"/>
      <c r="R11" s="155"/>
      <c r="S11" s="155"/>
      <c r="T11" s="155"/>
      <c r="U11" s="155"/>
      <c r="V11" s="155"/>
      <c r="W11" s="155"/>
      <c r="X11" s="155"/>
      <c r="Y11" s="155"/>
      <c r="Z11" s="155"/>
      <c r="AA11" s="155"/>
      <c r="AB11" s="155"/>
      <c r="AC11" s="155"/>
      <c r="AD11" s="155"/>
      <c r="AE11" s="155"/>
      <c r="AF11" s="155"/>
      <c r="AG11" s="155"/>
      <c r="AH11" s="155"/>
      <c r="AI11" s="155"/>
      <c r="AJ11" s="155"/>
      <c r="AK11" s="155"/>
      <c r="AL11" s="155"/>
      <c r="AM11" s="155"/>
      <c r="AN11" s="155"/>
      <c r="AO11" s="155"/>
      <c r="AP11" s="155"/>
      <c r="AQ11" s="155"/>
      <c r="AR11" s="155"/>
      <c r="AS11" s="155"/>
      <c r="AT11" s="155"/>
      <c r="AU11" s="155"/>
      <c r="AV11" s="155"/>
      <c r="AW11" s="155"/>
      <c r="AX11" s="155"/>
      <c r="AY11" s="155"/>
      <c r="AZ11" s="201"/>
      <c r="BA11" s="208" t="str">
        <f t="shared" si="0"/>
        <v>0</v>
      </c>
      <c r="BB11" s="155">
        <f t="shared" si="1"/>
        <v>1</v>
      </c>
      <c r="BC11" s="155" t="str">
        <f t="shared" si="2"/>
        <v>0</v>
      </c>
      <c r="BD11" s="155" t="str">
        <f t="shared" si="3"/>
        <v>0</v>
      </c>
      <c r="BE11" s="65">
        <f t="shared" si="4"/>
        <v>1</v>
      </c>
      <c r="BF11" s="209"/>
      <c r="BG11" s="209"/>
      <c r="BJ11" s="211">
        <f t="shared" si="5"/>
        <v>0</v>
      </c>
    </row>
    <row r="12" spans="1:62" ht="12" customHeight="1" x14ac:dyDescent="0.35">
      <c r="A12" s="59">
        <v>5</v>
      </c>
      <c r="B12" s="60" t="str">
        <f>'C. FILIACION'!B12</f>
        <v>CANAVIRI QUISBERT ALEJANDRA ELENA</v>
      </c>
      <c r="C12" s="48" t="s">
        <v>63</v>
      </c>
      <c r="D12" s="48" t="s">
        <v>62</v>
      </c>
      <c r="E12" s="48" t="s">
        <v>63</v>
      </c>
      <c r="F12" s="48" t="s">
        <v>62</v>
      </c>
      <c r="G12" s="48" t="s">
        <v>62</v>
      </c>
      <c r="H12" s="48" t="s">
        <v>62</v>
      </c>
      <c r="I12" s="48" t="s">
        <v>63</v>
      </c>
      <c r="J12" s="48" t="s">
        <v>62</v>
      </c>
      <c r="K12" s="48" t="s">
        <v>62</v>
      </c>
      <c r="L12" s="48" t="s">
        <v>62</v>
      </c>
      <c r="M12" s="48" t="s">
        <v>62</v>
      </c>
      <c r="N12" s="48" t="s">
        <v>62</v>
      </c>
      <c r="O12" s="48"/>
      <c r="P12" s="48" t="s">
        <v>63</v>
      </c>
      <c r="Q12" s="48" t="s">
        <v>62</v>
      </c>
      <c r="R12" s="48" t="s">
        <v>62</v>
      </c>
      <c r="S12" s="48" t="s">
        <v>62</v>
      </c>
      <c r="T12" s="48" t="s">
        <v>62</v>
      </c>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13</v>
      </c>
      <c r="BB12" s="61">
        <f t="shared" si="1"/>
        <v>4</v>
      </c>
      <c r="BC12" s="61" t="str">
        <f t="shared" si="2"/>
        <v>0</v>
      </c>
      <c r="BD12" s="61" t="str">
        <f t="shared" si="3"/>
        <v>0</v>
      </c>
      <c r="BE12" s="65">
        <f t="shared" si="4"/>
        <v>17</v>
      </c>
      <c r="BJ12" s="211">
        <f t="shared" si="5"/>
        <v>7.6470588235294121</v>
      </c>
    </row>
    <row r="13" spans="1:62" ht="12" customHeight="1" x14ac:dyDescent="0.35">
      <c r="A13" s="59">
        <v>6</v>
      </c>
      <c r="B13" s="60" t="str">
        <f>'C. FILIACION'!B13</f>
        <v>GOMEZ BELTRAN ALBERT NORMAN</v>
      </c>
      <c r="C13" s="48" t="s">
        <v>62</v>
      </c>
      <c r="D13" s="48" t="s">
        <v>62</v>
      </c>
      <c r="E13" s="48" t="s">
        <v>62</v>
      </c>
      <c r="F13" s="48" t="s">
        <v>62</v>
      </c>
      <c r="G13" s="48" t="s">
        <v>173</v>
      </c>
      <c r="H13" s="48" t="s">
        <v>62</v>
      </c>
      <c r="I13" s="48" t="s">
        <v>62</v>
      </c>
      <c r="J13" s="48" t="s">
        <v>62</v>
      </c>
      <c r="K13" s="48" t="s">
        <v>62</v>
      </c>
      <c r="L13" s="48" t="s">
        <v>62</v>
      </c>
      <c r="M13" s="48" t="s">
        <v>62</v>
      </c>
      <c r="N13" s="48" t="s">
        <v>62</v>
      </c>
      <c r="O13" s="48"/>
      <c r="P13" s="48" t="s">
        <v>172</v>
      </c>
      <c r="Q13" s="48" t="s">
        <v>62</v>
      </c>
      <c r="R13" s="48" t="s">
        <v>62</v>
      </c>
      <c r="S13" s="48" t="s">
        <v>62</v>
      </c>
      <c r="T13" s="48" t="s">
        <v>62</v>
      </c>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15</v>
      </c>
      <c r="BB13" s="61" t="str">
        <f t="shared" si="1"/>
        <v>0</v>
      </c>
      <c r="BC13" s="61">
        <f t="shared" si="2"/>
        <v>1</v>
      </c>
      <c r="BD13" s="61">
        <f t="shared" si="3"/>
        <v>1</v>
      </c>
      <c r="BE13" s="65">
        <f t="shared" si="4"/>
        <v>17</v>
      </c>
      <c r="BJ13" s="211">
        <f t="shared" si="5"/>
        <v>10</v>
      </c>
    </row>
    <row r="14" spans="1:62" ht="12" customHeight="1" x14ac:dyDescent="0.35">
      <c r="A14" s="59">
        <v>7</v>
      </c>
      <c r="B14" s="60" t="str">
        <f>'C. FILIACION'!B14</f>
        <v>GOMEZ COSME MELANY KARINA</v>
      </c>
      <c r="C14" s="48" t="s">
        <v>62</v>
      </c>
      <c r="D14" s="48" t="s">
        <v>63</v>
      </c>
      <c r="E14" s="48" t="s">
        <v>63</v>
      </c>
      <c r="F14" s="48" t="s">
        <v>62</v>
      </c>
      <c r="G14" s="48" t="s">
        <v>173</v>
      </c>
      <c r="H14" s="48" t="s">
        <v>63</v>
      </c>
      <c r="I14" s="48" t="s">
        <v>62</v>
      </c>
      <c r="J14" s="48" t="s">
        <v>62</v>
      </c>
      <c r="K14" s="48" t="s">
        <v>62</v>
      </c>
      <c r="L14" s="48" t="s">
        <v>62</v>
      </c>
      <c r="M14" s="48" t="s">
        <v>62</v>
      </c>
      <c r="N14" s="48" t="s">
        <v>63</v>
      </c>
      <c r="O14" s="48"/>
      <c r="P14" s="48" t="s">
        <v>63</v>
      </c>
      <c r="Q14" s="48" t="s">
        <v>62</v>
      </c>
      <c r="R14" s="48" t="s">
        <v>172</v>
      </c>
      <c r="S14" s="48" t="s">
        <v>62</v>
      </c>
      <c r="T14" s="48" t="s">
        <v>62</v>
      </c>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10</v>
      </c>
      <c r="BB14" s="61">
        <f t="shared" si="1"/>
        <v>5</v>
      </c>
      <c r="BC14" s="61">
        <f t="shared" si="2"/>
        <v>1</v>
      </c>
      <c r="BD14" s="61">
        <f t="shared" si="3"/>
        <v>1</v>
      </c>
      <c r="BE14" s="65">
        <f t="shared" si="4"/>
        <v>17</v>
      </c>
      <c r="BJ14" s="211">
        <f t="shared" si="5"/>
        <v>7.0588235294117645</v>
      </c>
    </row>
    <row r="15" spans="1:62" ht="12" customHeight="1" x14ac:dyDescent="0.35">
      <c r="A15" s="59">
        <v>8</v>
      </c>
      <c r="B15" s="60" t="str">
        <f>'C. FILIACION'!B15</f>
        <v>GONZALES ZUAZO KALEB RAMSES</v>
      </c>
      <c r="C15" s="48" t="s">
        <v>62</v>
      </c>
      <c r="D15" s="48" t="s">
        <v>62</v>
      </c>
      <c r="E15" s="48" t="s">
        <v>62</v>
      </c>
      <c r="F15" s="48" t="s">
        <v>62</v>
      </c>
      <c r="G15" s="48" t="s">
        <v>62</v>
      </c>
      <c r="H15" s="48" t="s">
        <v>62</v>
      </c>
      <c r="I15" s="48" t="s">
        <v>62</v>
      </c>
      <c r="J15" s="48" t="s">
        <v>62</v>
      </c>
      <c r="K15" s="48" t="s">
        <v>62</v>
      </c>
      <c r="L15" s="48" t="s">
        <v>62</v>
      </c>
      <c r="M15" s="48" t="s">
        <v>62</v>
      </c>
      <c r="N15" s="48" t="s">
        <v>62</v>
      </c>
      <c r="O15" s="48"/>
      <c r="P15" s="48" t="s">
        <v>62</v>
      </c>
      <c r="Q15" s="48" t="s">
        <v>62</v>
      </c>
      <c r="R15" s="48" t="s">
        <v>62</v>
      </c>
      <c r="S15" s="48" t="s">
        <v>62</v>
      </c>
      <c r="T15" s="48" t="s">
        <v>172</v>
      </c>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16</v>
      </c>
      <c r="BB15" s="61" t="str">
        <f t="shared" si="1"/>
        <v>0</v>
      </c>
      <c r="BC15" s="61">
        <f t="shared" si="2"/>
        <v>1</v>
      </c>
      <c r="BD15" s="61" t="str">
        <f t="shared" si="3"/>
        <v>0</v>
      </c>
      <c r="BE15" s="65">
        <f t="shared" si="4"/>
        <v>17</v>
      </c>
      <c r="BJ15" s="211">
        <f t="shared" si="5"/>
        <v>10</v>
      </c>
    </row>
    <row r="16" spans="1:62" ht="12" customHeight="1" x14ac:dyDescent="0.35">
      <c r="A16" s="59">
        <v>9</v>
      </c>
      <c r="B16" s="60" t="str">
        <f>'C. FILIACION'!B16</f>
        <v>LEDEZMA AGUILAR ELVIS JHEFERSON</v>
      </c>
      <c r="C16" s="48" t="s">
        <v>63</v>
      </c>
      <c r="D16" s="48" t="s">
        <v>62</v>
      </c>
      <c r="E16" s="48" t="s">
        <v>62</v>
      </c>
      <c r="F16" s="48" t="s">
        <v>62</v>
      </c>
      <c r="G16" s="48" t="s">
        <v>173</v>
      </c>
      <c r="H16" s="48" t="s">
        <v>62</v>
      </c>
      <c r="I16" s="48" t="s">
        <v>62</v>
      </c>
      <c r="J16" s="48" t="s">
        <v>62</v>
      </c>
      <c r="K16" s="48" t="s">
        <v>62</v>
      </c>
      <c r="L16" s="48" t="s">
        <v>62</v>
      </c>
      <c r="M16" s="48" t="s">
        <v>62</v>
      </c>
      <c r="N16" s="48" t="s">
        <v>62</v>
      </c>
      <c r="O16" s="48"/>
      <c r="P16" s="48" t="s">
        <v>62</v>
      </c>
      <c r="Q16" s="48" t="s">
        <v>62</v>
      </c>
      <c r="R16" s="48" t="s">
        <v>62</v>
      </c>
      <c r="S16" s="48" t="s">
        <v>62</v>
      </c>
      <c r="T16" s="48" t="s">
        <v>62</v>
      </c>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15</v>
      </c>
      <c r="BB16" s="61">
        <f t="shared" si="1"/>
        <v>1</v>
      </c>
      <c r="BC16" s="61" t="str">
        <f t="shared" si="2"/>
        <v>0</v>
      </c>
      <c r="BD16" s="61">
        <f t="shared" si="3"/>
        <v>1</v>
      </c>
      <c r="BE16" s="65">
        <f t="shared" si="4"/>
        <v>17</v>
      </c>
      <c r="BJ16" s="211">
        <f t="shared" si="5"/>
        <v>9.4117647058823533</v>
      </c>
    </row>
    <row r="17" spans="1:62" ht="12" customHeight="1" x14ac:dyDescent="0.35">
      <c r="A17" s="59">
        <v>10</v>
      </c>
      <c r="B17" s="60" t="str">
        <f>'C. FILIACION'!B17</f>
        <v>LOBATON RODRIGUEZ JHONATAN A.</v>
      </c>
      <c r="C17" s="48" t="s">
        <v>172</v>
      </c>
      <c r="D17" s="48" t="s">
        <v>63</v>
      </c>
      <c r="E17" s="48" t="s">
        <v>62</v>
      </c>
      <c r="F17" s="48" t="s">
        <v>62</v>
      </c>
      <c r="G17" s="48" t="s">
        <v>62</v>
      </c>
      <c r="H17" s="48" t="s">
        <v>172</v>
      </c>
      <c r="I17" s="48" t="s">
        <v>62</v>
      </c>
      <c r="J17" s="48" t="s">
        <v>62</v>
      </c>
      <c r="K17" s="48" t="s">
        <v>62</v>
      </c>
      <c r="L17" s="48" t="s">
        <v>172</v>
      </c>
      <c r="M17" s="48" t="s">
        <v>62</v>
      </c>
      <c r="N17" s="48" t="s">
        <v>172</v>
      </c>
      <c r="O17" s="48"/>
      <c r="P17" s="48" t="s">
        <v>62</v>
      </c>
      <c r="Q17" s="48" t="s">
        <v>62</v>
      </c>
      <c r="R17" s="48" t="s">
        <v>62</v>
      </c>
      <c r="S17" s="48" t="s">
        <v>63</v>
      </c>
      <c r="T17" s="48" t="s">
        <v>63</v>
      </c>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10</v>
      </c>
      <c r="BB17" s="61">
        <f t="shared" si="1"/>
        <v>3</v>
      </c>
      <c r="BC17" s="61">
        <f t="shared" si="2"/>
        <v>4</v>
      </c>
      <c r="BD17" s="61" t="str">
        <f t="shared" si="3"/>
        <v>0</v>
      </c>
      <c r="BE17" s="65">
        <f t="shared" si="4"/>
        <v>17</v>
      </c>
      <c r="BJ17" s="211">
        <f t="shared" si="5"/>
        <v>8.235294117647058</v>
      </c>
    </row>
    <row r="18" spans="1:62" ht="12" customHeight="1" x14ac:dyDescent="0.35">
      <c r="A18" s="59">
        <v>11</v>
      </c>
      <c r="B18" s="60" t="str">
        <f>'C. FILIACION'!B18</f>
        <v>MAMANI LOPEZ DAFNE MILDRED</v>
      </c>
      <c r="C18" s="48" t="s">
        <v>62</v>
      </c>
      <c r="D18" s="48" t="s">
        <v>62</v>
      </c>
      <c r="E18" s="48" t="s">
        <v>62</v>
      </c>
      <c r="F18" s="48" t="s">
        <v>63</v>
      </c>
      <c r="G18" s="48" t="s">
        <v>62</v>
      </c>
      <c r="H18" s="48" t="s">
        <v>62</v>
      </c>
      <c r="I18" s="48" t="s">
        <v>62</v>
      </c>
      <c r="J18" s="48" t="s">
        <v>62</v>
      </c>
      <c r="K18" s="48" t="s">
        <v>62</v>
      </c>
      <c r="L18" s="48" t="s">
        <v>62</v>
      </c>
      <c r="M18" s="48" t="s">
        <v>63</v>
      </c>
      <c r="N18" s="48" t="s">
        <v>172</v>
      </c>
      <c r="O18" s="48"/>
      <c r="P18" s="48" t="s">
        <v>62</v>
      </c>
      <c r="Q18" s="48" t="s">
        <v>172</v>
      </c>
      <c r="R18" s="48" t="s">
        <v>62</v>
      </c>
      <c r="S18" s="48" t="s">
        <v>63</v>
      </c>
      <c r="T18" s="48" t="s">
        <v>62</v>
      </c>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12</v>
      </c>
      <c r="BB18" s="61">
        <f t="shared" si="1"/>
        <v>3</v>
      </c>
      <c r="BC18" s="61">
        <f t="shared" si="2"/>
        <v>2</v>
      </c>
      <c r="BD18" s="61" t="str">
        <f t="shared" si="3"/>
        <v>0</v>
      </c>
      <c r="BE18" s="65">
        <f t="shared" si="4"/>
        <v>17</v>
      </c>
      <c r="BJ18" s="211">
        <f t="shared" si="5"/>
        <v>8.235294117647058</v>
      </c>
    </row>
    <row r="19" spans="1:62" ht="12" customHeight="1" x14ac:dyDescent="0.35">
      <c r="A19" s="59">
        <v>12</v>
      </c>
      <c r="B19" s="60" t="str">
        <f>'C. FILIACION'!B19</f>
        <v>MARCONI PEREZ SINDEL LUANA</v>
      </c>
      <c r="C19" s="48" t="s">
        <v>63</v>
      </c>
      <c r="D19" s="48" t="s">
        <v>62</v>
      </c>
      <c r="E19" s="48" t="s">
        <v>63</v>
      </c>
      <c r="F19" s="48" t="s">
        <v>63</v>
      </c>
      <c r="G19" s="48" t="s">
        <v>173</v>
      </c>
      <c r="H19" s="48" t="s">
        <v>62</v>
      </c>
      <c r="I19" s="48" t="s">
        <v>63</v>
      </c>
      <c r="J19" s="48" t="s">
        <v>63</v>
      </c>
      <c r="K19" s="48" t="s">
        <v>63</v>
      </c>
      <c r="L19" s="48" t="s">
        <v>63</v>
      </c>
      <c r="M19" s="48" t="s">
        <v>62</v>
      </c>
      <c r="N19" s="48" t="s">
        <v>62</v>
      </c>
      <c r="O19" s="48"/>
      <c r="P19" s="48" t="s">
        <v>62</v>
      </c>
      <c r="Q19" s="48" t="s">
        <v>62</v>
      </c>
      <c r="R19" s="48" t="s">
        <v>62</v>
      </c>
      <c r="S19" s="48" t="s">
        <v>172</v>
      </c>
      <c r="T19" s="48" t="s">
        <v>172</v>
      </c>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7</v>
      </c>
      <c r="BB19" s="61">
        <f t="shared" si="1"/>
        <v>7</v>
      </c>
      <c r="BC19" s="61">
        <f t="shared" si="2"/>
        <v>2</v>
      </c>
      <c r="BD19" s="61">
        <f t="shared" si="3"/>
        <v>1</v>
      </c>
      <c r="BE19" s="65">
        <f t="shared" si="4"/>
        <v>17</v>
      </c>
      <c r="BJ19" s="211">
        <f t="shared" si="5"/>
        <v>5.882352941176471</v>
      </c>
    </row>
    <row r="20" spans="1:62" ht="12" customHeight="1" x14ac:dyDescent="0.35">
      <c r="A20" s="59">
        <v>13</v>
      </c>
      <c r="B20" s="60" t="str">
        <f>'C. FILIACION'!B20</f>
        <v>MENACHO LINEO ANDREA KIMBERLY</v>
      </c>
      <c r="C20" s="48" t="s">
        <v>62</v>
      </c>
      <c r="D20" s="48" t="s">
        <v>62</v>
      </c>
      <c r="E20" s="48" t="s">
        <v>62</v>
      </c>
      <c r="F20" s="48" t="s">
        <v>62</v>
      </c>
      <c r="G20" s="48" t="s">
        <v>173</v>
      </c>
      <c r="H20" s="48" t="s">
        <v>62</v>
      </c>
      <c r="I20" s="48" t="s">
        <v>62</v>
      </c>
      <c r="J20" s="48" t="s">
        <v>62</v>
      </c>
      <c r="K20" s="48" t="s">
        <v>62</v>
      </c>
      <c r="L20" s="48" t="s">
        <v>62</v>
      </c>
      <c r="M20" s="48" t="s">
        <v>62</v>
      </c>
      <c r="N20" s="48" t="s">
        <v>62</v>
      </c>
      <c r="O20" s="48"/>
      <c r="P20" s="48" t="s">
        <v>62</v>
      </c>
      <c r="Q20" s="48" t="s">
        <v>62</v>
      </c>
      <c r="R20" s="48" t="s">
        <v>62</v>
      </c>
      <c r="S20" s="48" t="s">
        <v>62</v>
      </c>
      <c r="T20" s="48" t="s">
        <v>62</v>
      </c>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16</v>
      </c>
      <c r="BB20" s="61" t="str">
        <f t="shared" si="1"/>
        <v>0</v>
      </c>
      <c r="BC20" s="61" t="str">
        <f t="shared" si="2"/>
        <v>0</v>
      </c>
      <c r="BD20" s="61">
        <f t="shared" si="3"/>
        <v>1</v>
      </c>
      <c r="BE20" s="65">
        <f t="shared" si="4"/>
        <v>17</v>
      </c>
      <c r="BJ20" s="211">
        <f t="shared" si="5"/>
        <v>10</v>
      </c>
    </row>
    <row r="21" spans="1:62" ht="12" customHeight="1" x14ac:dyDescent="0.35">
      <c r="A21" s="59">
        <v>14</v>
      </c>
      <c r="B21" s="60" t="str">
        <f>'C. FILIACION'!B21</f>
        <v>PILLCO APAZA MARIAN ALEXANDRA</v>
      </c>
      <c r="C21" s="48" t="s">
        <v>62</v>
      </c>
      <c r="D21" s="48" t="s">
        <v>62</v>
      </c>
      <c r="E21" s="48" t="s">
        <v>62</v>
      </c>
      <c r="F21" s="48" t="s">
        <v>62</v>
      </c>
      <c r="G21" s="48" t="s">
        <v>173</v>
      </c>
      <c r="H21" s="48" t="s">
        <v>62</v>
      </c>
      <c r="I21" s="48" t="s">
        <v>62</v>
      </c>
      <c r="J21" s="48" t="s">
        <v>62</v>
      </c>
      <c r="K21" s="48" t="s">
        <v>62</v>
      </c>
      <c r="L21" s="48" t="s">
        <v>62</v>
      </c>
      <c r="M21" s="48" t="s">
        <v>62</v>
      </c>
      <c r="N21" s="48" t="s">
        <v>62</v>
      </c>
      <c r="O21" s="48"/>
      <c r="P21" s="48" t="s">
        <v>62</v>
      </c>
      <c r="Q21" s="48" t="s">
        <v>62</v>
      </c>
      <c r="R21" s="48" t="s">
        <v>62</v>
      </c>
      <c r="S21" s="48" t="s">
        <v>62</v>
      </c>
      <c r="T21" s="48" t="s">
        <v>62</v>
      </c>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16</v>
      </c>
      <c r="BB21" s="61" t="str">
        <f t="shared" si="1"/>
        <v>0</v>
      </c>
      <c r="BC21" s="61" t="str">
        <f t="shared" si="2"/>
        <v>0</v>
      </c>
      <c r="BD21" s="61">
        <f t="shared" si="3"/>
        <v>1</v>
      </c>
      <c r="BE21" s="65">
        <f t="shared" si="4"/>
        <v>17</v>
      </c>
      <c r="BJ21" s="211">
        <f t="shared" si="5"/>
        <v>10</v>
      </c>
    </row>
    <row r="22" spans="1:62" ht="12" customHeight="1" x14ac:dyDescent="0.35">
      <c r="A22" s="59">
        <v>15</v>
      </c>
      <c r="B22" s="60" t="str">
        <f>'C. FILIACION'!B22</f>
        <v>RUEDA ALVAREZ GREGORY STEVEN</v>
      </c>
      <c r="C22" s="48" t="s">
        <v>62</v>
      </c>
      <c r="D22" s="48" t="s">
        <v>62</v>
      </c>
      <c r="E22" s="48" t="s">
        <v>62</v>
      </c>
      <c r="F22" s="48" t="s">
        <v>62</v>
      </c>
      <c r="G22" s="48" t="s">
        <v>62</v>
      </c>
      <c r="H22" s="48" t="s">
        <v>62</v>
      </c>
      <c r="I22" s="48" t="s">
        <v>62</v>
      </c>
      <c r="J22" s="48" t="s">
        <v>62</v>
      </c>
      <c r="K22" s="48" t="s">
        <v>62</v>
      </c>
      <c r="L22" s="48" t="s">
        <v>62</v>
      </c>
      <c r="M22" s="48" t="s">
        <v>62</v>
      </c>
      <c r="N22" s="48" t="s">
        <v>62</v>
      </c>
      <c r="O22" s="48"/>
      <c r="P22" s="48" t="s">
        <v>62</v>
      </c>
      <c r="Q22" s="48" t="s">
        <v>62</v>
      </c>
      <c r="R22" s="48" t="s">
        <v>62</v>
      </c>
      <c r="S22" s="48" t="s">
        <v>172</v>
      </c>
      <c r="T22" s="48" t="s">
        <v>62</v>
      </c>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16</v>
      </c>
      <c r="BB22" s="61" t="str">
        <f t="shared" si="1"/>
        <v>0</v>
      </c>
      <c r="BC22" s="61">
        <f t="shared" si="2"/>
        <v>1</v>
      </c>
      <c r="BD22" s="61" t="str">
        <f t="shared" si="3"/>
        <v>0</v>
      </c>
      <c r="BE22" s="65">
        <f t="shared" si="4"/>
        <v>17</v>
      </c>
      <c r="BJ22" s="211">
        <f t="shared" si="5"/>
        <v>10</v>
      </c>
    </row>
    <row r="23" spans="1:62" ht="12" customHeight="1" x14ac:dyDescent="0.35">
      <c r="A23" s="59">
        <v>16</v>
      </c>
      <c r="B23" s="189" t="str">
        <f>'C. FILIACION'!B23</f>
        <v>VARGAS JOYCE BELEN</v>
      </c>
      <c r="C23" s="155" t="s">
        <v>63</v>
      </c>
      <c r="D23" s="155" t="s">
        <v>63</v>
      </c>
      <c r="E23" s="155" t="s">
        <v>62</v>
      </c>
      <c r="F23" s="155" t="s">
        <v>63</v>
      </c>
      <c r="G23" s="155" t="s">
        <v>63</v>
      </c>
      <c r="H23" s="155" t="s">
        <v>63</v>
      </c>
      <c r="I23" s="155" t="s">
        <v>63</v>
      </c>
      <c r="J23" s="155" t="s">
        <v>63</v>
      </c>
      <c r="K23" s="155" t="s">
        <v>63</v>
      </c>
      <c r="L23" s="155" t="s">
        <v>63</v>
      </c>
      <c r="M23" s="155" t="s">
        <v>63</v>
      </c>
      <c r="N23" s="155" t="s">
        <v>63</v>
      </c>
      <c r="O23" s="155"/>
      <c r="P23" s="155"/>
      <c r="Q23" s="155"/>
      <c r="R23" s="155"/>
      <c r="S23" s="155"/>
      <c r="T23" s="155"/>
      <c r="U23" s="155"/>
      <c r="V23" s="155"/>
      <c r="W23" s="155"/>
      <c r="X23" s="155"/>
      <c r="Y23" s="155"/>
      <c r="Z23" s="155"/>
      <c r="AA23" s="155"/>
      <c r="AB23" s="155"/>
      <c r="AC23" s="155"/>
      <c r="AD23" s="155"/>
      <c r="AE23" s="155"/>
      <c r="AF23" s="155"/>
      <c r="AG23" s="155"/>
      <c r="AH23" s="155"/>
      <c r="AI23" s="155"/>
      <c r="AJ23" s="155"/>
      <c r="AK23" s="155"/>
      <c r="AL23" s="155"/>
      <c r="AM23" s="155"/>
      <c r="AN23" s="155"/>
      <c r="AO23" s="155"/>
      <c r="AP23" s="155"/>
      <c r="AQ23" s="155"/>
      <c r="AR23" s="155"/>
      <c r="AS23" s="155"/>
      <c r="AT23" s="155"/>
      <c r="AU23" s="155"/>
      <c r="AV23" s="155"/>
      <c r="AW23" s="155"/>
      <c r="AX23" s="155"/>
      <c r="AY23" s="155"/>
      <c r="AZ23" s="201"/>
      <c r="BA23" s="208">
        <f t="shared" si="0"/>
        <v>1</v>
      </c>
      <c r="BB23" s="155">
        <f t="shared" si="1"/>
        <v>11</v>
      </c>
      <c r="BC23" s="155" t="str">
        <f t="shared" si="2"/>
        <v>0</v>
      </c>
      <c r="BD23" s="155" t="str">
        <f t="shared" si="3"/>
        <v>0</v>
      </c>
      <c r="BE23" s="65">
        <f t="shared" si="4"/>
        <v>12</v>
      </c>
      <c r="BJ23" s="211">
        <f t="shared" si="5"/>
        <v>0.83333333333333337</v>
      </c>
    </row>
    <row r="24" spans="1:62" ht="12" customHeight="1" x14ac:dyDescent="0.35">
      <c r="A24" s="59">
        <v>17</v>
      </c>
      <c r="B24" s="60" t="str">
        <f>'C. FILIACION'!B24</f>
        <v>ZURITA JIMENEZ ELMER ARTURO</v>
      </c>
      <c r="C24" s="48" t="s">
        <v>62</v>
      </c>
      <c r="D24" s="48" t="s">
        <v>62</v>
      </c>
      <c r="E24" s="48" t="s">
        <v>62</v>
      </c>
      <c r="F24" s="48" t="s">
        <v>62</v>
      </c>
      <c r="G24" s="48" t="s">
        <v>173</v>
      </c>
      <c r="H24" s="48" t="s">
        <v>62</v>
      </c>
      <c r="I24" s="48" t="s">
        <v>62</v>
      </c>
      <c r="J24" s="48" t="s">
        <v>62</v>
      </c>
      <c r="K24" s="48" t="s">
        <v>62</v>
      </c>
      <c r="L24" s="48" t="s">
        <v>62</v>
      </c>
      <c r="M24" s="48" t="s">
        <v>62</v>
      </c>
      <c r="N24" s="48" t="s">
        <v>62</v>
      </c>
      <c r="O24" s="48"/>
      <c r="P24" s="48" t="s">
        <v>62</v>
      </c>
      <c r="Q24" s="48" t="s">
        <v>62</v>
      </c>
      <c r="R24" s="48" t="s">
        <v>62</v>
      </c>
      <c r="S24" s="48" t="s">
        <v>62</v>
      </c>
      <c r="T24" s="48" t="s">
        <v>62</v>
      </c>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16</v>
      </c>
      <c r="BB24" s="61" t="str">
        <f t="shared" si="1"/>
        <v>0</v>
      </c>
      <c r="BC24" s="61" t="str">
        <f t="shared" si="2"/>
        <v>0</v>
      </c>
      <c r="BD24" s="61">
        <f t="shared" si="3"/>
        <v>1</v>
      </c>
      <c r="BE24" s="65">
        <f t="shared" si="4"/>
        <v>17</v>
      </c>
      <c r="BJ24" s="211">
        <f t="shared" si="5"/>
        <v>10</v>
      </c>
    </row>
    <row r="25" spans="1:62" ht="12" customHeight="1" x14ac:dyDescent="0.35">
      <c r="A25" s="59">
        <v>18</v>
      </c>
      <c r="B25" s="60" t="str">
        <f>'C. FILIACION'!B25</f>
        <v>ADRIAN FLORES EDDY BEYMAR</v>
      </c>
      <c r="C25" s="48" t="s">
        <v>62</v>
      </c>
      <c r="D25" s="48" t="s">
        <v>63</v>
      </c>
      <c r="E25" s="48" t="s">
        <v>62</v>
      </c>
      <c r="F25" s="48" t="s">
        <v>62</v>
      </c>
      <c r="G25" s="48" t="s">
        <v>173</v>
      </c>
      <c r="H25" s="48" t="s">
        <v>63</v>
      </c>
      <c r="I25" s="48" t="s">
        <v>63</v>
      </c>
      <c r="J25" s="48" t="s">
        <v>63</v>
      </c>
      <c r="K25" s="48" t="s">
        <v>63</v>
      </c>
      <c r="L25" s="48" t="s">
        <v>63</v>
      </c>
      <c r="M25" s="48" t="s">
        <v>63</v>
      </c>
      <c r="N25" s="48" t="s">
        <v>63</v>
      </c>
      <c r="O25" s="48"/>
      <c r="P25" s="48" t="s">
        <v>63</v>
      </c>
      <c r="Q25" s="48" t="s">
        <v>63</v>
      </c>
      <c r="R25" s="48" t="s">
        <v>63</v>
      </c>
      <c r="S25" s="48" t="s">
        <v>63</v>
      </c>
      <c r="T25" s="48" t="s">
        <v>63</v>
      </c>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3</v>
      </c>
      <c r="BB25" s="61">
        <f t="shared" si="1"/>
        <v>13</v>
      </c>
      <c r="BC25" s="61" t="str">
        <f t="shared" si="2"/>
        <v>0</v>
      </c>
      <c r="BD25" s="61">
        <f t="shared" si="3"/>
        <v>1</v>
      </c>
      <c r="BE25" s="65">
        <f t="shared" si="4"/>
        <v>17</v>
      </c>
      <c r="BJ25" s="211">
        <f t="shared" si="5"/>
        <v>2.3529411764705883</v>
      </c>
    </row>
    <row r="26" spans="1:62" ht="12" customHeight="1" x14ac:dyDescent="0.35">
      <c r="A26" s="59">
        <v>19</v>
      </c>
      <c r="B26" s="60" t="str">
        <f>'C. FILIACION'!B26</f>
        <v>VENTURA CHOQUE DANELY KEYLA</v>
      </c>
      <c r="C26" s="48" t="s">
        <v>62</v>
      </c>
      <c r="D26" s="48" t="s">
        <v>62</v>
      </c>
      <c r="E26" s="48" t="s">
        <v>62</v>
      </c>
      <c r="F26" s="48" t="s">
        <v>62</v>
      </c>
      <c r="G26" s="48" t="s">
        <v>173</v>
      </c>
      <c r="H26" s="48" t="s">
        <v>62</v>
      </c>
      <c r="I26" s="48" t="s">
        <v>62</v>
      </c>
      <c r="J26" s="48" t="s">
        <v>62</v>
      </c>
      <c r="K26" s="48" t="s">
        <v>62</v>
      </c>
      <c r="L26" s="48" t="s">
        <v>62</v>
      </c>
      <c r="M26" s="48" t="s">
        <v>62</v>
      </c>
      <c r="N26" s="48" t="s">
        <v>62</v>
      </c>
      <c r="O26" s="48"/>
      <c r="P26" s="48" t="s">
        <v>62</v>
      </c>
      <c r="Q26" s="48" t="s">
        <v>62</v>
      </c>
      <c r="R26" s="48" t="s">
        <v>62</v>
      </c>
      <c r="S26" s="48" t="s">
        <v>62</v>
      </c>
      <c r="T26" s="48" t="s">
        <v>62</v>
      </c>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f t="shared" si="0"/>
        <v>16</v>
      </c>
      <c r="BB26" s="61" t="str">
        <f t="shared" si="1"/>
        <v>0</v>
      </c>
      <c r="BC26" s="61" t="str">
        <f t="shared" si="2"/>
        <v>0</v>
      </c>
      <c r="BD26" s="61">
        <f t="shared" si="3"/>
        <v>1</v>
      </c>
      <c r="BE26" s="65">
        <f t="shared" si="4"/>
        <v>17</v>
      </c>
      <c r="BJ26" s="211">
        <f t="shared" si="5"/>
        <v>10</v>
      </c>
    </row>
    <row r="27" spans="1:62" ht="12" customHeight="1" x14ac:dyDescent="0.3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ref="BA27:BA43" si="6">IF(COUNTIF(C27:AZ27,"A")=0,"",COUNTIF(C27:AZ27,"A"))</f>
        <v/>
      </c>
      <c r="BB27" s="48" t="str">
        <f t="shared" ref="BB27:BB43" si="7">IF(COUNTIF(C27:AZ27,"F")=0,"",COUNTIF(C27:AZ27,"F"))</f>
        <v/>
      </c>
      <c r="BC27" s="48" t="str">
        <f t="shared" ref="BC27:BC43" si="8">IF(COUNTIF(C27:AZ27,"R")=0,"",COUNTIF(C27:AZ27,"R"))</f>
        <v/>
      </c>
      <c r="BD27" s="48" t="str">
        <f t="shared" ref="BD27:BD43" si="9">IF(COUNTIF(C27:AZ27,"L")=0,"",COUNTIF(C27:AZ27,"L"))</f>
        <v/>
      </c>
      <c r="BE27" s="65" t="str">
        <f t="shared" ref="BE27:BE43" si="10">IF(COUNTIF(C27:AZ27,"L")=0,"",COUNTIF(C27:AZ27,"L"))</f>
        <v/>
      </c>
    </row>
    <row r="28" spans="1:62" ht="12" customHeight="1" x14ac:dyDescent="0.3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6"/>
        <v/>
      </c>
      <c r="BB28" s="48" t="str">
        <f t="shared" si="7"/>
        <v/>
      </c>
      <c r="BC28" s="48" t="str">
        <f t="shared" si="8"/>
        <v/>
      </c>
      <c r="BD28" s="48" t="str">
        <f t="shared" si="9"/>
        <v/>
      </c>
      <c r="BE28" s="65" t="str">
        <f t="shared" si="10"/>
        <v/>
      </c>
    </row>
    <row r="29" spans="1:62" ht="12" customHeight="1" x14ac:dyDescent="0.3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6"/>
        <v/>
      </c>
      <c r="BB29" s="48" t="str">
        <f t="shared" si="7"/>
        <v/>
      </c>
      <c r="BC29" s="48" t="str">
        <f t="shared" si="8"/>
        <v/>
      </c>
      <c r="BD29" s="48" t="str">
        <f t="shared" si="9"/>
        <v/>
      </c>
      <c r="BE29" s="65" t="str">
        <f t="shared" si="10"/>
        <v/>
      </c>
    </row>
    <row r="30" spans="1:62" ht="12" customHeight="1" x14ac:dyDescent="0.3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6"/>
        <v/>
      </c>
      <c r="BB30" s="48" t="str">
        <f t="shared" si="7"/>
        <v/>
      </c>
      <c r="BC30" s="48" t="str">
        <f t="shared" si="8"/>
        <v/>
      </c>
      <c r="BD30" s="48" t="str">
        <f t="shared" si="9"/>
        <v/>
      </c>
      <c r="BE30" s="65" t="str">
        <f t="shared" si="10"/>
        <v/>
      </c>
    </row>
    <row r="31" spans="1:62" ht="12" customHeight="1" x14ac:dyDescent="0.3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6"/>
        <v/>
      </c>
      <c r="BB31" s="48" t="str">
        <f t="shared" si="7"/>
        <v/>
      </c>
      <c r="BC31" s="48" t="str">
        <f t="shared" si="8"/>
        <v/>
      </c>
      <c r="BD31" s="48" t="str">
        <f t="shared" si="9"/>
        <v/>
      </c>
      <c r="BE31" s="65" t="str">
        <f t="shared" si="10"/>
        <v/>
      </c>
    </row>
    <row r="32" spans="1:62"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6"/>
        <v/>
      </c>
      <c r="BB32" s="48" t="str">
        <f t="shared" si="7"/>
        <v/>
      </c>
      <c r="BC32" s="48" t="str">
        <f t="shared" si="8"/>
        <v/>
      </c>
      <c r="BD32" s="48" t="str">
        <f t="shared" si="9"/>
        <v/>
      </c>
      <c r="BE32" s="65" t="str">
        <f t="shared" si="10"/>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6"/>
        <v/>
      </c>
      <c r="BB33" s="48" t="str">
        <f t="shared" si="7"/>
        <v/>
      </c>
      <c r="BC33" s="48" t="str">
        <f t="shared" si="8"/>
        <v/>
      </c>
      <c r="BD33" s="48" t="str">
        <f t="shared" si="9"/>
        <v/>
      </c>
      <c r="BE33" s="65" t="str">
        <f t="shared" si="10"/>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6"/>
        <v/>
      </c>
      <c r="BB34" s="48" t="str">
        <f t="shared" si="7"/>
        <v/>
      </c>
      <c r="BC34" s="48" t="str">
        <f t="shared" si="8"/>
        <v/>
      </c>
      <c r="BD34" s="48" t="str">
        <f t="shared" si="9"/>
        <v/>
      </c>
      <c r="BE34" s="65" t="str">
        <f t="shared" si="10"/>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6"/>
        <v/>
      </c>
      <c r="BB35" s="48" t="str">
        <f t="shared" si="7"/>
        <v/>
      </c>
      <c r="BC35" s="48" t="str">
        <f t="shared" si="8"/>
        <v/>
      </c>
      <c r="BD35" s="48" t="str">
        <f t="shared" si="9"/>
        <v/>
      </c>
      <c r="BE35" s="65" t="str">
        <f t="shared" si="10"/>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6"/>
        <v/>
      </c>
      <c r="BB36" s="48" t="str">
        <f t="shared" si="7"/>
        <v/>
      </c>
      <c r="BC36" s="48" t="str">
        <f t="shared" si="8"/>
        <v/>
      </c>
      <c r="BD36" s="48" t="str">
        <f t="shared" si="9"/>
        <v/>
      </c>
      <c r="BE36" s="65" t="str">
        <f t="shared" si="10"/>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6"/>
        <v/>
      </c>
      <c r="BB37" s="48" t="str">
        <f t="shared" si="7"/>
        <v/>
      </c>
      <c r="BC37" s="48" t="str">
        <f t="shared" si="8"/>
        <v/>
      </c>
      <c r="BD37" s="48" t="str">
        <f t="shared" si="9"/>
        <v/>
      </c>
      <c r="BE37" s="65" t="str">
        <f t="shared" si="10"/>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6"/>
        <v/>
      </c>
      <c r="BB38" s="48" t="str">
        <f t="shared" si="7"/>
        <v/>
      </c>
      <c r="BC38" s="48" t="str">
        <f t="shared" si="8"/>
        <v/>
      </c>
      <c r="BD38" s="48" t="str">
        <f t="shared" si="9"/>
        <v/>
      </c>
      <c r="BE38" s="65" t="str">
        <f t="shared" si="10"/>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6"/>
        <v/>
      </c>
      <c r="BB39" s="48" t="str">
        <f t="shared" si="7"/>
        <v/>
      </c>
      <c r="BC39" s="48" t="str">
        <f t="shared" si="8"/>
        <v/>
      </c>
      <c r="BD39" s="48" t="str">
        <f t="shared" si="9"/>
        <v/>
      </c>
      <c r="BE39" s="65" t="str">
        <f t="shared" si="10"/>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6"/>
        <v/>
      </c>
      <c r="BB40" s="48" t="str">
        <f t="shared" si="7"/>
        <v/>
      </c>
      <c r="BC40" s="48" t="str">
        <f t="shared" si="8"/>
        <v/>
      </c>
      <c r="BD40" s="48" t="str">
        <f t="shared" si="9"/>
        <v/>
      </c>
      <c r="BE40" s="65" t="str">
        <f t="shared" si="10"/>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6"/>
        <v/>
      </c>
      <c r="BB41" s="48" t="str">
        <f t="shared" si="7"/>
        <v/>
      </c>
      <c r="BC41" s="48" t="str">
        <f t="shared" si="8"/>
        <v/>
      </c>
      <c r="BD41" s="48" t="str">
        <f t="shared" si="9"/>
        <v/>
      </c>
      <c r="BE41" s="65" t="str">
        <f t="shared" si="10"/>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6"/>
        <v/>
      </c>
      <c r="BB42" s="48" t="str">
        <f t="shared" si="7"/>
        <v/>
      </c>
      <c r="BC42" s="48" t="str">
        <f t="shared" si="8"/>
        <v/>
      </c>
      <c r="BD42" s="48" t="str">
        <f t="shared" si="9"/>
        <v/>
      </c>
      <c r="BE42" s="65" t="str">
        <f t="shared" si="10"/>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6"/>
        <v/>
      </c>
      <c r="BB43" s="48" t="str">
        <f t="shared" si="7"/>
        <v/>
      </c>
      <c r="BC43" s="48" t="str">
        <f t="shared" si="8"/>
        <v/>
      </c>
      <c r="BD43" s="48" t="str">
        <f t="shared" si="9"/>
        <v/>
      </c>
      <c r="BE43" s="65" t="str">
        <f t="shared" si="10"/>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pageSetUpPr fitToPage="1"/>
  </sheetPr>
  <dimension ref="A1:AV1000"/>
  <sheetViews>
    <sheetView topLeftCell="A10" workbookViewId="0">
      <selection activeCell="AE26" sqref="AE26"/>
    </sheetView>
  </sheetViews>
  <sheetFormatPr baseColWidth="10" defaultColWidth="9.13281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3281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312" t="s">
        <v>74</v>
      </c>
      <c r="C2" s="239"/>
      <c r="D2" s="239"/>
      <c r="E2" s="239"/>
      <c r="F2" s="239"/>
      <c r="G2" s="239"/>
      <c r="H2" s="239"/>
      <c r="I2" s="239"/>
      <c r="J2" s="239"/>
      <c r="K2" s="239"/>
      <c r="L2" s="239"/>
      <c r="M2" s="239"/>
      <c r="N2" s="239"/>
      <c r="O2" s="239"/>
      <c r="P2" s="239"/>
      <c r="Q2" s="239"/>
      <c r="R2" s="239"/>
      <c r="S2" s="239"/>
      <c r="T2" s="239"/>
      <c r="U2" s="239"/>
      <c r="V2" s="239"/>
      <c r="W2" s="239"/>
      <c r="X2" s="239"/>
      <c r="Y2" s="239"/>
      <c r="Z2" s="239"/>
      <c r="AA2" s="239"/>
      <c r="AB2" s="239"/>
      <c r="AC2" s="239"/>
      <c r="AD2" s="239"/>
      <c r="AE2" s="239"/>
      <c r="AF2" s="239"/>
      <c r="AG2" s="239"/>
      <c r="AH2" s="239"/>
      <c r="AI2" s="239"/>
      <c r="AJ2" s="239"/>
      <c r="AK2" s="239"/>
      <c r="AL2" s="239"/>
      <c r="AM2" s="239"/>
      <c r="AN2" s="239"/>
      <c r="AO2" s="239"/>
      <c r="AP2" s="239"/>
      <c r="AQ2" s="239"/>
      <c r="AR2" s="240"/>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310" t="s">
        <v>50</v>
      </c>
      <c r="AD3" s="302"/>
      <c r="AE3" s="302"/>
      <c r="AF3" s="302"/>
      <c r="AG3" s="302"/>
      <c r="AH3" s="303"/>
      <c r="AI3" s="266">
        <f>CARÁTULA!$H$14</f>
        <v>44228</v>
      </c>
      <c r="AJ3" s="248"/>
      <c r="AK3" s="248"/>
      <c r="AL3" s="248"/>
      <c r="AM3" s="248"/>
      <c r="AN3" s="313" t="s">
        <v>51</v>
      </c>
      <c r="AO3" s="239"/>
      <c r="AP3" s="239"/>
      <c r="AQ3" s="239"/>
      <c r="AR3" s="240"/>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t="str">
        <f>CARÁTULA!$C$19</f>
        <v>JOSÉ COAQUIRA COPA</v>
      </c>
      <c r="T4" s="76"/>
      <c r="U4" s="76"/>
      <c r="V4" s="76"/>
      <c r="W4" s="76"/>
      <c r="X4" s="76"/>
      <c r="Y4" s="76"/>
      <c r="Z4" s="76"/>
      <c r="AA4" s="76"/>
      <c r="AB4" s="76"/>
      <c r="AC4" s="310" t="s">
        <v>53</v>
      </c>
      <c r="AD4" s="302"/>
      <c r="AE4" s="302"/>
      <c r="AF4" s="302"/>
      <c r="AG4" s="302"/>
      <c r="AH4" s="303"/>
      <c r="AI4" s="266">
        <f>CARÁTULA!$J$14</f>
        <v>44323</v>
      </c>
      <c r="AJ4" s="248"/>
      <c r="AK4" s="248"/>
      <c r="AL4" s="248"/>
      <c r="AM4" s="248"/>
      <c r="AN4" s="300">
        <f ca="1">AI4-AI5</f>
        <v>-220</v>
      </c>
      <c r="AO4" s="258"/>
      <c r="AP4" s="258"/>
      <c r="AQ4" s="258"/>
      <c r="AR4" s="259"/>
    </row>
    <row r="5" spans="1:48" ht="12.75" customHeight="1" x14ac:dyDescent="0.4">
      <c r="A5" s="71"/>
      <c r="B5" s="74" t="s">
        <v>22</v>
      </c>
      <c r="C5" s="75" t="str">
        <f>CARÁTULA!$C$23</f>
        <v>6to de Secundaria</v>
      </c>
      <c r="D5" s="76"/>
      <c r="E5" s="76"/>
      <c r="F5" s="76"/>
      <c r="G5" s="74"/>
      <c r="H5" s="74"/>
      <c r="I5" s="74"/>
      <c r="J5" s="74"/>
      <c r="K5" s="74"/>
      <c r="L5" s="74"/>
      <c r="M5" s="74"/>
      <c r="N5" s="74"/>
      <c r="O5" s="77" t="s">
        <v>23</v>
      </c>
      <c r="P5" s="79"/>
      <c r="Q5" s="79"/>
      <c r="R5" s="79"/>
      <c r="S5" s="318">
        <f ca="1">TODAY()</f>
        <v>44543</v>
      </c>
      <c r="T5" s="239"/>
      <c r="U5" s="239"/>
      <c r="V5" s="239"/>
      <c r="W5" s="239"/>
      <c r="X5" s="239"/>
      <c r="Y5" s="239"/>
      <c r="Z5" s="239"/>
      <c r="AA5" s="240"/>
      <c r="AB5" s="76"/>
      <c r="AC5" s="311" t="s">
        <v>54</v>
      </c>
      <c r="AD5" s="302"/>
      <c r="AE5" s="302"/>
      <c r="AF5" s="302"/>
      <c r="AG5" s="302"/>
      <c r="AH5" s="303"/>
      <c r="AI5" s="314">
        <f ca="1">TODAY()</f>
        <v>44543</v>
      </c>
      <c r="AJ5" s="248"/>
      <c r="AK5" s="248"/>
      <c r="AL5" s="248"/>
      <c r="AM5" s="248"/>
      <c r="AN5" s="260"/>
      <c r="AO5" s="261"/>
      <c r="AP5" s="261"/>
      <c r="AQ5" s="261"/>
      <c r="AR5" s="262"/>
    </row>
    <row r="6" spans="1:48" ht="12.75" customHeight="1" x14ac:dyDescent="0.4">
      <c r="A6" s="71"/>
      <c r="B6" s="74"/>
      <c r="C6" s="254" t="s">
        <v>75</v>
      </c>
      <c r="D6" s="255"/>
      <c r="E6" s="255"/>
      <c r="F6" s="255"/>
      <c r="G6" s="255"/>
      <c r="H6" s="255"/>
      <c r="I6" s="255"/>
      <c r="J6" s="255"/>
      <c r="K6" s="255"/>
      <c r="L6" s="255"/>
      <c r="M6" s="255"/>
      <c r="N6" s="255"/>
      <c r="O6" s="255"/>
      <c r="P6" s="255"/>
      <c r="Q6" s="255"/>
      <c r="R6" s="255"/>
      <c r="S6" s="255"/>
      <c r="T6" s="255"/>
      <c r="U6" s="255"/>
      <c r="V6" s="255"/>
      <c r="W6" s="255"/>
      <c r="X6" s="255"/>
      <c r="Y6" s="255"/>
      <c r="Z6" s="255"/>
      <c r="AA6" s="256"/>
      <c r="AB6" s="319" t="s">
        <v>76</v>
      </c>
      <c r="AC6" s="302"/>
      <c r="AD6" s="302"/>
      <c r="AE6" s="303"/>
      <c r="AF6" s="80"/>
      <c r="AG6" s="81"/>
      <c r="AH6" s="81"/>
      <c r="AI6" s="82"/>
      <c r="AJ6" s="83"/>
      <c r="AK6" s="83"/>
      <c r="AL6" s="83"/>
      <c r="AM6" s="83"/>
      <c r="AN6" s="84"/>
      <c r="AO6" s="84"/>
      <c r="AP6" s="84"/>
      <c r="AQ6" s="84"/>
      <c r="AR6" s="84"/>
    </row>
    <row r="7" spans="1:48" ht="12" customHeight="1" x14ac:dyDescent="0.4">
      <c r="A7" s="71"/>
      <c r="B7" s="85"/>
      <c r="C7" s="320" t="s">
        <v>77</v>
      </c>
      <c r="D7" s="321" t="s">
        <v>78</v>
      </c>
      <c r="E7" s="302"/>
      <c r="F7" s="302"/>
      <c r="G7" s="302"/>
      <c r="H7" s="302"/>
      <c r="I7" s="302"/>
      <c r="J7" s="302"/>
      <c r="K7" s="302"/>
      <c r="L7" s="302"/>
      <c r="M7" s="302"/>
      <c r="N7" s="302"/>
      <c r="O7" s="317" t="s">
        <v>79</v>
      </c>
      <c r="P7" s="321" t="s">
        <v>80</v>
      </c>
      <c r="Q7" s="302"/>
      <c r="R7" s="302"/>
      <c r="S7" s="302"/>
      <c r="T7" s="302"/>
      <c r="U7" s="302"/>
      <c r="V7" s="302"/>
      <c r="W7" s="302"/>
      <c r="X7" s="302"/>
      <c r="Y7" s="302"/>
      <c r="Z7" s="302"/>
      <c r="AA7" s="315" t="s">
        <v>81</v>
      </c>
      <c r="AB7" s="317" t="s">
        <v>79</v>
      </c>
      <c r="AC7" s="315" t="s">
        <v>82</v>
      </c>
      <c r="AD7" s="315" t="s">
        <v>83</v>
      </c>
      <c r="AE7" s="317" t="s">
        <v>79</v>
      </c>
      <c r="AF7" s="322" t="s">
        <v>84</v>
      </c>
      <c r="AG7" s="323" t="s">
        <v>85</v>
      </c>
      <c r="AH7" s="324" t="s">
        <v>86</v>
      </c>
      <c r="AI7" s="255"/>
      <c r="AJ7" s="255"/>
      <c r="AK7" s="255"/>
      <c r="AL7" s="255"/>
      <c r="AM7" s="256"/>
      <c r="AN7" s="86"/>
      <c r="AO7" s="76"/>
      <c r="AP7" s="76"/>
      <c r="AQ7" s="76"/>
      <c r="AR7" s="71"/>
    </row>
    <row r="8" spans="1:48" ht="159" x14ac:dyDescent="0.35">
      <c r="A8" s="48" t="s">
        <v>55</v>
      </c>
      <c r="B8" s="49" t="s">
        <v>56</v>
      </c>
      <c r="C8" s="316"/>
      <c r="D8" s="215" t="s">
        <v>87</v>
      </c>
      <c r="E8" s="215" t="s">
        <v>88</v>
      </c>
      <c r="F8" s="215" t="s">
        <v>89</v>
      </c>
      <c r="G8" s="215" t="s">
        <v>90</v>
      </c>
      <c r="H8" s="215" t="s">
        <v>91</v>
      </c>
      <c r="I8" s="216" t="s">
        <v>279</v>
      </c>
      <c r="J8" s="216" t="s">
        <v>280</v>
      </c>
      <c r="K8" s="217" t="s">
        <v>281</v>
      </c>
      <c r="L8" s="54"/>
      <c r="M8" s="54"/>
      <c r="N8" s="55"/>
      <c r="O8" s="316"/>
      <c r="P8" s="215" t="s">
        <v>92</v>
      </c>
      <c r="Q8" s="215" t="s">
        <v>93</v>
      </c>
      <c r="R8" s="215" t="s">
        <v>94</v>
      </c>
      <c r="S8" s="215" t="s">
        <v>95</v>
      </c>
      <c r="T8" s="215" t="s">
        <v>96</v>
      </c>
      <c r="U8" s="215" t="s">
        <v>282</v>
      </c>
      <c r="V8" s="217" t="s">
        <v>283</v>
      </c>
      <c r="W8" s="54"/>
      <c r="X8" s="54"/>
      <c r="Y8" s="54"/>
      <c r="Z8" s="54"/>
      <c r="AA8" s="316"/>
      <c r="AB8" s="316"/>
      <c r="AC8" s="316"/>
      <c r="AD8" s="316"/>
      <c r="AE8" s="316"/>
      <c r="AF8" s="316"/>
      <c r="AG8" s="316"/>
      <c r="AH8" s="325"/>
      <c r="AI8" s="326"/>
      <c r="AJ8" s="326"/>
      <c r="AK8" s="326"/>
      <c r="AL8" s="326"/>
      <c r="AM8" s="327"/>
      <c r="AN8" s="87"/>
      <c r="AO8" s="87"/>
      <c r="AP8" s="87"/>
      <c r="AQ8" s="87"/>
      <c r="AR8" s="88"/>
    </row>
    <row r="9" spans="1:48" ht="12" customHeight="1" x14ac:dyDescent="0.35">
      <c r="A9" s="59">
        <v>1</v>
      </c>
      <c r="B9" s="89" t="str">
        <f>'C. FILIACION'!B8</f>
        <v>ALTAMIRANO RAMOS ESTEFANI MILENKA</v>
      </c>
      <c r="C9" s="31">
        <v>10</v>
      </c>
      <c r="D9" s="90">
        <v>30</v>
      </c>
      <c r="E9" s="90">
        <v>30</v>
      </c>
      <c r="F9" s="90">
        <v>30</v>
      </c>
      <c r="G9" s="90">
        <v>30</v>
      </c>
      <c r="H9" s="90">
        <v>30</v>
      </c>
      <c r="I9" s="31">
        <v>27</v>
      </c>
      <c r="J9" s="90">
        <v>25</v>
      </c>
      <c r="K9" s="31">
        <v>32</v>
      </c>
      <c r="L9" s="31"/>
      <c r="M9" s="31"/>
      <c r="N9" s="31"/>
      <c r="O9" s="91">
        <f t="shared" ref="O9:O44" si="0">IFERROR(ROUND(AVERAGE(D9:N9),0),"")</f>
        <v>29</v>
      </c>
      <c r="P9" s="90">
        <v>30</v>
      </c>
      <c r="Q9" s="90">
        <v>30</v>
      </c>
      <c r="R9" s="90">
        <v>30</v>
      </c>
      <c r="S9" s="90">
        <v>30</v>
      </c>
      <c r="T9" s="90">
        <v>30</v>
      </c>
      <c r="U9" s="31">
        <v>33</v>
      </c>
      <c r="V9" s="31">
        <v>35</v>
      </c>
      <c r="W9" s="31"/>
      <c r="X9" s="31"/>
      <c r="Y9" s="31"/>
      <c r="Z9" s="31"/>
      <c r="AA9" s="31">
        <v>10</v>
      </c>
      <c r="AB9" s="91">
        <f t="shared" ref="AB9:AB44" si="1">IFERROR(ROUND(AVERAGE(P9:Z9),0),"")</f>
        <v>31</v>
      </c>
      <c r="AC9" s="31">
        <v>3</v>
      </c>
      <c r="AD9" s="31">
        <v>5</v>
      </c>
      <c r="AE9" s="91">
        <f t="shared" ref="AE9:AE44" si="2">IFERROR((SUM(AC9,AD9)),"")</f>
        <v>8</v>
      </c>
      <c r="AF9" s="92" t="str">
        <f t="shared" ref="AF9:AF44" si="3">IF(AG9&lt;51,"ED",IF(AG9&lt;67,"DA",IF(AG9&lt;85,"DO","DP")))</f>
        <v>DP</v>
      </c>
      <c r="AG9" s="91">
        <f t="shared" ref="AG9:AG44" si="4">IFERROR((SUM(C9,O9,AA9,AB9,AE9)),"")</f>
        <v>88</v>
      </c>
      <c r="AH9" s="301" t="str">
        <f t="shared" ref="AH9:AH44" si="5">IF(AG9="","",(IF(AND(AG9&gt;=1,AG9&lt;=50.499),"REPROBADO",IF(AND(AG9&gt;=50.5,AG9&lt;=100),"APROBADO"))))</f>
        <v>APROBADO</v>
      </c>
      <c r="AI9" s="302"/>
      <c r="AJ9" s="302"/>
      <c r="AK9" s="302"/>
      <c r="AL9" s="302"/>
      <c r="AM9" s="303"/>
      <c r="AN9" s="93" t="s">
        <v>97</v>
      </c>
      <c r="AO9" s="328">
        <f>COUNTIF(AF9:AF44,"ED")</f>
        <v>3</v>
      </c>
      <c r="AP9" s="303"/>
      <c r="AQ9" s="94"/>
      <c r="AR9" s="94"/>
    </row>
    <row r="10" spans="1:48" ht="12" customHeight="1" x14ac:dyDescent="0.35">
      <c r="A10" s="59">
        <v>2</v>
      </c>
      <c r="B10" s="89" t="str">
        <f>'C. FILIACION'!B9</f>
        <v>APAZA LINO TATIANA JAZMIN</v>
      </c>
      <c r="C10" s="31">
        <v>10</v>
      </c>
      <c r="D10" s="90">
        <v>30</v>
      </c>
      <c r="E10" s="90">
        <v>30</v>
      </c>
      <c r="F10" s="90">
        <v>30</v>
      </c>
      <c r="G10" s="90">
        <v>30</v>
      </c>
      <c r="H10" s="90">
        <v>30</v>
      </c>
      <c r="I10" s="31">
        <v>27</v>
      </c>
      <c r="J10" s="90">
        <v>25</v>
      </c>
      <c r="K10" s="31">
        <v>30</v>
      </c>
      <c r="L10" s="31"/>
      <c r="M10" s="31"/>
      <c r="N10" s="31"/>
      <c r="O10" s="91">
        <f t="shared" si="0"/>
        <v>29</v>
      </c>
      <c r="P10" s="90">
        <v>30</v>
      </c>
      <c r="Q10" s="90">
        <v>30</v>
      </c>
      <c r="R10" s="90">
        <v>30</v>
      </c>
      <c r="S10" s="90">
        <v>30</v>
      </c>
      <c r="T10" s="90">
        <v>30</v>
      </c>
      <c r="U10" s="31">
        <v>33</v>
      </c>
      <c r="V10" s="31">
        <v>35</v>
      </c>
      <c r="W10" s="31"/>
      <c r="X10" s="31"/>
      <c r="Y10" s="31"/>
      <c r="Z10" s="31"/>
      <c r="AA10" s="31">
        <v>10</v>
      </c>
      <c r="AB10" s="91">
        <f t="shared" si="1"/>
        <v>31</v>
      </c>
      <c r="AC10" s="31">
        <v>4</v>
      </c>
      <c r="AD10" s="31">
        <v>5</v>
      </c>
      <c r="AE10" s="91">
        <f t="shared" si="2"/>
        <v>9</v>
      </c>
      <c r="AF10" s="92" t="str">
        <f t="shared" si="3"/>
        <v>DP</v>
      </c>
      <c r="AG10" s="91">
        <f t="shared" si="4"/>
        <v>89</v>
      </c>
      <c r="AH10" s="301" t="str">
        <f t="shared" si="5"/>
        <v>APROBADO</v>
      </c>
      <c r="AI10" s="302"/>
      <c r="AJ10" s="302"/>
      <c r="AK10" s="302"/>
      <c r="AL10" s="302"/>
      <c r="AM10" s="303"/>
      <c r="AN10" s="48" t="s">
        <v>98</v>
      </c>
      <c r="AO10" s="328">
        <f>COUNTIF(AF9:AF44,"DA")</f>
        <v>1</v>
      </c>
      <c r="AP10" s="303"/>
      <c r="AQ10" s="94"/>
      <c r="AR10" s="94"/>
    </row>
    <row r="11" spans="1:48" ht="12" customHeight="1" x14ac:dyDescent="0.35">
      <c r="A11" s="59">
        <v>3</v>
      </c>
      <c r="B11" s="89" t="str">
        <f>'C. FILIACION'!B10</f>
        <v>BOLAÑOS OVANDO MIJHAIL ALEXANDER</v>
      </c>
      <c r="C11" s="31">
        <v>9</v>
      </c>
      <c r="D11" s="90">
        <v>30</v>
      </c>
      <c r="E11" s="90">
        <v>30</v>
      </c>
      <c r="F11" s="90">
        <v>30</v>
      </c>
      <c r="G11" s="90">
        <v>30</v>
      </c>
      <c r="H11" s="90">
        <v>30</v>
      </c>
      <c r="I11" s="31">
        <v>20</v>
      </c>
      <c r="J11" s="90">
        <v>20</v>
      </c>
      <c r="K11" s="31">
        <v>22</v>
      </c>
      <c r="L11" s="31"/>
      <c r="M11" s="31"/>
      <c r="N11" s="31"/>
      <c r="O11" s="91">
        <f t="shared" si="0"/>
        <v>27</v>
      </c>
      <c r="P11" s="90">
        <v>30</v>
      </c>
      <c r="Q11" s="90">
        <v>30</v>
      </c>
      <c r="R11" s="90">
        <v>30</v>
      </c>
      <c r="S11" s="90">
        <v>30</v>
      </c>
      <c r="T11" s="90">
        <v>30</v>
      </c>
      <c r="U11" s="31">
        <v>18</v>
      </c>
      <c r="V11" s="31">
        <v>20</v>
      </c>
      <c r="W11" s="31"/>
      <c r="X11" s="31"/>
      <c r="Y11" s="31"/>
      <c r="Z11" s="31"/>
      <c r="AA11" s="31">
        <v>10</v>
      </c>
      <c r="AB11" s="91">
        <f t="shared" si="1"/>
        <v>27</v>
      </c>
      <c r="AC11" s="31">
        <v>5</v>
      </c>
      <c r="AD11" s="31">
        <v>5</v>
      </c>
      <c r="AE11" s="91">
        <f t="shared" si="2"/>
        <v>10</v>
      </c>
      <c r="AF11" s="92" t="str">
        <f t="shared" si="3"/>
        <v>DO</v>
      </c>
      <c r="AG11" s="91">
        <f t="shared" si="4"/>
        <v>83</v>
      </c>
      <c r="AH11" s="301" t="str">
        <f t="shared" si="5"/>
        <v>APROBADO</v>
      </c>
      <c r="AI11" s="302"/>
      <c r="AJ11" s="302"/>
      <c r="AK11" s="302"/>
      <c r="AL11" s="302"/>
      <c r="AM11" s="303"/>
      <c r="AN11" s="48" t="s">
        <v>99</v>
      </c>
      <c r="AO11" s="328">
        <f>COUNTIF(AF9:AF44,"DO")</f>
        <v>9</v>
      </c>
      <c r="AP11" s="303"/>
      <c r="AQ11" s="94"/>
      <c r="AR11" s="94"/>
    </row>
    <row r="12" spans="1:48" ht="12" customHeight="1" x14ac:dyDescent="0.35">
      <c r="A12" s="59">
        <v>4</v>
      </c>
      <c r="B12" s="196" t="str">
        <f>'C. FILIACION'!B11</f>
        <v>BRICHER ETHELBERT ISMAEL</v>
      </c>
      <c r="C12" s="197">
        <v>5</v>
      </c>
      <c r="D12" s="197">
        <v>30</v>
      </c>
      <c r="E12" s="197">
        <v>10</v>
      </c>
      <c r="F12" s="197">
        <v>10</v>
      </c>
      <c r="G12" s="197">
        <v>10</v>
      </c>
      <c r="H12" s="197">
        <v>10</v>
      </c>
      <c r="I12" s="197">
        <v>10</v>
      </c>
      <c r="J12" s="197">
        <v>10</v>
      </c>
      <c r="K12" s="197">
        <v>10</v>
      </c>
      <c r="L12" s="197"/>
      <c r="M12" s="197"/>
      <c r="N12" s="197"/>
      <c r="O12" s="198">
        <f t="shared" si="0"/>
        <v>13</v>
      </c>
      <c r="P12" s="197">
        <v>30</v>
      </c>
      <c r="Q12" s="197">
        <v>10</v>
      </c>
      <c r="R12" s="197">
        <v>10</v>
      </c>
      <c r="S12" s="197">
        <v>10</v>
      </c>
      <c r="T12" s="197">
        <v>10</v>
      </c>
      <c r="U12" s="197">
        <v>10</v>
      </c>
      <c r="V12" s="197">
        <v>25</v>
      </c>
      <c r="W12" s="197"/>
      <c r="X12" s="197"/>
      <c r="Y12" s="197"/>
      <c r="Z12" s="197"/>
      <c r="AA12" s="197">
        <v>3</v>
      </c>
      <c r="AB12" s="198">
        <f t="shared" si="1"/>
        <v>15</v>
      </c>
      <c r="AC12" s="197">
        <v>4</v>
      </c>
      <c r="AD12" s="197">
        <v>4</v>
      </c>
      <c r="AE12" s="198">
        <f t="shared" si="2"/>
        <v>8</v>
      </c>
      <c r="AF12" s="199" t="str">
        <f t="shared" si="3"/>
        <v>ED</v>
      </c>
      <c r="AG12" s="198">
        <f t="shared" si="4"/>
        <v>44</v>
      </c>
      <c r="AH12" s="304" t="str">
        <f t="shared" si="5"/>
        <v>REPROBADO</v>
      </c>
      <c r="AI12" s="305"/>
      <c r="AJ12" s="305"/>
      <c r="AK12" s="305"/>
      <c r="AL12" s="305"/>
      <c r="AM12" s="306"/>
      <c r="AN12" s="48" t="s">
        <v>100</v>
      </c>
      <c r="AO12" s="328">
        <f>COUNTIF(AF9:AF44,"DP")</f>
        <v>23</v>
      </c>
      <c r="AP12" s="303"/>
      <c r="AQ12" s="94"/>
      <c r="AR12" s="94"/>
    </row>
    <row r="13" spans="1:48" ht="12" customHeight="1" x14ac:dyDescent="0.35">
      <c r="A13" s="59">
        <v>5</v>
      </c>
      <c r="B13" s="89" t="str">
        <f>'C. FILIACION'!B12</f>
        <v>CANAVIRI QUISBERT ALEJANDRA ELENA</v>
      </c>
      <c r="C13" s="31">
        <v>10</v>
      </c>
      <c r="D13" s="90">
        <v>30</v>
      </c>
      <c r="E13" s="90">
        <v>30</v>
      </c>
      <c r="F13" s="90">
        <v>30</v>
      </c>
      <c r="G13" s="90">
        <v>30</v>
      </c>
      <c r="H13" s="90">
        <v>30</v>
      </c>
      <c r="I13" s="31">
        <v>25</v>
      </c>
      <c r="J13" s="90">
        <v>20</v>
      </c>
      <c r="K13" s="31">
        <v>18</v>
      </c>
      <c r="L13" s="31"/>
      <c r="M13" s="31"/>
      <c r="N13" s="31"/>
      <c r="O13" s="91">
        <f t="shared" si="0"/>
        <v>27</v>
      </c>
      <c r="P13" s="90">
        <v>30</v>
      </c>
      <c r="Q13" s="90">
        <v>30</v>
      </c>
      <c r="R13" s="90">
        <v>30</v>
      </c>
      <c r="S13" s="90">
        <v>30</v>
      </c>
      <c r="T13" s="90">
        <v>30</v>
      </c>
      <c r="U13" s="31">
        <v>33</v>
      </c>
      <c r="V13" s="31">
        <v>35</v>
      </c>
      <c r="W13" s="31"/>
      <c r="X13" s="31"/>
      <c r="Y13" s="31"/>
      <c r="Z13" s="31"/>
      <c r="AA13" s="31">
        <v>10</v>
      </c>
      <c r="AB13" s="91">
        <f t="shared" si="1"/>
        <v>31</v>
      </c>
      <c r="AC13" s="31">
        <v>4</v>
      </c>
      <c r="AD13" s="31">
        <v>5</v>
      </c>
      <c r="AE13" s="91">
        <f t="shared" si="2"/>
        <v>9</v>
      </c>
      <c r="AF13" s="92" t="str">
        <f t="shared" si="3"/>
        <v>DP</v>
      </c>
      <c r="AG13" s="91">
        <f t="shared" si="4"/>
        <v>87</v>
      </c>
      <c r="AH13" s="301" t="str">
        <f t="shared" si="5"/>
        <v>APROBADO</v>
      </c>
      <c r="AI13" s="302"/>
      <c r="AJ13" s="302"/>
      <c r="AK13" s="302"/>
      <c r="AL13" s="302"/>
      <c r="AM13" s="303"/>
      <c r="AN13" s="94"/>
      <c r="AO13" s="94"/>
      <c r="AP13" s="94"/>
      <c r="AQ13" s="94"/>
      <c r="AR13" s="94"/>
    </row>
    <row r="14" spans="1:48" ht="12" customHeight="1" x14ac:dyDescent="0.35">
      <c r="A14" s="59">
        <v>6</v>
      </c>
      <c r="B14" s="89" t="str">
        <f>'C. FILIACION'!B13</f>
        <v>GOMEZ BELTRAN ALBERT NORMAN</v>
      </c>
      <c r="C14" s="31">
        <v>10</v>
      </c>
      <c r="D14" s="90">
        <v>30</v>
      </c>
      <c r="E14" s="90">
        <v>30</v>
      </c>
      <c r="F14" s="90">
        <v>30</v>
      </c>
      <c r="G14" s="90">
        <v>30</v>
      </c>
      <c r="H14" s="90">
        <v>30</v>
      </c>
      <c r="I14" s="31">
        <v>25</v>
      </c>
      <c r="J14" s="31">
        <v>21</v>
      </c>
      <c r="K14" s="31">
        <v>18</v>
      </c>
      <c r="L14" s="31"/>
      <c r="M14" s="31"/>
      <c r="N14" s="31"/>
      <c r="O14" s="91">
        <f t="shared" si="0"/>
        <v>27</v>
      </c>
      <c r="P14" s="90">
        <v>30</v>
      </c>
      <c r="Q14" s="90">
        <v>30</v>
      </c>
      <c r="R14" s="90">
        <v>30</v>
      </c>
      <c r="S14" s="90">
        <v>30</v>
      </c>
      <c r="T14" s="90">
        <v>30</v>
      </c>
      <c r="U14" s="31">
        <v>32</v>
      </c>
      <c r="V14" s="31">
        <v>28</v>
      </c>
      <c r="W14" s="31"/>
      <c r="X14" s="31"/>
      <c r="Y14" s="31"/>
      <c r="Z14" s="31"/>
      <c r="AA14" s="31">
        <v>10</v>
      </c>
      <c r="AB14" s="91">
        <f t="shared" si="1"/>
        <v>30</v>
      </c>
      <c r="AC14" s="31">
        <v>4</v>
      </c>
      <c r="AD14" s="31">
        <v>3</v>
      </c>
      <c r="AE14" s="91">
        <f t="shared" si="2"/>
        <v>7</v>
      </c>
      <c r="AF14" s="92" t="str">
        <f t="shared" si="3"/>
        <v>DO</v>
      </c>
      <c r="AG14" s="91">
        <f t="shared" si="4"/>
        <v>84</v>
      </c>
      <c r="AH14" s="301" t="str">
        <f t="shared" si="5"/>
        <v>APROBADO</v>
      </c>
      <c r="AI14" s="302"/>
      <c r="AJ14" s="302"/>
      <c r="AK14" s="302"/>
      <c r="AL14" s="302"/>
      <c r="AM14" s="303"/>
      <c r="AN14" s="94"/>
      <c r="AO14" s="94"/>
      <c r="AP14" s="94"/>
      <c r="AQ14" s="94"/>
      <c r="AR14" s="94"/>
    </row>
    <row r="15" spans="1:48" ht="12" customHeight="1" x14ac:dyDescent="0.35">
      <c r="A15" s="59">
        <v>7</v>
      </c>
      <c r="B15" s="89" t="str">
        <f>'C. FILIACION'!B14</f>
        <v>GOMEZ COSME MELANY KARINA</v>
      </c>
      <c r="C15" s="31">
        <v>9</v>
      </c>
      <c r="D15" s="90">
        <v>30</v>
      </c>
      <c r="E15" s="90">
        <v>30</v>
      </c>
      <c r="F15" s="90">
        <v>30</v>
      </c>
      <c r="G15" s="90">
        <v>30</v>
      </c>
      <c r="H15" s="90">
        <v>30</v>
      </c>
      <c r="I15" s="31">
        <v>20</v>
      </c>
      <c r="J15" s="90">
        <v>0</v>
      </c>
      <c r="K15" s="31">
        <v>14</v>
      </c>
      <c r="L15" s="31"/>
      <c r="M15" s="31"/>
      <c r="N15" s="31"/>
      <c r="O15" s="91">
        <f t="shared" si="0"/>
        <v>23</v>
      </c>
      <c r="P15" s="90">
        <v>30</v>
      </c>
      <c r="Q15" s="90">
        <v>30</v>
      </c>
      <c r="R15" s="90">
        <v>30</v>
      </c>
      <c r="S15" s="90">
        <v>30</v>
      </c>
      <c r="T15" s="90">
        <v>30</v>
      </c>
      <c r="U15" s="31">
        <v>0</v>
      </c>
      <c r="V15" s="31">
        <v>0</v>
      </c>
      <c r="W15" s="31"/>
      <c r="X15" s="31"/>
      <c r="Y15" s="31"/>
      <c r="Z15" s="31"/>
      <c r="AA15" s="31">
        <v>6</v>
      </c>
      <c r="AB15" s="91">
        <f t="shared" si="1"/>
        <v>21</v>
      </c>
      <c r="AC15" s="31">
        <v>5</v>
      </c>
      <c r="AD15" s="31">
        <v>5</v>
      </c>
      <c r="AE15" s="91">
        <f t="shared" si="2"/>
        <v>10</v>
      </c>
      <c r="AF15" s="92" t="str">
        <f t="shared" si="3"/>
        <v>DO</v>
      </c>
      <c r="AG15" s="91">
        <f t="shared" si="4"/>
        <v>69</v>
      </c>
      <c r="AH15" s="301" t="str">
        <f t="shared" si="5"/>
        <v>APROBADO</v>
      </c>
      <c r="AI15" s="302"/>
      <c r="AJ15" s="302"/>
      <c r="AK15" s="302"/>
      <c r="AL15" s="302"/>
      <c r="AM15" s="303"/>
      <c r="AN15" s="94"/>
      <c r="AO15" s="94"/>
      <c r="AP15" s="94"/>
      <c r="AQ15" s="94"/>
      <c r="AR15" s="94"/>
    </row>
    <row r="16" spans="1:48" ht="12" customHeight="1" x14ac:dyDescent="0.35">
      <c r="A16" s="59">
        <v>8</v>
      </c>
      <c r="B16" s="89" t="str">
        <f>'C. FILIACION'!B15</f>
        <v>GONZALES ZUAZO KALEB RAMSES</v>
      </c>
      <c r="C16" s="31">
        <v>10</v>
      </c>
      <c r="D16" s="90">
        <v>30</v>
      </c>
      <c r="E16" s="90">
        <v>30</v>
      </c>
      <c r="F16" s="90">
        <v>30</v>
      </c>
      <c r="G16" s="90">
        <v>30</v>
      </c>
      <c r="H16" s="90">
        <v>30</v>
      </c>
      <c r="I16" s="31">
        <v>22</v>
      </c>
      <c r="J16" s="90">
        <v>25</v>
      </c>
      <c r="K16" s="31">
        <v>25</v>
      </c>
      <c r="L16" s="31"/>
      <c r="M16" s="31"/>
      <c r="N16" s="31"/>
      <c r="O16" s="91">
        <f t="shared" si="0"/>
        <v>28</v>
      </c>
      <c r="P16" s="90">
        <v>30</v>
      </c>
      <c r="Q16" s="90">
        <v>30</v>
      </c>
      <c r="R16" s="90">
        <v>30</v>
      </c>
      <c r="S16" s="90">
        <v>30</v>
      </c>
      <c r="T16" s="90">
        <v>30</v>
      </c>
      <c r="U16" s="31">
        <v>32</v>
      </c>
      <c r="V16" s="31">
        <v>0</v>
      </c>
      <c r="W16" s="31"/>
      <c r="X16" s="31"/>
      <c r="Y16" s="31"/>
      <c r="Z16" s="31"/>
      <c r="AA16" s="31">
        <v>10</v>
      </c>
      <c r="AB16" s="91">
        <f t="shared" si="1"/>
        <v>26</v>
      </c>
      <c r="AC16" s="31">
        <v>5</v>
      </c>
      <c r="AD16" s="31">
        <v>4</v>
      </c>
      <c r="AE16" s="91">
        <f t="shared" si="2"/>
        <v>9</v>
      </c>
      <c r="AF16" s="92" t="str">
        <f t="shared" si="3"/>
        <v>DO</v>
      </c>
      <c r="AG16" s="91">
        <f t="shared" si="4"/>
        <v>83</v>
      </c>
      <c r="AH16" s="301" t="str">
        <f t="shared" si="5"/>
        <v>APROBADO</v>
      </c>
      <c r="AI16" s="302"/>
      <c r="AJ16" s="302"/>
      <c r="AK16" s="302"/>
      <c r="AL16" s="302"/>
      <c r="AM16" s="303"/>
      <c r="AN16" s="94"/>
      <c r="AO16" s="94"/>
      <c r="AP16" s="94"/>
      <c r="AQ16" s="94"/>
      <c r="AR16" s="94"/>
    </row>
    <row r="17" spans="1:44" ht="12" customHeight="1" x14ac:dyDescent="0.35">
      <c r="A17" s="59">
        <v>9</v>
      </c>
      <c r="B17" s="89" t="str">
        <f>'C. FILIACION'!B16</f>
        <v>LEDEZMA AGUILAR ELVIS JHEFERSON</v>
      </c>
      <c r="C17" s="31">
        <v>10</v>
      </c>
      <c r="D17" s="90">
        <v>30</v>
      </c>
      <c r="E17" s="90">
        <v>30</v>
      </c>
      <c r="F17" s="90">
        <v>30</v>
      </c>
      <c r="G17" s="90">
        <v>30</v>
      </c>
      <c r="H17" s="90">
        <v>30</v>
      </c>
      <c r="I17" s="31">
        <v>28</v>
      </c>
      <c r="J17" s="90">
        <v>20</v>
      </c>
      <c r="K17" s="31">
        <v>20</v>
      </c>
      <c r="L17" s="31"/>
      <c r="M17" s="31"/>
      <c r="N17" s="31"/>
      <c r="O17" s="91">
        <f t="shared" si="0"/>
        <v>27</v>
      </c>
      <c r="P17" s="90">
        <v>30</v>
      </c>
      <c r="Q17" s="90">
        <v>30</v>
      </c>
      <c r="R17" s="90">
        <v>30</v>
      </c>
      <c r="S17" s="90">
        <v>30</v>
      </c>
      <c r="T17" s="90">
        <v>30</v>
      </c>
      <c r="U17" s="31">
        <v>28</v>
      </c>
      <c r="V17" s="31">
        <v>35</v>
      </c>
      <c r="W17" s="31"/>
      <c r="X17" s="31"/>
      <c r="Y17" s="31"/>
      <c r="Z17" s="31"/>
      <c r="AA17" s="31">
        <v>10</v>
      </c>
      <c r="AB17" s="91">
        <f t="shared" si="1"/>
        <v>30</v>
      </c>
      <c r="AC17" s="31">
        <v>4</v>
      </c>
      <c r="AD17" s="31">
        <v>3</v>
      </c>
      <c r="AE17" s="91">
        <f t="shared" si="2"/>
        <v>7</v>
      </c>
      <c r="AF17" s="92" t="str">
        <f t="shared" si="3"/>
        <v>DO</v>
      </c>
      <c r="AG17" s="91">
        <f t="shared" si="4"/>
        <v>84</v>
      </c>
      <c r="AH17" s="301" t="str">
        <f t="shared" si="5"/>
        <v>APROBADO</v>
      </c>
      <c r="AI17" s="302"/>
      <c r="AJ17" s="302"/>
      <c r="AK17" s="302"/>
      <c r="AL17" s="302"/>
      <c r="AM17" s="303"/>
      <c r="AN17" s="94"/>
      <c r="AO17" s="94"/>
      <c r="AP17" s="94"/>
      <c r="AQ17" s="94"/>
      <c r="AR17" s="94"/>
    </row>
    <row r="18" spans="1:44" ht="12" customHeight="1" x14ac:dyDescent="0.35">
      <c r="A18" s="59">
        <v>10</v>
      </c>
      <c r="B18" s="89" t="str">
        <f>'C. FILIACION'!B17</f>
        <v>LOBATON RODRIGUEZ JHONATAN A.</v>
      </c>
      <c r="C18" s="31">
        <v>10</v>
      </c>
      <c r="D18" s="90">
        <v>30</v>
      </c>
      <c r="E18" s="90">
        <v>30</v>
      </c>
      <c r="F18" s="90">
        <v>30</v>
      </c>
      <c r="G18" s="90">
        <v>30</v>
      </c>
      <c r="H18" s="90">
        <v>30</v>
      </c>
      <c r="I18" s="31">
        <v>20</v>
      </c>
      <c r="J18" s="90">
        <v>20</v>
      </c>
      <c r="K18" s="31">
        <v>27</v>
      </c>
      <c r="L18" s="31"/>
      <c r="M18" s="31"/>
      <c r="N18" s="31"/>
      <c r="O18" s="91">
        <f t="shared" si="0"/>
        <v>27</v>
      </c>
      <c r="P18" s="90">
        <v>30</v>
      </c>
      <c r="Q18" s="90">
        <v>30</v>
      </c>
      <c r="R18" s="90">
        <v>30</v>
      </c>
      <c r="S18" s="90">
        <v>30</v>
      </c>
      <c r="T18" s="90">
        <v>30</v>
      </c>
      <c r="U18" s="31">
        <v>25</v>
      </c>
      <c r="V18" s="31">
        <v>25</v>
      </c>
      <c r="W18" s="31"/>
      <c r="X18" s="31"/>
      <c r="Y18" s="31"/>
      <c r="Z18" s="31"/>
      <c r="AA18" s="31">
        <v>10</v>
      </c>
      <c r="AB18" s="91">
        <f t="shared" si="1"/>
        <v>29</v>
      </c>
      <c r="AC18" s="31">
        <v>5</v>
      </c>
      <c r="AD18" s="31">
        <v>5</v>
      </c>
      <c r="AE18" s="91">
        <f t="shared" si="2"/>
        <v>10</v>
      </c>
      <c r="AF18" s="92" t="str">
        <f t="shared" si="3"/>
        <v>DP</v>
      </c>
      <c r="AG18" s="91">
        <f t="shared" si="4"/>
        <v>86</v>
      </c>
      <c r="AH18" s="301" t="str">
        <f t="shared" si="5"/>
        <v>APROBADO</v>
      </c>
      <c r="AI18" s="302"/>
      <c r="AJ18" s="302"/>
      <c r="AK18" s="302"/>
      <c r="AL18" s="302"/>
      <c r="AM18" s="303"/>
      <c r="AN18" s="94"/>
      <c r="AO18" s="94"/>
      <c r="AP18" s="94"/>
      <c r="AQ18" s="94"/>
      <c r="AR18" s="94"/>
    </row>
    <row r="19" spans="1:44" ht="12" customHeight="1" x14ac:dyDescent="0.35">
      <c r="A19" s="59">
        <v>11</v>
      </c>
      <c r="B19" s="89" t="str">
        <f>'C. FILIACION'!B18</f>
        <v>MAMANI LOPEZ DAFNE MILDRED</v>
      </c>
      <c r="C19" s="31">
        <v>9</v>
      </c>
      <c r="D19" s="90">
        <v>30</v>
      </c>
      <c r="E19" s="90">
        <v>30</v>
      </c>
      <c r="F19" s="90">
        <v>30</v>
      </c>
      <c r="G19" s="90">
        <v>30</v>
      </c>
      <c r="H19" s="90">
        <v>30</v>
      </c>
      <c r="I19" s="31">
        <v>17</v>
      </c>
      <c r="J19" s="90">
        <v>25</v>
      </c>
      <c r="K19" s="31">
        <v>23</v>
      </c>
      <c r="L19" s="31"/>
      <c r="M19" s="31"/>
      <c r="N19" s="31"/>
      <c r="O19" s="91">
        <f t="shared" si="0"/>
        <v>27</v>
      </c>
      <c r="P19" s="90">
        <v>30</v>
      </c>
      <c r="Q19" s="90">
        <v>30</v>
      </c>
      <c r="R19" s="90">
        <v>30</v>
      </c>
      <c r="S19" s="90">
        <v>30</v>
      </c>
      <c r="T19" s="90">
        <v>30</v>
      </c>
      <c r="U19" s="31">
        <v>0</v>
      </c>
      <c r="V19" s="31">
        <v>0</v>
      </c>
      <c r="W19" s="31"/>
      <c r="X19" s="31"/>
      <c r="Y19" s="31"/>
      <c r="Z19" s="31"/>
      <c r="AA19" s="31">
        <v>8</v>
      </c>
      <c r="AB19" s="91">
        <f t="shared" si="1"/>
        <v>21</v>
      </c>
      <c r="AC19" s="31">
        <v>4</v>
      </c>
      <c r="AD19" s="31">
        <v>5</v>
      </c>
      <c r="AE19" s="91">
        <f t="shared" si="2"/>
        <v>9</v>
      </c>
      <c r="AF19" s="92" t="str">
        <f t="shared" si="3"/>
        <v>DO</v>
      </c>
      <c r="AG19" s="91">
        <f t="shared" si="4"/>
        <v>74</v>
      </c>
      <c r="AH19" s="301" t="str">
        <f t="shared" si="5"/>
        <v>APROBADO</v>
      </c>
      <c r="AI19" s="302"/>
      <c r="AJ19" s="302"/>
      <c r="AK19" s="302"/>
      <c r="AL19" s="302"/>
      <c r="AM19" s="303"/>
      <c r="AN19" s="94"/>
      <c r="AO19" s="94"/>
      <c r="AP19" s="94"/>
      <c r="AQ19" s="94"/>
      <c r="AR19" s="94"/>
    </row>
    <row r="20" spans="1:44" ht="12" customHeight="1" x14ac:dyDescent="0.35">
      <c r="A20" s="59">
        <v>12</v>
      </c>
      <c r="B20" s="89" t="str">
        <f>'C. FILIACION'!B19</f>
        <v>MARCONI PEREZ SINDEL LUANA</v>
      </c>
      <c r="C20" s="31">
        <v>6</v>
      </c>
      <c r="D20" s="90">
        <v>30</v>
      </c>
      <c r="E20" s="90">
        <v>30</v>
      </c>
      <c r="F20" s="90">
        <v>30</v>
      </c>
      <c r="G20" s="90">
        <v>30</v>
      </c>
      <c r="H20" s="90">
        <v>30</v>
      </c>
      <c r="I20" s="31">
        <v>20</v>
      </c>
      <c r="J20" s="31">
        <v>0</v>
      </c>
      <c r="K20" s="31">
        <v>0</v>
      </c>
      <c r="L20" s="31"/>
      <c r="M20" s="31"/>
      <c r="N20" s="31"/>
      <c r="O20" s="91">
        <f t="shared" si="0"/>
        <v>21</v>
      </c>
      <c r="P20" s="90">
        <v>30</v>
      </c>
      <c r="Q20" s="90">
        <v>30</v>
      </c>
      <c r="R20" s="90">
        <v>30</v>
      </c>
      <c r="S20" s="90">
        <v>30</v>
      </c>
      <c r="T20" s="90">
        <v>30</v>
      </c>
      <c r="U20" s="31">
        <v>0</v>
      </c>
      <c r="V20" s="31">
        <v>0</v>
      </c>
      <c r="W20" s="31"/>
      <c r="X20" s="31"/>
      <c r="Y20" s="31"/>
      <c r="Z20" s="31"/>
      <c r="AA20" s="31">
        <v>8</v>
      </c>
      <c r="AB20" s="91">
        <f t="shared" si="1"/>
        <v>21</v>
      </c>
      <c r="AC20" s="31">
        <v>3</v>
      </c>
      <c r="AD20" s="31">
        <v>3</v>
      </c>
      <c r="AE20" s="91">
        <f t="shared" si="2"/>
        <v>6</v>
      </c>
      <c r="AF20" s="92" t="str">
        <f t="shared" si="3"/>
        <v>DA</v>
      </c>
      <c r="AG20" s="91">
        <f t="shared" si="4"/>
        <v>62</v>
      </c>
      <c r="AH20" s="301" t="str">
        <f t="shared" si="5"/>
        <v>APROBADO</v>
      </c>
      <c r="AI20" s="302"/>
      <c r="AJ20" s="302"/>
      <c r="AK20" s="302"/>
      <c r="AL20" s="302"/>
      <c r="AM20" s="303"/>
      <c r="AN20" s="94"/>
      <c r="AO20" s="94"/>
      <c r="AP20" s="94"/>
      <c r="AQ20" s="94"/>
      <c r="AR20" s="94"/>
    </row>
    <row r="21" spans="1:44" ht="12" customHeight="1" x14ac:dyDescent="0.35">
      <c r="A21" s="59">
        <v>13</v>
      </c>
      <c r="B21" s="89" t="str">
        <f>'C. FILIACION'!B20</f>
        <v>MENACHO LINEO ANDREA KIMBERLY</v>
      </c>
      <c r="C21" s="31">
        <v>10</v>
      </c>
      <c r="D21" s="90">
        <v>30</v>
      </c>
      <c r="E21" s="90">
        <v>30</v>
      </c>
      <c r="F21" s="90">
        <v>30</v>
      </c>
      <c r="G21" s="90">
        <v>30</v>
      </c>
      <c r="H21" s="90">
        <v>30</v>
      </c>
      <c r="I21" s="31">
        <v>30</v>
      </c>
      <c r="J21" s="90">
        <v>35</v>
      </c>
      <c r="K21" s="31">
        <v>25</v>
      </c>
      <c r="L21" s="31"/>
      <c r="M21" s="31"/>
      <c r="N21" s="31"/>
      <c r="O21" s="91">
        <f t="shared" si="0"/>
        <v>30</v>
      </c>
      <c r="P21" s="90">
        <v>30</v>
      </c>
      <c r="Q21" s="90">
        <v>30</v>
      </c>
      <c r="R21" s="90">
        <v>30</v>
      </c>
      <c r="S21" s="90">
        <v>30</v>
      </c>
      <c r="T21" s="90">
        <v>30</v>
      </c>
      <c r="U21" s="31">
        <v>33</v>
      </c>
      <c r="V21" s="31">
        <v>35</v>
      </c>
      <c r="W21" s="31"/>
      <c r="X21" s="31"/>
      <c r="Y21" s="31"/>
      <c r="Z21" s="31"/>
      <c r="AA21" s="31">
        <v>10</v>
      </c>
      <c r="AB21" s="91">
        <f t="shared" si="1"/>
        <v>31</v>
      </c>
      <c r="AC21" s="31">
        <v>3</v>
      </c>
      <c r="AD21" s="31">
        <v>4</v>
      </c>
      <c r="AE21" s="91">
        <f t="shared" si="2"/>
        <v>7</v>
      </c>
      <c r="AF21" s="92" t="str">
        <f t="shared" si="3"/>
        <v>DP</v>
      </c>
      <c r="AG21" s="91">
        <f t="shared" si="4"/>
        <v>88</v>
      </c>
      <c r="AH21" s="301" t="str">
        <f t="shared" si="5"/>
        <v>APROBADO</v>
      </c>
      <c r="AI21" s="302"/>
      <c r="AJ21" s="302"/>
      <c r="AK21" s="302"/>
      <c r="AL21" s="302"/>
      <c r="AM21" s="303"/>
      <c r="AN21" s="94"/>
      <c r="AO21" s="94"/>
      <c r="AP21" s="94"/>
      <c r="AQ21" s="94"/>
      <c r="AR21" s="94"/>
    </row>
    <row r="22" spans="1:44" ht="12" customHeight="1" x14ac:dyDescent="0.35">
      <c r="A22" s="59">
        <v>14</v>
      </c>
      <c r="B22" s="89" t="str">
        <f>'C. FILIACION'!B21</f>
        <v>PILLCO APAZA MARIAN ALEXANDRA</v>
      </c>
      <c r="C22" s="31">
        <v>10</v>
      </c>
      <c r="D22" s="90">
        <v>30</v>
      </c>
      <c r="E22" s="90">
        <v>30</v>
      </c>
      <c r="F22" s="90">
        <v>30</v>
      </c>
      <c r="G22" s="90">
        <v>30</v>
      </c>
      <c r="H22" s="90">
        <v>30</v>
      </c>
      <c r="I22" s="31">
        <v>30</v>
      </c>
      <c r="J22" s="31">
        <v>0</v>
      </c>
      <c r="K22" s="31">
        <v>25</v>
      </c>
      <c r="L22" s="31"/>
      <c r="M22" s="31"/>
      <c r="N22" s="31"/>
      <c r="O22" s="91">
        <f t="shared" si="0"/>
        <v>26</v>
      </c>
      <c r="P22" s="90">
        <v>30</v>
      </c>
      <c r="Q22" s="90">
        <v>30</v>
      </c>
      <c r="R22" s="90">
        <v>30</v>
      </c>
      <c r="S22" s="90">
        <v>30</v>
      </c>
      <c r="T22" s="90">
        <v>30</v>
      </c>
      <c r="U22" s="31">
        <v>34</v>
      </c>
      <c r="V22" s="31">
        <v>35</v>
      </c>
      <c r="W22" s="31"/>
      <c r="X22" s="31"/>
      <c r="Y22" s="31"/>
      <c r="Z22" s="31"/>
      <c r="AA22" s="31">
        <v>10</v>
      </c>
      <c r="AB22" s="91">
        <f t="shared" si="1"/>
        <v>31</v>
      </c>
      <c r="AC22" s="31">
        <v>4</v>
      </c>
      <c r="AD22" s="31">
        <v>5</v>
      </c>
      <c r="AE22" s="91">
        <f t="shared" si="2"/>
        <v>9</v>
      </c>
      <c r="AF22" s="92" t="str">
        <f t="shared" si="3"/>
        <v>DP</v>
      </c>
      <c r="AG22" s="91">
        <f t="shared" si="4"/>
        <v>86</v>
      </c>
      <c r="AH22" s="301" t="str">
        <f t="shared" si="5"/>
        <v>APROBADO</v>
      </c>
      <c r="AI22" s="302"/>
      <c r="AJ22" s="302"/>
      <c r="AK22" s="302"/>
      <c r="AL22" s="302"/>
      <c r="AM22" s="303"/>
      <c r="AN22" s="94"/>
      <c r="AO22" s="94"/>
      <c r="AP22" s="94"/>
      <c r="AQ22" s="94"/>
      <c r="AR22" s="94"/>
    </row>
    <row r="23" spans="1:44" ht="12" customHeight="1" x14ac:dyDescent="0.35">
      <c r="A23" s="59">
        <v>15</v>
      </c>
      <c r="B23" s="89" t="str">
        <f>'C. FILIACION'!B22</f>
        <v>RUEDA ALVAREZ GREGORY STEVEN</v>
      </c>
      <c r="C23" s="31">
        <v>10</v>
      </c>
      <c r="D23" s="90">
        <v>30</v>
      </c>
      <c r="E23" s="90">
        <v>30</v>
      </c>
      <c r="F23" s="90">
        <v>30</v>
      </c>
      <c r="G23" s="90">
        <v>30</v>
      </c>
      <c r="H23" s="90">
        <v>30</v>
      </c>
      <c r="I23" s="31">
        <v>30</v>
      </c>
      <c r="J23" s="90">
        <v>0</v>
      </c>
      <c r="K23" s="31">
        <v>25</v>
      </c>
      <c r="L23" s="31"/>
      <c r="M23" s="31"/>
      <c r="N23" s="31"/>
      <c r="O23" s="91">
        <f t="shared" si="0"/>
        <v>26</v>
      </c>
      <c r="P23" s="90">
        <v>30</v>
      </c>
      <c r="Q23" s="90">
        <v>30</v>
      </c>
      <c r="R23" s="90">
        <v>30</v>
      </c>
      <c r="S23" s="90">
        <v>30</v>
      </c>
      <c r="T23" s="90">
        <v>30</v>
      </c>
      <c r="U23" s="31">
        <v>33</v>
      </c>
      <c r="V23" s="31">
        <v>30</v>
      </c>
      <c r="W23" s="31"/>
      <c r="X23" s="31"/>
      <c r="Y23" s="31"/>
      <c r="Z23" s="31"/>
      <c r="AA23" s="31">
        <v>10</v>
      </c>
      <c r="AB23" s="91">
        <f t="shared" si="1"/>
        <v>30</v>
      </c>
      <c r="AC23" s="31">
        <v>4</v>
      </c>
      <c r="AD23" s="31">
        <v>4</v>
      </c>
      <c r="AE23" s="91">
        <f t="shared" si="2"/>
        <v>8</v>
      </c>
      <c r="AF23" s="92" t="str">
        <f t="shared" si="3"/>
        <v>DO</v>
      </c>
      <c r="AG23" s="91">
        <f t="shared" si="4"/>
        <v>84</v>
      </c>
      <c r="AH23" s="301" t="str">
        <f t="shared" si="5"/>
        <v>APROBADO</v>
      </c>
      <c r="AI23" s="302"/>
      <c r="AJ23" s="302"/>
      <c r="AK23" s="302"/>
      <c r="AL23" s="302"/>
      <c r="AM23" s="303"/>
      <c r="AN23" s="94"/>
      <c r="AO23" s="94"/>
      <c r="AP23" s="94"/>
      <c r="AQ23" s="94"/>
      <c r="AR23" s="94"/>
    </row>
    <row r="24" spans="1:44" ht="12" customHeight="1" x14ac:dyDescent="0.35">
      <c r="A24" s="59">
        <v>16</v>
      </c>
      <c r="B24" s="196" t="str">
        <f>'C. FILIACION'!B23</f>
        <v>VARGAS JOYCE BELEN</v>
      </c>
      <c r="C24" s="197">
        <v>3</v>
      </c>
      <c r="D24" s="197">
        <v>30</v>
      </c>
      <c r="E24" s="197">
        <v>30</v>
      </c>
      <c r="F24" s="197">
        <v>30</v>
      </c>
      <c r="G24" s="197">
        <v>10</v>
      </c>
      <c r="H24" s="197">
        <v>10</v>
      </c>
      <c r="I24" s="197">
        <v>10</v>
      </c>
      <c r="J24" s="197">
        <v>0</v>
      </c>
      <c r="K24" s="197">
        <v>0</v>
      </c>
      <c r="L24" s="197"/>
      <c r="M24" s="197"/>
      <c r="N24" s="197"/>
      <c r="O24" s="198">
        <f t="shared" si="0"/>
        <v>15</v>
      </c>
      <c r="P24" s="197">
        <v>30</v>
      </c>
      <c r="Q24" s="197">
        <v>0</v>
      </c>
      <c r="R24" s="197">
        <v>0</v>
      </c>
      <c r="S24" s="197">
        <v>0</v>
      </c>
      <c r="T24" s="197">
        <v>0</v>
      </c>
      <c r="U24" s="197">
        <v>0</v>
      </c>
      <c r="V24" s="197">
        <v>0</v>
      </c>
      <c r="W24" s="197"/>
      <c r="X24" s="197"/>
      <c r="Y24" s="197"/>
      <c r="Z24" s="197"/>
      <c r="AA24" s="197">
        <v>4</v>
      </c>
      <c r="AB24" s="198">
        <f t="shared" si="1"/>
        <v>4</v>
      </c>
      <c r="AC24" s="197">
        <v>2</v>
      </c>
      <c r="AD24" s="197">
        <v>2</v>
      </c>
      <c r="AE24" s="198">
        <f t="shared" si="2"/>
        <v>4</v>
      </c>
      <c r="AF24" s="199" t="str">
        <f t="shared" si="3"/>
        <v>ED</v>
      </c>
      <c r="AG24" s="198">
        <f t="shared" si="4"/>
        <v>30</v>
      </c>
      <c r="AH24" s="304" t="str">
        <f t="shared" si="5"/>
        <v>REPROBADO</v>
      </c>
      <c r="AI24" s="305"/>
      <c r="AJ24" s="305"/>
      <c r="AK24" s="305"/>
      <c r="AL24" s="305"/>
      <c r="AM24" s="306"/>
      <c r="AN24" s="94"/>
      <c r="AO24" s="94"/>
      <c r="AP24" s="94"/>
      <c r="AQ24" s="94"/>
      <c r="AR24" s="94"/>
    </row>
    <row r="25" spans="1:44" ht="12" customHeight="1" x14ac:dyDescent="0.35">
      <c r="A25" s="59">
        <v>17</v>
      </c>
      <c r="B25" s="89" t="str">
        <f>'C. FILIACION'!B24</f>
        <v>ZURITA JIMENEZ ELMER ARTURO</v>
      </c>
      <c r="C25" s="31">
        <v>10</v>
      </c>
      <c r="D25" s="90">
        <v>30</v>
      </c>
      <c r="E25" s="90">
        <v>30</v>
      </c>
      <c r="F25" s="90">
        <v>30</v>
      </c>
      <c r="G25" s="90">
        <v>30</v>
      </c>
      <c r="H25" s="90">
        <v>30</v>
      </c>
      <c r="I25" s="31">
        <v>30</v>
      </c>
      <c r="J25" s="31">
        <v>0</v>
      </c>
      <c r="K25" s="31">
        <v>21</v>
      </c>
      <c r="L25" s="31"/>
      <c r="M25" s="31"/>
      <c r="N25" s="31"/>
      <c r="O25" s="91">
        <f t="shared" si="0"/>
        <v>25</v>
      </c>
      <c r="P25" s="90">
        <v>30</v>
      </c>
      <c r="Q25" s="90">
        <v>30</v>
      </c>
      <c r="R25" s="90">
        <v>30</v>
      </c>
      <c r="S25" s="90">
        <v>30</v>
      </c>
      <c r="T25" s="90">
        <v>30</v>
      </c>
      <c r="U25" s="31">
        <v>32</v>
      </c>
      <c r="V25" s="31">
        <v>35</v>
      </c>
      <c r="W25" s="31"/>
      <c r="X25" s="31"/>
      <c r="Y25" s="31"/>
      <c r="Z25" s="31"/>
      <c r="AA25" s="31">
        <v>10</v>
      </c>
      <c r="AB25" s="91">
        <f t="shared" si="1"/>
        <v>31</v>
      </c>
      <c r="AC25" s="31">
        <v>4</v>
      </c>
      <c r="AD25" s="31">
        <v>3</v>
      </c>
      <c r="AE25" s="91">
        <f t="shared" si="2"/>
        <v>7</v>
      </c>
      <c r="AF25" s="92" t="str">
        <f t="shared" si="3"/>
        <v>DO</v>
      </c>
      <c r="AG25" s="91">
        <f t="shared" si="4"/>
        <v>83</v>
      </c>
      <c r="AH25" s="301" t="str">
        <f t="shared" si="5"/>
        <v>APROBADO</v>
      </c>
      <c r="AI25" s="302"/>
      <c r="AJ25" s="302"/>
      <c r="AK25" s="302"/>
      <c r="AL25" s="302"/>
      <c r="AM25" s="303"/>
      <c r="AN25" s="94"/>
      <c r="AO25" s="94"/>
      <c r="AP25" s="94"/>
      <c r="AQ25" s="94"/>
      <c r="AR25" s="94"/>
    </row>
    <row r="26" spans="1:44" ht="12" customHeight="1" x14ac:dyDescent="0.35">
      <c r="A26" s="59">
        <v>18</v>
      </c>
      <c r="B26" s="196" t="str">
        <f>'C. FILIACION'!B25</f>
        <v>ADRIAN FLORES EDDY BEYMAR</v>
      </c>
      <c r="C26" s="197">
        <v>2</v>
      </c>
      <c r="D26" s="197">
        <v>10</v>
      </c>
      <c r="E26" s="197">
        <v>12</v>
      </c>
      <c r="F26" s="197">
        <v>12</v>
      </c>
      <c r="G26" s="197">
        <v>12</v>
      </c>
      <c r="H26" s="197">
        <v>10</v>
      </c>
      <c r="I26" s="197">
        <v>12</v>
      </c>
      <c r="J26" s="197">
        <v>12</v>
      </c>
      <c r="K26" s="197">
        <v>12</v>
      </c>
      <c r="L26" s="197"/>
      <c r="M26" s="197"/>
      <c r="N26" s="197"/>
      <c r="O26" s="198">
        <f t="shared" si="0"/>
        <v>12</v>
      </c>
      <c r="P26" s="197">
        <v>12</v>
      </c>
      <c r="Q26" s="197">
        <v>12</v>
      </c>
      <c r="R26" s="197">
        <v>12</v>
      </c>
      <c r="S26" s="197">
        <v>12</v>
      </c>
      <c r="T26" s="197">
        <v>12</v>
      </c>
      <c r="U26" s="197">
        <v>12</v>
      </c>
      <c r="V26" s="197">
        <v>12</v>
      </c>
      <c r="W26" s="197"/>
      <c r="X26" s="197"/>
      <c r="Y26" s="197"/>
      <c r="Z26" s="197"/>
      <c r="AA26" s="197">
        <v>2</v>
      </c>
      <c r="AB26" s="198">
        <f t="shared" si="1"/>
        <v>12</v>
      </c>
      <c r="AC26" s="197">
        <v>1</v>
      </c>
      <c r="AD26" s="197">
        <v>1</v>
      </c>
      <c r="AE26" s="198">
        <f t="shared" si="2"/>
        <v>2</v>
      </c>
      <c r="AF26" s="199" t="str">
        <f t="shared" si="3"/>
        <v>ED</v>
      </c>
      <c r="AG26" s="198">
        <f t="shared" si="4"/>
        <v>30</v>
      </c>
      <c r="AH26" s="304" t="str">
        <f t="shared" si="5"/>
        <v>REPROBADO</v>
      </c>
      <c r="AI26" s="305"/>
      <c r="AJ26" s="305"/>
      <c r="AK26" s="305"/>
      <c r="AL26" s="305"/>
      <c r="AM26" s="306"/>
      <c r="AN26" s="94"/>
      <c r="AO26" s="94"/>
      <c r="AP26" s="94"/>
      <c r="AQ26" s="94"/>
      <c r="AR26" s="94"/>
    </row>
    <row r="27" spans="1:44" ht="12" customHeight="1" x14ac:dyDescent="0.35">
      <c r="A27" s="59">
        <v>19</v>
      </c>
      <c r="B27" s="218" t="str">
        <f>'C. FILIACION'!B26</f>
        <v>VENTURA CHOQUE DANELY KEYLA</v>
      </c>
      <c r="C27" s="219">
        <v>10</v>
      </c>
      <c r="D27" s="219"/>
      <c r="E27" s="219"/>
      <c r="F27" s="219"/>
      <c r="G27" s="219"/>
      <c r="H27" s="219"/>
      <c r="I27" s="219"/>
      <c r="J27" s="219"/>
      <c r="K27" s="219"/>
      <c r="L27" s="219"/>
      <c r="M27" s="219"/>
      <c r="N27" s="219"/>
      <c r="O27" s="220" t="str">
        <f t="shared" si="0"/>
        <v/>
      </c>
      <c r="P27" s="219"/>
      <c r="Q27" s="219"/>
      <c r="R27" s="219"/>
      <c r="S27" s="219"/>
      <c r="T27" s="219"/>
      <c r="U27" s="219"/>
      <c r="V27" s="219"/>
      <c r="W27" s="219"/>
      <c r="X27" s="219"/>
      <c r="Y27" s="219"/>
      <c r="Z27" s="219"/>
      <c r="AA27" s="219">
        <v>10</v>
      </c>
      <c r="AB27" s="220" t="str">
        <f t="shared" si="1"/>
        <v/>
      </c>
      <c r="AC27" s="219">
        <v>5</v>
      </c>
      <c r="AD27" s="219">
        <v>5</v>
      </c>
      <c r="AE27" s="220">
        <f t="shared" si="2"/>
        <v>10</v>
      </c>
      <c r="AF27" s="221" t="str">
        <f t="shared" si="3"/>
        <v>DO</v>
      </c>
      <c r="AG27" s="220">
        <v>67</v>
      </c>
      <c r="AH27" s="307" t="str">
        <f t="shared" si="5"/>
        <v>APROBADO</v>
      </c>
      <c r="AI27" s="308"/>
      <c r="AJ27" s="308"/>
      <c r="AK27" s="308"/>
      <c r="AL27" s="308"/>
      <c r="AM27" s="309"/>
      <c r="AN27" s="94"/>
      <c r="AO27" s="94"/>
      <c r="AP27" s="94"/>
      <c r="AQ27" s="94"/>
      <c r="AR27" s="94"/>
    </row>
    <row r="28" spans="1:44" ht="12" customHeight="1" x14ac:dyDescent="0.35">
      <c r="A28" s="59">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301" t="str">
        <f t="shared" si="5"/>
        <v>APROBADO</v>
      </c>
      <c r="AI28" s="302"/>
      <c r="AJ28" s="302"/>
      <c r="AK28" s="302"/>
      <c r="AL28" s="302"/>
      <c r="AM28" s="303"/>
      <c r="AN28" s="94"/>
      <c r="AO28" s="94"/>
      <c r="AP28" s="94"/>
      <c r="AQ28" s="94"/>
      <c r="AR28" s="94"/>
    </row>
    <row r="29" spans="1:44" ht="12" customHeight="1" x14ac:dyDescent="0.35">
      <c r="A29" s="59">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301" t="str">
        <f t="shared" si="5"/>
        <v>APROBADO</v>
      </c>
      <c r="AI29" s="302"/>
      <c r="AJ29" s="302"/>
      <c r="AK29" s="302"/>
      <c r="AL29" s="302"/>
      <c r="AM29" s="303"/>
      <c r="AN29" s="94"/>
      <c r="AO29" s="94"/>
      <c r="AP29" s="94"/>
      <c r="AQ29" s="94"/>
      <c r="AR29" s="94"/>
    </row>
    <row r="30" spans="1:44" ht="12" customHeight="1" x14ac:dyDescent="0.35">
      <c r="A30" s="59">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301" t="str">
        <f t="shared" si="5"/>
        <v>APROBADO</v>
      </c>
      <c r="AI30" s="302"/>
      <c r="AJ30" s="302"/>
      <c r="AK30" s="302"/>
      <c r="AL30" s="302"/>
      <c r="AM30" s="303"/>
      <c r="AN30" s="94"/>
      <c r="AO30" s="94"/>
      <c r="AP30" s="94"/>
      <c r="AQ30" s="94"/>
      <c r="AR30" s="94"/>
    </row>
    <row r="31" spans="1:44" ht="12" customHeight="1" x14ac:dyDescent="0.35">
      <c r="A31" s="59">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301" t="str">
        <f t="shared" si="5"/>
        <v>APROBADO</v>
      </c>
      <c r="AI31" s="302"/>
      <c r="AJ31" s="302"/>
      <c r="AK31" s="302"/>
      <c r="AL31" s="302"/>
      <c r="AM31" s="303"/>
      <c r="AN31" s="94"/>
      <c r="AO31" s="94"/>
      <c r="AP31" s="94"/>
      <c r="AQ31" s="94"/>
      <c r="AR31" s="94"/>
    </row>
    <row r="32" spans="1:44" ht="12" customHeight="1" x14ac:dyDescent="0.35">
      <c r="A32" s="59">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301" t="str">
        <f t="shared" si="5"/>
        <v>APROBADO</v>
      </c>
      <c r="AI32" s="302"/>
      <c r="AJ32" s="302"/>
      <c r="AK32" s="302"/>
      <c r="AL32" s="302"/>
      <c r="AM32" s="303"/>
      <c r="AN32" s="94"/>
      <c r="AO32" s="94"/>
      <c r="AP32" s="94"/>
      <c r="AQ32" s="94"/>
      <c r="AR32" s="94"/>
    </row>
    <row r="33" spans="1:44" ht="12" customHeight="1" x14ac:dyDescent="0.35">
      <c r="A33" s="59">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301" t="str">
        <f t="shared" si="5"/>
        <v>APROBADO</v>
      </c>
      <c r="AI33" s="302"/>
      <c r="AJ33" s="302"/>
      <c r="AK33" s="302"/>
      <c r="AL33" s="302"/>
      <c r="AM33" s="303"/>
      <c r="AN33" s="94"/>
      <c r="AO33" s="94"/>
      <c r="AP33" s="94"/>
      <c r="AQ33" s="94"/>
      <c r="AR33" s="94"/>
    </row>
    <row r="34" spans="1:44" ht="12" customHeight="1" x14ac:dyDescent="0.35">
      <c r="A34" s="59">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301" t="str">
        <f t="shared" si="5"/>
        <v>APROBADO</v>
      </c>
      <c r="AI34" s="302"/>
      <c r="AJ34" s="302"/>
      <c r="AK34" s="302"/>
      <c r="AL34" s="302"/>
      <c r="AM34" s="303"/>
      <c r="AN34" s="94"/>
      <c r="AO34" s="94"/>
      <c r="AP34" s="94"/>
      <c r="AQ34" s="94"/>
      <c r="AR34" s="94"/>
    </row>
    <row r="35" spans="1:44" ht="12" customHeight="1" x14ac:dyDescent="0.35">
      <c r="A35" s="59">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301" t="str">
        <f t="shared" si="5"/>
        <v>APROBADO</v>
      </c>
      <c r="AI35" s="302"/>
      <c r="AJ35" s="302"/>
      <c r="AK35" s="302"/>
      <c r="AL35" s="302"/>
      <c r="AM35" s="303"/>
      <c r="AN35" s="94"/>
      <c r="AO35" s="94"/>
      <c r="AP35" s="94"/>
      <c r="AQ35" s="94"/>
      <c r="AR35" s="94"/>
    </row>
    <row r="36" spans="1:44" ht="12" customHeight="1" x14ac:dyDescent="0.35">
      <c r="A36" s="59">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301" t="str">
        <f t="shared" si="5"/>
        <v>APROBADO</v>
      </c>
      <c r="AI36" s="302"/>
      <c r="AJ36" s="302"/>
      <c r="AK36" s="302"/>
      <c r="AL36" s="302"/>
      <c r="AM36" s="303"/>
      <c r="AN36" s="94"/>
      <c r="AO36" s="94"/>
      <c r="AP36" s="94"/>
      <c r="AQ36" s="94"/>
      <c r="AR36" s="94"/>
    </row>
    <row r="37" spans="1:44" ht="12" customHeight="1" x14ac:dyDescent="0.35">
      <c r="A37" s="59">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301" t="str">
        <f t="shared" si="5"/>
        <v>APROBADO</v>
      </c>
      <c r="AI37" s="302"/>
      <c r="AJ37" s="302"/>
      <c r="AK37" s="302"/>
      <c r="AL37" s="302"/>
      <c r="AM37" s="303"/>
      <c r="AN37" s="94"/>
      <c r="AO37" s="94"/>
      <c r="AP37" s="94"/>
      <c r="AQ37" s="94"/>
      <c r="AR37" s="94"/>
    </row>
    <row r="38" spans="1:44" ht="12" customHeight="1" x14ac:dyDescent="0.35">
      <c r="A38" s="59">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301" t="str">
        <f t="shared" si="5"/>
        <v>APROBADO</v>
      </c>
      <c r="AI38" s="302"/>
      <c r="AJ38" s="302"/>
      <c r="AK38" s="302"/>
      <c r="AL38" s="302"/>
      <c r="AM38" s="303"/>
      <c r="AN38" s="94"/>
      <c r="AO38" s="94"/>
      <c r="AP38" s="94"/>
      <c r="AQ38" s="94"/>
      <c r="AR38" s="94"/>
    </row>
    <row r="39" spans="1:44" ht="12" customHeight="1" x14ac:dyDescent="0.35">
      <c r="A39" s="59">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301" t="str">
        <f t="shared" si="5"/>
        <v>APROBADO</v>
      </c>
      <c r="AI39" s="302"/>
      <c r="AJ39" s="302"/>
      <c r="AK39" s="302"/>
      <c r="AL39" s="302"/>
      <c r="AM39" s="303"/>
      <c r="AN39" s="94"/>
      <c r="AO39" s="94"/>
      <c r="AP39" s="94"/>
      <c r="AQ39" s="94"/>
      <c r="AR39" s="94"/>
    </row>
    <row r="40" spans="1:44" ht="12" customHeight="1" x14ac:dyDescent="0.35">
      <c r="A40" s="59">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301" t="str">
        <f t="shared" si="5"/>
        <v>APROBADO</v>
      </c>
      <c r="AI40" s="302"/>
      <c r="AJ40" s="302"/>
      <c r="AK40" s="302"/>
      <c r="AL40" s="302"/>
      <c r="AM40" s="303"/>
      <c r="AN40" s="94"/>
      <c r="AO40" s="94"/>
      <c r="AP40" s="94"/>
      <c r="AQ40" s="94"/>
      <c r="AR40" s="94"/>
    </row>
    <row r="41" spans="1:44" ht="12" customHeight="1" x14ac:dyDescent="0.35">
      <c r="A41" s="59">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301" t="str">
        <f t="shared" si="5"/>
        <v>APROBADO</v>
      </c>
      <c r="AI41" s="302"/>
      <c r="AJ41" s="302"/>
      <c r="AK41" s="302"/>
      <c r="AL41" s="302"/>
      <c r="AM41" s="303"/>
      <c r="AN41" s="94"/>
      <c r="AO41" s="94"/>
      <c r="AP41" s="94"/>
      <c r="AQ41" s="94"/>
      <c r="AR41" s="94"/>
    </row>
    <row r="42" spans="1:44" ht="12" customHeight="1" x14ac:dyDescent="0.35">
      <c r="A42" s="59">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301" t="str">
        <f t="shared" si="5"/>
        <v>APROBADO</v>
      </c>
      <c r="AI42" s="302"/>
      <c r="AJ42" s="302"/>
      <c r="AK42" s="302"/>
      <c r="AL42" s="302"/>
      <c r="AM42" s="303"/>
      <c r="AN42" s="94"/>
      <c r="AO42" s="94"/>
      <c r="AP42" s="94"/>
      <c r="AQ42" s="94"/>
      <c r="AR42" s="94"/>
    </row>
    <row r="43" spans="1:44" ht="12" customHeight="1" x14ac:dyDescent="0.35">
      <c r="A43" s="59">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301" t="str">
        <f t="shared" si="5"/>
        <v>APROBADO</v>
      </c>
      <c r="AI43" s="302"/>
      <c r="AJ43" s="302"/>
      <c r="AK43" s="302"/>
      <c r="AL43" s="302"/>
      <c r="AM43" s="303"/>
      <c r="AN43" s="94"/>
      <c r="AO43" s="94"/>
      <c r="AP43" s="94"/>
      <c r="AQ43" s="94"/>
      <c r="AR43" s="94"/>
    </row>
    <row r="44" spans="1:44" ht="12" customHeight="1" x14ac:dyDescent="0.35">
      <c r="A44" s="59">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301" t="str">
        <f t="shared" si="5"/>
        <v>APROBADO</v>
      </c>
      <c r="AI44" s="302"/>
      <c r="AJ44" s="302"/>
      <c r="AK44" s="302"/>
      <c r="AL44" s="302"/>
      <c r="AM44" s="303"/>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25" right="0.25" top="0.75" bottom="0.75" header="0.3" footer="0.3"/>
  <pageSetup paperSize="9" scale="76"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W1000"/>
  <sheetViews>
    <sheetView topLeftCell="A10" workbookViewId="0">
      <selection activeCell="AW24" sqref="AW24"/>
    </sheetView>
  </sheetViews>
  <sheetFormatPr baseColWidth="10" defaultColWidth="9.13281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3281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9"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9" ht="12.75" customHeight="1" x14ac:dyDescent="0.4">
      <c r="A2" s="71"/>
      <c r="B2" s="312" t="s">
        <v>101</v>
      </c>
      <c r="C2" s="239"/>
      <c r="D2" s="239"/>
      <c r="E2" s="239"/>
      <c r="F2" s="239"/>
      <c r="G2" s="239"/>
      <c r="H2" s="239"/>
      <c r="I2" s="239"/>
      <c r="J2" s="239"/>
      <c r="K2" s="239"/>
      <c r="L2" s="239"/>
      <c r="M2" s="239"/>
      <c r="N2" s="239"/>
      <c r="O2" s="239"/>
      <c r="P2" s="239"/>
      <c r="Q2" s="239"/>
      <c r="R2" s="239"/>
      <c r="S2" s="239"/>
      <c r="T2" s="239"/>
      <c r="U2" s="239"/>
      <c r="V2" s="239"/>
      <c r="W2" s="239"/>
      <c r="X2" s="239"/>
      <c r="Y2" s="239"/>
      <c r="Z2" s="239"/>
      <c r="AA2" s="239"/>
      <c r="AB2" s="239"/>
      <c r="AC2" s="239"/>
      <c r="AD2" s="239"/>
      <c r="AE2" s="239"/>
      <c r="AF2" s="239"/>
      <c r="AG2" s="239"/>
      <c r="AH2" s="239"/>
      <c r="AI2" s="239"/>
      <c r="AJ2" s="239"/>
      <c r="AK2" s="239"/>
      <c r="AL2" s="239"/>
      <c r="AM2" s="239"/>
      <c r="AN2" s="239"/>
      <c r="AO2" s="239"/>
      <c r="AP2" s="239"/>
      <c r="AQ2" s="239"/>
      <c r="AR2" s="240"/>
      <c r="AS2" s="73"/>
      <c r="AT2" s="73"/>
      <c r="AU2" s="73"/>
      <c r="AV2" s="73"/>
    </row>
    <row r="3" spans="1:49"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310" t="s">
        <v>50</v>
      </c>
      <c r="AD3" s="302"/>
      <c r="AE3" s="302"/>
      <c r="AF3" s="302"/>
      <c r="AG3" s="302"/>
      <c r="AH3" s="303"/>
      <c r="AI3" s="266">
        <f>CARÁTULA!$H$19</f>
        <v>44326</v>
      </c>
      <c r="AJ3" s="248"/>
      <c r="AK3" s="248"/>
      <c r="AL3" s="248"/>
      <c r="AM3" s="248"/>
      <c r="AN3" s="313" t="s">
        <v>51</v>
      </c>
      <c r="AO3" s="239"/>
      <c r="AP3" s="239"/>
      <c r="AQ3" s="239"/>
      <c r="AR3" s="240"/>
      <c r="AS3" s="72"/>
      <c r="AT3" s="72"/>
      <c r="AU3" s="72"/>
      <c r="AV3" s="72"/>
    </row>
    <row r="4" spans="1:49"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t="str">
        <f>CARÁTULA!$C$19</f>
        <v>JOSÉ COAQUIRA COPA</v>
      </c>
      <c r="T4" s="76"/>
      <c r="U4" s="76"/>
      <c r="V4" s="76"/>
      <c r="W4" s="76"/>
      <c r="X4" s="76"/>
      <c r="Y4" s="76"/>
      <c r="Z4" s="76"/>
      <c r="AA4" s="76"/>
      <c r="AB4" s="76"/>
      <c r="AC4" s="310" t="s">
        <v>53</v>
      </c>
      <c r="AD4" s="302"/>
      <c r="AE4" s="302"/>
      <c r="AF4" s="302"/>
      <c r="AG4" s="302"/>
      <c r="AH4" s="303"/>
      <c r="AI4" s="266">
        <f>CARÁTULA!$J$19</f>
        <v>44439</v>
      </c>
      <c r="AJ4" s="248"/>
      <c r="AK4" s="248"/>
      <c r="AL4" s="248"/>
      <c r="AM4" s="248"/>
      <c r="AN4" s="300">
        <f ca="1">AI4-AI5</f>
        <v>-104</v>
      </c>
      <c r="AO4" s="258"/>
      <c r="AP4" s="258"/>
      <c r="AQ4" s="258"/>
      <c r="AR4" s="259"/>
    </row>
    <row r="5" spans="1:49" ht="12.75" customHeight="1" x14ac:dyDescent="0.4">
      <c r="A5" s="71"/>
      <c r="B5" s="74" t="s">
        <v>22</v>
      </c>
      <c r="C5" s="75" t="str">
        <f>CARÁTULA!$C$23</f>
        <v>6to de Secundaria</v>
      </c>
      <c r="D5" s="76"/>
      <c r="E5" s="76"/>
      <c r="F5" s="76"/>
      <c r="G5" s="74"/>
      <c r="H5" s="74"/>
      <c r="I5" s="74"/>
      <c r="J5" s="74"/>
      <c r="K5" s="74"/>
      <c r="L5" s="74"/>
      <c r="M5" s="74"/>
      <c r="N5" s="74"/>
      <c r="O5" s="74" t="s">
        <v>23</v>
      </c>
      <c r="P5" s="79"/>
      <c r="Q5" s="79"/>
      <c r="R5" s="79"/>
      <c r="S5" s="318">
        <f ca="1">TODAY()</f>
        <v>44543</v>
      </c>
      <c r="T5" s="239"/>
      <c r="U5" s="239"/>
      <c r="V5" s="239"/>
      <c r="W5" s="239"/>
      <c r="X5" s="239"/>
      <c r="Y5" s="239"/>
      <c r="Z5" s="239"/>
      <c r="AA5" s="240"/>
      <c r="AB5" s="76"/>
      <c r="AC5" s="311" t="s">
        <v>54</v>
      </c>
      <c r="AD5" s="302"/>
      <c r="AE5" s="302"/>
      <c r="AF5" s="302"/>
      <c r="AG5" s="302"/>
      <c r="AH5" s="303"/>
      <c r="AI5" s="314">
        <f ca="1">TODAY()</f>
        <v>44543</v>
      </c>
      <c r="AJ5" s="248"/>
      <c r="AK5" s="248"/>
      <c r="AL5" s="248"/>
      <c r="AM5" s="248"/>
      <c r="AN5" s="260"/>
      <c r="AO5" s="261"/>
      <c r="AP5" s="261"/>
      <c r="AQ5" s="261"/>
      <c r="AR5" s="262"/>
    </row>
    <row r="6" spans="1:49" ht="12.75" customHeight="1" x14ac:dyDescent="0.4">
      <c r="A6" s="71"/>
      <c r="B6" s="74"/>
      <c r="C6" s="254" t="s">
        <v>75</v>
      </c>
      <c r="D6" s="255"/>
      <c r="E6" s="255"/>
      <c r="F6" s="255"/>
      <c r="G6" s="255"/>
      <c r="H6" s="255"/>
      <c r="I6" s="255"/>
      <c r="J6" s="255"/>
      <c r="K6" s="255"/>
      <c r="L6" s="255"/>
      <c r="M6" s="255"/>
      <c r="N6" s="255"/>
      <c r="O6" s="255"/>
      <c r="P6" s="255"/>
      <c r="Q6" s="255"/>
      <c r="R6" s="255"/>
      <c r="S6" s="255"/>
      <c r="T6" s="255"/>
      <c r="U6" s="255"/>
      <c r="V6" s="255"/>
      <c r="W6" s="255"/>
      <c r="X6" s="255"/>
      <c r="Y6" s="255"/>
      <c r="Z6" s="255"/>
      <c r="AA6" s="256"/>
      <c r="AB6" s="319" t="s">
        <v>76</v>
      </c>
      <c r="AC6" s="302"/>
      <c r="AD6" s="302"/>
      <c r="AE6" s="303"/>
      <c r="AF6" s="80"/>
      <c r="AG6" s="81"/>
      <c r="AH6" s="81"/>
      <c r="AI6" s="82"/>
      <c r="AJ6" s="83"/>
      <c r="AK6" s="83"/>
      <c r="AL6" s="83"/>
      <c r="AM6" s="83"/>
      <c r="AN6" s="84"/>
      <c r="AO6" s="84"/>
      <c r="AP6" s="84"/>
      <c r="AQ6" s="84"/>
      <c r="AR6" s="84"/>
    </row>
    <row r="7" spans="1:49" ht="12" customHeight="1" x14ac:dyDescent="0.4">
      <c r="A7" s="71"/>
      <c r="B7" s="85"/>
      <c r="C7" s="320" t="s">
        <v>77</v>
      </c>
      <c r="D7" s="321" t="s">
        <v>78</v>
      </c>
      <c r="E7" s="302"/>
      <c r="F7" s="302"/>
      <c r="G7" s="302"/>
      <c r="H7" s="302"/>
      <c r="I7" s="302"/>
      <c r="J7" s="302"/>
      <c r="K7" s="302"/>
      <c r="L7" s="302"/>
      <c r="M7" s="302"/>
      <c r="N7" s="302"/>
      <c r="O7" s="317" t="s">
        <v>79</v>
      </c>
      <c r="P7" s="321" t="s">
        <v>80</v>
      </c>
      <c r="Q7" s="302"/>
      <c r="R7" s="302"/>
      <c r="S7" s="302"/>
      <c r="T7" s="302"/>
      <c r="U7" s="302"/>
      <c r="V7" s="302"/>
      <c r="W7" s="302"/>
      <c r="X7" s="302"/>
      <c r="Y7" s="302"/>
      <c r="Z7" s="302"/>
      <c r="AA7" s="315" t="s">
        <v>81</v>
      </c>
      <c r="AB7" s="317" t="s">
        <v>79</v>
      </c>
      <c r="AC7" s="315" t="s">
        <v>82</v>
      </c>
      <c r="AD7" s="315" t="s">
        <v>83</v>
      </c>
      <c r="AE7" s="317" t="s">
        <v>79</v>
      </c>
      <c r="AF7" s="322" t="s">
        <v>84</v>
      </c>
      <c r="AG7" s="323" t="s">
        <v>85</v>
      </c>
      <c r="AH7" s="324" t="s">
        <v>86</v>
      </c>
      <c r="AI7" s="255"/>
      <c r="AJ7" s="255"/>
      <c r="AK7" s="255"/>
      <c r="AL7" s="255"/>
      <c r="AM7" s="256"/>
      <c r="AN7" s="86"/>
      <c r="AO7" s="76"/>
      <c r="AP7" s="76"/>
      <c r="AQ7" s="76"/>
      <c r="AR7" s="71"/>
    </row>
    <row r="8" spans="1:49" ht="108.45" customHeight="1" x14ac:dyDescent="0.35">
      <c r="A8" s="48" t="s">
        <v>55</v>
      </c>
      <c r="B8" s="49" t="s">
        <v>56</v>
      </c>
      <c r="C8" s="316"/>
      <c r="D8" s="50" t="s">
        <v>230</v>
      </c>
      <c r="E8" s="54" t="s">
        <v>241</v>
      </c>
      <c r="F8" s="54" t="s">
        <v>237</v>
      </c>
      <c r="G8" s="54" t="s">
        <v>239</v>
      </c>
      <c r="H8" s="54" t="s">
        <v>238</v>
      </c>
      <c r="I8" s="54" t="s">
        <v>257</v>
      </c>
      <c r="J8" s="50" t="s">
        <v>266</v>
      </c>
      <c r="K8" s="54" t="s">
        <v>268</v>
      </c>
      <c r="L8" s="54"/>
      <c r="M8" s="54"/>
      <c r="N8" s="55"/>
      <c r="O8" s="316"/>
      <c r="P8" s="95" t="s">
        <v>229</v>
      </c>
      <c r="Q8" s="54" t="s">
        <v>231</v>
      </c>
      <c r="R8" s="54" t="s">
        <v>232</v>
      </c>
      <c r="S8" s="54" t="s">
        <v>233</v>
      </c>
      <c r="T8" s="54" t="s">
        <v>234</v>
      </c>
      <c r="U8" s="54" t="s">
        <v>235</v>
      </c>
      <c r="V8" s="54" t="s">
        <v>236</v>
      </c>
      <c r="W8" s="54" t="s">
        <v>240</v>
      </c>
      <c r="X8" s="54" t="s">
        <v>242</v>
      </c>
      <c r="Y8" s="54" t="s">
        <v>267</v>
      </c>
      <c r="Z8" s="54"/>
      <c r="AA8" s="316"/>
      <c r="AB8" s="316"/>
      <c r="AC8" s="316"/>
      <c r="AD8" s="316"/>
      <c r="AE8" s="316"/>
      <c r="AF8" s="316"/>
      <c r="AG8" s="316"/>
      <c r="AH8" s="325"/>
      <c r="AI8" s="326"/>
      <c r="AJ8" s="326"/>
      <c r="AK8" s="326"/>
      <c r="AL8" s="326"/>
      <c r="AM8" s="327"/>
      <c r="AN8" s="87"/>
      <c r="AO8" s="87"/>
      <c r="AP8" s="87"/>
      <c r="AQ8" s="87"/>
      <c r="AR8" s="88"/>
    </row>
    <row r="9" spans="1:49" ht="12" customHeight="1" x14ac:dyDescent="0.35">
      <c r="A9" s="59">
        <v>1</v>
      </c>
      <c r="B9" s="89" t="str">
        <f>'C. FILIACION'!B8</f>
        <v>ALTAMIRANO RAMOS ESTEFANI MILENKA</v>
      </c>
      <c r="C9" s="31">
        <v>9</v>
      </c>
      <c r="D9" s="90">
        <v>25</v>
      </c>
      <c r="E9" s="31">
        <v>35</v>
      </c>
      <c r="F9" s="90">
        <v>30</v>
      </c>
      <c r="G9" s="90">
        <v>21</v>
      </c>
      <c r="H9" s="90">
        <v>30</v>
      </c>
      <c r="I9" s="90">
        <v>18</v>
      </c>
      <c r="J9" s="90">
        <v>22</v>
      </c>
      <c r="K9" s="31">
        <v>34</v>
      </c>
      <c r="L9" s="31"/>
      <c r="M9" s="31"/>
      <c r="N9" s="31"/>
      <c r="O9" s="91">
        <f t="shared" ref="O9:O44" si="0">IFERROR(ROUND(AVERAGE(D9:N9),0),"")</f>
        <v>27</v>
      </c>
      <c r="P9" s="31">
        <v>35</v>
      </c>
      <c r="Q9" s="31">
        <v>32</v>
      </c>
      <c r="R9" s="31">
        <v>35</v>
      </c>
      <c r="S9" s="31">
        <v>27</v>
      </c>
      <c r="T9" s="31">
        <v>28</v>
      </c>
      <c r="U9" s="31">
        <v>35</v>
      </c>
      <c r="V9" s="31">
        <v>35</v>
      </c>
      <c r="W9" s="31">
        <v>35</v>
      </c>
      <c r="X9" s="31">
        <v>28</v>
      </c>
      <c r="Y9" s="31">
        <v>18</v>
      </c>
      <c r="Z9" s="31"/>
      <c r="AA9" s="31">
        <v>10</v>
      </c>
      <c r="AB9" s="91">
        <f t="shared" ref="AB9:AB44" si="1">IFERROR(ROUND(AVERAGE(P9:Z9),0),"")</f>
        <v>31</v>
      </c>
      <c r="AC9" s="31">
        <v>3</v>
      </c>
      <c r="AD9" s="31">
        <v>4</v>
      </c>
      <c r="AE9" s="91">
        <f t="shared" ref="AE9:AE44" si="2">IFERROR((SUM(AC9,AD9)),"")</f>
        <v>7</v>
      </c>
      <c r="AF9" s="92" t="str">
        <f t="shared" ref="AF9:AF44" si="3">IF(AG9&lt;51,"ED",IF(AG9&lt;67,"DA",IF(AG9&lt;85,"DO","DP")))</f>
        <v>DO</v>
      </c>
      <c r="AG9" s="91">
        <f t="shared" ref="AG9:AG44" si="4">IFERROR((SUM(C9,O9,AA9,AB9,AE9)),"")</f>
        <v>84</v>
      </c>
      <c r="AH9" s="301" t="str">
        <f t="shared" ref="AH9:AH44" si="5">IF(AG9="","",(IF(AND(AG9&gt;=1,AG9&lt;=50.499),"REPROBADO",IF(AND(AG9&gt;=50.5,AG9&lt;=100),"APROBADO"))))</f>
        <v>APROBADO</v>
      </c>
      <c r="AI9" s="302"/>
      <c r="AJ9" s="302"/>
      <c r="AK9" s="302"/>
      <c r="AL9" s="302"/>
      <c r="AM9" s="303"/>
      <c r="AN9" s="93" t="s">
        <v>97</v>
      </c>
      <c r="AO9" s="328">
        <f>COUNTIF(AF9:AF44,"ED")</f>
        <v>3</v>
      </c>
      <c r="AP9" s="303"/>
      <c r="AQ9" s="94"/>
      <c r="AR9" s="94"/>
      <c r="AS9" s="91">
        <v>89</v>
      </c>
      <c r="AW9" s="210">
        <f>(AG9+AS9)/2</f>
        <v>86.5</v>
      </c>
    </row>
    <row r="10" spans="1:49" ht="12" customHeight="1" x14ac:dyDescent="0.35">
      <c r="A10" s="59">
        <v>2</v>
      </c>
      <c r="B10" s="89" t="str">
        <f>'C. FILIACION'!B9</f>
        <v>APAZA LINO TATIANA JAZMIN</v>
      </c>
      <c r="C10" s="31">
        <v>10</v>
      </c>
      <c r="D10" s="90">
        <v>30</v>
      </c>
      <c r="E10" s="31">
        <v>35</v>
      </c>
      <c r="F10" s="90">
        <v>30</v>
      </c>
      <c r="G10" s="90">
        <v>30</v>
      </c>
      <c r="H10" s="90">
        <v>32</v>
      </c>
      <c r="I10" s="90">
        <v>35</v>
      </c>
      <c r="J10" s="90">
        <v>25</v>
      </c>
      <c r="K10" s="31">
        <v>34</v>
      </c>
      <c r="L10" s="31"/>
      <c r="M10" s="31"/>
      <c r="N10" s="31"/>
      <c r="O10" s="91">
        <f t="shared" si="0"/>
        <v>31</v>
      </c>
      <c r="P10" s="31">
        <v>35</v>
      </c>
      <c r="Q10" s="31">
        <v>32</v>
      </c>
      <c r="R10" s="31">
        <v>35</v>
      </c>
      <c r="S10" s="31">
        <v>30</v>
      </c>
      <c r="T10" s="31">
        <v>32</v>
      </c>
      <c r="U10" s="31">
        <v>35</v>
      </c>
      <c r="V10" s="31">
        <v>32</v>
      </c>
      <c r="W10" s="31">
        <v>34</v>
      </c>
      <c r="X10" s="31">
        <v>30</v>
      </c>
      <c r="Y10" s="31">
        <v>25</v>
      </c>
      <c r="Z10" s="31"/>
      <c r="AA10" s="31">
        <v>10</v>
      </c>
      <c r="AB10" s="91">
        <f t="shared" si="1"/>
        <v>32</v>
      </c>
      <c r="AC10" s="31">
        <v>5</v>
      </c>
      <c r="AD10" s="31">
        <v>5</v>
      </c>
      <c r="AE10" s="91">
        <f t="shared" si="2"/>
        <v>10</v>
      </c>
      <c r="AF10" s="92" t="str">
        <f t="shared" si="3"/>
        <v>DP</v>
      </c>
      <c r="AG10" s="91">
        <f t="shared" si="4"/>
        <v>93</v>
      </c>
      <c r="AH10" s="301" t="str">
        <f t="shared" si="5"/>
        <v>APROBADO</v>
      </c>
      <c r="AI10" s="302"/>
      <c r="AJ10" s="302"/>
      <c r="AK10" s="302"/>
      <c r="AL10" s="302"/>
      <c r="AM10" s="303"/>
      <c r="AN10" s="48" t="s">
        <v>98</v>
      </c>
      <c r="AO10" s="328">
        <f>COUNTIF(AF9:AF44,"DA")</f>
        <v>9</v>
      </c>
      <c r="AP10" s="303"/>
      <c r="AQ10" s="94"/>
      <c r="AR10" s="94"/>
      <c r="AS10" s="91">
        <v>93</v>
      </c>
      <c r="AW10" s="210">
        <f t="shared" ref="AW10:AW27" si="6">(AG10+AS10)/2</f>
        <v>93</v>
      </c>
    </row>
    <row r="11" spans="1:49" ht="12" customHeight="1" x14ac:dyDescent="0.35">
      <c r="A11" s="59">
        <v>3</v>
      </c>
      <c r="B11" s="204" t="str">
        <f>'C. FILIACION'!B10</f>
        <v>BOLAÑOS OVANDO MIJHAIL ALEXANDER</v>
      </c>
      <c r="C11" s="205">
        <v>5</v>
      </c>
      <c r="D11" s="205">
        <v>15</v>
      </c>
      <c r="E11" s="205">
        <v>11</v>
      </c>
      <c r="F11" s="205">
        <v>20</v>
      </c>
      <c r="G11" s="205">
        <v>20</v>
      </c>
      <c r="H11" s="205">
        <v>11</v>
      </c>
      <c r="I11" s="205">
        <v>11</v>
      </c>
      <c r="J11" s="205">
        <v>11</v>
      </c>
      <c r="K11" s="205">
        <v>23</v>
      </c>
      <c r="L11" s="205"/>
      <c r="M11" s="205"/>
      <c r="N11" s="205"/>
      <c r="O11" s="206">
        <f t="shared" si="0"/>
        <v>15</v>
      </c>
      <c r="P11" s="205">
        <v>35</v>
      </c>
      <c r="Q11" s="205">
        <v>10</v>
      </c>
      <c r="R11" s="205">
        <v>10</v>
      </c>
      <c r="S11" s="205">
        <v>22</v>
      </c>
      <c r="T11" s="205">
        <v>14</v>
      </c>
      <c r="U11" s="205">
        <v>10</v>
      </c>
      <c r="V11" s="205">
        <v>10</v>
      </c>
      <c r="W11" s="205">
        <v>10</v>
      </c>
      <c r="X11" s="205">
        <v>12</v>
      </c>
      <c r="Y11" s="205">
        <v>14</v>
      </c>
      <c r="Z11" s="205"/>
      <c r="AA11" s="205">
        <v>6</v>
      </c>
      <c r="AB11" s="206">
        <f t="shared" si="1"/>
        <v>15</v>
      </c>
      <c r="AC11" s="205">
        <v>5</v>
      </c>
      <c r="AD11" s="205">
        <v>5</v>
      </c>
      <c r="AE11" s="206">
        <f t="shared" si="2"/>
        <v>10</v>
      </c>
      <c r="AF11" s="207" t="str">
        <f t="shared" si="3"/>
        <v>DA</v>
      </c>
      <c r="AG11" s="206">
        <f t="shared" si="4"/>
        <v>51</v>
      </c>
      <c r="AH11" s="332" t="str">
        <f t="shared" si="5"/>
        <v>APROBADO</v>
      </c>
      <c r="AI11" s="333"/>
      <c r="AJ11" s="333"/>
      <c r="AK11" s="333"/>
      <c r="AL11" s="333"/>
      <c r="AM11" s="334"/>
      <c r="AN11" s="48" t="s">
        <v>99</v>
      </c>
      <c r="AO11" s="328">
        <f>COUNTIF(AF9:AF44,"DO")</f>
        <v>6</v>
      </c>
      <c r="AP11" s="303"/>
      <c r="AQ11" s="94"/>
      <c r="AR11" s="94"/>
      <c r="AS11" s="91">
        <v>37.692307692307701</v>
      </c>
      <c r="AW11" s="210">
        <f t="shared" si="6"/>
        <v>44.346153846153854</v>
      </c>
    </row>
    <row r="12" spans="1:49" ht="12" customHeight="1" x14ac:dyDescent="0.35">
      <c r="A12" s="59">
        <v>4</v>
      </c>
      <c r="B12" s="196" t="str">
        <f>'C. FILIACION'!B11</f>
        <v>BRICHER ETHELBERT ISMAEL</v>
      </c>
      <c r="C12" s="197">
        <v>0</v>
      </c>
      <c r="D12" s="197">
        <v>0</v>
      </c>
      <c r="E12" s="197">
        <v>0</v>
      </c>
      <c r="F12" s="197">
        <v>0</v>
      </c>
      <c r="G12" s="197">
        <v>0</v>
      </c>
      <c r="H12" s="197">
        <v>0</v>
      </c>
      <c r="I12" s="197">
        <v>0</v>
      </c>
      <c r="J12" s="197">
        <v>0</v>
      </c>
      <c r="K12" s="197">
        <v>0</v>
      </c>
      <c r="L12" s="197"/>
      <c r="M12" s="197"/>
      <c r="N12" s="197"/>
      <c r="O12" s="198">
        <f t="shared" si="0"/>
        <v>0</v>
      </c>
      <c r="P12" s="197">
        <v>0</v>
      </c>
      <c r="Q12" s="197">
        <v>32</v>
      </c>
      <c r="R12" s="197">
        <v>0</v>
      </c>
      <c r="S12" s="197">
        <v>0</v>
      </c>
      <c r="T12" s="197">
        <v>0</v>
      </c>
      <c r="U12" s="197">
        <v>0</v>
      </c>
      <c r="V12" s="197">
        <v>0</v>
      </c>
      <c r="W12" s="197">
        <v>0</v>
      </c>
      <c r="X12" s="197">
        <v>0</v>
      </c>
      <c r="Y12" s="197">
        <v>0</v>
      </c>
      <c r="Z12" s="197"/>
      <c r="AA12" s="197">
        <v>2</v>
      </c>
      <c r="AB12" s="198">
        <f t="shared" si="1"/>
        <v>3</v>
      </c>
      <c r="AC12" s="197">
        <v>0</v>
      </c>
      <c r="AD12" s="197">
        <v>0</v>
      </c>
      <c r="AE12" s="198">
        <f t="shared" si="2"/>
        <v>0</v>
      </c>
      <c r="AF12" s="199" t="str">
        <f t="shared" si="3"/>
        <v>ED</v>
      </c>
      <c r="AG12" s="198">
        <f t="shared" si="4"/>
        <v>5</v>
      </c>
      <c r="AH12" s="304" t="str">
        <f t="shared" si="5"/>
        <v>REPROBADO</v>
      </c>
      <c r="AI12" s="305"/>
      <c r="AJ12" s="305"/>
      <c r="AK12" s="305"/>
      <c r="AL12" s="305"/>
      <c r="AM12" s="306"/>
      <c r="AN12" s="155" t="s">
        <v>100</v>
      </c>
      <c r="AO12" s="335">
        <f>COUNTIF(AF9:AF44,"DP")</f>
        <v>18</v>
      </c>
      <c r="AP12" s="306"/>
      <c r="AQ12" s="94"/>
      <c r="AR12" s="94"/>
      <c r="AS12" s="198">
        <v>21.53846153846154</v>
      </c>
      <c r="AW12" s="210">
        <f t="shared" si="6"/>
        <v>13.26923076923077</v>
      </c>
    </row>
    <row r="13" spans="1:49" ht="12" customHeight="1" x14ac:dyDescent="0.35">
      <c r="A13" s="59">
        <v>5</v>
      </c>
      <c r="B13" s="89" t="str">
        <f>'C. FILIACION'!B12</f>
        <v>CANAVIRI QUISBERT ALEJANDRA ELENA</v>
      </c>
      <c r="C13" s="31">
        <v>7</v>
      </c>
      <c r="D13" s="90">
        <v>15</v>
      </c>
      <c r="E13" s="31">
        <v>35</v>
      </c>
      <c r="F13" s="90">
        <v>20</v>
      </c>
      <c r="G13" s="90">
        <v>17</v>
      </c>
      <c r="H13" s="90">
        <v>30</v>
      </c>
      <c r="I13" s="90">
        <v>18</v>
      </c>
      <c r="J13" s="90">
        <v>26</v>
      </c>
      <c r="K13" s="31">
        <v>20</v>
      </c>
      <c r="L13" s="31"/>
      <c r="M13" s="31"/>
      <c r="N13" s="31"/>
      <c r="O13" s="91">
        <f t="shared" si="0"/>
        <v>23</v>
      </c>
      <c r="P13" s="31">
        <v>35</v>
      </c>
      <c r="Q13" s="31">
        <v>30</v>
      </c>
      <c r="R13" s="31">
        <v>35</v>
      </c>
      <c r="S13" s="31">
        <v>35</v>
      </c>
      <c r="T13" s="31">
        <v>0</v>
      </c>
      <c r="U13" s="31">
        <v>0</v>
      </c>
      <c r="V13" s="31">
        <v>0</v>
      </c>
      <c r="W13" s="31">
        <v>27</v>
      </c>
      <c r="X13" s="31">
        <v>25</v>
      </c>
      <c r="Y13" s="31">
        <v>0</v>
      </c>
      <c r="Z13" s="31"/>
      <c r="AA13" s="31">
        <v>7</v>
      </c>
      <c r="AB13" s="91">
        <f t="shared" si="1"/>
        <v>19</v>
      </c>
      <c r="AC13" s="31">
        <v>5</v>
      </c>
      <c r="AD13" s="31">
        <v>5</v>
      </c>
      <c r="AE13" s="91">
        <f t="shared" si="2"/>
        <v>10</v>
      </c>
      <c r="AF13" s="92" t="str">
        <f t="shared" si="3"/>
        <v>DA</v>
      </c>
      <c r="AG13" s="91">
        <f t="shared" si="4"/>
        <v>66</v>
      </c>
      <c r="AH13" s="301" t="str">
        <f t="shared" si="5"/>
        <v>APROBADO</v>
      </c>
      <c r="AI13" s="302"/>
      <c r="AJ13" s="302"/>
      <c r="AK13" s="302"/>
      <c r="AL13" s="302"/>
      <c r="AM13" s="303"/>
      <c r="AN13" s="94"/>
      <c r="AO13" s="94"/>
      <c r="AP13" s="94"/>
      <c r="AQ13" s="94"/>
      <c r="AR13" s="94"/>
      <c r="AS13" s="91">
        <v>72.15384615384616</v>
      </c>
      <c r="AW13" s="210">
        <f t="shared" si="6"/>
        <v>69.07692307692308</v>
      </c>
    </row>
    <row r="14" spans="1:49" ht="12" customHeight="1" x14ac:dyDescent="0.35">
      <c r="A14" s="59">
        <v>6</v>
      </c>
      <c r="B14" s="89" t="str">
        <f>'C. FILIACION'!B13</f>
        <v>GOMEZ BELTRAN ALBERT NORMAN</v>
      </c>
      <c r="C14" s="31">
        <v>10</v>
      </c>
      <c r="D14" s="90">
        <v>20</v>
      </c>
      <c r="E14" s="31">
        <v>35</v>
      </c>
      <c r="F14" s="90">
        <v>18</v>
      </c>
      <c r="G14" s="90">
        <v>27</v>
      </c>
      <c r="H14" s="90">
        <v>30</v>
      </c>
      <c r="I14" s="90">
        <v>18</v>
      </c>
      <c r="J14" s="90">
        <v>18</v>
      </c>
      <c r="K14" s="31">
        <v>25</v>
      </c>
      <c r="L14" s="31"/>
      <c r="M14" s="31"/>
      <c r="N14" s="31"/>
      <c r="O14" s="91">
        <f t="shared" si="0"/>
        <v>24</v>
      </c>
      <c r="P14" s="31">
        <v>35</v>
      </c>
      <c r="Q14" s="31">
        <v>30</v>
      </c>
      <c r="R14" s="31">
        <v>35</v>
      </c>
      <c r="S14" s="31">
        <v>26</v>
      </c>
      <c r="T14" s="31">
        <v>0</v>
      </c>
      <c r="U14" s="31">
        <v>0</v>
      </c>
      <c r="V14" s="31">
        <v>35</v>
      </c>
      <c r="W14" s="31">
        <v>35</v>
      </c>
      <c r="X14" s="31">
        <v>28</v>
      </c>
      <c r="Y14" s="31">
        <v>18</v>
      </c>
      <c r="Z14" s="31"/>
      <c r="AA14" s="31">
        <v>8</v>
      </c>
      <c r="AB14" s="91">
        <f t="shared" si="1"/>
        <v>24</v>
      </c>
      <c r="AC14" s="31">
        <v>4</v>
      </c>
      <c r="AD14" s="31">
        <v>4</v>
      </c>
      <c r="AE14" s="91">
        <f t="shared" si="2"/>
        <v>8</v>
      </c>
      <c r="AF14" s="92" t="str">
        <f t="shared" si="3"/>
        <v>DO</v>
      </c>
      <c r="AG14" s="91">
        <f t="shared" si="4"/>
        <v>74</v>
      </c>
      <c r="AH14" s="301" t="str">
        <f t="shared" si="5"/>
        <v>APROBADO</v>
      </c>
      <c r="AI14" s="302"/>
      <c r="AJ14" s="302"/>
      <c r="AK14" s="302"/>
      <c r="AL14" s="302"/>
      <c r="AM14" s="303"/>
      <c r="AN14" s="94"/>
      <c r="AO14" s="94"/>
      <c r="AP14" s="94"/>
      <c r="AQ14" s="94"/>
      <c r="AR14" s="94"/>
      <c r="AS14" s="91">
        <v>80</v>
      </c>
      <c r="AW14" s="210">
        <f t="shared" si="6"/>
        <v>77</v>
      </c>
    </row>
    <row r="15" spans="1:49" ht="12" customHeight="1" x14ac:dyDescent="0.35">
      <c r="A15" s="59">
        <v>7</v>
      </c>
      <c r="B15" s="184" t="str">
        <f>'C. FILIACION'!B14</f>
        <v>GOMEZ COSME MELANY KARINA</v>
      </c>
      <c r="C15" s="185">
        <v>3</v>
      </c>
      <c r="D15" s="185">
        <v>15</v>
      </c>
      <c r="E15" s="185">
        <v>18</v>
      </c>
      <c r="F15" s="185">
        <v>18</v>
      </c>
      <c r="G15" s="185">
        <v>15</v>
      </c>
      <c r="H15" s="185">
        <v>18</v>
      </c>
      <c r="I15" s="185">
        <v>15</v>
      </c>
      <c r="J15" s="185">
        <v>18</v>
      </c>
      <c r="K15" s="185">
        <v>18</v>
      </c>
      <c r="L15" s="185"/>
      <c r="M15" s="185"/>
      <c r="N15" s="185"/>
      <c r="O15" s="186">
        <f t="shared" si="0"/>
        <v>17</v>
      </c>
      <c r="P15" s="185">
        <v>10</v>
      </c>
      <c r="Q15" s="185">
        <v>28</v>
      </c>
      <c r="R15" s="185">
        <v>28</v>
      </c>
      <c r="S15" s="185">
        <v>10</v>
      </c>
      <c r="T15" s="185">
        <v>18</v>
      </c>
      <c r="U15" s="185">
        <v>10</v>
      </c>
      <c r="V15" s="185">
        <v>18</v>
      </c>
      <c r="W15" s="185">
        <v>28</v>
      </c>
      <c r="X15" s="185">
        <v>28</v>
      </c>
      <c r="Y15" s="185">
        <v>28</v>
      </c>
      <c r="Z15" s="185"/>
      <c r="AA15" s="185">
        <v>4</v>
      </c>
      <c r="AB15" s="186">
        <f t="shared" si="1"/>
        <v>21</v>
      </c>
      <c r="AC15" s="185">
        <v>3</v>
      </c>
      <c r="AD15" s="185">
        <v>3</v>
      </c>
      <c r="AE15" s="186">
        <f t="shared" si="2"/>
        <v>6</v>
      </c>
      <c r="AF15" s="202" t="str">
        <f t="shared" si="3"/>
        <v>DA</v>
      </c>
      <c r="AG15" s="186">
        <f t="shared" si="4"/>
        <v>51</v>
      </c>
      <c r="AH15" s="329" t="str">
        <f t="shared" si="5"/>
        <v>APROBADO</v>
      </c>
      <c r="AI15" s="330"/>
      <c r="AJ15" s="330"/>
      <c r="AK15" s="330"/>
      <c r="AL15" s="330"/>
      <c r="AM15" s="331"/>
      <c r="AN15" s="94"/>
      <c r="AO15" s="94"/>
      <c r="AP15" s="94"/>
      <c r="AQ15" s="94"/>
      <c r="AR15" s="94"/>
      <c r="AS15" s="186">
        <v>35.153846153846153</v>
      </c>
      <c r="AW15" s="210">
        <f t="shared" si="6"/>
        <v>43.07692307692308</v>
      </c>
    </row>
    <row r="16" spans="1:49" ht="12" customHeight="1" x14ac:dyDescent="0.35">
      <c r="A16" s="59">
        <v>8</v>
      </c>
      <c r="B16" s="89" t="str">
        <f>'C. FILIACION'!B15</f>
        <v>GONZALES ZUAZO KALEB RAMSES</v>
      </c>
      <c r="C16" s="31">
        <v>10</v>
      </c>
      <c r="D16" s="90">
        <v>20</v>
      </c>
      <c r="E16" s="31">
        <v>25</v>
      </c>
      <c r="F16" s="90">
        <v>18</v>
      </c>
      <c r="G16" s="90">
        <v>26</v>
      </c>
      <c r="H16" s="90">
        <v>30</v>
      </c>
      <c r="I16" s="90">
        <v>30</v>
      </c>
      <c r="J16" s="90">
        <v>24</v>
      </c>
      <c r="K16" s="31">
        <v>18</v>
      </c>
      <c r="L16" s="31"/>
      <c r="M16" s="31"/>
      <c r="N16" s="31"/>
      <c r="O16" s="91">
        <f t="shared" si="0"/>
        <v>24</v>
      </c>
      <c r="P16" s="31">
        <v>35</v>
      </c>
      <c r="Q16" s="31">
        <v>30</v>
      </c>
      <c r="R16" s="31">
        <v>30</v>
      </c>
      <c r="S16" s="31">
        <v>26</v>
      </c>
      <c r="T16" s="31">
        <v>0</v>
      </c>
      <c r="U16" s="31">
        <v>0</v>
      </c>
      <c r="V16" s="31">
        <v>0</v>
      </c>
      <c r="W16" s="31">
        <v>35</v>
      </c>
      <c r="X16" s="31">
        <v>25</v>
      </c>
      <c r="Y16" s="31">
        <v>0</v>
      </c>
      <c r="Z16" s="31"/>
      <c r="AA16" s="31">
        <v>7</v>
      </c>
      <c r="AB16" s="91">
        <f t="shared" si="1"/>
        <v>18</v>
      </c>
      <c r="AC16" s="31">
        <v>4</v>
      </c>
      <c r="AD16" s="31">
        <v>4</v>
      </c>
      <c r="AE16" s="91">
        <f t="shared" si="2"/>
        <v>8</v>
      </c>
      <c r="AF16" s="92" t="str">
        <f t="shared" si="3"/>
        <v>DO</v>
      </c>
      <c r="AG16" s="91">
        <f t="shared" si="4"/>
        <v>67</v>
      </c>
      <c r="AH16" s="301" t="str">
        <f t="shared" si="5"/>
        <v>APROBADO</v>
      </c>
      <c r="AI16" s="302"/>
      <c r="AJ16" s="302"/>
      <c r="AK16" s="302"/>
      <c r="AL16" s="302"/>
      <c r="AM16" s="303"/>
      <c r="AN16" s="94"/>
      <c r="AO16" s="94"/>
      <c r="AP16" s="94"/>
      <c r="AQ16" s="94"/>
      <c r="AR16" s="94"/>
      <c r="AS16" s="91">
        <v>57</v>
      </c>
      <c r="AW16" s="210">
        <f t="shared" si="6"/>
        <v>62</v>
      </c>
    </row>
    <row r="17" spans="1:49" ht="12" customHeight="1" x14ac:dyDescent="0.35">
      <c r="A17" s="59">
        <v>9</v>
      </c>
      <c r="B17" s="89" t="str">
        <f>'C. FILIACION'!B16</f>
        <v>LEDEZMA AGUILAR ELVIS JHEFERSON</v>
      </c>
      <c r="C17" s="31">
        <v>9</v>
      </c>
      <c r="D17" s="90">
        <v>20</v>
      </c>
      <c r="E17" s="31">
        <v>35</v>
      </c>
      <c r="F17" s="90">
        <v>20</v>
      </c>
      <c r="G17" s="90">
        <v>30</v>
      </c>
      <c r="H17" s="90">
        <v>0</v>
      </c>
      <c r="I17" s="90">
        <v>35</v>
      </c>
      <c r="J17" s="90">
        <v>25</v>
      </c>
      <c r="K17" s="31">
        <v>21</v>
      </c>
      <c r="L17" s="31"/>
      <c r="M17" s="31"/>
      <c r="N17" s="31"/>
      <c r="O17" s="91">
        <f t="shared" si="0"/>
        <v>23</v>
      </c>
      <c r="P17" s="31">
        <v>35</v>
      </c>
      <c r="Q17" s="31">
        <v>32</v>
      </c>
      <c r="R17" s="31">
        <v>35</v>
      </c>
      <c r="S17" s="31">
        <v>35</v>
      </c>
      <c r="T17" s="31">
        <v>26</v>
      </c>
      <c r="U17" s="31">
        <v>0</v>
      </c>
      <c r="V17" s="31">
        <v>0</v>
      </c>
      <c r="W17" s="31">
        <v>35</v>
      </c>
      <c r="X17" s="31">
        <v>0</v>
      </c>
      <c r="Y17" s="31">
        <v>0</v>
      </c>
      <c r="Z17" s="31"/>
      <c r="AA17" s="31">
        <v>7</v>
      </c>
      <c r="AB17" s="91">
        <f t="shared" si="1"/>
        <v>20</v>
      </c>
      <c r="AC17" s="31">
        <v>4</v>
      </c>
      <c r="AD17" s="31">
        <v>5</v>
      </c>
      <c r="AE17" s="91">
        <f t="shared" si="2"/>
        <v>9</v>
      </c>
      <c r="AF17" s="92" t="str">
        <f t="shared" si="3"/>
        <v>DO</v>
      </c>
      <c r="AG17" s="91">
        <f t="shared" si="4"/>
        <v>68</v>
      </c>
      <c r="AH17" s="301" t="str">
        <f t="shared" si="5"/>
        <v>APROBADO</v>
      </c>
      <c r="AI17" s="302"/>
      <c r="AJ17" s="302"/>
      <c r="AK17" s="302"/>
      <c r="AL17" s="302"/>
      <c r="AM17" s="303"/>
      <c r="AN17" s="94"/>
      <c r="AO17" s="94"/>
      <c r="AP17" s="94"/>
      <c r="AQ17" s="94"/>
      <c r="AR17" s="94"/>
      <c r="AS17" s="91">
        <v>87</v>
      </c>
      <c r="AW17" s="210">
        <f t="shared" si="6"/>
        <v>77.5</v>
      </c>
    </row>
    <row r="18" spans="1:49" ht="12" customHeight="1" x14ac:dyDescent="0.35">
      <c r="A18" s="59">
        <v>10</v>
      </c>
      <c r="B18" s="89" t="str">
        <f>'C. FILIACION'!B17</f>
        <v>LOBATON RODRIGUEZ JHONATAN A.</v>
      </c>
      <c r="C18" s="31">
        <v>8</v>
      </c>
      <c r="D18" s="90">
        <v>20</v>
      </c>
      <c r="E18" s="31">
        <v>35</v>
      </c>
      <c r="F18" s="90">
        <v>10</v>
      </c>
      <c r="G18" s="90">
        <v>16</v>
      </c>
      <c r="H18" s="90">
        <v>30</v>
      </c>
      <c r="I18" s="90">
        <v>33</v>
      </c>
      <c r="J18" s="90">
        <v>0</v>
      </c>
      <c r="K18" s="31">
        <v>27</v>
      </c>
      <c r="L18" s="31"/>
      <c r="M18" s="31"/>
      <c r="N18" s="31"/>
      <c r="O18" s="91">
        <f t="shared" si="0"/>
        <v>21</v>
      </c>
      <c r="P18" s="31">
        <v>35</v>
      </c>
      <c r="Q18" s="31">
        <v>32</v>
      </c>
      <c r="R18" s="31">
        <v>35</v>
      </c>
      <c r="S18" s="31">
        <v>0</v>
      </c>
      <c r="T18" s="31">
        <v>0</v>
      </c>
      <c r="U18" s="31">
        <v>20</v>
      </c>
      <c r="V18" s="31">
        <v>31</v>
      </c>
      <c r="W18" s="31">
        <v>33</v>
      </c>
      <c r="X18" s="31">
        <v>0</v>
      </c>
      <c r="Y18" s="31">
        <v>0</v>
      </c>
      <c r="Z18" s="31"/>
      <c r="AA18" s="31">
        <v>6</v>
      </c>
      <c r="AB18" s="91">
        <f t="shared" si="1"/>
        <v>19</v>
      </c>
      <c r="AC18" s="203">
        <v>5</v>
      </c>
      <c r="AD18" s="203">
        <v>5</v>
      </c>
      <c r="AE18" s="91">
        <f t="shared" si="2"/>
        <v>10</v>
      </c>
      <c r="AF18" s="92" t="str">
        <f t="shared" si="3"/>
        <v>DA</v>
      </c>
      <c r="AG18" s="91">
        <f t="shared" si="4"/>
        <v>64</v>
      </c>
      <c r="AH18" s="301" t="str">
        <f t="shared" si="5"/>
        <v>APROBADO</v>
      </c>
      <c r="AI18" s="302"/>
      <c r="AJ18" s="302"/>
      <c r="AK18" s="302"/>
      <c r="AL18" s="302"/>
      <c r="AM18" s="303"/>
      <c r="AN18" s="94"/>
      <c r="AO18" s="94"/>
      <c r="AP18" s="94"/>
      <c r="AQ18" s="94"/>
      <c r="AR18" s="94"/>
      <c r="AS18" s="91">
        <v>64.692307692307693</v>
      </c>
      <c r="AW18" s="210">
        <f t="shared" si="6"/>
        <v>64.34615384615384</v>
      </c>
    </row>
    <row r="19" spans="1:49" ht="12" customHeight="1" x14ac:dyDescent="0.35">
      <c r="A19" s="59">
        <v>11</v>
      </c>
      <c r="B19" s="204" t="str">
        <f>'C. FILIACION'!B18</f>
        <v>MAMANI LOPEZ DAFNE MILDRED</v>
      </c>
      <c r="C19" s="205">
        <v>5</v>
      </c>
      <c r="D19" s="205">
        <v>15</v>
      </c>
      <c r="E19" s="205">
        <v>15</v>
      </c>
      <c r="F19" s="205">
        <v>25</v>
      </c>
      <c r="G19" s="205">
        <v>22</v>
      </c>
      <c r="H19" s="205">
        <v>30</v>
      </c>
      <c r="I19" s="205">
        <v>15</v>
      </c>
      <c r="J19" s="205">
        <v>23</v>
      </c>
      <c r="K19" s="205">
        <v>21</v>
      </c>
      <c r="L19" s="205"/>
      <c r="M19" s="205"/>
      <c r="N19" s="205"/>
      <c r="O19" s="206">
        <f t="shared" si="0"/>
        <v>21</v>
      </c>
      <c r="P19" s="205">
        <v>10</v>
      </c>
      <c r="Q19" s="205">
        <v>32</v>
      </c>
      <c r="R19" s="205">
        <v>10</v>
      </c>
      <c r="S19" s="205">
        <v>10</v>
      </c>
      <c r="T19" s="205">
        <v>10</v>
      </c>
      <c r="U19" s="205">
        <v>10</v>
      </c>
      <c r="V19" s="205">
        <v>10</v>
      </c>
      <c r="W19" s="205">
        <v>10</v>
      </c>
      <c r="X19" s="205">
        <v>25</v>
      </c>
      <c r="Y19" s="205">
        <v>10</v>
      </c>
      <c r="Z19" s="205"/>
      <c r="AA19" s="205">
        <v>5</v>
      </c>
      <c r="AB19" s="206">
        <f t="shared" si="1"/>
        <v>14</v>
      </c>
      <c r="AC19" s="205">
        <v>3</v>
      </c>
      <c r="AD19" s="205">
        <v>3</v>
      </c>
      <c r="AE19" s="206">
        <f t="shared" si="2"/>
        <v>6</v>
      </c>
      <c r="AF19" s="207" t="str">
        <f t="shared" si="3"/>
        <v>DA</v>
      </c>
      <c r="AG19" s="206">
        <f t="shared" si="4"/>
        <v>51</v>
      </c>
      <c r="AH19" s="332" t="str">
        <f t="shared" si="5"/>
        <v>APROBADO</v>
      </c>
      <c r="AI19" s="333"/>
      <c r="AJ19" s="333"/>
      <c r="AK19" s="333"/>
      <c r="AL19" s="333"/>
      <c r="AM19" s="334"/>
      <c r="AN19" s="94"/>
      <c r="AO19" s="94"/>
      <c r="AP19" s="94"/>
      <c r="AQ19" s="94"/>
      <c r="AR19" s="94"/>
      <c r="AS19" s="91">
        <v>52.615384615384613</v>
      </c>
      <c r="AW19" s="210">
        <f t="shared" si="6"/>
        <v>51.807692307692307</v>
      </c>
    </row>
    <row r="20" spans="1:49" ht="12" customHeight="1" x14ac:dyDescent="0.35">
      <c r="A20" s="59">
        <v>12</v>
      </c>
      <c r="B20" s="204" t="str">
        <f>'C. FILIACION'!B19</f>
        <v>MARCONI PEREZ SINDEL LUANA</v>
      </c>
      <c r="C20" s="205">
        <v>5</v>
      </c>
      <c r="D20" s="205">
        <v>0</v>
      </c>
      <c r="E20" s="205">
        <v>0</v>
      </c>
      <c r="F20" s="205">
        <v>18</v>
      </c>
      <c r="G20" s="205">
        <v>14</v>
      </c>
      <c r="H20" s="205">
        <v>30</v>
      </c>
      <c r="I20" s="205">
        <v>15</v>
      </c>
      <c r="J20" s="205">
        <v>0</v>
      </c>
      <c r="K20" s="205">
        <v>18</v>
      </c>
      <c r="L20" s="205"/>
      <c r="M20" s="205"/>
      <c r="N20" s="205"/>
      <c r="O20" s="206">
        <f t="shared" si="0"/>
        <v>12</v>
      </c>
      <c r="P20" s="205">
        <v>14</v>
      </c>
      <c r="Q20" s="205">
        <v>32</v>
      </c>
      <c r="R20" s="205">
        <v>0</v>
      </c>
      <c r="S20" s="205">
        <v>0</v>
      </c>
      <c r="T20" s="205">
        <v>0</v>
      </c>
      <c r="U20" s="205">
        <v>0</v>
      </c>
      <c r="V20" s="205">
        <v>33</v>
      </c>
      <c r="W20" s="205">
        <v>14</v>
      </c>
      <c r="X20" s="205">
        <v>28</v>
      </c>
      <c r="Y20" s="205">
        <v>14</v>
      </c>
      <c r="Z20" s="205"/>
      <c r="AA20" s="205">
        <v>4</v>
      </c>
      <c r="AB20" s="206">
        <f t="shared" si="1"/>
        <v>14</v>
      </c>
      <c r="AC20" s="205">
        <v>3</v>
      </c>
      <c r="AD20" s="205">
        <v>3</v>
      </c>
      <c r="AE20" s="206">
        <f t="shared" si="2"/>
        <v>6</v>
      </c>
      <c r="AF20" s="207" t="str">
        <f t="shared" si="3"/>
        <v>ED</v>
      </c>
      <c r="AG20" s="206">
        <f t="shared" si="4"/>
        <v>41</v>
      </c>
      <c r="AH20" s="332" t="str">
        <f t="shared" si="5"/>
        <v>REPROBADO</v>
      </c>
      <c r="AI20" s="333"/>
      <c r="AJ20" s="333"/>
      <c r="AK20" s="333"/>
      <c r="AL20" s="333"/>
      <c r="AM20" s="334"/>
      <c r="AN20" s="94"/>
      <c r="AO20" s="94"/>
      <c r="AP20" s="94"/>
      <c r="AQ20" s="94"/>
      <c r="AR20" s="94"/>
      <c r="AS20" s="91">
        <v>51.153846153846153</v>
      </c>
      <c r="AW20" s="210">
        <f t="shared" si="6"/>
        <v>46.07692307692308</v>
      </c>
    </row>
    <row r="21" spans="1:49" ht="12" customHeight="1" x14ac:dyDescent="0.35">
      <c r="A21" s="59">
        <v>13</v>
      </c>
      <c r="B21" s="89" t="str">
        <f>'C. FILIACION'!B20</f>
        <v>MENACHO LINEO ANDREA KIMBERLY</v>
      </c>
      <c r="C21" s="31">
        <v>9</v>
      </c>
      <c r="D21" s="90">
        <v>25</v>
      </c>
      <c r="E21" s="31">
        <v>35</v>
      </c>
      <c r="F21" s="90">
        <v>20</v>
      </c>
      <c r="G21" s="90">
        <v>17</v>
      </c>
      <c r="H21" s="90">
        <v>18</v>
      </c>
      <c r="I21" s="90">
        <v>18</v>
      </c>
      <c r="J21" s="90">
        <v>22</v>
      </c>
      <c r="K21" s="31">
        <v>22</v>
      </c>
      <c r="L21" s="31"/>
      <c r="M21" s="31"/>
      <c r="N21" s="31"/>
      <c r="O21" s="91">
        <f t="shared" si="0"/>
        <v>22</v>
      </c>
      <c r="P21" s="31">
        <v>0</v>
      </c>
      <c r="Q21" s="31">
        <v>28</v>
      </c>
      <c r="R21" s="31">
        <v>35</v>
      </c>
      <c r="S21" s="31">
        <v>0</v>
      </c>
      <c r="T21" s="31">
        <v>0</v>
      </c>
      <c r="U21" s="31">
        <v>0</v>
      </c>
      <c r="V21" s="31">
        <v>0</v>
      </c>
      <c r="W21" s="31">
        <v>26</v>
      </c>
      <c r="X21" s="31">
        <v>0</v>
      </c>
      <c r="Y21" s="31">
        <v>0</v>
      </c>
      <c r="Z21" s="31"/>
      <c r="AA21" s="31">
        <v>6</v>
      </c>
      <c r="AB21" s="91">
        <f t="shared" si="1"/>
        <v>9</v>
      </c>
      <c r="AC21" s="31">
        <v>3</v>
      </c>
      <c r="AD21" s="31">
        <v>4</v>
      </c>
      <c r="AE21" s="91">
        <f t="shared" si="2"/>
        <v>7</v>
      </c>
      <c r="AF21" s="92" t="str">
        <f t="shared" si="3"/>
        <v>DA</v>
      </c>
      <c r="AG21" s="91">
        <f t="shared" si="4"/>
        <v>53</v>
      </c>
      <c r="AH21" s="301" t="str">
        <f t="shared" si="5"/>
        <v>APROBADO</v>
      </c>
      <c r="AI21" s="302"/>
      <c r="AJ21" s="302"/>
      <c r="AK21" s="302"/>
      <c r="AL21" s="302"/>
      <c r="AM21" s="303"/>
      <c r="AN21" s="94"/>
      <c r="AO21" s="94"/>
      <c r="AP21" s="94"/>
      <c r="AQ21" s="94"/>
      <c r="AR21" s="94"/>
      <c r="AS21" s="91">
        <v>70</v>
      </c>
      <c r="AW21" s="210">
        <f t="shared" si="6"/>
        <v>61.5</v>
      </c>
    </row>
    <row r="22" spans="1:49" ht="12" customHeight="1" x14ac:dyDescent="0.35">
      <c r="A22" s="59">
        <v>14</v>
      </c>
      <c r="B22" s="89" t="str">
        <f>'C. FILIACION'!B21</f>
        <v>PILLCO APAZA MARIAN ALEXANDRA</v>
      </c>
      <c r="C22" s="31">
        <v>10</v>
      </c>
      <c r="D22" s="90">
        <v>15</v>
      </c>
      <c r="E22" s="31">
        <v>25</v>
      </c>
      <c r="F22" s="90">
        <v>30</v>
      </c>
      <c r="G22" s="90">
        <v>25</v>
      </c>
      <c r="H22" s="90">
        <v>18</v>
      </c>
      <c r="I22" s="90">
        <v>18</v>
      </c>
      <c r="J22" s="90">
        <v>18</v>
      </c>
      <c r="K22" s="31">
        <v>35</v>
      </c>
      <c r="L22" s="31"/>
      <c r="M22" s="31"/>
      <c r="N22" s="31"/>
      <c r="O22" s="91">
        <f t="shared" si="0"/>
        <v>23</v>
      </c>
      <c r="P22" s="31">
        <v>10</v>
      </c>
      <c r="Q22" s="31">
        <v>28</v>
      </c>
      <c r="R22" s="31">
        <v>18</v>
      </c>
      <c r="S22" s="31">
        <v>10</v>
      </c>
      <c r="T22" s="31">
        <v>10</v>
      </c>
      <c r="U22" s="31">
        <v>10</v>
      </c>
      <c r="V22" s="31">
        <v>10</v>
      </c>
      <c r="W22" s="31">
        <v>32</v>
      </c>
      <c r="X22" s="31">
        <v>10</v>
      </c>
      <c r="Y22" s="31">
        <v>10</v>
      </c>
      <c r="Z22" s="31"/>
      <c r="AA22" s="31">
        <v>7</v>
      </c>
      <c r="AB22" s="91">
        <f t="shared" si="1"/>
        <v>15</v>
      </c>
      <c r="AC22" s="185">
        <v>3</v>
      </c>
      <c r="AD22" s="185">
        <v>3</v>
      </c>
      <c r="AE22" s="91">
        <f t="shared" si="2"/>
        <v>6</v>
      </c>
      <c r="AF22" s="92" t="str">
        <f t="shared" si="3"/>
        <v>DA</v>
      </c>
      <c r="AG22" s="91">
        <f t="shared" si="4"/>
        <v>61</v>
      </c>
      <c r="AH22" s="301" t="str">
        <f t="shared" si="5"/>
        <v>APROBADO</v>
      </c>
      <c r="AI22" s="302"/>
      <c r="AJ22" s="302"/>
      <c r="AK22" s="302"/>
      <c r="AL22" s="302"/>
      <c r="AM22" s="303"/>
      <c r="AN22" s="94"/>
      <c r="AO22" s="94"/>
      <c r="AP22" s="94"/>
      <c r="AQ22" s="94"/>
      <c r="AR22" s="94">
        <v>61</v>
      </c>
      <c r="AS22" s="91">
        <v>71</v>
      </c>
      <c r="AW22" s="210">
        <f>(AR22+AS22)/2</f>
        <v>66</v>
      </c>
    </row>
    <row r="23" spans="1:49" ht="12" customHeight="1" x14ac:dyDescent="0.35">
      <c r="A23" s="59">
        <v>15</v>
      </c>
      <c r="B23" s="89" t="str">
        <f>'C. FILIACION'!B22</f>
        <v>RUEDA ALVAREZ GREGORY STEVEN</v>
      </c>
      <c r="C23" s="31">
        <v>10</v>
      </c>
      <c r="D23" s="90">
        <v>20</v>
      </c>
      <c r="E23" s="31">
        <v>35</v>
      </c>
      <c r="F23" s="90">
        <v>15</v>
      </c>
      <c r="G23" s="90">
        <v>18</v>
      </c>
      <c r="H23" s="90">
        <v>28</v>
      </c>
      <c r="I23" s="90">
        <v>34</v>
      </c>
      <c r="J23" s="90">
        <v>18</v>
      </c>
      <c r="K23" s="31">
        <v>24</v>
      </c>
      <c r="L23" s="31"/>
      <c r="M23" s="31"/>
      <c r="N23" s="31"/>
      <c r="O23" s="91">
        <f t="shared" si="0"/>
        <v>24</v>
      </c>
      <c r="P23" s="31">
        <v>35</v>
      </c>
      <c r="Q23" s="31">
        <v>28</v>
      </c>
      <c r="R23" s="31">
        <v>35</v>
      </c>
      <c r="S23" s="31">
        <v>0</v>
      </c>
      <c r="T23" s="31">
        <v>0</v>
      </c>
      <c r="U23" s="31">
        <v>0</v>
      </c>
      <c r="V23" s="31">
        <v>0</v>
      </c>
      <c r="W23" s="31">
        <v>0</v>
      </c>
      <c r="X23" s="31">
        <v>26</v>
      </c>
      <c r="Y23" s="31"/>
      <c r="Z23" s="31"/>
      <c r="AA23" s="31">
        <v>8</v>
      </c>
      <c r="AB23" s="91">
        <f t="shared" si="1"/>
        <v>14</v>
      </c>
      <c r="AC23" s="31">
        <v>4</v>
      </c>
      <c r="AD23" s="31">
        <v>4</v>
      </c>
      <c r="AE23" s="91">
        <f t="shared" si="2"/>
        <v>8</v>
      </c>
      <c r="AF23" s="92" t="str">
        <f t="shared" si="3"/>
        <v>DA</v>
      </c>
      <c r="AG23" s="91">
        <f t="shared" si="4"/>
        <v>64</v>
      </c>
      <c r="AH23" s="301" t="str">
        <f t="shared" si="5"/>
        <v>APROBADO</v>
      </c>
      <c r="AI23" s="302"/>
      <c r="AJ23" s="302"/>
      <c r="AK23" s="302"/>
      <c r="AL23" s="302"/>
      <c r="AM23" s="303"/>
      <c r="AN23" s="94"/>
      <c r="AO23" s="94"/>
      <c r="AP23" s="94"/>
      <c r="AQ23" s="94"/>
      <c r="AR23" s="94"/>
      <c r="AS23" s="91">
        <v>72</v>
      </c>
      <c r="AW23" s="210">
        <f t="shared" si="6"/>
        <v>68</v>
      </c>
    </row>
    <row r="24" spans="1:49" ht="12" customHeight="1" x14ac:dyDescent="0.35">
      <c r="A24" s="59">
        <v>16</v>
      </c>
      <c r="B24" s="196" t="str">
        <f>'C. FILIACION'!B23</f>
        <v>VARGAS JOYCE BELEN</v>
      </c>
      <c r="C24" s="197">
        <v>10</v>
      </c>
      <c r="D24" s="197">
        <v>10</v>
      </c>
      <c r="E24" s="197">
        <v>0</v>
      </c>
      <c r="F24" s="197">
        <v>15</v>
      </c>
      <c r="G24" s="197">
        <v>0</v>
      </c>
      <c r="H24" s="197">
        <v>10</v>
      </c>
      <c r="I24" s="197"/>
      <c r="J24" s="197"/>
      <c r="K24" s="197"/>
      <c r="L24" s="197"/>
      <c r="M24" s="197"/>
      <c r="N24" s="197"/>
      <c r="O24" s="198">
        <f t="shared" si="0"/>
        <v>7</v>
      </c>
      <c r="P24" s="197">
        <v>0</v>
      </c>
      <c r="Q24" s="197">
        <v>0</v>
      </c>
      <c r="R24" s="197">
        <v>0</v>
      </c>
      <c r="S24" s="197">
        <v>0</v>
      </c>
      <c r="T24" s="197">
        <v>0</v>
      </c>
      <c r="U24" s="197">
        <v>20</v>
      </c>
      <c r="V24" s="197">
        <v>0</v>
      </c>
      <c r="W24" s="197">
        <v>0</v>
      </c>
      <c r="X24" s="197">
        <v>0</v>
      </c>
      <c r="Y24" s="197"/>
      <c r="Z24" s="197"/>
      <c r="AA24" s="197">
        <v>10</v>
      </c>
      <c r="AB24" s="198">
        <f t="shared" si="1"/>
        <v>2</v>
      </c>
      <c r="AC24" s="197">
        <v>5</v>
      </c>
      <c r="AD24" s="197">
        <v>5</v>
      </c>
      <c r="AE24" s="198">
        <f t="shared" si="2"/>
        <v>10</v>
      </c>
      <c r="AF24" s="199" t="str">
        <f t="shared" si="3"/>
        <v>ED</v>
      </c>
      <c r="AG24" s="198">
        <f t="shared" si="4"/>
        <v>39</v>
      </c>
      <c r="AH24" s="304" t="str">
        <f t="shared" si="5"/>
        <v>REPROBADO</v>
      </c>
      <c r="AI24" s="305"/>
      <c r="AJ24" s="305"/>
      <c r="AK24" s="305"/>
      <c r="AL24" s="305"/>
      <c r="AM24" s="306"/>
      <c r="AN24" s="200"/>
      <c r="AO24" s="200"/>
      <c r="AP24" s="200"/>
      <c r="AQ24" s="200"/>
      <c r="AR24" s="94"/>
      <c r="AS24" s="198">
        <v>39</v>
      </c>
      <c r="AW24" s="210">
        <f t="shared" si="6"/>
        <v>39</v>
      </c>
    </row>
    <row r="25" spans="1:49" ht="12" customHeight="1" x14ac:dyDescent="0.35">
      <c r="A25" s="59">
        <v>17</v>
      </c>
      <c r="B25" s="89" t="str">
        <f>'C. FILIACION'!B24</f>
        <v>ZURITA JIMENEZ ELMER ARTURO</v>
      </c>
      <c r="C25" s="31">
        <v>10</v>
      </c>
      <c r="D25" s="90">
        <v>20</v>
      </c>
      <c r="E25" s="31">
        <v>35</v>
      </c>
      <c r="F25" s="90">
        <v>20</v>
      </c>
      <c r="G25" s="90">
        <v>29</v>
      </c>
      <c r="H25" s="90">
        <v>30</v>
      </c>
      <c r="I25" s="90">
        <v>23</v>
      </c>
      <c r="J25" s="90">
        <v>21</v>
      </c>
      <c r="K25" s="31">
        <v>30</v>
      </c>
      <c r="L25" s="31"/>
      <c r="M25" s="31"/>
      <c r="N25" s="31"/>
      <c r="O25" s="91">
        <f t="shared" si="0"/>
        <v>26</v>
      </c>
      <c r="P25" s="31">
        <v>32</v>
      </c>
      <c r="Q25" s="31">
        <v>28</v>
      </c>
      <c r="R25" s="31">
        <v>35</v>
      </c>
      <c r="S25" s="31">
        <v>34</v>
      </c>
      <c r="T25" s="31">
        <v>35</v>
      </c>
      <c r="U25" s="31">
        <v>0</v>
      </c>
      <c r="V25" s="31">
        <v>20</v>
      </c>
      <c r="W25" s="31">
        <v>35</v>
      </c>
      <c r="X25" s="31">
        <v>28</v>
      </c>
      <c r="Y25" s="31">
        <v>18</v>
      </c>
      <c r="Z25" s="31"/>
      <c r="AA25" s="31">
        <v>9</v>
      </c>
      <c r="AB25" s="91">
        <f t="shared" si="1"/>
        <v>27</v>
      </c>
      <c r="AC25" s="31">
        <v>4</v>
      </c>
      <c r="AD25" s="31">
        <v>4</v>
      </c>
      <c r="AE25" s="91">
        <f t="shared" si="2"/>
        <v>8</v>
      </c>
      <c r="AF25" s="92" t="str">
        <f t="shared" si="3"/>
        <v>DO</v>
      </c>
      <c r="AG25" s="91">
        <f t="shared" si="4"/>
        <v>80</v>
      </c>
      <c r="AH25" s="301" t="str">
        <f t="shared" si="5"/>
        <v>APROBADO</v>
      </c>
      <c r="AI25" s="302"/>
      <c r="AJ25" s="302"/>
      <c r="AK25" s="302"/>
      <c r="AL25" s="302"/>
      <c r="AM25" s="303"/>
      <c r="AN25" s="94"/>
      <c r="AO25" s="94"/>
      <c r="AP25" s="94"/>
      <c r="AQ25" s="94"/>
      <c r="AR25" s="94"/>
      <c r="AS25" s="91">
        <v>80</v>
      </c>
      <c r="AW25" s="210">
        <f t="shared" si="6"/>
        <v>80</v>
      </c>
    </row>
    <row r="26" spans="1:49" ht="12" customHeight="1" x14ac:dyDescent="0.35">
      <c r="A26" s="59">
        <v>18</v>
      </c>
      <c r="B26" s="187" t="s">
        <v>170</v>
      </c>
      <c r="C26" s="185">
        <v>5</v>
      </c>
      <c r="D26" s="185">
        <v>18</v>
      </c>
      <c r="E26" s="185">
        <v>18</v>
      </c>
      <c r="F26" s="185">
        <v>18</v>
      </c>
      <c r="G26" s="185">
        <v>18</v>
      </c>
      <c r="H26" s="185">
        <v>30</v>
      </c>
      <c r="I26" s="185">
        <v>34</v>
      </c>
      <c r="J26" s="185">
        <v>28</v>
      </c>
      <c r="K26" s="185">
        <v>18</v>
      </c>
      <c r="L26" s="185"/>
      <c r="M26" s="185"/>
      <c r="N26" s="185"/>
      <c r="O26" s="186">
        <f t="shared" si="0"/>
        <v>23</v>
      </c>
      <c r="P26" s="185">
        <v>10</v>
      </c>
      <c r="Q26" s="185">
        <v>10</v>
      </c>
      <c r="R26" s="185">
        <v>10</v>
      </c>
      <c r="S26" s="185">
        <v>10</v>
      </c>
      <c r="T26" s="185">
        <v>10</v>
      </c>
      <c r="U26" s="185">
        <v>17</v>
      </c>
      <c r="V26" s="185">
        <v>17</v>
      </c>
      <c r="W26" s="185">
        <v>15</v>
      </c>
      <c r="X26" s="185">
        <v>25</v>
      </c>
      <c r="Y26" s="185">
        <v>0</v>
      </c>
      <c r="Z26" s="185"/>
      <c r="AA26" s="185">
        <v>5</v>
      </c>
      <c r="AB26" s="186">
        <f t="shared" si="1"/>
        <v>12</v>
      </c>
      <c r="AC26" s="185">
        <v>3</v>
      </c>
      <c r="AD26" s="185">
        <v>3</v>
      </c>
      <c r="AE26" s="186">
        <f t="shared" si="2"/>
        <v>6</v>
      </c>
      <c r="AF26" s="202" t="str">
        <f t="shared" si="3"/>
        <v>DA</v>
      </c>
      <c r="AG26" s="186">
        <f t="shared" si="4"/>
        <v>51</v>
      </c>
      <c r="AH26" s="329" t="str">
        <f t="shared" si="5"/>
        <v>APROBADO</v>
      </c>
      <c r="AI26" s="330"/>
      <c r="AJ26" s="330"/>
      <c r="AK26" s="330"/>
      <c r="AL26" s="330"/>
      <c r="AM26" s="331"/>
      <c r="AN26" s="94"/>
      <c r="AO26" s="94"/>
      <c r="AP26" s="94"/>
      <c r="AQ26" s="94"/>
      <c r="AR26" s="94"/>
      <c r="AS26" s="186">
        <v>38.153846153846153</v>
      </c>
      <c r="AW26" s="210">
        <f t="shared" si="6"/>
        <v>44.57692307692308</v>
      </c>
    </row>
    <row r="27" spans="1:49" ht="12" customHeight="1" x14ac:dyDescent="0.35">
      <c r="A27" s="59">
        <v>19</v>
      </c>
      <c r="B27" s="89" t="str">
        <f>'C. FILIACION'!B26</f>
        <v>VENTURA CHOQUE DANELY KEYLA</v>
      </c>
      <c r="C27" s="31">
        <v>9</v>
      </c>
      <c r="D27" s="90">
        <v>28</v>
      </c>
      <c r="E27" s="31">
        <v>28</v>
      </c>
      <c r="F27" s="90">
        <v>25</v>
      </c>
      <c r="G27" s="90">
        <v>18</v>
      </c>
      <c r="H27" s="90">
        <v>28</v>
      </c>
      <c r="I27" s="90">
        <v>18</v>
      </c>
      <c r="J27" s="90">
        <v>18</v>
      </c>
      <c r="K27" s="31">
        <v>20</v>
      </c>
      <c r="L27" s="31"/>
      <c r="M27" s="31"/>
      <c r="N27" s="31"/>
      <c r="O27" s="91">
        <f t="shared" si="0"/>
        <v>23</v>
      </c>
      <c r="P27" s="31">
        <v>35</v>
      </c>
      <c r="Q27" s="31"/>
      <c r="R27" s="31"/>
      <c r="S27" s="31"/>
      <c r="T27" s="31"/>
      <c r="U27" s="31">
        <v>10</v>
      </c>
      <c r="V27" s="31">
        <v>10</v>
      </c>
      <c r="W27" s="31">
        <v>35</v>
      </c>
      <c r="X27" s="31">
        <v>26</v>
      </c>
      <c r="Y27" s="31">
        <v>10</v>
      </c>
      <c r="Z27" s="31"/>
      <c r="AA27" s="31">
        <v>6</v>
      </c>
      <c r="AB27" s="91">
        <f t="shared" si="1"/>
        <v>21</v>
      </c>
      <c r="AC27" s="31">
        <v>4</v>
      </c>
      <c r="AD27" s="31">
        <v>4</v>
      </c>
      <c r="AE27" s="91">
        <f t="shared" si="2"/>
        <v>8</v>
      </c>
      <c r="AF27" s="92" t="str">
        <f t="shared" si="3"/>
        <v>DO</v>
      </c>
      <c r="AG27" s="91">
        <f t="shared" si="4"/>
        <v>67</v>
      </c>
      <c r="AH27" s="301" t="str">
        <f t="shared" si="5"/>
        <v>APROBADO</v>
      </c>
      <c r="AI27" s="302"/>
      <c r="AJ27" s="302"/>
      <c r="AK27" s="302"/>
      <c r="AL27" s="302"/>
      <c r="AM27" s="303"/>
      <c r="AN27" s="94"/>
      <c r="AO27" s="94"/>
      <c r="AP27" s="94"/>
      <c r="AQ27" s="94"/>
      <c r="AR27" s="94"/>
      <c r="AS27" s="91">
        <v>71</v>
      </c>
      <c r="AW27" s="210">
        <f t="shared" si="6"/>
        <v>69</v>
      </c>
    </row>
    <row r="28" spans="1:49" ht="12" customHeight="1" x14ac:dyDescent="0.35">
      <c r="A28" s="59">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301" t="str">
        <f t="shared" si="5"/>
        <v>APROBADO</v>
      </c>
      <c r="AI28" s="302"/>
      <c r="AJ28" s="302"/>
      <c r="AK28" s="302"/>
      <c r="AL28" s="302"/>
      <c r="AM28" s="303"/>
      <c r="AN28" s="94"/>
      <c r="AO28" s="94"/>
      <c r="AP28" s="94"/>
      <c r="AQ28" s="94"/>
      <c r="AR28" s="94"/>
    </row>
    <row r="29" spans="1:49" ht="12" customHeight="1" x14ac:dyDescent="0.35">
      <c r="A29" s="59">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301" t="str">
        <f t="shared" si="5"/>
        <v>APROBADO</v>
      </c>
      <c r="AI29" s="302"/>
      <c r="AJ29" s="302"/>
      <c r="AK29" s="302"/>
      <c r="AL29" s="302"/>
      <c r="AM29" s="303"/>
      <c r="AN29" s="94"/>
      <c r="AO29" s="94"/>
      <c r="AP29" s="94"/>
      <c r="AQ29" s="94"/>
      <c r="AR29" s="94"/>
    </row>
    <row r="30" spans="1:49" ht="12" customHeight="1" x14ac:dyDescent="0.35">
      <c r="A30" s="59">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301" t="str">
        <f t="shared" si="5"/>
        <v>APROBADO</v>
      </c>
      <c r="AI30" s="302"/>
      <c r="AJ30" s="302"/>
      <c r="AK30" s="302"/>
      <c r="AL30" s="302"/>
      <c r="AM30" s="303"/>
      <c r="AN30" s="94"/>
      <c r="AO30" s="94"/>
      <c r="AP30" s="94"/>
      <c r="AQ30" s="94"/>
      <c r="AR30" s="94"/>
    </row>
    <row r="31" spans="1:49" ht="12" customHeight="1" x14ac:dyDescent="0.35">
      <c r="A31" s="59">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301" t="str">
        <f t="shared" si="5"/>
        <v>APROBADO</v>
      </c>
      <c r="AI31" s="302"/>
      <c r="AJ31" s="302"/>
      <c r="AK31" s="302"/>
      <c r="AL31" s="302"/>
      <c r="AM31" s="303"/>
      <c r="AN31" s="94"/>
      <c r="AO31" s="94"/>
      <c r="AP31" s="94"/>
      <c r="AQ31" s="94"/>
      <c r="AR31" s="94"/>
    </row>
    <row r="32" spans="1:49" ht="12" customHeight="1" x14ac:dyDescent="0.35">
      <c r="A32" s="59">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301" t="str">
        <f t="shared" si="5"/>
        <v>APROBADO</v>
      </c>
      <c r="AI32" s="302"/>
      <c r="AJ32" s="302"/>
      <c r="AK32" s="302"/>
      <c r="AL32" s="302"/>
      <c r="AM32" s="303"/>
      <c r="AN32" s="94"/>
      <c r="AO32" s="94"/>
      <c r="AP32" s="94"/>
      <c r="AQ32" s="94"/>
      <c r="AR32" s="94"/>
    </row>
    <row r="33" spans="1:44" ht="12" customHeight="1" x14ac:dyDescent="0.35">
      <c r="A33" s="59">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301" t="str">
        <f t="shared" si="5"/>
        <v>APROBADO</v>
      </c>
      <c r="AI33" s="302"/>
      <c r="AJ33" s="302"/>
      <c r="AK33" s="302"/>
      <c r="AL33" s="302"/>
      <c r="AM33" s="303"/>
      <c r="AN33" s="94"/>
      <c r="AO33" s="94"/>
      <c r="AP33" s="94"/>
      <c r="AQ33" s="94"/>
      <c r="AR33" s="94"/>
    </row>
    <row r="34" spans="1:44" ht="12" customHeight="1" x14ac:dyDescent="0.35">
      <c r="A34" s="59">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301" t="str">
        <f t="shared" si="5"/>
        <v>APROBADO</v>
      </c>
      <c r="AI34" s="302"/>
      <c r="AJ34" s="302"/>
      <c r="AK34" s="302"/>
      <c r="AL34" s="302"/>
      <c r="AM34" s="303"/>
      <c r="AN34" s="94"/>
      <c r="AO34" s="94"/>
      <c r="AP34" s="94"/>
      <c r="AQ34" s="94"/>
      <c r="AR34" s="94"/>
    </row>
    <row r="35" spans="1:44" ht="12" customHeight="1" x14ac:dyDescent="0.35">
      <c r="A35" s="59">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301" t="str">
        <f t="shared" si="5"/>
        <v>APROBADO</v>
      </c>
      <c r="AI35" s="302"/>
      <c r="AJ35" s="302"/>
      <c r="AK35" s="302"/>
      <c r="AL35" s="302"/>
      <c r="AM35" s="303"/>
      <c r="AN35" s="94"/>
      <c r="AO35" s="94"/>
      <c r="AP35" s="94"/>
      <c r="AQ35" s="94"/>
      <c r="AR35" s="94"/>
    </row>
    <row r="36" spans="1:44" ht="12" customHeight="1" x14ac:dyDescent="0.35">
      <c r="A36" s="59">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301" t="str">
        <f t="shared" si="5"/>
        <v>APROBADO</v>
      </c>
      <c r="AI36" s="302"/>
      <c r="AJ36" s="302"/>
      <c r="AK36" s="302"/>
      <c r="AL36" s="302"/>
      <c r="AM36" s="303"/>
      <c r="AN36" s="94"/>
      <c r="AO36" s="94"/>
      <c r="AP36" s="94"/>
      <c r="AQ36" s="94"/>
      <c r="AR36" s="94"/>
    </row>
    <row r="37" spans="1:44" ht="12" customHeight="1" x14ac:dyDescent="0.35">
      <c r="A37" s="59">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301" t="str">
        <f t="shared" si="5"/>
        <v>APROBADO</v>
      </c>
      <c r="AI37" s="302"/>
      <c r="AJ37" s="302"/>
      <c r="AK37" s="302"/>
      <c r="AL37" s="302"/>
      <c r="AM37" s="303"/>
      <c r="AN37" s="94"/>
      <c r="AO37" s="94"/>
      <c r="AP37" s="94"/>
      <c r="AQ37" s="94"/>
      <c r="AR37" s="94"/>
    </row>
    <row r="38" spans="1:44" ht="12" customHeight="1" x14ac:dyDescent="0.35">
      <c r="A38" s="59">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301" t="str">
        <f t="shared" si="5"/>
        <v>APROBADO</v>
      </c>
      <c r="AI38" s="302"/>
      <c r="AJ38" s="302"/>
      <c r="AK38" s="302"/>
      <c r="AL38" s="302"/>
      <c r="AM38" s="303"/>
      <c r="AN38" s="94"/>
      <c r="AO38" s="94"/>
      <c r="AP38" s="94"/>
      <c r="AQ38" s="94"/>
      <c r="AR38" s="94"/>
    </row>
    <row r="39" spans="1:44" ht="12" customHeight="1" x14ac:dyDescent="0.35">
      <c r="A39" s="59">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301" t="str">
        <f t="shared" si="5"/>
        <v>APROBADO</v>
      </c>
      <c r="AI39" s="302"/>
      <c r="AJ39" s="302"/>
      <c r="AK39" s="302"/>
      <c r="AL39" s="302"/>
      <c r="AM39" s="303"/>
      <c r="AN39" s="94"/>
      <c r="AO39" s="94"/>
      <c r="AP39" s="94"/>
      <c r="AQ39" s="94"/>
      <c r="AR39" s="94"/>
    </row>
    <row r="40" spans="1:44" ht="12" customHeight="1" x14ac:dyDescent="0.35">
      <c r="A40" s="59">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301" t="str">
        <f t="shared" si="5"/>
        <v>APROBADO</v>
      </c>
      <c r="AI40" s="302"/>
      <c r="AJ40" s="302"/>
      <c r="AK40" s="302"/>
      <c r="AL40" s="302"/>
      <c r="AM40" s="303"/>
      <c r="AN40" s="94"/>
      <c r="AO40" s="94"/>
      <c r="AP40" s="94"/>
      <c r="AQ40" s="94"/>
      <c r="AR40" s="94"/>
    </row>
    <row r="41" spans="1:44" ht="12" customHeight="1" x14ac:dyDescent="0.35">
      <c r="A41" s="59">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301" t="str">
        <f t="shared" si="5"/>
        <v>APROBADO</v>
      </c>
      <c r="AI41" s="302"/>
      <c r="AJ41" s="302"/>
      <c r="AK41" s="302"/>
      <c r="AL41" s="302"/>
      <c r="AM41" s="303"/>
      <c r="AN41" s="94"/>
      <c r="AO41" s="94"/>
      <c r="AP41" s="94"/>
      <c r="AQ41" s="94"/>
      <c r="AR41" s="94"/>
    </row>
    <row r="42" spans="1:44" ht="12" customHeight="1" x14ac:dyDescent="0.35">
      <c r="A42" s="59">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301" t="str">
        <f t="shared" si="5"/>
        <v>APROBADO</v>
      </c>
      <c r="AI42" s="302"/>
      <c r="AJ42" s="302"/>
      <c r="AK42" s="302"/>
      <c r="AL42" s="302"/>
      <c r="AM42" s="303"/>
      <c r="AN42" s="94"/>
      <c r="AO42" s="94"/>
      <c r="AP42" s="94"/>
      <c r="AQ42" s="94"/>
      <c r="AR42" s="94"/>
    </row>
    <row r="43" spans="1:44" ht="12" customHeight="1" x14ac:dyDescent="0.35">
      <c r="A43" s="59">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301" t="str">
        <f t="shared" si="5"/>
        <v>APROBADO</v>
      </c>
      <c r="AI43" s="302"/>
      <c r="AJ43" s="302"/>
      <c r="AK43" s="302"/>
      <c r="AL43" s="302"/>
      <c r="AM43" s="303"/>
      <c r="AN43" s="94"/>
      <c r="AO43" s="94"/>
      <c r="AP43" s="94"/>
      <c r="AQ43" s="94"/>
      <c r="AR43" s="94"/>
    </row>
    <row r="44" spans="1:44" ht="12" customHeight="1" x14ac:dyDescent="0.35">
      <c r="A44" s="59">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301" t="str">
        <f t="shared" si="5"/>
        <v>APROBADO</v>
      </c>
      <c r="AI44" s="302"/>
      <c r="AJ44" s="302"/>
      <c r="AK44" s="302"/>
      <c r="AL44" s="302"/>
      <c r="AM44" s="303"/>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pageSetUpPr fitToPage="1"/>
  </sheetPr>
  <dimension ref="A1:AV1000"/>
  <sheetViews>
    <sheetView workbookViewId="0">
      <selection activeCell="U8" sqref="U8"/>
    </sheetView>
  </sheetViews>
  <sheetFormatPr baseColWidth="10" defaultColWidth="9.13281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3281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5" width="1.6640625" customWidth="1"/>
    <col min="46" max="46" width="2.1328125" customWidth="1"/>
    <col min="47"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312" t="s">
        <v>102</v>
      </c>
      <c r="C2" s="239"/>
      <c r="D2" s="239"/>
      <c r="E2" s="239"/>
      <c r="F2" s="239"/>
      <c r="G2" s="239"/>
      <c r="H2" s="239"/>
      <c r="I2" s="239"/>
      <c r="J2" s="239"/>
      <c r="K2" s="239"/>
      <c r="L2" s="239"/>
      <c r="M2" s="239"/>
      <c r="N2" s="239"/>
      <c r="O2" s="239"/>
      <c r="P2" s="239"/>
      <c r="Q2" s="239"/>
      <c r="R2" s="239"/>
      <c r="S2" s="239"/>
      <c r="T2" s="239"/>
      <c r="U2" s="239"/>
      <c r="V2" s="239"/>
      <c r="W2" s="239"/>
      <c r="X2" s="239"/>
      <c r="Y2" s="239"/>
      <c r="Z2" s="239"/>
      <c r="AA2" s="239"/>
      <c r="AB2" s="239"/>
      <c r="AC2" s="239"/>
      <c r="AD2" s="239"/>
      <c r="AE2" s="239"/>
      <c r="AF2" s="239"/>
      <c r="AG2" s="239"/>
      <c r="AH2" s="239"/>
      <c r="AI2" s="239"/>
      <c r="AJ2" s="239"/>
      <c r="AK2" s="239"/>
      <c r="AL2" s="239"/>
      <c r="AM2" s="239"/>
      <c r="AN2" s="239"/>
      <c r="AO2" s="239"/>
      <c r="AP2" s="239"/>
      <c r="AQ2" s="239"/>
      <c r="AR2" s="240"/>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310" t="s">
        <v>50</v>
      </c>
      <c r="AD3" s="302"/>
      <c r="AE3" s="302"/>
      <c r="AF3" s="302"/>
      <c r="AG3" s="302"/>
      <c r="AH3" s="303"/>
      <c r="AI3" s="266">
        <f>CARÁTULA!$H$24</f>
        <v>44440</v>
      </c>
      <c r="AJ3" s="248"/>
      <c r="AK3" s="248"/>
      <c r="AL3" s="248"/>
      <c r="AM3" s="248"/>
      <c r="AN3" s="313" t="s">
        <v>51</v>
      </c>
      <c r="AO3" s="239"/>
      <c r="AP3" s="239"/>
      <c r="AQ3" s="239"/>
      <c r="AR3" s="240"/>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t="str">
        <f>CARÁTULA!$C$19</f>
        <v>JOSÉ COAQUIRA COPA</v>
      </c>
      <c r="T4" s="76"/>
      <c r="U4" s="76"/>
      <c r="V4" s="76"/>
      <c r="W4" s="76"/>
      <c r="X4" s="76"/>
      <c r="Y4" s="76"/>
      <c r="Z4" s="76"/>
      <c r="AA4" s="76"/>
      <c r="AB4" s="76"/>
      <c r="AC4" s="310" t="s">
        <v>53</v>
      </c>
      <c r="AD4" s="302"/>
      <c r="AE4" s="302"/>
      <c r="AF4" s="302"/>
      <c r="AG4" s="302"/>
      <c r="AH4" s="303"/>
      <c r="AI4" s="266">
        <f>CARÁTULA!$J$24</f>
        <v>44531</v>
      </c>
      <c r="AJ4" s="248"/>
      <c r="AK4" s="248"/>
      <c r="AL4" s="248"/>
      <c r="AM4" s="248"/>
      <c r="AN4" s="300">
        <f ca="1">AI4-AI5</f>
        <v>-12</v>
      </c>
      <c r="AO4" s="258"/>
      <c r="AP4" s="258"/>
      <c r="AQ4" s="258"/>
      <c r="AR4" s="259"/>
    </row>
    <row r="5" spans="1:48" ht="12.75" customHeight="1" x14ac:dyDescent="0.4">
      <c r="A5" s="71"/>
      <c r="B5" s="74" t="s">
        <v>22</v>
      </c>
      <c r="C5" s="75" t="str">
        <f>CARÁTULA!$C$23</f>
        <v>6to de Secundaria</v>
      </c>
      <c r="D5" s="76"/>
      <c r="E5" s="76"/>
      <c r="F5" s="76"/>
      <c r="G5" s="74"/>
      <c r="H5" s="74"/>
      <c r="I5" s="74"/>
      <c r="J5" s="74"/>
      <c r="K5" s="74"/>
      <c r="L5" s="74"/>
      <c r="M5" s="74"/>
      <c r="N5" s="74"/>
      <c r="O5" s="77" t="s">
        <v>23</v>
      </c>
      <c r="P5" s="79"/>
      <c r="Q5" s="79"/>
      <c r="R5" s="79"/>
      <c r="S5" s="318">
        <f ca="1">TODAY()</f>
        <v>44543</v>
      </c>
      <c r="T5" s="239"/>
      <c r="U5" s="239"/>
      <c r="V5" s="239"/>
      <c r="W5" s="239"/>
      <c r="X5" s="239"/>
      <c r="Y5" s="239"/>
      <c r="Z5" s="239"/>
      <c r="AA5" s="240"/>
      <c r="AB5" s="76"/>
      <c r="AC5" s="311" t="s">
        <v>54</v>
      </c>
      <c r="AD5" s="302"/>
      <c r="AE5" s="302"/>
      <c r="AF5" s="302"/>
      <c r="AG5" s="302"/>
      <c r="AH5" s="303"/>
      <c r="AI5" s="314">
        <f ca="1">TODAY()</f>
        <v>44543</v>
      </c>
      <c r="AJ5" s="248"/>
      <c r="AK5" s="248"/>
      <c r="AL5" s="248"/>
      <c r="AM5" s="248"/>
      <c r="AN5" s="260"/>
      <c r="AO5" s="261"/>
      <c r="AP5" s="261"/>
      <c r="AQ5" s="261"/>
      <c r="AR5" s="262"/>
    </row>
    <row r="6" spans="1:48" ht="12.75" customHeight="1" x14ac:dyDescent="0.4">
      <c r="A6" s="71"/>
      <c r="B6" s="74"/>
      <c r="C6" s="254" t="s">
        <v>75</v>
      </c>
      <c r="D6" s="255"/>
      <c r="E6" s="255"/>
      <c r="F6" s="255"/>
      <c r="G6" s="255"/>
      <c r="H6" s="255"/>
      <c r="I6" s="255"/>
      <c r="J6" s="255"/>
      <c r="K6" s="255"/>
      <c r="L6" s="255"/>
      <c r="M6" s="255"/>
      <c r="N6" s="255"/>
      <c r="O6" s="255"/>
      <c r="P6" s="255"/>
      <c r="Q6" s="255"/>
      <c r="R6" s="255"/>
      <c r="S6" s="255"/>
      <c r="T6" s="255"/>
      <c r="U6" s="255"/>
      <c r="V6" s="255"/>
      <c r="W6" s="255"/>
      <c r="X6" s="255"/>
      <c r="Y6" s="255"/>
      <c r="Z6" s="255"/>
      <c r="AA6" s="256"/>
      <c r="AB6" s="319" t="s">
        <v>76</v>
      </c>
      <c r="AC6" s="302"/>
      <c r="AD6" s="302"/>
      <c r="AE6" s="303"/>
      <c r="AF6" s="80"/>
      <c r="AG6" s="81"/>
      <c r="AH6" s="81"/>
      <c r="AI6" s="82"/>
      <c r="AJ6" s="83"/>
      <c r="AK6" s="83"/>
      <c r="AL6" s="83"/>
      <c r="AM6" s="83"/>
      <c r="AN6" s="84"/>
      <c r="AO6" s="84"/>
      <c r="AP6" s="84"/>
      <c r="AQ6" s="84"/>
      <c r="AR6" s="84"/>
    </row>
    <row r="7" spans="1:48" ht="12" customHeight="1" x14ac:dyDescent="0.4">
      <c r="A7" s="71"/>
      <c r="B7" s="85"/>
      <c r="C7" s="320" t="s">
        <v>77</v>
      </c>
      <c r="D7" s="321" t="s">
        <v>78</v>
      </c>
      <c r="E7" s="302"/>
      <c r="F7" s="302"/>
      <c r="G7" s="302"/>
      <c r="H7" s="302"/>
      <c r="I7" s="302"/>
      <c r="J7" s="302"/>
      <c r="K7" s="302"/>
      <c r="L7" s="302"/>
      <c r="M7" s="302"/>
      <c r="N7" s="302"/>
      <c r="O7" s="317" t="s">
        <v>79</v>
      </c>
      <c r="P7" s="321" t="s">
        <v>80</v>
      </c>
      <c r="Q7" s="302"/>
      <c r="R7" s="302"/>
      <c r="S7" s="302"/>
      <c r="T7" s="302"/>
      <c r="U7" s="302"/>
      <c r="V7" s="302"/>
      <c r="W7" s="302"/>
      <c r="X7" s="302"/>
      <c r="Y7" s="302"/>
      <c r="Z7" s="302"/>
      <c r="AA7" s="315" t="s">
        <v>81</v>
      </c>
      <c r="AB7" s="317" t="s">
        <v>79</v>
      </c>
      <c r="AC7" s="315" t="s">
        <v>82</v>
      </c>
      <c r="AD7" s="315" t="s">
        <v>83</v>
      </c>
      <c r="AE7" s="317" t="s">
        <v>79</v>
      </c>
      <c r="AF7" s="322" t="s">
        <v>84</v>
      </c>
      <c r="AG7" s="323" t="s">
        <v>85</v>
      </c>
      <c r="AH7" s="324" t="s">
        <v>86</v>
      </c>
      <c r="AI7" s="255"/>
      <c r="AJ7" s="255"/>
      <c r="AK7" s="255"/>
      <c r="AL7" s="255"/>
      <c r="AM7" s="256"/>
      <c r="AN7" s="86"/>
      <c r="AO7" s="76"/>
      <c r="AP7" s="76"/>
      <c r="AQ7" s="76"/>
      <c r="AR7" s="71"/>
    </row>
    <row r="8" spans="1:48" ht="211.5" customHeight="1" x14ac:dyDescent="0.35">
      <c r="A8" s="48" t="s">
        <v>55</v>
      </c>
      <c r="B8" s="49" t="s">
        <v>56</v>
      </c>
      <c r="C8" s="316"/>
      <c r="D8" s="225" t="s">
        <v>271</v>
      </c>
      <c r="E8" s="217" t="s">
        <v>272</v>
      </c>
      <c r="F8" s="217" t="s">
        <v>278</v>
      </c>
      <c r="G8" s="217" t="s">
        <v>275</v>
      </c>
      <c r="H8" s="217" t="s">
        <v>276</v>
      </c>
      <c r="I8" s="54"/>
      <c r="J8" s="54"/>
      <c r="K8" s="54"/>
      <c r="L8" s="54"/>
      <c r="M8" s="54"/>
      <c r="N8" s="55"/>
      <c r="O8" s="316"/>
      <c r="P8" s="217" t="s">
        <v>273</v>
      </c>
      <c r="Q8" s="217" t="s">
        <v>274</v>
      </c>
      <c r="R8" s="217" t="s">
        <v>277</v>
      </c>
      <c r="S8" s="54"/>
      <c r="T8" s="54"/>
      <c r="U8" s="54"/>
      <c r="V8" s="54"/>
      <c r="W8" s="54"/>
      <c r="X8" s="54"/>
      <c r="Y8" s="54"/>
      <c r="Z8" s="54"/>
      <c r="AA8" s="316"/>
      <c r="AB8" s="316"/>
      <c r="AC8" s="316"/>
      <c r="AD8" s="316"/>
      <c r="AE8" s="316"/>
      <c r="AF8" s="316"/>
      <c r="AG8" s="316"/>
      <c r="AH8" s="325"/>
      <c r="AI8" s="326"/>
      <c r="AJ8" s="326"/>
      <c r="AK8" s="326"/>
      <c r="AL8" s="326"/>
      <c r="AM8" s="327"/>
      <c r="AN8" s="87"/>
      <c r="AO8" s="87"/>
      <c r="AP8" s="87"/>
      <c r="AQ8" s="87"/>
      <c r="AR8" s="88"/>
    </row>
    <row r="9" spans="1:48" ht="12" customHeight="1" x14ac:dyDescent="0.35">
      <c r="A9" s="59">
        <v>1</v>
      </c>
      <c r="B9" s="89" t="str">
        <f>'C. FILIACION'!B8</f>
        <v>ALTAMIRANO RAMOS ESTEFANI MILENKA</v>
      </c>
      <c r="C9" s="212">
        <f>'ASIS 3 TRIM'!BJ8</f>
        <v>9.4117647058823533</v>
      </c>
      <c r="D9" s="90">
        <v>32</v>
      </c>
      <c r="E9" s="90">
        <v>35</v>
      </c>
      <c r="F9" s="90">
        <v>33</v>
      </c>
      <c r="G9" s="90">
        <v>35</v>
      </c>
      <c r="H9" s="90">
        <v>34</v>
      </c>
      <c r="I9" s="31"/>
      <c r="J9" s="31"/>
      <c r="K9" s="31"/>
      <c r="L9" s="31"/>
      <c r="M9" s="31"/>
      <c r="N9" s="31"/>
      <c r="O9" s="91">
        <f t="shared" ref="O9:O44" si="0">IFERROR(ROUND(AVERAGE(D9:N9),0),"")</f>
        <v>34</v>
      </c>
      <c r="P9" s="90">
        <v>35</v>
      </c>
      <c r="Q9" s="90">
        <v>25</v>
      </c>
      <c r="R9" s="90">
        <v>34</v>
      </c>
      <c r="S9" s="90"/>
      <c r="T9" s="90"/>
      <c r="U9" s="31"/>
      <c r="V9" s="31"/>
      <c r="W9" s="31"/>
      <c r="X9" s="31"/>
      <c r="Y9" s="31"/>
      <c r="Z9" s="31"/>
      <c r="AA9" s="31">
        <f>(AB9+O9)/2*10/35</f>
        <v>9.2857142857142865</v>
      </c>
      <c r="AB9" s="91">
        <f t="shared" ref="AB9:AB44" si="1">IFERROR(ROUND(AVERAGE(P9:Z9),0),"")</f>
        <v>31</v>
      </c>
      <c r="AC9" s="31">
        <v>4</v>
      </c>
      <c r="AD9" s="31">
        <v>4</v>
      </c>
      <c r="AE9" s="91">
        <f t="shared" ref="AE9:AE44" si="2">IFERROR((SUM(AC9,AD9)),"")</f>
        <v>8</v>
      </c>
      <c r="AF9" s="92" t="str">
        <f t="shared" ref="AF9:AF44" si="3">IF(AG9&lt;51,"ED",IF(AG9&lt;67,"DA",IF(AG9&lt;85,"DO","DP")))</f>
        <v>DP</v>
      </c>
      <c r="AG9" s="222">
        <f t="shared" ref="AG9:AG44" si="4">IFERROR((SUM(C9,O9,AA9,AB9,AE9)),"")</f>
        <v>91.69747899159664</v>
      </c>
      <c r="AH9" s="301" t="str">
        <f t="shared" ref="AH9:AH44" si="5">IF(AG9="","",(IF(AND(AG9&gt;=1,AG9&lt;=50.499),"REPROBADO",IF(AND(AG9&gt;=50.5,AG9&lt;=100),"APROBADO"))))</f>
        <v>APROBADO</v>
      </c>
      <c r="AI9" s="302"/>
      <c r="AJ9" s="302"/>
      <c r="AK9" s="302"/>
      <c r="AL9" s="302"/>
      <c r="AM9" s="303"/>
      <c r="AN9" s="93" t="s">
        <v>97</v>
      </c>
      <c r="AO9" s="328">
        <f>COUNTIF(AF9:AF44,"ED")</f>
        <v>4</v>
      </c>
      <c r="AP9" s="303"/>
      <c r="AQ9" s="94"/>
      <c r="AR9" s="94"/>
      <c r="AS9" s="222">
        <v>93.428571428571431</v>
      </c>
      <c r="AT9" s="233">
        <f>(AG9+AS9)/2</f>
        <v>92.563025210084035</v>
      </c>
    </row>
    <row r="10" spans="1:48" ht="12" customHeight="1" x14ac:dyDescent="0.35">
      <c r="A10" s="59">
        <v>2</v>
      </c>
      <c r="B10" s="89" t="str">
        <f>'C. FILIACION'!B9</f>
        <v>APAZA LINO TATIANA JAZMIN</v>
      </c>
      <c r="C10" s="212">
        <f>'ASIS 3 TRIM'!BJ9</f>
        <v>10</v>
      </c>
      <c r="D10" s="90">
        <v>32</v>
      </c>
      <c r="E10" s="90">
        <v>34</v>
      </c>
      <c r="F10" s="90">
        <v>35</v>
      </c>
      <c r="G10" s="90">
        <v>35</v>
      </c>
      <c r="H10" s="90">
        <v>35</v>
      </c>
      <c r="I10" s="31"/>
      <c r="J10" s="31"/>
      <c r="K10" s="31"/>
      <c r="L10" s="31"/>
      <c r="M10" s="31"/>
      <c r="N10" s="31"/>
      <c r="O10" s="91">
        <f t="shared" si="0"/>
        <v>34</v>
      </c>
      <c r="P10" s="90">
        <v>35</v>
      </c>
      <c r="Q10" s="90">
        <v>25</v>
      </c>
      <c r="R10" s="90">
        <v>33</v>
      </c>
      <c r="S10" s="90"/>
      <c r="T10" s="90"/>
      <c r="U10" s="31"/>
      <c r="V10" s="31"/>
      <c r="W10" s="31"/>
      <c r="X10" s="31"/>
      <c r="Y10" s="31"/>
      <c r="Z10" s="31"/>
      <c r="AA10" s="90">
        <f t="shared" ref="AA10:AA27" si="6">(AB10+O10)/2*10/35</f>
        <v>9.2857142857142865</v>
      </c>
      <c r="AB10" s="91">
        <f t="shared" si="1"/>
        <v>31</v>
      </c>
      <c r="AC10" s="31">
        <v>5</v>
      </c>
      <c r="AD10" s="31">
        <v>5</v>
      </c>
      <c r="AE10" s="91">
        <f t="shared" si="2"/>
        <v>10</v>
      </c>
      <c r="AF10" s="92" t="str">
        <f t="shared" si="3"/>
        <v>DP</v>
      </c>
      <c r="AG10" s="222">
        <f t="shared" si="4"/>
        <v>94.285714285714278</v>
      </c>
      <c r="AH10" s="301" t="str">
        <f t="shared" si="5"/>
        <v>APROBADO</v>
      </c>
      <c r="AI10" s="302"/>
      <c r="AJ10" s="302"/>
      <c r="AK10" s="302"/>
      <c r="AL10" s="302"/>
      <c r="AM10" s="303"/>
      <c r="AN10" s="48" t="s">
        <v>98</v>
      </c>
      <c r="AO10" s="328">
        <f>COUNTIF(AF9:AF44,"DA")</f>
        <v>5</v>
      </c>
      <c r="AP10" s="303"/>
      <c r="AQ10" s="94"/>
      <c r="AR10" s="94"/>
      <c r="AS10" s="222">
        <v>95.428571428571431</v>
      </c>
      <c r="AT10" s="233">
        <f t="shared" ref="AT10:AT27" si="7">(AG10+AS10)/2</f>
        <v>94.857142857142861</v>
      </c>
    </row>
    <row r="11" spans="1:48" ht="12" customHeight="1" x14ac:dyDescent="0.35">
      <c r="A11" s="59">
        <v>3</v>
      </c>
      <c r="B11" s="89" t="str">
        <f>'C. FILIACION'!B10</f>
        <v>BOLAÑOS OVANDO MIJHAIL ALEXANDER</v>
      </c>
      <c r="C11" s="212">
        <f>'ASIS 3 TRIM'!BJ10</f>
        <v>8.8235294117647065</v>
      </c>
      <c r="D11" s="90">
        <v>19</v>
      </c>
      <c r="E11" s="90">
        <v>21</v>
      </c>
      <c r="F11" s="90">
        <v>15</v>
      </c>
      <c r="G11" s="90">
        <v>29</v>
      </c>
      <c r="H11" s="90">
        <v>25</v>
      </c>
      <c r="I11" s="31"/>
      <c r="J11" s="31"/>
      <c r="K11" s="31"/>
      <c r="L11" s="31"/>
      <c r="M11" s="31"/>
      <c r="N11" s="31"/>
      <c r="O11" s="91">
        <f t="shared" si="0"/>
        <v>22</v>
      </c>
      <c r="P11" s="90">
        <v>18</v>
      </c>
      <c r="Q11" s="90">
        <v>10</v>
      </c>
      <c r="R11" s="90">
        <v>10</v>
      </c>
      <c r="S11" s="90"/>
      <c r="T11" s="90"/>
      <c r="U11" s="31"/>
      <c r="V11" s="31"/>
      <c r="W11" s="31"/>
      <c r="X11" s="31"/>
      <c r="Y11" s="31"/>
      <c r="Z11" s="31"/>
      <c r="AA11" s="90">
        <f t="shared" si="6"/>
        <v>5</v>
      </c>
      <c r="AB11" s="91">
        <f t="shared" si="1"/>
        <v>13</v>
      </c>
      <c r="AC11" s="31">
        <v>4</v>
      </c>
      <c r="AD11" s="31">
        <v>4</v>
      </c>
      <c r="AE11" s="91">
        <f>IFERROR((SUM(AC11,AD11)),"")</f>
        <v>8</v>
      </c>
      <c r="AF11" s="92" t="str">
        <f t="shared" si="3"/>
        <v>DA</v>
      </c>
      <c r="AG11" s="222">
        <f t="shared" si="4"/>
        <v>56.82352941176471</v>
      </c>
      <c r="AH11" s="301" t="str">
        <f t="shared" si="5"/>
        <v>APROBADO</v>
      </c>
      <c r="AI11" s="302"/>
      <c r="AJ11" s="302"/>
      <c r="AK11" s="302"/>
      <c r="AL11" s="302"/>
      <c r="AM11" s="303"/>
      <c r="AN11" s="48" t="s">
        <v>99</v>
      </c>
      <c r="AO11" s="328">
        <f>COUNTIF(AF9:AF44,"DO")</f>
        <v>6</v>
      </c>
      <c r="AP11" s="303"/>
      <c r="AQ11" s="94"/>
      <c r="AR11" s="94"/>
      <c r="AS11" s="224">
        <v>45</v>
      </c>
      <c r="AT11" s="233">
        <f t="shared" si="7"/>
        <v>50.911764705882355</v>
      </c>
    </row>
    <row r="12" spans="1:48" ht="12" customHeight="1" x14ac:dyDescent="0.35">
      <c r="A12" s="59">
        <v>4</v>
      </c>
      <c r="B12" s="196" t="str">
        <f>'C. FILIACION'!B11</f>
        <v>BRICHER ETHELBERT ISMAEL</v>
      </c>
      <c r="C12" s="213">
        <f>'ASIS 3 TRIM'!BJ11</f>
        <v>0</v>
      </c>
      <c r="D12" s="197">
        <v>0</v>
      </c>
      <c r="E12" s="197">
        <v>0</v>
      </c>
      <c r="F12" s="197">
        <v>0</v>
      </c>
      <c r="G12" s="197">
        <v>0</v>
      </c>
      <c r="H12" s="197">
        <v>0</v>
      </c>
      <c r="I12" s="197"/>
      <c r="J12" s="197"/>
      <c r="K12" s="197"/>
      <c r="L12" s="197"/>
      <c r="M12" s="197"/>
      <c r="N12" s="197"/>
      <c r="O12" s="198">
        <f t="shared" si="0"/>
        <v>0</v>
      </c>
      <c r="P12" s="197">
        <v>0</v>
      </c>
      <c r="Q12" s="197">
        <v>0</v>
      </c>
      <c r="R12" s="197">
        <v>0</v>
      </c>
      <c r="S12" s="197"/>
      <c r="T12" s="197"/>
      <c r="U12" s="197"/>
      <c r="V12" s="197"/>
      <c r="W12" s="197"/>
      <c r="X12" s="197"/>
      <c r="Y12" s="197"/>
      <c r="Z12" s="197"/>
      <c r="AA12" s="197">
        <f t="shared" si="6"/>
        <v>0</v>
      </c>
      <c r="AB12" s="198">
        <f t="shared" si="1"/>
        <v>0</v>
      </c>
      <c r="AC12" s="197"/>
      <c r="AD12" s="197"/>
      <c r="AE12" s="198">
        <f t="shared" si="2"/>
        <v>0</v>
      </c>
      <c r="AF12" s="199" t="str">
        <f t="shared" si="3"/>
        <v>ED</v>
      </c>
      <c r="AG12" s="223">
        <f t="shared" si="4"/>
        <v>0</v>
      </c>
      <c r="AH12" s="304" t="b">
        <f t="shared" si="5"/>
        <v>0</v>
      </c>
      <c r="AI12" s="305"/>
      <c r="AJ12" s="305"/>
      <c r="AK12" s="305"/>
      <c r="AL12" s="305"/>
      <c r="AM12" s="306"/>
      <c r="AN12" s="48" t="s">
        <v>100</v>
      </c>
      <c r="AO12" s="328">
        <f>COUNTIF(AF9:AF44,"DP")</f>
        <v>21</v>
      </c>
      <c r="AP12" s="303"/>
      <c r="AQ12" s="94"/>
      <c r="AR12" s="94"/>
      <c r="AS12" s="223">
        <v>0</v>
      </c>
      <c r="AT12" s="234">
        <f t="shared" si="7"/>
        <v>0</v>
      </c>
    </row>
    <row r="13" spans="1:48" ht="12" customHeight="1" x14ac:dyDescent="0.35">
      <c r="A13" s="59">
        <v>5</v>
      </c>
      <c r="B13" s="89" t="str">
        <f>'C. FILIACION'!B12</f>
        <v>CANAVIRI QUISBERT ALEJANDRA ELENA</v>
      </c>
      <c r="C13" s="212">
        <f>'ASIS 3 TRIM'!BJ12</f>
        <v>7.6470588235294121</v>
      </c>
      <c r="D13" s="90">
        <v>25</v>
      </c>
      <c r="E13" s="90">
        <v>29</v>
      </c>
      <c r="F13" s="90">
        <v>31</v>
      </c>
      <c r="G13" s="90">
        <v>27</v>
      </c>
      <c r="H13" s="90">
        <v>24</v>
      </c>
      <c r="I13" s="31"/>
      <c r="J13" s="31"/>
      <c r="K13" s="31"/>
      <c r="L13" s="31"/>
      <c r="M13" s="31"/>
      <c r="N13" s="31"/>
      <c r="O13" s="91">
        <f t="shared" si="0"/>
        <v>27</v>
      </c>
      <c r="P13" s="90">
        <v>10</v>
      </c>
      <c r="Q13" s="90">
        <v>10</v>
      </c>
      <c r="R13" s="90">
        <v>33</v>
      </c>
      <c r="S13" s="90"/>
      <c r="T13" s="90"/>
      <c r="U13" s="31"/>
      <c r="V13" s="31"/>
      <c r="W13" s="31"/>
      <c r="X13" s="31"/>
      <c r="Y13" s="31"/>
      <c r="Z13" s="31"/>
      <c r="AA13" s="90">
        <f t="shared" si="6"/>
        <v>6.4285714285714288</v>
      </c>
      <c r="AB13" s="91">
        <f t="shared" si="1"/>
        <v>18</v>
      </c>
      <c r="AC13" s="31">
        <v>4</v>
      </c>
      <c r="AD13" s="31">
        <v>4</v>
      </c>
      <c r="AE13" s="91">
        <f t="shared" si="2"/>
        <v>8</v>
      </c>
      <c r="AF13" s="92" t="str">
        <f t="shared" si="3"/>
        <v>DO</v>
      </c>
      <c r="AG13" s="222">
        <f t="shared" si="4"/>
        <v>67.075630252100837</v>
      </c>
      <c r="AH13" s="301" t="str">
        <f t="shared" si="5"/>
        <v>APROBADO</v>
      </c>
      <c r="AI13" s="302"/>
      <c r="AJ13" s="302"/>
      <c r="AK13" s="302"/>
      <c r="AL13" s="302"/>
      <c r="AM13" s="303"/>
      <c r="AN13" s="94"/>
      <c r="AO13" s="94"/>
      <c r="AP13" s="94"/>
      <c r="AQ13" s="94"/>
      <c r="AR13" s="94"/>
      <c r="AS13" s="222">
        <v>74.238095238095241</v>
      </c>
      <c r="AT13" s="233">
        <f t="shared" si="7"/>
        <v>70.656862745098039</v>
      </c>
    </row>
    <row r="14" spans="1:48" ht="12" customHeight="1" x14ac:dyDescent="0.35">
      <c r="A14" s="59">
        <v>6</v>
      </c>
      <c r="B14" s="89" t="str">
        <f>'C. FILIACION'!B13</f>
        <v>GOMEZ BELTRAN ALBERT NORMAN</v>
      </c>
      <c r="C14" s="212">
        <f>'ASIS 3 TRIM'!BJ13</f>
        <v>10</v>
      </c>
      <c r="D14" s="90">
        <v>32</v>
      </c>
      <c r="E14" s="90">
        <v>26</v>
      </c>
      <c r="F14" s="90">
        <v>20</v>
      </c>
      <c r="G14" s="90">
        <v>35</v>
      </c>
      <c r="H14" s="90">
        <v>34</v>
      </c>
      <c r="I14" s="31"/>
      <c r="J14" s="31"/>
      <c r="K14" s="31"/>
      <c r="L14" s="31"/>
      <c r="M14" s="31"/>
      <c r="N14" s="31"/>
      <c r="O14" s="91">
        <f t="shared" si="0"/>
        <v>29</v>
      </c>
      <c r="P14" s="90">
        <v>35</v>
      </c>
      <c r="Q14" s="90">
        <v>30</v>
      </c>
      <c r="R14" s="90">
        <v>34</v>
      </c>
      <c r="S14" s="90"/>
      <c r="T14" s="90"/>
      <c r="U14" s="31"/>
      <c r="V14" s="31"/>
      <c r="W14" s="31"/>
      <c r="X14" s="31"/>
      <c r="Y14" s="31"/>
      <c r="Z14" s="31"/>
      <c r="AA14" s="90">
        <f t="shared" si="6"/>
        <v>8.8571428571428577</v>
      </c>
      <c r="AB14" s="91">
        <f t="shared" si="1"/>
        <v>33</v>
      </c>
      <c r="AC14" s="31">
        <v>3</v>
      </c>
      <c r="AD14" s="31">
        <v>4</v>
      </c>
      <c r="AE14" s="91">
        <f t="shared" si="2"/>
        <v>7</v>
      </c>
      <c r="AF14" s="92" t="str">
        <f t="shared" si="3"/>
        <v>DP</v>
      </c>
      <c r="AG14" s="222">
        <f t="shared" si="4"/>
        <v>87.857142857142861</v>
      </c>
      <c r="AH14" s="301" t="str">
        <f t="shared" si="5"/>
        <v>APROBADO</v>
      </c>
      <c r="AI14" s="302"/>
      <c r="AJ14" s="302"/>
      <c r="AK14" s="302"/>
      <c r="AL14" s="302"/>
      <c r="AM14" s="303"/>
      <c r="AN14" s="94"/>
      <c r="AO14" s="94"/>
      <c r="AP14" s="94"/>
      <c r="AQ14" s="94"/>
      <c r="AR14" s="94"/>
      <c r="AS14" s="222">
        <v>89.888888888888886</v>
      </c>
      <c r="AT14" s="233">
        <f t="shared" si="7"/>
        <v>88.873015873015873</v>
      </c>
    </row>
    <row r="15" spans="1:48" ht="12" customHeight="1" x14ac:dyDescent="0.35">
      <c r="A15" s="59">
        <v>7</v>
      </c>
      <c r="B15" s="184" t="str">
        <f>'C. FILIACION'!B14</f>
        <v>GOMEZ COSME MELANY KARINA</v>
      </c>
      <c r="C15" s="214">
        <f>'ASIS 3 TRIM'!BJ14</f>
        <v>7.0588235294117645</v>
      </c>
      <c r="D15" s="185">
        <v>18</v>
      </c>
      <c r="E15" s="185">
        <v>20</v>
      </c>
      <c r="F15" s="185">
        <v>15</v>
      </c>
      <c r="G15" s="185">
        <v>10</v>
      </c>
      <c r="H15" s="185">
        <v>15</v>
      </c>
      <c r="I15" s="185"/>
      <c r="J15" s="185"/>
      <c r="K15" s="185"/>
      <c r="L15" s="185"/>
      <c r="M15" s="185"/>
      <c r="N15" s="185"/>
      <c r="O15" s="186">
        <f t="shared" si="0"/>
        <v>16</v>
      </c>
      <c r="P15" s="185">
        <v>15</v>
      </c>
      <c r="Q15" s="185">
        <v>17</v>
      </c>
      <c r="R15" s="185">
        <v>20</v>
      </c>
      <c r="S15" s="185"/>
      <c r="T15" s="185"/>
      <c r="U15" s="185"/>
      <c r="V15" s="185"/>
      <c r="W15" s="185"/>
      <c r="X15" s="185"/>
      <c r="Y15" s="185"/>
      <c r="Z15" s="185"/>
      <c r="AA15" s="185">
        <f t="shared" si="6"/>
        <v>4.7142857142857144</v>
      </c>
      <c r="AB15" s="186">
        <f t="shared" si="1"/>
        <v>17</v>
      </c>
      <c r="AC15" s="185">
        <v>3</v>
      </c>
      <c r="AD15" s="185">
        <v>3</v>
      </c>
      <c r="AE15" s="186">
        <f t="shared" si="2"/>
        <v>6</v>
      </c>
      <c r="AF15" s="202" t="str">
        <f t="shared" si="3"/>
        <v>ED</v>
      </c>
      <c r="AG15" s="224">
        <f t="shared" si="4"/>
        <v>50.773109243697476</v>
      </c>
      <c r="AH15" s="329" t="str">
        <f t="shared" si="5"/>
        <v>APROBADO</v>
      </c>
      <c r="AI15" s="330"/>
      <c r="AJ15" s="330"/>
      <c r="AK15" s="330"/>
      <c r="AL15" s="330"/>
      <c r="AM15" s="331"/>
      <c r="AN15" s="94"/>
      <c r="AO15" s="94"/>
      <c r="AP15" s="94"/>
      <c r="AQ15" s="94"/>
      <c r="AR15" s="94"/>
      <c r="AS15" s="222">
        <v>51.349206349206348</v>
      </c>
      <c r="AT15" s="233">
        <f t="shared" si="7"/>
        <v>51.061157796451909</v>
      </c>
    </row>
    <row r="16" spans="1:48" ht="12" customHeight="1" x14ac:dyDescent="0.35">
      <c r="A16" s="59">
        <v>8</v>
      </c>
      <c r="B16" s="89" t="str">
        <f>'C. FILIACION'!B15</f>
        <v>GONZALES ZUAZO KALEB RAMSES</v>
      </c>
      <c r="C16" s="212">
        <f>'ASIS 3 TRIM'!BJ15</f>
        <v>10</v>
      </c>
      <c r="D16" s="90">
        <v>32</v>
      </c>
      <c r="E16" s="90">
        <v>31</v>
      </c>
      <c r="F16" s="90">
        <v>24</v>
      </c>
      <c r="G16" s="90">
        <v>32</v>
      </c>
      <c r="H16" s="90">
        <v>32</v>
      </c>
      <c r="I16" s="31"/>
      <c r="J16" s="31"/>
      <c r="K16" s="31"/>
      <c r="L16" s="31"/>
      <c r="M16" s="31"/>
      <c r="N16" s="31"/>
      <c r="O16" s="91">
        <f t="shared" si="0"/>
        <v>30</v>
      </c>
      <c r="P16" s="90">
        <v>10</v>
      </c>
      <c r="Q16" s="90">
        <v>10</v>
      </c>
      <c r="R16" s="90">
        <v>33</v>
      </c>
      <c r="S16" s="90"/>
      <c r="T16" s="90"/>
      <c r="U16" s="31"/>
      <c r="V16" s="31"/>
      <c r="W16" s="31"/>
      <c r="X16" s="31"/>
      <c r="Y16" s="31"/>
      <c r="Z16" s="31"/>
      <c r="AA16" s="90">
        <f t="shared" si="6"/>
        <v>6.8571428571428568</v>
      </c>
      <c r="AB16" s="91">
        <f t="shared" si="1"/>
        <v>18</v>
      </c>
      <c r="AC16" s="31">
        <v>4</v>
      </c>
      <c r="AD16" s="31">
        <v>5</v>
      </c>
      <c r="AE16" s="91">
        <f t="shared" si="2"/>
        <v>9</v>
      </c>
      <c r="AF16" s="92" t="str">
        <f t="shared" si="3"/>
        <v>DO</v>
      </c>
      <c r="AG16" s="222">
        <f t="shared" si="4"/>
        <v>73.857142857142861</v>
      </c>
      <c r="AH16" s="301" t="str">
        <f t="shared" si="5"/>
        <v>APROBADO</v>
      </c>
      <c r="AI16" s="302"/>
      <c r="AJ16" s="302"/>
      <c r="AK16" s="302"/>
      <c r="AL16" s="302"/>
      <c r="AM16" s="303"/>
      <c r="AN16" s="94"/>
      <c r="AO16" s="94"/>
      <c r="AP16" s="94"/>
      <c r="AQ16" s="94"/>
      <c r="AR16" s="94"/>
      <c r="AS16" s="222">
        <v>69.571428571428569</v>
      </c>
      <c r="AT16" s="233">
        <f t="shared" si="7"/>
        <v>71.714285714285722</v>
      </c>
    </row>
    <row r="17" spans="1:46" ht="12" customHeight="1" x14ac:dyDescent="0.35">
      <c r="A17" s="59">
        <v>9</v>
      </c>
      <c r="B17" s="89" t="str">
        <f>'C. FILIACION'!B16</f>
        <v>LEDEZMA AGUILAR ELVIS JHEFERSON</v>
      </c>
      <c r="C17" s="212">
        <f>'ASIS 3 TRIM'!BJ16</f>
        <v>9.4117647058823533</v>
      </c>
      <c r="D17" s="90">
        <v>32</v>
      </c>
      <c r="E17" s="90">
        <v>32</v>
      </c>
      <c r="F17" s="90">
        <v>31</v>
      </c>
      <c r="G17" s="90">
        <v>35</v>
      </c>
      <c r="H17" s="90">
        <v>30</v>
      </c>
      <c r="I17" s="31"/>
      <c r="J17" s="31"/>
      <c r="K17" s="31"/>
      <c r="L17" s="31"/>
      <c r="M17" s="31"/>
      <c r="N17" s="31"/>
      <c r="O17" s="91">
        <f t="shared" si="0"/>
        <v>32</v>
      </c>
      <c r="P17" s="90">
        <v>35</v>
      </c>
      <c r="Q17" s="90">
        <v>25</v>
      </c>
      <c r="R17" s="90">
        <v>34</v>
      </c>
      <c r="S17" s="90"/>
      <c r="T17" s="90"/>
      <c r="U17" s="31"/>
      <c r="V17" s="31"/>
      <c r="W17" s="31"/>
      <c r="X17" s="31"/>
      <c r="Y17" s="31"/>
      <c r="Z17" s="31"/>
      <c r="AA17" s="90">
        <f t="shared" si="6"/>
        <v>9</v>
      </c>
      <c r="AB17" s="91">
        <f t="shared" si="1"/>
        <v>31</v>
      </c>
      <c r="AC17" s="31">
        <v>5</v>
      </c>
      <c r="AD17" s="31">
        <v>5</v>
      </c>
      <c r="AE17" s="91">
        <f t="shared" si="2"/>
        <v>10</v>
      </c>
      <c r="AF17" s="92" t="str">
        <f t="shared" si="3"/>
        <v>DP</v>
      </c>
      <c r="AG17" s="222">
        <f t="shared" si="4"/>
        <v>91.411764705882348</v>
      </c>
      <c r="AH17" s="301" t="str">
        <f t="shared" si="5"/>
        <v>APROBADO</v>
      </c>
      <c r="AI17" s="302"/>
      <c r="AJ17" s="302"/>
      <c r="AK17" s="302"/>
      <c r="AL17" s="302"/>
      <c r="AM17" s="303"/>
      <c r="AN17" s="94"/>
      <c r="AO17" s="94"/>
      <c r="AP17" s="94"/>
      <c r="AQ17" s="94"/>
      <c r="AR17" s="94"/>
      <c r="AS17" s="222">
        <v>88.571428571428569</v>
      </c>
      <c r="AT17" s="233">
        <f t="shared" si="7"/>
        <v>89.991596638655466</v>
      </c>
    </row>
    <row r="18" spans="1:46" ht="12" customHeight="1" x14ac:dyDescent="0.35">
      <c r="A18" s="59">
        <v>10</v>
      </c>
      <c r="B18" s="89" t="str">
        <f>'C. FILIACION'!B17</f>
        <v>LOBATON RODRIGUEZ JHONATAN A.</v>
      </c>
      <c r="C18" s="212">
        <f>'ASIS 3 TRIM'!BJ17</f>
        <v>8.235294117647058</v>
      </c>
      <c r="D18" s="90">
        <v>20</v>
      </c>
      <c r="E18" s="90">
        <v>22</v>
      </c>
      <c r="F18" s="90">
        <v>10</v>
      </c>
      <c r="G18" s="90">
        <v>28</v>
      </c>
      <c r="H18" s="90">
        <v>21</v>
      </c>
      <c r="I18" s="31"/>
      <c r="J18" s="31"/>
      <c r="K18" s="31"/>
      <c r="L18" s="31"/>
      <c r="M18" s="31"/>
      <c r="N18" s="31"/>
      <c r="O18" s="91">
        <f t="shared" si="0"/>
        <v>20</v>
      </c>
      <c r="P18" s="90">
        <v>18</v>
      </c>
      <c r="Q18" s="90">
        <v>10</v>
      </c>
      <c r="R18" s="90">
        <v>18</v>
      </c>
      <c r="S18" s="90"/>
      <c r="T18" s="90"/>
      <c r="U18" s="31"/>
      <c r="V18" s="31"/>
      <c r="W18" s="31"/>
      <c r="X18" s="31"/>
      <c r="Y18" s="31"/>
      <c r="Z18" s="31"/>
      <c r="AA18" s="90">
        <f t="shared" si="6"/>
        <v>5</v>
      </c>
      <c r="AB18" s="91">
        <f t="shared" si="1"/>
        <v>15</v>
      </c>
      <c r="AC18" s="31">
        <v>4</v>
      </c>
      <c r="AD18" s="31">
        <v>4</v>
      </c>
      <c r="AE18" s="91">
        <f t="shared" si="2"/>
        <v>8</v>
      </c>
      <c r="AF18" s="92" t="str">
        <f t="shared" si="3"/>
        <v>DA</v>
      </c>
      <c r="AG18" s="222">
        <f t="shared" si="4"/>
        <v>56.235294117647058</v>
      </c>
      <c r="AH18" s="301" t="str">
        <f t="shared" si="5"/>
        <v>APROBADO</v>
      </c>
      <c r="AI18" s="302"/>
      <c r="AJ18" s="302"/>
      <c r="AK18" s="302"/>
      <c r="AL18" s="302"/>
      <c r="AM18" s="303"/>
      <c r="AN18" s="94"/>
      <c r="AO18" s="94"/>
      <c r="AP18" s="94"/>
      <c r="AQ18" s="94"/>
      <c r="AR18" s="94"/>
      <c r="AS18" s="222">
        <v>63.80952380952381</v>
      </c>
      <c r="AT18" s="233">
        <f t="shared" si="7"/>
        <v>60.022408963585434</v>
      </c>
    </row>
    <row r="19" spans="1:46" ht="12" customHeight="1" x14ac:dyDescent="0.35">
      <c r="A19" s="59">
        <v>11</v>
      </c>
      <c r="B19" s="89" t="str">
        <f>'C. FILIACION'!B18</f>
        <v>MAMANI LOPEZ DAFNE MILDRED</v>
      </c>
      <c r="C19" s="212">
        <f>'ASIS 3 TRIM'!BJ18</f>
        <v>8.235294117647058</v>
      </c>
      <c r="D19" s="90">
        <v>15</v>
      </c>
      <c r="E19" s="90">
        <v>25</v>
      </c>
      <c r="F19" s="90">
        <v>25</v>
      </c>
      <c r="G19" s="90">
        <v>24</v>
      </c>
      <c r="H19" s="90">
        <v>19</v>
      </c>
      <c r="I19" s="31"/>
      <c r="J19" s="31"/>
      <c r="K19" s="31"/>
      <c r="L19" s="31"/>
      <c r="M19" s="31"/>
      <c r="N19" s="31"/>
      <c r="O19" s="91">
        <f t="shared" si="0"/>
        <v>22</v>
      </c>
      <c r="P19" s="90">
        <v>10</v>
      </c>
      <c r="Q19" s="90">
        <v>10</v>
      </c>
      <c r="R19" s="90">
        <v>10</v>
      </c>
      <c r="S19" s="90"/>
      <c r="T19" s="90"/>
      <c r="U19" s="31"/>
      <c r="V19" s="31"/>
      <c r="W19" s="31"/>
      <c r="X19" s="31"/>
      <c r="Y19" s="31"/>
      <c r="Z19" s="31"/>
      <c r="AA19" s="90">
        <f t="shared" si="6"/>
        <v>4.5714285714285712</v>
      </c>
      <c r="AB19" s="91">
        <f t="shared" si="1"/>
        <v>10</v>
      </c>
      <c r="AC19" s="31">
        <v>4</v>
      </c>
      <c r="AD19" s="31">
        <v>4</v>
      </c>
      <c r="AE19" s="91">
        <f t="shared" si="2"/>
        <v>8</v>
      </c>
      <c r="AF19" s="92" t="str">
        <f t="shared" si="3"/>
        <v>DA</v>
      </c>
      <c r="AG19" s="222">
        <f t="shared" si="4"/>
        <v>52.806722689075627</v>
      </c>
      <c r="AH19" s="301" t="str">
        <f t="shared" si="5"/>
        <v>APROBADO</v>
      </c>
      <c r="AI19" s="302"/>
      <c r="AJ19" s="302"/>
      <c r="AK19" s="302"/>
      <c r="AL19" s="302"/>
      <c r="AM19" s="303"/>
      <c r="AN19" s="94"/>
      <c r="AO19" s="94"/>
      <c r="AP19" s="94"/>
      <c r="AQ19" s="94"/>
      <c r="AR19" s="94"/>
      <c r="AS19" s="224">
        <v>50.206349206349209</v>
      </c>
      <c r="AT19" s="233">
        <f t="shared" si="7"/>
        <v>51.506535947712422</v>
      </c>
    </row>
    <row r="20" spans="1:46" ht="12" customHeight="1" x14ac:dyDescent="0.35">
      <c r="A20" s="59">
        <v>12</v>
      </c>
      <c r="B20" s="89" t="str">
        <f>'C. FILIACION'!B19</f>
        <v>MARCONI PEREZ SINDEL LUANA</v>
      </c>
      <c r="C20" s="212">
        <f>'ASIS 3 TRIM'!BJ19</f>
        <v>5.882352941176471</v>
      </c>
      <c r="D20" s="90">
        <v>15</v>
      </c>
      <c r="E20" s="90">
        <v>29</v>
      </c>
      <c r="F20" s="90">
        <v>15</v>
      </c>
      <c r="G20" s="90">
        <v>34</v>
      </c>
      <c r="H20" s="90">
        <v>18</v>
      </c>
      <c r="I20" s="31"/>
      <c r="J20" s="31"/>
      <c r="K20" s="31"/>
      <c r="L20" s="31"/>
      <c r="M20" s="31"/>
      <c r="N20" s="31"/>
      <c r="O20" s="91">
        <f t="shared" si="0"/>
        <v>22</v>
      </c>
      <c r="P20" s="90">
        <v>15</v>
      </c>
      <c r="Q20" s="90">
        <v>18</v>
      </c>
      <c r="R20" s="90">
        <v>15</v>
      </c>
      <c r="S20" s="90"/>
      <c r="T20" s="90"/>
      <c r="U20" s="31"/>
      <c r="V20" s="31"/>
      <c r="W20" s="31"/>
      <c r="X20" s="31"/>
      <c r="Y20" s="31"/>
      <c r="Z20" s="31"/>
      <c r="AA20" s="90">
        <f t="shared" si="6"/>
        <v>5.4285714285714288</v>
      </c>
      <c r="AB20" s="91">
        <f t="shared" si="1"/>
        <v>16</v>
      </c>
      <c r="AC20" s="31">
        <v>4</v>
      </c>
      <c r="AD20" s="31">
        <v>4</v>
      </c>
      <c r="AE20" s="91">
        <f t="shared" si="2"/>
        <v>8</v>
      </c>
      <c r="AF20" s="92" t="str">
        <f t="shared" si="3"/>
        <v>DA</v>
      </c>
      <c r="AG20" s="222">
        <f t="shared" si="4"/>
        <v>57.310924369747902</v>
      </c>
      <c r="AH20" s="301" t="str">
        <f t="shared" si="5"/>
        <v>APROBADO</v>
      </c>
      <c r="AI20" s="302"/>
      <c r="AJ20" s="302"/>
      <c r="AK20" s="302"/>
      <c r="AL20" s="302"/>
      <c r="AM20" s="303"/>
      <c r="AN20" s="94"/>
      <c r="AO20" s="94"/>
      <c r="AP20" s="94"/>
      <c r="AQ20" s="94"/>
      <c r="AR20" s="94"/>
      <c r="AS20" s="224">
        <v>56.984126984126988</v>
      </c>
      <c r="AT20" s="233">
        <f t="shared" si="7"/>
        <v>57.147525676937448</v>
      </c>
    </row>
    <row r="21" spans="1:46" ht="12" customHeight="1" x14ac:dyDescent="0.35">
      <c r="A21" s="59">
        <v>13</v>
      </c>
      <c r="B21" s="89" t="str">
        <f>'C. FILIACION'!B20</f>
        <v>MENACHO LINEO ANDREA KIMBERLY</v>
      </c>
      <c r="C21" s="212">
        <f>'ASIS 3 TRIM'!BJ20</f>
        <v>10</v>
      </c>
      <c r="D21" s="90">
        <v>30</v>
      </c>
      <c r="E21" s="90">
        <v>31</v>
      </c>
      <c r="F21" s="90">
        <v>10</v>
      </c>
      <c r="G21" s="90">
        <v>29</v>
      </c>
      <c r="H21" s="90">
        <v>23</v>
      </c>
      <c r="I21" s="31"/>
      <c r="J21" s="31"/>
      <c r="K21" s="31"/>
      <c r="L21" s="31"/>
      <c r="M21" s="31"/>
      <c r="N21" s="31"/>
      <c r="O21" s="91">
        <f t="shared" si="0"/>
        <v>25</v>
      </c>
      <c r="P21" s="90">
        <v>10</v>
      </c>
      <c r="Q21" s="90">
        <v>10</v>
      </c>
      <c r="R21" s="90">
        <v>35</v>
      </c>
      <c r="S21" s="90"/>
      <c r="T21" s="90"/>
      <c r="U21" s="31"/>
      <c r="V21" s="31"/>
      <c r="W21" s="31"/>
      <c r="X21" s="31"/>
      <c r="Y21" s="31"/>
      <c r="Z21" s="31"/>
      <c r="AA21" s="90">
        <f t="shared" si="6"/>
        <v>6.1428571428571432</v>
      </c>
      <c r="AB21" s="91">
        <f t="shared" si="1"/>
        <v>18</v>
      </c>
      <c r="AC21" s="31">
        <v>3</v>
      </c>
      <c r="AD21" s="31">
        <v>4</v>
      </c>
      <c r="AE21" s="91">
        <f t="shared" si="2"/>
        <v>7</v>
      </c>
      <c r="AF21" s="92" t="str">
        <f t="shared" si="3"/>
        <v>DA</v>
      </c>
      <c r="AG21" s="222">
        <f t="shared" si="4"/>
        <v>66.142857142857139</v>
      </c>
      <c r="AH21" s="301" t="str">
        <f t="shared" si="5"/>
        <v>APROBADO</v>
      </c>
      <c r="AI21" s="302"/>
      <c r="AJ21" s="302"/>
      <c r="AK21" s="302"/>
      <c r="AL21" s="302"/>
      <c r="AM21" s="303"/>
      <c r="AN21" s="94"/>
      <c r="AO21" s="94"/>
      <c r="AP21" s="94"/>
      <c r="AQ21" s="94"/>
      <c r="AR21" s="94"/>
      <c r="AS21" s="222">
        <v>79.888888888888886</v>
      </c>
      <c r="AT21" s="233">
        <f t="shared" si="7"/>
        <v>73.015873015873012</v>
      </c>
    </row>
    <row r="22" spans="1:46" ht="12" customHeight="1" x14ac:dyDescent="0.35">
      <c r="A22" s="59">
        <v>14</v>
      </c>
      <c r="B22" s="89" t="str">
        <f>'C. FILIACION'!B21</f>
        <v>PILLCO APAZA MARIAN ALEXANDRA</v>
      </c>
      <c r="C22" s="212">
        <f>'ASIS 3 TRIM'!BJ21</f>
        <v>10</v>
      </c>
      <c r="D22" s="90">
        <v>29</v>
      </c>
      <c r="E22" s="90">
        <v>35</v>
      </c>
      <c r="F22" s="90">
        <v>26</v>
      </c>
      <c r="G22" s="90">
        <v>35</v>
      </c>
      <c r="H22" s="90">
        <v>28</v>
      </c>
      <c r="I22" s="31"/>
      <c r="J22" s="31"/>
      <c r="K22" s="31"/>
      <c r="L22" s="31"/>
      <c r="M22" s="31"/>
      <c r="N22" s="31"/>
      <c r="O22" s="91">
        <f t="shared" si="0"/>
        <v>31</v>
      </c>
      <c r="P22" s="90">
        <v>10</v>
      </c>
      <c r="Q22" s="90">
        <v>10</v>
      </c>
      <c r="R22" s="90">
        <v>35</v>
      </c>
      <c r="S22" s="90"/>
      <c r="T22" s="90"/>
      <c r="U22" s="31"/>
      <c r="V22" s="31"/>
      <c r="W22" s="31"/>
      <c r="X22" s="31"/>
      <c r="Y22" s="31"/>
      <c r="Z22" s="31"/>
      <c r="AA22" s="90">
        <f t="shared" si="6"/>
        <v>7</v>
      </c>
      <c r="AB22" s="91">
        <f t="shared" si="1"/>
        <v>18</v>
      </c>
      <c r="AC22" s="31">
        <v>4</v>
      </c>
      <c r="AD22" s="31">
        <v>4</v>
      </c>
      <c r="AE22" s="91">
        <f t="shared" si="2"/>
        <v>8</v>
      </c>
      <c r="AF22" s="92" t="str">
        <f t="shared" si="3"/>
        <v>DO</v>
      </c>
      <c r="AG22" s="222">
        <f t="shared" si="4"/>
        <v>74</v>
      </c>
      <c r="AH22" s="301" t="str">
        <f t="shared" si="5"/>
        <v>APROBADO</v>
      </c>
      <c r="AI22" s="302"/>
      <c r="AJ22" s="302"/>
      <c r="AK22" s="302"/>
      <c r="AL22" s="302"/>
      <c r="AM22" s="303"/>
      <c r="AN22" s="94"/>
      <c r="AO22" s="94"/>
      <c r="AP22" s="94"/>
      <c r="AQ22" s="94"/>
      <c r="AR22" s="94"/>
      <c r="AS22" s="222">
        <v>80.714285714285722</v>
      </c>
      <c r="AT22" s="233">
        <f t="shared" si="7"/>
        <v>77.357142857142861</v>
      </c>
    </row>
    <row r="23" spans="1:46" ht="12" customHeight="1" x14ac:dyDescent="0.35">
      <c r="A23" s="59">
        <v>15</v>
      </c>
      <c r="B23" s="89" t="str">
        <f>'C. FILIACION'!B22</f>
        <v>RUEDA ALVAREZ GREGORY STEVEN</v>
      </c>
      <c r="C23" s="212">
        <f>'ASIS 3 TRIM'!BJ22</f>
        <v>10</v>
      </c>
      <c r="D23" s="90">
        <v>32</v>
      </c>
      <c r="E23" s="90">
        <v>29</v>
      </c>
      <c r="F23" s="90">
        <v>18</v>
      </c>
      <c r="G23" s="90">
        <v>30</v>
      </c>
      <c r="H23" s="90">
        <v>27</v>
      </c>
      <c r="I23" s="31"/>
      <c r="J23" s="31"/>
      <c r="K23" s="31"/>
      <c r="L23" s="31"/>
      <c r="M23" s="31"/>
      <c r="N23" s="31"/>
      <c r="O23" s="91">
        <f t="shared" si="0"/>
        <v>27</v>
      </c>
      <c r="P23" s="90">
        <v>18</v>
      </c>
      <c r="Q23" s="90">
        <v>18</v>
      </c>
      <c r="R23" s="90">
        <v>18</v>
      </c>
      <c r="S23" s="90"/>
      <c r="T23" s="90"/>
      <c r="U23" s="31"/>
      <c r="V23" s="31"/>
      <c r="W23" s="31"/>
      <c r="X23" s="31"/>
      <c r="Y23" s="31"/>
      <c r="Z23" s="31"/>
      <c r="AA23" s="90">
        <f t="shared" si="6"/>
        <v>6.4285714285714288</v>
      </c>
      <c r="AB23" s="91">
        <f t="shared" si="1"/>
        <v>18</v>
      </c>
      <c r="AC23" s="31">
        <v>4</v>
      </c>
      <c r="AD23" s="31">
        <v>4</v>
      </c>
      <c r="AE23" s="91">
        <f t="shared" si="2"/>
        <v>8</v>
      </c>
      <c r="AF23" s="92" t="str">
        <f t="shared" si="3"/>
        <v>DO</v>
      </c>
      <c r="AG23" s="222">
        <f t="shared" si="4"/>
        <v>69.428571428571431</v>
      </c>
      <c r="AH23" s="301" t="str">
        <f t="shared" si="5"/>
        <v>APROBADO</v>
      </c>
      <c r="AI23" s="302"/>
      <c r="AJ23" s="302"/>
      <c r="AK23" s="302"/>
      <c r="AL23" s="302"/>
      <c r="AM23" s="303"/>
      <c r="AN23" s="94"/>
      <c r="AO23" s="94"/>
      <c r="AP23" s="94"/>
      <c r="AQ23" s="94"/>
      <c r="AR23" s="94"/>
      <c r="AS23" s="222">
        <v>78.571428571428569</v>
      </c>
      <c r="AT23" s="233">
        <f t="shared" si="7"/>
        <v>74</v>
      </c>
    </row>
    <row r="24" spans="1:46" ht="12" customHeight="1" x14ac:dyDescent="0.35">
      <c r="A24" s="59">
        <v>16</v>
      </c>
      <c r="B24" s="184" t="str">
        <f>'C. FILIACION'!B23</f>
        <v>VARGAS JOYCE BELEN</v>
      </c>
      <c r="C24" s="214">
        <f>'ASIS 3 TRIM'!BJ23</f>
        <v>0.83333333333333337</v>
      </c>
      <c r="D24" s="185">
        <v>10</v>
      </c>
      <c r="E24" s="185">
        <v>10</v>
      </c>
      <c r="F24" s="185">
        <v>10</v>
      </c>
      <c r="G24" s="185">
        <v>10</v>
      </c>
      <c r="H24" s="185">
        <v>10</v>
      </c>
      <c r="I24" s="185"/>
      <c r="J24" s="185"/>
      <c r="K24" s="185"/>
      <c r="L24" s="185"/>
      <c r="M24" s="185"/>
      <c r="N24" s="185"/>
      <c r="O24" s="186">
        <f t="shared" si="0"/>
        <v>10</v>
      </c>
      <c r="P24" s="185">
        <v>10</v>
      </c>
      <c r="Q24" s="185">
        <v>10</v>
      </c>
      <c r="R24" s="185">
        <v>10</v>
      </c>
      <c r="S24" s="185"/>
      <c r="T24" s="185"/>
      <c r="U24" s="185"/>
      <c r="V24" s="185"/>
      <c r="W24" s="185"/>
      <c r="X24" s="185"/>
      <c r="Y24" s="185"/>
      <c r="Z24" s="185"/>
      <c r="AA24" s="185">
        <f t="shared" si="6"/>
        <v>2.8571428571428572</v>
      </c>
      <c r="AB24" s="186">
        <f t="shared" si="1"/>
        <v>10</v>
      </c>
      <c r="AC24" s="185"/>
      <c r="AD24" s="185"/>
      <c r="AE24" s="186">
        <f t="shared" si="2"/>
        <v>0</v>
      </c>
      <c r="AF24" s="202" t="str">
        <f t="shared" si="3"/>
        <v>ED</v>
      </c>
      <c r="AG24" s="224">
        <f t="shared" si="4"/>
        <v>23.69047619047619</v>
      </c>
      <c r="AH24" s="329" t="str">
        <f t="shared" si="5"/>
        <v>REPROBADO</v>
      </c>
      <c r="AI24" s="330"/>
      <c r="AJ24" s="330"/>
      <c r="AK24" s="330"/>
      <c r="AL24" s="330"/>
      <c r="AM24" s="331"/>
      <c r="AN24" s="94"/>
      <c r="AO24" s="94"/>
      <c r="AP24" s="94"/>
      <c r="AQ24" s="94"/>
      <c r="AR24" s="94"/>
      <c r="AS24" s="223">
        <v>29.968253968253968</v>
      </c>
      <c r="AT24" s="234">
        <f t="shared" si="7"/>
        <v>26.829365079365079</v>
      </c>
    </row>
    <row r="25" spans="1:46" ht="12" customHeight="1" x14ac:dyDescent="0.35">
      <c r="A25" s="59">
        <v>17</v>
      </c>
      <c r="B25" s="89" t="str">
        <f>'C. FILIACION'!B24</f>
        <v>ZURITA JIMENEZ ELMER ARTURO</v>
      </c>
      <c r="C25" s="212">
        <f>'ASIS 3 TRIM'!BJ24</f>
        <v>10</v>
      </c>
      <c r="D25" s="90">
        <v>25</v>
      </c>
      <c r="E25" s="90">
        <v>30</v>
      </c>
      <c r="F25" s="90">
        <v>29</v>
      </c>
      <c r="G25" s="90">
        <v>29</v>
      </c>
      <c r="H25" s="90">
        <v>33</v>
      </c>
      <c r="I25" s="31"/>
      <c r="J25" s="31"/>
      <c r="K25" s="31"/>
      <c r="L25" s="31"/>
      <c r="M25" s="31"/>
      <c r="N25" s="31"/>
      <c r="O25" s="91">
        <f t="shared" si="0"/>
        <v>29</v>
      </c>
      <c r="P25" s="90">
        <v>35</v>
      </c>
      <c r="Q25" s="90">
        <v>10</v>
      </c>
      <c r="R25" s="90">
        <v>35</v>
      </c>
      <c r="S25" s="90"/>
      <c r="T25" s="90"/>
      <c r="U25" s="31"/>
      <c r="V25" s="31"/>
      <c r="W25" s="31"/>
      <c r="X25" s="31"/>
      <c r="Y25" s="31"/>
      <c r="Z25" s="31"/>
      <c r="AA25" s="90">
        <f t="shared" si="6"/>
        <v>8</v>
      </c>
      <c r="AB25" s="91">
        <f t="shared" si="1"/>
        <v>27</v>
      </c>
      <c r="AC25" s="31">
        <v>4</v>
      </c>
      <c r="AD25" s="31">
        <v>4</v>
      </c>
      <c r="AE25" s="91">
        <f t="shared" si="2"/>
        <v>8</v>
      </c>
      <c r="AF25" s="92" t="str">
        <f t="shared" si="3"/>
        <v>DO</v>
      </c>
      <c r="AG25" s="222">
        <f t="shared" si="4"/>
        <v>82</v>
      </c>
      <c r="AH25" s="301" t="str">
        <f t="shared" si="5"/>
        <v>APROBADO</v>
      </c>
      <c r="AI25" s="302"/>
      <c r="AJ25" s="302"/>
      <c r="AK25" s="302"/>
      <c r="AL25" s="302"/>
      <c r="AM25" s="303"/>
      <c r="AN25" s="94"/>
      <c r="AO25" s="94"/>
      <c r="AP25" s="94"/>
      <c r="AQ25" s="94"/>
      <c r="AR25" s="94"/>
      <c r="AS25" s="222">
        <v>89.031746031746025</v>
      </c>
      <c r="AT25" s="233">
        <f t="shared" si="7"/>
        <v>85.515873015873012</v>
      </c>
    </row>
    <row r="26" spans="1:46" ht="12" customHeight="1" x14ac:dyDescent="0.35">
      <c r="A26" s="59">
        <v>18</v>
      </c>
      <c r="B26" s="184" t="str">
        <f>'C. FILIACION'!B25</f>
        <v>ADRIAN FLORES EDDY BEYMAR</v>
      </c>
      <c r="C26" s="214">
        <f>'ASIS 3 TRIM'!BJ25</f>
        <v>2.3529411764705883</v>
      </c>
      <c r="D26" s="185">
        <v>20</v>
      </c>
      <c r="E26" s="185">
        <v>10</v>
      </c>
      <c r="F26" s="185">
        <v>12</v>
      </c>
      <c r="G26" s="185">
        <v>10</v>
      </c>
      <c r="H26" s="185">
        <v>10</v>
      </c>
      <c r="I26" s="185"/>
      <c r="J26" s="185"/>
      <c r="K26" s="185"/>
      <c r="L26" s="185"/>
      <c r="M26" s="185"/>
      <c r="N26" s="185"/>
      <c r="O26" s="186">
        <f t="shared" si="0"/>
        <v>12</v>
      </c>
      <c r="P26" s="185">
        <v>10</v>
      </c>
      <c r="Q26" s="185">
        <v>10</v>
      </c>
      <c r="R26" s="185">
        <v>10</v>
      </c>
      <c r="S26" s="185"/>
      <c r="T26" s="185"/>
      <c r="U26" s="185"/>
      <c r="V26" s="185"/>
      <c r="W26" s="185"/>
      <c r="X26" s="185"/>
      <c r="Y26" s="185"/>
      <c r="Z26" s="185"/>
      <c r="AA26" s="185">
        <f t="shared" si="6"/>
        <v>3.1428571428571428</v>
      </c>
      <c r="AB26" s="186">
        <f t="shared" si="1"/>
        <v>10</v>
      </c>
      <c r="AC26" s="185">
        <v>3</v>
      </c>
      <c r="AD26" s="185">
        <v>2</v>
      </c>
      <c r="AE26" s="186">
        <f t="shared" si="2"/>
        <v>5</v>
      </c>
      <c r="AF26" s="202" t="str">
        <f t="shared" si="3"/>
        <v>ED</v>
      </c>
      <c r="AG26" s="224">
        <f t="shared" si="4"/>
        <v>32.495798319327733</v>
      </c>
      <c r="AH26" s="329" t="str">
        <f t="shared" si="5"/>
        <v>REPROBADO</v>
      </c>
      <c r="AI26" s="330"/>
      <c r="AJ26" s="330"/>
      <c r="AK26" s="330"/>
      <c r="AL26" s="330"/>
      <c r="AM26" s="331"/>
      <c r="AN26" s="94"/>
      <c r="AO26" s="94"/>
      <c r="AP26" s="94"/>
      <c r="AQ26" s="94"/>
      <c r="AR26" s="94"/>
      <c r="AS26" s="223">
        <v>32.301587301587304</v>
      </c>
      <c r="AT26" s="234">
        <f t="shared" si="7"/>
        <v>32.398692810457518</v>
      </c>
    </row>
    <row r="27" spans="1:46" ht="12" customHeight="1" x14ac:dyDescent="0.35">
      <c r="A27" s="59">
        <v>19</v>
      </c>
      <c r="B27" s="89" t="str">
        <f>'C. FILIACION'!B26</f>
        <v>VENTURA CHOQUE DANELY KEYLA</v>
      </c>
      <c r="C27" s="212">
        <f>'ASIS 3 TRIM'!BJ26</f>
        <v>10</v>
      </c>
      <c r="D27" s="90">
        <v>28</v>
      </c>
      <c r="E27" s="90">
        <v>31</v>
      </c>
      <c r="F27" s="90">
        <v>23</v>
      </c>
      <c r="G27" s="90">
        <v>30</v>
      </c>
      <c r="H27" s="90">
        <v>26</v>
      </c>
      <c r="I27" s="31"/>
      <c r="J27" s="31"/>
      <c r="K27" s="31"/>
      <c r="L27" s="31"/>
      <c r="M27" s="31"/>
      <c r="N27" s="31"/>
      <c r="O27" s="91">
        <f t="shared" si="0"/>
        <v>28</v>
      </c>
      <c r="P27" s="90">
        <v>35</v>
      </c>
      <c r="Q27" s="90">
        <v>35</v>
      </c>
      <c r="R27" s="90">
        <v>10</v>
      </c>
      <c r="S27" s="90"/>
      <c r="T27" s="90"/>
      <c r="U27" s="31"/>
      <c r="V27" s="31"/>
      <c r="W27" s="31"/>
      <c r="X27" s="31"/>
      <c r="Y27" s="31"/>
      <c r="Z27" s="31"/>
      <c r="AA27" s="90">
        <f t="shared" si="6"/>
        <v>7.8571428571428568</v>
      </c>
      <c r="AB27" s="91">
        <f t="shared" si="1"/>
        <v>27</v>
      </c>
      <c r="AC27" s="31">
        <v>4</v>
      </c>
      <c r="AD27" s="31">
        <v>4</v>
      </c>
      <c r="AE27" s="91">
        <f t="shared" si="2"/>
        <v>8</v>
      </c>
      <c r="AF27" s="92" t="str">
        <f t="shared" si="3"/>
        <v>DO</v>
      </c>
      <c r="AG27" s="222">
        <f t="shared" si="4"/>
        <v>80.857142857142861</v>
      </c>
      <c r="AH27" s="301" t="str">
        <f t="shared" si="5"/>
        <v>APROBADO</v>
      </c>
      <c r="AI27" s="302"/>
      <c r="AJ27" s="302"/>
      <c r="AK27" s="302"/>
      <c r="AL27" s="302"/>
      <c r="AM27" s="303"/>
      <c r="AN27" s="94"/>
      <c r="AO27" s="94"/>
      <c r="AP27" s="94"/>
      <c r="AQ27" s="94"/>
      <c r="AR27" s="94"/>
      <c r="AS27" s="222">
        <v>85.142857142857139</v>
      </c>
      <c r="AT27" s="233">
        <f t="shared" si="7"/>
        <v>83</v>
      </c>
    </row>
    <row r="28" spans="1:46" ht="12" customHeight="1" x14ac:dyDescent="0.35">
      <c r="A28" s="59">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301" t="str">
        <f t="shared" si="5"/>
        <v>APROBADO</v>
      </c>
      <c r="AI28" s="302"/>
      <c r="AJ28" s="302"/>
      <c r="AK28" s="302"/>
      <c r="AL28" s="302"/>
      <c r="AM28" s="303"/>
      <c r="AN28" s="94"/>
      <c r="AO28" s="94"/>
      <c r="AP28" s="94"/>
      <c r="AQ28" s="94"/>
      <c r="AR28" s="94"/>
    </row>
    <row r="29" spans="1:46" ht="12" customHeight="1" x14ac:dyDescent="0.35">
      <c r="A29" s="59">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301" t="str">
        <f t="shared" si="5"/>
        <v>APROBADO</v>
      </c>
      <c r="AI29" s="302"/>
      <c r="AJ29" s="302"/>
      <c r="AK29" s="302"/>
      <c r="AL29" s="302"/>
      <c r="AM29" s="303"/>
      <c r="AN29" s="94"/>
      <c r="AO29" s="94"/>
      <c r="AP29" s="94"/>
      <c r="AQ29" s="94"/>
      <c r="AR29" s="94"/>
    </row>
    <row r="30" spans="1:46" ht="12" customHeight="1" x14ac:dyDescent="0.35">
      <c r="A30" s="59">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301" t="str">
        <f t="shared" si="5"/>
        <v>APROBADO</v>
      </c>
      <c r="AI30" s="302"/>
      <c r="AJ30" s="302"/>
      <c r="AK30" s="302"/>
      <c r="AL30" s="302"/>
      <c r="AM30" s="303"/>
      <c r="AN30" s="94"/>
      <c r="AO30" s="94"/>
      <c r="AP30" s="94"/>
      <c r="AQ30" s="94"/>
      <c r="AR30" s="94"/>
    </row>
    <row r="31" spans="1:46" ht="12" customHeight="1" x14ac:dyDescent="0.35">
      <c r="A31" s="59">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301" t="str">
        <f t="shared" si="5"/>
        <v>APROBADO</v>
      </c>
      <c r="AI31" s="302"/>
      <c r="AJ31" s="302"/>
      <c r="AK31" s="302"/>
      <c r="AL31" s="302"/>
      <c r="AM31" s="303"/>
      <c r="AN31" s="94"/>
      <c r="AO31" s="94"/>
      <c r="AP31" s="94"/>
      <c r="AQ31" s="94"/>
      <c r="AR31" s="94"/>
    </row>
    <row r="32" spans="1:46" ht="12" customHeight="1" x14ac:dyDescent="0.35">
      <c r="A32" s="59">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301" t="str">
        <f t="shared" si="5"/>
        <v>APROBADO</v>
      </c>
      <c r="AI32" s="302"/>
      <c r="AJ32" s="302"/>
      <c r="AK32" s="302"/>
      <c r="AL32" s="302"/>
      <c r="AM32" s="303"/>
      <c r="AN32" s="94"/>
      <c r="AO32" s="94"/>
      <c r="AP32" s="94"/>
      <c r="AQ32" s="94"/>
      <c r="AR32" s="94"/>
    </row>
    <row r="33" spans="1:44" ht="12" customHeight="1" x14ac:dyDescent="0.35">
      <c r="A33" s="59">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301" t="str">
        <f t="shared" si="5"/>
        <v>APROBADO</v>
      </c>
      <c r="AI33" s="302"/>
      <c r="AJ33" s="302"/>
      <c r="AK33" s="302"/>
      <c r="AL33" s="302"/>
      <c r="AM33" s="303"/>
      <c r="AN33" s="94"/>
      <c r="AO33" s="94"/>
      <c r="AP33" s="94"/>
      <c r="AQ33" s="94"/>
      <c r="AR33" s="94"/>
    </row>
    <row r="34" spans="1:44" ht="12" customHeight="1" x14ac:dyDescent="0.35">
      <c r="A34" s="59">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301" t="str">
        <f t="shared" si="5"/>
        <v>APROBADO</v>
      </c>
      <c r="AI34" s="302"/>
      <c r="AJ34" s="302"/>
      <c r="AK34" s="302"/>
      <c r="AL34" s="302"/>
      <c r="AM34" s="303"/>
      <c r="AN34" s="94"/>
      <c r="AO34" s="94"/>
      <c r="AP34" s="94"/>
      <c r="AQ34" s="94"/>
      <c r="AR34" s="94"/>
    </row>
    <row r="35" spans="1:44" ht="12" customHeight="1" x14ac:dyDescent="0.35">
      <c r="A35" s="59">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301" t="str">
        <f t="shared" si="5"/>
        <v>APROBADO</v>
      </c>
      <c r="AI35" s="302"/>
      <c r="AJ35" s="302"/>
      <c r="AK35" s="302"/>
      <c r="AL35" s="302"/>
      <c r="AM35" s="303"/>
      <c r="AN35" s="94"/>
      <c r="AO35" s="94"/>
      <c r="AP35" s="94"/>
      <c r="AQ35" s="94"/>
      <c r="AR35" s="94"/>
    </row>
    <row r="36" spans="1:44" ht="12" customHeight="1" x14ac:dyDescent="0.35">
      <c r="A36" s="59">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301" t="str">
        <f t="shared" si="5"/>
        <v>APROBADO</v>
      </c>
      <c r="AI36" s="302"/>
      <c r="AJ36" s="302"/>
      <c r="AK36" s="302"/>
      <c r="AL36" s="302"/>
      <c r="AM36" s="303"/>
      <c r="AN36" s="94"/>
      <c r="AO36" s="94"/>
      <c r="AP36" s="94"/>
      <c r="AQ36" s="94"/>
      <c r="AR36" s="94"/>
    </row>
    <row r="37" spans="1:44" ht="12" customHeight="1" x14ac:dyDescent="0.35">
      <c r="A37" s="59">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301" t="str">
        <f t="shared" si="5"/>
        <v>APROBADO</v>
      </c>
      <c r="AI37" s="302"/>
      <c r="AJ37" s="302"/>
      <c r="AK37" s="302"/>
      <c r="AL37" s="302"/>
      <c r="AM37" s="303"/>
      <c r="AN37" s="94"/>
      <c r="AO37" s="94"/>
      <c r="AP37" s="94"/>
      <c r="AQ37" s="94"/>
      <c r="AR37" s="94"/>
    </row>
    <row r="38" spans="1:44" ht="12" customHeight="1" x14ac:dyDescent="0.35">
      <c r="A38" s="59">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301" t="str">
        <f t="shared" si="5"/>
        <v>APROBADO</v>
      </c>
      <c r="AI38" s="302"/>
      <c r="AJ38" s="302"/>
      <c r="AK38" s="302"/>
      <c r="AL38" s="302"/>
      <c r="AM38" s="303"/>
      <c r="AN38" s="94"/>
      <c r="AO38" s="94"/>
      <c r="AP38" s="94"/>
      <c r="AQ38" s="94"/>
      <c r="AR38" s="94"/>
    </row>
    <row r="39" spans="1:44" ht="12" customHeight="1" x14ac:dyDescent="0.35">
      <c r="A39" s="59">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301" t="str">
        <f t="shared" si="5"/>
        <v>APROBADO</v>
      </c>
      <c r="AI39" s="302"/>
      <c r="AJ39" s="302"/>
      <c r="AK39" s="302"/>
      <c r="AL39" s="302"/>
      <c r="AM39" s="303"/>
      <c r="AN39" s="94"/>
      <c r="AO39" s="94"/>
      <c r="AP39" s="94"/>
      <c r="AQ39" s="94"/>
      <c r="AR39" s="94"/>
    </row>
    <row r="40" spans="1:44" ht="12" customHeight="1" x14ac:dyDescent="0.35">
      <c r="A40" s="59">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301" t="str">
        <f t="shared" si="5"/>
        <v>APROBADO</v>
      </c>
      <c r="AI40" s="302"/>
      <c r="AJ40" s="302"/>
      <c r="AK40" s="302"/>
      <c r="AL40" s="302"/>
      <c r="AM40" s="303"/>
      <c r="AN40" s="94"/>
      <c r="AO40" s="94"/>
      <c r="AP40" s="94"/>
      <c r="AQ40" s="94"/>
      <c r="AR40" s="94"/>
    </row>
    <row r="41" spans="1:44" ht="12" customHeight="1" x14ac:dyDescent="0.35">
      <c r="A41" s="59">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301" t="str">
        <f t="shared" si="5"/>
        <v>APROBADO</v>
      </c>
      <c r="AI41" s="302"/>
      <c r="AJ41" s="302"/>
      <c r="AK41" s="302"/>
      <c r="AL41" s="302"/>
      <c r="AM41" s="303"/>
      <c r="AN41" s="94"/>
      <c r="AO41" s="94"/>
      <c r="AP41" s="94"/>
      <c r="AQ41" s="94"/>
      <c r="AR41" s="94"/>
    </row>
    <row r="42" spans="1:44" ht="12" customHeight="1" x14ac:dyDescent="0.35">
      <c r="A42" s="59">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301" t="str">
        <f t="shared" si="5"/>
        <v>APROBADO</v>
      </c>
      <c r="AI42" s="302"/>
      <c r="AJ42" s="302"/>
      <c r="AK42" s="302"/>
      <c r="AL42" s="302"/>
      <c r="AM42" s="303"/>
      <c r="AN42" s="94"/>
      <c r="AO42" s="94"/>
      <c r="AP42" s="94"/>
      <c r="AQ42" s="94"/>
      <c r="AR42" s="94"/>
    </row>
    <row r="43" spans="1:44" ht="12" customHeight="1" x14ac:dyDescent="0.35">
      <c r="A43" s="59">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301" t="str">
        <f t="shared" si="5"/>
        <v>APROBADO</v>
      </c>
      <c r="AI43" s="302"/>
      <c r="AJ43" s="302"/>
      <c r="AK43" s="302"/>
      <c r="AL43" s="302"/>
      <c r="AM43" s="303"/>
      <c r="AN43" s="94"/>
      <c r="AO43" s="94"/>
      <c r="AP43" s="94"/>
      <c r="AQ43" s="94"/>
      <c r="AR43" s="94"/>
    </row>
    <row r="44" spans="1:44" ht="12" customHeight="1" x14ac:dyDescent="0.35">
      <c r="A44" s="59">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301" t="str">
        <f t="shared" si="5"/>
        <v>APROBADO</v>
      </c>
      <c r="AI44" s="302"/>
      <c r="AJ44" s="302"/>
      <c r="AK44" s="302"/>
      <c r="AL44" s="302"/>
      <c r="AM44" s="303"/>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7" right="0.7" top="0.75" bottom="0.75" header="0.3" footer="0.3"/>
  <pageSetup scale="72"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pageSetUpPr fitToPage="1"/>
  </sheetPr>
  <dimension ref="A1:AB1000"/>
  <sheetViews>
    <sheetView tabSelected="1" workbookViewId="0">
      <selection activeCell="V27" sqref="A1:X27"/>
    </sheetView>
  </sheetViews>
  <sheetFormatPr baseColWidth="10" defaultColWidth="9.1328125" defaultRowHeight="15" customHeight="1" x14ac:dyDescent="0.35"/>
  <cols>
    <col min="1" max="1" width="1.6640625" customWidth="1"/>
    <col min="2" max="2" width="20.6640625" customWidth="1"/>
    <col min="3" max="7" width="2.1328125" customWidth="1"/>
    <col min="8" max="8" width="3.1328125" customWidth="1"/>
    <col min="9" max="13" width="2.1328125" customWidth="1"/>
    <col min="14" max="14" width="3.1328125" customWidth="1"/>
    <col min="15" max="19" width="2.1328125" customWidth="1"/>
    <col min="20" max="21" width="3.1328125" customWidth="1"/>
    <col min="22" max="22" width="9" customWidth="1"/>
    <col min="23" max="24" width="2.1328125" customWidth="1"/>
    <col min="25" max="28" width="1.6640625" customWidth="1"/>
  </cols>
  <sheetData>
    <row r="1" spans="1:28" ht="4.5" customHeight="1" x14ac:dyDescent="0.35"/>
    <row r="2" spans="1:28" ht="12.75" customHeight="1" x14ac:dyDescent="0.35">
      <c r="B2" s="252" t="s">
        <v>103</v>
      </c>
      <c r="C2" s="248"/>
      <c r="D2" s="248"/>
      <c r="E2" s="248"/>
      <c r="F2" s="248"/>
      <c r="G2" s="248"/>
      <c r="H2" s="248"/>
      <c r="I2" s="248"/>
      <c r="J2" s="248"/>
      <c r="K2" s="248"/>
      <c r="L2" s="248"/>
      <c r="M2" s="248"/>
      <c r="N2" s="248"/>
      <c r="O2" s="248"/>
      <c r="P2" s="248"/>
      <c r="Q2" s="248"/>
      <c r="R2" s="248"/>
      <c r="S2" s="248"/>
      <c r="T2" s="248"/>
      <c r="U2" s="248"/>
      <c r="V2" s="248"/>
      <c r="W2" s="248"/>
      <c r="X2" s="248"/>
      <c r="Y2" s="73"/>
      <c r="Z2" s="73"/>
      <c r="AA2" s="73"/>
      <c r="AB2" s="73"/>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Tec. Tecnologica Programacion Visual</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39" t="str">
        <f>CARÁTULA!$C$19</f>
        <v>JOSÉ COAQUIRA COPA</v>
      </c>
      <c r="V4" s="40"/>
      <c r="W4" s="40"/>
      <c r="X4" s="40"/>
    </row>
    <row r="5" spans="1:28" ht="12.75" customHeight="1" x14ac:dyDescent="0.35">
      <c r="B5" s="38" t="s">
        <v>22</v>
      </c>
      <c r="C5" s="96" t="str">
        <f>CARÁTULA!$C$23</f>
        <v>6to de Secundaria</v>
      </c>
      <c r="D5" s="40"/>
      <c r="E5" s="40"/>
      <c r="F5" s="40"/>
      <c r="G5" s="40"/>
      <c r="H5" s="40"/>
      <c r="I5" s="40"/>
      <c r="J5" s="40"/>
      <c r="K5" s="40"/>
      <c r="L5" s="40"/>
      <c r="M5" s="40"/>
      <c r="N5" s="38"/>
      <c r="O5" s="38"/>
      <c r="P5" s="38"/>
      <c r="Q5" s="38"/>
      <c r="R5" s="43" t="s">
        <v>23</v>
      </c>
      <c r="S5" s="44"/>
      <c r="T5" s="44"/>
      <c r="U5" s="266">
        <f ca="1">TODAY()</f>
        <v>44543</v>
      </c>
      <c r="V5" s="248"/>
      <c r="W5" s="248"/>
      <c r="X5" s="248"/>
    </row>
    <row r="6" spans="1:28" ht="12.75" customHeight="1" x14ac:dyDescent="0.35">
      <c r="B6" s="38"/>
      <c r="C6" s="336" t="s">
        <v>4</v>
      </c>
      <c r="D6" s="302"/>
      <c r="E6" s="302"/>
      <c r="F6" s="302"/>
      <c r="G6" s="302"/>
      <c r="H6" s="303"/>
      <c r="I6" s="336" t="s">
        <v>10</v>
      </c>
      <c r="J6" s="302"/>
      <c r="K6" s="302"/>
      <c r="L6" s="302"/>
      <c r="M6" s="302"/>
      <c r="N6" s="303"/>
      <c r="O6" s="336" t="s">
        <v>16</v>
      </c>
      <c r="P6" s="302"/>
      <c r="Q6" s="302"/>
      <c r="R6" s="302"/>
      <c r="S6" s="302"/>
      <c r="T6" s="303"/>
      <c r="U6" s="341" t="s">
        <v>104</v>
      </c>
      <c r="V6" s="337" t="s">
        <v>105</v>
      </c>
      <c r="W6" s="68"/>
      <c r="X6" s="68"/>
    </row>
    <row r="7" spans="1:28" ht="12" customHeight="1" x14ac:dyDescent="0.35">
      <c r="B7" s="47"/>
      <c r="C7" s="339"/>
      <c r="D7" s="302"/>
      <c r="E7" s="302"/>
      <c r="F7" s="302"/>
      <c r="G7" s="303"/>
      <c r="H7" s="340" t="s">
        <v>106</v>
      </c>
      <c r="I7" s="339"/>
      <c r="J7" s="302"/>
      <c r="K7" s="302"/>
      <c r="L7" s="302"/>
      <c r="M7" s="303"/>
      <c r="N7" s="340" t="s">
        <v>106</v>
      </c>
      <c r="O7" s="339"/>
      <c r="P7" s="302"/>
      <c r="Q7" s="302"/>
      <c r="R7" s="302"/>
      <c r="S7" s="303"/>
      <c r="T7" s="320" t="s">
        <v>106</v>
      </c>
      <c r="U7" s="338"/>
      <c r="V7" s="338"/>
      <c r="W7" s="40"/>
      <c r="X7" s="40"/>
    </row>
    <row r="8" spans="1:28" ht="67.5" customHeight="1" x14ac:dyDescent="0.35">
      <c r="A8" s="48" t="s">
        <v>55</v>
      </c>
      <c r="B8" s="49" t="s">
        <v>56</v>
      </c>
      <c r="C8" s="97" t="s">
        <v>77</v>
      </c>
      <c r="D8" s="98" t="s">
        <v>78</v>
      </c>
      <c r="E8" s="98" t="s">
        <v>80</v>
      </c>
      <c r="F8" s="98" t="s">
        <v>81</v>
      </c>
      <c r="G8" s="98" t="s">
        <v>107</v>
      </c>
      <c r="H8" s="316"/>
      <c r="I8" s="97" t="s">
        <v>77</v>
      </c>
      <c r="J8" s="98" t="s">
        <v>78</v>
      </c>
      <c r="K8" s="98" t="s">
        <v>80</v>
      </c>
      <c r="L8" s="98" t="s">
        <v>81</v>
      </c>
      <c r="M8" s="98" t="s">
        <v>107</v>
      </c>
      <c r="N8" s="316"/>
      <c r="O8" s="97" t="s">
        <v>77</v>
      </c>
      <c r="P8" s="98" t="s">
        <v>78</v>
      </c>
      <c r="Q8" s="98" t="s">
        <v>80</v>
      </c>
      <c r="R8" s="98" t="s">
        <v>81</v>
      </c>
      <c r="S8" s="98" t="s">
        <v>107</v>
      </c>
      <c r="T8" s="316"/>
      <c r="U8" s="316"/>
      <c r="V8" s="316"/>
      <c r="W8" s="99"/>
      <c r="X8" s="99"/>
    </row>
    <row r="9" spans="1:28" ht="12" customHeight="1" x14ac:dyDescent="0.35">
      <c r="A9" s="59">
        <v>1</v>
      </c>
      <c r="B9" s="60" t="str">
        <f>'C. FILIACION'!B8</f>
        <v>ALTAMIRANO RAMOS ESTEFANI MILENKA</v>
      </c>
      <c r="C9" s="31">
        <f>'VAL 1 TRIM '!C9</f>
        <v>10</v>
      </c>
      <c r="D9" s="31">
        <f>'VAL 1 TRIM '!O9</f>
        <v>29</v>
      </c>
      <c r="E9" s="31">
        <f>'VAL 1 TRIM '!AB9</f>
        <v>31</v>
      </c>
      <c r="F9" s="31">
        <f>'VAL 1 TRIM '!AE9</f>
        <v>8</v>
      </c>
      <c r="G9" s="31">
        <f>'VAL 1 TRIM '!AE9</f>
        <v>8</v>
      </c>
      <c r="H9" s="100">
        <f>'VAL 1 TRIM '!AG9</f>
        <v>88</v>
      </c>
      <c r="I9" s="31">
        <f>'VAL 2 TRIM'!C9</f>
        <v>9</v>
      </c>
      <c r="J9" s="31">
        <f>'VAL 2 TRIM'!O9</f>
        <v>27</v>
      </c>
      <c r="K9" s="31">
        <f>'VAL 2 TRIM'!AB9</f>
        <v>31</v>
      </c>
      <c r="L9" s="31">
        <f>'VAL 2 TRIM'!AA9</f>
        <v>10</v>
      </c>
      <c r="M9" s="31">
        <f>'VAL 2 TRIM'!AE9</f>
        <v>7</v>
      </c>
      <c r="N9" s="100">
        <f>'VAL 2 TRIM'!AG9</f>
        <v>84</v>
      </c>
      <c r="O9" s="31">
        <f>'VAL 3 TRIM'!C9</f>
        <v>9.4117647058823533</v>
      </c>
      <c r="P9" s="31">
        <f>'VAL 3 TRIM'!O9</f>
        <v>34</v>
      </c>
      <c r="Q9" s="31">
        <f>'VAL 3 TRIM'!AB9</f>
        <v>31</v>
      </c>
      <c r="R9" s="31">
        <f>'VAL 3 TRIM'!AA9</f>
        <v>9.2857142857142865</v>
      </c>
      <c r="S9" s="31">
        <f>'VAL 3 TRIM'!AE9</f>
        <v>8</v>
      </c>
      <c r="T9" s="100">
        <f>'VAL 3 TRIM'!AG9</f>
        <v>91.69747899159664</v>
      </c>
      <c r="U9" s="101">
        <f t="shared" ref="U9:U44" si="0">AVERAGE(H9,N9,T9)</f>
        <v>87.899159663865547</v>
      </c>
      <c r="V9" s="102" t="str">
        <f t="shared" ref="V9:V44" si="1">IF(U9="","",(IF(AND(U9&gt;=1,U9&lt;=50.499),"REPROBADO",IF(AND(U9&gt;=50.5,U9&lt;=100),"APROBADO"))))</f>
        <v>APROBADO</v>
      </c>
      <c r="X9" s="103"/>
    </row>
    <row r="10" spans="1:28" ht="12" customHeight="1" x14ac:dyDescent="0.35">
      <c r="A10" s="59">
        <v>2</v>
      </c>
      <c r="B10" s="60" t="str">
        <f>'C. FILIACION'!B9</f>
        <v>APAZA LINO TATIANA JAZMIN</v>
      </c>
      <c r="C10" s="48">
        <f>'VAL 1 TRIM '!C10</f>
        <v>10</v>
      </c>
      <c r="D10" s="48">
        <f>'VAL 1 TRIM '!O10</f>
        <v>29</v>
      </c>
      <c r="E10" s="48">
        <f>'VAL 1 TRIM '!AB10</f>
        <v>31</v>
      </c>
      <c r="F10" s="48">
        <f>'VAL 1 TRIM '!AE10</f>
        <v>9</v>
      </c>
      <c r="G10" s="48">
        <f>'VAL 1 TRIM '!AE10</f>
        <v>9</v>
      </c>
      <c r="H10" s="100">
        <f>'VAL 1 TRIM '!AG10</f>
        <v>89</v>
      </c>
      <c r="I10" s="31">
        <f>'VAL 2 TRIM'!C10</f>
        <v>10</v>
      </c>
      <c r="J10" s="31">
        <f>'VAL 2 TRIM'!O10</f>
        <v>31</v>
      </c>
      <c r="K10" s="31">
        <f>'VAL 2 TRIM'!AB10</f>
        <v>32</v>
      </c>
      <c r="L10" s="31">
        <f>'VAL 2 TRIM'!AA10</f>
        <v>10</v>
      </c>
      <c r="M10" s="31">
        <f>'VAL 2 TRIM'!AE10</f>
        <v>10</v>
      </c>
      <c r="N10" s="100">
        <f>'VAL 2 TRIM'!AG10</f>
        <v>93</v>
      </c>
      <c r="O10" s="31">
        <f>'VAL 3 TRIM'!C10</f>
        <v>10</v>
      </c>
      <c r="P10" s="31">
        <f>'VAL 3 TRIM'!O10</f>
        <v>34</v>
      </c>
      <c r="Q10" s="31">
        <f>'VAL 3 TRIM'!AB10</f>
        <v>31</v>
      </c>
      <c r="R10" s="31">
        <f>'VAL 3 TRIM'!AA10</f>
        <v>9.2857142857142865</v>
      </c>
      <c r="S10" s="48">
        <f>'VAL 3 TRIM'!AE10</f>
        <v>10</v>
      </c>
      <c r="T10" s="100">
        <f>'VAL 3 TRIM'!AG10</f>
        <v>94.285714285714278</v>
      </c>
      <c r="U10" s="101">
        <f t="shared" si="0"/>
        <v>92.095238095238088</v>
      </c>
      <c r="V10" s="102" t="str">
        <f t="shared" si="1"/>
        <v>APROBADO</v>
      </c>
      <c r="X10" s="103"/>
    </row>
    <row r="11" spans="1:28" ht="12" customHeight="1" x14ac:dyDescent="0.35">
      <c r="A11" s="59">
        <v>3</v>
      </c>
      <c r="B11" s="60" t="str">
        <f>'C. FILIACION'!B10</f>
        <v>BOLAÑOS OVANDO MIJHAIL ALEXANDER</v>
      </c>
      <c r="C11" s="48">
        <f>'VAL 1 TRIM '!C11</f>
        <v>9</v>
      </c>
      <c r="D11" s="48">
        <f>'VAL 1 TRIM '!O11</f>
        <v>27</v>
      </c>
      <c r="E11" s="48">
        <f>'VAL 1 TRIM '!AB11</f>
        <v>27</v>
      </c>
      <c r="F11" s="48">
        <f>'VAL 1 TRIM '!AE11</f>
        <v>10</v>
      </c>
      <c r="G11" s="48">
        <f>'VAL 1 TRIM '!AE11</f>
        <v>10</v>
      </c>
      <c r="H11" s="100">
        <f>'VAL 1 TRIM '!AG11</f>
        <v>83</v>
      </c>
      <c r="I11" s="31">
        <f>'VAL 2 TRIM'!C11</f>
        <v>5</v>
      </c>
      <c r="J11" s="31">
        <f>'VAL 2 TRIM'!O11</f>
        <v>15</v>
      </c>
      <c r="K11" s="31">
        <f>'VAL 2 TRIM'!AB11</f>
        <v>15</v>
      </c>
      <c r="L11" s="31">
        <f>'VAL 2 TRIM'!AA11</f>
        <v>6</v>
      </c>
      <c r="M11" s="31">
        <f>'VAL 2 TRIM'!AE11</f>
        <v>10</v>
      </c>
      <c r="N11" s="100">
        <f>'VAL 2 TRIM'!AG11</f>
        <v>51</v>
      </c>
      <c r="O11" s="31">
        <f>'VAL 3 TRIM'!C11</f>
        <v>8.8235294117647065</v>
      </c>
      <c r="P11" s="31">
        <f>'VAL 3 TRIM'!O11</f>
        <v>22</v>
      </c>
      <c r="Q11" s="31">
        <f>'VAL 3 TRIM'!AB11</f>
        <v>13</v>
      </c>
      <c r="R11" s="31">
        <f>'VAL 3 TRIM'!AA11</f>
        <v>5</v>
      </c>
      <c r="S11" s="48">
        <f>'VAL 3 TRIM'!AE11</f>
        <v>8</v>
      </c>
      <c r="T11" s="100">
        <f>'VAL 3 TRIM'!AG11</f>
        <v>56.82352941176471</v>
      </c>
      <c r="U11" s="101">
        <f t="shared" si="0"/>
        <v>63.607843137254896</v>
      </c>
      <c r="V11" s="102" t="str">
        <f t="shared" si="1"/>
        <v>APROBADO</v>
      </c>
      <c r="X11" s="103"/>
    </row>
    <row r="12" spans="1:28" ht="12" customHeight="1" x14ac:dyDescent="0.35">
      <c r="A12" s="226">
        <v>4</v>
      </c>
      <c r="B12" s="189" t="str">
        <f>'C. FILIACION'!B11</f>
        <v>BRICHER ETHELBERT ISMAEL</v>
      </c>
      <c r="C12" s="155">
        <f>'VAL 1 TRIM '!C12</f>
        <v>5</v>
      </c>
      <c r="D12" s="155">
        <f>'VAL 1 TRIM '!O12</f>
        <v>13</v>
      </c>
      <c r="E12" s="155">
        <f>'VAL 1 TRIM '!AB12</f>
        <v>15</v>
      </c>
      <c r="F12" s="155">
        <f>'VAL 1 TRIM '!AE12</f>
        <v>8</v>
      </c>
      <c r="G12" s="155">
        <f>'VAL 1 TRIM '!AE12</f>
        <v>8</v>
      </c>
      <c r="H12" s="230">
        <f>'VAL 1 TRIM '!AG12</f>
        <v>44</v>
      </c>
      <c r="I12" s="197">
        <f>'VAL 2 TRIM'!C12</f>
        <v>0</v>
      </c>
      <c r="J12" s="197">
        <f>'VAL 2 TRIM'!O12</f>
        <v>0</v>
      </c>
      <c r="K12" s="197">
        <f>'VAL 2 TRIM'!AB12</f>
        <v>3</v>
      </c>
      <c r="L12" s="197">
        <f>'VAL 2 TRIM'!AA12</f>
        <v>2</v>
      </c>
      <c r="M12" s="197">
        <f>'VAL 2 TRIM'!AE12</f>
        <v>0</v>
      </c>
      <c r="N12" s="230">
        <f>'VAL 2 TRIM'!AG12</f>
        <v>5</v>
      </c>
      <c r="O12" s="197">
        <f>'VAL 3 TRIM'!C12</f>
        <v>0</v>
      </c>
      <c r="P12" s="197">
        <f>'VAL 3 TRIM'!O12</f>
        <v>0</v>
      </c>
      <c r="Q12" s="197">
        <f>'VAL 3 TRIM'!AB12</f>
        <v>0</v>
      </c>
      <c r="R12" s="197">
        <f>'VAL 3 TRIM'!AA12</f>
        <v>0</v>
      </c>
      <c r="S12" s="155">
        <f>'VAL 3 TRIM'!AE12</f>
        <v>0</v>
      </c>
      <c r="T12" s="230">
        <f>'VAL 3 TRIM'!AG12</f>
        <v>0</v>
      </c>
      <c r="U12" s="231">
        <f t="shared" si="0"/>
        <v>16.333333333333332</v>
      </c>
      <c r="V12" s="232" t="str">
        <f t="shared" si="1"/>
        <v>REPROBADO</v>
      </c>
      <c r="X12" s="103"/>
    </row>
    <row r="13" spans="1:28" ht="12" customHeight="1" x14ac:dyDescent="0.35">
      <c r="A13" s="59">
        <v>5</v>
      </c>
      <c r="B13" s="60" t="str">
        <f>'C. FILIACION'!B12</f>
        <v>CANAVIRI QUISBERT ALEJANDRA ELENA</v>
      </c>
      <c r="C13" s="48">
        <f>'VAL 1 TRIM '!C13</f>
        <v>10</v>
      </c>
      <c r="D13" s="48">
        <f>'VAL 1 TRIM '!O13</f>
        <v>27</v>
      </c>
      <c r="E13" s="48">
        <f>'VAL 1 TRIM '!AB13</f>
        <v>31</v>
      </c>
      <c r="F13" s="48">
        <f>'VAL 1 TRIM '!AE13</f>
        <v>9</v>
      </c>
      <c r="G13" s="48">
        <f>'VAL 1 TRIM '!AE13</f>
        <v>9</v>
      </c>
      <c r="H13" s="100">
        <f>'VAL 1 TRIM '!AG13</f>
        <v>87</v>
      </c>
      <c r="I13" s="31">
        <f>'VAL 2 TRIM'!C13</f>
        <v>7</v>
      </c>
      <c r="J13" s="31">
        <f>'VAL 2 TRIM'!O13</f>
        <v>23</v>
      </c>
      <c r="K13" s="31">
        <f>'VAL 2 TRIM'!AB13</f>
        <v>19</v>
      </c>
      <c r="L13" s="31">
        <f>'VAL 2 TRIM'!AA13</f>
        <v>7</v>
      </c>
      <c r="M13" s="31">
        <f>'VAL 2 TRIM'!AE13</f>
        <v>10</v>
      </c>
      <c r="N13" s="100">
        <f>'VAL 2 TRIM'!AG13</f>
        <v>66</v>
      </c>
      <c r="O13" s="31">
        <f>'VAL 3 TRIM'!C13</f>
        <v>7.6470588235294121</v>
      </c>
      <c r="P13" s="31">
        <f>'VAL 3 TRIM'!O13</f>
        <v>27</v>
      </c>
      <c r="Q13" s="31">
        <f>'VAL 3 TRIM'!AB13</f>
        <v>18</v>
      </c>
      <c r="R13" s="31">
        <f>'VAL 3 TRIM'!AA13</f>
        <v>6.4285714285714288</v>
      </c>
      <c r="S13" s="48">
        <f>'VAL 3 TRIM'!AE13</f>
        <v>8</v>
      </c>
      <c r="T13" s="100">
        <f>'VAL 3 TRIM'!AG13</f>
        <v>67.075630252100837</v>
      </c>
      <c r="U13" s="101">
        <f t="shared" si="0"/>
        <v>73.358543417366946</v>
      </c>
      <c r="V13" s="102" t="str">
        <f t="shared" si="1"/>
        <v>APROBADO</v>
      </c>
      <c r="X13" s="103"/>
    </row>
    <row r="14" spans="1:28" ht="12" customHeight="1" x14ac:dyDescent="0.35">
      <c r="A14" s="59">
        <v>6</v>
      </c>
      <c r="B14" s="60" t="str">
        <f>'C. FILIACION'!B13</f>
        <v>GOMEZ BELTRAN ALBERT NORMAN</v>
      </c>
      <c r="C14" s="48">
        <f>'VAL 1 TRIM '!C14</f>
        <v>10</v>
      </c>
      <c r="D14" s="48">
        <f>'VAL 1 TRIM '!O14</f>
        <v>27</v>
      </c>
      <c r="E14" s="48">
        <f>'VAL 1 TRIM '!AB14</f>
        <v>30</v>
      </c>
      <c r="F14" s="48">
        <f>'VAL 1 TRIM '!AE14</f>
        <v>7</v>
      </c>
      <c r="G14" s="48">
        <f>'VAL 1 TRIM '!AE14</f>
        <v>7</v>
      </c>
      <c r="H14" s="100">
        <f>'VAL 1 TRIM '!AG14</f>
        <v>84</v>
      </c>
      <c r="I14" s="31">
        <f>'VAL 2 TRIM'!C14</f>
        <v>10</v>
      </c>
      <c r="J14" s="31">
        <f>'VAL 2 TRIM'!O14</f>
        <v>24</v>
      </c>
      <c r="K14" s="31">
        <f>'VAL 2 TRIM'!AB14</f>
        <v>24</v>
      </c>
      <c r="L14" s="31">
        <f>'VAL 2 TRIM'!AA14</f>
        <v>8</v>
      </c>
      <c r="M14" s="31">
        <f>'VAL 2 TRIM'!AE14</f>
        <v>8</v>
      </c>
      <c r="N14" s="100">
        <f>'VAL 2 TRIM'!AG14</f>
        <v>74</v>
      </c>
      <c r="O14" s="31">
        <f>'VAL 3 TRIM'!C14</f>
        <v>10</v>
      </c>
      <c r="P14" s="31">
        <f>'VAL 3 TRIM'!O14</f>
        <v>29</v>
      </c>
      <c r="Q14" s="31">
        <f>'VAL 3 TRIM'!AB14</f>
        <v>33</v>
      </c>
      <c r="R14" s="31">
        <f>'VAL 3 TRIM'!AA14</f>
        <v>8.8571428571428577</v>
      </c>
      <c r="S14" s="48">
        <f>'VAL 3 TRIM'!AE14</f>
        <v>7</v>
      </c>
      <c r="T14" s="100">
        <f>'VAL 3 TRIM'!AG14</f>
        <v>87.857142857142861</v>
      </c>
      <c r="U14" s="101">
        <f t="shared" si="0"/>
        <v>81.952380952380949</v>
      </c>
      <c r="V14" s="102" t="str">
        <f t="shared" si="1"/>
        <v>APROBADO</v>
      </c>
      <c r="X14" s="103"/>
    </row>
    <row r="15" spans="1:28" ht="12" customHeight="1" x14ac:dyDescent="0.35">
      <c r="A15" s="59">
        <v>7</v>
      </c>
      <c r="B15" s="187" t="str">
        <f>'C. FILIACION'!B14</f>
        <v>GOMEZ COSME MELANY KARINA</v>
      </c>
      <c r="C15" s="162">
        <f>'VAL 1 TRIM '!C15</f>
        <v>9</v>
      </c>
      <c r="D15" s="162">
        <f>'VAL 1 TRIM '!O15</f>
        <v>23</v>
      </c>
      <c r="E15" s="162">
        <f>'VAL 1 TRIM '!AB15</f>
        <v>21</v>
      </c>
      <c r="F15" s="162">
        <f>'VAL 1 TRIM '!AE15</f>
        <v>10</v>
      </c>
      <c r="G15" s="162">
        <f>'VAL 1 TRIM '!AE15</f>
        <v>10</v>
      </c>
      <c r="H15" s="227">
        <f>'VAL 1 TRIM '!AG15</f>
        <v>69</v>
      </c>
      <c r="I15" s="185">
        <f>'VAL 2 TRIM'!C15</f>
        <v>3</v>
      </c>
      <c r="J15" s="185">
        <f>'VAL 2 TRIM'!O15</f>
        <v>17</v>
      </c>
      <c r="K15" s="185">
        <f>'VAL 2 TRIM'!AB15</f>
        <v>21</v>
      </c>
      <c r="L15" s="185">
        <f>'VAL 2 TRIM'!AA15</f>
        <v>4</v>
      </c>
      <c r="M15" s="185">
        <f>'VAL 2 TRIM'!AE15</f>
        <v>6</v>
      </c>
      <c r="N15" s="227">
        <f>'VAL 2 TRIM'!AG15</f>
        <v>51</v>
      </c>
      <c r="O15" s="185">
        <f>'VAL 3 TRIM'!C15</f>
        <v>7.0588235294117645</v>
      </c>
      <c r="P15" s="185">
        <f>'VAL 3 TRIM'!O15</f>
        <v>16</v>
      </c>
      <c r="Q15" s="185">
        <f>'VAL 3 TRIM'!AB15</f>
        <v>17</v>
      </c>
      <c r="R15" s="185">
        <f>'VAL 3 TRIM'!AA15</f>
        <v>4.7142857142857144</v>
      </c>
      <c r="S15" s="162">
        <f>'VAL 3 TRIM'!AE15</f>
        <v>6</v>
      </c>
      <c r="T15" s="227">
        <f>'VAL 3 TRIM'!AG15</f>
        <v>50.773109243697476</v>
      </c>
      <c r="U15" s="228">
        <f t="shared" si="0"/>
        <v>56.924369747899163</v>
      </c>
      <c r="V15" s="229" t="str">
        <f t="shared" si="1"/>
        <v>APROBADO</v>
      </c>
      <c r="X15" s="103"/>
    </row>
    <row r="16" spans="1:28" ht="12" customHeight="1" x14ac:dyDescent="0.35">
      <c r="A16" s="59">
        <v>8</v>
      </c>
      <c r="B16" s="60" t="str">
        <f>'C. FILIACION'!B15</f>
        <v>GONZALES ZUAZO KALEB RAMSES</v>
      </c>
      <c r="C16" s="48">
        <f>'VAL 1 TRIM '!C16</f>
        <v>10</v>
      </c>
      <c r="D16" s="48">
        <f>'VAL 1 TRIM '!O16</f>
        <v>28</v>
      </c>
      <c r="E16" s="48">
        <f>'VAL 1 TRIM '!AB16</f>
        <v>26</v>
      </c>
      <c r="F16" s="48">
        <f>'VAL 1 TRIM '!AE16</f>
        <v>9</v>
      </c>
      <c r="G16" s="48">
        <f>'VAL 1 TRIM '!AE16</f>
        <v>9</v>
      </c>
      <c r="H16" s="100">
        <f>'VAL 1 TRIM '!AG16</f>
        <v>83</v>
      </c>
      <c r="I16" s="31">
        <f>'VAL 2 TRIM'!C16</f>
        <v>10</v>
      </c>
      <c r="J16" s="31">
        <f>'VAL 2 TRIM'!O16</f>
        <v>24</v>
      </c>
      <c r="K16" s="31">
        <f>'VAL 2 TRIM'!AB16</f>
        <v>18</v>
      </c>
      <c r="L16" s="31">
        <f>'VAL 2 TRIM'!AA16</f>
        <v>7</v>
      </c>
      <c r="M16" s="31">
        <f>'VAL 2 TRIM'!AE16</f>
        <v>8</v>
      </c>
      <c r="N16" s="100">
        <f>'VAL 2 TRIM'!AG16</f>
        <v>67</v>
      </c>
      <c r="O16" s="31">
        <f>'VAL 3 TRIM'!C16</f>
        <v>10</v>
      </c>
      <c r="P16" s="31">
        <f>'VAL 3 TRIM'!O16</f>
        <v>30</v>
      </c>
      <c r="Q16" s="31">
        <f>'VAL 3 TRIM'!AB16</f>
        <v>18</v>
      </c>
      <c r="R16" s="31">
        <f>'VAL 3 TRIM'!AA16</f>
        <v>6.8571428571428568</v>
      </c>
      <c r="S16" s="48">
        <f>'VAL 3 TRIM'!AE16</f>
        <v>9</v>
      </c>
      <c r="T16" s="100">
        <f>'VAL 3 TRIM'!AG16</f>
        <v>73.857142857142861</v>
      </c>
      <c r="U16" s="101">
        <f t="shared" si="0"/>
        <v>74.61904761904762</v>
      </c>
      <c r="V16" s="102" t="str">
        <f t="shared" si="1"/>
        <v>APROBADO</v>
      </c>
      <c r="X16" s="103"/>
    </row>
    <row r="17" spans="1:24" ht="12" customHeight="1" x14ac:dyDescent="0.35">
      <c r="A17" s="59">
        <v>9</v>
      </c>
      <c r="B17" s="60" t="str">
        <f>'C. FILIACION'!B16</f>
        <v>LEDEZMA AGUILAR ELVIS JHEFERSON</v>
      </c>
      <c r="C17" s="48">
        <f>'VAL 1 TRIM '!C17</f>
        <v>10</v>
      </c>
      <c r="D17" s="48">
        <f>'VAL 1 TRIM '!O17</f>
        <v>27</v>
      </c>
      <c r="E17" s="48">
        <f>'VAL 1 TRIM '!AB17</f>
        <v>30</v>
      </c>
      <c r="F17" s="48">
        <f>'VAL 1 TRIM '!AE17</f>
        <v>7</v>
      </c>
      <c r="G17" s="48">
        <f>'VAL 1 TRIM '!AE17</f>
        <v>7</v>
      </c>
      <c r="H17" s="100">
        <f>'VAL 1 TRIM '!AG17</f>
        <v>84</v>
      </c>
      <c r="I17" s="31">
        <f>'VAL 2 TRIM'!C17</f>
        <v>9</v>
      </c>
      <c r="J17" s="31">
        <f>'VAL 2 TRIM'!O17</f>
        <v>23</v>
      </c>
      <c r="K17" s="31">
        <f>'VAL 2 TRIM'!AB17</f>
        <v>20</v>
      </c>
      <c r="L17" s="31">
        <f>'VAL 2 TRIM'!AA17</f>
        <v>7</v>
      </c>
      <c r="M17" s="31">
        <f>'VAL 2 TRIM'!AE17</f>
        <v>9</v>
      </c>
      <c r="N17" s="100">
        <f>'VAL 2 TRIM'!AG17</f>
        <v>68</v>
      </c>
      <c r="O17" s="31">
        <f>'VAL 3 TRIM'!C17</f>
        <v>9.4117647058823533</v>
      </c>
      <c r="P17" s="31">
        <f>'VAL 3 TRIM'!O17</f>
        <v>32</v>
      </c>
      <c r="Q17" s="31">
        <f>'VAL 3 TRIM'!AB17</f>
        <v>31</v>
      </c>
      <c r="R17" s="31">
        <f>'VAL 3 TRIM'!AA17</f>
        <v>9</v>
      </c>
      <c r="S17" s="48">
        <f>'VAL 3 TRIM'!AE17</f>
        <v>10</v>
      </c>
      <c r="T17" s="100">
        <f>'VAL 3 TRIM'!AG17</f>
        <v>91.411764705882348</v>
      </c>
      <c r="U17" s="101">
        <f t="shared" si="0"/>
        <v>81.137254901960787</v>
      </c>
      <c r="V17" s="102" t="str">
        <f t="shared" si="1"/>
        <v>APROBADO</v>
      </c>
      <c r="X17" s="103"/>
    </row>
    <row r="18" spans="1:24" ht="12" customHeight="1" x14ac:dyDescent="0.35">
      <c r="A18" s="59">
        <v>10</v>
      </c>
      <c r="B18" s="60" t="str">
        <f>'C. FILIACION'!B17</f>
        <v>LOBATON RODRIGUEZ JHONATAN A.</v>
      </c>
      <c r="C18" s="48">
        <f>'VAL 1 TRIM '!C18</f>
        <v>10</v>
      </c>
      <c r="D18" s="48">
        <f>'VAL 1 TRIM '!O18</f>
        <v>27</v>
      </c>
      <c r="E18" s="48">
        <f>'VAL 1 TRIM '!AB18</f>
        <v>29</v>
      </c>
      <c r="F18" s="48">
        <f>'VAL 1 TRIM '!AE18</f>
        <v>10</v>
      </c>
      <c r="G18" s="48">
        <f>'VAL 1 TRIM '!AE18</f>
        <v>10</v>
      </c>
      <c r="H18" s="100">
        <f>'VAL 1 TRIM '!AG18</f>
        <v>86</v>
      </c>
      <c r="I18" s="31">
        <f>'VAL 2 TRIM'!C18</f>
        <v>8</v>
      </c>
      <c r="J18" s="31">
        <f>'VAL 2 TRIM'!O18</f>
        <v>21</v>
      </c>
      <c r="K18" s="31">
        <f>'VAL 2 TRIM'!AB18</f>
        <v>19</v>
      </c>
      <c r="L18" s="31">
        <f>'VAL 2 TRIM'!AA18</f>
        <v>6</v>
      </c>
      <c r="M18" s="31">
        <f>'VAL 2 TRIM'!AE18</f>
        <v>10</v>
      </c>
      <c r="N18" s="100">
        <f>'VAL 2 TRIM'!AG18</f>
        <v>64</v>
      </c>
      <c r="O18" s="31">
        <f>'VAL 3 TRIM'!C18</f>
        <v>8.235294117647058</v>
      </c>
      <c r="P18" s="31">
        <f>'VAL 3 TRIM'!O18</f>
        <v>20</v>
      </c>
      <c r="Q18" s="31">
        <f>'VAL 3 TRIM'!AB18</f>
        <v>15</v>
      </c>
      <c r="R18" s="31">
        <f>'VAL 3 TRIM'!AA18</f>
        <v>5</v>
      </c>
      <c r="S18" s="48">
        <f>'VAL 3 TRIM'!AE18</f>
        <v>8</v>
      </c>
      <c r="T18" s="100">
        <f>'VAL 3 TRIM'!AG18</f>
        <v>56.235294117647058</v>
      </c>
      <c r="U18" s="101">
        <f t="shared" si="0"/>
        <v>68.745098039215691</v>
      </c>
      <c r="V18" s="102" t="str">
        <f t="shared" si="1"/>
        <v>APROBADO</v>
      </c>
      <c r="X18" s="103"/>
    </row>
    <row r="19" spans="1:24" ht="12" customHeight="1" x14ac:dyDescent="0.35">
      <c r="A19" s="59">
        <v>11</v>
      </c>
      <c r="B19" s="60" t="str">
        <f>'C. FILIACION'!B18</f>
        <v>MAMANI LOPEZ DAFNE MILDRED</v>
      </c>
      <c r="C19" s="48">
        <f>'VAL 1 TRIM '!C19</f>
        <v>9</v>
      </c>
      <c r="D19" s="48">
        <f>'VAL 1 TRIM '!O19</f>
        <v>27</v>
      </c>
      <c r="E19" s="48">
        <f>'VAL 1 TRIM '!AB19</f>
        <v>21</v>
      </c>
      <c r="F19" s="48">
        <f>'VAL 1 TRIM '!AE19</f>
        <v>9</v>
      </c>
      <c r="G19" s="48">
        <f>'VAL 1 TRIM '!AE19</f>
        <v>9</v>
      </c>
      <c r="H19" s="100">
        <f>'VAL 1 TRIM '!AG19</f>
        <v>74</v>
      </c>
      <c r="I19" s="31">
        <f>'VAL 2 TRIM'!C19</f>
        <v>5</v>
      </c>
      <c r="J19" s="31">
        <f>'VAL 2 TRIM'!O19</f>
        <v>21</v>
      </c>
      <c r="K19" s="31">
        <f>'VAL 2 TRIM'!AB19</f>
        <v>14</v>
      </c>
      <c r="L19" s="31">
        <f>'VAL 2 TRIM'!AA19</f>
        <v>5</v>
      </c>
      <c r="M19" s="31">
        <f>'VAL 2 TRIM'!AE19</f>
        <v>6</v>
      </c>
      <c r="N19" s="100">
        <f>'VAL 2 TRIM'!AG19</f>
        <v>51</v>
      </c>
      <c r="O19" s="31">
        <f>'VAL 3 TRIM'!C19</f>
        <v>8.235294117647058</v>
      </c>
      <c r="P19" s="31">
        <f>'VAL 3 TRIM'!O19</f>
        <v>22</v>
      </c>
      <c r="Q19" s="31">
        <f>'VAL 3 TRIM'!AB19</f>
        <v>10</v>
      </c>
      <c r="R19" s="31">
        <f>'VAL 3 TRIM'!AA19</f>
        <v>4.5714285714285712</v>
      </c>
      <c r="S19" s="48">
        <f>'VAL 3 TRIM'!AE19</f>
        <v>8</v>
      </c>
      <c r="T19" s="100">
        <f>'VAL 3 TRIM'!AG19</f>
        <v>52.806722689075627</v>
      </c>
      <c r="U19" s="101">
        <f t="shared" si="0"/>
        <v>59.268907563025209</v>
      </c>
      <c r="V19" s="102" t="str">
        <f t="shared" si="1"/>
        <v>APROBADO</v>
      </c>
      <c r="X19" s="103"/>
    </row>
    <row r="20" spans="1:24" ht="12" customHeight="1" x14ac:dyDescent="0.35">
      <c r="A20" s="59">
        <v>12</v>
      </c>
      <c r="B20" s="187" t="str">
        <f>'C. FILIACION'!B19</f>
        <v>MARCONI PEREZ SINDEL LUANA</v>
      </c>
      <c r="C20" s="162">
        <f>'VAL 1 TRIM '!C20</f>
        <v>6</v>
      </c>
      <c r="D20" s="162">
        <f>'VAL 1 TRIM '!O20</f>
        <v>21</v>
      </c>
      <c r="E20" s="162">
        <f>'VAL 1 TRIM '!AB20</f>
        <v>21</v>
      </c>
      <c r="F20" s="162">
        <f>'VAL 1 TRIM '!AE20</f>
        <v>6</v>
      </c>
      <c r="G20" s="162">
        <f>'VAL 1 TRIM '!AE20</f>
        <v>6</v>
      </c>
      <c r="H20" s="227">
        <f>'VAL 1 TRIM '!AG20</f>
        <v>62</v>
      </c>
      <c r="I20" s="185">
        <f>'VAL 2 TRIM'!C20</f>
        <v>5</v>
      </c>
      <c r="J20" s="185">
        <f>'VAL 2 TRIM'!O20</f>
        <v>12</v>
      </c>
      <c r="K20" s="185">
        <f>'VAL 2 TRIM'!AB20</f>
        <v>14</v>
      </c>
      <c r="L20" s="185">
        <f>'VAL 2 TRIM'!AA20</f>
        <v>4</v>
      </c>
      <c r="M20" s="185">
        <f>'VAL 2 TRIM'!AE20</f>
        <v>6</v>
      </c>
      <c r="N20" s="227">
        <f>'VAL 2 TRIM'!AG20</f>
        <v>41</v>
      </c>
      <c r="O20" s="185">
        <f>'VAL 3 TRIM'!C20</f>
        <v>5.882352941176471</v>
      </c>
      <c r="P20" s="185">
        <f>'VAL 3 TRIM'!O20</f>
        <v>22</v>
      </c>
      <c r="Q20" s="185">
        <f>'VAL 3 TRIM'!AB20</f>
        <v>16</v>
      </c>
      <c r="R20" s="185">
        <f>'VAL 3 TRIM'!AA20</f>
        <v>5.4285714285714288</v>
      </c>
      <c r="S20" s="162">
        <f>'VAL 3 TRIM'!AE20</f>
        <v>8</v>
      </c>
      <c r="T20" s="227">
        <f>'VAL 3 TRIM'!AG20</f>
        <v>57.310924369747902</v>
      </c>
      <c r="U20" s="228">
        <f t="shared" si="0"/>
        <v>53.436974789915972</v>
      </c>
      <c r="V20" s="229" t="str">
        <f t="shared" si="1"/>
        <v>APROBADO</v>
      </c>
      <c r="X20" s="103"/>
    </row>
    <row r="21" spans="1:24" ht="12" customHeight="1" x14ac:dyDescent="0.35">
      <c r="A21" s="59">
        <v>13</v>
      </c>
      <c r="B21" s="60" t="str">
        <f>'C. FILIACION'!B20</f>
        <v>MENACHO LINEO ANDREA KIMBERLY</v>
      </c>
      <c r="C21" s="48">
        <f>'VAL 1 TRIM '!C21</f>
        <v>10</v>
      </c>
      <c r="D21" s="48">
        <f>'VAL 1 TRIM '!O21</f>
        <v>30</v>
      </c>
      <c r="E21" s="48">
        <f>'VAL 1 TRIM '!AB21</f>
        <v>31</v>
      </c>
      <c r="F21" s="48">
        <f>'VAL 1 TRIM '!AE21</f>
        <v>7</v>
      </c>
      <c r="G21" s="48">
        <f>'VAL 1 TRIM '!AE21</f>
        <v>7</v>
      </c>
      <c r="H21" s="100">
        <f>'VAL 1 TRIM '!AG21</f>
        <v>88</v>
      </c>
      <c r="I21" s="31">
        <f>'VAL 2 TRIM'!C21</f>
        <v>9</v>
      </c>
      <c r="J21" s="31">
        <f>'VAL 2 TRIM'!O21</f>
        <v>22</v>
      </c>
      <c r="K21" s="31">
        <f>'VAL 2 TRIM'!AB21</f>
        <v>9</v>
      </c>
      <c r="L21" s="31">
        <f>'VAL 2 TRIM'!AA21</f>
        <v>6</v>
      </c>
      <c r="M21" s="31">
        <f>'VAL 2 TRIM'!AE21</f>
        <v>7</v>
      </c>
      <c r="N21" s="100">
        <f>'VAL 2 TRIM'!AG21</f>
        <v>53</v>
      </c>
      <c r="O21" s="31">
        <f>'VAL 3 TRIM'!C21</f>
        <v>10</v>
      </c>
      <c r="P21" s="31">
        <f>'VAL 3 TRIM'!O21</f>
        <v>25</v>
      </c>
      <c r="Q21" s="31">
        <f>'VAL 3 TRIM'!AB21</f>
        <v>18</v>
      </c>
      <c r="R21" s="31">
        <f>'VAL 3 TRIM'!AA21</f>
        <v>6.1428571428571432</v>
      </c>
      <c r="S21" s="48">
        <f>'VAL 3 TRIM'!AE21</f>
        <v>7</v>
      </c>
      <c r="T21" s="100">
        <f>'VAL 3 TRIM'!AG21</f>
        <v>66.142857142857139</v>
      </c>
      <c r="U21" s="101">
        <f t="shared" si="0"/>
        <v>69.047619047619051</v>
      </c>
      <c r="V21" s="102" t="str">
        <f t="shared" si="1"/>
        <v>APROBADO</v>
      </c>
      <c r="X21" s="103"/>
    </row>
    <row r="22" spans="1:24" ht="12" customHeight="1" x14ac:dyDescent="0.35">
      <c r="A22" s="59">
        <v>14</v>
      </c>
      <c r="B22" s="60" t="str">
        <f>'C. FILIACION'!B21</f>
        <v>PILLCO APAZA MARIAN ALEXANDRA</v>
      </c>
      <c r="C22" s="48">
        <f>'VAL 1 TRIM '!C22</f>
        <v>10</v>
      </c>
      <c r="D22" s="48">
        <f>'VAL 1 TRIM '!O22</f>
        <v>26</v>
      </c>
      <c r="E22" s="48">
        <f>'VAL 1 TRIM '!AB22</f>
        <v>31</v>
      </c>
      <c r="F22" s="48">
        <f>'VAL 1 TRIM '!AE22</f>
        <v>9</v>
      </c>
      <c r="G22" s="48">
        <f>'VAL 1 TRIM '!AE22</f>
        <v>9</v>
      </c>
      <c r="H22" s="100">
        <f>'VAL 1 TRIM '!AG22</f>
        <v>86</v>
      </c>
      <c r="I22" s="31">
        <f>'VAL 2 TRIM'!C22</f>
        <v>10</v>
      </c>
      <c r="J22" s="31">
        <f>'VAL 2 TRIM'!O22</f>
        <v>23</v>
      </c>
      <c r="K22" s="31">
        <f>'VAL 2 TRIM'!AB22</f>
        <v>15</v>
      </c>
      <c r="L22" s="31">
        <f>'VAL 2 TRIM'!AA22</f>
        <v>7</v>
      </c>
      <c r="M22" s="31">
        <f>'VAL 2 TRIM'!AE22</f>
        <v>6</v>
      </c>
      <c r="N22" s="100">
        <f>'VAL 2 TRIM'!AG22</f>
        <v>61</v>
      </c>
      <c r="O22" s="31">
        <f>'VAL 3 TRIM'!C22</f>
        <v>10</v>
      </c>
      <c r="P22" s="31">
        <f>'VAL 3 TRIM'!O22</f>
        <v>31</v>
      </c>
      <c r="Q22" s="31">
        <f>'VAL 3 TRIM'!AB22</f>
        <v>18</v>
      </c>
      <c r="R22" s="31">
        <f>'VAL 3 TRIM'!AA22</f>
        <v>7</v>
      </c>
      <c r="S22" s="48">
        <f>'VAL 3 TRIM'!AE22</f>
        <v>8</v>
      </c>
      <c r="T22" s="100">
        <f>'VAL 3 TRIM'!AG22</f>
        <v>74</v>
      </c>
      <c r="U22" s="101">
        <f t="shared" si="0"/>
        <v>73.666666666666671</v>
      </c>
      <c r="V22" s="102" t="str">
        <f t="shared" si="1"/>
        <v>APROBADO</v>
      </c>
      <c r="X22" s="103"/>
    </row>
    <row r="23" spans="1:24" ht="12" customHeight="1" x14ac:dyDescent="0.35">
      <c r="A23" s="59">
        <v>15</v>
      </c>
      <c r="B23" s="60" t="str">
        <f>'C. FILIACION'!B22</f>
        <v>RUEDA ALVAREZ GREGORY STEVEN</v>
      </c>
      <c r="C23" s="48">
        <f>'VAL 1 TRIM '!C23</f>
        <v>10</v>
      </c>
      <c r="D23" s="48">
        <f>'VAL 1 TRIM '!O23</f>
        <v>26</v>
      </c>
      <c r="E23" s="48">
        <f>'VAL 1 TRIM '!AB23</f>
        <v>30</v>
      </c>
      <c r="F23" s="48">
        <f>'VAL 1 TRIM '!AE23</f>
        <v>8</v>
      </c>
      <c r="G23" s="48">
        <f>'VAL 1 TRIM '!AE23</f>
        <v>8</v>
      </c>
      <c r="H23" s="100">
        <f>'VAL 1 TRIM '!AG23</f>
        <v>84</v>
      </c>
      <c r="I23" s="31">
        <f>'VAL 2 TRIM'!C23</f>
        <v>10</v>
      </c>
      <c r="J23" s="31">
        <f>'VAL 2 TRIM'!O23</f>
        <v>24</v>
      </c>
      <c r="K23" s="31">
        <f>'VAL 2 TRIM'!AB23</f>
        <v>14</v>
      </c>
      <c r="L23" s="31">
        <f>'VAL 2 TRIM'!AA23</f>
        <v>8</v>
      </c>
      <c r="M23" s="31">
        <f>'VAL 2 TRIM'!AE23</f>
        <v>8</v>
      </c>
      <c r="N23" s="100">
        <f>'VAL 2 TRIM'!AG23</f>
        <v>64</v>
      </c>
      <c r="O23" s="31">
        <f>'VAL 3 TRIM'!C23</f>
        <v>10</v>
      </c>
      <c r="P23" s="31">
        <f>'VAL 3 TRIM'!O23</f>
        <v>27</v>
      </c>
      <c r="Q23" s="31">
        <f>'VAL 3 TRIM'!AB23</f>
        <v>18</v>
      </c>
      <c r="R23" s="31">
        <f>'VAL 3 TRIM'!AA23</f>
        <v>6.4285714285714288</v>
      </c>
      <c r="S23" s="48">
        <f>'VAL 3 TRIM'!AE23</f>
        <v>8</v>
      </c>
      <c r="T23" s="100">
        <f>'VAL 3 TRIM'!AG23</f>
        <v>69.428571428571431</v>
      </c>
      <c r="U23" s="101">
        <f t="shared" si="0"/>
        <v>72.476190476190482</v>
      </c>
      <c r="V23" s="102" t="str">
        <f t="shared" si="1"/>
        <v>APROBADO</v>
      </c>
      <c r="X23" s="103"/>
    </row>
    <row r="24" spans="1:24" ht="12" customHeight="1" x14ac:dyDescent="0.35">
      <c r="A24" s="59">
        <v>16</v>
      </c>
      <c r="B24" s="189" t="str">
        <f>'C. FILIACION'!B23</f>
        <v>VARGAS JOYCE BELEN</v>
      </c>
      <c r="C24" s="155">
        <f>'VAL 1 TRIM '!C24</f>
        <v>3</v>
      </c>
      <c r="D24" s="155">
        <f>'VAL 1 TRIM '!O24</f>
        <v>15</v>
      </c>
      <c r="E24" s="155">
        <f>'VAL 1 TRIM '!AB24</f>
        <v>4</v>
      </c>
      <c r="F24" s="155">
        <f>'VAL 1 TRIM '!AE24</f>
        <v>4</v>
      </c>
      <c r="G24" s="155">
        <f>'VAL 1 TRIM '!AE24</f>
        <v>4</v>
      </c>
      <c r="H24" s="230">
        <f>'VAL 1 TRIM '!AG24</f>
        <v>30</v>
      </c>
      <c r="I24" s="197">
        <f>'VAL 2 TRIM'!C24</f>
        <v>10</v>
      </c>
      <c r="J24" s="197">
        <f>'VAL 2 TRIM'!O24</f>
        <v>7</v>
      </c>
      <c r="K24" s="197">
        <f>'VAL 2 TRIM'!AB24</f>
        <v>2</v>
      </c>
      <c r="L24" s="197">
        <f>'VAL 2 TRIM'!AA24</f>
        <v>10</v>
      </c>
      <c r="M24" s="197">
        <f>'VAL 2 TRIM'!AE24</f>
        <v>10</v>
      </c>
      <c r="N24" s="230">
        <f>'VAL 2 TRIM'!AG24</f>
        <v>39</v>
      </c>
      <c r="O24" s="197">
        <f>'VAL 3 TRIM'!C24</f>
        <v>0.83333333333333337</v>
      </c>
      <c r="P24" s="197">
        <f>'VAL 3 TRIM'!O24</f>
        <v>10</v>
      </c>
      <c r="Q24" s="197">
        <f>'VAL 3 TRIM'!AB24</f>
        <v>10</v>
      </c>
      <c r="R24" s="197">
        <f>'VAL 3 TRIM'!AA24</f>
        <v>2.8571428571428572</v>
      </c>
      <c r="S24" s="155">
        <f>'VAL 3 TRIM'!AE24</f>
        <v>0</v>
      </c>
      <c r="T24" s="230">
        <f>'VAL 3 TRIM'!AG24</f>
        <v>23.69047619047619</v>
      </c>
      <c r="U24" s="231">
        <f t="shared" si="0"/>
        <v>30.896825396825395</v>
      </c>
      <c r="V24" s="232" t="str">
        <f t="shared" si="1"/>
        <v>REPROBADO</v>
      </c>
      <c r="X24" s="103"/>
    </row>
    <row r="25" spans="1:24" ht="12" customHeight="1" x14ac:dyDescent="0.35">
      <c r="A25" s="59">
        <v>17</v>
      </c>
      <c r="B25" s="60" t="str">
        <f>'C. FILIACION'!B24</f>
        <v>ZURITA JIMENEZ ELMER ARTURO</v>
      </c>
      <c r="C25" s="48">
        <f>'VAL 1 TRIM '!C25</f>
        <v>10</v>
      </c>
      <c r="D25" s="48">
        <f>'VAL 1 TRIM '!O25</f>
        <v>25</v>
      </c>
      <c r="E25" s="48">
        <f>'VAL 1 TRIM '!AB25</f>
        <v>31</v>
      </c>
      <c r="F25" s="48">
        <f>'VAL 1 TRIM '!AE25</f>
        <v>7</v>
      </c>
      <c r="G25" s="48">
        <f>'VAL 1 TRIM '!AE25</f>
        <v>7</v>
      </c>
      <c r="H25" s="100">
        <f>'VAL 1 TRIM '!AG25</f>
        <v>83</v>
      </c>
      <c r="I25" s="31">
        <f>'VAL 2 TRIM'!C25</f>
        <v>10</v>
      </c>
      <c r="J25" s="31">
        <f>'VAL 2 TRIM'!O25</f>
        <v>26</v>
      </c>
      <c r="K25" s="31">
        <f>'VAL 2 TRIM'!AB25</f>
        <v>27</v>
      </c>
      <c r="L25" s="31">
        <f>'VAL 2 TRIM'!AA25</f>
        <v>9</v>
      </c>
      <c r="M25" s="31">
        <f>'VAL 2 TRIM'!AE25</f>
        <v>8</v>
      </c>
      <c r="N25" s="100">
        <f>'VAL 2 TRIM'!AG25</f>
        <v>80</v>
      </c>
      <c r="O25" s="31">
        <f>'VAL 3 TRIM'!C25</f>
        <v>10</v>
      </c>
      <c r="P25" s="31">
        <f>'VAL 3 TRIM'!O25</f>
        <v>29</v>
      </c>
      <c r="Q25" s="31">
        <f>'VAL 3 TRIM'!AB25</f>
        <v>27</v>
      </c>
      <c r="R25" s="31">
        <f>'VAL 3 TRIM'!AA25</f>
        <v>8</v>
      </c>
      <c r="S25" s="48">
        <f>'VAL 3 TRIM'!AE25</f>
        <v>8</v>
      </c>
      <c r="T25" s="100">
        <f>'VAL 3 TRIM'!AG25</f>
        <v>82</v>
      </c>
      <c r="U25" s="101">
        <f t="shared" si="0"/>
        <v>81.666666666666671</v>
      </c>
      <c r="V25" s="102" t="str">
        <f t="shared" si="1"/>
        <v>APROBADO</v>
      </c>
      <c r="X25" s="103"/>
    </row>
    <row r="26" spans="1:24" ht="12" customHeight="1" x14ac:dyDescent="0.35">
      <c r="A26" s="59">
        <v>18</v>
      </c>
      <c r="B26" s="187" t="str">
        <f>'C. FILIACION'!B25</f>
        <v>ADRIAN FLORES EDDY BEYMAR</v>
      </c>
      <c r="C26" s="162">
        <f>'VAL 1 TRIM '!C26</f>
        <v>2</v>
      </c>
      <c r="D26" s="162">
        <f>'VAL 1 TRIM '!O26</f>
        <v>12</v>
      </c>
      <c r="E26" s="162">
        <f>'VAL 1 TRIM '!AB26</f>
        <v>12</v>
      </c>
      <c r="F26" s="162">
        <f>'VAL 1 TRIM '!AE26</f>
        <v>2</v>
      </c>
      <c r="G26" s="162">
        <f>'VAL 1 TRIM '!AE26</f>
        <v>2</v>
      </c>
      <c r="H26" s="227">
        <f>'VAL 1 TRIM '!AG26</f>
        <v>30</v>
      </c>
      <c r="I26" s="185">
        <f>'VAL 2 TRIM'!C26</f>
        <v>5</v>
      </c>
      <c r="J26" s="185">
        <f>'VAL 2 TRIM'!O26</f>
        <v>23</v>
      </c>
      <c r="K26" s="185">
        <f>'VAL 2 TRIM'!AB26</f>
        <v>12</v>
      </c>
      <c r="L26" s="185">
        <f>'VAL 2 TRIM'!AA26</f>
        <v>5</v>
      </c>
      <c r="M26" s="185">
        <f>'VAL 2 TRIM'!AE26</f>
        <v>6</v>
      </c>
      <c r="N26" s="227">
        <f>'VAL 2 TRIM'!AG26</f>
        <v>51</v>
      </c>
      <c r="O26" s="185">
        <f>'VAL 3 TRIM'!C26</f>
        <v>2.3529411764705883</v>
      </c>
      <c r="P26" s="185">
        <f>'VAL 3 TRIM'!O26</f>
        <v>12</v>
      </c>
      <c r="Q26" s="185">
        <f>'VAL 3 TRIM'!AB26</f>
        <v>10</v>
      </c>
      <c r="R26" s="185">
        <f>'VAL 3 TRIM'!AA26</f>
        <v>3.1428571428571428</v>
      </c>
      <c r="S26" s="162">
        <f>'VAL 3 TRIM'!AE26</f>
        <v>5</v>
      </c>
      <c r="T26" s="227">
        <f>'VAL 3 TRIM'!AG26</f>
        <v>32.495798319327733</v>
      </c>
      <c r="U26" s="228">
        <f t="shared" si="0"/>
        <v>37.831932773109244</v>
      </c>
      <c r="V26" s="229" t="str">
        <f t="shared" si="1"/>
        <v>REPROBADO</v>
      </c>
      <c r="X26" s="103"/>
    </row>
    <row r="27" spans="1:24" ht="12" customHeight="1" x14ac:dyDescent="0.35">
      <c r="A27" s="59">
        <v>19</v>
      </c>
      <c r="B27" s="60" t="str">
        <f>'C. FILIACION'!B26</f>
        <v>VENTURA CHOQUE DANELY KEYLA</v>
      </c>
      <c r="C27" s="48">
        <f>'VAL 1 TRIM '!C27</f>
        <v>10</v>
      </c>
      <c r="D27" s="48" t="str">
        <f>'VAL 1 TRIM '!O27</f>
        <v/>
      </c>
      <c r="E27" s="48" t="str">
        <f>'VAL 1 TRIM '!AB27</f>
        <v/>
      </c>
      <c r="F27" s="48">
        <f>'VAL 1 TRIM '!AE27</f>
        <v>10</v>
      </c>
      <c r="G27" s="48">
        <f>'VAL 1 TRIM '!AE27</f>
        <v>10</v>
      </c>
      <c r="H27" s="100">
        <f>'VAL 1 TRIM '!AG27</f>
        <v>67</v>
      </c>
      <c r="I27" s="31">
        <f>'VAL 2 TRIM'!C27</f>
        <v>9</v>
      </c>
      <c r="J27" s="31">
        <f>'VAL 2 TRIM'!O27</f>
        <v>23</v>
      </c>
      <c r="K27" s="31">
        <f>'VAL 2 TRIM'!AB27</f>
        <v>21</v>
      </c>
      <c r="L27" s="31">
        <f>'VAL 2 TRIM'!AA27</f>
        <v>6</v>
      </c>
      <c r="M27" s="31">
        <f>'VAL 2 TRIM'!AE27</f>
        <v>8</v>
      </c>
      <c r="N27" s="100">
        <f>'VAL 2 TRIM'!AG27</f>
        <v>67</v>
      </c>
      <c r="O27" s="31">
        <f>'VAL 3 TRIM'!C27</f>
        <v>10</v>
      </c>
      <c r="P27" s="31">
        <f>'VAL 3 TRIM'!O27</f>
        <v>28</v>
      </c>
      <c r="Q27" s="31">
        <f>'VAL 3 TRIM'!AB27</f>
        <v>27</v>
      </c>
      <c r="R27" s="31">
        <f>'VAL 3 TRIM'!AA27</f>
        <v>7.8571428571428568</v>
      </c>
      <c r="S27" s="48">
        <f>'VAL 3 TRIM'!AE27</f>
        <v>8</v>
      </c>
      <c r="T27" s="100">
        <f>'VAL 3 TRIM'!AG27</f>
        <v>80.857142857142861</v>
      </c>
      <c r="U27" s="101">
        <f t="shared" si="0"/>
        <v>71.61904761904762</v>
      </c>
      <c r="V27" s="102" t="str">
        <f t="shared" si="1"/>
        <v>APROBADO</v>
      </c>
      <c r="X27" s="103"/>
    </row>
    <row r="28" spans="1:24" ht="12" customHeight="1" x14ac:dyDescent="0.35">
      <c r="A28" s="59">
        <v>20</v>
      </c>
      <c r="B28" s="60">
        <f>'C. FILIACION'!B27</f>
        <v>0</v>
      </c>
      <c r="C28" s="48">
        <f>'VAL 1 TRIM '!C28</f>
        <v>10</v>
      </c>
      <c r="D28" s="48">
        <f>'VAL 1 TRIM '!O28</f>
        <v>35</v>
      </c>
      <c r="E28" s="48">
        <f>'VAL 1 TRIM '!AB28</f>
        <v>35</v>
      </c>
      <c r="F28" s="48">
        <f>'VAL 1 TRIM '!AE28</f>
        <v>10</v>
      </c>
      <c r="G28" s="48">
        <f>'VAL 1 TRIM '!AE28</f>
        <v>10</v>
      </c>
      <c r="H28" s="100">
        <f>'VAL 1 TRIM '!AG28</f>
        <v>100</v>
      </c>
      <c r="I28" s="31">
        <f>'VAL 2 TRIM'!C28</f>
        <v>10</v>
      </c>
      <c r="J28" s="31">
        <f>'VAL 2 TRIM'!O28</f>
        <v>35</v>
      </c>
      <c r="K28" s="31">
        <f>'VAL 2 TRIM'!AB28</f>
        <v>35</v>
      </c>
      <c r="L28" s="31">
        <f>'VAL 2 TRIM'!AA28</f>
        <v>10</v>
      </c>
      <c r="M28" s="31">
        <f>'VAL 2 TRIM'!AE28</f>
        <v>10</v>
      </c>
      <c r="N28" s="100">
        <f>'VAL 2 TRIM'!AG28</f>
        <v>100</v>
      </c>
      <c r="O28" s="31">
        <f>'VAL 3 TRIM'!C28</f>
        <v>10</v>
      </c>
      <c r="P28" s="31">
        <f>'VAL 3 TRIM'!O28</f>
        <v>35</v>
      </c>
      <c r="Q28" s="31">
        <f>'VAL 3 TRIM'!AB28</f>
        <v>35</v>
      </c>
      <c r="R28" s="31">
        <f>'VAL 3 TRIM'!AA28</f>
        <v>10</v>
      </c>
      <c r="S28" s="48">
        <f>'VAL 3 TRIM'!AE28</f>
        <v>10</v>
      </c>
      <c r="T28" s="100">
        <f>'VAL 3 TRIM'!AG28</f>
        <v>100</v>
      </c>
      <c r="U28" s="101">
        <f t="shared" si="0"/>
        <v>100</v>
      </c>
      <c r="V28" s="102" t="str">
        <f t="shared" si="1"/>
        <v>APROBADO</v>
      </c>
      <c r="W28" s="103"/>
      <c r="X28" s="103"/>
    </row>
    <row r="29" spans="1:24" ht="12" customHeight="1" x14ac:dyDescent="0.35">
      <c r="A29" s="59">
        <v>21</v>
      </c>
      <c r="B29" s="60">
        <f>'C. FILIACION'!B28</f>
        <v>0</v>
      </c>
      <c r="C29" s="48">
        <f>'VAL 1 TRIM '!C29</f>
        <v>10</v>
      </c>
      <c r="D29" s="48">
        <f>'VAL 1 TRIM '!O29</f>
        <v>35</v>
      </c>
      <c r="E29" s="48">
        <f>'VAL 1 TRIM '!AB29</f>
        <v>35</v>
      </c>
      <c r="F29" s="48">
        <f>'VAL 1 TRIM '!AE29</f>
        <v>10</v>
      </c>
      <c r="G29" s="48">
        <f>'VAL 1 TRIM '!AE29</f>
        <v>10</v>
      </c>
      <c r="H29" s="100">
        <f>'VAL 1 TRIM '!AG29</f>
        <v>100</v>
      </c>
      <c r="I29" s="31">
        <f>'VAL 2 TRIM'!C29</f>
        <v>10</v>
      </c>
      <c r="J29" s="31">
        <f>'VAL 2 TRIM'!O29</f>
        <v>35</v>
      </c>
      <c r="K29" s="31">
        <f>'VAL 2 TRIM'!AB29</f>
        <v>35</v>
      </c>
      <c r="L29" s="31">
        <f>'VAL 2 TRIM'!AA29</f>
        <v>10</v>
      </c>
      <c r="M29" s="31">
        <f>'VAL 2 TRIM'!AE29</f>
        <v>10</v>
      </c>
      <c r="N29" s="100">
        <f>'VAL 2 TRIM'!AG29</f>
        <v>100</v>
      </c>
      <c r="O29" s="31">
        <f>'VAL 3 TRIM'!C29</f>
        <v>10</v>
      </c>
      <c r="P29" s="31">
        <f>'VAL 3 TRIM'!O29</f>
        <v>35</v>
      </c>
      <c r="Q29" s="31">
        <f>'VAL 3 TRIM'!AB29</f>
        <v>35</v>
      </c>
      <c r="R29" s="31">
        <f>'VAL 3 TRIM'!AA29</f>
        <v>10</v>
      </c>
      <c r="S29" s="48">
        <f>'VAL 3 TRIM'!AE29</f>
        <v>10</v>
      </c>
      <c r="T29" s="100">
        <f>'VAL 3 TRIM'!AG29</f>
        <v>100</v>
      </c>
      <c r="U29" s="101">
        <f t="shared" si="0"/>
        <v>100</v>
      </c>
      <c r="V29" s="102" t="str">
        <f t="shared" si="1"/>
        <v>APROBADO</v>
      </c>
      <c r="W29" s="103"/>
      <c r="X29" s="103"/>
    </row>
    <row r="30" spans="1:24" ht="12" customHeight="1" x14ac:dyDescent="0.35">
      <c r="A30" s="59">
        <v>22</v>
      </c>
      <c r="B30" s="60">
        <f>'C. FILIACION'!B29</f>
        <v>0</v>
      </c>
      <c r="C30" s="48">
        <f>'VAL 1 TRIM '!C30</f>
        <v>10</v>
      </c>
      <c r="D30" s="48">
        <f>'VAL 1 TRIM '!O30</f>
        <v>35</v>
      </c>
      <c r="E30" s="48">
        <f>'VAL 1 TRIM '!AB30</f>
        <v>35</v>
      </c>
      <c r="F30" s="48">
        <f>'VAL 1 TRIM '!AE30</f>
        <v>10</v>
      </c>
      <c r="G30" s="48">
        <f>'VAL 1 TRIM '!AE30</f>
        <v>10</v>
      </c>
      <c r="H30" s="100">
        <f>'VAL 1 TRIM '!AG30</f>
        <v>100</v>
      </c>
      <c r="I30" s="31">
        <f>'VAL 2 TRIM'!C30</f>
        <v>10</v>
      </c>
      <c r="J30" s="31">
        <f>'VAL 2 TRIM'!O30</f>
        <v>35</v>
      </c>
      <c r="K30" s="31">
        <f>'VAL 2 TRIM'!AB30</f>
        <v>35</v>
      </c>
      <c r="L30" s="31">
        <f>'VAL 2 TRIM'!AA30</f>
        <v>10</v>
      </c>
      <c r="M30" s="31">
        <f>'VAL 2 TRIM'!AE30</f>
        <v>10</v>
      </c>
      <c r="N30" s="100">
        <f>'VAL 2 TRIM'!AG30</f>
        <v>100</v>
      </c>
      <c r="O30" s="31">
        <f>'VAL 3 TRIM'!C30</f>
        <v>10</v>
      </c>
      <c r="P30" s="31">
        <f>'VAL 3 TRIM'!O30</f>
        <v>35</v>
      </c>
      <c r="Q30" s="31">
        <f>'VAL 3 TRIM'!AB30</f>
        <v>35</v>
      </c>
      <c r="R30" s="31">
        <f>'VAL 3 TRIM'!AA30</f>
        <v>10</v>
      </c>
      <c r="S30" s="48">
        <f>'VAL 3 TRIM'!AE30</f>
        <v>10</v>
      </c>
      <c r="T30" s="100">
        <f>'VAL 3 TRIM'!AG30</f>
        <v>100</v>
      </c>
      <c r="U30" s="101">
        <f t="shared" si="0"/>
        <v>100</v>
      </c>
      <c r="V30" s="102" t="str">
        <f t="shared" si="1"/>
        <v>APROBADO</v>
      </c>
      <c r="W30" s="103"/>
      <c r="X30" s="103"/>
    </row>
    <row r="31" spans="1:24" ht="12" customHeight="1" x14ac:dyDescent="0.35">
      <c r="A31" s="59">
        <v>23</v>
      </c>
      <c r="B31" s="60">
        <f>'C. FILIACION'!B30</f>
        <v>0</v>
      </c>
      <c r="C31" s="48">
        <f>'VAL 1 TRIM '!C31</f>
        <v>10</v>
      </c>
      <c r="D31" s="48">
        <f>'VAL 1 TRIM '!O31</f>
        <v>35</v>
      </c>
      <c r="E31" s="48">
        <f>'VAL 1 TRIM '!AB31</f>
        <v>35</v>
      </c>
      <c r="F31" s="48">
        <f>'VAL 1 TRIM '!AE31</f>
        <v>10</v>
      </c>
      <c r="G31" s="48">
        <f>'VAL 1 TRIM '!AE31</f>
        <v>10</v>
      </c>
      <c r="H31" s="100">
        <f>'VAL 1 TRIM '!AG31</f>
        <v>100</v>
      </c>
      <c r="I31" s="31">
        <f>'VAL 2 TRIM'!C31</f>
        <v>10</v>
      </c>
      <c r="J31" s="31">
        <f>'VAL 2 TRIM'!O31</f>
        <v>35</v>
      </c>
      <c r="K31" s="31">
        <f>'VAL 2 TRIM'!AB31</f>
        <v>35</v>
      </c>
      <c r="L31" s="31">
        <f>'VAL 2 TRIM'!AA31</f>
        <v>10</v>
      </c>
      <c r="M31" s="31">
        <f>'VAL 2 TRIM'!AE31</f>
        <v>10</v>
      </c>
      <c r="N31" s="100">
        <f>'VAL 2 TRIM'!AG31</f>
        <v>100</v>
      </c>
      <c r="O31" s="31">
        <f>'VAL 3 TRIM'!C31</f>
        <v>10</v>
      </c>
      <c r="P31" s="31">
        <f>'VAL 3 TRIM'!O31</f>
        <v>35</v>
      </c>
      <c r="Q31" s="31">
        <f>'VAL 3 TRIM'!AB31</f>
        <v>35</v>
      </c>
      <c r="R31" s="31">
        <f>'VAL 3 TRIM'!AA31</f>
        <v>10</v>
      </c>
      <c r="S31" s="48">
        <f>'VAL 3 TRIM'!AE31</f>
        <v>10</v>
      </c>
      <c r="T31" s="100">
        <f>'VAL 3 TRIM'!AG31</f>
        <v>100</v>
      </c>
      <c r="U31" s="101">
        <f t="shared" si="0"/>
        <v>100</v>
      </c>
      <c r="V31" s="102" t="str">
        <f t="shared" si="1"/>
        <v>APROBADO</v>
      </c>
      <c r="W31" s="103"/>
      <c r="X31" s="103"/>
    </row>
    <row r="32" spans="1:24" ht="12" customHeight="1" x14ac:dyDescent="0.35">
      <c r="A32" s="59">
        <v>24</v>
      </c>
      <c r="B32" s="60">
        <f>'C. FILIACION'!B31</f>
        <v>0</v>
      </c>
      <c r="C32" s="48">
        <f>'VAL 1 TRIM '!C32</f>
        <v>10</v>
      </c>
      <c r="D32" s="48">
        <f>'VAL 1 TRIM '!O32</f>
        <v>35</v>
      </c>
      <c r="E32" s="48">
        <f>'VAL 1 TRIM '!AB32</f>
        <v>35</v>
      </c>
      <c r="F32" s="48">
        <f>'VAL 1 TRIM '!AE32</f>
        <v>10</v>
      </c>
      <c r="G32" s="48">
        <f>'VAL 1 TRIM '!AE32</f>
        <v>10</v>
      </c>
      <c r="H32" s="100">
        <f>'VAL 1 TRIM '!AG32</f>
        <v>100</v>
      </c>
      <c r="I32" s="31">
        <f>'VAL 2 TRIM'!C32</f>
        <v>10</v>
      </c>
      <c r="J32" s="31">
        <f>'VAL 2 TRIM'!O32</f>
        <v>35</v>
      </c>
      <c r="K32" s="31">
        <f>'VAL 2 TRIM'!AB32</f>
        <v>35</v>
      </c>
      <c r="L32" s="31">
        <f>'VAL 2 TRIM'!AA32</f>
        <v>10</v>
      </c>
      <c r="M32" s="31">
        <f>'VAL 2 TRIM'!AE32</f>
        <v>10</v>
      </c>
      <c r="N32" s="100">
        <f>'VAL 2 TRIM'!AG32</f>
        <v>100</v>
      </c>
      <c r="O32" s="31">
        <f>'VAL 3 TRIM'!C32</f>
        <v>10</v>
      </c>
      <c r="P32" s="31">
        <f>'VAL 3 TRIM'!O32</f>
        <v>35</v>
      </c>
      <c r="Q32" s="31">
        <f>'VAL 3 TRIM'!AB32</f>
        <v>35</v>
      </c>
      <c r="R32" s="31">
        <f>'VAL 3 TRIM'!AA32</f>
        <v>10</v>
      </c>
      <c r="S32" s="48">
        <f>'VAL 3 TRIM'!AE32</f>
        <v>10</v>
      </c>
      <c r="T32" s="100">
        <f>'VAL 3 TRIM'!AG32</f>
        <v>100</v>
      </c>
      <c r="U32" s="101">
        <f t="shared" si="0"/>
        <v>100</v>
      </c>
      <c r="V32" s="102" t="str">
        <f t="shared" si="1"/>
        <v>APROBADO</v>
      </c>
      <c r="W32" s="103"/>
      <c r="X32" s="103"/>
    </row>
    <row r="33" spans="1:24" ht="12" customHeight="1" x14ac:dyDescent="0.35">
      <c r="A33" s="59">
        <v>25</v>
      </c>
      <c r="B33" s="60">
        <f>'C. FILIACION'!B32</f>
        <v>0</v>
      </c>
      <c r="C33" s="48">
        <f>'VAL 1 TRIM '!C33</f>
        <v>10</v>
      </c>
      <c r="D33" s="48">
        <f>'VAL 1 TRIM '!O33</f>
        <v>35</v>
      </c>
      <c r="E33" s="48">
        <f>'VAL 1 TRIM '!AB33</f>
        <v>35</v>
      </c>
      <c r="F33" s="48">
        <f>'VAL 1 TRIM '!AE33</f>
        <v>10</v>
      </c>
      <c r="G33" s="48">
        <f>'VAL 1 TRIM '!AE33</f>
        <v>10</v>
      </c>
      <c r="H33" s="100">
        <f>'VAL 1 TRIM '!AG33</f>
        <v>100</v>
      </c>
      <c r="I33" s="31">
        <f>'VAL 2 TRIM'!C33</f>
        <v>10</v>
      </c>
      <c r="J33" s="31">
        <f>'VAL 2 TRIM'!O33</f>
        <v>35</v>
      </c>
      <c r="K33" s="31">
        <f>'VAL 2 TRIM'!AB33</f>
        <v>35</v>
      </c>
      <c r="L33" s="31">
        <f>'VAL 2 TRIM'!AA33</f>
        <v>10</v>
      </c>
      <c r="M33" s="31">
        <f>'VAL 2 TRIM'!AE33</f>
        <v>10</v>
      </c>
      <c r="N33" s="100">
        <f>'VAL 2 TRIM'!AG33</f>
        <v>100</v>
      </c>
      <c r="O33" s="31">
        <f>'VAL 3 TRIM'!C33</f>
        <v>10</v>
      </c>
      <c r="P33" s="31">
        <f>'VAL 3 TRIM'!O33</f>
        <v>35</v>
      </c>
      <c r="Q33" s="31">
        <f>'VAL 3 TRIM'!AB33</f>
        <v>35</v>
      </c>
      <c r="R33" s="31">
        <f>'VAL 3 TRIM'!AA33</f>
        <v>10</v>
      </c>
      <c r="S33" s="48">
        <f>'VAL 3 TRIM'!AE33</f>
        <v>10</v>
      </c>
      <c r="T33" s="100">
        <f>'VAL 3 TRIM'!AG33</f>
        <v>100</v>
      </c>
      <c r="U33" s="101">
        <f t="shared" si="0"/>
        <v>100</v>
      </c>
      <c r="V33" s="102" t="str">
        <f t="shared" si="1"/>
        <v>APROBADO</v>
      </c>
      <c r="W33" s="103"/>
      <c r="X33" s="103"/>
    </row>
    <row r="34" spans="1:24" ht="12" customHeight="1" x14ac:dyDescent="0.35">
      <c r="A34" s="59">
        <v>26</v>
      </c>
      <c r="B34" s="60">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f>'VAL 2 TRIM'!O34</f>
        <v>35</v>
      </c>
      <c r="K34" s="31">
        <f>'VAL 2 TRIM'!AB34</f>
        <v>35</v>
      </c>
      <c r="L34" s="31">
        <f>'VAL 2 TRIM'!AA34</f>
        <v>10</v>
      </c>
      <c r="M34" s="31">
        <f>'VAL 2 TRIM'!AE34</f>
        <v>10</v>
      </c>
      <c r="N34" s="100">
        <f>'VAL 2 TRIM'!AG34</f>
        <v>100</v>
      </c>
      <c r="O34" s="31">
        <f>'VAL 3 TRIM'!C34</f>
        <v>10</v>
      </c>
      <c r="P34" s="31">
        <f>'VAL 3 TRIM'!O34</f>
        <v>35</v>
      </c>
      <c r="Q34" s="31">
        <f>'VAL 3 TRIM'!AB34</f>
        <v>35</v>
      </c>
      <c r="R34" s="31">
        <f>'VAL 3 TRIM'!AA34</f>
        <v>10</v>
      </c>
      <c r="S34" s="48">
        <f>'VAL 3 TRIM'!AE34</f>
        <v>10</v>
      </c>
      <c r="T34" s="100">
        <f>'VAL 3 TRIM'!AG34</f>
        <v>100</v>
      </c>
      <c r="U34" s="101">
        <f t="shared" si="0"/>
        <v>100</v>
      </c>
      <c r="V34" s="102" t="str">
        <f t="shared" si="1"/>
        <v>APROBADO</v>
      </c>
      <c r="W34" s="103"/>
      <c r="X34" s="103"/>
    </row>
    <row r="35" spans="1:24" ht="12" customHeight="1" x14ac:dyDescent="0.35">
      <c r="A35" s="59">
        <v>27</v>
      </c>
      <c r="B35" s="60">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f>'VAL 2 TRIM'!O35</f>
        <v>35</v>
      </c>
      <c r="K35" s="31">
        <f>'VAL 2 TRIM'!AB35</f>
        <v>35</v>
      </c>
      <c r="L35" s="31">
        <f>'VAL 2 TRIM'!AA35</f>
        <v>10</v>
      </c>
      <c r="M35" s="31">
        <f>'VAL 2 TRIM'!AE35</f>
        <v>10</v>
      </c>
      <c r="N35" s="100">
        <f>'VAL 2 TRIM'!AG35</f>
        <v>100</v>
      </c>
      <c r="O35" s="31">
        <f>'VAL 3 TRIM'!C35</f>
        <v>10</v>
      </c>
      <c r="P35" s="31">
        <f>'VAL 3 TRIM'!O35</f>
        <v>35</v>
      </c>
      <c r="Q35" s="31">
        <f>'VAL 3 TRIM'!AB35</f>
        <v>35</v>
      </c>
      <c r="R35" s="31">
        <f>'VAL 3 TRIM'!AA35</f>
        <v>10</v>
      </c>
      <c r="S35" s="48">
        <f>'VAL 3 TRIM'!AE35</f>
        <v>10</v>
      </c>
      <c r="T35" s="100">
        <f>'VAL 3 TRIM'!AG35</f>
        <v>100</v>
      </c>
      <c r="U35" s="101">
        <f t="shared" si="0"/>
        <v>100</v>
      </c>
      <c r="V35" s="102" t="str">
        <f t="shared" si="1"/>
        <v>APROBADO</v>
      </c>
      <c r="W35" s="103"/>
      <c r="X35" s="103"/>
    </row>
    <row r="36" spans="1:24" ht="12" customHeight="1" x14ac:dyDescent="0.35">
      <c r="A36" s="59">
        <v>28</v>
      </c>
      <c r="B36" s="60">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f>'VAL 2 TRIM'!O36</f>
        <v>35</v>
      </c>
      <c r="K36" s="31">
        <f>'VAL 2 TRIM'!AB36</f>
        <v>35</v>
      </c>
      <c r="L36" s="31">
        <f>'VAL 2 TRIM'!AA36</f>
        <v>10</v>
      </c>
      <c r="M36" s="31">
        <f>'VAL 2 TRIM'!AE36</f>
        <v>10</v>
      </c>
      <c r="N36" s="100">
        <f>'VAL 2 TRIM'!AG36</f>
        <v>100</v>
      </c>
      <c r="O36" s="31">
        <f>'VAL 3 TRIM'!C36</f>
        <v>10</v>
      </c>
      <c r="P36" s="31">
        <f>'VAL 3 TRIM'!O36</f>
        <v>35</v>
      </c>
      <c r="Q36" s="31">
        <f>'VAL 3 TRIM'!AB36</f>
        <v>35</v>
      </c>
      <c r="R36" s="31">
        <f>'VAL 3 TRIM'!AA36</f>
        <v>10</v>
      </c>
      <c r="S36" s="48">
        <f>'VAL 3 TRIM'!AE36</f>
        <v>10</v>
      </c>
      <c r="T36" s="100">
        <f>'VAL 3 TRIM'!AG36</f>
        <v>100</v>
      </c>
      <c r="U36" s="101">
        <f t="shared" si="0"/>
        <v>100</v>
      </c>
      <c r="V36" s="102" t="str">
        <f t="shared" si="1"/>
        <v>APROBADO</v>
      </c>
      <c r="W36" s="103"/>
      <c r="X36" s="103"/>
    </row>
    <row r="37" spans="1:24" ht="12" customHeight="1" x14ac:dyDescent="0.35">
      <c r="A37" s="59">
        <v>29</v>
      </c>
      <c r="B37" s="60">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f>'VAL 2 TRIM'!O37</f>
        <v>35</v>
      </c>
      <c r="K37" s="31">
        <f>'VAL 2 TRIM'!AB37</f>
        <v>35</v>
      </c>
      <c r="L37" s="31">
        <f>'VAL 2 TRIM'!AA37</f>
        <v>10</v>
      </c>
      <c r="M37" s="31">
        <f>'VAL 2 TRIM'!AE37</f>
        <v>10</v>
      </c>
      <c r="N37" s="100">
        <f>'VAL 2 TRIM'!AG37</f>
        <v>100</v>
      </c>
      <c r="O37" s="31">
        <f>'VAL 3 TRIM'!C37</f>
        <v>10</v>
      </c>
      <c r="P37" s="31">
        <f>'VAL 3 TRIM'!O37</f>
        <v>35</v>
      </c>
      <c r="Q37" s="31">
        <f>'VAL 3 TRIM'!AB37</f>
        <v>35</v>
      </c>
      <c r="R37" s="31">
        <f>'VAL 3 TRIM'!AA37</f>
        <v>10</v>
      </c>
      <c r="S37" s="48">
        <f>'VAL 3 TRIM'!AE37</f>
        <v>10</v>
      </c>
      <c r="T37" s="100">
        <f>'VAL 3 TRIM'!AG37</f>
        <v>100</v>
      </c>
      <c r="U37" s="101">
        <f t="shared" si="0"/>
        <v>100</v>
      </c>
      <c r="V37" s="102" t="str">
        <f t="shared" si="1"/>
        <v>APROBADO</v>
      </c>
      <c r="W37" s="103"/>
      <c r="X37" s="103"/>
    </row>
    <row r="38" spans="1:24" ht="12" customHeight="1" x14ac:dyDescent="0.35">
      <c r="A38" s="59">
        <v>30</v>
      </c>
      <c r="B38" s="60">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5">
      <c r="A39" s="59">
        <v>31</v>
      </c>
      <c r="B39" s="60">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5">
      <c r="A40" s="59">
        <v>32</v>
      </c>
      <c r="B40" s="60">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5">
      <c r="A41" s="59">
        <v>33</v>
      </c>
      <c r="B41" s="60">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5">
      <c r="A42" s="59">
        <v>34</v>
      </c>
      <c r="B42" s="60">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5">
      <c r="A43" s="59">
        <v>35</v>
      </c>
      <c r="B43" s="60">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5">
      <c r="A44" s="59">
        <v>36</v>
      </c>
      <c r="B44" s="60">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328125" defaultRowHeight="15" customHeight="1" x14ac:dyDescent="0.35"/>
  <cols>
    <col min="1" max="1" width="1.6640625" customWidth="1"/>
    <col min="2" max="2" width="20.6640625" customWidth="1"/>
    <col min="3" max="6" width="3.6640625" customWidth="1"/>
    <col min="7" max="7" width="9" customWidth="1"/>
    <col min="8" max="8" width="1.1328125" customWidth="1"/>
    <col min="9" max="11" width="3.6640625" customWidth="1"/>
    <col min="12" max="13" width="4.6640625" customWidth="1"/>
    <col min="14" max="26" width="8.73046875" customWidth="1"/>
  </cols>
  <sheetData>
    <row r="1" spans="1:13" ht="4.5" customHeight="1" x14ac:dyDescent="0.35"/>
    <row r="2" spans="1:13" ht="12.75" customHeight="1" x14ac:dyDescent="0.35">
      <c r="B2" s="252" t="s">
        <v>103</v>
      </c>
      <c r="C2" s="248"/>
      <c r="D2" s="248"/>
      <c r="E2" s="248"/>
      <c r="F2" s="248"/>
      <c r="G2" s="248"/>
      <c r="H2" s="248"/>
      <c r="I2" s="73"/>
      <c r="J2" s="73"/>
      <c r="K2" s="73"/>
      <c r="L2" s="73"/>
      <c r="M2" s="73"/>
    </row>
    <row r="3" spans="1:13" ht="12.75" customHeight="1" x14ac:dyDescent="0.35">
      <c r="B3" s="38" t="s">
        <v>8</v>
      </c>
      <c r="C3" s="39" t="str">
        <f>CARÁTULA!$C$15</f>
        <v>Instituto Tecnico Humanistico Jauzel Arrieta</v>
      </c>
      <c r="D3" s="41"/>
      <c r="E3" s="42"/>
      <c r="F3" s="42"/>
      <c r="G3" s="42"/>
      <c r="H3" s="42"/>
      <c r="I3" s="42"/>
      <c r="J3" s="38" t="s">
        <v>19</v>
      </c>
      <c r="K3" s="105"/>
      <c r="L3" s="39" t="str">
        <f>CARÁTULA!$C$25</f>
        <v>Tec. Tecnologica Programacion Visual</v>
      </c>
      <c r="M3" s="105"/>
    </row>
    <row r="4" spans="1:13" ht="12.75" customHeight="1" x14ac:dyDescent="0.35">
      <c r="B4" s="38" t="s">
        <v>14</v>
      </c>
      <c r="C4" s="39" t="str">
        <f>CARÁTULA!$C$21</f>
        <v>Secundaria</v>
      </c>
      <c r="D4" s="41"/>
      <c r="E4" s="40"/>
      <c r="F4" s="39"/>
      <c r="G4" s="40"/>
      <c r="H4" s="40"/>
      <c r="I4" s="40"/>
      <c r="J4" s="38" t="s">
        <v>52</v>
      </c>
      <c r="K4" s="105"/>
      <c r="L4" s="39" t="str">
        <f>CARÁTULA!$C$19</f>
        <v>JOSÉ COAQUIRA COPA</v>
      </c>
      <c r="M4" s="105"/>
    </row>
    <row r="5" spans="1:13" ht="12.75" customHeight="1" x14ac:dyDescent="0.35">
      <c r="B5" s="38" t="s">
        <v>22</v>
      </c>
      <c r="C5" s="39" t="str">
        <f>CARÁTULA!$C$23</f>
        <v>6to de Secundaria</v>
      </c>
      <c r="D5" s="38"/>
      <c r="E5" s="44"/>
      <c r="F5" s="344"/>
      <c r="G5" s="326"/>
      <c r="H5" s="44"/>
      <c r="I5" s="44"/>
      <c r="J5" s="38" t="s">
        <v>23</v>
      </c>
      <c r="K5" s="105"/>
      <c r="L5" s="266">
        <f ca="1">TODAY()</f>
        <v>44543</v>
      </c>
      <c r="M5" s="248"/>
    </row>
    <row r="6" spans="1:13" ht="12.75" customHeight="1" x14ac:dyDescent="0.35">
      <c r="B6" s="38"/>
      <c r="C6" s="345" t="s">
        <v>108</v>
      </c>
      <c r="D6" s="302"/>
      <c r="E6" s="303"/>
      <c r="F6" s="341" t="s">
        <v>104</v>
      </c>
      <c r="G6" s="337" t="s">
        <v>105</v>
      </c>
      <c r="H6" s="68"/>
      <c r="I6" s="68"/>
    </row>
    <row r="7" spans="1:13" ht="12" customHeight="1" x14ac:dyDescent="0.35">
      <c r="B7" s="47"/>
      <c r="C7" s="342" t="s">
        <v>4</v>
      </c>
      <c r="D7" s="342" t="s">
        <v>109</v>
      </c>
      <c r="E7" s="343" t="s">
        <v>16</v>
      </c>
      <c r="F7" s="338"/>
      <c r="G7" s="338"/>
      <c r="H7" s="40"/>
      <c r="I7" s="40"/>
    </row>
    <row r="8" spans="1:13" ht="67.5" customHeight="1" x14ac:dyDescent="0.35">
      <c r="A8" s="48" t="s">
        <v>55</v>
      </c>
      <c r="B8" s="49" t="s">
        <v>56</v>
      </c>
      <c r="C8" s="316"/>
      <c r="D8" s="316"/>
      <c r="E8" s="316"/>
      <c r="F8" s="316"/>
      <c r="G8" s="316"/>
      <c r="H8" s="99"/>
      <c r="I8" s="99" t="s">
        <v>110</v>
      </c>
      <c r="J8" s="99" t="s">
        <v>111</v>
      </c>
      <c r="K8" s="99" t="s">
        <v>112</v>
      </c>
    </row>
    <row r="9" spans="1:13" ht="12" customHeight="1" x14ac:dyDescent="0.35">
      <c r="A9" s="59">
        <v>1</v>
      </c>
      <c r="B9" s="60" t="str">
        <f>'C. FILIACION'!B8</f>
        <v>ALTAMIRANO RAMOS ESTEFANI MILENKA</v>
      </c>
      <c r="C9" s="100">
        <f>'VAL 1 TRIM '!AG9</f>
        <v>88</v>
      </c>
      <c r="D9" s="100">
        <f>'VAL 2 TRIM'!AG9</f>
        <v>84</v>
      </c>
      <c r="E9" s="100">
        <f>'VAL 3 TRIM'!AG9</f>
        <v>91.69747899159664</v>
      </c>
      <c r="F9" s="101">
        <f>'CENTRAL 1'!U9</f>
        <v>87.899159663865547</v>
      </c>
      <c r="G9" s="102" t="str">
        <f t="shared" ref="G9:G44" si="0">IF(F9="","",(IF(AND(F9&gt;=1,F9&lt;=50.499),"REPROBADO",IF(AND(F9&gt;=50.5,F9&lt;=100),"APROBADO"))))</f>
        <v>APROBADO</v>
      </c>
      <c r="H9" s="103"/>
      <c r="I9" s="31">
        <f>COUNTIF(C9:C44,"&gt;=51")</f>
        <v>33</v>
      </c>
      <c r="J9" s="106">
        <f>COUNTIF(D9:D44,"&gt;=51")</f>
        <v>33</v>
      </c>
      <c r="K9" s="106">
        <f>COUNTIF(E9:E44,"&gt;=51")</f>
        <v>32</v>
      </c>
    </row>
    <row r="10" spans="1:13" ht="12" customHeight="1" x14ac:dyDescent="0.35">
      <c r="A10" s="59">
        <v>2</v>
      </c>
      <c r="B10" s="60" t="str">
        <f>'C. FILIACION'!B9</f>
        <v>APAZA LINO TATIANA JAZMIN</v>
      </c>
      <c r="C10" s="100">
        <f>'VAL 1 TRIM '!AG10</f>
        <v>89</v>
      </c>
      <c r="D10" s="100">
        <f>'VAL 2 TRIM'!AG10</f>
        <v>93</v>
      </c>
      <c r="E10" s="100">
        <f>'VAL 3 TRIM'!AG10</f>
        <v>94.285714285714278</v>
      </c>
      <c r="F10" s="101">
        <f>'CENTRAL 1'!U10</f>
        <v>92.095238095238088</v>
      </c>
      <c r="G10" s="102" t="str">
        <f t="shared" si="0"/>
        <v>APROBADO</v>
      </c>
      <c r="H10" s="103"/>
      <c r="I10" s="107" t="s">
        <v>113</v>
      </c>
      <c r="J10" s="108"/>
    </row>
    <row r="11" spans="1:13" ht="12" customHeight="1" x14ac:dyDescent="0.35">
      <c r="A11" s="59">
        <v>3</v>
      </c>
      <c r="B11" s="60" t="str">
        <f>'C. FILIACION'!B10</f>
        <v>BOLAÑOS OVANDO MIJHAIL ALEXANDER</v>
      </c>
      <c r="C11" s="100">
        <f>'VAL 1 TRIM '!AG11</f>
        <v>83</v>
      </c>
      <c r="D11" s="100">
        <f>'VAL 2 TRIM'!AG11</f>
        <v>51</v>
      </c>
      <c r="E11" s="100">
        <f>'VAL 3 TRIM'!AG11</f>
        <v>56.82352941176471</v>
      </c>
      <c r="F11" s="101">
        <f>'CENTRAL 1'!U11</f>
        <v>63.607843137254896</v>
      </c>
      <c r="G11" s="102" t="str">
        <f t="shared" si="0"/>
        <v>APROBADO</v>
      </c>
      <c r="H11" s="103"/>
      <c r="I11" s="103"/>
    </row>
    <row r="12" spans="1:13" ht="12" customHeight="1" x14ac:dyDescent="0.35">
      <c r="A12" s="59">
        <v>4</v>
      </c>
      <c r="B12" s="60" t="str">
        <f>'C. FILIACION'!B11</f>
        <v>BRICHER ETHELBERT ISMAEL</v>
      </c>
      <c r="C12" s="100">
        <f>'VAL 1 TRIM '!AG12</f>
        <v>44</v>
      </c>
      <c r="D12" s="100">
        <f>'VAL 2 TRIM'!AG12</f>
        <v>5</v>
      </c>
      <c r="E12" s="100">
        <f>'VAL 3 TRIM'!AG12</f>
        <v>0</v>
      </c>
      <c r="F12" s="101">
        <f>'CENTRAL 1'!U12</f>
        <v>16.333333333333332</v>
      </c>
      <c r="G12" s="102" t="str">
        <f t="shared" si="0"/>
        <v>REPROBADO</v>
      </c>
      <c r="H12" s="103"/>
      <c r="I12" s="103"/>
    </row>
    <row r="13" spans="1:13" ht="12" customHeight="1" x14ac:dyDescent="0.35">
      <c r="A13" s="59">
        <v>5</v>
      </c>
      <c r="B13" s="60" t="str">
        <f>'C. FILIACION'!B12</f>
        <v>CANAVIRI QUISBERT ALEJANDRA ELENA</v>
      </c>
      <c r="C13" s="100">
        <f>'VAL 1 TRIM '!AG13</f>
        <v>87</v>
      </c>
      <c r="D13" s="100">
        <f>'VAL 2 TRIM'!AG13</f>
        <v>66</v>
      </c>
      <c r="E13" s="100">
        <f>'VAL 3 TRIM'!AG13</f>
        <v>67.075630252100837</v>
      </c>
      <c r="F13" s="101">
        <f>'CENTRAL 1'!U13</f>
        <v>73.358543417366946</v>
      </c>
      <c r="G13" s="102" t="str">
        <f t="shared" si="0"/>
        <v>APROBADO</v>
      </c>
      <c r="H13" s="103"/>
      <c r="I13" s="106">
        <f>COUNTIF(C9:C44,"&lt;=51")</f>
        <v>3</v>
      </c>
      <c r="J13" s="106">
        <f>COUNTIF(D9:D44,"&lt;=51")</f>
        <v>7</v>
      </c>
      <c r="K13" s="106">
        <f>COUNTIF(E9:E44,"&lt;=51")</f>
        <v>4</v>
      </c>
    </row>
    <row r="14" spans="1:13" ht="12" customHeight="1" x14ac:dyDescent="0.35">
      <c r="A14" s="59">
        <v>6</v>
      </c>
      <c r="B14" s="60" t="str">
        <f>'C. FILIACION'!B13</f>
        <v>GOMEZ BELTRAN ALBERT NORMAN</v>
      </c>
      <c r="C14" s="100">
        <f>'VAL 1 TRIM '!AG14</f>
        <v>84</v>
      </c>
      <c r="D14" s="100">
        <f>'VAL 2 TRIM'!AG14</f>
        <v>74</v>
      </c>
      <c r="E14" s="100">
        <f>'VAL 3 TRIM'!AG14</f>
        <v>87.857142857142861</v>
      </c>
      <c r="F14" s="101">
        <f>'CENTRAL 1'!U14</f>
        <v>81.952380952380949</v>
      </c>
      <c r="G14" s="102" t="str">
        <f t="shared" si="0"/>
        <v>APROBADO</v>
      </c>
      <c r="H14" s="103"/>
      <c r="I14" s="107" t="s">
        <v>114</v>
      </c>
    </row>
    <row r="15" spans="1:13" ht="12" customHeight="1" x14ac:dyDescent="0.35">
      <c r="A15" s="59">
        <v>7</v>
      </c>
      <c r="B15" s="60" t="str">
        <f>'C. FILIACION'!B14</f>
        <v>GOMEZ COSME MELANY KARINA</v>
      </c>
      <c r="C15" s="100">
        <f>'VAL 1 TRIM '!AG15</f>
        <v>69</v>
      </c>
      <c r="D15" s="100">
        <f>'VAL 2 TRIM'!AG15</f>
        <v>51</v>
      </c>
      <c r="E15" s="100">
        <f>'VAL 3 TRIM'!AG15</f>
        <v>50.773109243697476</v>
      </c>
      <c r="F15" s="101">
        <f>'CENTRAL 1'!U15</f>
        <v>56.924369747899163</v>
      </c>
      <c r="G15" s="102" t="str">
        <f t="shared" si="0"/>
        <v>APROBADO</v>
      </c>
      <c r="H15" s="103"/>
      <c r="I15" s="103"/>
    </row>
    <row r="16" spans="1:13" ht="12" customHeight="1" x14ac:dyDescent="0.35">
      <c r="A16" s="59">
        <v>8</v>
      </c>
      <c r="B16" s="60" t="str">
        <f>'C. FILIACION'!B15</f>
        <v>GONZALES ZUAZO KALEB RAMSES</v>
      </c>
      <c r="C16" s="100">
        <f>'VAL 1 TRIM '!AG16</f>
        <v>83</v>
      </c>
      <c r="D16" s="100">
        <f>'VAL 2 TRIM'!AG16</f>
        <v>67</v>
      </c>
      <c r="E16" s="100">
        <f>'VAL 3 TRIM'!AG16</f>
        <v>73.857142857142861</v>
      </c>
      <c r="F16" s="101">
        <f>'CENTRAL 1'!U16</f>
        <v>74.61904761904762</v>
      </c>
      <c r="G16" s="102" t="str">
        <f t="shared" si="0"/>
        <v>APROBADO</v>
      </c>
      <c r="H16" s="103"/>
      <c r="I16" s="103"/>
    </row>
    <row r="17" spans="1:9" ht="12" customHeight="1" x14ac:dyDescent="0.35">
      <c r="A17" s="59">
        <v>9</v>
      </c>
      <c r="B17" s="60" t="str">
        <f>'C. FILIACION'!B16</f>
        <v>LEDEZMA AGUILAR ELVIS JHEFERSON</v>
      </c>
      <c r="C17" s="100">
        <f>'VAL 1 TRIM '!AG17</f>
        <v>84</v>
      </c>
      <c r="D17" s="100">
        <f>'VAL 2 TRIM'!AG17</f>
        <v>68</v>
      </c>
      <c r="E17" s="100">
        <f>'VAL 3 TRIM'!AG17</f>
        <v>91.411764705882348</v>
      </c>
      <c r="F17" s="101">
        <f>'CENTRAL 1'!U17</f>
        <v>81.137254901960787</v>
      </c>
      <c r="G17" s="102" t="str">
        <f t="shared" si="0"/>
        <v>APROBADO</v>
      </c>
      <c r="H17" s="103"/>
      <c r="I17" s="103"/>
    </row>
    <row r="18" spans="1:9" ht="12" customHeight="1" x14ac:dyDescent="0.35">
      <c r="A18" s="59">
        <v>10</v>
      </c>
      <c r="B18" s="60" t="str">
        <f>'C. FILIACION'!B17</f>
        <v>LOBATON RODRIGUEZ JHONATAN A.</v>
      </c>
      <c r="C18" s="100">
        <f>'VAL 1 TRIM '!AG18</f>
        <v>86</v>
      </c>
      <c r="D18" s="100">
        <f>'VAL 2 TRIM'!AG18</f>
        <v>64</v>
      </c>
      <c r="E18" s="100">
        <f>'VAL 3 TRIM'!AG18</f>
        <v>56.235294117647058</v>
      </c>
      <c r="F18" s="101">
        <f>'CENTRAL 1'!U18</f>
        <v>68.745098039215691</v>
      </c>
      <c r="G18" s="102" t="str">
        <f t="shared" si="0"/>
        <v>APROBADO</v>
      </c>
      <c r="H18" s="103"/>
      <c r="I18" s="103"/>
    </row>
    <row r="19" spans="1:9" ht="12" customHeight="1" x14ac:dyDescent="0.35">
      <c r="A19" s="59">
        <v>11</v>
      </c>
      <c r="B19" s="60" t="str">
        <f>'C. FILIACION'!B18</f>
        <v>MAMANI LOPEZ DAFNE MILDRED</v>
      </c>
      <c r="C19" s="100">
        <f>'VAL 1 TRIM '!AG19</f>
        <v>74</v>
      </c>
      <c r="D19" s="100">
        <f>'VAL 2 TRIM'!AG19</f>
        <v>51</v>
      </c>
      <c r="E19" s="100">
        <f>'VAL 3 TRIM'!AG19</f>
        <v>52.806722689075627</v>
      </c>
      <c r="F19" s="101">
        <f>'CENTRAL 1'!U19</f>
        <v>59.268907563025209</v>
      </c>
      <c r="G19" s="102" t="str">
        <f t="shared" si="0"/>
        <v>APROBADO</v>
      </c>
      <c r="H19" s="103"/>
      <c r="I19" s="103"/>
    </row>
    <row r="20" spans="1:9" ht="12" customHeight="1" x14ac:dyDescent="0.35">
      <c r="A20" s="59">
        <v>12</v>
      </c>
      <c r="B20" s="60" t="str">
        <f>'C. FILIACION'!B19</f>
        <v>MARCONI PEREZ SINDEL LUANA</v>
      </c>
      <c r="C20" s="100">
        <f>'VAL 1 TRIM '!AG20</f>
        <v>62</v>
      </c>
      <c r="D20" s="100">
        <f>'VAL 2 TRIM'!AG20</f>
        <v>41</v>
      </c>
      <c r="E20" s="100">
        <f>'VAL 3 TRIM'!AG20</f>
        <v>57.310924369747902</v>
      </c>
      <c r="F20" s="101">
        <f>'CENTRAL 1'!U20</f>
        <v>53.436974789915972</v>
      </c>
      <c r="G20" s="102" t="str">
        <f t="shared" si="0"/>
        <v>APROBADO</v>
      </c>
      <c r="H20" s="103"/>
      <c r="I20" s="103"/>
    </row>
    <row r="21" spans="1:9" ht="12" customHeight="1" x14ac:dyDescent="0.35">
      <c r="A21" s="59">
        <v>13</v>
      </c>
      <c r="B21" s="60" t="str">
        <f>'C. FILIACION'!B20</f>
        <v>MENACHO LINEO ANDREA KIMBERLY</v>
      </c>
      <c r="C21" s="100">
        <f>'VAL 1 TRIM '!AG21</f>
        <v>88</v>
      </c>
      <c r="D21" s="100">
        <f>'VAL 2 TRIM'!AG21</f>
        <v>53</v>
      </c>
      <c r="E21" s="100">
        <f>'VAL 3 TRIM'!AG21</f>
        <v>66.142857142857139</v>
      </c>
      <c r="F21" s="101">
        <f>'CENTRAL 1'!U21</f>
        <v>69.047619047619051</v>
      </c>
      <c r="G21" s="102" t="str">
        <f t="shared" si="0"/>
        <v>APROBADO</v>
      </c>
      <c r="H21" s="103"/>
      <c r="I21" s="103"/>
    </row>
    <row r="22" spans="1:9" ht="12" customHeight="1" x14ac:dyDescent="0.35">
      <c r="A22" s="59">
        <v>14</v>
      </c>
      <c r="B22" s="60" t="str">
        <f>'C. FILIACION'!B21</f>
        <v>PILLCO APAZA MARIAN ALEXANDRA</v>
      </c>
      <c r="C22" s="100">
        <f>'VAL 1 TRIM '!AG22</f>
        <v>86</v>
      </c>
      <c r="D22" s="100">
        <f>'VAL 2 TRIM'!AG22</f>
        <v>61</v>
      </c>
      <c r="E22" s="100">
        <f>'VAL 3 TRIM'!AG22</f>
        <v>74</v>
      </c>
      <c r="F22" s="101">
        <f>'CENTRAL 1'!U22</f>
        <v>73.666666666666671</v>
      </c>
      <c r="G22" s="102" t="str">
        <f t="shared" si="0"/>
        <v>APROBADO</v>
      </c>
      <c r="H22" s="103"/>
      <c r="I22" s="103"/>
    </row>
    <row r="23" spans="1:9" ht="12" customHeight="1" x14ac:dyDescent="0.35">
      <c r="A23" s="59">
        <v>15</v>
      </c>
      <c r="B23" s="60" t="str">
        <f>'C. FILIACION'!B22</f>
        <v>RUEDA ALVAREZ GREGORY STEVEN</v>
      </c>
      <c r="C23" s="100">
        <f>'VAL 1 TRIM '!AG23</f>
        <v>84</v>
      </c>
      <c r="D23" s="100">
        <f>'VAL 2 TRIM'!AG23</f>
        <v>64</v>
      </c>
      <c r="E23" s="100">
        <f>'VAL 3 TRIM'!AG23</f>
        <v>69.428571428571431</v>
      </c>
      <c r="F23" s="101">
        <f>'CENTRAL 1'!U23</f>
        <v>72.476190476190482</v>
      </c>
      <c r="G23" s="102" t="str">
        <f t="shared" si="0"/>
        <v>APROBADO</v>
      </c>
      <c r="H23" s="103"/>
      <c r="I23" s="103"/>
    </row>
    <row r="24" spans="1:9" ht="12" customHeight="1" x14ac:dyDescent="0.35">
      <c r="A24" s="59">
        <v>16</v>
      </c>
      <c r="B24" s="60" t="str">
        <f>'C. FILIACION'!B23</f>
        <v>VARGAS JOYCE BELEN</v>
      </c>
      <c r="C24" s="100">
        <f>'VAL 1 TRIM '!AG24</f>
        <v>30</v>
      </c>
      <c r="D24" s="100">
        <f>'VAL 2 TRIM'!AG24</f>
        <v>39</v>
      </c>
      <c r="E24" s="100">
        <f>'VAL 3 TRIM'!AG24</f>
        <v>23.69047619047619</v>
      </c>
      <c r="F24" s="101">
        <f>'CENTRAL 1'!U24</f>
        <v>30.896825396825395</v>
      </c>
      <c r="G24" s="102" t="str">
        <f t="shared" si="0"/>
        <v>REPROBADO</v>
      </c>
      <c r="H24" s="103"/>
      <c r="I24" s="103"/>
    </row>
    <row r="25" spans="1:9" ht="12" customHeight="1" x14ac:dyDescent="0.35">
      <c r="A25" s="59">
        <v>17</v>
      </c>
      <c r="B25" s="60" t="str">
        <f>'C. FILIACION'!B24</f>
        <v>ZURITA JIMENEZ ELMER ARTURO</v>
      </c>
      <c r="C25" s="100">
        <f>'VAL 1 TRIM '!AG25</f>
        <v>83</v>
      </c>
      <c r="D25" s="100">
        <f>'VAL 2 TRIM'!AG25</f>
        <v>80</v>
      </c>
      <c r="E25" s="100">
        <f>'VAL 3 TRIM'!AG25</f>
        <v>82</v>
      </c>
      <c r="F25" s="101">
        <f>'CENTRAL 1'!U25</f>
        <v>81.666666666666671</v>
      </c>
      <c r="G25" s="102" t="str">
        <f t="shared" si="0"/>
        <v>APROBADO</v>
      </c>
      <c r="H25" s="103"/>
      <c r="I25" s="103"/>
    </row>
    <row r="26" spans="1:9" ht="12" customHeight="1" x14ac:dyDescent="0.35">
      <c r="A26" s="59">
        <v>18</v>
      </c>
      <c r="B26" s="60" t="str">
        <f>'C. FILIACION'!B25</f>
        <v>ADRIAN FLORES EDDY BEYMAR</v>
      </c>
      <c r="C26" s="100">
        <f>'VAL 1 TRIM '!AG26</f>
        <v>30</v>
      </c>
      <c r="D26" s="100">
        <f>'VAL 2 TRIM'!AG26</f>
        <v>51</v>
      </c>
      <c r="E26" s="100">
        <f>'VAL 3 TRIM'!AG26</f>
        <v>32.495798319327733</v>
      </c>
      <c r="F26" s="101">
        <f>'CENTRAL 1'!U26</f>
        <v>37.831932773109244</v>
      </c>
      <c r="G26" s="102" t="str">
        <f t="shared" si="0"/>
        <v>REPROBADO</v>
      </c>
      <c r="H26" s="103"/>
      <c r="I26" s="103"/>
    </row>
    <row r="27" spans="1:9" ht="12" customHeight="1" x14ac:dyDescent="0.35">
      <c r="A27" s="59">
        <v>19</v>
      </c>
      <c r="B27" s="60" t="str">
        <f>'C. FILIACION'!B26</f>
        <v>VENTURA CHOQUE DANELY KEYLA</v>
      </c>
      <c r="C27" s="100">
        <f>'VAL 1 TRIM '!AG27</f>
        <v>67</v>
      </c>
      <c r="D27" s="100">
        <f>'VAL 2 TRIM'!AG27</f>
        <v>67</v>
      </c>
      <c r="E27" s="100">
        <f>'VAL 3 TRIM'!AG27</f>
        <v>80.857142857142861</v>
      </c>
      <c r="F27" s="101">
        <f>'CENTRAL 1'!U27</f>
        <v>71.61904761904762</v>
      </c>
      <c r="G27" s="102" t="str">
        <f t="shared" si="0"/>
        <v>APROBADO</v>
      </c>
      <c r="H27" s="103"/>
      <c r="I27" s="103"/>
    </row>
    <row r="28" spans="1:9" ht="12" customHeight="1" x14ac:dyDescent="0.35">
      <c r="A28" s="59">
        <v>20</v>
      </c>
      <c r="B28" s="60">
        <f>'C. FILIACION'!B27</f>
        <v>0</v>
      </c>
      <c r="C28" s="100">
        <f>'VAL 1 TRIM '!AG28</f>
        <v>100</v>
      </c>
      <c r="D28" s="100">
        <f>'VAL 2 TRIM'!AG28</f>
        <v>100</v>
      </c>
      <c r="E28" s="100">
        <f>'VAL 3 TRIM'!AG28</f>
        <v>100</v>
      </c>
      <c r="F28" s="101">
        <f>'CENTRAL 1'!U28</f>
        <v>100</v>
      </c>
      <c r="G28" s="102" t="str">
        <f t="shared" si="0"/>
        <v>APROBADO</v>
      </c>
      <c r="H28" s="103"/>
      <c r="I28" s="103"/>
    </row>
    <row r="29" spans="1:9" ht="12" customHeight="1" x14ac:dyDescent="0.35">
      <c r="A29" s="59">
        <v>21</v>
      </c>
      <c r="B29" s="60">
        <f>'C. FILIACION'!B28</f>
        <v>0</v>
      </c>
      <c r="C29" s="100">
        <f>'VAL 1 TRIM '!AG29</f>
        <v>100</v>
      </c>
      <c r="D29" s="100">
        <f>'VAL 2 TRIM'!AG29</f>
        <v>100</v>
      </c>
      <c r="E29" s="100">
        <f>'VAL 3 TRIM'!AG29</f>
        <v>100</v>
      </c>
      <c r="F29" s="101">
        <f>'CENTRAL 1'!U29</f>
        <v>100</v>
      </c>
      <c r="G29" s="102" t="str">
        <f t="shared" si="0"/>
        <v>APROBADO</v>
      </c>
      <c r="H29" s="103"/>
      <c r="I29" s="103"/>
    </row>
    <row r="30" spans="1:9" ht="12" customHeight="1" x14ac:dyDescent="0.35">
      <c r="A30" s="59">
        <v>22</v>
      </c>
      <c r="B30" s="60">
        <f>'C. FILIACION'!B29</f>
        <v>0</v>
      </c>
      <c r="C30" s="100">
        <f>'VAL 1 TRIM '!AG30</f>
        <v>100</v>
      </c>
      <c r="D30" s="100">
        <f>'VAL 2 TRIM'!AG30</f>
        <v>100</v>
      </c>
      <c r="E30" s="100">
        <f>'VAL 3 TRIM'!AG30</f>
        <v>100</v>
      </c>
      <c r="F30" s="101">
        <f>'CENTRAL 1'!U30</f>
        <v>100</v>
      </c>
      <c r="G30" s="102" t="str">
        <f t="shared" si="0"/>
        <v>APROBADO</v>
      </c>
      <c r="H30" s="103"/>
      <c r="I30" s="103"/>
    </row>
    <row r="31" spans="1:9" ht="12" customHeight="1" x14ac:dyDescent="0.35">
      <c r="A31" s="59">
        <v>23</v>
      </c>
      <c r="B31" s="60">
        <f>'C. FILIACION'!B30</f>
        <v>0</v>
      </c>
      <c r="C31" s="100">
        <f>'VAL 1 TRIM '!AG31</f>
        <v>100</v>
      </c>
      <c r="D31" s="100">
        <f>'VAL 2 TRIM'!AG31</f>
        <v>100</v>
      </c>
      <c r="E31" s="100">
        <f>'VAL 3 TRIM'!AG31</f>
        <v>100</v>
      </c>
      <c r="F31" s="101">
        <f>'CENTRAL 1'!U31</f>
        <v>100</v>
      </c>
      <c r="G31" s="102" t="str">
        <f t="shared" si="0"/>
        <v>APROBADO</v>
      </c>
      <c r="H31" s="103"/>
      <c r="I31" s="103"/>
    </row>
    <row r="32" spans="1:9" ht="12" customHeight="1" x14ac:dyDescent="0.35">
      <c r="A32" s="59">
        <v>24</v>
      </c>
      <c r="B32" s="60">
        <f>'C. FILIACION'!B31</f>
        <v>0</v>
      </c>
      <c r="C32" s="100">
        <f>'VAL 1 TRIM '!AG32</f>
        <v>100</v>
      </c>
      <c r="D32" s="100">
        <f>'VAL 2 TRIM'!AG32</f>
        <v>100</v>
      </c>
      <c r="E32" s="100">
        <f>'VAL 3 TRIM'!AG32</f>
        <v>100</v>
      </c>
      <c r="F32" s="101">
        <f>'CENTRAL 1'!U32</f>
        <v>100</v>
      </c>
      <c r="G32" s="102" t="str">
        <f t="shared" si="0"/>
        <v>APROBADO</v>
      </c>
      <c r="H32" s="103"/>
      <c r="I32" s="103"/>
    </row>
    <row r="33" spans="1:9" ht="12" customHeight="1" x14ac:dyDescent="0.35">
      <c r="A33" s="59">
        <v>25</v>
      </c>
      <c r="B33" s="60">
        <f>'C. FILIACION'!B32</f>
        <v>0</v>
      </c>
      <c r="C33" s="100">
        <f>'VAL 1 TRIM '!AG33</f>
        <v>100</v>
      </c>
      <c r="D33" s="100">
        <f>'VAL 2 TRIM'!AG33</f>
        <v>100</v>
      </c>
      <c r="E33" s="100">
        <f>'VAL 3 TRIM'!AG33</f>
        <v>100</v>
      </c>
      <c r="F33" s="101">
        <f>'CENTRAL 1'!U33</f>
        <v>100</v>
      </c>
      <c r="G33" s="102" t="str">
        <f t="shared" si="0"/>
        <v>APROBADO</v>
      </c>
      <c r="H33" s="103"/>
      <c r="I33" s="103"/>
    </row>
    <row r="34" spans="1:9" ht="12" customHeight="1" x14ac:dyDescent="0.35">
      <c r="A34" s="59">
        <v>26</v>
      </c>
      <c r="B34" s="60">
        <f>'C. FILIACION'!B33</f>
        <v>0</v>
      </c>
      <c r="C34" s="100">
        <f>'VAL 1 TRIM '!AG34</f>
        <v>100</v>
      </c>
      <c r="D34" s="100">
        <f>'VAL 2 TRIM'!AG34</f>
        <v>100</v>
      </c>
      <c r="E34" s="100">
        <f>'VAL 3 TRIM'!AG34</f>
        <v>100</v>
      </c>
      <c r="F34" s="101">
        <f>'CENTRAL 1'!U34</f>
        <v>100</v>
      </c>
      <c r="G34" s="102" t="str">
        <f t="shared" si="0"/>
        <v>APROBADO</v>
      </c>
      <c r="H34" s="103"/>
      <c r="I34" s="103"/>
    </row>
    <row r="35" spans="1:9" ht="12" customHeight="1" x14ac:dyDescent="0.35">
      <c r="A35" s="59">
        <v>27</v>
      </c>
      <c r="B35" s="60">
        <f>'C. FILIACION'!B34</f>
        <v>0</v>
      </c>
      <c r="C35" s="100">
        <f>'VAL 1 TRIM '!AG35</f>
        <v>100</v>
      </c>
      <c r="D35" s="100">
        <f>'VAL 2 TRIM'!AG35</f>
        <v>100</v>
      </c>
      <c r="E35" s="100">
        <f>'VAL 3 TRIM'!AG35</f>
        <v>100</v>
      </c>
      <c r="F35" s="101">
        <f>'CENTRAL 1'!U35</f>
        <v>100</v>
      </c>
      <c r="G35" s="102" t="str">
        <f t="shared" si="0"/>
        <v>APROBADO</v>
      </c>
      <c r="H35" s="103"/>
      <c r="I35" s="103"/>
    </row>
    <row r="36" spans="1:9" ht="12" customHeight="1" x14ac:dyDescent="0.35">
      <c r="A36" s="59">
        <v>28</v>
      </c>
      <c r="B36" s="60">
        <f>'C. FILIACION'!B35</f>
        <v>0</v>
      </c>
      <c r="C36" s="100">
        <f>'VAL 1 TRIM '!AG36</f>
        <v>100</v>
      </c>
      <c r="D36" s="100">
        <f>'VAL 2 TRIM'!AG36</f>
        <v>100</v>
      </c>
      <c r="E36" s="100">
        <f>'VAL 3 TRIM'!AG36</f>
        <v>100</v>
      </c>
      <c r="F36" s="101">
        <f>'CENTRAL 1'!U36</f>
        <v>100</v>
      </c>
      <c r="G36" s="102" t="str">
        <f t="shared" si="0"/>
        <v>APROBADO</v>
      </c>
      <c r="H36" s="103"/>
      <c r="I36" s="103"/>
    </row>
    <row r="37" spans="1:9" ht="12" customHeight="1" x14ac:dyDescent="0.35">
      <c r="A37" s="59">
        <v>29</v>
      </c>
      <c r="B37" s="60">
        <f>'C. FILIACION'!B36</f>
        <v>0</v>
      </c>
      <c r="C37" s="100">
        <f>'VAL 1 TRIM '!AG37</f>
        <v>100</v>
      </c>
      <c r="D37" s="100">
        <f>'VAL 2 TRIM'!AG37</f>
        <v>100</v>
      </c>
      <c r="E37" s="100">
        <f>'VAL 3 TRIM'!AG37</f>
        <v>100</v>
      </c>
      <c r="F37" s="101">
        <f>'CENTRAL 1'!U37</f>
        <v>100</v>
      </c>
      <c r="G37" s="102" t="str">
        <f t="shared" si="0"/>
        <v>APROBADO</v>
      </c>
      <c r="H37" s="103"/>
      <c r="I37" s="103"/>
    </row>
    <row r="38" spans="1:9" ht="12" customHeight="1" x14ac:dyDescent="0.35">
      <c r="A38" s="59">
        <v>30</v>
      </c>
      <c r="B38" s="60">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5">
      <c r="A39" s="59">
        <v>31</v>
      </c>
      <c r="B39" s="60">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5">
      <c r="A40" s="59">
        <v>32</v>
      </c>
      <c r="B40" s="60">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5">
      <c r="A41" s="59">
        <v>33</v>
      </c>
      <c r="B41" s="60">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5">
      <c r="A42" s="59">
        <v>34</v>
      </c>
      <c r="B42" s="60">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5">
      <c r="A43" s="59">
        <v>35</v>
      </c>
      <c r="B43" s="60">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5">
      <c r="A44" s="59">
        <v>36</v>
      </c>
      <c r="B44" s="60">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328125" defaultRowHeight="15" customHeight="1" x14ac:dyDescent="0.35"/>
  <cols>
    <col min="1" max="1" width="3.796875" customWidth="1"/>
    <col min="2" max="2" width="6.1328125" customWidth="1"/>
    <col min="3" max="3" width="12.6640625" customWidth="1"/>
    <col min="4" max="4" width="5.796875" customWidth="1"/>
    <col min="5" max="5" width="7.46484375" customWidth="1"/>
    <col min="6" max="6" width="2.796875" customWidth="1"/>
    <col min="7" max="7" width="14.73046875" customWidth="1"/>
    <col min="8" max="8" width="5.1328125" customWidth="1"/>
    <col min="9" max="10" width="10.796875" customWidth="1"/>
    <col min="11" max="26" width="10.39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49" t="s">
        <v>115</v>
      </c>
      <c r="C2" s="248"/>
      <c r="D2" s="248"/>
      <c r="E2" s="248"/>
      <c r="F2" s="248"/>
      <c r="G2" s="248"/>
      <c r="H2" s="248"/>
      <c r="I2" s="248"/>
      <c r="J2" s="248"/>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t="str">
        <f>CARÁTULA!$C$25</f>
        <v>Tec. Tecnologica Programacion Visual</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52</v>
      </c>
      <c r="I4" s="111" t="str">
        <f>CARÁTULA!$C$19</f>
        <v>JOSÉ COAQUIRA COPA</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6to de Secundaria</v>
      </c>
      <c r="E5" s="109"/>
      <c r="F5" s="109"/>
      <c r="G5" s="109"/>
      <c r="H5" s="110" t="s">
        <v>23</v>
      </c>
      <c r="I5" s="68">
        <f ca="1">TODAY()</f>
        <v>44543</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116</v>
      </c>
      <c r="J6" s="109"/>
      <c r="K6" s="109"/>
      <c r="L6" s="109"/>
      <c r="M6" s="109"/>
      <c r="N6" s="109"/>
      <c r="O6" s="109"/>
      <c r="P6" s="109"/>
      <c r="Q6" s="109"/>
      <c r="R6" s="109"/>
      <c r="S6" s="109"/>
      <c r="T6" s="109"/>
      <c r="U6" s="109"/>
      <c r="V6" s="109"/>
      <c r="W6" s="109"/>
      <c r="X6" s="109"/>
      <c r="Y6" s="109"/>
      <c r="Z6" s="109"/>
    </row>
    <row r="7" spans="1:26" ht="20.399999999999999" x14ac:dyDescent="0.35">
      <c r="A7" s="109"/>
      <c r="B7" s="114" t="s">
        <v>97</v>
      </c>
      <c r="C7" s="113" t="s">
        <v>117</v>
      </c>
      <c r="D7" s="114" t="s">
        <v>118</v>
      </c>
      <c r="E7" s="115" t="s">
        <v>119</v>
      </c>
      <c r="F7" s="109"/>
      <c r="G7" s="116" t="s">
        <v>120</v>
      </c>
      <c r="H7" s="114">
        <f>'VAL 1 TRIM '!$AO$9</f>
        <v>3</v>
      </c>
      <c r="I7" s="117">
        <f>H7/H11</f>
        <v>8.3333333333333329E-2</v>
      </c>
      <c r="J7" s="109"/>
      <c r="K7" s="109"/>
      <c r="L7" s="109"/>
      <c r="M7" s="109"/>
      <c r="N7" s="109"/>
      <c r="O7" s="109"/>
      <c r="P7" s="109"/>
      <c r="Q7" s="109"/>
      <c r="R7" s="109"/>
      <c r="S7" s="109"/>
      <c r="T7" s="109"/>
      <c r="U7" s="109"/>
      <c r="V7" s="109"/>
      <c r="W7" s="109"/>
      <c r="X7" s="109"/>
      <c r="Y7" s="109"/>
      <c r="Z7" s="109"/>
    </row>
    <row r="8" spans="1:26" ht="20.399999999999999" x14ac:dyDescent="0.35">
      <c r="A8" s="109"/>
      <c r="B8" s="114" t="s">
        <v>98</v>
      </c>
      <c r="C8" s="113" t="s">
        <v>121</v>
      </c>
      <c r="D8" s="114" t="s">
        <v>122</v>
      </c>
      <c r="E8" s="115" t="s">
        <v>123</v>
      </c>
      <c r="F8" s="109"/>
      <c r="G8" s="116" t="s">
        <v>124</v>
      </c>
      <c r="H8" s="114">
        <f>'VAL 1 TRIM '!$AO$10</f>
        <v>1</v>
      </c>
      <c r="I8" s="117">
        <f>H8/H11</f>
        <v>2.7777777777777776E-2</v>
      </c>
      <c r="J8" s="109"/>
      <c r="K8" s="109"/>
      <c r="L8" s="109"/>
      <c r="M8" s="109"/>
      <c r="N8" s="109"/>
      <c r="O8" s="109"/>
      <c r="P8" s="109"/>
      <c r="Q8" s="109"/>
      <c r="R8" s="109"/>
      <c r="S8" s="109"/>
      <c r="T8" s="109"/>
      <c r="U8" s="109"/>
      <c r="V8" s="109"/>
      <c r="W8" s="109"/>
      <c r="X8" s="109"/>
      <c r="Y8" s="109"/>
      <c r="Z8" s="109"/>
    </row>
    <row r="9" spans="1:26" ht="20.399999999999999" x14ac:dyDescent="0.35">
      <c r="A9" s="109"/>
      <c r="B9" s="114" t="s">
        <v>99</v>
      </c>
      <c r="C9" s="113" t="s">
        <v>125</v>
      </c>
      <c r="D9" s="114" t="s">
        <v>126</v>
      </c>
      <c r="E9" s="115" t="s">
        <v>123</v>
      </c>
      <c r="F9" s="109"/>
      <c r="G9" s="118" t="s">
        <v>127</v>
      </c>
      <c r="H9" s="114">
        <f>'VAL 1 TRIM '!$AO$11</f>
        <v>9</v>
      </c>
      <c r="I9" s="117">
        <f>H9/H11</f>
        <v>0.25</v>
      </c>
      <c r="J9" s="109"/>
      <c r="K9" s="109"/>
      <c r="L9" s="109"/>
      <c r="M9" s="109"/>
      <c r="N9" s="109"/>
      <c r="O9" s="109"/>
      <c r="P9" s="109"/>
      <c r="Q9" s="109"/>
      <c r="R9" s="109"/>
      <c r="S9" s="109"/>
      <c r="T9" s="109"/>
      <c r="U9" s="109"/>
      <c r="V9" s="109"/>
      <c r="W9" s="109"/>
      <c r="X9" s="109"/>
      <c r="Y9" s="109"/>
      <c r="Z9" s="109"/>
    </row>
    <row r="10" spans="1:26" ht="20.399999999999999" x14ac:dyDescent="0.35">
      <c r="A10" s="109"/>
      <c r="B10" s="114" t="s">
        <v>100</v>
      </c>
      <c r="C10" s="113" t="s">
        <v>128</v>
      </c>
      <c r="D10" s="114" t="s">
        <v>129</v>
      </c>
      <c r="E10" s="115" t="s">
        <v>123</v>
      </c>
      <c r="F10" s="109"/>
      <c r="G10" s="118" t="s">
        <v>130</v>
      </c>
      <c r="H10" s="114">
        <f>'VAL 1 TRIM '!$AO$12</f>
        <v>23</v>
      </c>
      <c r="I10" s="117">
        <f>H10/H11</f>
        <v>0.63888888888888884</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131</v>
      </c>
      <c r="H11" s="114">
        <f>SUM(H7:H10)</f>
        <v>36</v>
      </c>
      <c r="I11" s="117">
        <f>SUM(I7:I10)</f>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50" t="s">
        <v>132</v>
      </c>
      <c r="C13" s="248"/>
      <c r="D13" s="248"/>
      <c r="E13" s="248"/>
      <c r="F13" s="248"/>
      <c r="G13" s="248"/>
      <c r="H13" s="248"/>
      <c r="I13" s="248"/>
      <c r="J13" s="248"/>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346" t="s">
        <v>133</v>
      </c>
      <c r="C15" s="255"/>
      <c r="D15" s="255"/>
      <c r="E15" s="255"/>
      <c r="F15" s="255"/>
      <c r="G15" s="255"/>
      <c r="H15" s="255"/>
      <c r="I15" s="255"/>
      <c r="J15" s="256"/>
      <c r="K15" s="109"/>
      <c r="L15" s="109"/>
      <c r="M15" s="109"/>
      <c r="N15" s="109"/>
      <c r="O15" s="109"/>
      <c r="P15" s="109"/>
      <c r="Q15" s="109"/>
      <c r="R15" s="109"/>
      <c r="S15" s="109"/>
      <c r="T15" s="109"/>
      <c r="U15" s="109"/>
      <c r="V15" s="109"/>
      <c r="W15" s="109"/>
      <c r="X15" s="109"/>
      <c r="Y15" s="109"/>
      <c r="Z15" s="109"/>
    </row>
    <row r="16" spans="1:26" ht="16.5" customHeight="1" x14ac:dyDescent="0.35">
      <c r="A16" s="109"/>
      <c r="B16" s="347"/>
      <c r="C16" s="248"/>
      <c r="D16" s="248"/>
      <c r="E16" s="248"/>
      <c r="F16" s="248"/>
      <c r="G16" s="248"/>
      <c r="H16" s="248"/>
      <c r="I16" s="248"/>
      <c r="J16" s="348"/>
      <c r="K16" s="109"/>
      <c r="L16" s="109"/>
      <c r="M16" s="109"/>
      <c r="N16" s="109"/>
      <c r="O16" s="109"/>
      <c r="P16" s="109"/>
      <c r="Q16" s="109"/>
      <c r="R16" s="109"/>
      <c r="S16" s="109"/>
      <c r="T16" s="109"/>
      <c r="U16" s="109"/>
      <c r="V16" s="109"/>
      <c r="W16" s="109"/>
      <c r="X16" s="109"/>
      <c r="Y16" s="109"/>
      <c r="Z16" s="109"/>
    </row>
    <row r="17" spans="1:26" ht="16.5" customHeight="1" x14ac:dyDescent="0.35">
      <c r="A17" s="109"/>
      <c r="B17" s="325"/>
      <c r="C17" s="326"/>
      <c r="D17" s="326"/>
      <c r="E17" s="326"/>
      <c r="F17" s="326"/>
      <c r="G17" s="326"/>
      <c r="H17" s="326"/>
      <c r="I17" s="326"/>
      <c r="J17" s="327"/>
      <c r="K17" s="109"/>
      <c r="L17" s="109"/>
      <c r="M17" s="109"/>
      <c r="N17" s="109"/>
      <c r="O17" s="109"/>
      <c r="P17" s="109"/>
      <c r="Q17" s="109"/>
      <c r="R17" s="109"/>
      <c r="S17" s="109"/>
      <c r="T17" s="109"/>
      <c r="U17" s="109"/>
      <c r="V17" s="109"/>
      <c r="W17" s="109"/>
      <c r="X17" s="109"/>
      <c r="Y17" s="109"/>
      <c r="Z17" s="109"/>
    </row>
    <row r="18" spans="1:26" ht="16.5" customHeight="1" x14ac:dyDescent="0.35">
      <c r="A18" s="109"/>
      <c r="B18" s="346" t="s">
        <v>134</v>
      </c>
      <c r="C18" s="255"/>
      <c r="D18" s="255"/>
      <c r="E18" s="255"/>
      <c r="F18" s="255"/>
      <c r="G18" s="255"/>
      <c r="H18" s="255"/>
      <c r="I18" s="255"/>
      <c r="J18" s="256"/>
      <c r="K18" s="109"/>
      <c r="L18" s="109"/>
      <c r="M18" s="109"/>
      <c r="N18" s="109"/>
      <c r="O18" s="109"/>
      <c r="P18" s="109"/>
      <c r="Q18" s="109"/>
      <c r="R18" s="109"/>
      <c r="S18" s="109"/>
      <c r="T18" s="109"/>
      <c r="U18" s="109"/>
      <c r="V18" s="109"/>
      <c r="W18" s="109"/>
      <c r="X18" s="109"/>
      <c r="Y18" s="109"/>
      <c r="Z18" s="109"/>
    </row>
    <row r="19" spans="1:26" ht="16.5" customHeight="1" x14ac:dyDescent="0.35">
      <c r="A19" s="109"/>
      <c r="B19" s="347"/>
      <c r="C19" s="248"/>
      <c r="D19" s="248"/>
      <c r="E19" s="248"/>
      <c r="F19" s="248"/>
      <c r="G19" s="248"/>
      <c r="H19" s="248"/>
      <c r="I19" s="248"/>
      <c r="J19" s="348"/>
      <c r="K19" s="109"/>
      <c r="L19" s="109"/>
      <c r="M19" s="109"/>
      <c r="N19" s="109"/>
      <c r="O19" s="109"/>
      <c r="P19" s="109"/>
      <c r="Q19" s="109"/>
      <c r="R19" s="109"/>
      <c r="S19" s="109"/>
      <c r="T19" s="109"/>
      <c r="U19" s="109"/>
      <c r="V19" s="109"/>
      <c r="W19" s="109"/>
      <c r="X19" s="109"/>
      <c r="Y19" s="109"/>
      <c r="Z19" s="109"/>
    </row>
    <row r="20" spans="1:26" ht="16.5" customHeight="1" x14ac:dyDescent="0.35">
      <c r="A20" s="109"/>
      <c r="B20" s="325"/>
      <c r="C20" s="326"/>
      <c r="D20" s="326"/>
      <c r="E20" s="326"/>
      <c r="F20" s="326"/>
      <c r="G20" s="326"/>
      <c r="H20" s="326"/>
      <c r="I20" s="326"/>
      <c r="J20" s="327"/>
      <c r="K20" s="109"/>
      <c r="L20" s="109"/>
      <c r="M20" s="109"/>
      <c r="N20" s="109"/>
      <c r="O20" s="109"/>
      <c r="P20" s="109"/>
      <c r="Q20" s="109"/>
      <c r="R20" s="109"/>
      <c r="S20" s="109"/>
      <c r="T20" s="109"/>
      <c r="U20" s="109"/>
      <c r="V20" s="109"/>
      <c r="W20" s="109"/>
      <c r="X20" s="109"/>
      <c r="Y20" s="109"/>
      <c r="Z20" s="109"/>
    </row>
    <row r="21" spans="1:26" ht="16.5" customHeight="1" x14ac:dyDescent="0.35">
      <c r="A21" s="109"/>
      <c r="B21" s="346" t="s">
        <v>135</v>
      </c>
      <c r="C21" s="255"/>
      <c r="D21" s="255"/>
      <c r="E21" s="255"/>
      <c r="F21" s="255"/>
      <c r="G21" s="255"/>
      <c r="H21" s="255"/>
      <c r="I21" s="255"/>
      <c r="J21" s="256"/>
      <c r="K21" s="109"/>
      <c r="L21" s="109"/>
      <c r="M21" s="109"/>
      <c r="N21" s="109"/>
      <c r="O21" s="109"/>
      <c r="P21" s="109"/>
      <c r="Q21" s="109"/>
      <c r="R21" s="109"/>
      <c r="S21" s="109"/>
      <c r="T21" s="109"/>
      <c r="U21" s="109"/>
      <c r="V21" s="109"/>
      <c r="W21" s="109"/>
      <c r="X21" s="109"/>
      <c r="Y21" s="109"/>
      <c r="Z21" s="109"/>
    </row>
    <row r="22" spans="1:26" ht="16.5" customHeight="1" x14ac:dyDescent="0.35">
      <c r="A22" s="109"/>
      <c r="B22" s="347"/>
      <c r="C22" s="248"/>
      <c r="D22" s="248"/>
      <c r="E22" s="248"/>
      <c r="F22" s="248"/>
      <c r="G22" s="248"/>
      <c r="H22" s="248"/>
      <c r="I22" s="248"/>
      <c r="J22" s="348"/>
      <c r="K22" s="109"/>
      <c r="L22" s="109"/>
      <c r="M22" s="109"/>
      <c r="N22" s="109"/>
      <c r="O22" s="109"/>
      <c r="P22" s="109"/>
      <c r="Q22" s="109"/>
      <c r="R22" s="109"/>
      <c r="S22" s="109"/>
      <c r="T22" s="109"/>
      <c r="U22" s="109"/>
      <c r="V22" s="109"/>
      <c r="W22" s="109"/>
      <c r="X22" s="109"/>
      <c r="Y22" s="109"/>
      <c r="Z22" s="109"/>
    </row>
    <row r="23" spans="1:26" ht="16.5" customHeight="1" x14ac:dyDescent="0.35">
      <c r="A23" s="109"/>
      <c r="B23" s="325"/>
      <c r="C23" s="326"/>
      <c r="D23" s="326"/>
      <c r="E23" s="326"/>
      <c r="F23" s="326"/>
      <c r="G23" s="326"/>
      <c r="H23" s="326"/>
      <c r="I23" s="326"/>
      <c r="J23" s="327"/>
      <c r="K23" s="109"/>
      <c r="L23" s="109"/>
      <c r="M23" s="109"/>
      <c r="N23" s="109"/>
      <c r="O23" s="109"/>
      <c r="P23" s="109"/>
      <c r="Q23" s="109"/>
      <c r="R23" s="109"/>
      <c r="S23" s="109"/>
      <c r="T23" s="109"/>
      <c r="U23" s="109"/>
      <c r="V23" s="109"/>
      <c r="W23" s="109"/>
      <c r="X23" s="109"/>
      <c r="Y23" s="109"/>
      <c r="Z23" s="109"/>
    </row>
    <row r="24" spans="1:26" ht="16.5" customHeight="1" x14ac:dyDescent="0.35">
      <c r="A24" s="109"/>
      <c r="B24" s="346" t="s">
        <v>136</v>
      </c>
      <c r="C24" s="255"/>
      <c r="D24" s="255"/>
      <c r="E24" s="255"/>
      <c r="F24" s="255"/>
      <c r="G24" s="255"/>
      <c r="H24" s="255"/>
      <c r="I24" s="255"/>
      <c r="J24" s="256"/>
      <c r="K24" s="109"/>
      <c r="L24" s="109"/>
      <c r="M24" s="109"/>
      <c r="N24" s="109"/>
      <c r="O24" s="109"/>
      <c r="P24" s="109"/>
      <c r="Q24" s="109"/>
      <c r="R24" s="109"/>
      <c r="S24" s="109"/>
      <c r="T24" s="109"/>
      <c r="U24" s="109"/>
      <c r="V24" s="109"/>
      <c r="W24" s="109"/>
      <c r="X24" s="109"/>
      <c r="Y24" s="109"/>
      <c r="Z24" s="109"/>
    </row>
    <row r="25" spans="1:26" ht="16.5" customHeight="1" x14ac:dyDescent="0.35">
      <c r="A25" s="109"/>
      <c r="B25" s="347"/>
      <c r="C25" s="248"/>
      <c r="D25" s="248"/>
      <c r="E25" s="248"/>
      <c r="F25" s="248"/>
      <c r="G25" s="248"/>
      <c r="H25" s="248"/>
      <c r="I25" s="248"/>
      <c r="J25" s="348"/>
      <c r="K25" s="109"/>
      <c r="L25" s="109"/>
      <c r="M25" s="109"/>
      <c r="N25" s="109"/>
      <c r="O25" s="109"/>
      <c r="P25" s="109"/>
      <c r="Q25" s="109"/>
      <c r="R25" s="109"/>
      <c r="S25" s="109"/>
      <c r="T25" s="109"/>
      <c r="U25" s="109"/>
      <c r="V25" s="109"/>
      <c r="W25" s="109"/>
      <c r="X25" s="109"/>
      <c r="Y25" s="109"/>
      <c r="Z25" s="109"/>
    </row>
    <row r="26" spans="1:26" ht="16.5" customHeight="1" x14ac:dyDescent="0.35">
      <c r="A26" s="109"/>
      <c r="B26" s="325"/>
      <c r="C26" s="326"/>
      <c r="D26" s="326"/>
      <c r="E26" s="326"/>
      <c r="F26" s="326"/>
      <c r="G26" s="326"/>
      <c r="H26" s="326"/>
      <c r="I26" s="326"/>
      <c r="J26" s="327"/>
      <c r="K26" s="109"/>
      <c r="L26" s="109"/>
      <c r="M26" s="109"/>
      <c r="N26" s="109"/>
      <c r="O26" s="109"/>
      <c r="P26" s="109"/>
      <c r="Q26" s="109"/>
      <c r="R26" s="109"/>
      <c r="S26" s="109"/>
      <c r="T26" s="109"/>
      <c r="U26" s="109"/>
      <c r="V26" s="109"/>
      <c r="W26" s="109"/>
      <c r="X26" s="109"/>
      <c r="Y26" s="109"/>
      <c r="Z26" s="109"/>
    </row>
    <row r="27" spans="1:26" ht="16.5" customHeight="1" x14ac:dyDescent="0.35">
      <c r="A27" s="109"/>
      <c r="B27" s="346" t="s">
        <v>137</v>
      </c>
      <c r="C27" s="255"/>
      <c r="D27" s="255"/>
      <c r="E27" s="255"/>
      <c r="F27" s="255"/>
      <c r="G27" s="255"/>
      <c r="H27" s="255"/>
      <c r="I27" s="255"/>
      <c r="J27" s="256"/>
      <c r="K27" s="109"/>
      <c r="L27" s="109"/>
      <c r="M27" s="109"/>
      <c r="N27" s="109"/>
      <c r="O27" s="109"/>
      <c r="P27" s="109"/>
      <c r="Q27" s="109"/>
      <c r="R27" s="109"/>
      <c r="S27" s="109"/>
      <c r="T27" s="109"/>
      <c r="U27" s="109"/>
      <c r="V27" s="109"/>
      <c r="W27" s="109"/>
      <c r="X27" s="109"/>
      <c r="Y27" s="109"/>
      <c r="Z27" s="109"/>
    </row>
    <row r="28" spans="1:26" ht="16.5" customHeight="1" x14ac:dyDescent="0.35">
      <c r="A28" s="109"/>
      <c r="B28" s="347"/>
      <c r="C28" s="248"/>
      <c r="D28" s="248"/>
      <c r="E28" s="248"/>
      <c r="F28" s="248"/>
      <c r="G28" s="248"/>
      <c r="H28" s="248"/>
      <c r="I28" s="248"/>
      <c r="J28" s="348"/>
      <c r="K28" s="109"/>
      <c r="L28" s="109"/>
      <c r="M28" s="109"/>
      <c r="N28" s="109"/>
      <c r="O28" s="109"/>
      <c r="P28" s="109"/>
      <c r="Q28" s="109"/>
      <c r="R28" s="109"/>
      <c r="S28" s="109"/>
      <c r="T28" s="109"/>
      <c r="U28" s="109"/>
      <c r="V28" s="109"/>
      <c r="W28" s="109"/>
      <c r="X28" s="109"/>
      <c r="Y28" s="109"/>
      <c r="Z28" s="109"/>
    </row>
    <row r="29" spans="1:26" ht="16.5" customHeight="1" x14ac:dyDescent="0.35">
      <c r="A29" s="109"/>
      <c r="B29" s="325"/>
      <c r="C29" s="326"/>
      <c r="D29" s="326"/>
      <c r="E29" s="326"/>
      <c r="F29" s="326"/>
      <c r="G29" s="326"/>
      <c r="H29" s="326"/>
      <c r="I29" s="326"/>
      <c r="J29" s="327"/>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t="str">
        <f>CARÁTULA!$C$19</f>
        <v>JOSÉ COAQUIRA COPA</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138</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328125" defaultRowHeight="15" customHeight="1" x14ac:dyDescent="0.35"/>
  <cols>
    <col min="1" max="1" width="3.796875" customWidth="1"/>
    <col min="2" max="2" width="6.1328125" customWidth="1"/>
    <col min="3" max="3" width="12.6640625" customWidth="1"/>
    <col min="4" max="4" width="5.796875" customWidth="1"/>
    <col min="5" max="5" width="7.46484375" customWidth="1"/>
    <col min="6" max="6" width="2.796875" customWidth="1"/>
    <col min="7" max="7" width="14.73046875" customWidth="1"/>
    <col min="8" max="8" width="5.1328125" customWidth="1"/>
    <col min="9" max="10" width="10.796875" customWidth="1"/>
    <col min="11" max="26" width="10.39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49" t="s">
        <v>139</v>
      </c>
      <c r="C2" s="248"/>
      <c r="D2" s="248"/>
      <c r="E2" s="248"/>
      <c r="F2" s="248"/>
      <c r="G2" s="248"/>
      <c r="H2" s="248"/>
      <c r="I2" s="248"/>
      <c r="J2" s="248"/>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t="str">
        <f>CARÁTULA!$C$25</f>
        <v>Tec. Tecnologica Programacion Visual</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52</v>
      </c>
      <c r="I4" s="111" t="str">
        <f>CARÁTULA!$C$19</f>
        <v>JOSÉ COAQUIRA COPA</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6to de Secundaria</v>
      </c>
      <c r="E5" s="109"/>
      <c r="F5" s="109"/>
      <c r="G5" s="109"/>
      <c r="H5" s="110" t="s">
        <v>23</v>
      </c>
      <c r="I5" s="68">
        <f ca="1">TODAY()</f>
        <v>44543</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116</v>
      </c>
      <c r="J6" s="109"/>
      <c r="K6" s="109"/>
      <c r="L6" s="109"/>
      <c r="M6" s="109"/>
      <c r="N6" s="109"/>
      <c r="O6" s="109"/>
      <c r="P6" s="109"/>
      <c r="Q6" s="109"/>
      <c r="R6" s="109"/>
      <c r="S6" s="109"/>
      <c r="T6" s="109"/>
      <c r="U6" s="109"/>
      <c r="V6" s="109"/>
      <c r="W6" s="109"/>
      <c r="X6" s="109"/>
      <c r="Y6" s="109"/>
      <c r="Z6" s="109"/>
    </row>
    <row r="7" spans="1:26" ht="20.399999999999999" x14ac:dyDescent="0.35">
      <c r="A7" s="109"/>
      <c r="B7" s="114" t="s">
        <v>97</v>
      </c>
      <c r="C7" s="113" t="s">
        <v>117</v>
      </c>
      <c r="D7" s="114" t="s">
        <v>118</v>
      </c>
      <c r="E7" s="115" t="s">
        <v>119</v>
      </c>
      <c r="F7" s="109"/>
      <c r="G7" s="116" t="s">
        <v>120</v>
      </c>
      <c r="H7" s="114">
        <f>'VAL 2 TRIM'!$AO$9</f>
        <v>3</v>
      </c>
      <c r="I7" s="117">
        <f>H7/H11</f>
        <v>8.3333333333333329E-2</v>
      </c>
      <c r="J7" s="109"/>
      <c r="K7" s="109"/>
      <c r="L7" s="109"/>
      <c r="M7" s="109"/>
      <c r="N7" s="109"/>
      <c r="O7" s="109"/>
      <c r="P7" s="109"/>
      <c r="Q7" s="109"/>
      <c r="R7" s="109"/>
      <c r="S7" s="109"/>
      <c r="T7" s="109"/>
      <c r="U7" s="109"/>
      <c r="V7" s="109"/>
      <c r="W7" s="109"/>
      <c r="X7" s="109"/>
      <c r="Y7" s="109"/>
      <c r="Z7" s="109"/>
    </row>
    <row r="8" spans="1:26" ht="20.399999999999999" x14ac:dyDescent="0.35">
      <c r="A8" s="109"/>
      <c r="B8" s="114" t="s">
        <v>98</v>
      </c>
      <c r="C8" s="113" t="s">
        <v>121</v>
      </c>
      <c r="D8" s="114" t="s">
        <v>122</v>
      </c>
      <c r="E8" s="115" t="s">
        <v>123</v>
      </c>
      <c r="F8" s="109"/>
      <c r="G8" s="116" t="s">
        <v>124</v>
      </c>
      <c r="H8" s="114">
        <f>'VAL 2 TRIM'!$AO$10</f>
        <v>9</v>
      </c>
      <c r="I8" s="117">
        <f>H8/H11</f>
        <v>0.25</v>
      </c>
      <c r="J8" s="109"/>
      <c r="K8" s="109"/>
      <c r="L8" s="109"/>
      <c r="M8" s="109"/>
      <c r="N8" s="109"/>
      <c r="O8" s="109"/>
      <c r="P8" s="109"/>
      <c r="Q8" s="109"/>
      <c r="R8" s="109"/>
      <c r="S8" s="109"/>
      <c r="T8" s="109"/>
      <c r="U8" s="109"/>
      <c r="V8" s="109"/>
      <c r="W8" s="109"/>
      <c r="X8" s="109"/>
      <c r="Y8" s="109"/>
      <c r="Z8" s="109"/>
    </row>
    <row r="9" spans="1:26" ht="20.399999999999999" x14ac:dyDescent="0.35">
      <c r="A9" s="109"/>
      <c r="B9" s="114" t="s">
        <v>99</v>
      </c>
      <c r="C9" s="113" t="s">
        <v>125</v>
      </c>
      <c r="D9" s="114" t="s">
        <v>126</v>
      </c>
      <c r="E9" s="115" t="s">
        <v>123</v>
      </c>
      <c r="F9" s="109"/>
      <c r="G9" s="118" t="s">
        <v>127</v>
      </c>
      <c r="H9" s="114">
        <f>'VAL 2 TRIM'!$AO$11</f>
        <v>6</v>
      </c>
      <c r="I9" s="117">
        <f>H9/H11</f>
        <v>0.16666666666666666</v>
      </c>
      <c r="J9" s="109"/>
      <c r="K9" s="109"/>
      <c r="L9" s="109"/>
      <c r="M9" s="109"/>
      <c r="N9" s="109"/>
      <c r="O9" s="109"/>
      <c r="P9" s="109"/>
      <c r="Q9" s="109"/>
      <c r="R9" s="109"/>
      <c r="S9" s="109"/>
      <c r="T9" s="109"/>
      <c r="U9" s="109"/>
      <c r="V9" s="109"/>
      <c r="W9" s="109"/>
      <c r="X9" s="109"/>
      <c r="Y9" s="109"/>
      <c r="Z9" s="109"/>
    </row>
    <row r="10" spans="1:26" ht="20.399999999999999" x14ac:dyDescent="0.35">
      <c r="A10" s="109"/>
      <c r="B10" s="114" t="s">
        <v>100</v>
      </c>
      <c r="C10" s="113" t="s">
        <v>128</v>
      </c>
      <c r="D10" s="114" t="s">
        <v>129</v>
      </c>
      <c r="E10" s="115" t="s">
        <v>123</v>
      </c>
      <c r="F10" s="109"/>
      <c r="G10" s="118" t="s">
        <v>130</v>
      </c>
      <c r="H10" s="114">
        <f>'VAL 2 TRIM'!$AO$12</f>
        <v>18</v>
      </c>
      <c r="I10" s="117">
        <f>H10/H11</f>
        <v>0.5</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131</v>
      </c>
      <c r="H11" s="114">
        <f>SUM(H7:H10)</f>
        <v>36</v>
      </c>
      <c r="I11" s="117">
        <f>SUM(I7:I10)</f>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50" t="s">
        <v>132</v>
      </c>
      <c r="C13" s="248"/>
      <c r="D13" s="248"/>
      <c r="E13" s="248"/>
      <c r="F13" s="248"/>
      <c r="G13" s="248"/>
      <c r="H13" s="248"/>
      <c r="I13" s="248"/>
      <c r="J13" s="248"/>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346" t="s">
        <v>133</v>
      </c>
      <c r="C15" s="255"/>
      <c r="D15" s="255"/>
      <c r="E15" s="255"/>
      <c r="F15" s="255"/>
      <c r="G15" s="255"/>
      <c r="H15" s="255"/>
      <c r="I15" s="255"/>
      <c r="J15" s="256"/>
      <c r="K15" s="109"/>
      <c r="L15" s="109"/>
      <c r="M15" s="109"/>
      <c r="N15" s="109"/>
      <c r="O15" s="109"/>
      <c r="P15" s="109"/>
      <c r="Q15" s="109"/>
      <c r="R15" s="109"/>
      <c r="S15" s="109"/>
      <c r="T15" s="109"/>
      <c r="U15" s="109"/>
      <c r="V15" s="109"/>
      <c r="W15" s="109"/>
      <c r="X15" s="109"/>
      <c r="Y15" s="109"/>
      <c r="Z15" s="109"/>
    </row>
    <row r="16" spans="1:26" ht="16.5" customHeight="1" x14ac:dyDescent="0.35">
      <c r="A16" s="109"/>
      <c r="B16" s="347"/>
      <c r="C16" s="248"/>
      <c r="D16" s="248"/>
      <c r="E16" s="248"/>
      <c r="F16" s="248"/>
      <c r="G16" s="248"/>
      <c r="H16" s="248"/>
      <c r="I16" s="248"/>
      <c r="J16" s="348"/>
      <c r="K16" s="109"/>
      <c r="L16" s="109"/>
      <c r="M16" s="109"/>
      <c r="N16" s="109"/>
      <c r="O16" s="109"/>
      <c r="P16" s="109"/>
      <c r="Q16" s="109"/>
      <c r="R16" s="109"/>
      <c r="S16" s="109"/>
      <c r="T16" s="109"/>
      <c r="U16" s="109"/>
      <c r="V16" s="109"/>
      <c r="W16" s="109"/>
      <c r="X16" s="109"/>
      <c r="Y16" s="109"/>
      <c r="Z16" s="109"/>
    </row>
    <row r="17" spans="1:26" ht="16.5" customHeight="1" x14ac:dyDescent="0.35">
      <c r="A17" s="109"/>
      <c r="B17" s="325"/>
      <c r="C17" s="326"/>
      <c r="D17" s="326"/>
      <c r="E17" s="326"/>
      <c r="F17" s="326"/>
      <c r="G17" s="326"/>
      <c r="H17" s="326"/>
      <c r="I17" s="326"/>
      <c r="J17" s="327"/>
      <c r="K17" s="109"/>
      <c r="L17" s="109"/>
      <c r="M17" s="109"/>
      <c r="N17" s="109"/>
      <c r="O17" s="109"/>
      <c r="P17" s="109"/>
      <c r="Q17" s="109"/>
      <c r="R17" s="109"/>
      <c r="S17" s="109"/>
      <c r="T17" s="109"/>
      <c r="U17" s="109"/>
      <c r="V17" s="109"/>
      <c r="W17" s="109"/>
      <c r="X17" s="109"/>
      <c r="Y17" s="109"/>
      <c r="Z17" s="109"/>
    </row>
    <row r="18" spans="1:26" ht="16.5" customHeight="1" x14ac:dyDescent="0.35">
      <c r="A18" s="109"/>
      <c r="B18" s="346" t="s">
        <v>134</v>
      </c>
      <c r="C18" s="255"/>
      <c r="D18" s="255"/>
      <c r="E18" s="255"/>
      <c r="F18" s="255"/>
      <c r="G18" s="255"/>
      <c r="H18" s="255"/>
      <c r="I18" s="255"/>
      <c r="J18" s="256"/>
      <c r="K18" s="109"/>
      <c r="L18" s="109"/>
      <c r="M18" s="109"/>
      <c r="N18" s="109"/>
      <c r="O18" s="109"/>
      <c r="P18" s="109"/>
      <c r="Q18" s="109"/>
      <c r="R18" s="109"/>
      <c r="S18" s="109"/>
      <c r="T18" s="109"/>
      <c r="U18" s="109"/>
      <c r="V18" s="109"/>
      <c r="W18" s="109"/>
      <c r="X18" s="109"/>
      <c r="Y18" s="109"/>
      <c r="Z18" s="109"/>
    </row>
    <row r="19" spans="1:26" ht="16.5" customHeight="1" x14ac:dyDescent="0.35">
      <c r="A19" s="109"/>
      <c r="B19" s="347"/>
      <c r="C19" s="248"/>
      <c r="D19" s="248"/>
      <c r="E19" s="248"/>
      <c r="F19" s="248"/>
      <c r="G19" s="248"/>
      <c r="H19" s="248"/>
      <c r="I19" s="248"/>
      <c r="J19" s="348"/>
      <c r="K19" s="109"/>
      <c r="L19" s="109"/>
      <c r="M19" s="109"/>
      <c r="N19" s="109"/>
      <c r="O19" s="109"/>
      <c r="P19" s="109"/>
      <c r="Q19" s="109"/>
      <c r="R19" s="109"/>
      <c r="S19" s="109"/>
      <c r="T19" s="109"/>
      <c r="U19" s="109"/>
      <c r="V19" s="109"/>
      <c r="W19" s="109"/>
      <c r="X19" s="109"/>
      <c r="Y19" s="109"/>
      <c r="Z19" s="109"/>
    </row>
    <row r="20" spans="1:26" ht="16.5" customHeight="1" x14ac:dyDescent="0.35">
      <c r="A20" s="109"/>
      <c r="B20" s="325"/>
      <c r="C20" s="326"/>
      <c r="D20" s="326"/>
      <c r="E20" s="326"/>
      <c r="F20" s="326"/>
      <c r="G20" s="326"/>
      <c r="H20" s="326"/>
      <c r="I20" s="326"/>
      <c r="J20" s="327"/>
      <c r="K20" s="109"/>
      <c r="L20" s="109"/>
      <c r="M20" s="109"/>
      <c r="N20" s="109"/>
      <c r="O20" s="109"/>
      <c r="P20" s="109"/>
      <c r="Q20" s="109"/>
      <c r="R20" s="109"/>
      <c r="S20" s="109"/>
      <c r="T20" s="109"/>
      <c r="U20" s="109"/>
      <c r="V20" s="109"/>
      <c r="W20" s="109"/>
      <c r="X20" s="109"/>
      <c r="Y20" s="109"/>
      <c r="Z20" s="109"/>
    </row>
    <row r="21" spans="1:26" ht="16.5" customHeight="1" x14ac:dyDescent="0.35">
      <c r="A21" s="109"/>
      <c r="B21" s="346" t="s">
        <v>135</v>
      </c>
      <c r="C21" s="255"/>
      <c r="D21" s="255"/>
      <c r="E21" s="255"/>
      <c r="F21" s="255"/>
      <c r="G21" s="255"/>
      <c r="H21" s="255"/>
      <c r="I21" s="255"/>
      <c r="J21" s="256"/>
      <c r="K21" s="109"/>
      <c r="L21" s="109"/>
      <c r="M21" s="109"/>
      <c r="N21" s="109"/>
      <c r="O21" s="109"/>
      <c r="P21" s="109"/>
      <c r="Q21" s="109"/>
      <c r="R21" s="109"/>
      <c r="S21" s="109"/>
      <c r="T21" s="109"/>
      <c r="U21" s="109"/>
      <c r="V21" s="109"/>
      <c r="W21" s="109"/>
      <c r="X21" s="109"/>
      <c r="Y21" s="109"/>
      <c r="Z21" s="109"/>
    </row>
    <row r="22" spans="1:26" ht="16.5" customHeight="1" x14ac:dyDescent="0.35">
      <c r="A22" s="109"/>
      <c r="B22" s="347"/>
      <c r="C22" s="248"/>
      <c r="D22" s="248"/>
      <c r="E22" s="248"/>
      <c r="F22" s="248"/>
      <c r="G22" s="248"/>
      <c r="H22" s="248"/>
      <c r="I22" s="248"/>
      <c r="J22" s="348"/>
      <c r="K22" s="109"/>
      <c r="L22" s="109"/>
      <c r="M22" s="109"/>
      <c r="N22" s="109"/>
      <c r="O22" s="109"/>
      <c r="P22" s="109"/>
      <c r="Q22" s="109"/>
      <c r="R22" s="109"/>
      <c r="S22" s="109"/>
      <c r="T22" s="109"/>
      <c r="U22" s="109"/>
      <c r="V22" s="109"/>
      <c r="W22" s="109"/>
      <c r="X22" s="109"/>
      <c r="Y22" s="109"/>
      <c r="Z22" s="109"/>
    </row>
    <row r="23" spans="1:26" ht="16.5" customHeight="1" x14ac:dyDescent="0.35">
      <c r="A23" s="109"/>
      <c r="B23" s="325"/>
      <c r="C23" s="326"/>
      <c r="D23" s="326"/>
      <c r="E23" s="326"/>
      <c r="F23" s="326"/>
      <c r="G23" s="326"/>
      <c r="H23" s="326"/>
      <c r="I23" s="326"/>
      <c r="J23" s="327"/>
      <c r="K23" s="109"/>
      <c r="L23" s="109"/>
      <c r="M23" s="109"/>
      <c r="N23" s="109"/>
      <c r="O23" s="109"/>
      <c r="P23" s="109"/>
      <c r="Q23" s="109"/>
      <c r="R23" s="109"/>
      <c r="S23" s="109"/>
      <c r="T23" s="109"/>
      <c r="U23" s="109"/>
      <c r="V23" s="109"/>
      <c r="W23" s="109"/>
      <c r="X23" s="109"/>
      <c r="Y23" s="109"/>
      <c r="Z23" s="109"/>
    </row>
    <row r="24" spans="1:26" ht="16.5" customHeight="1" x14ac:dyDescent="0.35">
      <c r="A24" s="109"/>
      <c r="B24" s="346" t="s">
        <v>136</v>
      </c>
      <c r="C24" s="255"/>
      <c r="D24" s="255"/>
      <c r="E24" s="255"/>
      <c r="F24" s="255"/>
      <c r="G24" s="255"/>
      <c r="H24" s="255"/>
      <c r="I24" s="255"/>
      <c r="J24" s="256"/>
      <c r="K24" s="109"/>
      <c r="L24" s="109"/>
      <c r="M24" s="109"/>
      <c r="N24" s="109"/>
      <c r="O24" s="109"/>
      <c r="P24" s="109"/>
      <c r="Q24" s="109"/>
      <c r="R24" s="109"/>
      <c r="S24" s="109"/>
      <c r="T24" s="109"/>
      <c r="U24" s="109"/>
      <c r="V24" s="109"/>
      <c r="W24" s="109"/>
      <c r="X24" s="109"/>
      <c r="Y24" s="109"/>
      <c r="Z24" s="109"/>
    </row>
    <row r="25" spans="1:26" ht="16.5" customHeight="1" x14ac:dyDescent="0.35">
      <c r="A25" s="109"/>
      <c r="B25" s="347"/>
      <c r="C25" s="248"/>
      <c r="D25" s="248"/>
      <c r="E25" s="248"/>
      <c r="F25" s="248"/>
      <c r="G25" s="248"/>
      <c r="H25" s="248"/>
      <c r="I25" s="248"/>
      <c r="J25" s="348"/>
      <c r="K25" s="109"/>
      <c r="L25" s="109"/>
      <c r="M25" s="109"/>
      <c r="N25" s="109"/>
      <c r="O25" s="109"/>
      <c r="P25" s="109"/>
      <c r="Q25" s="109"/>
      <c r="R25" s="109"/>
      <c r="S25" s="109"/>
      <c r="T25" s="109"/>
      <c r="U25" s="109"/>
      <c r="V25" s="109"/>
      <c r="W25" s="109"/>
      <c r="X25" s="109"/>
      <c r="Y25" s="109"/>
      <c r="Z25" s="109"/>
    </row>
    <row r="26" spans="1:26" ht="16.5" customHeight="1" x14ac:dyDescent="0.35">
      <c r="A26" s="109"/>
      <c r="B26" s="325"/>
      <c r="C26" s="326"/>
      <c r="D26" s="326"/>
      <c r="E26" s="326"/>
      <c r="F26" s="326"/>
      <c r="G26" s="326"/>
      <c r="H26" s="326"/>
      <c r="I26" s="326"/>
      <c r="J26" s="327"/>
      <c r="K26" s="109"/>
      <c r="L26" s="109"/>
      <c r="M26" s="109"/>
      <c r="N26" s="109"/>
      <c r="O26" s="109"/>
      <c r="P26" s="109"/>
      <c r="Q26" s="109"/>
      <c r="R26" s="109"/>
      <c r="S26" s="109"/>
      <c r="T26" s="109"/>
      <c r="U26" s="109"/>
      <c r="V26" s="109"/>
      <c r="W26" s="109"/>
      <c r="X26" s="109"/>
      <c r="Y26" s="109"/>
      <c r="Z26" s="109"/>
    </row>
    <row r="27" spans="1:26" ht="16.5" customHeight="1" x14ac:dyDescent="0.35">
      <c r="A27" s="109"/>
      <c r="B27" s="346" t="s">
        <v>137</v>
      </c>
      <c r="C27" s="255"/>
      <c r="D27" s="255"/>
      <c r="E27" s="255"/>
      <c r="F27" s="255"/>
      <c r="G27" s="255"/>
      <c r="H27" s="255"/>
      <c r="I27" s="255"/>
      <c r="J27" s="256"/>
      <c r="K27" s="109"/>
      <c r="L27" s="109"/>
      <c r="M27" s="109"/>
      <c r="N27" s="109"/>
      <c r="O27" s="109"/>
      <c r="P27" s="109"/>
      <c r="Q27" s="109"/>
      <c r="R27" s="109"/>
      <c r="S27" s="109"/>
      <c r="T27" s="109"/>
      <c r="U27" s="109"/>
      <c r="V27" s="109"/>
      <c r="W27" s="109"/>
      <c r="X27" s="109"/>
      <c r="Y27" s="109"/>
      <c r="Z27" s="109"/>
    </row>
    <row r="28" spans="1:26" ht="16.5" customHeight="1" x14ac:dyDescent="0.35">
      <c r="A28" s="109"/>
      <c r="B28" s="347"/>
      <c r="C28" s="248"/>
      <c r="D28" s="248"/>
      <c r="E28" s="248"/>
      <c r="F28" s="248"/>
      <c r="G28" s="248"/>
      <c r="H28" s="248"/>
      <c r="I28" s="248"/>
      <c r="J28" s="348"/>
      <c r="K28" s="109"/>
      <c r="L28" s="109"/>
      <c r="M28" s="109"/>
      <c r="N28" s="109"/>
      <c r="O28" s="109"/>
      <c r="P28" s="109"/>
      <c r="Q28" s="109"/>
      <c r="R28" s="109"/>
      <c r="S28" s="109"/>
      <c r="T28" s="109"/>
      <c r="U28" s="109"/>
      <c r="V28" s="109"/>
      <c r="W28" s="109"/>
      <c r="X28" s="109"/>
      <c r="Y28" s="109"/>
      <c r="Z28" s="109"/>
    </row>
    <row r="29" spans="1:26" ht="16.5" customHeight="1" x14ac:dyDescent="0.35">
      <c r="A29" s="109"/>
      <c r="B29" s="325"/>
      <c r="C29" s="326"/>
      <c r="D29" s="326"/>
      <c r="E29" s="326"/>
      <c r="F29" s="326"/>
      <c r="G29" s="326"/>
      <c r="H29" s="326"/>
      <c r="I29" s="326"/>
      <c r="J29" s="327"/>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t="str">
        <f>CARÁTULA!$C$19</f>
        <v>JOSÉ COAQUIRA COPA</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138</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328125" defaultRowHeight="15" customHeight="1" x14ac:dyDescent="0.35"/>
  <cols>
    <col min="1" max="1" width="3.796875" customWidth="1"/>
    <col min="2" max="2" width="6.1328125" customWidth="1"/>
    <col min="3" max="3" width="12.6640625" customWidth="1"/>
    <col min="4" max="4" width="5.796875" customWidth="1"/>
    <col min="5" max="5" width="7.46484375" customWidth="1"/>
    <col min="6" max="6" width="2.796875" customWidth="1"/>
    <col min="7" max="7" width="14.73046875" customWidth="1"/>
    <col min="8" max="8" width="5.1328125" customWidth="1"/>
    <col min="9" max="10" width="10.796875" customWidth="1"/>
    <col min="11" max="26" width="10.39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49" t="s">
        <v>140</v>
      </c>
      <c r="C2" s="248"/>
      <c r="D2" s="248"/>
      <c r="E2" s="248"/>
      <c r="F2" s="248"/>
      <c r="G2" s="248"/>
      <c r="H2" s="248"/>
      <c r="I2" s="248"/>
      <c r="J2" s="248"/>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t="str">
        <f>CARÁTULA!$C$25</f>
        <v>Tec. Tecnologica Programacion Visual</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52</v>
      </c>
      <c r="I4" s="111" t="str">
        <f>CARÁTULA!$C$19</f>
        <v>JOSÉ COAQUIRA COPA</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6to de Secundaria</v>
      </c>
      <c r="E5" s="109"/>
      <c r="F5" s="109"/>
      <c r="G5" s="109"/>
      <c r="H5" s="110" t="s">
        <v>23</v>
      </c>
      <c r="I5" s="68">
        <f ca="1">TODAY()</f>
        <v>44543</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116</v>
      </c>
      <c r="J6" s="109"/>
      <c r="K6" s="109"/>
      <c r="L6" s="109"/>
      <c r="M6" s="109"/>
      <c r="N6" s="109"/>
      <c r="O6" s="109"/>
      <c r="P6" s="109"/>
      <c r="Q6" s="109"/>
      <c r="R6" s="109"/>
      <c r="S6" s="109"/>
      <c r="T6" s="109"/>
      <c r="U6" s="109"/>
      <c r="V6" s="109"/>
      <c r="W6" s="109"/>
      <c r="X6" s="109"/>
      <c r="Y6" s="109"/>
      <c r="Z6" s="109"/>
    </row>
    <row r="7" spans="1:26" ht="20.399999999999999" x14ac:dyDescent="0.35">
      <c r="A7" s="109"/>
      <c r="B7" s="114" t="s">
        <v>97</v>
      </c>
      <c r="C7" s="113" t="s">
        <v>117</v>
      </c>
      <c r="D7" s="114" t="s">
        <v>118</v>
      </c>
      <c r="E7" s="115" t="s">
        <v>119</v>
      </c>
      <c r="F7" s="109"/>
      <c r="G7" s="116" t="s">
        <v>120</v>
      </c>
      <c r="H7" s="114">
        <f>'VAL 3 TRIM'!$AO$9</f>
        <v>4</v>
      </c>
      <c r="I7" s="117">
        <f>H7/H11</f>
        <v>0.1111111111111111</v>
      </c>
      <c r="J7" s="109"/>
      <c r="K7" s="109"/>
      <c r="L7" s="109"/>
      <c r="M7" s="109"/>
      <c r="N7" s="109"/>
      <c r="O7" s="109"/>
      <c r="P7" s="109"/>
      <c r="Q7" s="109"/>
      <c r="R7" s="109"/>
      <c r="S7" s="109"/>
      <c r="T7" s="109"/>
      <c r="U7" s="109"/>
      <c r="V7" s="109"/>
      <c r="W7" s="109"/>
      <c r="X7" s="109"/>
      <c r="Y7" s="109"/>
      <c r="Z7" s="109"/>
    </row>
    <row r="8" spans="1:26" ht="20.399999999999999" x14ac:dyDescent="0.35">
      <c r="A8" s="109"/>
      <c r="B8" s="114" t="s">
        <v>98</v>
      </c>
      <c r="C8" s="113" t="s">
        <v>121</v>
      </c>
      <c r="D8" s="114" t="s">
        <v>122</v>
      </c>
      <c r="E8" s="115" t="s">
        <v>123</v>
      </c>
      <c r="F8" s="109"/>
      <c r="G8" s="116" t="s">
        <v>124</v>
      </c>
      <c r="H8" s="114">
        <f>'VAL 3 TRIM'!$AO$10</f>
        <v>5</v>
      </c>
      <c r="I8" s="117">
        <f>H8/H11</f>
        <v>0.1388888888888889</v>
      </c>
      <c r="J8" s="109"/>
      <c r="K8" s="109"/>
      <c r="L8" s="109"/>
      <c r="M8" s="109"/>
      <c r="N8" s="109"/>
      <c r="O8" s="109"/>
      <c r="P8" s="109"/>
      <c r="Q8" s="109"/>
      <c r="R8" s="109"/>
      <c r="S8" s="109"/>
      <c r="T8" s="109"/>
      <c r="U8" s="109"/>
      <c r="V8" s="109"/>
      <c r="W8" s="109"/>
      <c r="X8" s="109"/>
      <c r="Y8" s="109"/>
      <c r="Z8" s="109"/>
    </row>
    <row r="9" spans="1:26" ht="20.399999999999999" x14ac:dyDescent="0.35">
      <c r="A9" s="109"/>
      <c r="B9" s="114" t="s">
        <v>99</v>
      </c>
      <c r="C9" s="113" t="s">
        <v>125</v>
      </c>
      <c r="D9" s="114" t="s">
        <v>126</v>
      </c>
      <c r="E9" s="115" t="s">
        <v>123</v>
      </c>
      <c r="F9" s="109"/>
      <c r="G9" s="118" t="s">
        <v>127</v>
      </c>
      <c r="H9" s="114">
        <f>'VAL 3 TRIM'!$AO$11</f>
        <v>6</v>
      </c>
      <c r="I9" s="117">
        <f>H9/H11</f>
        <v>0.16666666666666666</v>
      </c>
      <c r="J9" s="109"/>
      <c r="K9" s="109"/>
      <c r="L9" s="109"/>
      <c r="M9" s="109"/>
      <c r="N9" s="109"/>
      <c r="O9" s="109"/>
      <c r="P9" s="109"/>
      <c r="Q9" s="109"/>
      <c r="R9" s="109"/>
      <c r="S9" s="109"/>
      <c r="T9" s="109"/>
      <c r="U9" s="109"/>
      <c r="V9" s="109"/>
      <c r="W9" s="109"/>
      <c r="X9" s="109"/>
      <c r="Y9" s="109"/>
      <c r="Z9" s="109"/>
    </row>
    <row r="10" spans="1:26" ht="20.399999999999999" x14ac:dyDescent="0.35">
      <c r="A10" s="109"/>
      <c r="B10" s="114" t="s">
        <v>100</v>
      </c>
      <c r="C10" s="113" t="s">
        <v>128</v>
      </c>
      <c r="D10" s="114" t="s">
        <v>129</v>
      </c>
      <c r="E10" s="115" t="s">
        <v>123</v>
      </c>
      <c r="F10" s="109"/>
      <c r="G10" s="118" t="s">
        <v>130</v>
      </c>
      <c r="H10" s="114">
        <f>'VAL 3 TRIM'!$AO$12</f>
        <v>21</v>
      </c>
      <c r="I10" s="117">
        <f>H10/H11</f>
        <v>0.58333333333333337</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131</v>
      </c>
      <c r="H11" s="114">
        <f>SUM(H7:H10)</f>
        <v>36</v>
      </c>
      <c r="I11" s="117">
        <f>SUM(I7:I10)</f>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50" t="s">
        <v>132</v>
      </c>
      <c r="C13" s="248"/>
      <c r="D13" s="248"/>
      <c r="E13" s="248"/>
      <c r="F13" s="248"/>
      <c r="G13" s="248"/>
      <c r="H13" s="248"/>
      <c r="I13" s="248"/>
      <c r="J13" s="248"/>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346" t="s">
        <v>133</v>
      </c>
      <c r="C15" s="255"/>
      <c r="D15" s="255"/>
      <c r="E15" s="255"/>
      <c r="F15" s="255"/>
      <c r="G15" s="255"/>
      <c r="H15" s="255"/>
      <c r="I15" s="255"/>
      <c r="J15" s="256"/>
      <c r="K15" s="109"/>
      <c r="L15" s="109"/>
      <c r="M15" s="109"/>
      <c r="N15" s="109"/>
      <c r="O15" s="109"/>
      <c r="P15" s="109"/>
      <c r="Q15" s="109"/>
      <c r="R15" s="109"/>
      <c r="S15" s="109"/>
      <c r="T15" s="109"/>
      <c r="U15" s="109"/>
      <c r="V15" s="109"/>
      <c r="W15" s="109"/>
      <c r="X15" s="109"/>
      <c r="Y15" s="109"/>
      <c r="Z15" s="109"/>
    </row>
    <row r="16" spans="1:26" ht="16.5" customHeight="1" x14ac:dyDescent="0.35">
      <c r="A16" s="109"/>
      <c r="B16" s="347"/>
      <c r="C16" s="248"/>
      <c r="D16" s="248"/>
      <c r="E16" s="248"/>
      <c r="F16" s="248"/>
      <c r="G16" s="248"/>
      <c r="H16" s="248"/>
      <c r="I16" s="248"/>
      <c r="J16" s="348"/>
      <c r="K16" s="109"/>
      <c r="L16" s="109"/>
      <c r="M16" s="109"/>
      <c r="N16" s="109"/>
      <c r="O16" s="109"/>
      <c r="P16" s="109"/>
      <c r="Q16" s="109"/>
      <c r="R16" s="109"/>
      <c r="S16" s="109"/>
      <c r="T16" s="109"/>
      <c r="U16" s="109"/>
      <c r="V16" s="109"/>
      <c r="W16" s="109"/>
      <c r="X16" s="109"/>
      <c r="Y16" s="109"/>
      <c r="Z16" s="109"/>
    </row>
    <row r="17" spans="1:26" ht="16.5" customHeight="1" x14ac:dyDescent="0.35">
      <c r="A17" s="109"/>
      <c r="B17" s="325"/>
      <c r="C17" s="326"/>
      <c r="D17" s="326"/>
      <c r="E17" s="326"/>
      <c r="F17" s="326"/>
      <c r="G17" s="326"/>
      <c r="H17" s="326"/>
      <c r="I17" s="326"/>
      <c r="J17" s="327"/>
      <c r="K17" s="109"/>
      <c r="L17" s="109"/>
      <c r="M17" s="109"/>
      <c r="N17" s="109"/>
      <c r="O17" s="109"/>
      <c r="P17" s="109"/>
      <c r="Q17" s="109"/>
      <c r="R17" s="109"/>
      <c r="S17" s="109"/>
      <c r="T17" s="109"/>
      <c r="U17" s="109"/>
      <c r="V17" s="109"/>
      <c r="W17" s="109"/>
      <c r="X17" s="109"/>
      <c r="Y17" s="109"/>
      <c r="Z17" s="109"/>
    </row>
    <row r="18" spans="1:26" ht="16.5" customHeight="1" x14ac:dyDescent="0.35">
      <c r="A18" s="109"/>
      <c r="B18" s="346" t="s">
        <v>134</v>
      </c>
      <c r="C18" s="255"/>
      <c r="D18" s="255"/>
      <c r="E18" s="255"/>
      <c r="F18" s="255"/>
      <c r="G18" s="255"/>
      <c r="H18" s="255"/>
      <c r="I18" s="255"/>
      <c r="J18" s="256"/>
      <c r="K18" s="109"/>
      <c r="L18" s="109"/>
      <c r="M18" s="109"/>
      <c r="N18" s="109"/>
      <c r="O18" s="109"/>
      <c r="P18" s="109"/>
      <c r="Q18" s="109"/>
      <c r="R18" s="109"/>
      <c r="S18" s="109"/>
      <c r="T18" s="109"/>
      <c r="U18" s="109"/>
      <c r="V18" s="109"/>
      <c r="W18" s="109"/>
      <c r="X18" s="109"/>
      <c r="Y18" s="109"/>
      <c r="Z18" s="109"/>
    </row>
    <row r="19" spans="1:26" ht="16.5" customHeight="1" x14ac:dyDescent="0.35">
      <c r="A19" s="109"/>
      <c r="B19" s="347"/>
      <c r="C19" s="248"/>
      <c r="D19" s="248"/>
      <c r="E19" s="248"/>
      <c r="F19" s="248"/>
      <c r="G19" s="248"/>
      <c r="H19" s="248"/>
      <c r="I19" s="248"/>
      <c r="J19" s="348"/>
      <c r="K19" s="109"/>
      <c r="L19" s="109"/>
      <c r="M19" s="109"/>
      <c r="N19" s="109"/>
      <c r="O19" s="109"/>
      <c r="P19" s="109"/>
      <c r="Q19" s="109"/>
      <c r="R19" s="109"/>
      <c r="S19" s="109"/>
      <c r="T19" s="109"/>
      <c r="U19" s="109"/>
      <c r="V19" s="109"/>
      <c r="W19" s="109"/>
      <c r="X19" s="109"/>
      <c r="Y19" s="109"/>
      <c r="Z19" s="109"/>
    </row>
    <row r="20" spans="1:26" ht="16.5" customHeight="1" x14ac:dyDescent="0.35">
      <c r="A20" s="109"/>
      <c r="B20" s="325"/>
      <c r="C20" s="326"/>
      <c r="D20" s="326"/>
      <c r="E20" s="326"/>
      <c r="F20" s="326"/>
      <c r="G20" s="326"/>
      <c r="H20" s="326"/>
      <c r="I20" s="326"/>
      <c r="J20" s="327"/>
      <c r="K20" s="109"/>
      <c r="L20" s="109"/>
      <c r="M20" s="109"/>
      <c r="N20" s="109"/>
      <c r="O20" s="109"/>
      <c r="P20" s="109"/>
      <c r="Q20" s="109"/>
      <c r="R20" s="109"/>
      <c r="S20" s="109"/>
      <c r="T20" s="109"/>
      <c r="U20" s="109"/>
      <c r="V20" s="109"/>
      <c r="W20" s="109"/>
      <c r="X20" s="109"/>
      <c r="Y20" s="109"/>
      <c r="Z20" s="109"/>
    </row>
    <row r="21" spans="1:26" ht="16.5" customHeight="1" x14ac:dyDescent="0.35">
      <c r="A21" s="109"/>
      <c r="B21" s="346" t="s">
        <v>135</v>
      </c>
      <c r="C21" s="255"/>
      <c r="D21" s="255"/>
      <c r="E21" s="255"/>
      <c r="F21" s="255"/>
      <c r="G21" s="255"/>
      <c r="H21" s="255"/>
      <c r="I21" s="255"/>
      <c r="J21" s="256"/>
      <c r="K21" s="109"/>
      <c r="L21" s="109"/>
      <c r="M21" s="109"/>
      <c r="N21" s="109"/>
      <c r="O21" s="109"/>
      <c r="P21" s="109"/>
      <c r="Q21" s="109"/>
      <c r="R21" s="109"/>
      <c r="S21" s="109"/>
      <c r="T21" s="109"/>
      <c r="U21" s="109"/>
      <c r="V21" s="109"/>
      <c r="W21" s="109"/>
      <c r="X21" s="109"/>
      <c r="Y21" s="109"/>
      <c r="Z21" s="109"/>
    </row>
    <row r="22" spans="1:26" ht="16.5" customHeight="1" x14ac:dyDescent="0.35">
      <c r="A22" s="109"/>
      <c r="B22" s="347"/>
      <c r="C22" s="248"/>
      <c r="D22" s="248"/>
      <c r="E22" s="248"/>
      <c r="F22" s="248"/>
      <c r="G22" s="248"/>
      <c r="H22" s="248"/>
      <c r="I22" s="248"/>
      <c r="J22" s="348"/>
      <c r="K22" s="109"/>
      <c r="L22" s="109"/>
      <c r="M22" s="109"/>
      <c r="N22" s="109"/>
      <c r="O22" s="109"/>
      <c r="P22" s="109"/>
      <c r="Q22" s="109"/>
      <c r="R22" s="109"/>
      <c r="S22" s="109"/>
      <c r="T22" s="109"/>
      <c r="U22" s="109"/>
      <c r="V22" s="109"/>
      <c r="W22" s="109"/>
      <c r="X22" s="109"/>
      <c r="Y22" s="109"/>
      <c r="Z22" s="109"/>
    </row>
    <row r="23" spans="1:26" ht="16.5" customHeight="1" x14ac:dyDescent="0.35">
      <c r="A23" s="109"/>
      <c r="B23" s="325"/>
      <c r="C23" s="326"/>
      <c r="D23" s="326"/>
      <c r="E23" s="326"/>
      <c r="F23" s="326"/>
      <c r="G23" s="326"/>
      <c r="H23" s="326"/>
      <c r="I23" s="326"/>
      <c r="J23" s="327"/>
      <c r="K23" s="109"/>
      <c r="L23" s="109"/>
      <c r="M23" s="109"/>
      <c r="N23" s="109"/>
      <c r="O23" s="109"/>
      <c r="P23" s="109"/>
      <c r="Q23" s="109"/>
      <c r="R23" s="109"/>
      <c r="S23" s="109"/>
      <c r="T23" s="109"/>
      <c r="U23" s="109"/>
      <c r="V23" s="109"/>
      <c r="W23" s="109"/>
      <c r="X23" s="109"/>
      <c r="Y23" s="109"/>
      <c r="Z23" s="109"/>
    </row>
    <row r="24" spans="1:26" ht="16.5" customHeight="1" x14ac:dyDescent="0.35">
      <c r="A24" s="109"/>
      <c r="B24" s="346" t="s">
        <v>136</v>
      </c>
      <c r="C24" s="255"/>
      <c r="D24" s="255"/>
      <c r="E24" s="255"/>
      <c r="F24" s="255"/>
      <c r="G24" s="255"/>
      <c r="H24" s="255"/>
      <c r="I24" s="255"/>
      <c r="J24" s="256"/>
      <c r="K24" s="109"/>
      <c r="L24" s="109"/>
      <c r="M24" s="109"/>
      <c r="N24" s="109"/>
      <c r="O24" s="109"/>
      <c r="P24" s="109"/>
      <c r="Q24" s="109"/>
      <c r="R24" s="109"/>
      <c r="S24" s="109"/>
      <c r="T24" s="109"/>
      <c r="U24" s="109"/>
      <c r="V24" s="109"/>
      <c r="W24" s="109"/>
      <c r="X24" s="109"/>
      <c r="Y24" s="109"/>
      <c r="Z24" s="109"/>
    </row>
    <row r="25" spans="1:26" ht="16.5" customHeight="1" x14ac:dyDescent="0.35">
      <c r="A25" s="109"/>
      <c r="B25" s="347"/>
      <c r="C25" s="248"/>
      <c r="D25" s="248"/>
      <c r="E25" s="248"/>
      <c r="F25" s="248"/>
      <c r="G25" s="248"/>
      <c r="H25" s="248"/>
      <c r="I25" s="248"/>
      <c r="J25" s="348"/>
      <c r="K25" s="109"/>
      <c r="L25" s="109"/>
      <c r="M25" s="109"/>
      <c r="N25" s="109"/>
      <c r="O25" s="109"/>
      <c r="P25" s="109"/>
      <c r="Q25" s="109"/>
      <c r="R25" s="109"/>
      <c r="S25" s="109"/>
      <c r="T25" s="109"/>
      <c r="U25" s="109"/>
      <c r="V25" s="109"/>
      <c r="W25" s="109"/>
      <c r="X25" s="109"/>
      <c r="Y25" s="109"/>
      <c r="Z25" s="109"/>
    </row>
    <row r="26" spans="1:26" ht="16.5" customHeight="1" x14ac:dyDescent="0.35">
      <c r="A26" s="109"/>
      <c r="B26" s="325"/>
      <c r="C26" s="326"/>
      <c r="D26" s="326"/>
      <c r="E26" s="326"/>
      <c r="F26" s="326"/>
      <c r="G26" s="326"/>
      <c r="H26" s="326"/>
      <c r="I26" s="326"/>
      <c r="J26" s="327"/>
      <c r="K26" s="109"/>
      <c r="L26" s="109"/>
      <c r="M26" s="109"/>
      <c r="N26" s="109"/>
      <c r="O26" s="109"/>
      <c r="P26" s="109"/>
      <c r="Q26" s="109"/>
      <c r="R26" s="109"/>
      <c r="S26" s="109"/>
      <c r="T26" s="109"/>
      <c r="U26" s="109"/>
      <c r="V26" s="109"/>
      <c r="W26" s="109"/>
      <c r="X26" s="109"/>
      <c r="Y26" s="109"/>
      <c r="Z26" s="109"/>
    </row>
    <row r="27" spans="1:26" ht="16.5" customHeight="1" x14ac:dyDescent="0.35">
      <c r="A27" s="109"/>
      <c r="B27" s="346" t="s">
        <v>137</v>
      </c>
      <c r="C27" s="255"/>
      <c r="D27" s="255"/>
      <c r="E27" s="255"/>
      <c r="F27" s="255"/>
      <c r="G27" s="255"/>
      <c r="H27" s="255"/>
      <c r="I27" s="255"/>
      <c r="J27" s="256"/>
      <c r="K27" s="109"/>
      <c r="L27" s="109"/>
      <c r="M27" s="109"/>
      <c r="N27" s="109"/>
      <c r="O27" s="109"/>
      <c r="P27" s="109"/>
      <c r="Q27" s="109"/>
      <c r="R27" s="109"/>
      <c r="S27" s="109"/>
      <c r="T27" s="109"/>
      <c r="U27" s="109"/>
      <c r="V27" s="109"/>
      <c r="W27" s="109"/>
      <c r="X27" s="109"/>
      <c r="Y27" s="109"/>
      <c r="Z27" s="109"/>
    </row>
    <row r="28" spans="1:26" ht="16.5" customHeight="1" x14ac:dyDescent="0.35">
      <c r="A28" s="109"/>
      <c r="B28" s="347"/>
      <c r="C28" s="248"/>
      <c r="D28" s="248"/>
      <c r="E28" s="248"/>
      <c r="F28" s="248"/>
      <c r="G28" s="248"/>
      <c r="H28" s="248"/>
      <c r="I28" s="248"/>
      <c r="J28" s="348"/>
      <c r="K28" s="109"/>
      <c r="L28" s="109"/>
      <c r="M28" s="109"/>
      <c r="N28" s="109"/>
      <c r="O28" s="109"/>
      <c r="P28" s="109"/>
      <c r="Q28" s="109"/>
      <c r="R28" s="109"/>
      <c r="S28" s="109"/>
      <c r="T28" s="109"/>
      <c r="U28" s="109"/>
      <c r="V28" s="109"/>
      <c r="W28" s="109"/>
      <c r="X28" s="109"/>
      <c r="Y28" s="109"/>
      <c r="Z28" s="109"/>
    </row>
    <row r="29" spans="1:26" ht="16.5" customHeight="1" x14ac:dyDescent="0.35">
      <c r="A29" s="109"/>
      <c r="B29" s="325"/>
      <c r="C29" s="326"/>
      <c r="D29" s="326"/>
      <c r="E29" s="326"/>
      <c r="F29" s="326"/>
      <c r="G29" s="326"/>
      <c r="H29" s="326"/>
      <c r="I29" s="326"/>
      <c r="J29" s="327"/>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t="str">
        <f>CARÁTULA!$C$19</f>
        <v>JOSÉ COAQUIRA COPA</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138</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328125" defaultRowHeight="15" customHeight="1" x14ac:dyDescent="0.35"/>
  <cols>
    <col min="1" max="1" width="1.6640625" customWidth="1"/>
    <col min="2" max="2" width="4.4648437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7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52" t="s">
        <v>141</v>
      </c>
      <c r="D2" s="248"/>
      <c r="E2" s="248"/>
      <c r="F2" s="248"/>
      <c r="G2" s="248"/>
      <c r="H2" s="248"/>
      <c r="I2" s="248"/>
      <c r="J2" s="248"/>
      <c r="K2" s="248"/>
      <c r="L2" s="248"/>
      <c r="M2" s="248"/>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t="str">
        <f>CARÁTULA!$C$25</f>
        <v>Tec. Tecnologica Programacion Visual</v>
      </c>
      <c r="L3" s="39"/>
      <c r="M3" s="39"/>
      <c r="N3" s="39"/>
      <c r="O3" s="40"/>
      <c r="P3" s="40"/>
      <c r="Q3" s="40"/>
      <c r="R3" s="40"/>
      <c r="S3" s="40"/>
      <c r="T3" s="40"/>
      <c r="U3" s="40"/>
      <c r="V3" s="40"/>
      <c r="W3" s="40"/>
      <c r="X3" s="40"/>
      <c r="Y3" s="40"/>
      <c r="Z3" s="40"/>
    </row>
    <row r="4" spans="1:26" ht="13.5" customHeight="1" x14ac:dyDescent="0.35">
      <c r="A4" s="40"/>
      <c r="B4" s="122" t="s">
        <v>14</v>
      </c>
      <c r="C4" s="40"/>
      <c r="D4" s="40"/>
      <c r="E4" s="40" t="str">
        <f>CARÁTULA!$C$21</f>
        <v>Secundaria</v>
      </c>
      <c r="F4" s="40"/>
      <c r="G4" s="40"/>
      <c r="H4" s="40"/>
      <c r="I4" s="40"/>
      <c r="J4" s="43" t="s">
        <v>52</v>
      </c>
      <c r="K4" s="39" t="str">
        <f>CARÁTULA!$C$19</f>
        <v>JOSÉ COAQUIRA COPA</v>
      </c>
      <c r="L4" s="39"/>
      <c r="M4" s="39"/>
      <c r="N4" s="39"/>
      <c r="O4" s="40"/>
      <c r="P4" s="40"/>
      <c r="Q4" s="40"/>
      <c r="R4" s="40"/>
      <c r="S4" s="40"/>
      <c r="T4" s="40"/>
      <c r="U4" s="40"/>
      <c r="V4" s="40"/>
      <c r="W4" s="40"/>
      <c r="X4" s="40"/>
      <c r="Y4" s="40"/>
      <c r="Z4" s="40"/>
    </row>
    <row r="5" spans="1:26" ht="13.5" customHeight="1" x14ac:dyDescent="0.35">
      <c r="A5" s="40"/>
      <c r="B5" s="122" t="s">
        <v>22</v>
      </c>
      <c r="C5" s="40"/>
      <c r="D5" s="40"/>
      <c r="E5" s="40" t="str">
        <f>CARÁTULA!$C$23</f>
        <v>6to de Secundaria</v>
      </c>
      <c r="F5" s="40"/>
      <c r="G5" s="40"/>
      <c r="H5" s="40"/>
      <c r="I5" s="40"/>
      <c r="J5" s="43" t="s">
        <v>23</v>
      </c>
      <c r="K5" s="68">
        <f ca="1">TODAY()</f>
        <v>44543</v>
      </c>
      <c r="L5" s="39"/>
      <c r="M5" s="39"/>
      <c r="N5" s="39"/>
      <c r="O5" s="40"/>
      <c r="P5" s="40"/>
      <c r="Q5" s="40"/>
      <c r="R5" s="40"/>
      <c r="S5" s="40"/>
      <c r="T5" s="40"/>
      <c r="U5" s="40"/>
      <c r="V5" s="40"/>
      <c r="W5" s="40"/>
      <c r="X5" s="40"/>
      <c r="Y5" s="40"/>
      <c r="Z5" s="40"/>
    </row>
    <row r="6" spans="1:26" ht="13.5" customHeight="1" x14ac:dyDescent="0.35">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99" t="s">
        <v>142</v>
      </c>
      <c r="D10" s="248"/>
      <c r="E10" s="123"/>
      <c r="F10" s="40"/>
      <c r="G10" s="43" t="s">
        <v>143</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4" t="s">
        <v>144</v>
      </c>
      <c r="D11" s="40"/>
      <c r="E11" s="125">
        <f>'CENTRAL 2'!$I$9</f>
        <v>33</v>
      </c>
      <c r="F11" s="123"/>
      <c r="G11" s="126">
        <f>E11/$E$13</f>
        <v>0.91666666666666663</v>
      </c>
      <c r="H11" s="127"/>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9" t="s">
        <v>145</v>
      </c>
      <c r="D12" s="40"/>
      <c r="E12" s="128">
        <f>'CENTRAL 2'!$I$13</f>
        <v>3</v>
      </c>
      <c r="F12" s="123"/>
      <c r="G12" s="126">
        <f>E12/$E$13</f>
        <v>8.3333333333333329E-2</v>
      </c>
      <c r="H12" s="127"/>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146</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99" t="s">
        <v>147</v>
      </c>
      <c r="D23" s="248"/>
      <c r="E23" s="40"/>
      <c r="F23" s="40"/>
      <c r="G23" s="43" t="s">
        <v>148</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4" t="s">
        <v>144</v>
      </c>
      <c r="D24" s="40"/>
      <c r="E24" s="125">
        <f>'CENTRAL 2'!$J$9</f>
        <v>33</v>
      </c>
      <c r="F24" s="40"/>
      <c r="G24" s="126">
        <f>E24/$E$26</f>
        <v>0.82499999999999996</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9" t="s">
        <v>145</v>
      </c>
      <c r="D25" s="40"/>
      <c r="E25" s="128">
        <f>'CENTRAL 2'!$J$13</f>
        <v>7</v>
      </c>
      <c r="F25" s="40"/>
      <c r="G25" s="126">
        <f>E25/$E$26</f>
        <v>0.17499999999999999</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146</v>
      </c>
      <c r="D26" s="40"/>
      <c r="E26" s="130">
        <f>SUM(E24:E25)</f>
        <v>40</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99" t="s">
        <v>149</v>
      </c>
      <c r="D35" s="248"/>
      <c r="E35" s="40"/>
      <c r="F35" s="40"/>
      <c r="G35" s="122" t="s">
        <v>150</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4" t="s">
        <v>144</v>
      </c>
      <c r="D36" s="40"/>
      <c r="E36" s="125">
        <f>'CENTRAL 2'!$K$9</f>
        <v>32</v>
      </c>
      <c r="F36" s="40"/>
      <c r="G36" s="126">
        <f>E36/$E$26</f>
        <v>0.8</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9" t="s">
        <v>145</v>
      </c>
      <c r="D37" s="40"/>
      <c r="E37" s="128">
        <f>'CENTRAL 2'!$K$13</f>
        <v>4</v>
      </c>
      <c r="F37" s="40"/>
      <c r="G37" s="126">
        <f>E37/$E$26</f>
        <v>0.1</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146</v>
      </c>
      <c r="D38" s="40"/>
      <c r="E38" s="130">
        <f>SUM(E36:E37)</f>
        <v>36</v>
      </c>
      <c r="F38" s="40"/>
      <c r="G38" s="126">
        <f>SUM(G36:G37)</f>
        <v>0.9</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328125" defaultRowHeight="15" customHeight="1" x14ac:dyDescent="0.35"/>
  <cols>
    <col min="1" max="1" width="1.6640625" customWidth="1"/>
    <col min="2" max="2" width="5.6640625" customWidth="1"/>
    <col min="3" max="3" width="4.33203125" customWidth="1"/>
    <col min="4" max="4" width="6.1328125" customWidth="1"/>
    <col min="5" max="5" width="7.46484375" customWidth="1"/>
    <col min="6" max="6" width="13.33203125" customWidth="1"/>
    <col min="7" max="7" width="10.73046875" customWidth="1"/>
    <col min="8" max="8" width="8.1328125" customWidth="1"/>
    <col min="9" max="26" width="5.6640625" customWidth="1"/>
  </cols>
  <sheetData>
    <row r="1" spans="1:26" ht="13.5" customHeight="1" x14ac:dyDescent="0.35">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5">
      <c r="A2" s="127"/>
      <c r="B2" s="127"/>
      <c r="C2" s="352" t="s">
        <v>151</v>
      </c>
      <c r="D2" s="248"/>
      <c r="E2" s="248"/>
      <c r="F2" s="248"/>
      <c r="G2" s="248"/>
      <c r="H2" s="248"/>
      <c r="I2" s="248"/>
      <c r="J2" s="127"/>
      <c r="K2" s="127"/>
      <c r="L2" s="127"/>
      <c r="M2" s="127"/>
      <c r="N2" s="127"/>
      <c r="O2" s="127"/>
      <c r="P2" s="127"/>
      <c r="Q2" s="127"/>
      <c r="R2" s="127"/>
      <c r="S2" s="127"/>
      <c r="T2" s="127"/>
      <c r="U2" s="127"/>
      <c r="V2" s="127"/>
      <c r="W2" s="127"/>
      <c r="X2" s="127"/>
      <c r="Y2" s="127"/>
      <c r="Z2" s="127"/>
    </row>
    <row r="3" spans="1:26" ht="13.5" customHeight="1" x14ac:dyDescent="0.35">
      <c r="A3" s="127"/>
      <c r="B3" s="131" t="s">
        <v>8</v>
      </c>
      <c r="C3" s="132"/>
      <c r="D3" s="132"/>
      <c r="E3" s="132" t="str">
        <f>CARÁTULA!$C$15</f>
        <v>Instituto Tecnico Humanistico Jauzel Arrieta</v>
      </c>
      <c r="F3" s="132"/>
      <c r="G3" s="131" t="s">
        <v>19</v>
      </c>
      <c r="H3" s="132" t="str">
        <f>CARÁTULA!$C$25</f>
        <v>Tec. Tecnologica Programacion Visual</v>
      </c>
      <c r="I3" s="132"/>
      <c r="J3" s="132"/>
      <c r="K3" s="127"/>
      <c r="L3" s="127"/>
      <c r="M3" s="127"/>
      <c r="N3" s="127"/>
      <c r="O3" s="127"/>
      <c r="P3" s="127"/>
      <c r="Q3" s="127"/>
      <c r="R3" s="127"/>
      <c r="S3" s="127"/>
      <c r="T3" s="127"/>
      <c r="U3" s="127"/>
      <c r="V3" s="127"/>
      <c r="W3" s="127"/>
      <c r="X3" s="127"/>
      <c r="Y3" s="127"/>
      <c r="Z3" s="127"/>
    </row>
    <row r="4" spans="1:26" ht="13.5" customHeight="1" x14ac:dyDescent="0.35">
      <c r="A4" s="127"/>
      <c r="B4" s="131" t="s">
        <v>14</v>
      </c>
      <c r="C4" s="132"/>
      <c r="D4" s="132"/>
      <c r="E4" s="132" t="str">
        <f>CARÁTULA!$C$21</f>
        <v>Secundaria</v>
      </c>
      <c r="F4" s="132"/>
      <c r="G4" s="131" t="s">
        <v>52</v>
      </c>
      <c r="H4" s="132" t="str">
        <f>CARÁTULA!$C$19</f>
        <v>JOSÉ COAQUIRA COPA</v>
      </c>
      <c r="I4" s="132"/>
      <c r="J4" s="132"/>
      <c r="K4" s="127"/>
      <c r="L4" s="127"/>
      <c r="M4" s="127"/>
      <c r="N4" s="127"/>
      <c r="O4" s="127"/>
      <c r="P4" s="127"/>
      <c r="Q4" s="127"/>
      <c r="R4" s="127"/>
      <c r="S4" s="127"/>
      <c r="T4" s="127"/>
      <c r="U4" s="127"/>
      <c r="V4" s="127"/>
      <c r="W4" s="127"/>
      <c r="X4" s="127"/>
      <c r="Y4" s="127"/>
      <c r="Z4" s="127"/>
    </row>
    <row r="5" spans="1:26" ht="13.5" customHeight="1" x14ac:dyDescent="0.35">
      <c r="A5" s="127"/>
      <c r="B5" s="131" t="s">
        <v>22</v>
      </c>
      <c r="C5" s="132"/>
      <c r="D5" s="132"/>
      <c r="E5" s="132" t="str">
        <f>CARÁTULA!$C$23</f>
        <v>6to de Secundaria</v>
      </c>
      <c r="F5" s="132"/>
      <c r="G5" s="131" t="s">
        <v>23</v>
      </c>
      <c r="H5" s="133">
        <f ca="1">TODAY()</f>
        <v>44543</v>
      </c>
      <c r="I5" s="132"/>
      <c r="J5" s="132"/>
      <c r="K5" s="127"/>
      <c r="L5" s="127"/>
      <c r="M5" s="127"/>
      <c r="N5" s="127"/>
      <c r="O5" s="127"/>
      <c r="P5" s="127"/>
      <c r="Q5" s="127"/>
      <c r="R5" s="127"/>
      <c r="S5" s="127"/>
      <c r="T5" s="127"/>
      <c r="U5" s="127"/>
      <c r="V5" s="127"/>
      <c r="W5" s="127"/>
      <c r="X5" s="127"/>
      <c r="Y5" s="127"/>
      <c r="Z5" s="127"/>
    </row>
    <row r="6" spans="1:26" ht="13.5" customHeight="1" x14ac:dyDescent="0.35">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5">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5">
      <c r="A8" s="127"/>
      <c r="B8" s="127"/>
      <c r="C8" s="351" t="s">
        <v>152</v>
      </c>
      <c r="D8" s="135" t="s">
        <v>153</v>
      </c>
      <c r="E8" s="135" t="s">
        <v>154</v>
      </c>
      <c r="F8" s="136" t="s">
        <v>155</v>
      </c>
      <c r="G8" s="135" t="s">
        <v>156</v>
      </c>
      <c r="H8" s="135" t="s">
        <v>157</v>
      </c>
      <c r="I8" s="127"/>
      <c r="J8" s="127"/>
      <c r="K8" s="127"/>
      <c r="L8" s="127"/>
      <c r="M8" s="127"/>
      <c r="N8" s="127"/>
      <c r="O8" s="127"/>
      <c r="P8" s="127"/>
      <c r="Q8" s="127"/>
      <c r="R8" s="127"/>
      <c r="S8" s="127"/>
      <c r="T8" s="127"/>
      <c r="U8" s="127"/>
      <c r="V8" s="127"/>
      <c r="W8" s="127"/>
      <c r="X8" s="127"/>
      <c r="Y8" s="127"/>
      <c r="Z8" s="127"/>
    </row>
    <row r="9" spans="1:26" ht="13.5" customHeight="1" x14ac:dyDescent="0.35">
      <c r="A9" s="127"/>
      <c r="B9" s="127"/>
      <c r="C9" s="338"/>
      <c r="D9" s="137" t="s">
        <v>158</v>
      </c>
      <c r="E9" s="114">
        <v>3</v>
      </c>
      <c r="F9" s="138">
        <v>20</v>
      </c>
      <c r="G9" s="138">
        <v>19</v>
      </c>
      <c r="H9" s="117">
        <f>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5">
      <c r="A10" s="127"/>
      <c r="B10" s="127"/>
      <c r="C10" s="338"/>
      <c r="D10" s="137" t="s">
        <v>159</v>
      </c>
      <c r="E10" s="114">
        <v>2</v>
      </c>
      <c r="F10" s="138">
        <v>13</v>
      </c>
      <c r="G10" s="138">
        <v>13</v>
      </c>
      <c r="H10" s="117">
        <f>G10/$G$12</f>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5">
      <c r="A11" s="127"/>
      <c r="B11" s="127"/>
      <c r="C11" s="338"/>
      <c r="D11" s="137" t="s">
        <v>160</v>
      </c>
      <c r="E11" s="114">
        <v>2</v>
      </c>
      <c r="F11" s="138">
        <v>12</v>
      </c>
      <c r="G11" s="138">
        <v>12</v>
      </c>
      <c r="H11" s="117">
        <f>G11/$G$12</f>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5">
      <c r="A12" s="127"/>
      <c r="B12" s="127"/>
      <c r="C12" s="316"/>
      <c r="D12" s="139"/>
      <c r="E12" s="140">
        <f>SUM(E9:E11)</f>
        <v>7</v>
      </c>
      <c r="F12" s="141">
        <f>SUM(F9:F11)</f>
        <v>45</v>
      </c>
      <c r="G12" s="140">
        <f>SUM(G9:G11)</f>
        <v>44</v>
      </c>
      <c r="H12" s="126">
        <f>SUM(H9:H11)</f>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5">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5">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5">
      <c r="A15" s="127"/>
      <c r="B15" s="127"/>
      <c r="C15" s="351" t="s">
        <v>161</v>
      </c>
      <c r="D15" s="135" t="s">
        <v>153</v>
      </c>
      <c r="E15" s="135" t="s">
        <v>154</v>
      </c>
      <c r="F15" s="136" t="s">
        <v>155</v>
      </c>
      <c r="G15" s="135" t="s">
        <v>156</v>
      </c>
      <c r="H15" s="135" t="s">
        <v>157</v>
      </c>
      <c r="I15" s="127"/>
      <c r="J15" s="127"/>
      <c r="K15" s="127"/>
      <c r="L15" s="127"/>
      <c r="M15" s="127"/>
      <c r="N15" s="127"/>
      <c r="O15" s="127"/>
      <c r="P15" s="127"/>
      <c r="Q15" s="127"/>
      <c r="R15" s="127"/>
      <c r="S15" s="127"/>
      <c r="T15" s="127"/>
      <c r="U15" s="127"/>
      <c r="V15" s="127"/>
      <c r="W15" s="127"/>
      <c r="X15" s="127"/>
      <c r="Y15" s="127"/>
      <c r="Z15" s="127"/>
    </row>
    <row r="16" spans="1:26" ht="13.5" customHeight="1" x14ac:dyDescent="0.35">
      <c r="A16" s="127"/>
      <c r="B16" s="127"/>
      <c r="C16" s="338"/>
      <c r="D16" s="137" t="s">
        <v>158</v>
      </c>
      <c r="E16" s="114">
        <v>3</v>
      </c>
      <c r="F16" s="138">
        <v>12</v>
      </c>
      <c r="G16" s="138">
        <v>12</v>
      </c>
      <c r="H16" s="117">
        <f>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5">
      <c r="A17" s="127"/>
      <c r="B17" s="127"/>
      <c r="C17" s="338"/>
      <c r="D17" s="137" t="s">
        <v>159</v>
      </c>
      <c r="E17" s="114">
        <v>4</v>
      </c>
      <c r="F17" s="138">
        <v>11</v>
      </c>
      <c r="G17" s="138">
        <v>11</v>
      </c>
      <c r="H17" s="117">
        <f>G17/$G$19</f>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5">
      <c r="A18" s="127"/>
      <c r="B18" s="127"/>
      <c r="C18" s="338"/>
      <c r="D18" s="137" t="s">
        <v>160</v>
      </c>
      <c r="E18" s="114">
        <v>5</v>
      </c>
      <c r="F18" s="138">
        <v>13</v>
      </c>
      <c r="G18" s="138">
        <v>13</v>
      </c>
      <c r="H18" s="117">
        <f>G18/$G$19</f>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5">
      <c r="A19" s="127"/>
      <c r="B19" s="127"/>
      <c r="C19" s="316"/>
      <c r="D19" s="139"/>
      <c r="E19" s="140">
        <f>SUM(E16:E18)</f>
        <v>12</v>
      </c>
      <c r="F19" s="141">
        <f>SUM(F16:F18)</f>
        <v>36</v>
      </c>
      <c r="G19" s="140">
        <f>SUM(G16:G18)</f>
        <v>36</v>
      </c>
      <c r="H19" s="126">
        <f>SUM(H16:H18)</f>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5">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5">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5">
      <c r="A22" s="127"/>
      <c r="B22" s="127"/>
      <c r="C22" s="351" t="s">
        <v>162</v>
      </c>
      <c r="D22" s="135" t="s">
        <v>153</v>
      </c>
      <c r="E22" s="135" t="s">
        <v>154</v>
      </c>
      <c r="F22" s="136" t="s">
        <v>155</v>
      </c>
      <c r="G22" s="135" t="s">
        <v>156</v>
      </c>
      <c r="H22" s="135" t="s">
        <v>157</v>
      </c>
      <c r="I22" s="127"/>
      <c r="J22" s="127"/>
      <c r="K22" s="127"/>
      <c r="L22" s="127"/>
      <c r="M22" s="127"/>
      <c r="N22" s="127"/>
      <c r="O22" s="127"/>
      <c r="P22" s="127"/>
      <c r="Q22" s="127"/>
      <c r="R22" s="127"/>
      <c r="S22" s="127"/>
      <c r="T22" s="127"/>
      <c r="U22" s="127"/>
      <c r="V22" s="127"/>
      <c r="W22" s="127"/>
      <c r="X22" s="127"/>
      <c r="Y22" s="127"/>
      <c r="Z22" s="127"/>
    </row>
    <row r="23" spans="1:26" ht="13.5" customHeight="1" x14ac:dyDescent="0.35">
      <c r="A23" s="127"/>
      <c r="B23" s="127"/>
      <c r="C23" s="338"/>
      <c r="D23" s="137" t="s">
        <v>158</v>
      </c>
      <c r="E23" s="114">
        <v>5</v>
      </c>
      <c r="F23" s="138">
        <v>10</v>
      </c>
      <c r="G23" s="138">
        <v>10</v>
      </c>
      <c r="H23" s="117">
        <f>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5">
      <c r="A24" s="127"/>
      <c r="B24" s="127"/>
      <c r="C24" s="338"/>
      <c r="D24" s="137" t="s">
        <v>159</v>
      </c>
      <c r="E24" s="114">
        <v>6</v>
      </c>
      <c r="F24" s="138">
        <v>14</v>
      </c>
      <c r="G24" s="138">
        <v>14</v>
      </c>
      <c r="H24" s="117">
        <f>G24/$G$26</f>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5">
      <c r="A25" s="127"/>
      <c r="B25" s="127"/>
      <c r="C25" s="338"/>
      <c r="D25" s="137" t="s">
        <v>160</v>
      </c>
      <c r="E25" s="114">
        <v>4</v>
      </c>
      <c r="F25" s="138">
        <v>15</v>
      </c>
      <c r="G25" s="138">
        <v>15</v>
      </c>
      <c r="H25" s="117">
        <f>G25/$G$26</f>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5">
      <c r="A26" s="127"/>
      <c r="B26" s="127"/>
      <c r="C26" s="316"/>
      <c r="D26" s="139"/>
      <c r="E26" s="140">
        <f>SUM(E23:E25)</f>
        <v>15</v>
      </c>
      <c r="F26" s="141">
        <f>SUM(F23:F25)</f>
        <v>39</v>
      </c>
      <c r="G26" s="140">
        <f>SUM(G23:G25)</f>
        <v>39</v>
      </c>
      <c r="H26" s="126">
        <f>SUM(H23:H25)</f>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5">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5">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5">
      <c r="A29" s="127"/>
      <c r="B29" s="127"/>
      <c r="C29" s="351" t="s">
        <v>163</v>
      </c>
      <c r="D29" s="135" t="s">
        <v>153</v>
      </c>
      <c r="E29" s="135" t="s">
        <v>154</v>
      </c>
      <c r="F29" s="136" t="s">
        <v>155</v>
      </c>
      <c r="G29" s="135" t="s">
        <v>156</v>
      </c>
      <c r="H29" s="135" t="s">
        <v>157</v>
      </c>
      <c r="I29" s="127"/>
      <c r="J29" s="127"/>
      <c r="K29" s="127"/>
      <c r="L29" s="127"/>
      <c r="M29" s="127"/>
      <c r="N29" s="127"/>
      <c r="O29" s="127"/>
      <c r="P29" s="127"/>
      <c r="Q29" s="127"/>
      <c r="R29" s="127"/>
      <c r="S29" s="127"/>
      <c r="T29" s="127"/>
      <c r="U29" s="127"/>
      <c r="V29" s="127"/>
      <c r="W29" s="127"/>
      <c r="X29" s="127"/>
      <c r="Y29" s="127"/>
      <c r="Z29" s="127"/>
    </row>
    <row r="30" spans="1:26" ht="13.5" customHeight="1" x14ac:dyDescent="0.35">
      <c r="A30" s="127"/>
      <c r="B30" s="127"/>
      <c r="C30" s="338"/>
      <c r="D30" s="137" t="s">
        <v>158</v>
      </c>
      <c r="E30" s="114">
        <v>6</v>
      </c>
      <c r="F30" s="138">
        <v>9</v>
      </c>
      <c r="G30" s="138">
        <v>9</v>
      </c>
      <c r="H30" s="117">
        <f>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5">
      <c r="A31" s="127"/>
      <c r="B31" s="127"/>
      <c r="C31" s="338"/>
      <c r="D31" s="137" t="s">
        <v>159</v>
      </c>
      <c r="E31" s="114">
        <v>5</v>
      </c>
      <c r="F31" s="138">
        <v>11</v>
      </c>
      <c r="G31" s="138">
        <v>11</v>
      </c>
      <c r="H31" s="117">
        <f>G31/$G$33</f>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5">
      <c r="A32" s="127"/>
      <c r="B32" s="127"/>
      <c r="C32" s="338"/>
      <c r="D32" s="137" t="s">
        <v>160</v>
      </c>
      <c r="E32" s="114">
        <v>3</v>
      </c>
      <c r="F32" s="138">
        <v>12</v>
      </c>
      <c r="G32" s="138">
        <v>12</v>
      </c>
      <c r="H32" s="117">
        <f>G32/$G$33</f>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5">
      <c r="A33" s="127"/>
      <c r="B33" s="127"/>
      <c r="C33" s="316"/>
      <c r="D33" s="139"/>
      <c r="E33" s="140">
        <f>SUM(E30:E32)</f>
        <v>14</v>
      </c>
      <c r="F33" s="141">
        <f>SUM(F30:F32)</f>
        <v>32</v>
      </c>
      <c r="G33" s="140">
        <f>SUM(G30:G32)</f>
        <v>32</v>
      </c>
      <c r="H33" s="126">
        <f>SUM(H30:H32)</f>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5">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5">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5">
      <c r="A36" s="127"/>
      <c r="B36" s="127"/>
      <c r="C36" s="351" t="s">
        <v>164</v>
      </c>
      <c r="D36" s="135" t="s">
        <v>153</v>
      </c>
      <c r="E36" s="135" t="s">
        <v>154</v>
      </c>
      <c r="F36" s="136" t="s">
        <v>155</v>
      </c>
      <c r="G36" s="135" t="s">
        <v>156</v>
      </c>
      <c r="H36" s="135" t="s">
        <v>157</v>
      </c>
      <c r="I36" s="127"/>
      <c r="J36" s="127"/>
      <c r="K36" s="127"/>
      <c r="L36" s="127"/>
      <c r="M36" s="127"/>
      <c r="N36" s="127"/>
      <c r="O36" s="127"/>
      <c r="P36" s="127"/>
      <c r="Q36" s="127"/>
      <c r="R36" s="127"/>
      <c r="S36" s="127"/>
      <c r="T36" s="127"/>
      <c r="U36" s="127"/>
      <c r="V36" s="127"/>
      <c r="W36" s="127"/>
      <c r="X36" s="127"/>
      <c r="Y36" s="127"/>
      <c r="Z36" s="127"/>
    </row>
    <row r="37" spans="1:26" ht="13.5" customHeight="1" x14ac:dyDescent="0.35">
      <c r="A37" s="127"/>
      <c r="B37" s="127"/>
      <c r="C37" s="338"/>
      <c r="D37" s="137" t="s">
        <v>158</v>
      </c>
      <c r="E37" s="114">
        <v>3</v>
      </c>
      <c r="F37" s="138">
        <v>18</v>
      </c>
      <c r="G37" s="138">
        <v>18</v>
      </c>
      <c r="H37" s="117">
        <f>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5">
      <c r="A38" s="127"/>
      <c r="B38" s="127"/>
      <c r="C38" s="338"/>
      <c r="D38" s="137" t="s">
        <v>159</v>
      </c>
      <c r="E38" s="114">
        <v>3</v>
      </c>
      <c r="F38" s="138">
        <v>19</v>
      </c>
      <c r="G38" s="138">
        <v>19</v>
      </c>
      <c r="H38" s="117">
        <f>G38/$G$40</f>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5">
      <c r="A39" s="127"/>
      <c r="B39" s="127"/>
      <c r="C39" s="338"/>
      <c r="D39" s="137" t="s">
        <v>160</v>
      </c>
      <c r="E39" s="114">
        <v>3</v>
      </c>
      <c r="F39" s="138">
        <v>17</v>
      </c>
      <c r="G39" s="138">
        <v>17</v>
      </c>
      <c r="H39" s="117">
        <f>G39/$G$40</f>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5">
      <c r="A40" s="127"/>
      <c r="B40" s="127"/>
      <c r="C40" s="316"/>
      <c r="D40" s="139"/>
      <c r="E40" s="140">
        <f>SUM(E37:E39)</f>
        <v>9</v>
      </c>
      <c r="F40" s="141">
        <f>SUM(F37:F39)</f>
        <v>54</v>
      </c>
      <c r="G40" s="140">
        <f>SUM(G37:G39)</f>
        <v>54</v>
      </c>
      <c r="H40" s="126">
        <f>SUM(H37:H39)</f>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5">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5">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5">
      <c r="A43" s="127"/>
      <c r="B43" s="127"/>
      <c r="C43" s="351" t="s">
        <v>165</v>
      </c>
      <c r="D43" s="135" t="s">
        <v>153</v>
      </c>
      <c r="E43" s="135" t="s">
        <v>154</v>
      </c>
      <c r="F43" s="136" t="s">
        <v>155</v>
      </c>
      <c r="G43" s="135" t="s">
        <v>156</v>
      </c>
      <c r="H43" s="135" t="s">
        <v>157</v>
      </c>
      <c r="I43" s="127"/>
      <c r="J43" s="127"/>
      <c r="K43" s="127"/>
      <c r="L43" s="127"/>
      <c r="M43" s="127"/>
      <c r="N43" s="127"/>
      <c r="O43" s="127"/>
      <c r="P43" s="127"/>
      <c r="Q43" s="127"/>
      <c r="R43" s="127"/>
      <c r="S43" s="127"/>
      <c r="T43" s="127"/>
      <c r="U43" s="127"/>
      <c r="V43" s="127"/>
      <c r="W43" s="127"/>
      <c r="X43" s="127"/>
      <c r="Y43" s="127"/>
      <c r="Z43" s="127"/>
    </row>
    <row r="44" spans="1:26" ht="13.5" customHeight="1" x14ac:dyDescent="0.35">
      <c r="A44" s="127"/>
      <c r="B44" s="127"/>
      <c r="C44" s="338"/>
      <c r="D44" s="137" t="s">
        <v>158</v>
      </c>
      <c r="E44" s="114">
        <v>2</v>
      </c>
      <c r="F44" s="138">
        <v>7</v>
      </c>
      <c r="G44" s="138">
        <v>7</v>
      </c>
      <c r="H44" s="117">
        <f>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5">
      <c r="A45" s="127"/>
      <c r="B45" s="127"/>
      <c r="C45" s="338"/>
      <c r="D45" s="137" t="s">
        <v>159</v>
      </c>
      <c r="E45" s="114">
        <v>4</v>
      </c>
      <c r="F45" s="138">
        <v>10</v>
      </c>
      <c r="G45" s="138">
        <v>10</v>
      </c>
      <c r="H45" s="117">
        <f>G45/$G$47</f>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5">
      <c r="A46" s="127"/>
      <c r="B46" s="127"/>
      <c r="C46" s="338"/>
      <c r="D46" s="137" t="s">
        <v>160</v>
      </c>
      <c r="E46" s="114">
        <v>4</v>
      </c>
      <c r="F46" s="138">
        <v>14</v>
      </c>
      <c r="G46" s="138">
        <v>14</v>
      </c>
      <c r="H46" s="117">
        <f>G46/$G$47</f>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5">
      <c r="A47" s="127"/>
      <c r="B47" s="127"/>
      <c r="C47" s="316"/>
      <c r="D47" s="139"/>
      <c r="E47" s="140">
        <f>SUM(E44:E46)</f>
        <v>10</v>
      </c>
      <c r="F47" s="141">
        <f>SUM(F44:F46)</f>
        <v>31</v>
      </c>
      <c r="G47" s="140">
        <f>SUM(G44:G46)</f>
        <v>31</v>
      </c>
      <c r="H47" s="126">
        <f>SUM(H44:H46)</f>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5">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5">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5">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5">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5">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5">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5">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5">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5">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5">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5">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5">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5">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5">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5">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5">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5">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5">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5">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5">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5">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5">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5">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5">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5">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5">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5">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5">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5">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5">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5">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5">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5">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5">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5">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5">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5">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5">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5">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5">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5">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5">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5">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5">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5">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5">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5">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5">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5">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5">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5">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5">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5">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5">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5">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5">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5">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5">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5">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5">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5">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5">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5">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5">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5">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5">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5">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5">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5">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5">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5">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5">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5">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5">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5">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5">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5">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5">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5">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5">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5">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5">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5">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5">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5">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5">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5">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5">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5">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5">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5">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5">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5">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5">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5">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5">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5">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5">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5">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5">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5">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5">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5">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5">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5">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5">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5">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5">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5">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5">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5">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5">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5">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5">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5">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5">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5">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5">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5">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5">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5">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5">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5">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5">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5">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5">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5">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5">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5">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5">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5">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5">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5">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5">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5">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5">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5">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5">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5">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5">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5">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5">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5">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5">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5">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5">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5">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5">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5">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5">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5">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5">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5">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5">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5">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5">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5">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5">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5">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5">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5">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5">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5">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5">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5">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5">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5">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5">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5">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5">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5">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5">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5">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5">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5">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5">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5">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5">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5">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5">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5">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5">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5">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5">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5">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5">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5">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5">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5">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5">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5">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5">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5">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5">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5">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5">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5">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5">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5">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5">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5">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5">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5">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5">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5">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5">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5">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5">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5">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5">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5">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5">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5">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5">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5">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5">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5">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5">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5">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5">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5">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5">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5">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5">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5">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5">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5">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5">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5">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5">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5">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5">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5">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5">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5">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5">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5">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5">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5">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5">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5">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5">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5">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5">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5">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5">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5">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5">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5">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5">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5">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5">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5">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5">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5">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5">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5">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5">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5">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5">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5">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5">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5">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5">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5">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5">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5">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5">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5">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5">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5">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5">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5">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5">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5">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5">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5">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5">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5">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5">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5">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5">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5">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5">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5">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5">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5">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5">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5">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5">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5">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5">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5">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5">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5">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5">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5">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5">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5">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5">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5">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5">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5">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5">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5">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5">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5">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5">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5">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5">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5">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5">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5">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5">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5">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5">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5">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5">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5">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5">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5">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5">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5">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5">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5">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5">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5">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5">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5">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5">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5">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5">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5">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5">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5">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5">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5">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5">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5">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5">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5">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5">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5">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5">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5">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5">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5">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5">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5">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5">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5">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5">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5">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5">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5">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5">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5">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5">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5">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5">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5">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5">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5">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5">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5">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5">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5">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5">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5">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5">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5">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5">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5">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5">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5">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5">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5">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5">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5">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5">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5">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5">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5">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5">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5">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5">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5">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5">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5">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5">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5">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5">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5">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5">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5">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5">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5">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5">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5">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5">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5">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5">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5">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5">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5">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5">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5">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5">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5">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5">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5">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5">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5">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5">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5">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5">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5">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5">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5">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5">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5">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5">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5">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5">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5">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5">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5">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5">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5">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5">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5">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5">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5">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5">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5">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5">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5">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5">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5">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5">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5">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5">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5">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5">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5">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5">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5">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5">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5">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5">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5">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5">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5">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5">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5">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5">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5">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5">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5">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5">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5">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5">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5">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5">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5">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5">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5">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5">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5">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5">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5">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5">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5">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5">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5">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5">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5">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5">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5">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5">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5">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5">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5">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5">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5">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5">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5">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5">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5">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5">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5">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5">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5">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5">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5">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5">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5">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5">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5">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5">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5">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5">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5">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5">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5">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5">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5">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5">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5">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5">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5">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5">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5">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5">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5">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5">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5">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5">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5">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5">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5">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5">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5">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5">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5">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5">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5">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5">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5">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5">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5">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5">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5">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5">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5">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5">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5">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5">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5">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5">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5">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5">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5">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5">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5">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5">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5">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5">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5">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5">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5">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5">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5">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5">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5">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5">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5">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5">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5">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5">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5">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5">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5">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5">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5">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5">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5">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5">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5">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5">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5">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5">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5">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5">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5">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5">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5">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5">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5">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5">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5">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5">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5">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5">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5">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5">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5">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5">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5">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5">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5">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5">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5">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5">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5">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5">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5">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5">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5">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5">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5">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5">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5">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5">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5">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5">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5">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5">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5">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5">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5">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5">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5">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5">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5">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5">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5">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5">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5">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5">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5">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5">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5">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5">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5">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5">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5">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5">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5">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5">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5">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5">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5">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5">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5">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5">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5">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5">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5">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5">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5">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5">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5">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5">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5">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5">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5">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5">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5">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5">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5">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5">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5">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5">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5">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5">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5">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5">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5">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5">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5">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5">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5">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5">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5">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5">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5">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5">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5">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5">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5">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5">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5">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5">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5">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5">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5">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5">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5">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5">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5">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5">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5">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5">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5">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5">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5">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5">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5">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5">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5">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5">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5">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5">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5">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5">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5">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5">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5">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5">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5">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5">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5">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5">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5">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5">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5">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5">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5">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5">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5">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5">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5">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5">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5">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5">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5">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5">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5">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5">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5">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5">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5">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5">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5">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5">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5">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5">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5">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5">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5">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5">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5">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5">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5">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5">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5">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5">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5">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5">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5">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5">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5">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5">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5">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5">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5">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5">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5">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5">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5">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5">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5">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5">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5">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5">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5">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5">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5">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5">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5">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5">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5">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5">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5">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5">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5">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5">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5">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5">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5">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5">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5">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5">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5">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5">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5">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5">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5">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5">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5">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5">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5">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5">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5">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5">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5">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5">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5">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5">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5">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5">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5">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5">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5">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5">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5">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5">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5">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5">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5">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5">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5">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5">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5">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5">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5">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5">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5">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5">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5">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5">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5">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5">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5">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5">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5">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5">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5">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5">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5">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5">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5">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5">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5">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5">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5">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5">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5">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5">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5">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5">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5">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5">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5">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5">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5">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5">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5">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5">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5">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5">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5">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5">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5">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5">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5">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5">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5">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5">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5">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5">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5">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5">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5">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5">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5">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5">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5">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5">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5">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5">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5">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5">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5">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5">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5">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5">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5">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5">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5">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5">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5">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5">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5">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5">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5">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5">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5">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5">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5">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5">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5">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5">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5">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5">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5">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5">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5">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5">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5">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5">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5">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5">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5">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5">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5">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5">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5">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5">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5">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5">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5">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5">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5">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5">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5">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5">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5">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5">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5">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5">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5">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5">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5">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5">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5">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5">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5">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5">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5">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5">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5">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5">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5">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5">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5">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5">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5">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5">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5">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5">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5">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5">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5">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5">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5">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5">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5">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5">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5">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5">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5">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5">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5">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5">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5">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5">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5">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5">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5">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5">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5">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328125" defaultRowHeight="15" customHeight="1" x14ac:dyDescent="0.35"/>
  <cols>
    <col min="1" max="4" width="1.6640625" customWidth="1"/>
    <col min="5" max="6" width="4.6640625" customWidth="1"/>
    <col min="7" max="7" width="26.6640625" customWidth="1"/>
    <col min="8" max="8" width="7.46484375" customWidth="1"/>
    <col min="9" max="10" width="10.796875" customWidth="1"/>
    <col min="11" max="26" width="10.3984375" customWidth="1"/>
  </cols>
  <sheetData>
    <row r="1" spans="1:26" ht="7.5" customHeight="1" x14ac:dyDescent="0.35">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5">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5">
      <c r="A3" s="142"/>
      <c r="B3" s="19"/>
      <c r="C3" s="19"/>
      <c r="D3" s="19"/>
      <c r="E3" s="353" t="s">
        <v>166</v>
      </c>
      <c r="F3" s="248"/>
      <c r="G3" s="248"/>
      <c r="H3" s="248"/>
      <c r="I3" s="248"/>
      <c r="J3" s="142"/>
      <c r="K3" s="142"/>
      <c r="L3" s="142"/>
      <c r="M3" s="142"/>
      <c r="N3" s="142"/>
      <c r="O3" s="142"/>
      <c r="P3" s="142"/>
      <c r="Q3" s="142"/>
      <c r="R3" s="142"/>
      <c r="S3" s="142"/>
      <c r="T3" s="142"/>
      <c r="U3" s="142"/>
      <c r="V3" s="142"/>
      <c r="W3" s="142"/>
      <c r="X3" s="142"/>
      <c r="Y3" s="142"/>
      <c r="Z3" s="142"/>
    </row>
    <row r="4" spans="1:26" ht="6.75" customHeight="1" x14ac:dyDescent="0.35">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5">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5">
      <c r="A6" s="142"/>
      <c r="B6" s="143" t="s">
        <v>8</v>
      </c>
      <c r="C6" s="19"/>
      <c r="D6" s="19"/>
      <c r="E6" s="19"/>
      <c r="F6" s="19"/>
      <c r="G6" s="19" t="str">
        <f>CARÁTULA!$C$15</f>
        <v>Instituto Tecnico Humanistico Jauzel Arrieta</v>
      </c>
      <c r="H6" s="143" t="s">
        <v>19</v>
      </c>
      <c r="I6" s="40" t="str">
        <f>CARÁTULA!$C$25</f>
        <v>Tec. Tecnologica Programacion Visual</v>
      </c>
      <c r="J6" s="142"/>
      <c r="K6" s="142"/>
      <c r="L6" s="142"/>
      <c r="M6" s="142"/>
      <c r="N6" s="142"/>
      <c r="O6" s="142"/>
      <c r="P6" s="142"/>
      <c r="Q6" s="142"/>
      <c r="R6" s="142"/>
      <c r="S6" s="142"/>
      <c r="T6" s="142"/>
      <c r="U6" s="142"/>
      <c r="V6" s="142"/>
      <c r="W6" s="142"/>
      <c r="X6" s="142"/>
      <c r="Y6" s="142"/>
      <c r="Z6" s="142"/>
    </row>
    <row r="7" spans="1:26" ht="12.75" customHeight="1" x14ac:dyDescent="0.35">
      <c r="A7" s="142"/>
      <c r="B7" s="143" t="s">
        <v>14</v>
      </c>
      <c r="C7" s="19"/>
      <c r="D7" s="19"/>
      <c r="E7" s="19"/>
      <c r="F7" s="19"/>
      <c r="G7" s="40" t="str">
        <f>CARÁTULA!$C$21</f>
        <v>Secundaria</v>
      </c>
      <c r="H7" s="143" t="s">
        <v>52</v>
      </c>
      <c r="I7" s="19" t="str">
        <f>CARÁTULA!$C$19</f>
        <v>JOSÉ COAQUIRA COPA</v>
      </c>
      <c r="J7" s="142"/>
      <c r="K7" s="142"/>
      <c r="L7" s="142"/>
      <c r="M7" s="142"/>
      <c r="N7" s="142"/>
      <c r="O7" s="142"/>
      <c r="P7" s="142"/>
      <c r="Q7" s="142"/>
      <c r="R7" s="142"/>
      <c r="S7" s="142"/>
      <c r="T7" s="142"/>
      <c r="U7" s="142"/>
      <c r="V7" s="142"/>
      <c r="W7" s="142"/>
      <c r="X7" s="142"/>
      <c r="Y7" s="142"/>
      <c r="Z7" s="142"/>
    </row>
    <row r="8" spans="1:26" ht="12.75" customHeight="1" x14ac:dyDescent="0.35">
      <c r="A8" s="142"/>
      <c r="B8" s="143" t="s">
        <v>22</v>
      </c>
      <c r="C8" s="19"/>
      <c r="D8" s="19"/>
      <c r="E8" s="19"/>
      <c r="F8" s="19"/>
      <c r="G8" s="40" t="str">
        <f>CARÁTULA!$C$23</f>
        <v>6to de Secundaria</v>
      </c>
      <c r="H8" s="143" t="s">
        <v>23</v>
      </c>
      <c r="I8" s="133">
        <f ca="1">TODAY()</f>
        <v>44543</v>
      </c>
      <c r="J8" s="142"/>
      <c r="K8" s="142"/>
      <c r="L8" s="142"/>
      <c r="M8" s="142"/>
      <c r="N8" s="142"/>
      <c r="O8" s="142"/>
      <c r="P8" s="142"/>
      <c r="Q8" s="142"/>
      <c r="R8" s="142"/>
      <c r="S8" s="142"/>
      <c r="T8" s="142"/>
      <c r="U8" s="142"/>
      <c r="V8" s="142"/>
      <c r="W8" s="142"/>
      <c r="X8" s="142"/>
      <c r="Y8" s="142"/>
      <c r="Z8" s="142"/>
    </row>
    <row r="9" spans="1:26" ht="6.75" customHeight="1" x14ac:dyDescent="0.35">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5">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5">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5">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5">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5">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5">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5">
      <c r="A16" s="142"/>
      <c r="B16" s="142"/>
      <c r="C16" s="142"/>
      <c r="D16" s="142"/>
      <c r="E16" s="354" t="s">
        <v>167</v>
      </c>
      <c r="F16" s="355"/>
      <c r="G16" s="145" t="s">
        <v>24</v>
      </c>
      <c r="H16" s="146" t="s">
        <v>168</v>
      </c>
      <c r="I16" s="147"/>
      <c r="J16" s="142"/>
      <c r="K16" s="142"/>
      <c r="L16" s="142"/>
      <c r="M16" s="142"/>
      <c r="N16" s="142"/>
      <c r="O16" s="142"/>
      <c r="P16" s="142"/>
      <c r="Q16" s="142"/>
      <c r="R16" s="142"/>
      <c r="S16" s="142"/>
      <c r="T16" s="142"/>
      <c r="U16" s="142"/>
      <c r="V16" s="142"/>
      <c r="W16" s="142"/>
      <c r="X16" s="142"/>
      <c r="Y16" s="142"/>
      <c r="Z16" s="142"/>
    </row>
    <row r="17" spans="1:26" ht="12.75" customHeight="1" x14ac:dyDescent="0.35">
      <c r="A17" s="142"/>
      <c r="B17" s="142"/>
      <c r="C17" s="142"/>
      <c r="D17" s="142"/>
      <c r="E17" s="356"/>
      <c r="F17" s="303"/>
      <c r="G17" s="148" t="str">
        <f>'C. FILIACION'!B8</f>
        <v>ALTAMIRANO RAMOS ESTEFANI MILENKA</v>
      </c>
      <c r="H17" s="149">
        <f>'CENTRAL 2'!F9</f>
        <v>87.899159663865547</v>
      </c>
      <c r="I17" s="142"/>
      <c r="J17" s="142"/>
      <c r="K17" s="142"/>
      <c r="L17" s="142"/>
      <c r="M17" s="142"/>
      <c r="N17" s="142"/>
      <c r="O17" s="142"/>
      <c r="P17" s="142"/>
      <c r="Q17" s="142"/>
      <c r="R17" s="142"/>
      <c r="S17" s="142"/>
      <c r="T17" s="142"/>
      <c r="U17" s="142"/>
      <c r="V17" s="142"/>
      <c r="W17" s="142"/>
      <c r="X17" s="142"/>
      <c r="Y17" s="142"/>
      <c r="Z17" s="142"/>
    </row>
    <row r="18" spans="1:26" ht="12.75" customHeight="1" x14ac:dyDescent="0.35">
      <c r="A18" s="142"/>
      <c r="B18" s="142"/>
      <c r="C18" s="142"/>
      <c r="D18" s="142"/>
      <c r="E18" s="356"/>
      <c r="F18" s="303"/>
      <c r="G18" s="148" t="str">
        <f>'C. FILIACION'!B9</f>
        <v>APAZA LINO TATIANA JAZMIN</v>
      </c>
      <c r="H18" s="149">
        <f>'CENTRAL 2'!F10</f>
        <v>92.095238095238088</v>
      </c>
      <c r="I18" s="142"/>
      <c r="J18" s="142"/>
      <c r="K18" s="142"/>
      <c r="L18" s="142"/>
      <c r="M18" s="142"/>
      <c r="N18" s="142"/>
      <c r="O18" s="142"/>
      <c r="P18" s="142"/>
      <c r="Q18" s="142"/>
      <c r="R18" s="142"/>
      <c r="S18" s="142"/>
      <c r="T18" s="142"/>
      <c r="U18" s="142"/>
      <c r="V18" s="142"/>
      <c r="W18" s="142"/>
      <c r="X18" s="142"/>
      <c r="Y18" s="142"/>
      <c r="Z18" s="142"/>
    </row>
    <row r="19" spans="1:26" ht="12.75" customHeight="1" x14ac:dyDescent="0.35">
      <c r="A19" s="142"/>
      <c r="B19" s="142"/>
      <c r="C19" s="142"/>
      <c r="D19" s="142"/>
      <c r="E19" s="356"/>
      <c r="F19" s="303"/>
      <c r="G19" s="148" t="str">
        <f>'C. FILIACION'!B10</f>
        <v>BOLAÑOS OVANDO MIJHAIL ALEXANDER</v>
      </c>
      <c r="H19" s="149">
        <f>'CENTRAL 2'!F11</f>
        <v>63.607843137254896</v>
      </c>
      <c r="I19" s="142"/>
      <c r="J19" s="142"/>
      <c r="K19" s="142"/>
      <c r="L19" s="142"/>
      <c r="M19" s="142"/>
      <c r="N19" s="142"/>
      <c r="O19" s="142"/>
      <c r="P19" s="142"/>
      <c r="Q19" s="142"/>
      <c r="R19" s="142"/>
      <c r="S19" s="142"/>
      <c r="T19" s="142"/>
      <c r="U19" s="142"/>
      <c r="V19" s="142"/>
      <c r="W19" s="142"/>
      <c r="X19" s="142"/>
      <c r="Y19" s="142"/>
      <c r="Z19" s="142"/>
    </row>
    <row r="20" spans="1:26" ht="12.75" customHeight="1" x14ac:dyDescent="0.35">
      <c r="A20" s="142"/>
      <c r="B20" s="142"/>
      <c r="C20" s="142"/>
      <c r="D20" s="142"/>
      <c r="E20" s="356"/>
      <c r="F20" s="303"/>
      <c r="G20" s="148" t="str">
        <f>'C. FILIACION'!B11</f>
        <v>BRICHER ETHELBERT ISMAEL</v>
      </c>
      <c r="H20" s="149">
        <f>'CENTRAL 2'!F12</f>
        <v>16.333333333333332</v>
      </c>
      <c r="I20" s="142"/>
      <c r="J20" s="142"/>
      <c r="K20" s="142"/>
      <c r="L20" s="142"/>
      <c r="M20" s="142"/>
      <c r="N20" s="142"/>
      <c r="O20" s="142"/>
      <c r="P20" s="142"/>
      <c r="Q20" s="142"/>
      <c r="R20" s="142"/>
      <c r="S20" s="142"/>
      <c r="T20" s="142"/>
      <c r="U20" s="142"/>
      <c r="V20" s="142"/>
      <c r="W20" s="142"/>
      <c r="X20" s="142"/>
      <c r="Y20" s="142"/>
      <c r="Z20" s="142"/>
    </row>
    <row r="21" spans="1:26" ht="12.75" customHeight="1" x14ac:dyDescent="0.35">
      <c r="A21" s="142"/>
      <c r="B21" s="142"/>
      <c r="C21" s="142"/>
      <c r="D21" s="142"/>
      <c r="E21" s="356"/>
      <c r="F21" s="303"/>
      <c r="G21" s="148" t="str">
        <f>'C. FILIACION'!B12</f>
        <v>CANAVIRI QUISBERT ALEJANDRA ELENA</v>
      </c>
      <c r="H21" s="149">
        <f>'CENTRAL 2'!F13</f>
        <v>73.358543417366946</v>
      </c>
      <c r="I21" s="142"/>
      <c r="J21" s="142"/>
      <c r="K21" s="142"/>
      <c r="L21" s="142"/>
      <c r="M21" s="142"/>
      <c r="N21" s="142"/>
      <c r="O21" s="142"/>
      <c r="P21" s="142"/>
      <c r="Q21" s="142"/>
      <c r="R21" s="142"/>
      <c r="S21" s="142"/>
      <c r="T21" s="142"/>
      <c r="U21" s="142"/>
      <c r="V21" s="142"/>
      <c r="W21" s="142"/>
      <c r="X21" s="142"/>
      <c r="Y21" s="142"/>
      <c r="Z21" s="142"/>
    </row>
    <row r="22" spans="1:26" ht="12.75" customHeight="1" x14ac:dyDescent="0.35">
      <c r="A22" s="142"/>
      <c r="B22" s="142"/>
      <c r="C22" s="142"/>
      <c r="D22" s="142"/>
      <c r="E22" s="356"/>
      <c r="F22" s="303"/>
      <c r="G22" s="148" t="str">
        <f>'C. FILIACION'!B13</f>
        <v>GOMEZ BELTRAN ALBERT NORMAN</v>
      </c>
      <c r="H22" s="149">
        <f>'CENTRAL 2'!F14</f>
        <v>81.952380952380949</v>
      </c>
      <c r="I22" s="142"/>
      <c r="J22" s="142"/>
      <c r="K22" s="142"/>
      <c r="L22" s="142"/>
      <c r="M22" s="142"/>
      <c r="N22" s="142"/>
      <c r="O22" s="142"/>
      <c r="P22" s="142"/>
      <c r="Q22" s="142"/>
      <c r="R22" s="142"/>
      <c r="S22" s="142"/>
      <c r="T22" s="142"/>
      <c r="U22" s="142"/>
      <c r="V22" s="142"/>
      <c r="W22" s="142"/>
      <c r="X22" s="142"/>
      <c r="Y22" s="142"/>
      <c r="Z22" s="142"/>
    </row>
    <row r="23" spans="1:26" ht="12.75" customHeight="1" x14ac:dyDescent="0.35">
      <c r="A23" s="142"/>
      <c r="B23" s="142"/>
      <c r="C23" s="142"/>
      <c r="D23" s="142"/>
      <c r="E23" s="356"/>
      <c r="F23" s="303"/>
      <c r="G23" s="148" t="str">
        <f>'C. FILIACION'!B14</f>
        <v>GOMEZ COSME MELANY KARINA</v>
      </c>
      <c r="H23" s="149">
        <f>'CENTRAL 2'!F15</f>
        <v>56.924369747899163</v>
      </c>
      <c r="I23" s="142"/>
      <c r="J23" s="142"/>
      <c r="K23" s="142"/>
      <c r="L23" s="142"/>
      <c r="M23" s="142"/>
      <c r="N23" s="142"/>
      <c r="O23" s="142"/>
      <c r="P23" s="142"/>
      <c r="Q23" s="142"/>
      <c r="R23" s="142"/>
      <c r="S23" s="142"/>
      <c r="T23" s="142"/>
      <c r="U23" s="142"/>
      <c r="V23" s="142"/>
      <c r="W23" s="142"/>
      <c r="X23" s="142"/>
      <c r="Y23" s="142"/>
      <c r="Z23" s="142"/>
    </row>
    <row r="24" spans="1:26" ht="12.75" customHeight="1" x14ac:dyDescent="0.35">
      <c r="A24" s="142"/>
      <c r="B24" s="142"/>
      <c r="C24" s="142"/>
      <c r="D24" s="142"/>
      <c r="E24" s="356"/>
      <c r="F24" s="303"/>
      <c r="G24" s="148" t="str">
        <f>'C. FILIACION'!B15</f>
        <v>GONZALES ZUAZO KALEB RAMSES</v>
      </c>
      <c r="H24" s="149">
        <f>'CENTRAL 2'!F16</f>
        <v>74.61904761904762</v>
      </c>
      <c r="I24" s="142"/>
      <c r="J24" s="142"/>
      <c r="K24" s="142"/>
      <c r="L24" s="142"/>
      <c r="M24" s="142"/>
      <c r="N24" s="142"/>
      <c r="O24" s="142"/>
      <c r="P24" s="142"/>
      <c r="Q24" s="142"/>
      <c r="R24" s="142"/>
      <c r="S24" s="142"/>
      <c r="T24" s="142"/>
      <c r="U24" s="142"/>
      <c r="V24" s="142"/>
      <c r="W24" s="142"/>
      <c r="X24" s="142"/>
      <c r="Y24" s="142"/>
      <c r="Z24" s="142"/>
    </row>
    <row r="25" spans="1:26" ht="12.75" customHeight="1" x14ac:dyDescent="0.35">
      <c r="A25" s="142"/>
      <c r="B25" s="142"/>
      <c r="C25" s="142"/>
      <c r="D25" s="142"/>
      <c r="E25" s="356"/>
      <c r="F25" s="303"/>
      <c r="G25" s="148" t="str">
        <f>'C. FILIACION'!B16</f>
        <v>LEDEZMA AGUILAR ELVIS JHEFERSON</v>
      </c>
      <c r="H25" s="149">
        <f>'CENTRAL 2'!F17</f>
        <v>81.137254901960787</v>
      </c>
      <c r="I25" s="142"/>
      <c r="J25" s="142"/>
      <c r="K25" s="142"/>
      <c r="L25" s="142"/>
      <c r="M25" s="142"/>
      <c r="N25" s="142"/>
      <c r="O25" s="142"/>
      <c r="P25" s="142"/>
      <c r="Q25" s="142"/>
      <c r="R25" s="142"/>
      <c r="S25" s="142"/>
      <c r="T25" s="142"/>
      <c r="U25" s="142"/>
      <c r="V25" s="142"/>
      <c r="W25" s="142"/>
      <c r="X25" s="142"/>
      <c r="Y25" s="142"/>
      <c r="Z25" s="142"/>
    </row>
    <row r="26" spans="1:26" ht="12.75" customHeight="1" x14ac:dyDescent="0.35">
      <c r="A26" s="142"/>
      <c r="B26" s="142"/>
      <c r="C26" s="142"/>
      <c r="D26" s="142"/>
      <c r="E26" s="356"/>
      <c r="F26" s="303"/>
      <c r="G26" s="148" t="str">
        <f>'C. FILIACION'!B17</f>
        <v>LOBATON RODRIGUEZ JHONATAN A.</v>
      </c>
      <c r="H26" s="149">
        <f>'CENTRAL 2'!F18</f>
        <v>68.745098039215691</v>
      </c>
      <c r="I26" s="142"/>
      <c r="J26" s="142"/>
      <c r="K26" s="142"/>
      <c r="L26" s="142"/>
      <c r="M26" s="142"/>
      <c r="N26" s="142"/>
      <c r="O26" s="142"/>
      <c r="P26" s="142"/>
      <c r="Q26" s="142"/>
      <c r="R26" s="142"/>
      <c r="S26" s="142"/>
      <c r="T26" s="142"/>
      <c r="U26" s="142"/>
      <c r="V26" s="142"/>
      <c r="W26" s="142"/>
      <c r="X26" s="142"/>
      <c r="Y26" s="142"/>
      <c r="Z26" s="142"/>
    </row>
    <row r="27" spans="1:26" ht="12.75" customHeight="1" x14ac:dyDescent="0.35">
      <c r="A27" s="142"/>
      <c r="B27" s="142"/>
      <c r="C27" s="142"/>
      <c r="D27" s="142"/>
      <c r="E27" s="356"/>
      <c r="F27" s="303"/>
      <c r="G27" s="148" t="str">
        <f>'C. FILIACION'!B18</f>
        <v>MAMANI LOPEZ DAFNE MILDRED</v>
      </c>
      <c r="H27" s="149">
        <f>'CENTRAL 2'!F19</f>
        <v>59.268907563025209</v>
      </c>
      <c r="I27" s="142"/>
      <c r="J27" s="142"/>
      <c r="K27" s="142"/>
      <c r="L27" s="142"/>
      <c r="M27" s="142"/>
      <c r="N27" s="142"/>
      <c r="O27" s="142"/>
      <c r="P27" s="142"/>
      <c r="Q27" s="142"/>
      <c r="R27" s="142"/>
      <c r="S27" s="142"/>
      <c r="T27" s="142"/>
      <c r="U27" s="142"/>
      <c r="V27" s="142"/>
      <c r="W27" s="142"/>
      <c r="X27" s="142"/>
      <c r="Y27" s="142"/>
      <c r="Z27" s="142"/>
    </row>
    <row r="28" spans="1:26" ht="12.75" customHeight="1" x14ac:dyDescent="0.35">
      <c r="A28" s="142"/>
      <c r="B28" s="142"/>
      <c r="C28" s="142"/>
      <c r="D28" s="142"/>
      <c r="E28" s="356"/>
      <c r="F28" s="303"/>
      <c r="G28" s="148" t="str">
        <f>'C. FILIACION'!B19</f>
        <v>MARCONI PEREZ SINDEL LUANA</v>
      </c>
      <c r="H28" s="149">
        <f>'CENTRAL 2'!F20</f>
        <v>53.436974789915972</v>
      </c>
      <c r="I28" s="142"/>
      <c r="J28" s="142"/>
      <c r="K28" s="142"/>
      <c r="L28" s="142"/>
      <c r="M28" s="142"/>
      <c r="N28" s="142"/>
      <c r="O28" s="142"/>
      <c r="P28" s="142"/>
      <c r="Q28" s="142"/>
      <c r="R28" s="142"/>
      <c r="S28" s="142"/>
      <c r="T28" s="142"/>
      <c r="U28" s="142"/>
      <c r="V28" s="142"/>
      <c r="W28" s="142"/>
      <c r="X28" s="142"/>
      <c r="Y28" s="142"/>
      <c r="Z28" s="142"/>
    </row>
    <row r="29" spans="1:26" ht="12.75" customHeight="1" x14ac:dyDescent="0.35">
      <c r="A29" s="142"/>
      <c r="B29" s="142"/>
      <c r="C29" s="142"/>
      <c r="D29" s="142"/>
      <c r="E29" s="356"/>
      <c r="F29" s="303"/>
      <c r="G29" s="148" t="str">
        <f>'C. FILIACION'!B20</f>
        <v>MENACHO LINEO ANDREA KIMBERLY</v>
      </c>
      <c r="H29" s="149">
        <f>'CENTRAL 2'!F21</f>
        <v>69.047619047619051</v>
      </c>
      <c r="I29" s="142"/>
      <c r="J29" s="142"/>
      <c r="K29" s="142"/>
      <c r="L29" s="142"/>
      <c r="M29" s="142"/>
      <c r="N29" s="142"/>
      <c r="O29" s="142"/>
      <c r="P29" s="142"/>
      <c r="Q29" s="142"/>
      <c r="R29" s="142"/>
      <c r="S29" s="142"/>
      <c r="T29" s="142"/>
      <c r="U29" s="142"/>
      <c r="V29" s="142"/>
      <c r="W29" s="142"/>
      <c r="X29" s="142"/>
      <c r="Y29" s="142"/>
      <c r="Z29" s="142"/>
    </row>
    <row r="30" spans="1:26" ht="12.75" customHeight="1" x14ac:dyDescent="0.35">
      <c r="A30" s="142"/>
      <c r="B30" s="142"/>
      <c r="C30" s="142"/>
      <c r="D30" s="142"/>
      <c r="E30" s="356"/>
      <c r="F30" s="303"/>
      <c r="G30" s="148" t="str">
        <f>'C. FILIACION'!B21</f>
        <v>PILLCO APAZA MARIAN ALEXANDRA</v>
      </c>
      <c r="H30" s="149">
        <f>'CENTRAL 2'!F22</f>
        <v>73.666666666666671</v>
      </c>
      <c r="I30" s="142"/>
      <c r="J30" s="142"/>
      <c r="K30" s="142"/>
      <c r="L30" s="142"/>
      <c r="M30" s="142"/>
      <c r="N30" s="142"/>
      <c r="O30" s="142"/>
      <c r="P30" s="142"/>
      <c r="Q30" s="142"/>
      <c r="R30" s="142"/>
      <c r="S30" s="142"/>
      <c r="T30" s="142"/>
      <c r="U30" s="142"/>
      <c r="V30" s="142"/>
      <c r="W30" s="142"/>
      <c r="X30" s="142"/>
      <c r="Y30" s="142"/>
      <c r="Z30" s="142"/>
    </row>
    <row r="31" spans="1:26" ht="12.75" customHeight="1" x14ac:dyDescent="0.35">
      <c r="A31" s="142"/>
      <c r="B31" s="142"/>
      <c r="C31" s="142"/>
      <c r="D31" s="142"/>
      <c r="E31" s="356"/>
      <c r="F31" s="303"/>
      <c r="G31" s="148" t="str">
        <f>'C. FILIACION'!B22</f>
        <v>RUEDA ALVAREZ GREGORY STEVEN</v>
      </c>
      <c r="H31" s="149">
        <f>'CENTRAL 2'!F23</f>
        <v>72.476190476190482</v>
      </c>
      <c r="I31" s="142"/>
      <c r="J31" s="142"/>
      <c r="K31" s="142"/>
      <c r="L31" s="142"/>
      <c r="M31" s="142"/>
      <c r="N31" s="142"/>
      <c r="O31" s="142"/>
      <c r="P31" s="142"/>
      <c r="Q31" s="142"/>
      <c r="R31" s="142"/>
      <c r="S31" s="142"/>
      <c r="T31" s="142"/>
      <c r="U31" s="142"/>
      <c r="V31" s="142"/>
      <c r="W31" s="142"/>
      <c r="X31" s="142"/>
      <c r="Y31" s="142"/>
      <c r="Z31" s="142"/>
    </row>
    <row r="32" spans="1:26" ht="12.75" customHeight="1" x14ac:dyDescent="0.35">
      <c r="A32" s="142"/>
      <c r="B32" s="142"/>
      <c r="C32" s="142"/>
      <c r="D32" s="142"/>
      <c r="E32" s="356"/>
      <c r="F32" s="303"/>
      <c r="G32" s="148" t="str">
        <f>'C. FILIACION'!B23</f>
        <v>VARGAS JOYCE BELEN</v>
      </c>
      <c r="H32" s="149">
        <f>'CENTRAL 2'!F24</f>
        <v>30.896825396825395</v>
      </c>
      <c r="I32" s="142"/>
      <c r="J32" s="142"/>
      <c r="K32" s="142"/>
      <c r="L32" s="142"/>
      <c r="M32" s="142"/>
      <c r="N32" s="142"/>
      <c r="O32" s="142"/>
      <c r="P32" s="142"/>
      <c r="Q32" s="142"/>
      <c r="R32" s="142"/>
      <c r="S32" s="142"/>
      <c r="T32" s="142"/>
      <c r="U32" s="142"/>
      <c r="V32" s="142"/>
      <c r="W32" s="142"/>
      <c r="X32" s="142"/>
      <c r="Y32" s="142"/>
      <c r="Z32" s="142"/>
    </row>
    <row r="33" spans="1:26" ht="12.75" customHeight="1" x14ac:dyDescent="0.35">
      <c r="A33" s="142"/>
      <c r="B33" s="142"/>
      <c r="C33" s="142"/>
      <c r="D33" s="142"/>
      <c r="E33" s="356"/>
      <c r="F33" s="303"/>
      <c r="G33" s="148" t="str">
        <f>'C. FILIACION'!B24</f>
        <v>ZURITA JIMENEZ ELMER ARTURO</v>
      </c>
      <c r="H33" s="149">
        <f>'CENTRAL 2'!F25</f>
        <v>81.666666666666671</v>
      </c>
      <c r="I33" s="142"/>
      <c r="J33" s="142"/>
      <c r="K33" s="142"/>
      <c r="L33" s="142"/>
      <c r="M33" s="142"/>
      <c r="N33" s="142"/>
      <c r="O33" s="142"/>
      <c r="P33" s="142"/>
      <c r="Q33" s="142"/>
      <c r="R33" s="142"/>
      <c r="S33" s="142"/>
      <c r="T33" s="142"/>
      <c r="U33" s="142"/>
      <c r="V33" s="142"/>
      <c r="W33" s="142"/>
      <c r="X33" s="142"/>
      <c r="Y33" s="142"/>
      <c r="Z33" s="142"/>
    </row>
    <row r="34" spans="1:26" ht="12.75" customHeight="1" x14ac:dyDescent="0.35">
      <c r="A34" s="142"/>
      <c r="B34" s="142"/>
      <c r="C34" s="142"/>
      <c r="D34" s="142"/>
      <c r="E34" s="356"/>
      <c r="F34" s="303"/>
      <c r="G34" s="148" t="str">
        <f>'C. FILIACION'!B25</f>
        <v>ADRIAN FLORES EDDY BEYMAR</v>
      </c>
      <c r="H34" s="149">
        <f>'CENTRAL 2'!F26</f>
        <v>37.831932773109244</v>
      </c>
      <c r="I34" s="142"/>
      <c r="J34" s="142"/>
      <c r="K34" s="142"/>
      <c r="L34" s="142"/>
      <c r="M34" s="142"/>
      <c r="N34" s="142"/>
      <c r="O34" s="142"/>
      <c r="P34" s="142"/>
      <c r="Q34" s="142"/>
      <c r="R34" s="142"/>
      <c r="S34" s="142"/>
      <c r="T34" s="142"/>
      <c r="U34" s="142"/>
      <c r="V34" s="142"/>
      <c r="W34" s="142"/>
      <c r="X34" s="142"/>
      <c r="Y34" s="142"/>
      <c r="Z34" s="142"/>
    </row>
    <row r="35" spans="1:26" ht="12.75" customHeight="1" x14ac:dyDescent="0.35">
      <c r="A35" s="142"/>
      <c r="B35" s="142"/>
      <c r="C35" s="142"/>
      <c r="D35" s="142"/>
      <c r="E35" s="357"/>
      <c r="F35" s="303"/>
      <c r="G35" s="148" t="str">
        <f>'C. FILIACION'!B26</f>
        <v>VENTURA CHOQUE DANELY KEYLA</v>
      </c>
      <c r="H35" s="149">
        <f>'CENTRAL 2'!F27</f>
        <v>71.61904761904762</v>
      </c>
      <c r="I35" s="142"/>
      <c r="J35" s="142"/>
      <c r="K35" s="142"/>
      <c r="L35" s="142"/>
      <c r="M35" s="142"/>
      <c r="N35" s="142"/>
      <c r="O35" s="142"/>
      <c r="P35" s="142"/>
      <c r="Q35" s="142"/>
      <c r="R35" s="142"/>
      <c r="S35" s="142"/>
      <c r="T35" s="142"/>
      <c r="U35" s="142"/>
      <c r="V35" s="142"/>
      <c r="W35" s="142"/>
      <c r="X35" s="142"/>
      <c r="Y35" s="142"/>
      <c r="Z35" s="142"/>
    </row>
    <row r="36" spans="1:26" ht="12.75" customHeight="1" x14ac:dyDescent="0.35">
      <c r="A36" s="142"/>
      <c r="B36" s="142"/>
      <c r="C36" s="142"/>
      <c r="D36" s="142"/>
      <c r="E36" s="356"/>
      <c r="F36" s="303"/>
      <c r="G36" s="148">
        <f>'C. FILIACION'!B27</f>
        <v>0</v>
      </c>
      <c r="H36" s="149">
        <f>'CENTRAL 2'!F28</f>
        <v>100</v>
      </c>
      <c r="I36" s="142"/>
      <c r="J36" s="142"/>
      <c r="K36" s="142"/>
      <c r="L36" s="142"/>
      <c r="M36" s="142"/>
      <c r="N36" s="142"/>
      <c r="O36" s="142"/>
      <c r="P36" s="142"/>
      <c r="Q36" s="142"/>
      <c r="R36" s="142"/>
      <c r="S36" s="142"/>
      <c r="T36" s="142"/>
      <c r="U36" s="142"/>
      <c r="V36" s="142"/>
      <c r="W36" s="142"/>
      <c r="X36" s="142"/>
      <c r="Y36" s="142"/>
      <c r="Z36" s="142"/>
    </row>
    <row r="37" spans="1:26" ht="12.75" customHeight="1" x14ac:dyDescent="0.35">
      <c r="A37" s="142"/>
      <c r="B37" s="142"/>
      <c r="C37" s="142"/>
      <c r="D37" s="142"/>
      <c r="E37" s="356"/>
      <c r="F37" s="303"/>
      <c r="G37" s="148">
        <f>'C. FILIACION'!B28</f>
        <v>0</v>
      </c>
      <c r="H37" s="149">
        <f>'CENTRAL 2'!F29</f>
        <v>100</v>
      </c>
      <c r="I37" s="142"/>
      <c r="J37" s="142"/>
      <c r="K37" s="142"/>
      <c r="L37" s="142"/>
      <c r="M37" s="142"/>
      <c r="N37" s="142"/>
      <c r="O37" s="142"/>
      <c r="P37" s="142"/>
      <c r="Q37" s="142"/>
      <c r="R37" s="142"/>
      <c r="S37" s="142"/>
      <c r="T37" s="142"/>
      <c r="U37" s="142"/>
      <c r="V37" s="142"/>
      <c r="W37" s="142"/>
      <c r="X37" s="142"/>
      <c r="Y37" s="142"/>
      <c r="Z37" s="142"/>
    </row>
    <row r="38" spans="1:26" ht="12.75" customHeight="1" x14ac:dyDescent="0.35">
      <c r="A38" s="142"/>
      <c r="B38" s="142"/>
      <c r="C38" s="142"/>
      <c r="D38" s="142"/>
      <c r="E38" s="356"/>
      <c r="F38" s="303"/>
      <c r="G38" s="148">
        <f>'C. FILIACION'!B29</f>
        <v>0</v>
      </c>
      <c r="H38" s="149">
        <f>'CENTRAL 2'!F30</f>
        <v>100</v>
      </c>
      <c r="I38" s="142"/>
      <c r="J38" s="142"/>
      <c r="K38" s="142"/>
      <c r="L38" s="142"/>
      <c r="M38" s="142"/>
      <c r="N38" s="142"/>
      <c r="O38" s="142"/>
      <c r="P38" s="142"/>
      <c r="Q38" s="142"/>
      <c r="R38" s="142"/>
      <c r="S38" s="142"/>
      <c r="T38" s="142"/>
      <c r="U38" s="142"/>
      <c r="V38" s="142"/>
      <c r="W38" s="142"/>
      <c r="X38" s="142"/>
      <c r="Y38" s="142"/>
      <c r="Z38" s="142"/>
    </row>
    <row r="39" spans="1:26" ht="12.75" customHeight="1" x14ac:dyDescent="0.35">
      <c r="A39" s="142"/>
      <c r="B39" s="142"/>
      <c r="C39" s="142"/>
      <c r="D39" s="142"/>
      <c r="E39" s="356"/>
      <c r="F39" s="303"/>
      <c r="G39" s="148">
        <f>'C. FILIACION'!B30</f>
        <v>0</v>
      </c>
      <c r="H39" s="149">
        <f>'CENTRAL 2'!F31</f>
        <v>100</v>
      </c>
      <c r="I39" s="142"/>
      <c r="J39" s="142"/>
      <c r="K39" s="142"/>
      <c r="L39" s="142"/>
      <c r="M39" s="142"/>
      <c r="N39" s="142"/>
      <c r="O39" s="142"/>
      <c r="P39" s="142"/>
      <c r="Q39" s="142"/>
      <c r="R39" s="142"/>
      <c r="S39" s="142"/>
      <c r="T39" s="142"/>
      <c r="U39" s="142"/>
      <c r="V39" s="142"/>
      <c r="W39" s="142"/>
      <c r="X39" s="142"/>
      <c r="Y39" s="142"/>
      <c r="Z39" s="142"/>
    </row>
    <row r="40" spans="1:26" ht="12.75" customHeight="1" x14ac:dyDescent="0.35">
      <c r="A40" s="142"/>
      <c r="B40" s="142"/>
      <c r="C40" s="142"/>
      <c r="D40" s="142"/>
      <c r="E40" s="356"/>
      <c r="F40" s="303"/>
      <c r="G40" s="148">
        <f>'C. FILIACION'!B31</f>
        <v>0</v>
      </c>
      <c r="H40" s="149">
        <f>'CENTRAL 2'!F32</f>
        <v>100</v>
      </c>
      <c r="I40" s="142"/>
      <c r="J40" s="142"/>
      <c r="K40" s="142"/>
      <c r="L40" s="142"/>
      <c r="M40" s="142"/>
      <c r="N40" s="142"/>
      <c r="O40" s="142"/>
      <c r="P40" s="142"/>
      <c r="Q40" s="142"/>
      <c r="R40" s="142"/>
      <c r="S40" s="142"/>
      <c r="T40" s="142"/>
      <c r="U40" s="142"/>
      <c r="V40" s="142"/>
      <c r="W40" s="142"/>
      <c r="X40" s="142"/>
      <c r="Y40" s="142"/>
      <c r="Z40" s="142"/>
    </row>
    <row r="41" spans="1:26" ht="12.75" customHeight="1" x14ac:dyDescent="0.35">
      <c r="A41" s="142"/>
      <c r="B41" s="142"/>
      <c r="C41" s="142"/>
      <c r="D41" s="142"/>
      <c r="E41" s="356"/>
      <c r="F41" s="303"/>
      <c r="G41" s="148">
        <f>'C. FILIACION'!B32</f>
        <v>0</v>
      </c>
      <c r="H41" s="149">
        <f>'CENTRAL 2'!F33</f>
        <v>100</v>
      </c>
      <c r="I41" s="142"/>
      <c r="J41" s="142"/>
      <c r="K41" s="142"/>
      <c r="L41" s="142"/>
      <c r="M41" s="142"/>
      <c r="N41" s="142"/>
      <c r="O41" s="142"/>
      <c r="P41" s="142"/>
      <c r="Q41" s="142"/>
      <c r="R41" s="142"/>
      <c r="S41" s="142"/>
      <c r="T41" s="142"/>
      <c r="U41" s="142"/>
      <c r="V41" s="142"/>
      <c r="W41" s="142"/>
      <c r="X41" s="142"/>
      <c r="Y41" s="142"/>
      <c r="Z41" s="142"/>
    </row>
    <row r="42" spans="1:26" ht="12.75" customHeight="1" x14ac:dyDescent="0.35">
      <c r="A42" s="142"/>
      <c r="B42" s="142"/>
      <c r="C42" s="142"/>
      <c r="D42" s="142"/>
      <c r="E42" s="356"/>
      <c r="F42" s="303"/>
      <c r="G42" s="148">
        <f>'C. FILIACION'!B33</f>
        <v>0</v>
      </c>
      <c r="H42" s="149">
        <f>'CENTRAL 2'!F34</f>
        <v>100</v>
      </c>
      <c r="I42" s="142"/>
      <c r="J42" s="142"/>
      <c r="K42" s="142"/>
      <c r="L42" s="142"/>
      <c r="M42" s="142"/>
      <c r="N42" s="142"/>
      <c r="O42" s="142"/>
      <c r="P42" s="142"/>
      <c r="Q42" s="142"/>
      <c r="R42" s="142"/>
      <c r="S42" s="142"/>
      <c r="T42" s="142"/>
      <c r="U42" s="142"/>
      <c r="V42" s="142"/>
      <c r="W42" s="142"/>
      <c r="X42" s="142"/>
      <c r="Y42" s="142"/>
      <c r="Z42" s="142"/>
    </row>
    <row r="43" spans="1:26" ht="12.75" customHeight="1" x14ac:dyDescent="0.35">
      <c r="A43" s="142"/>
      <c r="B43" s="142"/>
      <c r="C43" s="142"/>
      <c r="D43" s="142"/>
      <c r="E43" s="356"/>
      <c r="F43" s="303"/>
      <c r="G43" s="148">
        <f>'C. FILIACION'!B34</f>
        <v>0</v>
      </c>
      <c r="H43" s="149">
        <f>'CENTRAL 2'!F35</f>
        <v>100</v>
      </c>
      <c r="I43" s="142"/>
      <c r="J43" s="142"/>
      <c r="K43" s="142"/>
      <c r="L43" s="142"/>
      <c r="M43" s="142"/>
      <c r="N43" s="142"/>
      <c r="O43" s="142"/>
      <c r="P43" s="142"/>
      <c r="Q43" s="142"/>
      <c r="R43" s="142"/>
      <c r="S43" s="142"/>
      <c r="T43" s="142"/>
      <c r="U43" s="142"/>
      <c r="V43" s="142"/>
      <c r="W43" s="142"/>
      <c r="X43" s="142"/>
      <c r="Y43" s="142"/>
      <c r="Z43" s="142"/>
    </row>
    <row r="44" spans="1:26" ht="12.75" customHeight="1" x14ac:dyDescent="0.35">
      <c r="A44" s="142"/>
      <c r="B44" s="142"/>
      <c r="C44" s="142"/>
      <c r="D44" s="142"/>
      <c r="E44" s="356"/>
      <c r="F44" s="303"/>
      <c r="G44" s="148">
        <f>'C. FILIACION'!B35</f>
        <v>0</v>
      </c>
      <c r="H44" s="149">
        <f>'CENTRAL 2'!F36</f>
        <v>100</v>
      </c>
      <c r="I44" s="142"/>
      <c r="J44" s="142"/>
      <c r="K44" s="142"/>
      <c r="L44" s="142"/>
      <c r="M44" s="142"/>
      <c r="N44" s="142"/>
      <c r="O44" s="142"/>
      <c r="P44" s="142"/>
      <c r="Q44" s="142"/>
      <c r="R44" s="142"/>
      <c r="S44" s="142"/>
      <c r="T44" s="142"/>
      <c r="U44" s="142"/>
      <c r="V44" s="142"/>
      <c r="W44" s="142"/>
      <c r="X44" s="142"/>
      <c r="Y44" s="142"/>
      <c r="Z44" s="142"/>
    </row>
    <row r="45" spans="1:26" ht="12.75" customHeight="1" x14ac:dyDescent="0.35">
      <c r="A45" s="142"/>
      <c r="B45" s="142"/>
      <c r="C45" s="142"/>
      <c r="D45" s="142"/>
      <c r="E45" s="356"/>
      <c r="F45" s="303"/>
      <c r="G45" s="148">
        <f>'C. FILIACION'!B36</f>
        <v>0</v>
      </c>
      <c r="H45" s="149">
        <f>'CENTRAL 2'!F37</f>
        <v>100</v>
      </c>
      <c r="I45" s="142"/>
      <c r="J45" s="142"/>
      <c r="K45" s="142"/>
      <c r="L45" s="142"/>
      <c r="M45" s="142"/>
      <c r="N45" s="142"/>
      <c r="O45" s="142"/>
      <c r="P45" s="142"/>
      <c r="Q45" s="142"/>
      <c r="R45" s="142"/>
      <c r="S45" s="142"/>
      <c r="T45" s="142"/>
      <c r="U45" s="142"/>
      <c r="V45" s="142"/>
      <c r="W45" s="142"/>
      <c r="X45" s="142"/>
      <c r="Y45" s="142"/>
      <c r="Z45" s="142"/>
    </row>
    <row r="46" spans="1:26" ht="12.75" customHeight="1" x14ac:dyDescent="0.35">
      <c r="A46" s="142"/>
      <c r="B46" s="142"/>
      <c r="C46" s="142"/>
      <c r="D46" s="142"/>
      <c r="E46" s="356"/>
      <c r="F46" s="303"/>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5">
      <c r="A47" s="142"/>
      <c r="B47" s="142"/>
      <c r="C47" s="142"/>
      <c r="D47" s="142"/>
      <c r="E47" s="356"/>
      <c r="F47" s="303"/>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5">
      <c r="A48" s="142"/>
      <c r="B48" s="142"/>
      <c r="C48" s="142"/>
      <c r="D48" s="142"/>
      <c r="E48" s="356"/>
      <c r="F48" s="303"/>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5">
      <c r="A49" s="142"/>
      <c r="B49" s="142"/>
      <c r="C49" s="142"/>
      <c r="D49" s="142"/>
      <c r="E49" s="356"/>
      <c r="F49" s="303"/>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5">
      <c r="A50" s="142"/>
      <c r="B50" s="142"/>
      <c r="C50" s="142"/>
      <c r="D50" s="142"/>
      <c r="E50" s="356"/>
      <c r="F50" s="303"/>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5">
      <c r="A51" s="142"/>
      <c r="B51" s="142"/>
      <c r="C51" s="142"/>
      <c r="D51" s="142"/>
      <c r="E51" s="356"/>
      <c r="F51" s="303"/>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5">
      <c r="A52" s="142"/>
      <c r="B52" s="142"/>
      <c r="C52" s="142"/>
      <c r="D52" s="142"/>
      <c r="E52" s="356"/>
      <c r="F52" s="303"/>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5">
      <c r="A53" s="142"/>
      <c r="B53" s="142"/>
      <c r="C53" s="142"/>
      <c r="D53" s="142"/>
      <c r="E53" s="356"/>
      <c r="F53" s="303"/>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5">
      <c r="A54" s="142"/>
      <c r="B54" s="142"/>
      <c r="C54" s="142"/>
      <c r="D54" s="142"/>
      <c r="E54" s="356"/>
      <c r="F54" s="303"/>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5">
      <c r="A55" s="142"/>
      <c r="B55" s="142"/>
      <c r="C55" s="142"/>
      <c r="D55" s="142"/>
      <c r="E55" s="356"/>
      <c r="F55" s="303"/>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5">
      <c r="A56" s="142"/>
      <c r="B56" s="142"/>
      <c r="C56" s="142"/>
      <c r="D56" s="142"/>
      <c r="E56" s="356"/>
      <c r="F56" s="303"/>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5">
      <c r="A57" s="142"/>
      <c r="B57" s="142"/>
      <c r="C57" s="142"/>
      <c r="D57" s="142"/>
      <c r="E57" s="356"/>
      <c r="F57" s="303"/>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5">
      <c r="A58" s="142"/>
      <c r="B58" s="142"/>
      <c r="C58" s="142"/>
      <c r="D58" s="142"/>
      <c r="E58" s="356"/>
      <c r="F58" s="303"/>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5">
      <c r="A59" s="142"/>
      <c r="B59" s="142"/>
      <c r="C59" s="142"/>
      <c r="D59" s="142"/>
      <c r="E59" s="356"/>
      <c r="F59" s="303"/>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5">
      <c r="A60" s="142"/>
      <c r="B60" s="142"/>
      <c r="C60" s="142"/>
      <c r="D60" s="142"/>
      <c r="E60" s="358"/>
      <c r="F60" s="359"/>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5">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5">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5">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5">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5">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5">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5">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5">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5">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5">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5">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5">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5">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5">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5">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5">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5">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5">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5">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5">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5">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5">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5">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5">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5">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5">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5">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5">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5">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5">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5">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5">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5">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5">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5">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5">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5">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5">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5">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5">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5">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5">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5">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5">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5">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5">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5">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5">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5">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5">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5">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5">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5">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5">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5">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5">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5">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5">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5">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5">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5">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5">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5">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5">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5">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5">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5">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5">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5">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5">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5">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5">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5">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5">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5">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5">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5">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5">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5">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5">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5">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5">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5">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5">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5">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5">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5">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5">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5">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5">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5">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5">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5">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5">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5">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5">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5">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5">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5">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5">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5">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5">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5">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5">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5">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5">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5">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5">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5">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5">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5">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5">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5">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5">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5">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5">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5">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5">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5">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5">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5">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5">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5">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5">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5">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5">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5">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5">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5">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5">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5">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5">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5">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5">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5">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5">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5">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5">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5">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5">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5">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5">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5">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5">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5">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5">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5">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5">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5">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5">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5">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5">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5">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5">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5">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5">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5">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5">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5">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5">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5">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5">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5">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5">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5">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5">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5">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5">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5">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5">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5">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5">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5">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5">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5">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5">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5">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5">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5">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5">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5">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5">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5">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5">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5">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5">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5">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5">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5">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5">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5">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5">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5">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5">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5">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5">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5">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5">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5">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5">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5">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5">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5">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5">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5">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5">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5">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5">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5">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5">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5">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5">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5">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5">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5">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5">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5">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5">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5">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5">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5">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5">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5">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5">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5">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5">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5">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5">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5">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5">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5">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5">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5">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5">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5">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5">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5">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5">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5">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5">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5">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5">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5">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5">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5">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5">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5">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5">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5">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5">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5">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5">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5">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5">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5">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5">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5">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5">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5">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5">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5">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5">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5">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5">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5">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5">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5">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5">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5">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5">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5">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5">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5">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5">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5">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5">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5">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5">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5">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5">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5">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5">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5">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5">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5">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5">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5">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5">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5">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5">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5">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5">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5">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5">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5">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5">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5">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5">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5">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5">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5">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5">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5">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5">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5">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5">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5">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5">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5">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5">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5">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5">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5">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5">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5">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5">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5">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5">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5">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5">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5">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5">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5">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5">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5">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5">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5">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5">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5">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5">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5">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5">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5">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5">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5">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5">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5">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5">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5">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5">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5">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5">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5">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5">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5">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5">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5">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5">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5">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5">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5">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5">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5">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5">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5">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5">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5">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5">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5">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5">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5">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5">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5">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5">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5">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5">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5">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5">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5">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5">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5">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5">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5">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5">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5">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5">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5">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5">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5">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5">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5">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5">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5">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5">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5">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5">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5">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5">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5">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5">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5">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5">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5">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5">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5">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5">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5">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5">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5">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5">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5">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5">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5">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5">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5">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5">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5">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5">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5">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5">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5">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5">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5">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5">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5">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5">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5">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5">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5">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5">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5">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5">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5">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5">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5">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5">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5">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5">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5">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5">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5">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5">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5">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5">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5">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5">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5">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5">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5">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5">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5">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5">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5">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5">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5">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5">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5">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5">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5">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5">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5">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5">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5">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5">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5">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5">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5">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5">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5">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5">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5">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5">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5">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5">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5">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5">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5">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5">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5">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5">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5">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5">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5">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5">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5">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5">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5">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5">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5">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5">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5">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5">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5">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5">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5">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5">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5">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5">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5">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5">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5">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5">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5">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5">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5">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5">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5">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5">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5">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5">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5">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5">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5">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5">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5">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5">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5">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5">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5">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5">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5">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5">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5">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5">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5">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5">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5">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5">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5">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5">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5">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5">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5">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5">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5">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5">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5">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5">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5">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5">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5">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5">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5">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5">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5">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5">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5">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5">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5">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5">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5">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5">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5">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5">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5">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5">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5">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5">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5">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5">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5">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5">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5">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5">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5">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5">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5">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5">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5">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5">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5">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5">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5">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5">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5">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5">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5">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5">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5">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5">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5">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5">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5">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5">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5">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5">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5">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5">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5">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5">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5">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5">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5">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5">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5">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5">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5">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5">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5">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5">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5">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5">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5">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5">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5">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5">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5">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5">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5">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5">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5">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5">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5">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5">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5">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5">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5">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5">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5">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5">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5">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5">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5">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5">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5">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5">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5">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5">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5">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5">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5">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5">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5">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5">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5">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5">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5">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5">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5">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5">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5">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5">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5">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5">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5">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5">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5">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5">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5">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5">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5">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5">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5">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5">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5">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5">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5">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5">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5">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5">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5">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5">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5">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5">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5">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5">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5">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5">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5">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5">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5">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5">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5">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5">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5">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5">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5">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5">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5">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5">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5">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5">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5">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5">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5">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5">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5">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5">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5">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5">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5">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5">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5">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5">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5">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5">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5">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5">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5">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5">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5">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5">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5">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5">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5">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5">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5">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5">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5">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5">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5">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5">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5">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5">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5">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5">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5">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5">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5">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5">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5">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5">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5">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5">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5">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5">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5">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5">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5">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5">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5">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5">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5">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5">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5">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5">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5">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5">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5">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5">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5">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5">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5">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5">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5">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5">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5">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5">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5">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5">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5">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5">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5">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5">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5">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5">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5">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5">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5">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5">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5">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5">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5">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5">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5">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5">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5">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5">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5">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5">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5">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5">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5">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5">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5">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5">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5">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5">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5">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5">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5">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5">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5">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5">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5">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5">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5">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5">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5">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5">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5">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5">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5">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5">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5">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5">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5">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5">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5">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5">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5">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5">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5">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5">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5">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5">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5">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5">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5">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5">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5">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5">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5">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5">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5">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5">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5">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5">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5">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5">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5">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5">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5">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5">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5">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5">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5">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5">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5">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5">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5">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5">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5">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5">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5">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5">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5">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5">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5">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5">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5">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5">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5">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5">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5">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5">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5">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5">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5">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5">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5">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5">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5">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5">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5">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5">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5">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5">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5">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5">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5">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5">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5">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5">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5">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5">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5">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5">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5">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5">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5">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5">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5">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5">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5">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5">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5">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5">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5">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5">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5">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5">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5">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5">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5">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5">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5">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5">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5">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5">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5">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5">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5">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5">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5">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5">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5">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5">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5">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5">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5">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5">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5">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5">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5">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5">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5">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5">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5">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5">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5">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5">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5">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5">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5">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5">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5">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5">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5">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5">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5">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5">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5">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5">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5">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5">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5">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5">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5">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5">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5">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5">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5">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5">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5">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5">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5">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5">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5">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5">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5">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5">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5">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5">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5">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5">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5">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5">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5">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5">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por Estudiante</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2021-12-13T17:14:04Z</cp:lastPrinted>
  <dcterms:created xsi:type="dcterms:W3CDTF">2020-01-23T13:58:13Z</dcterms:created>
  <dcterms:modified xsi:type="dcterms:W3CDTF">2021-12-13T18:16:56Z</dcterms:modified>
</cp:coreProperties>
</file>