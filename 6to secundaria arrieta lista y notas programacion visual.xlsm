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6231D655-CC66-48FF-9A81-C7157C5F69DD}" xr6:coauthVersionLast="47" xr6:coauthVersionMax="47" xr10:uidLastSave="{00000000-0000-0000-0000-000000000000}"/>
  <bookViews>
    <workbookView xWindow="-180" yWindow="-180" windowWidth="29160" windowHeight="17760"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B25" i="4" l="1"/>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0" i="7" l="1"/>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N20" i="9" l="1"/>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16" i="9" l="1"/>
  <c r="V16" i="9" s="1"/>
  <c r="U25" i="9"/>
  <c r="F25" i="10" s="1"/>
  <c r="U17" i="9"/>
  <c r="U22" i="9"/>
  <c r="V22" i="9" s="1"/>
  <c r="F23" i="10"/>
  <c r="V23" i="9"/>
  <c r="F39" i="10"/>
  <c r="V39" i="9"/>
  <c r="F15" i="10"/>
  <c r="V15" i="9"/>
  <c r="F31" i="10"/>
  <c r="V31" i="9"/>
  <c r="F17" i="10"/>
  <c r="V17" i="9"/>
  <c r="F22" i="10"/>
  <c r="U11" i="9"/>
  <c r="F35" i="10"/>
  <c r="V35" i="9"/>
  <c r="U12" i="9"/>
  <c r="I9" i="10"/>
  <c r="E11" i="14" s="1"/>
  <c r="I13" i="10"/>
  <c r="E12" i="14" s="1"/>
  <c r="F16" i="10"/>
  <c r="U24" i="9"/>
  <c r="U28" i="9"/>
  <c r="AO12" i="7"/>
  <c r="H10" i="12" s="1"/>
  <c r="AO11" i="7"/>
  <c r="H9" i="12" s="1"/>
  <c r="AO10" i="7"/>
  <c r="H8" i="12" s="1"/>
  <c r="AO9" i="7"/>
  <c r="H7" i="12" s="1"/>
  <c r="K9" i="10"/>
  <c r="E36" i="14" s="1"/>
  <c r="K13" i="10"/>
  <c r="E37" i="14" s="1"/>
  <c r="U9" i="9"/>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F30" i="10" l="1"/>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G36" i="14" l="1"/>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<sst xmlns="http://schemas.openxmlformats.org/spreadsheetml/2006/main" count="805" uniqueCount="184">
  <si>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</si>
  <si>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</si>
  <si>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</si>
  <si>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</si>
  <si>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</si>
  <si>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</si>
  <si>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</si>
  <si>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</si>
  <si>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</si>
  <si>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</si>
  <si>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</si>
  <si>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</si>
  <si>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</si>
  <si>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</si>
  <si>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</si>
  <si>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</si>
  <si>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</si>
  <si>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</si>
  <si>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</si>
  <si>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</si>
  <si>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programacion visual</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</si>
  <si>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</si>
  <si>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</si>
  <si>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</si>
  <si>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</si>
  <si>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</si>
  <si>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</si>
  <si>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</si>
  <si>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</si>
  <si>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</si>
  <si>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</si>
  <si>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</si>
  <si>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</si>
  <si>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</si>
  <si>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</si>
  <si>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</si>
  <si>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</si>
  <si>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</si>
  <si>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</si>
  <si>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</si>
  <si>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</si>
  <si>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</si>
  <si>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</si>
  <si>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</si>
  <si>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</si>
  <si>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</si>
  <si>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</si>
  <si>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</si>
  <si>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</si>
  <si>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</si>
  <si>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</si>
  <si>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</si>
  <si>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</si>
  <si>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</si>
  <si>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</si>
  <si>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</si>
  <si>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</si>
  <si>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</si>
  <si>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</si>
  <si>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</si>
  <si>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</si>
  <si>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</si>
  <si>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</si>
  <si>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</si>
  <si>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</si>
  <si>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</si>
  <si>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</si>
  <si>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</si>
  <si>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</si>
  <si>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</si>
  <si>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</si>
  <si>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</si>
  <si>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</si>
  <si>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</si>
  <si>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</si>
  <si>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</si>
  <si>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</si>
  <si>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</si>
  <si>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</si>
  <si>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</si>
  <si>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</si>
  <si>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</si>
  <si>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</si>
  <si>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</si>
  <si>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</si>
  <si>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</si>
  <si>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</si>
  <si>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</si>
  <si>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</si>
  <si>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</si>
  <si>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</si>
  <si>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</si>
  <si>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</si>
  <si>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</si>
  <si>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</si>
  <si>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</si>
  <si>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</si>
  <si>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</si>
  <si>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</si>
  <si>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</si>
  <si>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</si>
  <si>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</si>
  <si>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</si>
  <si>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</si>
  <si>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</si>
  <si>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</si>
  <si>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</si>
  <si>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</si>
  <si>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</si>
  <si>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</si>
  <si>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</si>
  <si>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</si>
  <si>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</si>
  <si>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</si>
  <si>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</si>
  <si>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</si>
  <si>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</si>
  <si>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</si>
  <si>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</si>
  <si>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</si>
  <si>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</si>
  <si>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</si>
  <si>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</si>
  <si>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</si>
  <si>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</si>
  <si>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</si>
  <si>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</si>
  <si>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</si>
  <si>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</si>
  <si>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</si>
  <si>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</si>
  <si>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</si>
  <si>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</si>
  <si>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</si>
  <si>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</si>
  <si>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</si>
  <si>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</si>
  <si>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</si>
  <si>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</si>
  <si>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</si>
  <si>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</si>
  <si>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</si>
  <si>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</si>
  <si>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</si>
  <si>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</si>
  <si>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</si>
  <si>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</si>
  <si>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</si>
  <si>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</si>
  <si>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</si>
  <si>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</si>
  <si>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</si>
  <si>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</si>
  <si>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</si>
  <si>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</si>
  <si>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</si>
  <si>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</si>
  <si>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</si>
  <si>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</si>
  <si>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</si>
  <si>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</si>
  <si>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</si>
  <si>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</si>
  <si>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</si>
  <si>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</si>
  <si>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</si>
  <si>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</si>
  <si>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</si>
  <si>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</si>
  <si>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</si>
  <si>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</si>
  <si>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</si>
  <si>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</si>
  <si>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</si>
  <si>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</si>
  <si>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</si>
  <si>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Repaso</t>
  </si>
  <si>
    <t>Diseño de Interface</t>
  </si>
  <si>
    <t>grupos</t>
  </si>
  <si>
    <t>r</t>
  </si>
  <si>
    <t>l</t>
  </si>
  <si>
    <t>Ventura Choque Danely Keyla</t>
  </si>
  <si>
    <t>Disertacion Programa tres en raya</t>
  </si>
  <si>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</sst>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s>
  <fills count="13">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6171875" customWidth="1"/>
    <col min="7" max="7" width="1.90234375" customWidth="1"/>
    <col min="8" max="8" width="8.76171875" customWidth="1"/>
    <col min="9" max="9" width="3.6640625" customWidth="1"/>
    <col min="10" max="10" width="8.76171875" customWidth="1"/>
    <col min="11" max="11" width="1.90234375" customWidth="1"/>
    <col min="12" max="26" width="8.761718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63" t="s">
        <v>0</v>
      </c>
      <c r="D8" s="164"/>
      <c r="E8" s="165"/>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166" t="s">
        <v>1</v>
      </c>
      <c r="I9" s="167"/>
      <c r="J9" s="168"/>
      <c r="K9" s="7"/>
      <c r="L9" s="1"/>
      <c r="M9" s="1"/>
      <c r="N9" s="1"/>
      <c r="O9" s="1"/>
      <c r="P9" s="1"/>
      <c r="Q9" s="1"/>
      <c r="R9" s="1"/>
      <c r="S9" s="1"/>
      <c r="T9" s="1"/>
      <c r="U9" s="1"/>
      <c r="V9" s="1"/>
      <c r="W9" s="1"/>
      <c r="X9" s="1"/>
      <c r="Y9" s="1"/>
      <c r="Z9" s="1"/>
    </row>
    <row r="10" spans="1:26" ht="19.75" x14ac:dyDescent="0.45">
      <c r="A10" s="1"/>
      <c r="B10" s="1"/>
      <c r="C10" s="1"/>
      <c r="D10" s="1"/>
      <c r="E10" s="1"/>
      <c r="F10" s="1"/>
      <c r="G10" s="6"/>
      <c r="H10" s="169"/>
      <c r="I10" s="170"/>
      <c r="J10" s="171"/>
      <c r="K10" s="7"/>
      <c r="L10" s="1"/>
      <c r="M10" s="1"/>
      <c r="N10" s="1"/>
      <c r="O10" s="1"/>
      <c r="P10" s="1"/>
      <c r="Q10" s="1"/>
      <c r="R10" s="1"/>
      <c r="S10" s="1"/>
      <c r="T10" s="1"/>
      <c r="U10" s="1"/>
      <c r="V10" s="1"/>
      <c r="W10" s="1"/>
      <c r="X10" s="1"/>
      <c r="Y10" s="1"/>
      <c r="Z10" s="1"/>
    </row>
    <row r="11" spans="1:26" ht="15" customHeight="1" x14ac:dyDescent="0.45">
      <c r="A11" s="1"/>
      <c r="B11" s="8" t="s">
        <v>2</v>
      </c>
      <c r="C11" s="160" t="s">
        <v>3</v>
      </c>
      <c r="D11" s="161"/>
      <c r="E11" s="162"/>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172" t="s">
        <v>4</v>
      </c>
      <c r="I12" s="173"/>
      <c r="J12" s="173"/>
      <c r="K12" s="7"/>
      <c r="L12" s="1"/>
      <c r="M12" s="1"/>
      <c r="N12" s="1"/>
      <c r="O12" s="1"/>
      <c r="P12" s="1"/>
      <c r="Q12" s="1"/>
      <c r="R12" s="1"/>
      <c r="S12" s="1"/>
      <c r="T12" s="1"/>
      <c r="U12" s="1"/>
      <c r="V12" s="1"/>
      <c r="W12" s="1"/>
      <c r="X12" s="1"/>
      <c r="Y12" s="1"/>
      <c r="Z12" s="1"/>
    </row>
    <row r="13" spans="1:26" ht="19.75" x14ac:dyDescent="0.45">
      <c r="A13" s="1"/>
      <c r="B13" s="8" t="s">
        <v>5</v>
      </c>
      <c r="C13" s="160"/>
      <c r="D13" s="161"/>
      <c r="E13" s="16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60" t="s">
        <v>9</v>
      </c>
      <c r="D15" s="161"/>
      <c r="E15" s="162"/>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174" t="s">
        <v>10</v>
      </c>
      <c r="I16" s="173"/>
      <c r="J16" s="173"/>
      <c r="K16" s="7"/>
      <c r="L16" s="1"/>
      <c r="M16" s="1"/>
      <c r="N16" s="1"/>
      <c r="O16" s="1"/>
      <c r="P16" s="1"/>
      <c r="Q16" s="1"/>
      <c r="R16" s="1"/>
      <c r="S16" s="1"/>
      <c r="T16" s="1"/>
      <c r="U16" s="1"/>
      <c r="V16" s="1"/>
      <c r="W16" s="1"/>
      <c r="X16" s="1"/>
      <c r="Y16" s="1"/>
      <c r="Z16" s="1"/>
    </row>
    <row r="17" spans="1:26" ht="19.75" x14ac:dyDescent="0.45">
      <c r="A17" s="1"/>
      <c r="B17" s="8" t="s">
        <v>11</v>
      </c>
      <c r="C17" s="160" t="s">
        <v>12</v>
      </c>
      <c r="D17" s="161"/>
      <c r="E17" s="162"/>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60"/>
      <c r="D19" s="161"/>
      <c r="E19" s="162"/>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60" t="s">
        <v>15</v>
      </c>
      <c r="D21" s="161"/>
      <c r="E21" s="162"/>
      <c r="F21" s="9"/>
      <c r="G21" s="6"/>
      <c r="H21" s="174" t="s">
        <v>16</v>
      </c>
      <c r="I21" s="173"/>
      <c r="J21" s="173"/>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60" t="s">
        <v>18</v>
      </c>
      <c r="D23" s="161"/>
      <c r="E23" s="16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60" t="s">
        <v>20</v>
      </c>
      <c r="D25" s="161"/>
      <c r="E25" s="162"/>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21</v>
      </c>
      <c r="C27" s="160">
        <v>2021</v>
      </c>
      <c r="D27" s="161"/>
      <c r="E27" s="162"/>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34375" defaultRowHeight="15" customHeight="1" x14ac:dyDescent="0.45"/>
  <cols>
    <col min="1" max="1" width="2" customWidth="1"/>
    <col min="2" max="2" width="22.234375" customWidth="1"/>
    <col min="3" max="3" width="8.09375" customWidth="1"/>
    <col min="4" max="4" width="3.90234375" hidden="1" customWidth="1"/>
    <col min="5" max="5" width="8.90234375" customWidth="1"/>
    <col min="6" max="6" width="10.90234375" customWidth="1"/>
    <col min="7" max="8" width="8.76171875" customWidth="1"/>
    <col min="9" max="9" width="9.76171875" customWidth="1"/>
    <col min="10" max="26" width="8.761718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177" t="s">
        <v>22</v>
      </c>
      <c r="C2" s="173"/>
      <c r="D2" s="173"/>
      <c r="E2" s="173"/>
      <c r="F2" s="173"/>
      <c r="G2" s="173"/>
      <c r="H2" s="173"/>
      <c r="I2" s="173"/>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175" t="str">
        <f>CARÁTULA!$C$15</f>
        <v>Instituto Tecnico Humanistico Jauzel Arrieta</v>
      </c>
      <c r="D4" s="173"/>
      <c r="E4" s="173"/>
      <c r="F4" s="22" t="s">
        <v>19</v>
      </c>
      <c r="G4" s="175" t="str">
        <f>CARÁTULA!$C$25</f>
        <v>programacion visual</v>
      </c>
      <c r="H4" s="173"/>
      <c r="I4" s="173"/>
      <c r="J4" s="19"/>
      <c r="K4" s="19"/>
      <c r="L4" s="19"/>
      <c r="M4" s="19"/>
      <c r="N4" s="19"/>
      <c r="O4" s="19"/>
      <c r="P4" s="19"/>
      <c r="Q4" s="19"/>
      <c r="R4" s="19"/>
      <c r="S4" s="19"/>
      <c r="T4" s="19"/>
      <c r="U4" s="19"/>
      <c r="V4" s="19"/>
      <c r="W4" s="19"/>
      <c r="X4" s="19"/>
      <c r="Y4" s="19"/>
      <c r="Z4" s="19"/>
    </row>
    <row r="5" spans="1:26" ht="12" customHeight="1" x14ac:dyDescent="0.45">
      <c r="A5" s="20"/>
      <c r="B5" s="21" t="s">
        <v>14</v>
      </c>
      <c r="C5" s="175" t="str">
        <f>CARÁTULA!$C$21</f>
        <v>Secundaria</v>
      </c>
      <c r="D5" s="173"/>
      <c r="E5" s="173"/>
      <c r="F5" s="22" t="s">
        <v>13</v>
      </c>
      <c r="G5" s="175">
        <f>CARÁTULA!$C$19</f>
        <v>0</v>
      </c>
      <c r="H5" s="173"/>
      <c r="I5" s="173"/>
      <c r="J5" s="19"/>
      <c r="K5" s="19"/>
      <c r="L5" s="19"/>
      <c r="M5" s="19"/>
      <c r="N5" s="19"/>
      <c r="O5" s="19"/>
      <c r="P5" s="19"/>
      <c r="Q5" s="19"/>
      <c r="R5" s="19"/>
      <c r="S5" s="19"/>
      <c r="T5" s="19"/>
      <c r="U5" s="19"/>
      <c r="V5" s="19"/>
      <c r="W5" s="19"/>
      <c r="X5" s="19"/>
      <c r="Y5" s="19"/>
      <c r="Z5" s="19"/>
    </row>
    <row r="6" spans="1:26" ht="12" customHeight="1" x14ac:dyDescent="0.45">
      <c r="A6" s="20"/>
      <c r="B6" s="21" t="s">
        <v>23</v>
      </c>
      <c r="C6" s="175" t="str">
        <f>CARÁTULA!$C$23</f>
        <v>6to de Secundaria</v>
      </c>
      <c r="D6" s="173"/>
      <c r="E6" s="173"/>
      <c r="F6" s="22" t="s">
        <v>24</v>
      </c>
      <c r="G6" s="176">
        <f ca="1">TODAY()</f>
        <v>44419</v>
      </c>
      <c r="H6" s="173"/>
      <c r="I6" s="173"/>
      <c r="J6" s="19"/>
      <c r="K6" s="19"/>
      <c r="L6" s="19"/>
      <c r="M6" s="19"/>
      <c r="N6" s="19"/>
      <c r="O6" s="19"/>
      <c r="P6" s="19"/>
      <c r="Q6" s="19"/>
      <c r="R6" s="19"/>
      <c r="S6" s="19"/>
      <c r="T6" s="19"/>
      <c r="U6" s="19"/>
      <c r="V6" s="19"/>
      <c r="W6" s="19"/>
      <c r="X6" s="19"/>
      <c r="Y6" s="19"/>
      <c r="Z6" s="19"/>
    </row>
    <row r="7" spans="1:26" ht="15" customHeight="1" x14ac:dyDescent="0.45">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x14ac:dyDescent="0.45">
      <c r="A8" s="27">
        <v>1</v>
      </c>
      <c r="B8" s="28" t="s">
        <v>33</v>
      </c>
      <c r="C8" s="29"/>
      <c r="D8" s="30">
        <f t="shared" ref="D8:D43" ca="1" si="0">TODAY()</f>
        <v>44419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34</v>
      </c>
      <c r="C9" s="35"/>
      <c r="D9" s="30">
        <f t="shared" ca="1" si="0"/>
        <v>44419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35</v>
      </c>
      <c r="C10" s="35"/>
      <c r="D10" s="30">
        <f t="shared" ca="1" si="0"/>
        <v>44419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36</v>
      </c>
      <c r="C11" s="35"/>
      <c r="D11" s="30">
        <f t="shared" ca="1" si="0"/>
        <v>44419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37</v>
      </c>
      <c r="C12" s="35"/>
      <c r="D12" s="30">
        <f t="shared" ca="1" si="0"/>
        <v>44419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38</v>
      </c>
      <c r="C13" s="35"/>
      <c r="D13" s="30">
        <f t="shared" ca="1" si="0"/>
        <v>44419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39</v>
      </c>
      <c r="C14" s="35"/>
      <c r="D14" s="30">
        <f t="shared" ca="1" si="0"/>
        <v>44419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40</v>
      </c>
      <c r="C15" s="35"/>
      <c r="D15" s="30">
        <f t="shared" ca="1" si="0"/>
        <v>44419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41</v>
      </c>
      <c r="C16" s="35"/>
      <c r="D16" s="30">
        <f t="shared" ca="1" si="0"/>
        <v>44419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42</v>
      </c>
      <c r="C17" s="35"/>
      <c r="D17" s="30">
        <f t="shared" ca="1" si="0"/>
        <v>44419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43</v>
      </c>
      <c r="C18" s="35"/>
      <c r="D18" s="30">
        <f t="shared" ca="1" si="0"/>
        <v>44419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44</v>
      </c>
      <c r="C19" s="35"/>
      <c r="D19" s="30">
        <f t="shared" ca="1" si="0"/>
        <v>44419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45</v>
      </c>
      <c r="C20" s="35"/>
      <c r="D20" s="30">
        <f t="shared" ca="1" si="0"/>
        <v>44419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46</v>
      </c>
      <c r="C21" s="35"/>
      <c r="D21" s="30">
        <f t="shared" ca="1" si="0"/>
        <v>44419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47</v>
      </c>
      <c r="C22" s="35"/>
      <c r="D22" s="30">
        <f t="shared" ca="1" si="0"/>
        <v>44419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48</v>
      </c>
      <c r="C23" s="35"/>
      <c r="D23" s="30">
        <f t="shared" ca="1" si="0"/>
        <v>44419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49</v>
      </c>
      <c r="C24" s="35"/>
      <c r="D24" s="30">
        <f t="shared" ca="1" si="0"/>
        <v>44419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60" t="s">
        <v>175</v>
      </c>
      <c r="C25" s="35"/>
      <c r="D25" s="30">
        <f t="shared" ca="1" si="0"/>
        <v>44419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36" t="s">
        <v>181</v>
      </c>
      <c r="C26" s="35"/>
      <c r="D26" s="30">
        <f t="shared" ca="1" si="0"/>
        <v>44419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44419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44419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44419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44419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44419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44419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44419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44419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44419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44419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44419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44419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44419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44419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44419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44419</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44419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34375" defaultRowHeight="15" customHeight="1" x14ac:dyDescent="0.45"/>
  <cols>
    <col min="1" max="1" width="1.6640625" customWidth="1"/>
    <col min="2" max="2" width="20.6640625" customWidth="1"/>
    <col min="3" max="52" width="1.234375" customWidth="1"/>
    <col min="53" max="57" width="1.42578125" customWidth="1"/>
    <col min="58" max="61" width="1.6640625" customWidth="1"/>
  </cols>
  <sheetData>
    <row r="1" spans="1:61" ht="4.5" customHeight="1" x14ac:dyDescent="0.45"/>
    <row r="2" spans="1:61" ht="20.6" x14ac:dyDescent="0.45">
      <c r="B2" s="177" t="s">
        <v>50</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CARÁTULA!$H$14</f>
        <v>44228</v>
      </c>
      <c r="AU3" s="173"/>
      <c r="AV3" s="173"/>
      <c r="AW3" s="173"/>
      <c r="AX3" s="173"/>
      <c r="AY3" s="173"/>
      <c r="AZ3" s="173"/>
      <c r="BA3" s="179" t="s">
        <v>52</v>
      </c>
      <c r="BB3" s="180"/>
      <c r="BC3" s="180"/>
      <c r="BD3" s="180"/>
      <c r="BE3" s="181"/>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CARÁTULA!$J$14</f>
        <v>44323</v>
      </c>
      <c r="AU4" s="173"/>
      <c r="AV4" s="173"/>
      <c r="AW4" s="173"/>
      <c r="AX4" s="173"/>
      <c r="AY4" s="173"/>
      <c r="AZ4" s="173"/>
      <c r="BA4" s="182">
        <f ca="1">AT4-AT5</f>
        <v>-96</v>
      </c>
      <c r="BB4" s="183"/>
      <c r="BC4" s="183"/>
      <c r="BD4" s="183"/>
      <c r="BE4" s="184"/>
    </row>
    <row r="5" spans="1:61" ht="12.75" customHeight="1" x14ac:dyDescent="0.45">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8">
        <f ca="1">TODAY()</f>
        <v>44419</v>
      </c>
      <c r="Y5" s="173"/>
      <c r="Z5" s="173"/>
      <c r="AA5" s="173"/>
      <c r="AB5" s="173"/>
      <c r="AC5" s="173"/>
      <c r="AD5" s="40"/>
      <c r="AE5" s="40"/>
      <c r="AF5" s="40"/>
      <c r="AG5" s="40"/>
      <c r="AH5" s="40"/>
      <c r="AI5" s="40"/>
      <c r="AJ5" s="40"/>
      <c r="AK5" s="45" t="s">
        <v>55</v>
      </c>
      <c r="AL5" s="46"/>
      <c r="AM5" s="46"/>
      <c r="AN5" s="46"/>
      <c r="AO5" s="46"/>
      <c r="AP5" s="46"/>
      <c r="AQ5" s="46"/>
      <c r="AR5" s="40"/>
      <c r="AS5" s="40"/>
      <c r="AT5" s="189">
        <f ca="1">TODAY()</f>
        <v>44419</v>
      </c>
      <c r="AU5" s="173"/>
      <c r="AV5" s="173"/>
      <c r="AW5" s="173"/>
      <c r="AX5" s="173"/>
      <c r="AY5" s="173"/>
      <c r="AZ5" s="173"/>
      <c r="BA5" s="185"/>
      <c r="BB5" s="186"/>
      <c r="BC5" s="186"/>
      <c r="BD5" s="186"/>
      <c r="BE5" s="187"/>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56</v>
      </c>
      <c r="B7" s="49" t="s">
        <v>57</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58</v>
      </c>
      <c r="BB7" s="57" t="s">
        <v>59</v>
      </c>
      <c r="BC7" s="57" t="s">
        <v>60</v>
      </c>
      <c r="BD7" s="57" t="s">
        <v>61</v>
      </c>
      <c r="BE7" s="58" t="s">
        <v>62</v>
      </c>
    </row>
    <row r="8" spans="1:61" ht="12" customHeight="1" x14ac:dyDescent="0.45">
      <c r="A8" s="59">
        <v>1</v>
      </c>
      <c r="B8" s="60" t="str">
        <f>'C. FILIACION'!B8</f>
        <v>ALTAMIRANO RAMOS ESTEFANI MILENKA</v>
      </c>
      <c r="C8" s="48"/>
      <c r="D8" s="61" t="s">
        <v>63</v>
      </c>
      <c r="E8" s="61" t="s">
        <v>63</v>
      </c>
      <c r="F8" s="62" t="s">
        <v>63</v>
      </c>
      <c r="G8" s="62" t="s">
        <v>63</v>
      </c>
      <c r="H8" s="62" t="s">
        <v>63</v>
      </c>
      <c r="I8" s="62" t="s">
        <v>63</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45">
      <c r="A9" s="59">
        <v>2</v>
      </c>
      <c r="B9" s="60" t="str">
        <f>'C. FILIACION'!B9</f>
        <v>APAZA LINO TATIANA JAZMIN</v>
      </c>
      <c r="C9" s="48"/>
      <c r="D9" s="61" t="s">
        <v>63</v>
      </c>
      <c r="E9" s="61" t="s">
        <v>63</v>
      </c>
      <c r="F9" s="62" t="s">
        <v>63</v>
      </c>
      <c r="G9" s="62" t="s">
        <v>64</v>
      </c>
      <c r="H9" s="62" t="s">
        <v>63</v>
      </c>
      <c r="I9" s="62" t="s">
        <v>63</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45">
      <c r="A10" s="59">
        <v>3</v>
      </c>
      <c r="B10" s="60" t="str">
        <f>'C. FILIACION'!B10</f>
        <v>BOLAÑOS OVANDO MIJHAIL ALEXANDER</v>
      </c>
      <c r="C10" s="48"/>
      <c r="D10" s="61" t="s">
        <v>63</v>
      </c>
      <c r="E10" s="61" t="s">
        <v>63</v>
      </c>
      <c r="F10" s="62" t="s">
        <v>63</v>
      </c>
      <c r="G10" s="62" t="s">
        <v>64</v>
      </c>
      <c r="H10" s="62" t="s">
        <v>63</v>
      </c>
      <c r="I10" s="62" t="s">
        <v>63</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45">
      <c r="A11" s="59">
        <v>4</v>
      </c>
      <c r="B11" s="60" t="str">
        <f>'C. FILIACION'!B11</f>
        <v>BRICHER ETHELBERT ISMAEL</v>
      </c>
      <c r="C11" s="48"/>
      <c r="D11" s="61" t="s">
        <v>63</v>
      </c>
      <c r="E11" s="61" t="s">
        <v>63</v>
      </c>
      <c r="F11" s="62" t="s">
        <v>63</v>
      </c>
      <c r="G11" s="62" t="s">
        <v>63</v>
      </c>
      <c r="H11" s="62" t="s">
        <v>63</v>
      </c>
      <c r="I11" s="62" t="s">
        <v>63</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45">
      <c r="A12" s="59">
        <v>5</v>
      </c>
      <c r="B12" s="60" t="str">
        <f>'C. FILIACION'!B12</f>
        <v>CANAVIRI QUISBERT ALEJANDRA ELENA</v>
      </c>
      <c r="C12" s="48"/>
      <c r="D12" s="61" t="s">
        <v>63</v>
      </c>
      <c r="E12" s="61" t="s">
        <v>63</v>
      </c>
      <c r="F12" s="62" t="s">
        <v>63</v>
      </c>
      <c r="G12" s="62" t="s">
        <v>63</v>
      </c>
      <c r="H12" s="62" t="s">
        <v>63</v>
      </c>
      <c r="I12" s="62" t="s">
        <v>63</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45">
      <c r="A13" s="59">
        <v>6</v>
      </c>
      <c r="B13" s="60" t="str">
        <f>'C. FILIACION'!B13</f>
        <v>GOMEZ BELTRAN ALBERT NORMAN</v>
      </c>
      <c r="C13" s="48"/>
      <c r="D13" s="61" t="s">
        <v>63</v>
      </c>
      <c r="E13" s="61" t="s">
        <v>63</v>
      </c>
      <c r="F13" s="62" t="s">
        <v>64</v>
      </c>
      <c r="G13" s="62" t="s">
        <v>63</v>
      </c>
      <c r="H13" s="62" t="s">
        <v>63</v>
      </c>
      <c r="I13" s="62" t="s">
        <v>63</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45">
      <c r="A14" s="59">
        <v>7</v>
      </c>
      <c r="B14" s="60" t="str">
        <f>'C. FILIACION'!B14</f>
        <v>GOMEZ COSME MELANY KARINA</v>
      </c>
      <c r="C14" s="48"/>
      <c r="D14" s="61" t="s">
        <v>63</v>
      </c>
      <c r="E14" s="61" t="s">
        <v>63</v>
      </c>
      <c r="F14" s="62" t="s">
        <v>63</v>
      </c>
      <c r="G14" s="62" t="s">
        <v>63</v>
      </c>
      <c r="H14" s="62" t="s">
        <v>63</v>
      </c>
      <c r="I14" s="62" t="s">
        <v>63</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45">
      <c r="A15" s="59">
        <v>8</v>
      </c>
      <c r="B15" s="60" t="str">
        <f>'C. FILIACION'!B15</f>
        <v>GONZALES ZUAZO KALEB RAMSES</v>
      </c>
      <c r="C15" s="48"/>
      <c r="D15" s="61" t="s">
        <v>63</v>
      </c>
      <c r="E15" s="61" t="s">
        <v>63</v>
      </c>
      <c r="F15" s="62" t="s">
        <v>63</v>
      </c>
      <c r="G15" s="62" t="s">
        <v>63</v>
      </c>
      <c r="H15" s="62" t="s">
        <v>63</v>
      </c>
      <c r="I15" s="62" t="s">
        <v>63</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61" t="s">
        <v>63</v>
      </c>
      <c r="E16" s="61" t="s">
        <v>63</v>
      </c>
      <c r="F16" s="62" t="s">
        <v>63</v>
      </c>
      <c r="G16" s="62" t="s">
        <v>63</v>
      </c>
      <c r="H16" s="62" t="s">
        <v>63</v>
      </c>
      <c r="I16" s="62" t="s">
        <v>63</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45">
      <c r="A17" s="59">
        <v>10</v>
      </c>
      <c r="B17" s="60" t="str">
        <f>'C. FILIACION'!B17</f>
        <v>LOBATON RODRIGUEZ JHONATAN A.</v>
      </c>
      <c r="C17" s="48"/>
      <c r="D17" s="61" t="s">
        <v>63</v>
      </c>
      <c r="E17" s="61" t="s">
        <v>63</v>
      </c>
      <c r="F17" s="62" t="s">
        <v>63</v>
      </c>
      <c r="G17" s="62" t="s">
        <v>63</v>
      </c>
      <c r="H17" s="62" t="s">
        <v>63</v>
      </c>
      <c r="I17" s="62" t="s">
        <v>63</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45">
      <c r="A18" s="59">
        <v>11</v>
      </c>
      <c r="B18" s="60" t="str">
        <f>'C. FILIACION'!B18</f>
        <v>MAMANI LOPEZ DAFNE MILDRED</v>
      </c>
      <c r="C18" s="48"/>
      <c r="D18" s="61" t="s">
        <v>63</v>
      </c>
      <c r="E18" s="61" t="s">
        <v>63</v>
      </c>
      <c r="F18" s="62" t="s">
        <v>63</v>
      </c>
      <c r="G18" s="62" t="s">
        <v>63</v>
      </c>
      <c r="H18" s="62" t="s">
        <v>63</v>
      </c>
      <c r="I18" s="62" t="s">
        <v>63</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45">
      <c r="A19" s="59">
        <v>12</v>
      </c>
      <c r="B19" s="60" t="str">
        <f>'C. FILIACION'!B19</f>
        <v>MARCONI PEREZ SINDEL LUANA</v>
      </c>
      <c r="C19" s="48"/>
      <c r="D19" s="61" t="s">
        <v>63</v>
      </c>
      <c r="E19" s="61" t="s">
        <v>63</v>
      </c>
      <c r="F19" s="62" t="s">
        <v>64</v>
      </c>
      <c r="G19" s="62" t="s">
        <v>63</v>
      </c>
      <c r="H19" s="62" t="s">
        <v>63</v>
      </c>
      <c r="I19" s="62" t="s">
        <v>63</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45">
      <c r="A20" s="59">
        <v>13</v>
      </c>
      <c r="B20" s="60" t="str">
        <f>'C. FILIACION'!B20</f>
        <v>MENACHO LINEO ANDREA KIMBERLY</v>
      </c>
      <c r="C20" s="48"/>
      <c r="D20" s="61" t="s">
        <v>63</v>
      </c>
      <c r="E20" s="61" t="s">
        <v>63</v>
      </c>
      <c r="F20" s="62" t="s">
        <v>63</v>
      </c>
      <c r="G20" s="62" t="s">
        <v>63</v>
      </c>
      <c r="H20" s="62" t="s">
        <v>63</v>
      </c>
      <c r="I20" s="62" t="s">
        <v>63</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45">
      <c r="A21" s="59">
        <v>14</v>
      </c>
      <c r="B21" s="60" t="str">
        <f>'C. FILIACION'!B21</f>
        <v>PILLCO APAZA MARIAN ALEXANDRA</v>
      </c>
      <c r="C21" s="48"/>
      <c r="D21" s="61" t="s">
        <v>63</v>
      </c>
      <c r="E21" s="61" t="s">
        <v>63</v>
      </c>
      <c r="F21" s="62" t="s">
        <v>63</v>
      </c>
      <c r="G21" s="62" t="s">
        <v>64</v>
      </c>
      <c r="H21" s="62" t="s">
        <v>63</v>
      </c>
      <c r="I21" s="62" t="s">
        <v>63</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45">
      <c r="A22" s="59">
        <v>15</v>
      </c>
      <c r="B22" s="60" t="str">
        <f>'C. FILIACION'!B22</f>
        <v>RUEDA ALVAREZ GREGORY STEVEN</v>
      </c>
      <c r="C22" s="48"/>
      <c r="D22" s="61" t="s">
        <v>63</v>
      </c>
      <c r="E22" s="61" t="s">
        <v>63</v>
      </c>
      <c r="F22" s="62" t="s">
        <v>63</v>
      </c>
      <c r="G22" s="62" t="s">
        <v>63</v>
      </c>
      <c r="H22" s="62" t="s">
        <v>63</v>
      </c>
      <c r="I22" s="62" t="s">
        <v>63</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61" t="s">
        <v>63</v>
      </c>
      <c r="E23" s="61" t="s">
        <v>63</v>
      </c>
      <c r="F23" s="61" t="s">
        <v>63</v>
      </c>
      <c r="G23" s="62" t="s">
        <v>63</v>
      </c>
      <c r="H23" s="62" t="s">
        <v>63</v>
      </c>
      <c r="I23" s="62" t="s">
        <v>63</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45">
      <c r="A24" s="59">
        <v>17</v>
      </c>
      <c r="B24" s="60" t="str">
        <f>'C. FILIACION'!B24</f>
        <v>ZURITA JIMENEZ ELMER ARTURO</v>
      </c>
      <c r="C24" s="48"/>
      <c r="D24" s="61" t="s">
        <v>63</v>
      </c>
      <c r="E24" s="61" t="s">
        <v>63</v>
      </c>
      <c r="F24" s="61" t="s">
        <v>63</v>
      </c>
      <c r="G24" s="62" t="s">
        <v>63</v>
      </c>
      <c r="H24" s="62" t="s">
        <v>63</v>
      </c>
      <c r="I24" s="62" t="s">
        <v>63</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4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workbookViewId="0">
      <selection activeCell="M26" sqref="M26"/>
    </sheetView>
  </sheetViews>
  <sheetFormatPr baseColWidth="10" defaultColWidth="9.234375" defaultRowHeight="15" customHeight="1" x14ac:dyDescent="0.45"/>
  <cols>
    <col min="1" max="1" width="1.6640625" customWidth="1"/>
    <col min="2" max="2" width="20.6640625" customWidth="1"/>
    <col min="3" max="52" width="1.234375" customWidth="1"/>
    <col min="53" max="57" width="1.42578125" customWidth="1"/>
    <col min="58" max="61" width="1.6640625" customWidth="1"/>
  </cols>
  <sheetData>
    <row r="1" spans="1:61" ht="4.5" customHeight="1" x14ac:dyDescent="0.45"/>
    <row r="2" spans="1:61" ht="12.75" customHeight="1" x14ac:dyDescent="0.45">
      <c r="B2" s="177" t="s">
        <v>65</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CARÁTULA!$H$19</f>
        <v>44326</v>
      </c>
      <c r="AU3" s="173"/>
      <c r="AV3" s="173"/>
      <c r="AW3" s="173"/>
      <c r="AX3" s="173"/>
      <c r="AY3" s="173"/>
      <c r="AZ3" s="173"/>
      <c r="BA3" s="179" t="s">
        <v>52</v>
      </c>
      <c r="BB3" s="180"/>
      <c r="BC3" s="180"/>
      <c r="BD3" s="180"/>
      <c r="BE3" s="181"/>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CARÁTULA!$J$19</f>
        <v>44439</v>
      </c>
      <c r="AU4" s="173"/>
      <c r="AV4" s="173"/>
      <c r="AW4" s="173"/>
      <c r="AX4" s="173"/>
      <c r="AY4" s="173"/>
      <c r="AZ4" s="173"/>
      <c r="BA4" s="190">
        <f ca="1">AT4-AT5</f>
        <v>20</v>
      </c>
      <c r="BB4" s="183"/>
      <c r="BC4" s="183"/>
      <c r="BD4" s="183"/>
      <c r="BE4" s="184"/>
    </row>
    <row r="5" spans="1:61" ht="12.75" customHeight="1" x14ac:dyDescent="0.45">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91">
        <f ca="1">TODAY()</f>
        <v>44419</v>
      </c>
      <c r="Y5" s="173"/>
      <c r="Z5" s="173"/>
      <c r="AA5" s="173"/>
      <c r="AB5" s="173"/>
      <c r="AC5" s="173"/>
      <c r="AD5" s="40"/>
      <c r="AE5" s="40"/>
      <c r="AF5" s="40"/>
      <c r="AG5" s="40"/>
      <c r="AH5" s="40"/>
      <c r="AI5" s="40"/>
      <c r="AJ5" s="40"/>
      <c r="AK5" s="45" t="s">
        <v>55</v>
      </c>
      <c r="AL5" s="46"/>
      <c r="AM5" s="46"/>
      <c r="AN5" s="46"/>
      <c r="AO5" s="46"/>
      <c r="AP5" s="46"/>
      <c r="AQ5" s="46"/>
      <c r="AR5" s="40"/>
      <c r="AS5" s="40"/>
      <c r="AT5" s="189">
        <f ca="1">TODAY()</f>
        <v>44419</v>
      </c>
      <c r="AU5" s="173"/>
      <c r="AV5" s="173"/>
      <c r="AW5" s="173"/>
      <c r="AX5" s="173"/>
      <c r="AY5" s="173"/>
      <c r="AZ5" s="173"/>
      <c r="BA5" s="185"/>
      <c r="BB5" s="186"/>
      <c r="BC5" s="186"/>
      <c r="BD5" s="186"/>
      <c r="BE5" s="187"/>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5">
      <c r="A7" s="48" t="s">
        <v>56</v>
      </c>
      <c r="B7" s="49" t="s">
        <v>57</v>
      </c>
      <c r="C7" s="50">
        <v>43854</v>
      </c>
      <c r="D7" s="50">
        <v>43855</v>
      </c>
      <c r="E7" s="54"/>
      <c r="F7" s="54"/>
      <c r="G7" s="54"/>
      <c r="H7" s="50">
        <v>44382</v>
      </c>
      <c r="I7" s="54" t="s">
        <v>174</v>
      </c>
      <c r="J7" s="50">
        <v>44384</v>
      </c>
      <c r="K7" s="54"/>
      <c r="L7" s="50">
        <v>44389</v>
      </c>
      <c r="M7" s="50">
        <v>44391</v>
      </c>
      <c r="N7" s="50">
        <v>44396</v>
      </c>
      <c r="O7" s="54" t="s">
        <v>178</v>
      </c>
      <c r="P7" s="50">
        <v>44403</v>
      </c>
      <c r="Q7" s="50">
        <v>44405</v>
      </c>
      <c r="R7" s="50">
        <v>44410</v>
      </c>
      <c r="S7" s="50">
        <v>44412</v>
      </c>
      <c r="T7" s="50">
        <v>44417</v>
      </c>
      <c r="U7" s="50">
        <v>44419</v>
      </c>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66</v>
      </c>
      <c r="BB7" s="57" t="s">
        <v>67</v>
      </c>
      <c r="BC7" s="57" t="s">
        <v>68</v>
      </c>
      <c r="BD7" s="57" t="s">
        <v>69</v>
      </c>
      <c r="BE7" s="58" t="s">
        <v>62</v>
      </c>
    </row>
    <row r="8" spans="1:61" ht="12" customHeight="1" x14ac:dyDescent="0.45">
      <c r="A8" s="59">
        <v>1</v>
      </c>
      <c r="B8" s="60" t="str">
        <f>'C. FILIACION'!B8</f>
        <v>ALTAMIRANO RAMOS ESTEFANI MILENKA</v>
      </c>
      <c r="C8" s="48"/>
      <c r="D8" s="48"/>
      <c r="E8" s="48"/>
      <c r="F8" s="48"/>
      <c r="G8" s="48"/>
      <c r="H8" s="48" t="s">
        <v>63</v>
      </c>
      <c r="I8" s="48">
        <v>25</v>
      </c>
      <c r="J8" s="48" t="s">
        <v>63</v>
      </c>
      <c r="K8" s="48">
        <v>2</v>
      </c>
      <c r="L8" s="48" t="s">
        <v>64</v>
      </c>
      <c r="M8" s="48" t="s">
        <v>63</v>
      </c>
      <c r="N8" s="48" t="s">
        <v>63</v>
      </c>
      <c r="O8" s="155">
        <v>2</v>
      </c>
      <c r="P8" s="48" t="s">
        <v>63</v>
      </c>
      <c r="Q8" s="48" t="s">
        <v>63</v>
      </c>
      <c r="R8" s="48" t="s">
        <v>63</v>
      </c>
      <c r="S8" s="48" t="s">
        <v>63</v>
      </c>
      <c r="T8" s="48" t="s">
        <v>63</v>
      </c>
      <c r="U8" s="48" t="s">
        <v>179</v>
      </c>
      <c r="V8" s="48" t="s">
        <v>183</v>
      </c>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9</v>
      </c>
      <c r="BB8" s="48">
        <f t="shared" ref="BB8:BB43" si="1">IF(COUNTIF(C8:AZ8,"F")=0,"",COUNTIF(C8:AZ8,"F"))</f>
        <v>1</v>
      </c>
      <c r="BC8" s="48">
        <f t="shared" ref="BC8:BC43" si="2">IF(COUNTIF(C8:AZ8,"R")=0,"",COUNTIF(C8:AZ8,"R"))</f>
        <v>1</v>
      </c>
      <c r="BD8" s="48">
        <f t="shared" ref="BD8:BD43" si="3">IF(COUNTIF(C8:AZ8,"L")=0,"",COUNTIF(C8:AZ8,"L"))</f>
        <v>1</v>
      </c>
      <c r="BE8" s="65">
        <f t="shared" ref="BE8:BE43" si="4">IF(COUNTIF(C8:AZ8,"L")=0,"",COUNTIF(C8:AZ8,"L"))</f>
        <v>1</v>
      </c>
    </row>
    <row r="9" spans="1:61" ht="12" customHeight="1" x14ac:dyDescent="0.45">
      <c r="A9" s="59">
        <v>2</v>
      </c>
      <c r="B9" s="60" t="str">
        <f>'C. FILIACION'!B9</f>
        <v>APAZA LINO TATIANA JAZMIN</v>
      </c>
      <c r="C9" s="48"/>
      <c r="D9" s="48"/>
      <c r="E9" s="48"/>
      <c r="F9" s="48"/>
      <c r="G9" s="48"/>
      <c r="H9" s="48" t="s">
        <v>63</v>
      </c>
      <c r="I9" s="48"/>
      <c r="J9" s="48" t="s">
        <v>63</v>
      </c>
      <c r="K9" s="48">
        <v>2</v>
      </c>
      <c r="L9" s="48" t="s">
        <v>63</v>
      </c>
      <c r="M9" s="48" t="s">
        <v>63</v>
      </c>
      <c r="N9" s="48" t="s">
        <v>63</v>
      </c>
      <c r="O9" s="156">
        <v>1</v>
      </c>
      <c r="P9" s="48" t="s">
        <v>63</v>
      </c>
      <c r="Q9" s="48" t="s">
        <v>63</v>
      </c>
      <c r="R9" s="48" t="s">
        <v>63</v>
      </c>
      <c r="S9" s="48" t="s">
        <v>63</v>
      </c>
      <c r="T9" s="48" t="s">
        <v>63</v>
      </c>
      <c r="U9" s="48" t="s">
        <v>63</v>
      </c>
      <c r="V9" s="48" t="s">
        <v>183</v>
      </c>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11</v>
      </c>
      <c r="BB9" s="48" t="str">
        <f t="shared" si="1"/>
        <v/>
      </c>
      <c r="BC9" s="48" t="str">
        <f t="shared" si="2"/>
        <v/>
      </c>
      <c r="BD9" s="48" t="str">
        <f t="shared" si="3"/>
        <v/>
      </c>
      <c r="BE9" s="65" t="str">
        <f t="shared" si="4"/>
        <v/>
      </c>
    </row>
    <row r="10" spans="1:61" ht="12" customHeight="1" x14ac:dyDescent="0.45">
      <c r="A10" s="59">
        <v>3</v>
      </c>
      <c r="B10" s="60" t="str">
        <f>'C. FILIACION'!B10</f>
        <v>BOLAÑOS OVANDO MIJHAIL ALEXANDER</v>
      </c>
      <c r="C10" s="48"/>
      <c r="D10" s="48"/>
      <c r="E10" s="48"/>
      <c r="F10" s="48"/>
      <c r="G10" s="48"/>
      <c r="H10" s="48" t="s">
        <v>63</v>
      </c>
      <c r="I10" s="48"/>
      <c r="J10" s="48" t="s">
        <v>63</v>
      </c>
      <c r="K10" s="48"/>
      <c r="L10" s="48" t="s">
        <v>64</v>
      </c>
      <c r="M10" s="48" t="s">
        <v>63</v>
      </c>
      <c r="N10" s="48" t="s">
        <v>64</v>
      </c>
      <c r="O10" s="157">
        <v>3</v>
      </c>
      <c r="P10" s="48" t="s">
        <v>179</v>
      </c>
      <c r="Q10" s="48" t="s">
        <v>63</v>
      </c>
      <c r="R10" s="48" t="s">
        <v>64</v>
      </c>
      <c r="S10" s="48" t="s">
        <v>63</v>
      </c>
      <c r="T10" s="48" t="s">
        <v>64</v>
      </c>
      <c r="U10" s="48" t="s">
        <v>63</v>
      </c>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6</v>
      </c>
      <c r="BB10" s="48">
        <f t="shared" si="1"/>
        <v>4</v>
      </c>
      <c r="BC10" s="48">
        <f t="shared" si="2"/>
        <v>1</v>
      </c>
      <c r="BD10" s="48" t="str">
        <f t="shared" si="3"/>
        <v/>
      </c>
      <c r="BE10" s="65" t="str">
        <f t="shared" si="4"/>
        <v/>
      </c>
    </row>
    <row r="11" spans="1:61" ht="12" customHeight="1" x14ac:dyDescent="0.45">
      <c r="A11" s="59">
        <v>4</v>
      </c>
      <c r="B11" s="60" t="str">
        <f>'C. FILIACION'!B11</f>
        <v>BRICHER ETHELBERT ISMAEL</v>
      </c>
      <c r="C11" s="48"/>
      <c r="D11" s="48"/>
      <c r="E11" s="48"/>
      <c r="F11" s="48"/>
      <c r="G11" s="48"/>
      <c r="H11" s="48"/>
      <c r="I11" s="48"/>
      <c r="J11" s="48"/>
      <c r="K11" s="48"/>
      <c r="L11" s="48" t="s">
        <v>64</v>
      </c>
      <c r="M11" s="48" t="s">
        <v>64</v>
      </c>
      <c r="N11" s="48" t="s">
        <v>64</v>
      </c>
      <c r="O11" s="156">
        <v>1</v>
      </c>
      <c r="P11" s="48" t="s">
        <v>64</v>
      </c>
      <c r="Q11" s="48" t="s">
        <v>64</v>
      </c>
      <c r="R11" s="48" t="s">
        <v>64</v>
      </c>
      <c r="S11" s="48" t="s">
        <v>64</v>
      </c>
      <c r="T11" s="48" t="s">
        <v>64</v>
      </c>
      <c r="U11" s="48" t="s">
        <v>64</v>
      </c>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f t="shared" si="1"/>
        <v>9</v>
      </c>
      <c r="BC11" s="48" t="str">
        <f t="shared" si="2"/>
        <v/>
      </c>
      <c r="BD11" s="48" t="str">
        <f t="shared" si="3"/>
        <v/>
      </c>
      <c r="BE11" s="65" t="str">
        <f t="shared" si="4"/>
        <v/>
      </c>
    </row>
    <row r="12" spans="1:61" ht="12" customHeight="1" x14ac:dyDescent="0.45">
      <c r="A12" s="59">
        <v>5</v>
      </c>
      <c r="B12" s="60" t="str">
        <f>'C. FILIACION'!B12</f>
        <v>CANAVIRI QUISBERT ALEJANDRA ELENA</v>
      </c>
      <c r="C12" s="48"/>
      <c r="D12" s="48"/>
      <c r="E12" s="48"/>
      <c r="F12" s="48"/>
      <c r="G12" s="48"/>
      <c r="H12" s="48" t="s">
        <v>63</v>
      </c>
      <c r="I12" s="48"/>
      <c r="J12" s="48" t="s">
        <v>63</v>
      </c>
      <c r="K12" s="48">
        <v>3</v>
      </c>
      <c r="L12" s="48" t="s">
        <v>63</v>
      </c>
      <c r="M12" s="48" t="s">
        <v>63</v>
      </c>
      <c r="N12" s="48" t="s">
        <v>63</v>
      </c>
      <c r="O12" s="48">
        <v>4</v>
      </c>
      <c r="P12" s="48" t="s">
        <v>63</v>
      </c>
      <c r="Q12" s="48" t="s">
        <v>64</v>
      </c>
      <c r="R12" s="48" t="s">
        <v>63</v>
      </c>
      <c r="S12" s="48" t="s">
        <v>63</v>
      </c>
      <c r="T12" s="48" t="s">
        <v>63</v>
      </c>
      <c r="U12" s="48" t="s">
        <v>63</v>
      </c>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10</v>
      </c>
      <c r="BB12" s="48">
        <f t="shared" si="1"/>
        <v>1</v>
      </c>
      <c r="BC12" s="48" t="str">
        <f t="shared" si="2"/>
        <v/>
      </c>
      <c r="BD12" s="48" t="str">
        <f t="shared" si="3"/>
        <v/>
      </c>
      <c r="BE12" s="65" t="str">
        <f t="shared" si="4"/>
        <v/>
      </c>
    </row>
    <row r="13" spans="1:61" ht="12" customHeight="1" x14ac:dyDescent="0.45">
      <c r="A13" s="59">
        <v>6</v>
      </c>
      <c r="B13" s="60" t="str">
        <f>'C. FILIACION'!B13</f>
        <v>GOMEZ BELTRAN ALBERT NORMAN</v>
      </c>
      <c r="C13" s="48"/>
      <c r="D13" s="48"/>
      <c r="E13" s="48"/>
      <c r="F13" s="48"/>
      <c r="G13" s="48"/>
      <c r="H13" s="48" t="s">
        <v>63</v>
      </c>
      <c r="I13" s="48"/>
      <c r="J13" s="48" t="s">
        <v>63</v>
      </c>
      <c r="K13" s="48">
        <v>2</v>
      </c>
      <c r="L13" s="48" t="s">
        <v>63</v>
      </c>
      <c r="M13" s="48" t="s">
        <v>63</v>
      </c>
      <c r="N13" s="48" t="s">
        <v>63</v>
      </c>
      <c r="O13" s="155">
        <v>2</v>
      </c>
      <c r="P13" s="48" t="s">
        <v>63</v>
      </c>
      <c r="Q13" s="48" t="s">
        <v>63</v>
      </c>
      <c r="R13" s="48" t="s">
        <v>63</v>
      </c>
      <c r="S13" s="48" t="s">
        <v>63</v>
      </c>
      <c r="T13" s="48" t="s">
        <v>63</v>
      </c>
      <c r="U13" s="48" t="s">
        <v>63</v>
      </c>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11</v>
      </c>
      <c r="BB13" s="48" t="str">
        <f t="shared" si="1"/>
        <v/>
      </c>
      <c r="BC13" s="48" t="str">
        <f t="shared" si="2"/>
        <v/>
      </c>
      <c r="BD13" s="48" t="str">
        <f t="shared" si="3"/>
        <v/>
      </c>
      <c r="BE13" s="65" t="str">
        <f t="shared" si="4"/>
        <v/>
      </c>
    </row>
    <row r="14" spans="1:61" ht="12" customHeight="1" x14ac:dyDescent="0.45">
      <c r="A14" s="59">
        <v>7</v>
      </c>
      <c r="B14" s="60" t="str">
        <f>'C. FILIACION'!B14</f>
        <v>GOMEZ COSME MELANY KARINA</v>
      </c>
      <c r="C14" s="48"/>
      <c r="D14" s="48"/>
      <c r="E14" s="48"/>
      <c r="F14" s="48"/>
      <c r="G14" s="48"/>
      <c r="H14" s="48" t="s">
        <v>64</v>
      </c>
      <c r="I14" s="48"/>
      <c r="J14" s="48" t="s">
        <v>63</v>
      </c>
      <c r="K14" s="48"/>
      <c r="L14" s="48" t="s">
        <v>64</v>
      </c>
      <c r="M14" s="48" t="s">
        <v>63</v>
      </c>
      <c r="N14" s="48" t="s">
        <v>63</v>
      </c>
      <c r="O14" s="157">
        <v>3</v>
      </c>
      <c r="P14" s="48" t="s">
        <v>64</v>
      </c>
      <c r="Q14" s="48" t="s">
        <v>64</v>
      </c>
      <c r="R14" s="48" t="s">
        <v>64</v>
      </c>
      <c r="S14" s="48" t="s">
        <v>64</v>
      </c>
      <c r="T14" s="48" t="s">
        <v>64</v>
      </c>
      <c r="U14" s="48" t="s">
        <v>64</v>
      </c>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3</v>
      </c>
      <c r="BB14" s="48">
        <f t="shared" si="1"/>
        <v>8</v>
      </c>
      <c r="BC14" s="48" t="str">
        <f t="shared" si="2"/>
        <v/>
      </c>
      <c r="BD14" s="48" t="str">
        <f t="shared" si="3"/>
        <v/>
      </c>
      <c r="BE14" s="65" t="str">
        <f t="shared" si="4"/>
        <v/>
      </c>
    </row>
    <row r="15" spans="1:61" ht="12" customHeight="1" x14ac:dyDescent="0.45">
      <c r="A15" s="59">
        <v>8</v>
      </c>
      <c r="B15" s="60" t="str">
        <f>'C. FILIACION'!B15</f>
        <v>GONZALES ZUAZO KALEB RAMSES</v>
      </c>
      <c r="C15" s="48"/>
      <c r="D15" s="48"/>
      <c r="E15" s="48"/>
      <c r="F15" s="48"/>
      <c r="G15" s="48"/>
      <c r="H15" s="48" t="s">
        <v>63</v>
      </c>
      <c r="I15" s="48"/>
      <c r="J15" s="48" t="s">
        <v>63</v>
      </c>
      <c r="K15" s="48">
        <v>2</v>
      </c>
      <c r="L15" s="48" t="s">
        <v>63</v>
      </c>
      <c r="M15" s="48" t="s">
        <v>63</v>
      </c>
      <c r="N15" s="48" t="s">
        <v>63</v>
      </c>
      <c r="O15" s="48">
        <v>4</v>
      </c>
      <c r="P15" s="48" t="s">
        <v>63</v>
      </c>
      <c r="Q15" s="48" t="s">
        <v>63</v>
      </c>
      <c r="R15" s="48" t="s">
        <v>63</v>
      </c>
      <c r="S15" s="48" t="s">
        <v>63</v>
      </c>
      <c r="T15" s="48" t="s">
        <v>63</v>
      </c>
      <c r="U15" s="48" t="s">
        <v>63</v>
      </c>
      <c r="V15" s="48" t="s">
        <v>183</v>
      </c>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11</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48"/>
      <c r="E16" s="48"/>
      <c r="F16" s="48"/>
      <c r="G16" s="48"/>
      <c r="H16" s="48" t="s">
        <v>63</v>
      </c>
      <c r="I16" s="48"/>
      <c r="J16" s="48" t="s">
        <v>63</v>
      </c>
      <c r="K16" s="48">
        <v>2</v>
      </c>
      <c r="L16" s="48" t="s">
        <v>64</v>
      </c>
      <c r="M16" s="48" t="s">
        <v>63</v>
      </c>
      <c r="N16" s="48" t="s">
        <v>63</v>
      </c>
      <c r="O16" s="156">
        <v>1</v>
      </c>
      <c r="P16" s="48" t="s">
        <v>63</v>
      </c>
      <c r="Q16" s="48" t="s">
        <v>63</v>
      </c>
      <c r="R16" s="48" t="s">
        <v>63</v>
      </c>
      <c r="S16" s="48" t="s">
        <v>63</v>
      </c>
      <c r="T16" s="48" t="s">
        <v>63</v>
      </c>
      <c r="U16" s="48" t="s">
        <v>63</v>
      </c>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10</v>
      </c>
      <c r="BB16" s="48">
        <f t="shared" si="1"/>
        <v>1</v>
      </c>
      <c r="BC16" s="48" t="str">
        <f t="shared" si="2"/>
        <v/>
      </c>
      <c r="BD16" s="48" t="str">
        <f t="shared" si="3"/>
        <v/>
      </c>
      <c r="BE16" s="65" t="str">
        <f t="shared" si="4"/>
        <v/>
      </c>
    </row>
    <row r="17" spans="1:57" ht="12" customHeight="1" x14ac:dyDescent="0.45">
      <c r="A17" s="59">
        <v>10</v>
      </c>
      <c r="B17" s="158" t="s">
        <v>42</v>
      </c>
      <c r="C17" s="159"/>
      <c r="D17" s="159"/>
      <c r="E17" s="159"/>
      <c r="F17" s="159"/>
      <c r="G17" s="159"/>
      <c r="H17" s="159" t="s">
        <v>63</v>
      </c>
      <c r="I17" s="159"/>
      <c r="J17" s="159" t="s">
        <v>63</v>
      </c>
      <c r="K17" s="159">
        <v>2</v>
      </c>
      <c r="L17" s="159" t="s">
        <v>63</v>
      </c>
      <c r="M17" s="159" t="s">
        <v>63</v>
      </c>
      <c r="N17" s="159" t="s">
        <v>63</v>
      </c>
      <c r="O17" s="159">
        <v>3</v>
      </c>
      <c r="P17" s="48" t="s">
        <v>63</v>
      </c>
      <c r="Q17" s="48" t="s">
        <v>63</v>
      </c>
      <c r="R17" s="48" t="s">
        <v>63</v>
      </c>
      <c r="S17" s="48" t="s">
        <v>63</v>
      </c>
      <c r="T17" s="48" t="s">
        <v>63</v>
      </c>
      <c r="U17" s="48" t="s">
        <v>63</v>
      </c>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11</v>
      </c>
      <c r="BB17" s="48" t="str">
        <f t="shared" si="1"/>
        <v/>
      </c>
      <c r="BC17" s="48" t="str">
        <f t="shared" si="2"/>
        <v/>
      </c>
      <c r="BD17" s="48" t="str">
        <f t="shared" si="3"/>
        <v/>
      </c>
      <c r="BE17" s="65" t="str">
        <f t="shared" si="4"/>
        <v/>
      </c>
    </row>
    <row r="18" spans="1:57" ht="12" customHeight="1" x14ac:dyDescent="0.45">
      <c r="A18" s="59">
        <v>11</v>
      </c>
      <c r="B18" s="60" t="str">
        <f>'C. FILIACION'!B18</f>
        <v>MAMANI LOPEZ DAFNE MILDRED</v>
      </c>
      <c r="C18" s="48"/>
      <c r="D18" s="48"/>
      <c r="E18" s="48"/>
      <c r="F18" s="48"/>
      <c r="G18" s="48"/>
      <c r="H18" s="48" t="s">
        <v>63</v>
      </c>
      <c r="I18" s="48"/>
      <c r="J18" s="48"/>
      <c r="K18" s="48"/>
      <c r="L18" s="48" t="s">
        <v>64</v>
      </c>
      <c r="M18" s="48" t="s">
        <v>63</v>
      </c>
      <c r="N18" s="48" t="s">
        <v>64</v>
      </c>
      <c r="O18" s="48">
        <v>4</v>
      </c>
      <c r="P18" s="48" t="s">
        <v>179</v>
      </c>
      <c r="Q18" s="48" t="s">
        <v>64</v>
      </c>
      <c r="R18" s="48" t="s">
        <v>63</v>
      </c>
      <c r="S18" s="48" t="s">
        <v>63</v>
      </c>
      <c r="T18" s="48" t="s">
        <v>179</v>
      </c>
      <c r="U18" s="48" t="s">
        <v>64</v>
      </c>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4</v>
      </c>
      <c r="BB18" s="48">
        <f t="shared" si="1"/>
        <v>4</v>
      </c>
      <c r="BC18" s="48">
        <f t="shared" si="2"/>
        <v>2</v>
      </c>
      <c r="BD18" s="48" t="str">
        <f t="shared" si="3"/>
        <v/>
      </c>
      <c r="BE18" s="65" t="str">
        <f t="shared" si="4"/>
        <v/>
      </c>
    </row>
    <row r="19" spans="1:57" ht="12" customHeight="1" x14ac:dyDescent="0.45">
      <c r="A19" s="59">
        <v>12</v>
      </c>
      <c r="B19" s="60" t="str">
        <f>'C. FILIACION'!B19</f>
        <v>MARCONI PEREZ SINDEL LUANA</v>
      </c>
      <c r="C19" s="48"/>
      <c r="D19" s="48"/>
      <c r="E19" s="48"/>
      <c r="F19" s="48"/>
      <c r="G19" s="48"/>
      <c r="H19" s="48"/>
      <c r="I19" s="48"/>
      <c r="J19" s="48" t="s">
        <v>63</v>
      </c>
      <c r="K19" s="48"/>
      <c r="L19" s="48" t="s">
        <v>64</v>
      </c>
      <c r="M19" s="48" t="s">
        <v>64</v>
      </c>
      <c r="N19" s="48" t="s">
        <v>64</v>
      </c>
      <c r="O19" s="155">
        <v>2</v>
      </c>
      <c r="P19" s="48" t="s">
        <v>63</v>
      </c>
      <c r="Q19" s="48" t="s">
        <v>64</v>
      </c>
      <c r="R19" s="48" t="s">
        <v>64</v>
      </c>
      <c r="S19" s="48" t="s">
        <v>63</v>
      </c>
      <c r="T19" s="48" t="s">
        <v>64</v>
      </c>
      <c r="U19" s="48" t="s">
        <v>179</v>
      </c>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3</v>
      </c>
      <c r="BB19" s="48">
        <f t="shared" si="1"/>
        <v>6</v>
      </c>
      <c r="BC19" s="48">
        <f t="shared" si="2"/>
        <v>1</v>
      </c>
      <c r="BD19" s="48" t="str">
        <f t="shared" si="3"/>
        <v/>
      </c>
      <c r="BE19" s="65" t="str">
        <f t="shared" si="4"/>
        <v/>
      </c>
    </row>
    <row r="20" spans="1:57" ht="12" customHeight="1" x14ac:dyDescent="0.45">
      <c r="A20" s="59">
        <v>13</v>
      </c>
      <c r="B20" s="60" t="str">
        <f>'C. FILIACION'!B20</f>
        <v>MENACHO LINEO ANDREA KIMBERLY</v>
      </c>
      <c r="C20" s="48"/>
      <c r="D20" s="48"/>
      <c r="E20" s="48"/>
      <c r="F20" s="48"/>
      <c r="G20" s="48"/>
      <c r="H20" s="48" t="s">
        <v>63</v>
      </c>
      <c r="I20" s="48"/>
      <c r="J20" s="48" t="s">
        <v>63</v>
      </c>
      <c r="K20" s="48">
        <v>2</v>
      </c>
      <c r="L20" s="48" t="s">
        <v>63</v>
      </c>
      <c r="M20" s="48" t="s">
        <v>63</v>
      </c>
      <c r="N20" s="48" t="s">
        <v>63</v>
      </c>
      <c r="O20" s="156">
        <v>1</v>
      </c>
      <c r="P20" s="48" t="s">
        <v>63</v>
      </c>
      <c r="Q20" s="48" t="s">
        <v>63</v>
      </c>
      <c r="R20" s="48" t="s">
        <v>63</v>
      </c>
      <c r="S20" s="48" t="s">
        <v>63</v>
      </c>
      <c r="T20" s="48" t="s">
        <v>63</v>
      </c>
      <c r="U20" s="48" t="s">
        <v>64</v>
      </c>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10</v>
      </c>
      <c r="BB20" s="48">
        <f t="shared" si="1"/>
        <v>1</v>
      </c>
      <c r="BC20" s="48" t="str">
        <f t="shared" si="2"/>
        <v/>
      </c>
      <c r="BD20" s="48" t="str">
        <f t="shared" si="3"/>
        <v/>
      </c>
      <c r="BE20" s="65" t="str">
        <f t="shared" si="4"/>
        <v/>
      </c>
    </row>
    <row r="21" spans="1:57" ht="12" customHeight="1" x14ac:dyDescent="0.45">
      <c r="A21" s="59">
        <v>14</v>
      </c>
      <c r="B21" s="60" t="str">
        <f>'C. FILIACION'!B21</f>
        <v>PILLCO APAZA MARIAN ALEXANDRA</v>
      </c>
      <c r="C21" s="48"/>
      <c r="D21" s="48"/>
      <c r="E21" s="48"/>
      <c r="F21" s="48"/>
      <c r="G21" s="48"/>
      <c r="H21" s="48" t="s">
        <v>63</v>
      </c>
      <c r="I21" s="48"/>
      <c r="J21" s="48" t="s">
        <v>63</v>
      </c>
      <c r="K21" s="48"/>
      <c r="L21" s="48" t="s">
        <v>63</v>
      </c>
      <c r="M21" s="48" t="s">
        <v>63</v>
      </c>
      <c r="N21" s="48" t="s">
        <v>63</v>
      </c>
      <c r="O21" s="156">
        <v>1</v>
      </c>
      <c r="P21" s="48" t="s">
        <v>63</v>
      </c>
      <c r="Q21" s="48" t="s">
        <v>63</v>
      </c>
      <c r="R21" s="48" t="s">
        <v>63</v>
      </c>
      <c r="S21" s="48" t="s">
        <v>63</v>
      </c>
      <c r="T21" s="48" t="s">
        <v>63</v>
      </c>
      <c r="U21" s="48" t="s">
        <v>63</v>
      </c>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11</v>
      </c>
      <c r="BB21" s="48" t="str">
        <f t="shared" si="1"/>
        <v/>
      </c>
      <c r="BC21" s="48" t="str">
        <f t="shared" si="2"/>
        <v/>
      </c>
      <c r="BD21" s="48" t="str">
        <f t="shared" si="3"/>
        <v/>
      </c>
      <c r="BE21" s="65" t="str">
        <f t="shared" si="4"/>
        <v/>
      </c>
    </row>
    <row r="22" spans="1:57" ht="12" customHeight="1" x14ac:dyDescent="0.45">
      <c r="A22" s="59">
        <v>15</v>
      </c>
      <c r="B22" s="60" t="str">
        <f>'C. FILIACION'!B22</f>
        <v>RUEDA ALVAREZ GREGORY STEVEN</v>
      </c>
      <c r="C22" s="48"/>
      <c r="D22" s="48"/>
      <c r="E22" s="48"/>
      <c r="F22" s="48"/>
      <c r="G22" s="48"/>
      <c r="H22" s="48" t="s">
        <v>63</v>
      </c>
      <c r="I22" s="48"/>
      <c r="J22" s="48" t="s">
        <v>63</v>
      </c>
      <c r="K22" s="48"/>
      <c r="L22" s="48" t="s">
        <v>63</v>
      </c>
      <c r="M22" s="48" t="s">
        <v>63</v>
      </c>
      <c r="N22" s="48" t="s">
        <v>63</v>
      </c>
      <c r="O22" s="157">
        <v>3</v>
      </c>
      <c r="P22" s="48" t="s">
        <v>63</v>
      </c>
      <c r="Q22" s="48" t="s">
        <v>63</v>
      </c>
      <c r="R22" s="48" t="s">
        <v>63</v>
      </c>
      <c r="S22" s="48" t="s">
        <v>63</v>
      </c>
      <c r="T22" s="48" t="s">
        <v>63</v>
      </c>
      <c r="U22" s="48" t="s">
        <v>63</v>
      </c>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11</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48"/>
      <c r="E23" s="48"/>
      <c r="F23" s="48"/>
      <c r="G23" s="48"/>
      <c r="H23" s="48" t="s">
        <v>63</v>
      </c>
      <c r="I23" s="48"/>
      <c r="J23" s="48"/>
      <c r="K23" s="48"/>
      <c r="L23" s="48" t="s">
        <v>63</v>
      </c>
      <c r="M23" s="48" t="s">
        <v>64</v>
      </c>
      <c r="N23" s="48" t="s">
        <v>64</v>
      </c>
      <c r="O23" s="157">
        <v>3</v>
      </c>
      <c r="P23" s="48" t="s">
        <v>64</v>
      </c>
      <c r="Q23" s="48" t="s">
        <v>64</v>
      </c>
      <c r="R23" s="48" t="s">
        <v>64</v>
      </c>
      <c r="S23" s="48" t="s">
        <v>64</v>
      </c>
      <c r="T23" s="48" t="s">
        <v>64</v>
      </c>
      <c r="U23" s="48" t="s">
        <v>64</v>
      </c>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2</v>
      </c>
      <c r="BB23" s="48">
        <f t="shared" si="1"/>
        <v>8</v>
      </c>
      <c r="BC23" s="48" t="str">
        <f t="shared" si="2"/>
        <v/>
      </c>
      <c r="BD23" s="48" t="str">
        <f t="shared" si="3"/>
        <v/>
      </c>
      <c r="BE23" s="65" t="str">
        <f t="shared" si="4"/>
        <v/>
      </c>
    </row>
    <row r="24" spans="1:57" ht="12" customHeight="1" x14ac:dyDescent="0.45">
      <c r="A24" s="59">
        <v>17</v>
      </c>
      <c r="B24" s="60" t="str">
        <f>'C. FILIACION'!B24</f>
        <v>ZURITA JIMENEZ ELMER ARTURO</v>
      </c>
      <c r="C24" s="48"/>
      <c r="D24" s="48"/>
      <c r="E24" s="48"/>
      <c r="F24" s="48"/>
      <c r="G24" s="48"/>
      <c r="H24" s="48" t="s">
        <v>63</v>
      </c>
      <c r="I24" s="48"/>
      <c r="J24" s="48" t="s">
        <v>63</v>
      </c>
      <c r="K24" s="48"/>
      <c r="L24" s="48" t="s">
        <v>63</v>
      </c>
      <c r="M24" s="48" t="s">
        <v>63</v>
      </c>
      <c r="N24" s="48" t="s">
        <v>63</v>
      </c>
      <c r="O24" s="155">
        <v>2</v>
      </c>
      <c r="P24" s="48" t="s">
        <v>63</v>
      </c>
      <c r="Q24" s="48" t="s">
        <v>63</v>
      </c>
      <c r="R24" s="48" t="s">
        <v>63</v>
      </c>
      <c r="S24" s="48" t="s">
        <v>63</v>
      </c>
      <c r="T24" s="48" t="s">
        <v>63</v>
      </c>
      <c r="U24" s="48" t="s">
        <v>63</v>
      </c>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11</v>
      </c>
      <c r="BB24" s="48" t="str">
        <f t="shared" si="1"/>
        <v/>
      </c>
      <c r="BC24" s="48" t="str">
        <f t="shared" si="2"/>
        <v/>
      </c>
      <c r="BD24" s="48" t="str">
        <f t="shared" si="3"/>
        <v/>
      </c>
      <c r="BE24" s="65" t="str">
        <f t="shared" si="4"/>
        <v/>
      </c>
    </row>
    <row r="25" spans="1:57" ht="12" customHeight="1" x14ac:dyDescent="0.45">
      <c r="A25" s="59">
        <v>18</v>
      </c>
      <c r="B25" s="60" t="str">
        <f>'C. FILIACION'!B25</f>
        <v>ADRIAN FLORES EDDY BEYMAR</v>
      </c>
      <c r="C25" s="48"/>
      <c r="D25" s="48"/>
      <c r="E25" s="48"/>
      <c r="F25" s="48"/>
      <c r="G25" s="48"/>
      <c r="H25" s="48" t="s">
        <v>63</v>
      </c>
      <c r="I25" s="48"/>
      <c r="J25" s="48" t="s">
        <v>63</v>
      </c>
      <c r="K25" s="48"/>
      <c r="L25" s="48" t="s">
        <v>64</v>
      </c>
      <c r="M25" s="48" t="s">
        <v>64</v>
      </c>
      <c r="N25" s="48" t="s">
        <v>63</v>
      </c>
      <c r="O25" s="48">
        <v>4</v>
      </c>
      <c r="P25" s="48" t="s">
        <v>64</v>
      </c>
      <c r="Q25" s="48" t="s">
        <v>63</v>
      </c>
      <c r="R25" s="48" t="s">
        <v>63</v>
      </c>
      <c r="S25" s="48" t="s">
        <v>63</v>
      </c>
      <c r="T25" s="48" t="s">
        <v>64</v>
      </c>
      <c r="U25" s="48" t="s">
        <v>64</v>
      </c>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6</v>
      </c>
      <c r="BB25" s="48">
        <f t="shared" si="1"/>
        <v>5</v>
      </c>
      <c r="BC25" s="48" t="str">
        <f t="shared" si="2"/>
        <v/>
      </c>
      <c r="BD25" s="48" t="str">
        <f t="shared" si="3"/>
        <v/>
      </c>
      <c r="BE25" s="65" t="str">
        <f t="shared" si="4"/>
        <v/>
      </c>
    </row>
    <row r="26" spans="1:57" ht="12" customHeight="1" x14ac:dyDescent="0.45">
      <c r="A26" s="59">
        <v>19</v>
      </c>
      <c r="B26" s="60" t="str">
        <f>'C. FILIACION'!B26</f>
        <v>Ventura Choque Danely Keyla</v>
      </c>
      <c r="C26" s="48"/>
      <c r="D26" s="48"/>
      <c r="E26" s="48"/>
      <c r="F26" s="48"/>
      <c r="G26" s="48"/>
      <c r="H26" s="48"/>
      <c r="I26" s="48"/>
      <c r="J26" s="48"/>
      <c r="K26" s="48"/>
      <c r="L26" s="48"/>
      <c r="M26" s="48"/>
      <c r="N26" s="48" t="s">
        <v>64</v>
      </c>
      <c r="O26" s="157">
        <v>3</v>
      </c>
      <c r="P26" s="48" t="s">
        <v>180</v>
      </c>
      <c r="Q26" s="48" t="s">
        <v>180</v>
      </c>
      <c r="R26" s="48" t="s">
        <v>63</v>
      </c>
      <c r="S26" s="48" t="s">
        <v>63</v>
      </c>
      <c r="T26" s="48" t="s">
        <v>63</v>
      </c>
      <c r="U26" s="48" t="s">
        <v>63</v>
      </c>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4</v>
      </c>
      <c r="BB26" s="48">
        <f t="shared" si="1"/>
        <v>1</v>
      </c>
      <c r="BC26" s="48" t="str">
        <f t="shared" si="2"/>
        <v/>
      </c>
      <c r="BD26" s="48">
        <f t="shared" si="3"/>
        <v>2</v>
      </c>
      <c r="BE26" s="65">
        <f t="shared" si="4"/>
        <v>2</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34375" customWidth="1"/>
    <col min="53" max="57" width="1.42578125" customWidth="1"/>
    <col min="58" max="61" width="1.6640625" customWidth="1"/>
  </cols>
  <sheetData>
    <row r="1" spans="1:61" ht="4.5" customHeight="1" x14ac:dyDescent="0.45"/>
    <row r="2" spans="1:61" ht="12.75" customHeight="1" x14ac:dyDescent="0.45">
      <c r="B2" s="177" t="s">
        <v>74</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8">
        <f>CARÁTULA!$H$24</f>
        <v>44440</v>
      </c>
      <c r="AU3" s="173"/>
      <c r="AV3" s="173"/>
      <c r="AW3" s="173"/>
      <c r="AX3" s="173"/>
      <c r="AY3" s="173"/>
      <c r="AZ3" s="173"/>
      <c r="BA3" s="192"/>
      <c r="BB3" s="173"/>
      <c r="BC3" s="173"/>
      <c r="BD3" s="173"/>
      <c r="BE3" s="173"/>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8">
        <f>CARÁTULA!$J$24</f>
        <v>44531</v>
      </c>
      <c r="AU4" s="173"/>
      <c r="AV4" s="173"/>
      <c r="AW4" s="173"/>
      <c r="AX4" s="173"/>
      <c r="AY4" s="173"/>
      <c r="AZ4" s="173"/>
      <c r="BA4" s="193">
        <f ca="1">AT4-AT5</f>
        <v>112</v>
      </c>
      <c r="BB4" s="183"/>
      <c r="BC4" s="183"/>
      <c r="BD4" s="183"/>
      <c r="BE4" s="184"/>
    </row>
    <row r="5" spans="1:61" ht="12.75" customHeight="1" x14ac:dyDescent="0.45">
      <c r="B5" s="38" t="s">
        <v>23</v>
      </c>
      <c r="C5" s="39" t="str">
        <f>CARÁTULA!$C$23</f>
        <v>6to de Secundaria</v>
      </c>
      <c r="D5" s="40"/>
      <c r="E5" s="40"/>
      <c r="F5" s="40"/>
      <c r="G5" s="40"/>
      <c r="H5" s="40"/>
      <c r="I5" s="40"/>
      <c r="J5" s="40"/>
      <c r="K5" s="40"/>
      <c r="L5" s="40"/>
      <c r="M5" s="40"/>
      <c r="N5" s="40"/>
      <c r="O5" s="38"/>
      <c r="P5" s="38"/>
      <c r="Q5" s="38"/>
      <c r="R5" s="38"/>
      <c r="S5" s="43" t="s">
        <v>24</v>
      </c>
      <c r="T5" s="44"/>
      <c r="U5" s="44"/>
      <c r="V5" s="44"/>
      <c r="W5" s="44"/>
      <c r="X5" s="191">
        <f ca="1">TODAY()</f>
        <v>44419</v>
      </c>
      <c r="Y5" s="173"/>
      <c r="Z5" s="173"/>
      <c r="AA5" s="173"/>
      <c r="AB5" s="173"/>
      <c r="AC5" s="173"/>
      <c r="AD5" s="40"/>
      <c r="AE5" s="40"/>
      <c r="AF5" s="40"/>
      <c r="AG5" s="40"/>
      <c r="AH5" s="40"/>
      <c r="AI5" s="40"/>
      <c r="AJ5" s="40"/>
      <c r="AK5" s="45" t="s">
        <v>55</v>
      </c>
      <c r="AL5" s="46"/>
      <c r="AM5" s="46"/>
      <c r="AN5" s="46"/>
      <c r="AO5" s="46"/>
      <c r="AP5" s="46"/>
      <c r="AQ5" s="46"/>
      <c r="AR5" s="40"/>
      <c r="AS5" s="40"/>
      <c r="AT5" s="189">
        <f ca="1">TODAY()</f>
        <v>44419</v>
      </c>
      <c r="AU5" s="173"/>
      <c r="AV5" s="173"/>
      <c r="AW5" s="173"/>
      <c r="AX5" s="173"/>
      <c r="AY5" s="173"/>
      <c r="AZ5" s="173"/>
      <c r="BA5" s="185"/>
      <c r="BB5" s="186"/>
      <c r="BC5" s="186"/>
      <c r="BD5" s="186"/>
      <c r="BE5" s="187"/>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5">
      <c r="A7" s="48" t="s">
        <v>56</v>
      </c>
      <c r="B7" s="49" t="s">
        <v>57</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75</v>
      </c>
      <c r="BB7" s="57" t="s">
        <v>76</v>
      </c>
      <c r="BC7" s="57" t="s">
        <v>77</v>
      </c>
      <c r="BD7" s="57" t="s">
        <v>78</v>
      </c>
      <c r="BE7" s="58" t="s">
        <v>62</v>
      </c>
    </row>
    <row r="8" spans="1:61" ht="12" customHeight="1" x14ac:dyDescent="0.45">
      <c r="A8" s="59">
        <v>1</v>
      </c>
      <c r="B8" s="60" t="str">
        <f>'C. FILIACION'!B8</f>
        <v>ALTAMIRANO RAMOS ESTEFANI MILENKA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45">
      <c r="A9" s="59">
        <v>2</v>
      </c>
      <c r="B9" s="60" t="str">
        <f>'C. FILIACION'!B9</f>
        <v>APAZA LINO TATIANA JAZMIN</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45">
      <c r="A10" s="59">
        <v>3</v>
      </c>
      <c r="B10" s="60" t="str">
        <f>'C. FILIACION'!B10</f>
        <v>BOLAÑOS OVANDO MIJHAIL ALEXANDER</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45">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45">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45">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45">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45">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45">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45">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45">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45">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45">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45">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45">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4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13" t="s">
        <v>79</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11" t="s">
        <v>51</v>
      </c>
      <c r="AD3" s="195"/>
      <c r="AE3" s="195"/>
      <c r="AF3" s="195"/>
      <c r="AG3" s="195"/>
      <c r="AH3" s="196"/>
      <c r="AI3" s="191">
        <f>CARÁTULA!$H$14</f>
        <v>44228</v>
      </c>
      <c r="AJ3" s="173"/>
      <c r="AK3" s="173"/>
      <c r="AL3" s="173"/>
      <c r="AM3" s="173"/>
      <c r="AN3" s="214" t="s">
        <v>52</v>
      </c>
      <c r="AO3" s="164"/>
      <c r="AP3" s="164"/>
      <c r="AQ3" s="164"/>
      <c r="AR3" s="165"/>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11" t="s">
        <v>54</v>
      </c>
      <c r="AD4" s="195"/>
      <c r="AE4" s="195"/>
      <c r="AF4" s="195"/>
      <c r="AG4" s="195"/>
      <c r="AH4" s="196"/>
      <c r="AI4" s="191">
        <f>CARÁTULA!$J$14</f>
        <v>44323</v>
      </c>
      <c r="AJ4" s="173"/>
      <c r="AK4" s="173"/>
      <c r="AL4" s="173"/>
      <c r="AM4" s="173"/>
      <c r="AN4" s="193">
        <f ca="1">AI4-AI5</f>
        <v>-96</v>
      </c>
      <c r="AO4" s="183"/>
      <c r="AP4" s="183"/>
      <c r="AQ4" s="183"/>
      <c r="AR4" s="184"/>
    </row>
    <row r="5" spans="1:48" ht="12.75" customHeight="1" x14ac:dyDescent="0.55000000000000004">
      <c r="A5" s="71"/>
      <c r="B5" s="74" t="s">
        <v>23</v>
      </c>
      <c r="C5" s="75" t="str">
        <f>CARÁTULA!$C$23</f>
        <v>6to de Secundaria</v>
      </c>
      <c r="D5" s="76"/>
      <c r="E5" s="76"/>
      <c r="F5" s="76"/>
      <c r="G5" s="74"/>
      <c r="H5" s="74"/>
      <c r="I5" s="74"/>
      <c r="J5" s="74"/>
      <c r="K5" s="74"/>
      <c r="L5" s="74"/>
      <c r="M5" s="74"/>
      <c r="N5" s="74"/>
      <c r="O5" s="77" t="s">
        <v>24</v>
      </c>
      <c r="P5" s="79"/>
      <c r="Q5" s="79"/>
      <c r="R5" s="79"/>
      <c r="S5" s="207">
        <f ca="1">TODAY()</f>
        <v>44419</v>
      </c>
      <c r="T5" s="164"/>
      <c r="U5" s="164"/>
      <c r="V5" s="164"/>
      <c r="W5" s="164"/>
      <c r="X5" s="164"/>
      <c r="Y5" s="164"/>
      <c r="Z5" s="164"/>
      <c r="AA5" s="165"/>
      <c r="AB5" s="76"/>
      <c r="AC5" s="212" t="s">
        <v>55</v>
      </c>
      <c r="AD5" s="195"/>
      <c r="AE5" s="195"/>
      <c r="AF5" s="195"/>
      <c r="AG5" s="195"/>
      <c r="AH5" s="196"/>
      <c r="AI5" s="215">
        <f ca="1">TODAY()</f>
        <v>44419</v>
      </c>
      <c r="AJ5" s="173"/>
      <c r="AK5" s="173"/>
      <c r="AL5" s="173"/>
      <c r="AM5" s="173"/>
      <c r="AN5" s="185"/>
      <c r="AO5" s="186"/>
      <c r="AP5" s="186"/>
      <c r="AQ5" s="186"/>
      <c r="AR5" s="187"/>
    </row>
    <row r="6" spans="1:48" ht="12.75" customHeight="1" x14ac:dyDescent="0.55000000000000004">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8" t="s">
        <v>81</v>
      </c>
      <c r="AC6" s="195"/>
      <c r="AD6" s="195"/>
      <c r="AE6" s="196"/>
      <c r="AF6" s="80"/>
      <c r="AG6" s="81"/>
      <c r="AH6" s="81"/>
      <c r="AI6" s="82"/>
      <c r="AJ6" s="83"/>
      <c r="AK6" s="83"/>
      <c r="AL6" s="83"/>
      <c r="AM6" s="83"/>
      <c r="AN6" s="84"/>
      <c r="AO6" s="84"/>
      <c r="AP6" s="84"/>
      <c r="AQ6" s="84"/>
      <c r="AR6" s="84"/>
    </row>
    <row r="7" spans="1:48" ht="12" customHeight="1" x14ac:dyDescent="0.55000000000000004">
      <c r="A7" s="71"/>
      <c r="B7" s="85"/>
      <c r="C7" s="209" t="s">
        <v>82</v>
      </c>
      <c r="D7" s="210" t="s">
        <v>83</v>
      </c>
      <c r="E7" s="195"/>
      <c r="F7" s="195"/>
      <c r="G7" s="195"/>
      <c r="H7" s="195"/>
      <c r="I7" s="195"/>
      <c r="J7" s="195"/>
      <c r="K7" s="195"/>
      <c r="L7" s="195"/>
      <c r="M7" s="195"/>
      <c r="N7" s="195"/>
      <c r="O7" s="206" t="s">
        <v>84</v>
      </c>
      <c r="P7" s="210" t="s">
        <v>85</v>
      </c>
      <c r="Q7" s="195"/>
      <c r="R7" s="195"/>
      <c r="S7" s="195"/>
      <c r="T7" s="195"/>
      <c r="U7" s="195"/>
      <c r="V7" s="195"/>
      <c r="W7" s="195"/>
      <c r="X7" s="195"/>
      <c r="Y7" s="195"/>
      <c r="Z7" s="195"/>
      <c r="AA7" s="205" t="s">
        <v>86</v>
      </c>
      <c r="AB7" s="206" t="s">
        <v>84</v>
      </c>
      <c r="AC7" s="205" t="s">
        <v>87</v>
      </c>
      <c r="AD7" s="205" t="s">
        <v>88</v>
      </c>
      <c r="AE7" s="206" t="s">
        <v>84</v>
      </c>
      <c r="AF7" s="198" t="s">
        <v>89</v>
      </c>
      <c r="AG7" s="200" t="s">
        <v>90</v>
      </c>
      <c r="AH7" s="201" t="s">
        <v>91</v>
      </c>
      <c r="AI7" s="180"/>
      <c r="AJ7" s="180"/>
      <c r="AK7" s="180"/>
      <c r="AL7" s="180"/>
      <c r="AM7" s="181"/>
      <c r="AN7" s="86"/>
      <c r="AO7" s="76"/>
      <c r="AP7" s="76"/>
      <c r="AQ7" s="76"/>
      <c r="AR7" s="71"/>
    </row>
    <row r="8" spans="1:48" ht="153.9" x14ac:dyDescent="0.45">
      <c r="A8" s="48" t="s">
        <v>56</v>
      </c>
      <c r="B8" s="49" t="s">
        <v>57</v>
      </c>
      <c r="C8" s="199"/>
      <c r="D8" s="87" t="s">
        <v>92</v>
      </c>
      <c r="E8" s="87" t="s">
        <v>93</v>
      </c>
      <c r="F8" s="87" t="s">
        <v>94</v>
      </c>
      <c r="G8" s="87" t="s">
        <v>95</v>
      </c>
      <c r="H8" s="87" t="s">
        <v>96</v>
      </c>
      <c r="I8" s="53"/>
      <c r="J8" s="53"/>
      <c r="K8" s="54"/>
      <c r="L8" s="54"/>
      <c r="M8" s="54"/>
      <c r="N8" s="55"/>
      <c r="O8" s="199"/>
      <c r="P8" s="87" t="s">
        <v>97</v>
      </c>
      <c r="Q8" s="87" t="s">
        <v>98</v>
      </c>
      <c r="R8" s="87" t="s">
        <v>99</v>
      </c>
      <c r="S8" s="87" t="s">
        <v>100</v>
      </c>
      <c r="T8" s="87" t="s">
        <v>101</v>
      </c>
      <c r="U8" s="87"/>
      <c r="V8" s="54"/>
      <c r="W8" s="54"/>
      <c r="X8" s="54"/>
      <c r="Y8" s="54"/>
      <c r="Z8" s="54"/>
      <c r="AA8" s="199"/>
      <c r="AB8" s="199"/>
      <c r="AC8" s="199"/>
      <c r="AD8" s="199"/>
      <c r="AE8" s="199"/>
      <c r="AF8" s="199"/>
      <c r="AG8" s="199"/>
      <c r="AH8" s="202"/>
      <c r="AI8" s="203"/>
      <c r="AJ8" s="203"/>
      <c r="AK8" s="203"/>
      <c r="AL8" s="203"/>
      <c r="AM8" s="204"/>
      <c r="AN8" s="88"/>
      <c r="AO8" s="88"/>
      <c r="AP8" s="88"/>
      <c r="AQ8" s="88"/>
      <c r="AR8" s="89"/>
    </row>
    <row r="9" spans="1:48" ht="12" customHeight="1" x14ac:dyDescent="0.4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94" t="str">
        <f t="shared" ref="AH9:AH44" si="5">IF(AG9="","",(IF(AND(AG9&gt;=1,AG9&lt;=50.499),"REPROBADO",IF(AND(AG9&gt;=50.5,AG9&lt;=100),"APROBADO"))))</f>
        <v>APROBADO</v>
      </c>
      <c r="AI9" s="195"/>
      <c r="AJ9" s="195"/>
      <c r="AK9" s="195"/>
      <c r="AL9" s="195"/>
      <c r="AM9" s="196"/>
      <c r="AN9" s="94" t="s">
        <v>102</v>
      </c>
      <c r="AO9" s="197">
        <f>COUNTIF(AF9:AF44,"ED")</f>
        <v>1</v>
      </c>
      <c r="AP9" s="196"/>
      <c r="AQ9" s="95"/>
      <c r="AR9" s="95"/>
    </row>
    <row r="10" spans="1:48" ht="12" customHeight="1" x14ac:dyDescent="0.4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94" t="str">
        <f t="shared" si="5"/>
        <v>APROBADO</v>
      </c>
      <c r="AI10" s="195"/>
      <c r="AJ10" s="195"/>
      <c r="AK10" s="195"/>
      <c r="AL10" s="195"/>
      <c r="AM10" s="196"/>
      <c r="AN10" s="48" t="s">
        <v>103</v>
      </c>
      <c r="AO10" s="197">
        <f>COUNTIF(AF9:AF44,"DA")</f>
        <v>0</v>
      </c>
      <c r="AP10" s="196"/>
      <c r="AQ10" s="95"/>
      <c r="AR10" s="95"/>
    </row>
    <row r="11" spans="1:48" ht="12" customHeight="1" x14ac:dyDescent="0.4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94" t="str">
        <f t="shared" si="5"/>
        <v>APROBADO</v>
      </c>
      <c r="AI11" s="195"/>
      <c r="AJ11" s="195"/>
      <c r="AK11" s="195"/>
      <c r="AL11" s="195"/>
      <c r="AM11" s="196"/>
      <c r="AN11" s="48" t="s">
        <v>104</v>
      </c>
      <c r="AO11" s="197">
        <f>COUNTIF(AF9:AF44,"DO")</f>
        <v>0</v>
      </c>
      <c r="AP11" s="196"/>
      <c r="AQ11" s="95"/>
      <c r="AR11" s="95"/>
    </row>
    <row r="12" spans="1:48" ht="12" customHeight="1" x14ac:dyDescent="0.4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94" t="str">
        <f t="shared" si="5"/>
        <v>REPROBADO</v>
      </c>
      <c r="AI12" s="195"/>
      <c r="AJ12" s="195"/>
      <c r="AK12" s="195"/>
      <c r="AL12" s="195"/>
      <c r="AM12" s="196"/>
      <c r="AN12" s="48" t="s">
        <v>105</v>
      </c>
      <c r="AO12" s="197">
        <f>COUNTIF(AF9:AF44,"DP")</f>
        <v>35</v>
      </c>
      <c r="AP12" s="196"/>
      <c r="AQ12" s="95"/>
      <c r="AR12" s="95"/>
    </row>
    <row r="13" spans="1:48" ht="12" customHeight="1" x14ac:dyDescent="0.4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94" t="str">
        <f t="shared" si="5"/>
        <v>APROBADO</v>
      </c>
      <c r="AI13" s="195"/>
      <c r="AJ13" s="195"/>
      <c r="AK13" s="195"/>
      <c r="AL13" s="195"/>
      <c r="AM13" s="196"/>
      <c r="AN13" s="95"/>
      <c r="AO13" s="95"/>
      <c r="AP13" s="95"/>
      <c r="AQ13" s="95"/>
      <c r="AR13" s="95"/>
    </row>
    <row r="14" spans="1:48" ht="12" customHeight="1" x14ac:dyDescent="0.4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94" t="str">
        <f t="shared" si="5"/>
        <v>APROBADO</v>
      </c>
      <c r="AI14" s="195"/>
      <c r="AJ14" s="195"/>
      <c r="AK14" s="195"/>
      <c r="AL14" s="195"/>
      <c r="AM14" s="196"/>
      <c r="AN14" s="95"/>
      <c r="AO14" s="95"/>
      <c r="AP14" s="95"/>
      <c r="AQ14" s="95"/>
      <c r="AR14" s="95"/>
    </row>
    <row r="15" spans="1:48" ht="12" customHeight="1" x14ac:dyDescent="0.4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94" t="str">
        <f t="shared" si="5"/>
        <v>APROBADO</v>
      </c>
      <c r="AI15" s="195"/>
      <c r="AJ15" s="195"/>
      <c r="AK15" s="195"/>
      <c r="AL15" s="195"/>
      <c r="AM15" s="196"/>
      <c r="AN15" s="95"/>
      <c r="AO15" s="95"/>
      <c r="AP15" s="95"/>
      <c r="AQ15" s="95"/>
      <c r="AR15" s="95"/>
    </row>
    <row r="16" spans="1:48" ht="12" customHeight="1" x14ac:dyDescent="0.4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94" t="str">
        <f t="shared" si="5"/>
        <v>APROBADO</v>
      </c>
      <c r="AI16" s="195"/>
      <c r="AJ16" s="195"/>
      <c r="AK16" s="195"/>
      <c r="AL16" s="195"/>
      <c r="AM16" s="196"/>
      <c r="AN16" s="95"/>
      <c r="AO16" s="95"/>
      <c r="AP16" s="95"/>
      <c r="AQ16" s="95"/>
      <c r="AR16" s="95"/>
    </row>
    <row r="17" spans="1:44" ht="12" customHeight="1" x14ac:dyDescent="0.4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94" t="str">
        <f t="shared" si="5"/>
        <v>APROBADO</v>
      </c>
      <c r="AI17" s="195"/>
      <c r="AJ17" s="195"/>
      <c r="AK17" s="195"/>
      <c r="AL17" s="195"/>
      <c r="AM17" s="196"/>
      <c r="AN17" s="95"/>
      <c r="AO17" s="95"/>
      <c r="AP17" s="95"/>
      <c r="AQ17" s="95"/>
      <c r="AR17" s="95"/>
    </row>
    <row r="18" spans="1:44" ht="12" customHeight="1" x14ac:dyDescent="0.4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94" t="str">
        <f t="shared" si="5"/>
        <v>APROBADO</v>
      </c>
      <c r="AI18" s="195"/>
      <c r="AJ18" s="195"/>
      <c r="AK18" s="195"/>
      <c r="AL18" s="195"/>
      <c r="AM18" s="196"/>
      <c r="AN18" s="95"/>
      <c r="AO18" s="95"/>
      <c r="AP18" s="95"/>
      <c r="AQ18" s="95"/>
      <c r="AR18" s="95"/>
    </row>
    <row r="19" spans="1:44" ht="12" customHeight="1" x14ac:dyDescent="0.4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94" t="str">
        <f t="shared" si="5"/>
        <v>APROBADO</v>
      </c>
      <c r="AI19" s="195"/>
      <c r="AJ19" s="195"/>
      <c r="AK19" s="195"/>
      <c r="AL19" s="195"/>
      <c r="AM19" s="196"/>
      <c r="AN19" s="95"/>
      <c r="AO19" s="95"/>
      <c r="AP19" s="95"/>
      <c r="AQ19" s="95"/>
      <c r="AR19" s="95"/>
    </row>
    <row r="20" spans="1:44" ht="12" customHeight="1" x14ac:dyDescent="0.4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94" t="str">
        <f t="shared" si="5"/>
        <v>APROBADO</v>
      </c>
      <c r="AI20" s="195"/>
      <c r="AJ20" s="195"/>
      <c r="AK20" s="195"/>
      <c r="AL20" s="195"/>
      <c r="AM20" s="196"/>
      <c r="AN20" s="95"/>
      <c r="AO20" s="95"/>
      <c r="AP20" s="95"/>
      <c r="AQ20" s="95"/>
      <c r="AR20" s="95"/>
    </row>
    <row r="21" spans="1:44" ht="12" customHeight="1" x14ac:dyDescent="0.4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94" t="str">
        <f t="shared" si="5"/>
        <v>APROBADO</v>
      </c>
      <c r="AI21" s="195"/>
      <c r="AJ21" s="195"/>
      <c r="AK21" s="195"/>
      <c r="AL21" s="195"/>
      <c r="AM21" s="196"/>
      <c r="AN21" s="95"/>
      <c r="AO21" s="95"/>
      <c r="AP21" s="95"/>
      <c r="AQ21" s="95"/>
      <c r="AR21" s="95"/>
    </row>
    <row r="22" spans="1:44" ht="12" customHeight="1" x14ac:dyDescent="0.4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94" t="str">
        <f t="shared" si="5"/>
        <v>APROBADO</v>
      </c>
      <c r="AI22" s="195"/>
      <c r="AJ22" s="195"/>
      <c r="AK22" s="195"/>
      <c r="AL22" s="195"/>
      <c r="AM22" s="196"/>
      <c r="AN22" s="95"/>
      <c r="AO22" s="95"/>
      <c r="AP22" s="95"/>
      <c r="AQ22" s="95"/>
      <c r="AR22" s="95"/>
    </row>
    <row r="23" spans="1:44" ht="12" customHeight="1" x14ac:dyDescent="0.4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94" t="str">
        <f t="shared" si="5"/>
        <v>APROBADO</v>
      </c>
      <c r="AI23" s="195"/>
      <c r="AJ23" s="195"/>
      <c r="AK23" s="195"/>
      <c r="AL23" s="195"/>
      <c r="AM23" s="196"/>
      <c r="AN23" s="95"/>
      <c r="AO23" s="95"/>
      <c r="AP23" s="95"/>
      <c r="AQ23" s="95"/>
      <c r="AR23" s="95"/>
    </row>
    <row r="24" spans="1:44" ht="12" customHeight="1" x14ac:dyDescent="0.4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94" t="str">
        <f t="shared" si="5"/>
        <v>APROBADO</v>
      </c>
      <c r="AI24" s="195"/>
      <c r="AJ24" s="195"/>
      <c r="AK24" s="195"/>
      <c r="AL24" s="195"/>
      <c r="AM24" s="196"/>
      <c r="AN24" s="95"/>
      <c r="AO24" s="95"/>
      <c r="AP24" s="95"/>
      <c r="AQ24" s="95"/>
      <c r="AR24" s="95"/>
    </row>
    <row r="25" spans="1:44" ht="12" customHeight="1" x14ac:dyDescent="0.4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94" t="str">
        <f t="shared" si="5"/>
        <v>APROBADO</v>
      </c>
      <c r="AI25" s="195"/>
      <c r="AJ25" s="195"/>
      <c r="AK25" s="195"/>
      <c r="AL25" s="195"/>
      <c r="AM25" s="196"/>
      <c r="AN25" s="95"/>
      <c r="AO25" s="95"/>
      <c r="AP25" s="95"/>
      <c r="AQ25" s="95"/>
      <c r="AR25" s="95"/>
    </row>
    <row r="26" spans="1:44" ht="12" customHeight="1" x14ac:dyDescent="0.4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4" t="str">
        <f t="shared" si="5"/>
        <v>APROBADO</v>
      </c>
      <c r="AI26" s="195"/>
      <c r="AJ26" s="195"/>
      <c r="AK26" s="195"/>
      <c r="AL26" s="195"/>
      <c r="AM26" s="196"/>
      <c r="AN26" s="95"/>
      <c r="AO26" s="95"/>
      <c r="AP26" s="95"/>
      <c r="AQ26" s="95"/>
      <c r="AR26" s="95"/>
    </row>
    <row r="27" spans="1:44" ht="12" customHeight="1" x14ac:dyDescent="0.4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4" t="str">
        <f t="shared" si="5"/>
        <v>APROBADO</v>
      </c>
      <c r="AI27" s="195"/>
      <c r="AJ27" s="195"/>
      <c r="AK27" s="195"/>
      <c r="AL27" s="195"/>
      <c r="AM27" s="196"/>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G24" sqref="G24"/>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13" t="s">
        <v>106</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11" t="s">
        <v>51</v>
      </c>
      <c r="AD3" s="195"/>
      <c r="AE3" s="195"/>
      <c r="AF3" s="195"/>
      <c r="AG3" s="195"/>
      <c r="AH3" s="196"/>
      <c r="AI3" s="191">
        <f>CARÁTULA!$H$19</f>
        <v>44326</v>
      </c>
      <c r="AJ3" s="173"/>
      <c r="AK3" s="173"/>
      <c r="AL3" s="173"/>
      <c r="AM3" s="173"/>
      <c r="AN3" s="214" t="s">
        <v>52</v>
      </c>
      <c r="AO3" s="164"/>
      <c r="AP3" s="164"/>
      <c r="AQ3" s="164"/>
      <c r="AR3" s="165"/>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11" t="s">
        <v>54</v>
      </c>
      <c r="AD4" s="195"/>
      <c r="AE4" s="195"/>
      <c r="AF4" s="195"/>
      <c r="AG4" s="195"/>
      <c r="AH4" s="196"/>
      <c r="AI4" s="191">
        <f>CARÁTULA!$J$19</f>
        <v>44439</v>
      </c>
      <c r="AJ4" s="173"/>
      <c r="AK4" s="173"/>
      <c r="AL4" s="173"/>
      <c r="AM4" s="173"/>
      <c r="AN4" s="193">
        <f ca="1">AI4-AI5</f>
        <v>20</v>
      </c>
      <c r="AO4" s="183"/>
      <c r="AP4" s="183"/>
      <c r="AQ4" s="183"/>
      <c r="AR4" s="184"/>
    </row>
    <row r="5" spans="1:48" ht="12.75" customHeight="1" x14ac:dyDescent="0.55000000000000004">
      <c r="A5" s="71"/>
      <c r="B5" s="74" t="s">
        <v>23</v>
      </c>
      <c r="C5" s="75" t="str">
        <f>CARÁTULA!$C$23</f>
        <v>6to de Secundaria</v>
      </c>
      <c r="D5" s="76"/>
      <c r="E5" s="76"/>
      <c r="F5" s="76"/>
      <c r="G5" s="74"/>
      <c r="H5" s="74"/>
      <c r="I5" s="74"/>
      <c r="J5" s="74"/>
      <c r="K5" s="74"/>
      <c r="L5" s="74"/>
      <c r="M5" s="74"/>
      <c r="N5" s="74"/>
      <c r="O5" s="74" t="s">
        <v>24</v>
      </c>
      <c r="P5" s="79"/>
      <c r="Q5" s="79"/>
      <c r="R5" s="79"/>
      <c r="S5" s="207">
        <f ca="1">TODAY()</f>
        <v>44419</v>
      </c>
      <c r="T5" s="164"/>
      <c r="U5" s="164"/>
      <c r="V5" s="164"/>
      <c r="W5" s="164"/>
      <c r="X5" s="164"/>
      <c r="Y5" s="164"/>
      <c r="Z5" s="164"/>
      <c r="AA5" s="165"/>
      <c r="AB5" s="76"/>
      <c r="AC5" s="212" t="s">
        <v>55</v>
      </c>
      <c r="AD5" s="195"/>
      <c r="AE5" s="195"/>
      <c r="AF5" s="195"/>
      <c r="AG5" s="195"/>
      <c r="AH5" s="196"/>
      <c r="AI5" s="215">
        <f ca="1">TODAY()</f>
        <v>44419</v>
      </c>
      <c r="AJ5" s="173"/>
      <c r="AK5" s="173"/>
      <c r="AL5" s="173"/>
      <c r="AM5" s="173"/>
      <c r="AN5" s="185"/>
      <c r="AO5" s="186"/>
      <c r="AP5" s="186"/>
      <c r="AQ5" s="186"/>
      <c r="AR5" s="187"/>
    </row>
    <row r="6" spans="1:48" ht="12.75" customHeight="1" x14ac:dyDescent="0.55000000000000004">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8" t="s">
        <v>81</v>
      </c>
      <c r="AC6" s="195"/>
      <c r="AD6" s="195"/>
      <c r="AE6" s="196"/>
      <c r="AF6" s="80"/>
      <c r="AG6" s="81"/>
      <c r="AH6" s="81"/>
      <c r="AI6" s="82"/>
      <c r="AJ6" s="83"/>
      <c r="AK6" s="83"/>
      <c r="AL6" s="83"/>
      <c r="AM6" s="83"/>
      <c r="AN6" s="84"/>
      <c r="AO6" s="84"/>
      <c r="AP6" s="84"/>
      <c r="AQ6" s="84"/>
      <c r="AR6" s="84"/>
    </row>
    <row r="7" spans="1:48" ht="12" customHeight="1" x14ac:dyDescent="0.55000000000000004">
      <c r="A7" s="71"/>
      <c r="B7" s="85"/>
      <c r="C7" s="209" t="s">
        <v>82</v>
      </c>
      <c r="D7" s="210" t="s">
        <v>83</v>
      </c>
      <c r="E7" s="195"/>
      <c r="F7" s="195"/>
      <c r="G7" s="195"/>
      <c r="H7" s="195"/>
      <c r="I7" s="195"/>
      <c r="J7" s="195"/>
      <c r="K7" s="195"/>
      <c r="L7" s="195"/>
      <c r="M7" s="195"/>
      <c r="N7" s="195"/>
      <c r="O7" s="206" t="s">
        <v>84</v>
      </c>
      <c r="P7" s="210" t="s">
        <v>85</v>
      </c>
      <c r="Q7" s="195"/>
      <c r="R7" s="195"/>
      <c r="S7" s="195"/>
      <c r="T7" s="195"/>
      <c r="U7" s="195"/>
      <c r="V7" s="195"/>
      <c r="W7" s="195"/>
      <c r="X7" s="195"/>
      <c r="Y7" s="195"/>
      <c r="Z7" s="195"/>
      <c r="AA7" s="205" t="s">
        <v>86</v>
      </c>
      <c r="AB7" s="206" t="s">
        <v>84</v>
      </c>
      <c r="AC7" s="205" t="s">
        <v>87</v>
      </c>
      <c r="AD7" s="205" t="s">
        <v>88</v>
      </c>
      <c r="AE7" s="206" t="s">
        <v>84</v>
      </c>
      <c r="AF7" s="198" t="s">
        <v>89</v>
      </c>
      <c r="AG7" s="200" t="s">
        <v>90</v>
      </c>
      <c r="AH7" s="201" t="s">
        <v>91</v>
      </c>
      <c r="AI7" s="180"/>
      <c r="AJ7" s="180"/>
      <c r="AK7" s="180"/>
      <c r="AL7" s="180"/>
      <c r="AM7" s="181"/>
      <c r="AN7" s="86"/>
      <c r="AO7" s="76"/>
      <c r="AP7" s="76"/>
      <c r="AQ7" s="76"/>
      <c r="AR7" s="71"/>
    </row>
    <row r="8" spans="1:48" ht="67.5" customHeight="1" x14ac:dyDescent="0.45">
      <c r="A8" s="48" t="s">
        <v>56</v>
      </c>
      <c r="B8" s="49" t="s">
        <v>57</v>
      </c>
      <c r="C8" s="199"/>
      <c r="D8" s="54" t="s">
        <v>176</v>
      </c>
      <c r="E8" s="54" t="s">
        <v>177</v>
      </c>
      <c r="F8" s="54"/>
      <c r="G8" s="54" t="s">
        <v>182</v>
      </c>
      <c r="H8" s="54"/>
      <c r="I8" s="54"/>
      <c r="J8" s="54"/>
      <c r="K8" s="54"/>
      <c r="L8" s="54"/>
      <c r="M8" s="54"/>
      <c r="N8" s="55"/>
      <c r="O8" s="199"/>
      <c r="P8" s="96"/>
      <c r="Q8" s="54"/>
      <c r="R8" s="54"/>
      <c r="S8" s="54"/>
      <c r="T8" s="54"/>
      <c r="U8" s="54"/>
      <c r="V8" s="54"/>
      <c r="W8" s="54"/>
      <c r="X8" s="54"/>
      <c r="Y8" s="54"/>
      <c r="Z8" s="54"/>
      <c r="AA8" s="199"/>
      <c r="AB8" s="199"/>
      <c r="AC8" s="199"/>
      <c r="AD8" s="199"/>
      <c r="AE8" s="199"/>
      <c r="AF8" s="199"/>
      <c r="AG8" s="199"/>
      <c r="AH8" s="202"/>
      <c r="AI8" s="203"/>
      <c r="AJ8" s="203"/>
      <c r="AK8" s="203"/>
      <c r="AL8" s="203"/>
      <c r="AM8" s="204"/>
      <c r="AN8" s="88"/>
      <c r="AO8" s="88"/>
      <c r="AP8" s="88"/>
      <c r="AQ8" s="88"/>
      <c r="AR8" s="89"/>
    </row>
    <row r="9" spans="1:48" ht="12" customHeight="1" x14ac:dyDescent="0.45">
      <c r="A9" s="59">
        <v>1</v>
      </c>
      <c r="B9" s="90" t="str">
        <f>'C. FILIACION'!B8</f>
        <v>ALTAMIRANO RAMOS ESTEFANI MILENKA</v>
      </c>
      <c r="C9" s="31">
        <v>10</v>
      </c>
      <c r="D9" s="31">
        <v>30</v>
      </c>
      <c r="E9" s="31">
        <v>35</v>
      </c>
      <c r="F9" s="31"/>
      <c r="G9" s="31">
        <v>30</v>
      </c>
      <c r="H9" s="31"/>
      <c r="I9" s="31"/>
      <c r="J9" s="31"/>
      <c r="K9" s="31"/>
      <c r="L9" s="31"/>
      <c r="M9" s="31"/>
      <c r="N9" s="31"/>
      <c r="O9" s="92">
        <f t="shared" ref="O9:O44" si="0">IFERROR(ROUND(AVERAGE(D9:N9),0),"")</f>
        <v>32</v>
      </c>
      <c r="P9" s="31"/>
      <c r="Q9" s="31"/>
      <c r="R9" s="31"/>
      <c r="S9" s="31"/>
      <c r="T9" s="31"/>
      <c r="U9" s="31"/>
      <c r="V9" s="31"/>
      <c r="W9" s="31"/>
      <c r="X9" s="31"/>
      <c r="Y9" s="31"/>
      <c r="Z9" s="31"/>
      <c r="AA9" s="31">
        <v>10</v>
      </c>
      <c r="AB9" s="92" t="str">
        <f t="shared" ref="AB9:AB44" si="1">IFERROR(ROUND(AVERAGE(P9:Z9),0),"")</f>
        <v/>
      </c>
      <c r="AC9" s="31">
        <v>5</v>
      </c>
      <c r="AD9" s="31">
        <v>5</v>
      </c>
      <c r="AE9" s="92">
        <f t="shared" ref="AE9:AE44" si="2">IFERROR((SUM(AC9,AD9)),"")</f>
        <v>10</v>
      </c>
      <c r="AF9" s="93" t="str">
        <f t="shared" ref="AF9:AF44" si="3">IF(AG9&lt;51,"ED",IF(AG9&lt;67,"DA",IF(AG9&lt;85,"DO","DP")))</f>
        <v>DA</v>
      </c>
      <c r="AG9" s="92">
        <f t="shared" ref="AG9:AG44" si="4">IFERROR((SUM(C9,O9,AA9,AB9,AE9)),"")</f>
        <v>62</v>
      </c>
      <c r="AH9" s="194" t="str">
        <f t="shared" ref="AH9:AH44" si="5">IF(AG9="","",(IF(AND(AG9&gt;=1,AG9&lt;=50.499),"REPROBADO",IF(AND(AG9&gt;=50.5,AG9&lt;=100),"APROBADO"))))</f>
        <v>APROBADO</v>
      </c>
      <c r="AI9" s="195"/>
      <c r="AJ9" s="195"/>
      <c r="AK9" s="195"/>
      <c r="AL9" s="195"/>
      <c r="AM9" s="196"/>
      <c r="AN9" s="94" t="s">
        <v>102</v>
      </c>
      <c r="AO9" s="197">
        <f>COUNTIF(AF9:AF44,"ED")</f>
        <v>6</v>
      </c>
      <c r="AP9" s="196"/>
      <c r="AQ9" s="95"/>
      <c r="AR9" s="95"/>
    </row>
    <row r="10" spans="1:48" ht="12" customHeight="1" x14ac:dyDescent="0.45">
      <c r="A10" s="59">
        <v>2</v>
      </c>
      <c r="B10" s="90" t="str">
        <f>'C. FILIACION'!B9</f>
        <v>APAZA LINO TATIANA JAZMIN</v>
      </c>
      <c r="C10" s="31">
        <v>10</v>
      </c>
      <c r="D10" s="31">
        <v>30</v>
      </c>
      <c r="E10" s="31">
        <v>35</v>
      </c>
      <c r="F10" s="31"/>
      <c r="G10" s="31">
        <v>32</v>
      </c>
      <c r="H10" s="31"/>
      <c r="I10" s="31"/>
      <c r="J10" s="31"/>
      <c r="K10" s="31"/>
      <c r="L10" s="31"/>
      <c r="M10" s="31"/>
      <c r="N10" s="31"/>
      <c r="O10" s="92">
        <f t="shared" si="0"/>
        <v>32</v>
      </c>
      <c r="P10" s="31"/>
      <c r="Q10" s="31"/>
      <c r="R10" s="31"/>
      <c r="S10" s="31"/>
      <c r="T10" s="31"/>
      <c r="U10" s="31"/>
      <c r="V10" s="31"/>
      <c r="W10" s="31"/>
      <c r="X10" s="31"/>
      <c r="Y10" s="31"/>
      <c r="Z10" s="31"/>
      <c r="AA10" s="31">
        <v>10</v>
      </c>
      <c r="AB10" s="92" t="str">
        <f t="shared" si="1"/>
        <v/>
      </c>
      <c r="AC10" s="31">
        <v>5</v>
      </c>
      <c r="AD10" s="31">
        <v>5</v>
      </c>
      <c r="AE10" s="92">
        <f t="shared" si="2"/>
        <v>10</v>
      </c>
      <c r="AF10" s="93" t="str">
        <f t="shared" si="3"/>
        <v>DA</v>
      </c>
      <c r="AG10" s="92">
        <f t="shared" si="4"/>
        <v>62</v>
      </c>
      <c r="AH10" s="194" t="str">
        <f t="shared" si="5"/>
        <v>APROBADO</v>
      </c>
      <c r="AI10" s="195"/>
      <c r="AJ10" s="195"/>
      <c r="AK10" s="195"/>
      <c r="AL10" s="195"/>
      <c r="AM10" s="196"/>
      <c r="AN10" s="48" t="s">
        <v>103</v>
      </c>
      <c r="AO10" s="197">
        <f>COUNTIF(AF9:AF44,"DA")</f>
        <v>13</v>
      </c>
      <c r="AP10" s="196"/>
      <c r="AQ10" s="95"/>
      <c r="AR10" s="95"/>
    </row>
    <row r="11" spans="1:48" ht="12" customHeight="1" x14ac:dyDescent="0.45">
      <c r="A11" s="59">
        <v>3</v>
      </c>
      <c r="B11" s="90" t="str">
        <f>'C. FILIACION'!B10</f>
        <v>BOLAÑOS OVANDO MIJHAIL ALEXANDER</v>
      </c>
      <c r="C11" s="31">
        <v>10</v>
      </c>
      <c r="D11" s="31">
        <v>20</v>
      </c>
      <c r="E11" s="31"/>
      <c r="F11" s="31"/>
      <c r="G11" s="31"/>
      <c r="H11" s="31"/>
      <c r="I11" s="31"/>
      <c r="J11" s="31"/>
      <c r="K11" s="31"/>
      <c r="L11" s="31"/>
      <c r="M11" s="31"/>
      <c r="N11" s="31"/>
      <c r="O11" s="92">
        <f t="shared" si="0"/>
        <v>20</v>
      </c>
      <c r="P11" s="31"/>
      <c r="Q11" s="31"/>
      <c r="R11" s="31"/>
      <c r="S11" s="31"/>
      <c r="T11" s="31"/>
      <c r="U11" s="31"/>
      <c r="V11" s="31"/>
      <c r="W11" s="31"/>
      <c r="X11" s="31"/>
      <c r="Y11" s="31"/>
      <c r="Z11" s="31"/>
      <c r="AA11" s="31">
        <v>10</v>
      </c>
      <c r="AB11" s="92" t="str">
        <f t="shared" si="1"/>
        <v/>
      </c>
      <c r="AC11" s="31">
        <v>5</v>
      </c>
      <c r="AD11" s="31">
        <v>5</v>
      </c>
      <c r="AE11" s="92">
        <f t="shared" si="2"/>
        <v>10</v>
      </c>
      <c r="AF11" s="93" t="str">
        <f t="shared" si="3"/>
        <v>ED</v>
      </c>
      <c r="AG11" s="92">
        <f t="shared" si="4"/>
        <v>50</v>
      </c>
      <c r="AH11" s="194" t="str">
        <f t="shared" si="5"/>
        <v>REPROBADO</v>
      </c>
      <c r="AI11" s="195"/>
      <c r="AJ11" s="195"/>
      <c r="AK11" s="195"/>
      <c r="AL11" s="195"/>
      <c r="AM11" s="196"/>
      <c r="AN11" s="48" t="s">
        <v>104</v>
      </c>
      <c r="AO11" s="197">
        <f>COUNTIF(AF9:AF44,"DO")</f>
        <v>0</v>
      </c>
      <c r="AP11" s="196"/>
      <c r="AQ11" s="95"/>
      <c r="AR11" s="95"/>
    </row>
    <row r="12" spans="1:48" ht="12" customHeight="1" x14ac:dyDescent="0.45">
      <c r="A12" s="59">
        <v>4</v>
      </c>
      <c r="B12" s="90" t="str">
        <f>'C. FILIACION'!B11</f>
        <v>BRICHER ETHELBERT ISMAEL</v>
      </c>
      <c r="C12" s="31">
        <v>10</v>
      </c>
      <c r="D12" s="31"/>
      <c r="E12" s="31"/>
      <c r="F12" s="31"/>
      <c r="G12" s="31"/>
      <c r="H12" s="31"/>
      <c r="I12" s="31"/>
      <c r="J12" s="31"/>
      <c r="K12" s="31"/>
      <c r="L12" s="31"/>
      <c r="M12" s="31"/>
      <c r="N12" s="31"/>
      <c r="O12" s="92" t="str">
        <f t="shared" si="0"/>
        <v/>
      </c>
      <c r="P12" s="31"/>
      <c r="Q12" s="31"/>
      <c r="R12" s="31"/>
      <c r="S12" s="31"/>
      <c r="T12" s="31"/>
      <c r="U12" s="31"/>
      <c r="V12" s="31"/>
      <c r="W12" s="31"/>
      <c r="X12" s="31"/>
      <c r="Y12" s="31"/>
      <c r="Z12" s="31"/>
      <c r="AA12" s="31">
        <v>10</v>
      </c>
      <c r="AB12" s="92" t="str">
        <f t="shared" si="1"/>
        <v/>
      </c>
      <c r="AC12" s="31">
        <v>5</v>
      </c>
      <c r="AD12" s="31">
        <v>5</v>
      </c>
      <c r="AE12" s="92">
        <f t="shared" si="2"/>
        <v>10</v>
      </c>
      <c r="AF12" s="93" t="str">
        <f t="shared" si="3"/>
        <v>ED</v>
      </c>
      <c r="AG12" s="92">
        <f t="shared" si="4"/>
        <v>30</v>
      </c>
      <c r="AH12" s="194" t="str">
        <f t="shared" si="5"/>
        <v>REPROBADO</v>
      </c>
      <c r="AI12" s="195"/>
      <c r="AJ12" s="195"/>
      <c r="AK12" s="195"/>
      <c r="AL12" s="195"/>
      <c r="AM12" s="196"/>
      <c r="AN12" s="48" t="s">
        <v>105</v>
      </c>
      <c r="AO12" s="197">
        <f>COUNTIF(AF9:AF44,"DP")</f>
        <v>17</v>
      </c>
      <c r="AP12" s="196"/>
      <c r="AQ12" s="95"/>
      <c r="AR12" s="95"/>
    </row>
    <row r="13" spans="1:48" ht="12" customHeight="1" x14ac:dyDescent="0.45">
      <c r="A13" s="59">
        <v>5</v>
      </c>
      <c r="B13" s="90" t="str">
        <f>'C. FILIACION'!B12</f>
        <v>CANAVIRI QUISBERT ALEJANDRA ELENA</v>
      </c>
      <c r="C13" s="31">
        <v>10</v>
      </c>
      <c r="D13" s="31">
        <v>20</v>
      </c>
      <c r="E13" s="31">
        <v>35</v>
      </c>
      <c r="F13" s="31"/>
      <c r="G13" s="31"/>
      <c r="H13" s="31"/>
      <c r="I13" s="31"/>
      <c r="J13" s="31"/>
      <c r="K13" s="31"/>
      <c r="L13" s="31"/>
      <c r="M13" s="31"/>
      <c r="N13" s="31"/>
      <c r="O13" s="92">
        <f t="shared" si="0"/>
        <v>28</v>
      </c>
      <c r="P13" s="31"/>
      <c r="Q13" s="31"/>
      <c r="R13" s="31"/>
      <c r="S13" s="31"/>
      <c r="T13" s="31"/>
      <c r="U13" s="31"/>
      <c r="V13" s="31"/>
      <c r="W13" s="31"/>
      <c r="X13" s="31"/>
      <c r="Y13" s="31"/>
      <c r="Z13" s="31"/>
      <c r="AA13" s="31">
        <v>10</v>
      </c>
      <c r="AB13" s="92" t="str">
        <f t="shared" si="1"/>
        <v/>
      </c>
      <c r="AC13" s="31">
        <v>5</v>
      </c>
      <c r="AD13" s="31">
        <v>5</v>
      </c>
      <c r="AE13" s="92">
        <f t="shared" si="2"/>
        <v>10</v>
      </c>
      <c r="AF13" s="93" t="str">
        <f t="shared" si="3"/>
        <v>DA</v>
      </c>
      <c r="AG13" s="92">
        <f t="shared" si="4"/>
        <v>58</v>
      </c>
      <c r="AH13" s="194" t="str">
        <f t="shared" si="5"/>
        <v>APROBADO</v>
      </c>
      <c r="AI13" s="195"/>
      <c r="AJ13" s="195"/>
      <c r="AK13" s="195"/>
      <c r="AL13" s="195"/>
      <c r="AM13" s="196"/>
      <c r="AN13" s="95"/>
      <c r="AO13" s="95"/>
      <c r="AP13" s="95"/>
      <c r="AQ13" s="95"/>
      <c r="AR13" s="95"/>
    </row>
    <row r="14" spans="1:48" ht="12" customHeight="1" x14ac:dyDescent="0.45">
      <c r="A14" s="59">
        <v>6</v>
      </c>
      <c r="B14" s="90" t="str">
        <f>'C. FILIACION'!B13</f>
        <v>GOMEZ BELTRAN ALBERT NORMAN</v>
      </c>
      <c r="C14" s="31">
        <v>10</v>
      </c>
      <c r="D14" s="31">
        <v>18</v>
      </c>
      <c r="E14" s="31">
        <v>35</v>
      </c>
      <c r="F14" s="31"/>
      <c r="G14" s="31"/>
      <c r="H14" s="31"/>
      <c r="I14" s="31"/>
      <c r="J14" s="31"/>
      <c r="K14" s="31"/>
      <c r="L14" s="31"/>
      <c r="M14" s="31"/>
      <c r="N14" s="31"/>
      <c r="O14" s="92">
        <f t="shared" si="0"/>
        <v>27</v>
      </c>
      <c r="P14" s="31"/>
      <c r="Q14" s="31"/>
      <c r="R14" s="31"/>
      <c r="S14" s="31"/>
      <c r="T14" s="31"/>
      <c r="U14" s="31"/>
      <c r="V14" s="31"/>
      <c r="W14" s="31"/>
      <c r="X14" s="31"/>
      <c r="Y14" s="31"/>
      <c r="Z14" s="31"/>
      <c r="AA14" s="31">
        <v>10</v>
      </c>
      <c r="AB14" s="92" t="str">
        <f t="shared" si="1"/>
        <v/>
      </c>
      <c r="AC14" s="31">
        <v>5</v>
      </c>
      <c r="AD14" s="31">
        <v>5</v>
      </c>
      <c r="AE14" s="92">
        <f t="shared" si="2"/>
        <v>10</v>
      </c>
      <c r="AF14" s="93" t="str">
        <f t="shared" si="3"/>
        <v>DA</v>
      </c>
      <c r="AG14" s="92">
        <f t="shared" si="4"/>
        <v>57</v>
      </c>
      <c r="AH14" s="194" t="str">
        <f t="shared" si="5"/>
        <v>APROBADO</v>
      </c>
      <c r="AI14" s="195"/>
      <c r="AJ14" s="195"/>
      <c r="AK14" s="195"/>
      <c r="AL14" s="195"/>
      <c r="AM14" s="196"/>
      <c r="AN14" s="95"/>
      <c r="AO14" s="95"/>
      <c r="AP14" s="95"/>
      <c r="AQ14" s="95"/>
      <c r="AR14" s="95"/>
    </row>
    <row r="15" spans="1:48" ht="12" customHeight="1" x14ac:dyDescent="0.45">
      <c r="A15" s="59">
        <v>7</v>
      </c>
      <c r="B15" s="90" t="str">
        <f>'C. FILIACION'!B14</f>
        <v>GOMEZ COSME MELANY KARINA</v>
      </c>
      <c r="C15" s="31">
        <v>10</v>
      </c>
      <c r="D15" s="31"/>
      <c r="E15" s="31"/>
      <c r="F15" s="31"/>
      <c r="G15" s="31"/>
      <c r="H15" s="31"/>
      <c r="I15" s="31"/>
      <c r="J15" s="31"/>
      <c r="K15" s="31"/>
      <c r="L15" s="31"/>
      <c r="M15" s="31"/>
      <c r="N15" s="31"/>
      <c r="O15" s="92" t="str">
        <f t="shared" si="0"/>
        <v/>
      </c>
      <c r="P15" s="31"/>
      <c r="Q15" s="31"/>
      <c r="R15" s="31"/>
      <c r="S15" s="31"/>
      <c r="T15" s="31"/>
      <c r="U15" s="31"/>
      <c r="V15" s="31"/>
      <c r="W15" s="31"/>
      <c r="X15" s="31"/>
      <c r="Y15" s="31"/>
      <c r="Z15" s="31"/>
      <c r="AA15" s="31">
        <v>10</v>
      </c>
      <c r="AB15" s="92" t="str">
        <f t="shared" si="1"/>
        <v/>
      </c>
      <c r="AC15" s="31">
        <v>5</v>
      </c>
      <c r="AD15" s="31">
        <v>5</v>
      </c>
      <c r="AE15" s="92">
        <f t="shared" si="2"/>
        <v>10</v>
      </c>
      <c r="AF15" s="93" t="str">
        <f t="shared" si="3"/>
        <v>ED</v>
      </c>
      <c r="AG15" s="92">
        <f t="shared" si="4"/>
        <v>30</v>
      </c>
      <c r="AH15" s="194" t="str">
        <f t="shared" si="5"/>
        <v>REPROBADO</v>
      </c>
      <c r="AI15" s="195"/>
      <c r="AJ15" s="195"/>
      <c r="AK15" s="195"/>
      <c r="AL15" s="195"/>
      <c r="AM15" s="196"/>
      <c r="AN15" s="95"/>
      <c r="AO15" s="95"/>
      <c r="AP15" s="95"/>
      <c r="AQ15" s="95"/>
      <c r="AR15" s="95"/>
    </row>
    <row r="16" spans="1:48" ht="12" customHeight="1" x14ac:dyDescent="0.45">
      <c r="A16" s="59">
        <v>8</v>
      </c>
      <c r="B16" s="90" t="str">
        <f>'C. FILIACION'!B15</f>
        <v>GONZALES ZUAZO KALEB RAMSES</v>
      </c>
      <c r="C16" s="31">
        <v>10</v>
      </c>
      <c r="D16" s="31">
        <v>18</v>
      </c>
      <c r="E16" s="31"/>
      <c r="F16" s="31"/>
      <c r="G16" s="31">
        <v>30</v>
      </c>
      <c r="H16" s="31"/>
      <c r="I16" s="31"/>
      <c r="J16" s="31"/>
      <c r="K16" s="31"/>
      <c r="L16" s="31"/>
      <c r="M16" s="31"/>
      <c r="N16" s="31"/>
      <c r="O16" s="92">
        <f t="shared" si="0"/>
        <v>24</v>
      </c>
      <c r="P16" s="31"/>
      <c r="Q16" s="31"/>
      <c r="R16" s="31"/>
      <c r="S16" s="31"/>
      <c r="T16" s="31"/>
      <c r="U16" s="31"/>
      <c r="V16" s="31"/>
      <c r="W16" s="31"/>
      <c r="X16" s="31"/>
      <c r="Y16" s="31"/>
      <c r="Z16" s="31"/>
      <c r="AA16" s="31">
        <v>10</v>
      </c>
      <c r="AB16" s="92" t="str">
        <f t="shared" si="1"/>
        <v/>
      </c>
      <c r="AC16" s="31">
        <v>5</v>
      </c>
      <c r="AD16" s="31">
        <v>5</v>
      </c>
      <c r="AE16" s="92">
        <f t="shared" si="2"/>
        <v>10</v>
      </c>
      <c r="AF16" s="93" t="str">
        <f t="shared" si="3"/>
        <v>DA</v>
      </c>
      <c r="AG16" s="92">
        <f t="shared" si="4"/>
        <v>54</v>
      </c>
      <c r="AH16" s="194" t="str">
        <f t="shared" si="5"/>
        <v>APROBADO</v>
      </c>
      <c r="AI16" s="195"/>
      <c r="AJ16" s="195"/>
      <c r="AK16" s="195"/>
      <c r="AL16" s="195"/>
      <c r="AM16" s="196"/>
      <c r="AN16" s="95"/>
      <c r="AO16" s="95"/>
      <c r="AP16" s="95"/>
      <c r="AQ16" s="95"/>
      <c r="AR16" s="95"/>
    </row>
    <row r="17" spans="1:44" ht="12" customHeight="1" x14ac:dyDescent="0.45">
      <c r="A17" s="59">
        <v>9</v>
      </c>
      <c r="B17" s="90" t="str">
        <f>'C. FILIACION'!B16</f>
        <v>LEDEZMA AGUILAR ELVIS JHEFERSON</v>
      </c>
      <c r="C17" s="31">
        <v>10</v>
      </c>
      <c r="D17" s="31">
        <v>20</v>
      </c>
      <c r="E17" s="31">
        <v>35</v>
      </c>
      <c r="F17" s="31"/>
      <c r="G17" s="31"/>
      <c r="H17" s="31"/>
      <c r="I17" s="31"/>
      <c r="J17" s="31"/>
      <c r="K17" s="31"/>
      <c r="L17" s="31"/>
      <c r="M17" s="31"/>
      <c r="N17" s="31"/>
      <c r="O17" s="92">
        <f t="shared" si="0"/>
        <v>28</v>
      </c>
      <c r="P17" s="31"/>
      <c r="Q17" s="31"/>
      <c r="R17" s="31"/>
      <c r="S17" s="31"/>
      <c r="T17" s="31"/>
      <c r="U17" s="31"/>
      <c r="V17" s="31"/>
      <c r="W17" s="31"/>
      <c r="X17" s="31"/>
      <c r="Y17" s="31"/>
      <c r="Z17" s="31"/>
      <c r="AA17" s="31">
        <v>10</v>
      </c>
      <c r="AB17" s="92" t="str">
        <f t="shared" si="1"/>
        <v/>
      </c>
      <c r="AC17" s="31">
        <v>5</v>
      </c>
      <c r="AD17" s="31">
        <v>5</v>
      </c>
      <c r="AE17" s="92">
        <f t="shared" si="2"/>
        <v>10</v>
      </c>
      <c r="AF17" s="93" t="str">
        <f t="shared" si="3"/>
        <v>DA</v>
      </c>
      <c r="AG17" s="92">
        <f t="shared" si="4"/>
        <v>58</v>
      </c>
      <c r="AH17" s="194" t="str">
        <f t="shared" si="5"/>
        <v>APROBADO</v>
      </c>
      <c r="AI17" s="195"/>
      <c r="AJ17" s="195"/>
      <c r="AK17" s="195"/>
      <c r="AL17" s="195"/>
      <c r="AM17" s="196"/>
      <c r="AN17" s="95"/>
      <c r="AO17" s="95"/>
      <c r="AP17" s="95"/>
      <c r="AQ17" s="95"/>
      <c r="AR17" s="95"/>
    </row>
    <row r="18" spans="1:44" ht="12" customHeight="1" x14ac:dyDescent="0.45">
      <c r="A18" s="59">
        <v>10</v>
      </c>
      <c r="B18" s="90" t="str">
        <f>'C. FILIACION'!B17</f>
        <v>LOBATON RODRIGUEZ JHONATAN A.</v>
      </c>
      <c r="C18" s="31">
        <v>10</v>
      </c>
      <c r="D18" s="31">
        <v>10</v>
      </c>
      <c r="E18" s="31">
        <v>35</v>
      </c>
      <c r="F18" s="31"/>
      <c r="G18" s="31">
        <v>30</v>
      </c>
      <c r="H18" s="31"/>
      <c r="I18" s="31"/>
      <c r="J18" s="31"/>
      <c r="K18" s="31"/>
      <c r="L18" s="31"/>
      <c r="M18" s="31"/>
      <c r="N18" s="31"/>
      <c r="O18" s="92">
        <f t="shared" si="0"/>
        <v>25</v>
      </c>
      <c r="P18" s="31"/>
      <c r="Q18" s="31"/>
      <c r="R18" s="31"/>
      <c r="S18" s="31"/>
      <c r="T18" s="31"/>
      <c r="U18" s="31"/>
      <c r="V18" s="31"/>
      <c r="W18" s="31"/>
      <c r="X18" s="31"/>
      <c r="Y18" s="31"/>
      <c r="Z18" s="31"/>
      <c r="AA18" s="31">
        <v>10</v>
      </c>
      <c r="AB18" s="92" t="str">
        <f t="shared" si="1"/>
        <v/>
      </c>
      <c r="AC18" s="31">
        <v>5</v>
      </c>
      <c r="AD18" s="31">
        <v>5</v>
      </c>
      <c r="AE18" s="92">
        <f t="shared" si="2"/>
        <v>10</v>
      </c>
      <c r="AF18" s="93" t="str">
        <f t="shared" si="3"/>
        <v>DA</v>
      </c>
      <c r="AG18" s="92">
        <f t="shared" si="4"/>
        <v>55</v>
      </c>
      <c r="AH18" s="194" t="str">
        <f t="shared" si="5"/>
        <v>APROBADO</v>
      </c>
      <c r="AI18" s="195"/>
      <c r="AJ18" s="195"/>
      <c r="AK18" s="195"/>
      <c r="AL18" s="195"/>
      <c r="AM18" s="196"/>
      <c r="AN18" s="95"/>
      <c r="AO18" s="95"/>
      <c r="AP18" s="95"/>
      <c r="AQ18" s="95"/>
      <c r="AR18" s="95"/>
    </row>
    <row r="19" spans="1:44" ht="12" customHeight="1" x14ac:dyDescent="0.45">
      <c r="A19" s="59">
        <v>11</v>
      </c>
      <c r="B19" s="90" t="str">
        <f>'C. FILIACION'!B18</f>
        <v>MAMANI LOPEZ DAFNE MILDRED</v>
      </c>
      <c r="C19" s="31">
        <v>10</v>
      </c>
      <c r="D19" s="31">
        <v>25</v>
      </c>
      <c r="E19" s="31"/>
      <c r="F19" s="31"/>
      <c r="G19" s="31"/>
      <c r="H19" s="31"/>
      <c r="I19" s="31"/>
      <c r="J19" s="31"/>
      <c r="K19" s="31"/>
      <c r="L19" s="31"/>
      <c r="M19" s="31"/>
      <c r="N19" s="31"/>
      <c r="O19" s="92">
        <f t="shared" si="0"/>
        <v>25</v>
      </c>
      <c r="P19" s="31"/>
      <c r="Q19" s="31"/>
      <c r="R19" s="31"/>
      <c r="S19" s="31"/>
      <c r="T19" s="31"/>
      <c r="U19" s="31"/>
      <c r="V19" s="31"/>
      <c r="W19" s="31"/>
      <c r="X19" s="31"/>
      <c r="Y19" s="31"/>
      <c r="Z19" s="31"/>
      <c r="AA19" s="31">
        <v>10</v>
      </c>
      <c r="AB19" s="92" t="str">
        <f t="shared" si="1"/>
        <v/>
      </c>
      <c r="AC19" s="31">
        <v>5</v>
      </c>
      <c r="AD19" s="31">
        <v>5</v>
      </c>
      <c r="AE19" s="92">
        <f t="shared" si="2"/>
        <v>10</v>
      </c>
      <c r="AF19" s="93" t="str">
        <f t="shared" si="3"/>
        <v>DA</v>
      </c>
      <c r="AG19" s="92">
        <f t="shared" si="4"/>
        <v>55</v>
      </c>
      <c r="AH19" s="194" t="str">
        <f t="shared" si="5"/>
        <v>APROBADO</v>
      </c>
      <c r="AI19" s="195"/>
      <c r="AJ19" s="195"/>
      <c r="AK19" s="195"/>
      <c r="AL19" s="195"/>
      <c r="AM19" s="196"/>
      <c r="AN19" s="95"/>
      <c r="AO19" s="95"/>
      <c r="AP19" s="95"/>
      <c r="AQ19" s="95"/>
      <c r="AR19" s="95"/>
    </row>
    <row r="20" spans="1:44" ht="12" customHeight="1" x14ac:dyDescent="0.45">
      <c r="A20" s="59">
        <v>12</v>
      </c>
      <c r="B20" s="90" t="str">
        <f>'C. FILIACION'!B19</f>
        <v>MARCONI PEREZ SINDEL LUANA</v>
      </c>
      <c r="C20" s="31">
        <v>10</v>
      </c>
      <c r="D20" s="31">
        <v>18</v>
      </c>
      <c r="E20" s="31"/>
      <c r="F20" s="31"/>
      <c r="G20" s="31"/>
      <c r="H20" s="31"/>
      <c r="I20" s="31"/>
      <c r="J20" s="31"/>
      <c r="K20" s="31"/>
      <c r="L20" s="31"/>
      <c r="M20" s="31"/>
      <c r="N20" s="31"/>
      <c r="O20" s="92">
        <f t="shared" si="0"/>
        <v>18</v>
      </c>
      <c r="P20" s="31"/>
      <c r="Q20" s="31"/>
      <c r="R20" s="31"/>
      <c r="S20" s="31"/>
      <c r="T20" s="31"/>
      <c r="U20" s="31"/>
      <c r="V20" s="31"/>
      <c r="W20" s="31"/>
      <c r="X20" s="31"/>
      <c r="Y20" s="31"/>
      <c r="Z20" s="31"/>
      <c r="AA20" s="31">
        <v>10</v>
      </c>
      <c r="AB20" s="92" t="str">
        <f t="shared" si="1"/>
        <v/>
      </c>
      <c r="AC20" s="31">
        <v>5</v>
      </c>
      <c r="AD20" s="31">
        <v>5</v>
      </c>
      <c r="AE20" s="92">
        <f t="shared" si="2"/>
        <v>10</v>
      </c>
      <c r="AF20" s="93" t="str">
        <f t="shared" si="3"/>
        <v>ED</v>
      </c>
      <c r="AG20" s="92">
        <f t="shared" si="4"/>
        <v>48</v>
      </c>
      <c r="AH20" s="194" t="str">
        <f t="shared" si="5"/>
        <v>REPROBADO</v>
      </c>
      <c r="AI20" s="195"/>
      <c r="AJ20" s="195"/>
      <c r="AK20" s="195"/>
      <c r="AL20" s="195"/>
      <c r="AM20" s="196"/>
      <c r="AN20" s="95"/>
      <c r="AO20" s="95"/>
      <c r="AP20" s="95"/>
      <c r="AQ20" s="95"/>
      <c r="AR20" s="95"/>
    </row>
    <row r="21" spans="1:44" ht="12" customHeight="1" x14ac:dyDescent="0.45">
      <c r="A21" s="59">
        <v>13</v>
      </c>
      <c r="B21" s="90" t="str">
        <f>'C. FILIACION'!B20</f>
        <v>MENACHO LINEO ANDREA KIMBERLY</v>
      </c>
      <c r="C21" s="31">
        <v>10</v>
      </c>
      <c r="D21" s="31">
        <v>20</v>
      </c>
      <c r="E21" s="31">
        <v>35</v>
      </c>
      <c r="F21" s="31"/>
      <c r="G21" s="31"/>
      <c r="H21" s="31"/>
      <c r="I21" s="31"/>
      <c r="J21" s="31"/>
      <c r="K21" s="31"/>
      <c r="L21" s="31"/>
      <c r="M21" s="31"/>
      <c r="N21" s="31"/>
      <c r="O21" s="92">
        <f t="shared" si="0"/>
        <v>28</v>
      </c>
      <c r="P21" s="31"/>
      <c r="Q21" s="31"/>
      <c r="R21" s="31"/>
      <c r="S21" s="31"/>
      <c r="T21" s="31"/>
      <c r="U21" s="31"/>
      <c r="V21" s="31"/>
      <c r="W21" s="31"/>
      <c r="X21" s="31"/>
      <c r="Y21" s="31"/>
      <c r="Z21" s="31"/>
      <c r="AA21" s="31">
        <v>10</v>
      </c>
      <c r="AB21" s="92" t="str">
        <f t="shared" si="1"/>
        <v/>
      </c>
      <c r="AC21" s="31">
        <v>5</v>
      </c>
      <c r="AD21" s="31">
        <v>5</v>
      </c>
      <c r="AE21" s="92">
        <f t="shared" si="2"/>
        <v>10</v>
      </c>
      <c r="AF21" s="93" t="str">
        <f t="shared" si="3"/>
        <v>DA</v>
      </c>
      <c r="AG21" s="92">
        <f t="shared" si="4"/>
        <v>58</v>
      </c>
      <c r="AH21" s="194" t="str">
        <f t="shared" si="5"/>
        <v>APROBADO</v>
      </c>
      <c r="AI21" s="195"/>
      <c r="AJ21" s="195"/>
      <c r="AK21" s="195"/>
      <c r="AL21" s="195"/>
      <c r="AM21" s="196"/>
      <c r="AN21" s="95"/>
      <c r="AO21" s="95"/>
      <c r="AP21" s="95"/>
      <c r="AQ21" s="95"/>
      <c r="AR21" s="95"/>
    </row>
    <row r="22" spans="1:44" ht="12" customHeight="1" x14ac:dyDescent="0.45">
      <c r="A22" s="59">
        <v>14</v>
      </c>
      <c r="B22" s="90" t="str">
        <f>'C. FILIACION'!B21</f>
        <v>PILLCO APAZA MARIAN ALEXANDRA</v>
      </c>
      <c r="C22" s="31">
        <v>10</v>
      </c>
      <c r="D22" s="31">
        <v>30</v>
      </c>
      <c r="E22" s="31">
        <v>25</v>
      </c>
      <c r="F22" s="31"/>
      <c r="G22" s="31"/>
      <c r="H22" s="31"/>
      <c r="I22" s="31"/>
      <c r="J22" s="31"/>
      <c r="K22" s="31"/>
      <c r="L22" s="31"/>
      <c r="M22" s="31"/>
      <c r="N22" s="31"/>
      <c r="O22" s="92">
        <f t="shared" si="0"/>
        <v>28</v>
      </c>
      <c r="P22" s="31"/>
      <c r="Q22" s="31"/>
      <c r="R22" s="31"/>
      <c r="S22" s="31"/>
      <c r="T22" s="31"/>
      <c r="U22" s="31"/>
      <c r="V22" s="31"/>
      <c r="W22" s="31"/>
      <c r="X22" s="31"/>
      <c r="Y22" s="31"/>
      <c r="Z22" s="31"/>
      <c r="AA22" s="31">
        <v>10</v>
      </c>
      <c r="AB22" s="92" t="str">
        <f t="shared" si="1"/>
        <v/>
      </c>
      <c r="AC22" s="31">
        <v>5</v>
      </c>
      <c r="AD22" s="31">
        <v>5</v>
      </c>
      <c r="AE22" s="92">
        <f t="shared" si="2"/>
        <v>10</v>
      </c>
      <c r="AF22" s="93" t="str">
        <f t="shared" si="3"/>
        <v>DA</v>
      </c>
      <c r="AG22" s="92">
        <f t="shared" si="4"/>
        <v>58</v>
      </c>
      <c r="AH22" s="194" t="str">
        <f t="shared" si="5"/>
        <v>APROBADO</v>
      </c>
      <c r="AI22" s="195"/>
      <c r="AJ22" s="195"/>
      <c r="AK22" s="195"/>
      <c r="AL22" s="195"/>
      <c r="AM22" s="196"/>
      <c r="AN22" s="95"/>
      <c r="AO22" s="95"/>
      <c r="AP22" s="95"/>
      <c r="AQ22" s="95"/>
      <c r="AR22" s="95"/>
    </row>
    <row r="23" spans="1:44" ht="12" customHeight="1" x14ac:dyDescent="0.45">
      <c r="A23" s="59">
        <v>15</v>
      </c>
      <c r="B23" s="90" t="str">
        <f>'C. FILIACION'!B22</f>
        <v>RUEDA ALVAREZ GREGORY STEVEN</v>
      </c>
      <c r="C23" s="31">
        <v>10</v>
      </c>
      <c r="D23" s="31">
        <v>15</v>
      </c>
      <c r="E23" s="31">
        <v>35</v>
      </c>
      <c r="F23" s="31"/>
      <c r="G23" s="31">
        <v>28</v>
      </c>
      <c r="H23" s="31"/>
      <c r="I23" s="31"/>
      <c r="J23" s="31"/>
      <c r="K23" s="31"/>
      <c r="L23" s="31"/>
      <c r="M23" s="31"/>
      <c r="N23" s="31"/>
      <c r="O23" s="92">
        <f t="shared" si="0"/>
        <v>26</v>
      </c>
      <c r="P23" s="31"/>
      <c r="Q23" s="31"/>
      <c r="R23" s="31"/>
      <c r="S23" s="31"/>
      <c r="T23" s="31"/>
      <c r="U23" s="31"/>
      <c r="V23" s="31"/>
      <c r="W23" s="31"/>
      <c r="X23" s="31"/>
      <c r="Y23" s="31"/>
      <c r="Z23" s="31"/>
      <c r="AA23" s="31">
        <v>10</v>
      </c>
      <c r="AB23" s="92" t="str">
        <f t="shared" si="1"/>
        <v/>
      </c>
      <c r="AC23" s="31">
        <v>5</v>
      </c>
      <c r="AD23" s="31">
        <v>5</v>
      </c>
      <c r="AE23" s="92">
        <f t="shared" si="2"/>
        <v>10</v>
      </c>
      <c r="AF23" s="93" t="str">
        <f t="shared" si="3"/>
        <v>DA</v>
      </c>
      <c r="AG23" s="92">
        <f t="shared" si="4"/>
        <v>56</v>
      </c>
      <c r="AH23" s="194" t="str">
        <f t="shared" si="5"/>
        <v>APROBADO</v>
      </c>
      <c r="AI23" s="195"/>
      <c r="AJ23" s="195"/>
      <c r="AK23" s="195"/>
      <c r="AL23" s="195"/>
      <c r="AM23" s="196"/>
      <c r="AN23" s="95"/>
      <c r="AO23" s="95"/>
      <c r="AP23" s="95"/>
      <c r="AQ23" s="95"/>
      <c r="AR23" s="95"/>
    </row>
    <row r="24" spans="1:44" ht="12" customHeight="1" x14ac:dyDescent="0.45">
      <c r="A24" s="59">
        <v>16</v>
      </c>
      <c r="B24" s="90" t="str">
        <f>'C. FILIACION'!B23</f>
        <v>VARGAS JOYCE BELEN</v>
      </c>
      <c r="C24" s="31">
        <v>10</v>
      </c>
      <c r="D24" s="31">
        <v>15</v>
      </c>
      <c r="E24" s="31"/>
      <c r="F24" s="31"/>
      <c r="G24" s="31"/>
      <c r="H24" s="31"/>
      <c r="I24" s="31"/>
      <c r="J24" s="31"/>
      <c r="K24" s="31"/>
      <c r="L24" s="31"/>
      <c r="M24" s="31"/>
      <c r="N24" s="31"/>
      <c r="O24" s="92">
        <f t="shared" si="0"/>
        <v>15</v>
      </c>
      <c r="P24" s="31"/>
      <c r="Q24" s="31"/>
      <c r="R24" s="31"/>
      <c r="S24" s="31"/>
      <c r="T24" s="31"/>
      <c r="U24" s="31"/>
      <c r="V24" s="31"/>
      <c r="W24" s="31"/>
      <c r="X24" s="31"/>
      <c r="Y24" s="31"/>
      <c r="Z24" s="31"/>
      <c r="AA24" s="31">
        <v>10</v>
      </c>
      <c r="AB24" s="92" t="str">
        <f t="shared" si="1"/>
        <v/>
      </c>
      <c r="AC24" s="31">
        <v>5</v>
      </c>
      <c r="AD24" s="31">
        <v>5</v>
      </c>
      <c r="AE24" s="92">
        <f t="shared" si="2"/>
        <v>10</v>
      </c>
      <c r="AF24" s="93" t="str">
        <f t="shared" si="3"/>
        <v>ED</v>
      </c>
      <c r="AG24" s="92">
        <f t="shared" si="4"/>
        <v>45</v>
      </c>
      <c r="AH24" s="194" t="str">
        <f t="shared" si="5"/>
        <v>REPROBADO</v>
      </c>
      <c r="AI24" s="195"/>
      <c r="AJ24" s="195"/>
      <c r="AK24" s="195"/>
      <c r="AL24" s="195"/>
      <c r="AM24" s="196"/>
      <c r="AN24" s="95"/>
      <c r="AO24" s="95"/>
      <c r="AP24" s="95"/>
      <c r="AQ24" s="95"/>
      <c r="AR24" s="95"/>
    </row>
    <row r="25" spans="1:44" ht="12" customHeight="1" x14ac:dyDescent="0.45">
      <c r="A25" s="59">
        <v>17</v>
      </c>
      <c r="B25" s="90" t="str">
        <f>'C. FILIACION'!B24</f>
        <v>ZURITA JIMENEZ ELMER ARTURO</v>
      </c>
      <c r="C25" s="31">
        <v>10</v>
      </c>
      <c r="D25" s="31">
        <v>20</v>
      </c>
      <c r="E25" s="31">
        <v>35</v>
      </c>
      <c r="F25" s="31"/>
      <c r="G25" s="31"/>
      <c r="H25" s="31"/>
      <c r="I25" s="31"/>
      <c r="J25" s="31"/>
      <c r="K25" s="31"/>
      <c r="L25" s="31"/>
      <c r="M25" s="31"/>
      <c r="N25" s="31"/>
      <c r="O25" s="92">
        <f t="shared" si="0"/>
        <v>28</v>
      </c>
      <c r="P25" s="31"/>
      <c r="Q25" s="31"/>
      <c r="R25" s="31"/>
      <c r="S25" s="31"/>
      <c r="T25" s="31"/>
      <c r="U25" s="31"/>
      <c r="V25" s="31"/>
      <c r="W25" s="31"/>
      <c r="X25" s="31"/>
      <c r="Y25" s="31"/>
      <c r="Z25" s="31"/>
      <c r="AA25" s="31">
        <v>10</v>
      </c>
      <c r="AB25" s="92" t="str">
        <f t="shared" si="1"/>
        <v/>
      </c>
      <c r="AC25" s="31">
        <v>5</v>
      </c>
      <c r="AD25" s="31">
        <v>5</v>
      </c>
      <c r="AE25" s="92">
        <f t="shared" si="2"/>
        <v>10</v>
      </c>
      <c r="AF25" s="93" t="str">
        <f t="shared" si="3"/>
        <v>DA</v>
      </c>
      <c r="AG25" s="92">
        <f t="shared" si="4"/>
        <v>58</v>
      </c>
      <c r="AH25" s="194" t="str">
        <f t="shared" si="5"/>
        <v>APROBADO</v>
      </c>
      <c r="AI25" s="195"/>
      <c r="AJ25" s="195"/>
      <c r="AK25" s="195"/>
      <c r="AL25" s="195"/>
      <c r="AM25" s="196"/>
      <c r="AN25" s="95"/>
      <c r="AO25" s="95"/>
      <c r="AP25" s="95"/>
      <c r="AQ25" s="95"/>
      <c r="AR25" s="95"/>
    </row>
    <row r="26" spans="1:44" ht="12" customHeight="1" x14ac:dyDescent="0.45">
      <c r="A26" s="59">
        <v>18</v>
      </c>
      <c r="B26" s="60" t="s">
        <v>175</v>
      </c>
      <c r="C26" s="31">
        <v>10</v>
      </c>
      <c r="D26" s="31"/>
      <c r="E26" s="31"/>
      <c r="F26" s="31"/>
      <c r="G26" s="31"/>
      <c r="H26" s="31"/>
      <c r="I26" s="31"/>
      <c r="J26" s="31"/>
      <c r="K26" s="31"/>
      <c r="L26" s="31"/>
      <c r="M26" s="31"/>
      <c r="N26" s="31"/>
      <c r="O26" s="92" t="str">
        <f t="shared" si="0"/>
        <v/>
      </c>
      <c r="P26" s="31"/>
      <c r="Q26" s="31"/>
      <c r="R26" s="31"/>
      <c r="S26" s="31"/>
      <c r="T26" s="31"/>
      <c r="U26" s="31"/>
      <c r="V26" s="31"/>
      <c r="W26" s="31"/>
      <c r="X26" s="31"/>
      <c r="Y26" s="31"/>
      <c r="Z26" s="31"/>
      <c r="AA26" s="31">
        <v>10</v>
      </c>
      <c r="AB26" s="92" t="str">
        <f t="shared" si="1"/>
        <v/>
      </c>
      <c r="AC26" s="31">
        <v>5</v>
      </c>
      <c r="AD26" s="31">
        <v>5</v>
      </c>
      <c r="AE26" s="92">
        <f t="shared" si="2"/>
        <v>10</v>
      </c>
      <c r="AF26" s="93" t="str">
        <f t="shared" si="3"/>
        <v>ED</v>
      </c>
      <c r="AG26" s="92">
        <f t="shared" si="4"/>
        <v>30</v>
      </c>
      <c r="AH26" s="194" t="str">
        <f t="shared" si="5"/>
        <v>REPROBADO</v>
      </c>
      <c r="AI26" s="195"/>
      <c r="AJ26" s="195"/>
      <c r="AK26" s="195"/>
      <c r="AL26" s="195"/>
      <c r="AM26" s="196"/>
      <c r="AN26" s="95"/>
      <c r="AO26" s="95"/>
      <c r="AP26" s="95"/>
      <c r="AQ26" s="95"/>
      <c r="AR26" s="95"/>
    </row>
    <row r="27" spans="1:44" ht="12" customHeight="1" x14ac:dyDescent="0.45">
      <c r="A27" s="59">
        <v>19</v>
      </c>
      <c r="B27" s="90" t="str">
        <f>'C. FILIACION'!B26</f>
        <v>Ventura Choque Danely Keyla</v>
      </c>
      <c r="C27" s="31">
        <v>10</v>
      </c>
      <c r="D27" s="31"/>
      <c r="E27" s="31"/>
      <c r="F27" s="31"/>
      <c r="G27" s="31"/>
      <c r="H27" s="31"/>
      <c r="I27" s="31"/>
      <c r="J27" s="31"/>
      <c r="K27" s="31"/>
      <c r="L27" s="31"/>
      <c r="M27" s="31"/>
      <c r="N27" s="31"/>
      <c r="O27" s="92" t="str">
        <f t="shared" si="0"/>
        <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DA</v>
      </c>
      <c r="AG27" s="92">
        <f t="shared" si="4"/>
        <v>65</v>
      </c>
      <c r="AH27" s="194" t="str">
        <f t="shared" si="5"/>
        <v>APROBADO</v>
      </c>
      <c r="AI27" s="195"/>
      <c r="AJ27" s="195"/>
      <c r="AK27" s="195"/>
      <c r="AL27" s="195"/>
      <c r="AM27" s="196"/>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13" t="s">
        <v>107</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11" t="s">
        <v>51</v>
      </c>
      <c r="AD3" s="195"/>
      <c r="AE3" s="195"/>
      <c r="AF3" s="195"/>
      <c r="AG3" s="195"/>
      <c r="AH3" s="196"/>
      <c r="AI3" s="191">
        <f>CARÁTULA!$H$24</f>
        <v>44440</v>
      </c>
      <c r="AJ3" s="173"/>
      <c r="AK3" s="173"/>
      <c r="AL3" s="173"/>
      <c r="AM3" s="173"/>
      <c r="AN3" s="214" t="s">
        <v>52</v>
      </c>
      <c r="AO3" s="164"/>
      <c r="AP3" s="164"/>
      <c r="AQ3" s="164"/>
      <c r="AR3" s="165"/>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11" t="s">
        <v>54</v>
      </c>
      <c r="AD4" s="195"/>
      <c r="AE4" s="195"/>
      <c r="AF4" s="195"/>
      <c r="AG4" s="195"/>
      <c r="AH4" s="196"/>
      <c r="AI4" s="191">
        <f>CARÁTULA!$J$24</f>
        <v>44531</v>
      </c>
      <c r="AJ4" s="173"/>
      <c r="AK4" s="173"/>
      <c r="AL4" s="173"/>
      <c r="AM4" s="173"/>
      <c r="AN4" s="193">
        <f ca="1">AI4-AI5</f>
        <v>112</v>
      </c>
      <c r="AO4" s="183"/>
      <c r="AP4" s="183"/>
      <c r="AQ4" s="183"/>
      <c r="AR4" s="184"/>
    </row>
    <row r="5" spans="1:48" ht="12.75" customHeight="1" x14ac:dyDescent="0.55000000000000004">
      <c r="A5" s="71"/>
      <c r="B5" s="74" t="s">
        <v>23</v>
      </c>
      <c r="C5" s="75" t="str">
        <f>CARÁTULA!$C$23</f>
        <v>6to de Secundaria</v>
      </c>
      <c r="D5" s="76"/>
      <c r="E5" s="76"/>
      <c r="F5" s="76"/>
      <c r="G5" s="74"/>
      <c r="H5" s="74"/>
      <c r="I5" s="74"/>
      <c r="J5" s="74"/>
      <c r="K5" s="74"/>
      <c r="L5" s="74"/>
      <c r="M5" s="74"/>
      <c r="N5" s="74"/>
      <c r="O5" s="77" t="s">
        <v>24</v>
      </c>
      <c r="P5" s="79"/>
      <c r="Q5" s="79"/>
      <c r="R5" s="79"/>
      <c r="S5" s="207">
        <f ca="1">TODAY()</f>
        <v>44419</v>
      </c>
      <c r="T5" s="164"/>
      <c r="U5" s="164"/>
      <c r="V5" s="164"/>
      <c r="W5" s="164"/>
      <c r="X5" s="164"/>
      <c r="Y5" s="164"/>
      <c r="Z5" s="164"/>
      <c r="AA5" s="165"/>
      <c r="AB5" s="76"/>
      <c r="AC5" s="212" t="s">
        <v>55</v>
      </c>
      <c r="AD5" s="195"/>
      <c r="AE5" s="195"/>
      <c r="AF5" s="195"/>
      <c r="AG5" s="195"/>
      <c r="AH5" s="196"/>
      <c r="AI5" s="215">
        <f ca="1">TODAY()</f>
        <v>44419</v>
      </c>
      <c r="AJ5" s="173"/>
      <c r="AK5" s="173"/>
      <c r="AL5" s="173"/>
      <c r="AM5" s="173"/>
      <c r="AN5" s="185"/>
      <c r="AO5" s="186"/>
      <c r="AP5" s="186"/>
      <c r="AQ5" s="186"/>
      <c r="AR5" s="187"/>
    </row>
    <row r="6" spans="1:48" ht="12.75" customHeight="1" x14ac:dyDescent="0.55000000000000004">
      <c r="A6" s="71"/>
      <c r="B6" s="74"/>
      <c r="C6" s="179" t="s">
        <v>80</v>
      </c>
      <c r="D6" s="180"/>
      <c r="E6" s="180"/>
      <c r="F6" s="180"/>
      <c r="G6" s="180"/>
      <c r="H6" s="180"/>
      <c r="I6" s="180"/>
      <c r="J6" s="180"/>
      <c r="K6" s="180"/>
      <c r="L6" s="180"/>
      <c r="M6" s="180"/>
      <c r="N6" s="180"/>
      <c r="O6" s="180"/>
      <c r="P6" s="180"/>
      <c r="Q6" s="180"/>
      <c r="R6" s="180"/>
      <c r="S6" s="180"/>
      <c r="T6" s="180"/>
      <c r="U6" s="180"/>
      <c r="V6" s="180"/>
      <c r="W6" s="180"/>
      <c r="X6" s="180"/>
      <c r="Y6" s="180"/>
      <c r="Z6" s="180"/>
      <c r="AA6" s="181"/>
      <c r="AB6" s="208" t="s">
        <v>81</v>
      </c>
      <c r="AC6" s="195"/>
      <c r="AD6" s="195"/>
      <c r="AE6" s="196"/>
      <c r="AF6" s="80"/>
      <c r="AG6" s="81"/>
      <c r="AH6" s="81"/>
      <c r="AI6" s="82"/>
      <c r="AJ6" s="83"/>
      <c r="AK6" s="83"/>
      <c r="AL6" s="83"/>
      <c r="AM6" s="83"/>
      <c r="AN6" s="84"/>
      <c r="AO6" s="84"/>
      <c r="AP6" s="84"/>
      <c r="AQ6" s="84"/>
      <c r="AR6" s="84"/>
    </row>
    <row r="7" spans="1:48" ht="12" customHeight="1" x14ac:dyDescent="0.55000000000000004">
      <c r="A7" s="71"/>
      <c r="B7" s="85"/>
      <c r="C7" s="209" t="s">
        <v>82</v>
      </c>
      <c r="D7" s="210" t="s">
        <v>83</v>
      </c>
      <c r="E7" s="195"/>
      <c r="F7" s="195"/>
      <c r="G7" s="195"/>
      <c r="H7" s="195"/>
      <c r="I7" s="195"/>
      <c r="J7" s="195"/>
      <c r="K7" s="195"/>
      <c r="L7" s="195"/>
      <c r="M7" s="195"/>
      <c r="N7" s="195"/>
      <c r="O7" s="206" t="s">
        <v>84</v>
      </c>
      <c r="P7" s="210" t="s">
        <v>85</v>
      </c>
      <c r="Q7" s="195"/>
      <c r="R7" s="195"/>
      <c r="S7" s="195"/>
      <c r="T7" s="195"/>
      <c r="U7" s="195"/>
      <c r="V7" s="195"/>
      <c r="W7" s="195"/>
      <c r="X7" s="195"/>
      <c r="Y7" s="195"/>
      <c r="Z7" s="195"/>
      <c r="AA7" s="205" t="s">
        <v>86</v>
      </c>
      <c r="AB7" s="206" t="s">
        <v>84</v>
      </c>
      <c r="AC7" s="205" t="s">
        <v>87</v>
      </c>
      <c r="AD7" s="205" t="s">
        <v>88</v>
      </c>
      <c r="AE7" s="206" t="s">
        <v>84</v>
      </c>
      <c r="AF7" s="198" t="s">
        <v>89</v>
      </c>
      <c r="AG7" s="200" t="s">
        <v>90</v>
      </c>
      <c r="AH7" s="201" t="s">
        <v>91</v>
      </c>
      <c r="AI7" s="180"/>
      <c r="AJ7" s="180"/>
      <c r="AK7" s="180"/>
      <c r="AL7" s="180"/>
      <c r="AM7" s="181"/>
      <c r="AN7" s="86"/>
      <c r="AO7" s="76"/>
      <c r="AP7" s="76"/>
      <c r="AQ7" s="76"/>
      <c r="AR7" s="71"/>
    </row>
    <row r="8" spans="1:48" ht="67.5" customHeight="1" x14ac:dyDescent="0.45">
      <c r="A8" s="48" t="s">
        <v>56</v>
      </c>
      <c r="B8" s="49" t="s">
        <v>57</v>
      </c>
      <c r="C8" s="199"/>
      <c r="D8" s="54"/>
      <c r="E8" s="54"/>
      <c r="F8" s="54"/>
      <c r="G8" s="54"/>
      <c r="H8" s="54"/>
      <c r="I8" s="54"/>
      <c r="J8" s="54"/>
      <c r="K8" s="54"/>
      <c r="L8" s="54"/>
      <c r="M8" s="54"/>
      <c r="N8" s="55"/>
      <c r="O8" s="199"/>
      <c r="P8" s="96"/>
      <c r="Q8" s="54"/>
      <c r="R8" s="54"/>
      <c r="S8" s="54"/>
      <c r="T8" s="54"/>
      <c r="U8" s="54"/>
      <c r="V8" s="54"/>
      <c r="W8" s="54"/>
      <c r="X8" s="54"/>
      <c r="Y8" s="54"/>
      <c r="Z8" s="54"/>
      <c r="AA8" s="199"/>
      <c r="AB8" s="199"/>
      <c r="AC8" s="199"/>
      <c r="AD8" s="199"/>
      <c r="AE8" s="199"/>
      <c r="AF8" s="199"/>
      <c r="AG8" s="199"/>
      <c r="AH8" s="202"/>
      <c r="AI8" s="203"/>
      <c r="AJ8" s="203"/>
      <c r="AK8" s="203"/>
      <c r="AL8" s="203"/>
      <c r="AM8" s="204"/>
      <c r="AN8" s="88"/>
      <c r="AO8" s="88"/>
      <c r="AP8" s="88"/>
      <c r="AQ8" s="88"/>
      <c r="AR8" s="89"/>
    </row>
    <row r="9" spans="1:48" ht="12" customHeight="1" x14ac:dyDescent="0.4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4" t="str">
        <f t="shared" ref="AH9:AH44" si="5">IF(AG9="","",(IF(AND(AG9&gt;=1,AG9&lt;=50.499),"REPROBADO",IF(AND(AG9&gt;=50.5,AG9&lt;=100),"APROBADO"))))</f>
        <v>APROBADO</v>
      </c>
      <c r="AI9" s="195"/>
      <c r="AJ9" s="195"/>
      <c r="AK9" s="195"/>
      <c r="AL9" s="195"/>
      <c r="AM9" s="196"/>
      <c r="AN9" s="94" t="s">
        <v>102</v>
      </c>
      <c r="AO9" s="197">
        <f>COUNTIF(AF9:AF44,"ED")</f>
        <v>0</v>
      </c>
      <c r="AP9" s="196"/>
      <c r="AQ9" s="95"/>
      <c r="AR9" s="95"/>
    </row>
    <row r="10" spans="1:48" ht="12" customHeight="1" x14ac:dyDescent="0.4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4" t="str">
        <f t="shared" si="5"/>
        <v>APROBADO</v>
      </c>
      <c r="AI10" s="195"/>
      <c r="AJ10" s="195"/>
      <c r="AK10" s="195"/>
      <c r="AL10" s="195"/>
      <c r="AM10" s="196"/>
      <c r="AN10" s="48" t="s">
        <v>103</v>
      </c>
      <c r="AO10" s="197">
        <f>COUNTIF(AF9:AF44,"DA")</f>
        <v>0</v>
      </c>
      <c r="AP10" s="196"/>
      <c r="AQ10" s="95"/>
      <c r="AR10" s="95"/>
    </row>
    <row r="11" spans="1:48" ht="12" customHeight="1" x14ac:dyDescent="0.4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4" t="str">
        <f t="shared" si="5"/>
        <v>APROBADO</v>
      </c>
      <c r="AI11" s="195"/>
      <c r="AJ11" s="195"/>
      <c r="AK11" s="195"/>
      <c r="AL11" s="195"/>
      <c r="AM11" s="196"/>
      <c r="AN11" s="48" t="s">
        <v>104</v>
      </c>
      <c r="AO11" s="197">
        <f>COUNTIF(AF9:AF44,"DO")</f>
        <v>0</v>
      </c>
      <c r="AP11" s="196"/>
      <c r="AQ11" s="95"/>
      <c r="AR11" s="95"/>
    </row>
    <row r="12" spans="1:48" ht="12" customHeight="1" x14ac:dyDescent="0.4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4" t="str">
        <f t="shared" si="5"/>
        <v>APROBADO</v>
      </c>
      <c r="AI12" s="195"/>
      <c r="AJ12" s="195"/>
      <c r="AK12" s="195"/>
      <c r="AL12" s="195"/>
      <c r="AM12" s="196"/>
      <c r="AN12" s="48" t="s">
        <v>105</v>
      </c>
      <c r="AO12" s="197">
        <f>COUNTIF(AF9:AF44,"DP")</f>
        <v>36</v>
      </c>
      <c r="AP12" s="196"/>
      <c r="AQ12" s="95"/>
      <c r="AR12" s="95"/>
    </row>
    <row r="13" spans="1:48" ht="12" customHeight="1" x14ac:dyDescent="0.4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4" t="str">
        <f t="shared" si="5"/>
        <v>APROBADO</v>
      </c>
      <c r="AI13" s="195"/>
      <c r="AJ13" s="195"/>
      <c r="AK13" s="195"/>
      <c r="AL13" s="195"/>
      <c r="AM13" s="196"/>
      <c r="AN13" s="95"/>
      <c r="AO13" s="95"/>
      <c r="AP13" s="95"/>
      <c r="AQ13" s="95"/>
      <c r="AR13" s="95"/>
    </row>
    <row r="14" spans="1:48" ht="12" customHeight="1" x14ac:dyDescent="0.4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4" t="str">
        <f t="shared" si="5"/>
        <v>APROBADO</v>
      </c>
      <c r="AI14" s="195"/>
      <c r="AJ14" s="195"/>
      <c r="AK14" s="195"/>
      <c r="AL14" s="195"/>
      <c r="AM14" s="196"/>
      <c r="AN14" s="95"/>
      <c r="AO14" s="95"/>
      <c r="AP14" s="95"/>
      <c r="AQ14" s="95"/>
      <c r="AR14" s="95"/>
    </row>
    <row r="15" spans="1:48" ht="12" customHeight="1" x14ac:dyDescent="0.4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4" t="str">
        <f t="shared" si="5"/>
        <v>APROBADO</v>
      </c>
      <c r="AI15" s="195"/>
      <c r="AJ15" s="195"/>
      <c r="AK15" s="195"/>
      <c r="AL15" s="195"/>
      <c r="AM15" s="196"/>
      <c r="AN15" s="95"/>
      <c r="AO15" s="95"/>
      <c r="AP15" s="95"/>
      <c r="AQ15" s="95"/>
      <c r="AR15" s="95"/>
    </row>
    <row r="16" spans="1:48" ht="12" customHeight="1" x14ac:dyDescent="0.4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4" t="str">
        <f t="shared" si="5"/>
        <v>APROBADO</v>
      </c>
      <c r="AI16" s="195"/>
      <c r="AJ16" s="195"/>
      <c r="AK16" s="195"/>
      <c r="AL16" s="195"/>
      <c r="AM16" s="196"/>
      <c r="AN16" s="95"/>
      <c r="AO16" s="95"/>
      <c r="AP16" s="95"/>
      <c r="AQ16" s="95"/>
      <c r="AR16" s="95"/>
    </row>
    <row r="17" spans="1:44" ht="12" customHeight="1" x14ac:dyDescent="0.4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4" t="str">
        <f t="shared" si="5"/>
        <v>APROBADO</v>
      </c>
      <c r="AI17" s="195"/>
      <c r="AJ17" s="195"/>
      <c r="AK17" s="195"/>
      <c r="AL17" s="195"/>
      <c r="AM17" s="196"/>
      <c r="AN17" s="95"/>
      <c r="AO17" s="95"/>
      <c r="AP17" s="95"/>
      <c r="AQ17" s="95"/>
      <c r="AR17" s="95"/>
    </row>
    <row r="18" spans="1:44" ht="12" customHeight="1" x14ac:dyDescent="0.4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4" t="str">
        <f t="shared" si="5"/>
        <v>APROBADO</v>
      </c>
      <c r="AI18" s="195"/>
      <c r="AJ18" s="195"/>
      <c r="AK18" s="195"/>
      <c r="AL18" s="195"/>
      <c r="AM18" s="196"/>
      <c r="AN18" s="95"/>
      <c r="AO18" s="95"/>
      <c r="AP18" s="95"/>
      <c r="AQ18" s="95"/>
      <c r="AR18" s="95"/>
    </row>
    <row r="19" spans="1:44" ht="12" customHeight="1" x14ac:dyDescent="0.4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4" t="str">
        <f t="shared" si="5"/>
        <v>APROBADO</v>
      </c>
      <c r="AI19" s="195"/>
      <c r="AJ19" s="195"/>
      <c r="AK19" s="195"/>
      <c r="AL19" s="195"/>
      <c r="AM19" s="196"/>
      <c r="AN19" s="95"/>
      <c r="AO19" s="95"/>
      <c r="AP19" s="95"/>
      <c r="AQ19" s="95"/>
      <c r="AR19" s="95"/>
    </row>
    <row r="20" spans="1:44" ht="12" customHeight="1" x14ac:dyDescent="0.4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4" t="str">
        <f t="shared" si="5"/>
        <v>APROBADO</v>
      </c>
      <c r="AI20" s="195"/>
      <c r="AJ20" s="195"/>
      <c r="AK20" s="195"/>
      <c r="AL20" s="195"/>
      <c r="AM20" s="196"/>
      <c r="AN20" s="95"/>
      <c r="AO20" s="95"/>
      <c r="AP20" s="95"/>
      <c r="AQ20" s="95"/>
      <c r="AR20" s="95"/>
    </row>
    <row r="21" spans="1:44" ht="12" customHeight="1" x14ac:dyDescent="0.4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4" t="str">
        <f t="shared" si="5"/>
        <v>APROBADO</v>
      </c>
      <c r="AI21" s="195"/>
      <c r="AJ21" s="195"/>
      <c r="AK21" s="195"/>
      <c r="AL21" s="195"/>
      <c r="AM21" s="196"/>
      <c r="AN21" s="95"/>
      <c r="AO21" s="95"/>
      <c r="AP21" s="95"/>
      <c r="AQ21" s="95"/>
      <c r="AR21" s="95"/>
    </row>
    <row r="22" spans="1:44" ht="12" customHeight="1" x14ac:dyDescent="0.4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4" t="str">
        <f t="shared" si="5"/>
        <v>APROBADO</v>
      </c>
      <c r="AI22" s="195"/>
      <c r="AJ22" s="195"/>
      <c r="AK22" s="195"/>
      <c r="AL22" s="195"/>
      <c r="AM22" s="196"/>
      <c r="AN22" s="95"/>
      <c r="AO22" s="95"/>
      <c r="AP22" s="95"/>
      <c r="AQ22" s="95"/>
      <c r="AR22" s="95"/>
    </row>
    <row r="23" spans="1:44" ht="12" customHeight="1" x14ac:dyDescent="0.4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4" t="str">
        <f t="shared" si="5"/>
        <v>APROBADO</v>
      </c>
      <c r="AI23" s="195"/>
      <c r="AJ23" s="195"/>
      <c r="AK23" s="195"/>
      <c r="AL23" s="195"/>
      <c r="AM23" s="196"/>
      <c r="AN23" s="95"/>
      <c r="AO23" s="95"/>
      <c r="AP23" s="95"/>
      <c r="AQ23" s="95"/>
      <c r="AR23" s="95"/>
    </row>
    <row r="24" spans="1:44" ht="12" customHeight="1" x14ac:dyDescent="0.4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4" t="str">
        <f t="shared" si="5"/>
        <v>APROBADO</v>
      </c>
      <c r="AI24" s="195"/>
      <c r="AJ24" s="195"/>
      <c r="AK24" s="195"/>
      <c r="AL24" s="195"/>
      <c r="AM24" s="196"/>
      <c r="AN24" s="95"/>
      <c r="AO24" s="95"/>
      <c r="AP24" s="95"/>
      <c r="AQ24" s="95"/>
      <c r="AR24" s="95"/>
    </row>
    <row r="25" spans="1:44" ht="12" customHeight="1" x14ac:dyDescent="0.4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4" t="str">
        <f t="shared" si="5"/>
        <v>APROBADO</v>
      </c>
      <c r="AI25" s="195"/>
      <c r="AJ25" s="195"/>
      <c r="AK25" s="195"/>
      <c r="AL25" s="195"/>
      <c r="AM25" s="196"/>
      <c r="AN25" s="95"/>
      <c r="AO25" s="95"/>
      <c r="AP25" s="95"/>
      <c r="AQ25" s="95"/>
      <c r="AR25" s="95"/>
    </row>
    <row r="26" spans="1:44" ht="12" customHeight="1" x14ac:dyDescent="0.4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4" t="str">
        <f t="shared" si="5"/>
        <v>APROBADO</v>
      </c>
      <c r="AI26" s="195"/>
      <c r="AJ26" s="195"/>
      <c r="AK26" s="195"/>
      <c r="AL26" s="195"/>
      <c r="AM26" s="196"/>
      <c r="AN26" s="95"/>
      <c r="AO26" s="95"/>
      <c r="AP26" s="95"/>
      <c r="AQ26" s="95"/>
      <c r="AR26" s="95"/>
    </row>
    <row r="27" spans="1:44" ht="12" customHeight="1" x14ac:dyDescent="0.4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4" t="str">
        <f t="shared" si="5"/>
        <v>APROBADO</v>
      </c>
      <c r="AI27" s="195"/>
      <c r="AJ27" s="195"/>
      <c r="AK27" s="195"/>
      <c r="AL27" s="195"/>
      <c r="AM27" s="196"/>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4" t="str">
        <f t="shared" si="5"/>
        <v>APROBADO</v>
      </c>
      <c r="AI28" s="195"/>
      <c r="AJ28" s="195"/>
      <c r="AK28" s="195"/>
      <c r="AL28" s="195"/>
      <c r="AM28" s="196"/>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4" t="str">
        <f t="shared" si="5"/>
        <v>APROBADO</v>
      </c>
      <c r="AI29" s="195"/>
      <c r="AJ29" s="195"/>
      <c r="AK29" s="195"/>
      <c r="AL29" s="195"/>
      <c r="AM29" s="196"/>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4" t="str">
        <f t="shared" si="5"/>
        <v>APROBADO</v>
      </c>
      <c r="AI30" s="195"/>
      <c r="AJ30" s="195"/>
      <c r="AK30" s="195"/>
      <c r="AL30" s="195"/>
      <c r="AM30" s="196"/>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4" t="str">
        <f t="shared" si="5"/>
        <v>APROBADO</v>
      </c>
      <c r="AI31" s="195"/>
      <c r="AJ31" s="195"/>
      <c r="AK31" s="195"/>
      <c r="AL31" s="195"/>
      <c r="AM31" s="196"/>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4" t="str">
        <f t="shared" si="5"/>
        <v>APROBADO</v>
      </c>
      <c r="AI32" s="195"/>
      <c r="AJ32" s="195"/>
      <c r="AK32" s="195"/>
      <c r="AL32" s="195"/>
      <c r="AM32" s="196"/>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4" t="str">
        <f t="shared" si="5"/>
        <v>APROBADO</v>
      </c>
      <c r="AI33" s="195"/>
      <c r="AJ33" s="195"/>
      <c r="AK33" s="195"/>
      <c r="AL33" s="195"/>
      <c r="AM33" s="196"/>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4" t="str">
        <f t="shared" si="5"/>
        <v>APROBADO</v>
      </c>
      <c r="AI34" s="195"/>
      <c r="AJ34" s="195"/>
      <c r="AK34" s="195"/>
      <c r="AL34" s="195"/>
      <c r="AM34" s="196"/>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4" t="str">
        <f t="shared" si="5"/>
        <v>APROBADO</v>
      </c>
      <c r="AI35" s="195"/>
      <c r="AJ35" s="195"/>
      <c r="AK35" s="195"/>
      <c r="AL35" s="195"/>
      <c r="AM35" s="196"/>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4" t="str">
        <f t="shared" si="5"/>
        <v>APROBADO</v>
      </c>
      <c r="AI36" s="195"/>
      <c r="AJ36" s="195"/>
      <c r="AK36" s="195"/>
      <c r="AL36" s="195"/>
      <c r="AM36" s="196"/>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4" t="str">
        <f t="shared" si="5"/>
        <v>APROBADO</v>
      </c>
      <c r="AI37" s="195"/>
      <c r="AJ37" s="195"/>
      <c r="AK37" s="195"/>
      <c r="AL37" s="195"/>
      <c r="AM37" s="196"/>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4" t="str">
        <f t="shared" si="5"/>
        <v>APROBADO</v>
      </c>
      <c r="AI38" s="195"/>
      <c r="AJ38" s="195"/>
      <c r="AK38" s="195"/>
      <c r="AL38" s="195"/>
      <c r="AM38" s="196"/>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4" t="str">
        <f t="shared" si="5"/>
        <v>APROBADO</v>
      </c>
      <c r="AI39" s="195"/>
      <c r="AJ39" s="195"/>
      <c r="AK39" s="195"/>
      <c r="AL39" s="195"/>
      <c r="AM39" s="196"/>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4" t="str">
        <f t="shared" si="5"/>
        <v>APROBADO</v>
      </c>
      <c r="AI40" s="195"/>
      <c r="AJ40" s="195"/>
      <c r="AK40" s="195"/>
      <c r="AL40" s="195"/>
      <c r="AM40" s="196"/>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4" t="str">
        <f t="shared" si="5"/>
        <v>APROBADO</v>
      </c>
      <c r="AI41" s="195"/>
      <c r="AJ41" s="195"/>
      <c r="AK41" s="195"/>
      <c r="AL41" s="195"/>
      <c r="AM41" s="196"/>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4" t="str">
        <f t="shared" si="5"/>
        <v>APROBADO</v>
      </c>
      <c r="AI42" s="195"/>
      <c r="AJ42" s="195"/>
      <c r="AK42" s="195"/>
      <c r="AL42" s="195"/>
      <c r="AM42" s="196"/>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4" t="str">
        <f t="shared" si="5"/>
        <v>APROBADO</v>
      </c>
      <c r="AI43" s="195"/>
      <c r="AJ43" s="195"/>
      <c r="AK43" s="195"/>
      <c r="AL43" s="195"/>
      <c r="AM43" s="196"/>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4" t="str">
        <f t="shared" si="5"/>
        <v>APROBADO</v>
      </c>
      <c r="AI44" s="195"/>
      <c r="AJ44" s="195"/>
      <c r="AK44" s="195"/>
      <c r="AL44" s="195"/>
      <c r="AM44" s="196"/>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177" t="s">
        <v>108</v>
      </c>
      <c r="C2" s="173"/>
      <c r="D2" s="173"/>
      <c r="E2" s="173"/>
      <c r="F2" s="173"/>
      <c r="G2" s="173"/>
      <c r="H2" s="173"/>
      <c r="I2" s="173"/>
      <c r="J2" s="173"/>
      <c r="K2" s="173"/>
      <c r="L2" s="173"/>
      <c r="M2" s="173"/>
      <c r="N2" s="173"/>
      <c r="O2" s="173"/>
      <c r="P2" s="173"/>
      <c r="Q2" s="173"/>
      <c r="R2" s="173"/>
      <c r="S2" s="173"/>
      <c r="T2" s="173"/>
      <c r="U2" s="173"/>
      <c r="V2" s="173"/>
      <c r="W2" s="173"/>
      <c r="X2" s="173"/>
      <c r="Y2" s="73"/>
      <c r="Z2" s="73"/>
      <c r="AA2" s="73"/>
      <c r="AB2" s="73"/>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programacion visual</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45">
      <c r="B5" s="38" t="s">
        <v>23</v>
      </c>
      <c r="C5" s="97" t="str">
        <f>CARÁTULA!$C$23</f>
        <v>6to de Secundaria</v>
      </c>
      <c r="D5" s="40"/>
      <c r="E5" s="40"/>
      <c r="F5" s="40"/>
      <c r="G5" s="40"/>
      <c r="H5" s="40"/>
      <c r="I5" s="40"/>
      <c r="J5" s="40"/>
      <c r="K5" s="40"/>
      <c r="L5" s="40"/>
      <c r="M5" s="40"/>
      <c r="N5" s="38"/>
      <c r="O5" s="38"/>
      <c r="P5" s="38"/>
      <c r="Q5" s="38"/>
      <c r="R5" s="43" t="s">
        <v>24</v>
      </c>
      <c r="S5" s="44"/>
      <c r="T5" s="44"/>
      <c r="U5" s="191">
        <f ca="1">TODAY()</f>
        <v>44419</v>
      </c>
      <c r="V5" s="173"/>
      <c r="W5" s="173"/>
      <c r="X5" s="173"/>
    </row>
    <row r="6" spans="1:28" ht="12.75" customHeight="1" x14ac:dyDescent="0.45">
      <c r="B6" s="38"/>
      <c r="C6" s="216" t="s">
        <v>4</v>
      </c>
      <c r="D6" s="195"/>
      <c r="E6" s="195"/>
      <c r="F6" s="195"/>
      <c r="G6" s="195"/>
      <c r="H6" s="196"/>
      <c r="I6" s="216" t="s">
        <v>10</v>
      </c>
      <c r="J6" s="195"/>
      <c r="K6" s="195"/>
      <c r="L6" s="195"/>
      <c r="M6" s="195"/>
      <c r="N6" s="196"/>
      <c r="O6" s="216" t="s">
        <v>16</v>
      </c>
      <c r="P6" s="195"/>
      <c r="Q6" s="195"/>
      <c r="R6" s="195"/>
      <c r="S6" s="195"/>
      <c r="T6" s="196"/>
      <c r="U6" s="221" t="s">
        <v>109</v>
      </c>
      <c r="V6" s="217" t="s">
        <v>110</v>
      </c>
      <c r="W6" s="68"/>
      <c r="X6" s="68"/>
    </row>
    <row r="7" spans="1:28" ht="12" customHeight="1" x14ac:dyDescent="0.45">
      <c r="B7" s="47"/>
      <c r="C7" s="219"/>
      <c r="D7" s="195"/>
      <c r="E7" s="195"/>
      <c r="F7" s="195"/>
      <c r="G7" s="196"/>
      <c r="H7" s="220" t="s">
        <v>111</v>
      </c>
      <c r="I7" s="219"/>
      <c r="J7" s="195"/>
      <c r="K7" s="195"/>
      <c r="L7" s="195"/>
      <c r="M7" s="196"/>
      <c r="N7" s="220" t="s">
        <v>111</v>
      </c>
      <c r="O7" s="219"/>
      <c r="P7" s="195"/>
      <c r="Q7" s="195"/>
      <c r="R7" s="195"/>
      <c r="S7" s="196"/>
      <c r="T7" s="209" t="s">
        <v>111</v>
      </c>
      <c r="U7" s="218"/>
      <c r="V7" s="218"/>
      <c r="W7" s="40"/>
      <c r="X7" s="40"/>
    </row>
    <row r="8" spans="1:28" ht="67.5" customHeight="1" x14ac:dyDescent="0.45">
      <c r="A8" s="48" t="s">
        <v>56</v>
      </c>
      <c r="B8" s="49" t="s">
        <v>57</v>
      </c>
      <c r="C8" s="98" t="s">
        <v>82</v>
      </c>
      <c r="D8" s="99" t="s">
        <v>83</v>
      </c>
      <c r="E8" s="99" t="s">
        <v>85</v>
      </c>
      <c r="F8" s="99" t="s">
        <v>86</v>
      </c>
      <c r="G8" s="99" t="s">
        <v>112</v>
      </c>
      <c r="H8" s="199"/>
      <c r="I8" s="98" t="s">
        <v>82</v>
      </c>
      <c r="J8" s="99" t="s">
        <v>83</v>
      </c>
      <c r="K8" s="99" t="s">
        <v>85</v>
      </c>
      <c r="L8" s="99" t="s">
        <v>86</v>
      </c>
      <c r="M8" s="99" t="s">
        <v>112</v>
      </c>
      <c r="N8" s="199"/>
      <c r="O8" s="98" t="s">
        <v>82</v>
      </c>
      <c r="P8" s="99" t="s">
        <v>83</v>
      </c>
      <c r="Q8" s="99" t="s">
        <v>85</v>
      </c>
      <c r="R8" s="99" t="s">
        <v>86</v>
      </c>
      <c r="S8" s="99" t="s">
        <v>112</v>
      </c>
      <c r="T8" s="199"/>
      <c r="U8" s="199"/>
      <c r="V8" s="199"/>
      <c r="W8" s="100"/>
      <c r="X8" s="100"/>
    </row>
    <row r="9" spans="1:28" ht="12" customHeight="1" x14ac:dyDescent="0.4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32</v>
      </c>
      <c r="K9" s="31" t="str">
        <f>'VAL 2 TRIM'!AB9</f>
        <v/>
      </c>
      <c r="L9" s="31">
        <f>'VAL 2 TRIM'!AA9</f>
        <v>10</v>
      </c>
      <c r="M9" s="31">
        <f>'VAL 2 TRIM'!AE9</f>
        <v>10</v>
      </c>
      <c r="N9" s="101">
        <f>'VAL 2 TRIM'!AG9</f>
        <v>62</v>
      </c>
      <c r="O9" s="31">
        <f>'VAL 3 TRIM'!C9</f>
        <v>10</v>
      </c>
      <c r="P9" s="31">
        <f>'VAL 3 TRIM'!O9</f>
        <v>35</v>
      </c>
      <c r="Q9" s="31">
        <f>'VAL 3 TRIM'!AB9</f>
        <v>35</v>
      </c>
      <c r="R9" s="31">
        <f>'VAL 3 TRIM'!AA9</f>
        <v>10</v>
      </c>
      <c r="S9" s="31">
        <f>'VAL 3 TRIM'!AE9</f>
        <v>10</v>
      </c>
      <c r="T9" s="101">
        <f>'VAL 3 TRIM'!AG9</f>
        <v>100</v>
      </c>
      <c r="U9" s="102">
        <f t="shared" ref="U9:U44" si="0">AVERAGE(H9,N9,T9)</f>
        <v>84</v>
      </c>
      <c r="V9" s="103" t="str">
        <f t="shared" ref="V9:V44" si="1">IF(U9="","",(IF(AND(U9&gt;=1,U9&lt;=50.499),"REPROBADO",IF(AND(U9&gt;=50.5,U9&lt;=100),"APROBADO"))))</f>
        <v>APROBADO</v>
      </c>
      <c r="W9" s="104"/>
      <c r="X9" s="104"/>
    </row>
    <row r="10" spans="1:28" ht="12" customHeight="1" x14ac:dyDescent="0.4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t="str">
        <f>'VAL 2 TRIM'!AB10</f>
        <v/>
      </c>
      <c r="L10" s="31">
        <f>'VAL 2 TRIM'!AA10</f>
        <v>10</v>
      </c>
      <c r="M10" s="31">
        <f>'VAL 2 TRIM'!AE10</f>
        <v>10</v>
      </c>
      <c r="N10" s="101">
        <f>'VAL 2 TRIM'!AG10</f>
        <v>62</v>
      </c>
      <c r="O10" s="31">
        <f>'VAL 3 TRIM'!C10</f>
        <v>10</v>
      </c>
      <c r="P10" s="31">
        <f>'VAL 3 TRIM'!O10</f>
        <v>35</v>
      </c>
      <c r="Q10" s="31">
        <f>'VAL 3 TRIM'!AB10</f>
        <v>35</v>
      </c>
      <c r="R10" s="31">
        <f>'VAL 3 TRIM'!AA10</f>
        <v>10</v>
      </c>
      <c r="S10" s="48">
        <f>'VAL 3 TRIM'!AE10</f>
        <v>10</v>
      </c>
      <c r="T10" s="101">
        <f>'VAL 3 TRIM'!AG10</f>
        <v>100</v>
      </c>
      <c r="U10" s="102">
        <f t="shared" si="0"/>
        <v>84</v>
      </c>
      <c r="V10" s="103" t="str">
        <f t="shared" si="1"/>
        <v>APROBADO</v>
      </c>
      <c r="W10" s="104"/>
      <c r="X10" s="104"/>
    </row>
    <row r="11" spans="1:28" ht="12" customHeight="1" x14ac:dyDescent="0.4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20</v>
      </c>
      <c r="K11" s="31" t="str">
        <f>'VAL 2 TRIM'!AB11</f>
        <v/>
      </c>
      <c r="L11" s="31">
        <f>'VAL 2 TRIM'!AA11</f>
        <v>10</v>
      </c>
      <c r="M11" s="31">
        <f>'VAL 2 TRIM'!AE11</f>
        <v>10</v>
      </c>
      <c r="N11" s="101">
        <f>'VAL 2 TRIM'!AG11</f>
        <v>50</v>
      </c>
      <c r="O11" s="31">
        <f>'VAL 3 TRIM'!C11</f>
        <v>10</v>
      </c>
      <c r="P11" s="31">
        <f>'VAL 3 TRIM'!O11</f>
        <v>35</v>
      </c>
      <c r="Q11" s="31">
        <f>'VAL 3 TRIM'!AB11</f>
        <v>35</v>
      </c>
      <c r="R11" s="31">
        <f>'VAL 3 TRIM'!AA11</f>
        <v>10</v>
      </c>
      <c r="S11" s="48">
        <f>'VAL 3 TRIM'!AE11</f>
        <v>10</v>
      </c>
      <c r="T11" s="101">
        <f>'VAL 3 TRIM'!AG11</f>
        <v>100</v>
      </c>
      <c r="U11" s="102">
        <f t="shared" si="0"/>
        <v>80</v>
      </c>
      <c r="V11" s="103" t="str">
        <f t="shared" si="1"/>
        <v>APROBADO</v>
      </c>
      <c r="W11" s="104"/>
      <c r="X11" s="104"/>
    </row>
    <row r="12" spans="1:28" ht="12" customHeight="1" x14ac:dyDescent="0.4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t="str">
        <f>'VAL 2 TRIM'!O12</f>
        <v/>
      </c>
      <c r="K12" s="31" t="str">
        <f>'VAL 2 TRIM'!AB12</f>
        <v/>
      </c>
      <c r="L12" s="31">
        <f>'VAL 2 TRIM'!AA12</f>
        <v>10</v>
      </c>
      <c r="M12" s="31">
        <f>'VAL 2 TRIM'!AE12</f>
        <v>10</v>
      </c>
      <c r="N12" s="101">
        <f>'VAL 2 TRIM'!AG12</f>
        <v>30</v>
      </c>
      <c r="O12" s="31">
        <f>'VAL 3 TRIM'!C12</f>
        <v>10</v>
      </c>
      <c r="P12" s="31">
        <f>'VAL 3 TRIM'!O12</f>
        <v>35</v>
      </c>
      <c r="Q12" s="31">
        <f>'VAL 3 TRIM'!AB12</f>
        <v>35</v>
      </c>
      <c r="R12" s="31">
        <f>'VAL 3 TRIM'!AA12</f>
        <v>10</v>
      </c>
      <c r="S12" s="48">
        <f>'VAL 3 TRIM'!AE12</f>
        <v>10</v>
      </c>
      <c r="T12" s="101">
        <f>'VAL 3 TRIM'!AG12</f>
        <v>100</v>
      </c>
      <c r="U12" s="102">
        <f t="shared" si="0"/>
        <v>60</v>
      </c>
      <c r="V12" s="103" t="str">
        <f t="shared" si="1"/>
        <v>APROBADO</v>
      </c>
      <c r="W12" s="104"/>
      <c r="X12" s="104"/>
    </row>
    <row r="13" spans="1:28" ht="12" customHeight="1" x14ac:dyDescent="0.4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28</v>
      </c>
      <c r="K13" s="31" t="str">
        <f>'VAL 2 TRIM'!AB13</f>
        <v/>
      </c>
      <c r="L13" s="31">
        <f>'VAL 2 TRIM'!AA13</f>
        <v>10</v>
      </c>
      <c r="M13" s="31">
        <f>'VAL 2 TRIM'!AE13</f>
        <v>10</v>
      </c>
      <c r="N13" s="101">
        <f>'VAL 2 TRIM'!AG13</f>
        <v>58</v>
      </c>
      <c r="O13" s="31">
        <f>'VAL 3 TRIM'!C13</f>
        <v>10</v>
      </c>
      <c r="P13" s="31">
        <f>'VAL 3 TRIM'!O13</f>
        <v>35</v>
      </c>
      <c r="Q13" s="31">
        <f>'VAL 3 TRIM'!AB13</f>
        <v>35</v>
      </c>
      <c r="R13" s="31">
        <f>'VAL 3 TRIM'!AA13</f>
        <v>10</v>
      </c>
      <c r="S13" s="48">
        <f>'VAL 3 TRIM'!AE13</f>
        <v>10</v>
      </c>
      <c r="T13" s="101">
        <f>'VAL 3 TRIM'!AG13</f>
        <v>100</v>
      </c>
      <c r="U13" s="102">
        <f t="shared" si="0"/>
        <v>82.666666666666671</v>
      </c>
      <c r="V13" s="103" t="str">
        <f t="shared" si="1"/>
        <v>APROBADO</v>
      </c>
      <c r="W13" s="104"/>
      <c r="X13" s="104"/>
    </row>
    <row r="14" spans="1:28" ht="12" customHeight="1" x14ac:dyDescent="0.4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27</v>
      </c>
      <c r="K14" s="31" t="str">
        <f>'VAL 2 TRIM'!AB14</f>
        <v/>
      </c>
      <c r="L14" s="31">
        <f>'VAL 2 TRIM'!AA14</f>
        <v>10</v>
      </c>
      <c r="M14" s="31">
        <f>'VAL 2 TRIM'!AE14</f>
        <v>10</v>
      </c>
      <c r="N14" s="101">
        <f>'VAL 2 TRIM'!AG14</f>
        <v>57</v>
      </c>
      <c r="O14" s="31">
        <f>'VAL 3 TRIM'!C14</f>
        <v>10</v>
      </c>
      <c r="P14" s="31">
        <f>'VAL 3 TRIM'!O14</f>
        <v>35</v>
      </c>
      <c r="Q14" s="31">
        <f>'VAL 3 TRIM'!AB14</f>
        <v>35</v>
      </c>
      <c r="R14" s="31">
        <f>'VAL 3 TRIM'!AA14</f>
        <v>10</v>
      </c>
      <c r="S14" s="48">
        <f>'VAL 3 TRIM'!AE14</f>
        <v>10</v>
      </c>
      <c r="T14" s="101">
        <f>'VAL 3 TRIM'!AG14</f>
        <v>100</v>
      </c>
      <c r="U14" s="102">
        <f t="shared" si="0"/>
        <v>82.333333333333329</v>
      </c>
      <c r="V14" s="103" t="str">
        <f t="shared" si="1"/>
        <v>APROBADO</v>
      </c>
      <c r="W14" s="104"/>
      <c r="X14" s="104"/>
    </row>
    <row r="15" spans="1:28" ht="12" customHeight="1" x14ac:dyDescent="0.4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t="str">
        <f>'VAL 2 TRIM'!O15</f>
        <v/>
      </c>
      <c r="K15" s="31" t="str">
        <f>'VAL 2 TRIM'!AB15</f>
        <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4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24</v>
      </c>
      <c r="K16" s="31" t="str">
        <f>'VAL 2 TRIM'!AB16</f>
        <v/>
      </c>
      <c r="L16" s="31">
        <f>'VAL 2 TRIM'!AA16</f>
        <v>10</v>
      </c>
      <c r="M16" s="31">
        <f>'VAL 2 TRIM'!AE16</f>
        <v>10</v>
      </c>
      <c r="N16" s="101">
        <f>'VAL 2 TRIM'!AG16</f>
        <v>54</v>
      </c>
      <c r="O16" s="31">
        <f>'VAL 3 TRIM'!C16</f>
        <v>10</v>
      </c>
      <c r="P16" s="31">
        <f>'VAL 3 TRIM'!O16</f>
        <v>35</v>
      </c>
      <c r="Q16" s="31">
        <f>'VAL 3 TRIM'!AB16</f>
        <v>35</v>
      </c>
      <c r="R16" s="31">
        <f>'VAL 3 TRIM'!AA16</f>
        <v>10</v>
      </c>
      <c r="S16" s="48">
        <f>'VAL 3 TRIM'!AE16</f>
        <v>10</v>
      </c>
      <c r="T16" s="101">
        <f>'VAL 3 TRIM'!AG16</f>
        <v>100</v>
      </c>
      <c r="U16" s="102">
        <f t="shared" si="0"/>
        <v>81.333333333333329</v>
      </c>
      <c r="V16" s="103" t="str">
        <f t="shared" si="1"/>
        <v>APROBADO</v>
      </c>
      <c r="W16" s="104"/>
      <c r="X16" s="104"/>
    </row>
    <row r="17" spans="1:24" ht="12" customHeight="1" x14ac:dyDescent="0.4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28</v>
      </c>
      <c r="K17" s="31" t="str">
        <f>'VAL 2 TRIM'!AB17</f>
        <v/>
      </c>
      <c r="L17" s="31">
        <f>'VAL 2 TRIM'!AA17</f>
        <v>10</v>
      </c>
      <c r="M17" s="31">
        <f>'VAL 2 TRIM'!AE17</f>
        <v>10</v>
      </c>
      <c r="N17" s="101">
        <f>'VAL 2 TRIM'!AG17</f>
        <v>58</v>
      </c>
      <c r="O17" s="31">
        <f>'VAL 3 TRIM'!C17</f>
        <v>10</v>
      </c>
      <c r="P17" s="31">
        <f>'VAL 3 TRIM'!O17</f>
        <v>35</v>
      </c>
      <c r="Q17" s="31">
        <f>'VAL 3 TRIM'!AB17</f>
        <v>35</v>
      </c>
      <c r="R17" s="31">
        <f>'VAL 3 TRIM'!AA17</f>
        <v>10</v>
      </c>
      <c r="S17" s="48">
        <f>'VAL 3 TRIM'!AE17</f>
        <v>10</v>
      </c>
      <c r="T17" s="101">
        <f>'VAL 3 TRIM'!AG17</f>
        <v>100</v>
      </c>
      <c r="U17" s="102">
        <f t="shared" si="0"/>
        <v>82.666666666666671</v>
      </c>
      <c r="V17" s="103" t="str">
        <f t="shared" si="1"/>
        <v>APROBADO</v>
      </c>
      <c r="W17" s="104"/>
      <c r="X17" s="104"/>
    </row>
    <row r="18" spans="1:24" ht="12" customHeight="1" x14ac:dyDescent="0.4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25</v>
      </c>
      <c r="K18" s="31" t="str">
        <f>'VAL 2 TRIM'!AB18</f>
        <v/>
      </c>
      <c r="L18" s="31">
        <f>'VAL 2 TRIM'!AA18</f>
        <v>10</v>
      </c>
      <c r="M18" s="31">
        <f>'VAL 2 TRIM'!AE18</f>
        <v>10</v>
      </c>
      <c r="N18" s="101">
        <f>'VAL 2 TRIM'!AG18</f>
        <v>55</v>
      </c>
      <c r="O18" s="31">
        <f>'VAL 3 TRIM'!C18</f>
        <v>10</v>
      </c>
      <c r="P18" s="31">
        <f>'VAL 3 TRIM'!O18</f>
        <v>35</v>
      </c>
      <c r="Q18" s="31">
        <f>'VAL 3 TRIM'!AB18</f>
        <v>35</v>
      </c>
      <c r="R18" s="31">
        <f>'VAL 3 TRIM'!AA18</f>
        <v>10</v>
      </c>
      <c r="S18" s="48">
        <f>'VAL 3 TRIM'!AE18</f>
        <v>10</v>
      </c>
      <c r="T18" s="101">
        <f>'VAL 3 TRIM'!AG18</f>
        <v>100</v>
      </c>
      <c r="U18" s="102">
        <f t="shared" si="0"/>
        <v>81.666666666666671</v>
      </c>
      <c r="V18" s="103" t="str">
        <f t="shared" si="1"/>
        <v>APROBADO</v>
      </c>
      <c r="W18" s="104"/>
      <c r="X18" s="104"/>
    </row>
    <row r="19" spans="1:24" ht="12" customHeight="1" x14ac:dyDescent="0.4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25</v>
      </c>
      <c r="K19" s="31" t="str">
        <f>'VAL 2 TRIM'!AB19</f>
        <v/>
      </c>
      <c r="L19" s="31">
        <f>'VAL 2 TRIM'!AA19</f>
        <v>10</v>
      </c>
      <c r="M19" s="31">
        <f>'VAL 2 TRIM'!AE19</f>
        <v>10</v>
      </c>
      <c r="N19" s="101">
        <f>'VAL 2 TRIM'!AG19</f>
        <v>55</v>
      </c>
      <c r="O19" s="31">
        <f>'VAL 3 TRIM'!C19</f>
        <v>10</v>
      </c>
      <c r="P19" s="31">
        <f>'VAL 3 TRIM'!O19</f>
        <v>35</v>
      </c>
      <c r="Q19" s="31">
        <f>'VAL 3 TRIM'!AB19</f>
        <v>35</v>
      </c>
      <c r="R19" s="31">
        <f>'VAL 3 TRIM'!AA19</f>
        <v>10</v>
      </c>
      <c r="S19" s="48">
        <f>'VAL 3 TRIM'!AE19</f>
        <v>10</v>
      </c>
      <c r="T19" s="101">
        <f>'VAL 3 TRIM'!AG19</f>
        <v>100</v>
      </c>
      <c r="U19" s="102">
        <f t="shared" si="0"/>
        <v>81.666666666666671</v>
      </c>
      <c r="V19" s="103" t="str">
        <f t="shared" si="1"/>
        <v>APROBADO</v>
      </c>
      <c r="W19" s="104"/>
      <c r="X19" s="104"/>
    </row>
    <row r="20" spans="1:24" ht="12" customHeight="1" x14ac:dyDescent="0.4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18</v>
      </c>
      <c r="K20" s="31" t="str">
        <f>'VAL 2 TRIM'!AB20</f>
        <v/>
      </c>
      <c r="L20" s="31">
        <f>'VAL 2 TRIM'!AA20</f>
        <v>10</v>
      </c>
      <c r="M20" s="31">
        <f>'VAL 2 TRIM'!AE20</f>
        <v>10</v>
      </c>
      <c r="N20" s="101">
        <f>'VAL 2 TRIM'!AG20</f>
        <v>48</v>
      </c>
      <c r="O20" s="31">
        <f>'VAL 3 TRIM'!C20</f>
        <v>10</v>
      </c>
      <c r="P20" s="31">
        <f>'VAL 3 TRIM'!O20</f>
        <v>35</v>
      </c>
      <c r="Q20" s="31">
        <f>'VAL 3 TRIM'!AB20</f>
        <v>35</v>
      </c>
      <c r="R20" s="31">
        <f>'VAL 3 TRIM'!AA20</f>
        <v>10</v>
      </c>
      <c r="S20" s="48">
        <f>'VAL 3 TRIM'!AE20</f>
        <v>10</v>
      </c>
      <c r="T20" s="101">
        <f>'VAL 3 TRIM'!AG20</f>
        <v>100</v>
      </c>
      <c r="U20" s="102">
        <f t="shared" si="0"/>
        <v>79.333333333333329</v>
      </c>
      <c r="V20" s="103" t="str">
        <f t="shared" si="1"/>
        <v>APROBADO</v>
      </c>
      <c r="W20" s="104"/>
      <c r="X20" s="104"/>
    </row>
    <row r="21" spans="1:24" ht="12" customHeight="1" x14ac:dyDescent="0.4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28</v>
      </c>
      <c r="K21" s="31" t="str">
        <f>'VAL 2 TRIM'!AB21</f>
        <v/>
      </c>
      <c r="L21" s="31">
        <f>'VAL 2 TRIM'!AA21</f>
        <v>10</v>
      </c>
      <c r="M21" s="31">
        <f>'VAL 2 TRIM'!AE21</f>
        <v>10</v>
      </c>
      <c r="N21" s="101">
        <f>'VAL 2 TRIM'!AG21</f>
        <v>58</v>
      </c>
      <c r="O21" s="31">
        <f>'VAL 3 TRIM'!C21</f>
        <v>10</v>
      </c>
      <c r="P21" s="31">
        <f>'VAL 3 TRIM'!O21</f>
        <v>35</v>
      </c>
      <c r="Q21" s="31">
        <f>'VAL 3 TRIM'!AB21</f>
        <v>35</v>
      </c>
      <c r="R21" s="31">
        <f>'VAL 3 TRIM'!AA21</f>
        <v>10</v>
      </c>
      <c r="S21" s="48">
        <f>'VAL 3 TRIM'!AE21</f>
        <v>10</v>
      </c>
      <c r="T21" s="101">
        <f>'VAL 3 TRIM'!AG21</f>
        <v>100</v>
      </c>
      <c r="U21" s="102">
        <f t="shared" si="0"/>
        <v>82.666666666666671</v>
      </c>
      <c r="V21" s="103" t="str">
        <f t="shared" si="1"/>
        <v>APROBADO</v>
      </c>
      <c r="W21" s="104"/>
      <c r="X21" s="104"/>
    </row>
    <row r="22" spans="1:24" ht="12" customHeight="1" x14ac:dyDescent="0.4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28</v>
      </c>
      <c r="K22" s="31" t="str">
        <f>'VAL 2 TRIM'!AB22</f>
        <v/>
      </c>
      <c r="L22" s="31">
        <f>'VAL 2 TRIM'!AA22</f>
        <v>10</v>
      </c>
      <c r="M22" s="31">
        <f>'VAL 2 TRIM'!AE22</f>
        <v>10</v>
      </c>
      <c r="N22" s="101">
        <f>'VAL 2 TRIM'!AG22</f>
        <v>58</v>
      </c>
      <c r="O22" s="31">
        <f>'VAL 3 TRIM'!C22</f>
        <v>10</v>
      </c>
      <c r="P22" s="31">
        <f>'VAL 3 TRIM'!O22</f>
        <v>35</v>
      </c>
      <c r="Q22" s="31">
        <f>'VAL 3 TRIM'!AB22</f>
        <v>35</v>
      </c>
      <c r="R22" s="31">
        <f>'VAL 3 TRIM'!AA22</f>
        <v>10</v>
      </c>
      <c r="S22" s="48">
        <f>'VAL 3 TRIM'!AE22</f>
        <v>10</v>
      </c>
      <c r="T22" s="101">
        <f>'VAL 3 TRIM'!AG22</f>
        <v>100</v>
      </c>
      <c r="U22" s="102">
        <f t="shared" si="0"/>
        <v>82.666666666666671</v>
      </c>
      <c r="V22" s="103" t="str">
        <f t="shared" si="1"/>
        <v>APROBADO</v>
      </c>
      <c r="W22" s="104"/>
      <c r="X22" s="104"/>
    </row>
    <row r="23" spans="1:24" ht="12" customHeight="1" x14ac:dyDescent="0.4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26</v>
      </c>
      <c r="K23" s="31" t="str">
        <f>'VAL 2 TRIM'!AB23</f>
        <v/>
      </c>
      <c r="L23" s="31">
        <f>'VAL 2 TRIM'!AA23</f>
        <v>10</v>
      </c>
      <c r="M23" s="31">
        <f>'VAL 2 TRIM'!AE23</f>
        <v>10</v>
      </c>
      <c r="N23" s="101">
        <f>'VAL 2 TRIM'!AG23</f>
        <v>56</v>
      </c>
      <c r="O23" s="31">
        <f>'VAL 3 TRIM'!C23</f>
        <v>10</v>
      </c>
      <c r="P23" s="31">
        <f>'VAL 3 TRIM'!O23</f>
        <v>35</v>
      </c>
      <c r="Q23" s="31">
        <f>'VAL 3 TRIM'!AB23</f>
        <v>35</v>
      </c>
      <c r="R23" s="31">
        <f>'VAL 3 TRIM'!AA23</f>
        <v>10</v>
      </c>
      <c r="S23" s="48">
        <f>'VAL 3 TRIM'!AE23</f>
        <v>10</v>
      </c>
      <c r="T23" s="101">
        <f>'VAL 3 TRIM'!AG23</f>
        <v>100</v>
      </c>
      <c r="U23" s="102">
        <f t="shared" si="0"/>
        <v>82</v>
      </c>
      <c r="V23" s="103" t="str">
        <f t="shared" si="1"/>
        <v>APROBADO</v>
      </c>
      <c r="W23" s="104"/>
      <c r="X23" s="104"/>
    </row>
    <row r="24" spans="1:24" ht="12" customHeight="1" x14ac:dyDescent="0.4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15</v>
      </c>
      <c r="K24" s="31" t="str">
        <f>'VAL 2 TRIM'!AB24</f>
        <v/>
      </c>
      <c r="L24" s="31">
        <f>'VAL 2 TRIM'!AA24</f>
        <v>10</v>
      </c>
      <c r="M24" s="31">
        <f>'VAL 2 TRIM'!AE24</f>
        <v>10</v>
      </c>
      <c r="N24" s="101">
        <f>'VAL 2 TRIM'!AG24</f>
        <v>45</v>
      </c>
      <c r="O24" s="31">
        <f>'VAL 3 TRIM'!C24</f>
        <v>10</v>
      </c>
      <c r="P24" s="31">
        <f>'VAL 3 TRIM'!O24</f>
        <v>35</v>
      </c>
      <c r="Q24" s="31">
        <f>'VAL 3 TRIM'!AB24</f>
        <v>35</v>
      </c>
      <c r="R24" s="31">
        <f>'VAL 3 TRIM'!AA24</f>
        <v>10</v>
      </c>
      <c r="S24" s="48">
        <f>'VAL 3 TRIM'!AE24</f>
        <v>10</v>
      </c>
      <c r="T24" s="101">
        <f>'VAL 3 TRIM'!AG24</f>
        <v>100</v>
      </c>
      <c r="U24" s="102">
        <f t="shared" si="0"/>
        <v>78.333333333333329</v>
      </c>
      <c r="V24" s="103" t="str">
        <f t="shared" si="1"/>
        <v>APROBADO</v>
      </c>
      <c r="W24" s="104"/>
      <c r="X24" s="104"/>
    </row>
    <row r="25" spans="1:24" ht="12" customHeight="1" x14ac:dyDescent="0.4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28</v>
      </c>
      <c r="K25" s="31" t="str">
        <f>'VAL 2 TRIM'!AB25</f>
        <v/>
      </c>
      <c r="L25" s="31">
        <f>'VAL 2 TRIM'!AA25</f>
        <v>10</v>
      </c>
      <c r="M25" s="31">
        <f>'VAL 2 TRIM'!AE25</f>
        <v>10</v>
      </c>
      <c r="N25" s="101">
        <f>'VAL 2 TRIM'!AG25</f>
        <v>58</v>
      </c>
      <c r="O25" s="31">
        <f>'VAL 3 TRIM'!C25</f>
        <v>10</v>
      </c>
      <c r="P25" s="31">
        <f>'VAL 3 TRIM'!O25</f>
        <v>35</v>
      </c>
      <c r="Q25" s="31">
        <f>'VAL 3 TRIM'!AB25</f>
        <v>35</v>
      </c>
      <c r="R25" s="31">
        <f>'VAL 3 TRIM'!AA25</f>
        <v>10</v>
      </c>
      <c r="S25" s="48">
        <f>'VAL 3 TRIM'!AE25</f>
        <v>10</v>
      </c>
      <c r="T25" s="101">
        <f>'VAL 3 TRIM'!AG25</f>
        <v>100</v>
      </c>
      <c r="U25" s="102">
        <f t="shared" si="0"/>
        <v>82.666666666666671</v>
      </c>
      <c r="V25" s="103" t="str">
        <f t="shared" si="1"/>
        <v>APROBADO</v>
      </c>
      <c r="W25" s="104"/>
      <c r="X25" s="104"/>
    </row>
    <row r="26" spans="1:24" ht="12" customHeight="1" x14ac:dyDescent="0.45">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t="str">
        <f>'VAL 2 TRIM'!O26</f>
        <v/>
      </c>
      <c r="K26" s="31" t="str">
        <f>'VAL 2 TRIM'!AB26</f>
        <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45">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t="str">
        <f>'VAL 2 TRIM'!O27</f>
        <v/>
      </c>
      <c r="K27" s="31">
        <f>'VAL 2 TRIM'!AB27</f>
        <v>35</v>
      </c>
      <c r="L27" s="31">
        <f>'VAL 2 TRIM'!AA27</f>
        <v>10</v>
      </c>
      <c r="M27" s="31">
        <f>'VAL 2 TRIM'!AE27</f>
        <v>10</v>
      </c>
      <c r="N27" s="101">
        <f>'VAL 2 TRIM'!AG27</f>
        <v>65</v>
      </c>
      <c r="O27" s="31">
        <f>'VAL 3 TRIM'!C27</f>
        <v>10</v>
      </c>
      <c r="P27" s="31">
        <f>'VAL 3 TRIM'!O27</f>
        <v>35</v>
      </c>
      <c r="Q27" s="31">
        <f>'VAL 3 TRIM'!AB27</f>
        <v>35</v>
      </c>
      <c r="R27" s="31">
        <f>'VAL 3 TRIM'!AA27</f>
        <v>10</v>
      </c>
      <c r="S27" s="48">
        <f>'VAL 3 TRIM'!AE27</f>
        <v>10</v>
      </c>
      <c r="T27" s="101">
        <f>'VAL 3 TRIM'!AG27</f>
        <v>100</v>
      </c>
      <c r="U27" s="102">
        <f t="shared" si="0"/>
        <v>88.333333333333329</v>
      </c>
      <c r="V27" s="103" t="str">
        <f t="shared" si="1"/>
        <v>APROBADO</v>
      </c>
      <c r="W27" s="104"/>
      <c r="X27" s="104"/>
    </row>
    <row r="28" spans="1:24" ht="12" customHeight="1" x14ac:dyDescent="0.4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6171875" customWidth="1"/>
  </cols>
  <sheetData>
    <row r="1" spans="1:13" ht="4.5" customHeight="1" x14ac:dyDescent="0.45"/>
    <row r="2" spans="1:13" ht="12.75" customHeight="1" x14ac:dyDescent="0.45">
      <c r="B2" s="177" t="s">
        <v>108</v>
      </c>
      <c r="C2" s="173"/>
      <c r="D2" s="173"/>
      <c r="E2" s="173"/>
      <c r="F2" s="173"/>
      <c r="G2" s="173"/>
      <c r="H2" s="173"/>
      <c r="I2" s="73"/>
      <c r="J2" s="73"/>
      <c r="K2" s="73"/>
      <c r="L2" s="73"/>
      <c r="M2" s="73"/>
    </row>
    <row r="3" spans="1:13" ht="12.75" customHeight="1" x14ac:dyDescent="0.45">
      <c r="B3" s="38" t="s">
        <v>8</v>
      </c>
      <c r="C3" s="39" t="str">
        <f>CARÁTULA!$C$15</f>
        <v>Instituto Tecnico Humanistico Jauzel Arrieta</v>
      </c>
      <c r="D3" s="41"/>
      <c r="E3" s="42"/>
      <c r="F3" s="42"/>
      <c r="G3" s="42"/>
      <c r="H3" s="42"/>
      <c r="I3" s="42"/>
      <c r="J3" s="38" t="s">
        <v>19</v>
      </c>
      <c r="K3" s="106"/>
      <c r="L3" s="39" t="str">
        <f>CARÁTULA!$C$25</f>
        <v>programacion visual</v>
      </c>
      <c r="M3" s="106"/>
    </row>
    <row r="4" spans="1:13" ht="12.75" customHeight="1" x14ac:dyDescent="0.45">
      <c r="B4" s="38" t="s">
        <v>14</v>
      </c>
      <c r="C4" s="39" t="str">
        <f>CARÁTULA!$C$21</f>
        <v>Secundaria</v>
      </c>
      <c r="D4" s="41"/>
      <c r="E4" s="40"/>
      <c r="F4" s="39"/>
      <c r="G4" s="40"/>
      <c r="H4" s="40"/>
      <c r="I4" s="40"/>
      <c r="J4" s="38" t="s">
        <v>53</v>
      </c>
      <c r="K4" s="106"/>
      <c r="L4" s="39">
        <f>CARÁTULA!$C$19</f>
        <v>0</v>
      </c>
      <c r="M4" s="106"/>
    </row>
    <row r="5" spans="1:13" ht="12.75" customHeight="1" x14ac:dyDescent="0.45">
      <c r="B5" s="38" t="s">
        <v>23</v>
      </c>
      <c r="C5" s="39" t="str">
        <f>CARÁTULA!$C$23</f>
        <v>6to de Secundaria</v>
      </c>
      <c r="D5" s="38"/>
      <c r="E5" s="44"/>
      <c r="F5" s="224"/>
      <c r="G5" s="203"/>
      <c r="H5" s="44"/>
      <c r="I5" s="44"/>
      <c r="J5" s="38" t="s">
        <v>24</v>
      </c>
      <c r="K5" s="106"/>
      <c r="L5" s="191">
        <f ca="1">TODAY()</f>
        <v>44419</v>
      </c>
      <c r="M5" s="173"/>
    </row>
    <row r="6" spans="1:13" ht="12.75" customHeight="1" x14ac:dyDescent="0.45">
      <c r="B6" s="38"/>
      <c r="C6" s="225" t="s">
        <v>113</v>
      </c>
      <c r="D6" s="195"/>
      <c r="E6" s="196"/>
      <c r="F6" s="221" t="s">
        <v>109</v>
      </c>
      <c r="G6" s="217" t="s">
        <v>110</v>
      </c>
      <c r="H6" s="68"/>
      <c r="I6" s="68"/>
    </row>
    <row r="7" spans="1:13" ht="12" customHeight="1" x14ac:dyDescent="0.45">
      <c r="B7" s="47"/>
      <c r="C7" s="222" t="s">
        <v>4</v>
      </c>
      <c r="D7" s="222" t="s">
        <v>114</v>
      </c>
      <c r="E7" s="223" t="s">
        <v>16</v>
      </c>
      <c r="F7" s="218"/>
      <c r="G7" s="218"/>
      <c r="H7" s="40"/>
      <c r="I7" s="40"/>
    </row>
    <row r="8" spans="1:13" ht="67.5" customHeight="1" x14ac:dyDescent="0.45">
      <c r="A8" s="48" t="s">
        <v>56</v>
      </c>
      <c r="B8" s="49" t="s">
        <v>57</v>
      </c>
      <c r="C8" s="199"/>
      <c r="D8" s="199"/>
      <c r="E8" s="199"/>
      <c r="F8" s="199"/>
      <c r="G8" s="199"/>
      <c r="H8" s="100"/>
      <c r="I8" s="100" t="s">
        <v>115</v>
      </c>
      <c r="J8" s="100" t="s">
        <v>116</v>
      </c>
      <c r="K8" s="100" t="s">
        <v>117</v>
      </c>
    </row>
    <row r="9" spans="1:13" ht="12" customHeight="1" x14ac:dyDescent="0.45">
      <c r="A9" s="59">
        <v>1</v>
      </c>
      <c r="B9" s="60" t="str">
        <f>'C. FILIACION'!B8</f>
        <v>ALTAMIRANO RAMOS ESTEFANI MILENKA</v>
      </c>
      <c r="C9" s="101">
        <f>'VAL 1 TRIM '!AG9</f>
        <v>90</v>
      </c>
      <c r="D9" s="101">
        <f>'VAL 2 TRIM'!AG9</f>
        <v>62</v>
      </c>
      <c r="E9" s="101">
        <f>'VAL 3 TRIM'!AG9</f>
        <v>100</v>
      </c>
      <c r="F9" s="102">
        <f>'CENTRAL 1'!U9</f>
        <v>84</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45">
      <c r="A10" s="59">
        <v>2</v>
      </c>
      <c r="B10" s="60" t="str">
        <f>'C. FILIACION'!B9</f>
        <v>APAZA LINO TATIANA JAZMIN</v>
      </c>
      <c r="C10" s="101">
        <f>'VAL 1 TRIM '!AG10</f>
        <v>90</v>
      </c>
      <c r="D10" s="101">
        <f>'VAL 2 TRIM'!AG10</f>
        <v>62</v>
      </c>
      <c r="E10" s="101">
        <f>'VAL 3 TRIM'!AG10</f>
        <v>100</v>
      </c>
      <c r="F10" s="102">
        <f>'CENTRAL 1'!U10</f>
        <v>84</v>
      </c>
      <c r="G10" s="103" t="str">
        <f t="shared" si="0"/>
        <v>APROBADO</v>
      </c>
      <c r="H10" s="104"/>
      <c r="I10" s="108" t="s">
        <v>118</v>
      </c>
      <c r="J10" s="109"/>
    </row>
    <row r="11" spans="1:13" ht="12" customHeight="1" x14ac:dyDescent="0.45">
      <c r="A11" s="59">
        <v>3</v>
      </c>
      <c r="B11" s="60" t="str">
        <f>'C. FILIACION'!B10</f>
        <v>BOLAÑOS OVANDO MIJHAIL ALEXANDER</v>
      </c>
      <c r="C11" s="101">
        <f>'VAL 1 TRIM '!AG11</f>
        <v>90</v>
      </c>
      <c r="D11" s="101">
        <f>'VAL 2 TRIM'!AG11</f>
        <v>50</v>
      </c>
      <c r="E11" s="101">
        <f>'VAL 3 TRIM'!AG11</f>
        <v>100</v>
      </c>
      <c r="F11" s="102">
        <f>'CENTRAL 1'!U11</f>
        <v>80</v>
      </c>
      <c r="G11" s="103" t="str">
        <f t="shared" si="0"/>
        <v>APROBADO</v>
      </c>
      <c r="H11" s="104"/>
      <c r="I11" s="104"/>
    </row>
    <row r="12" spans="1:13" ht="12" customHeight="1" x14ac:dyDescent="0.45">
      <c r="A12" s="59">
        <v>4</v>
      </c>
      <c r="B12" s="60" t="str">
        <f>'C. FILIACION'!B11</f>
        <v>BRICHER ETHELBERT ISMAEL</v>
      </c>
      <c r="C12" s="101">
        <f>'VAL 1 TRIM '!AG12</f>
        <v>50</v>
      </c>
      <c r="D12" s="101">
        <f>'VAL 2 TRIM'!AG12</f>
        <v>30</v>
      </c>
      <c r="E12" s="101">
        <f>'VAL 3 TRIM'!AG12</f>
        <v>100</v>
      </c>
      <c r="F12" s="102">
        <f>'CENTRAL 1'!U12</f>
        <v>60</v>
      </c>
      <c r="G12" s="103" t="str">
        <f t="shared" si="0"/>
        <v>APROBADO</v>
      </c>
      <c r="H12" s="104"/>
      <c r="I12" s="104"/>
    </row>
    <row r="13" spans="1:13" ht="12" customHeight="1" x14ac:dyDescent="0.45">
      <c r="A13" s="59">
        <v>5</v>
      </c>
      <c r="B13" s="60" t="str">
        <f>'C. FILIACION'!B12</f>
        <v>CANAVIRI QUISBERT ALEJANDRA ELENA</v>
      </c>
      <c r="C13" s="101">
        <f>'VAL 1 TRIM '!AG13</f>
        <v>90</v>
      </c>
      <c r="D13" s="101">
        <f>'VAL 2 TRIM'!AG13</f>
        <v>58</v>
      </c>
      <c r="E13" s="101">
        <f>'VAL 3 TRIM'!AG13</f>
        <v>100</v>
      </c>
      <c r="F13" s="102">
        <f>'CENTRAL 1'!U13</f>
        <v>82.666666666666671</v>
      </c>
      <c r="G13" s="103" t="str">
        <f t="shared" si="0"/>
        <v>APROBADO</v>
      </c>
      <c r="H13" s="104"/>
      <c r="I13" s="107">
        <f t="shared" ref="I13:K13" si="2">COUNTIF(C9:C44,"&lt;=51")</f>
        <v>1</v>
      </c>
      <c r="J13" s="107">
        <f t="shared" si="2"/>
        <v>6</v>
      </c>
      <c r="K13" s="107">
        <f t="shared" si="2"/>
        <v>0</v>
      </c>
    </row>
    <row r="14" spans="1:13" ht="12" customHeight="1" x14ac:dyDescent="0.45">
      <c r="A14" s="59">
        <v>6</v>
      </c>
      <c r="B14" s="60" t="str">
        <f>'C. FILIACION'!B13</f>
        <v>GOMEZ BELTRAN ALBERT NORMAN</v>
      </c>
      <c r="C14" s="101">
        <f>'VAL 1 TRIM '!AG14</f>
        <v>90</v>
      </c>
      <c r="D14" s="101">
        <f>'VAL 2 TRIM'!AG14</f>
        <v>57</v>
      </c>
      <c r="E14" s="101">
        <f>'VAL 3 TRIM'!AG14</f>
        <v>100</v>
      </c>
      <c r="F14" s="102">
        <f>'CENTRAL 1'!U14</f>
        <v>82.333333333333329</v>
      </c>
      <c r="G14" s="103" t="str">
        <f t="shared" si="0"/>
        <v>APROBADO</v>
      </c>
      <c r="H14" s="104"/>
      <c r="I14" s="108" t="s">
        <v>119</v>
      </c>
    </row>
    <row r="15" spans="1:13" ht="12" customHeight="1" x14ac:dyDescent="0.45">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45">
      <c r="A16" s="59">
        <v>8</v>
      </c>
      <c r="B16" s="60" t="str">
        <f>'C. FILIACION'!B15</f>
        <v>GONZALES ZUAZO KALEB RAMSES</v>
      </c>
      <c r="C16" s="101">
        <f>'VAL 1 TRIM '!AG16</f>
        <v>90</v>
      </c>
      <c r="D16" s="101">
        <f>'VAL 2 TRIM'!AG16</f>
        <v>54</v>
      </c>
      <c r="E16" s="101">
        <f>'VAL 3 TRIM'!AG16</f>
        <v>100</v>
      </c>
      <c r="F16" s="102">
        <f>'CENTRAL 1'!U16</f>
        <v>81.333333333333329</v>
      </c>
      <c r="G16" s="103" t="str">
        <f t="shared" si="0"/>
        <v>APROBADO</v>
      </c>
      <c r="H16" s="104"/>
      <c r="I16" s="104"/>
    </row>
    <row r="17" spans="1:9" ht="12" customHeight="1" x14ac:dyDescent="0.45">
      <c r="A17" s="59">
        <v>9</v>
      </c>
      <c r="B17" s="60" t="str">
        <f>'C. FILIACION'!B16</f>
        <v>LEDEZMA AGUILAR ELVIS JHEFERSON</v>
      </c>
      <c r="C17" s="101">
        <f>'VAL 1 TRIM '!AG17</f>
        <v>90</v>
      </c>
      <c r="D17" s="101">
        <f>'VAL 2 TRIM'!AG17</f>
        <v>58</v>
      </c>
      <c r="E17" s="101">
        <f>'VAL 3 TRIM'!AG17</f>
        <v>100</v>
      </c>
      <c r="F17" s="102">
        <f>'CENTRAL 1'!U17</f>
        <v>82.666666666666671</v>
      </c>
      <c r="G17" s="103" t="str">
        <f t="shared" si="0"/>
        <v>APROBADO</v>
      </c>
      <c r="H17" s="104"/>
      <c r="I17" s="104"/>
    </row>
    <row r="18" spans="1:9" ht="12" customHeight="1" x14ac:dyDescent="0.45">
      <c r="A18" s="59">
        <v>10</v>
      </c>
      <c r="B18" s="60" t="str">
        <f>'C. FILIACION'!B17</f>
        <v>LOBATON RODRIGUEZ JHONATAN A.</v>
      </c>
      <c r="C18" s="101">
        <f>'VAL 1 TRIM '!AG18</f>
        <v>90</v>
      </c>
      <c r="D18" s="101">
        <f>'VAL 2 TRIM'!AG18</f>
        <v>55</v>
      </c>
      <c r="E18" s="101">
        <f>'VAL 3 TRIM'!AG18</f>
        <v>100</v>
      </c>
      <c r="F18" s="102">
        <f>'CENTRAL 1'!U18</f>
        <v>81.666666666666671</v>
      </c>
      <c r="G18" s="103" t="str">
        <f t="shared" si="0"/>
        <v>APROBADO</v>
      </c>
      <c r="H18" s="104"/>
      <c r="I18" s="104"/>
    </row>
    <row r="19" spans="1:9" ht="12" customHeight="1" x14ac:dyDescent="0.45">
      <c r="A19" s="59">
        <v>11</v>
      </c>
      <c r="B19" s="60" t="str">
        <f>'C. FILIACION'!B18</f>
        <v>MAMANI LOPEZ DAFNE MILDRED</v>
      </c>
      <c r="C19" s="101">
        <f>'VAL 1 TRIM '!AG19</f>
        <v>90</v>
      </c>
      <c r="D19" s="101">
        <f>'VAL 2 TRIM'!AG19</f>
        <v>55</v>
      </c>
      <c r="E19" s="101">
        <f>'VAL 3 TRIM'!AG19</f>
        <v>100</v>
      </c>
      <c r="F19" s="102">
        <f>'CENTRAL 1'!U19</f>
        <v>81.666666666666671</v>
      </c>
      <c r="G19" s="103" t="str">
        <f t="shared" si="0"/>
        <v>APROBADO</v>
      </c>
      <c r="H19" s="104"/>
      <c r="I19" s="104"/>
    </row>
    <row r="20" spans="1:9" ht="12" customHeight="1" x14ac:dyDescent="0.45">
      <c r="A20" s="59">
        <v>12</v>
      </c>
      <c r="B20" s="60" t="str">
        <f>'C. FILIACION'!B19</f>
        <v>MARCONI PEREZ SINDEL LUANA</v>
      </c>
      <c r="C20" s="101">
        <f>'VAL 1 TRIM '!AG20</f>
        <v>90</v>
      </c>
      <c r="D20" s="101">
        <f>'VAL 2 TRIM'!AG20</f>
        <v>48</v>
      </c>
      <c r="E20" s="101">
        <f>'VAL 3 TRIM'!AG20</f>
        <v>100</v>
      </c>
      <c r="F20" s="102">
        <f>'CENTRAL 1'!U20</f>
        <v>79.333333333333329</v>
      </c>
      <c r="G20" s="103" t="str">
        <f t="shared" si="0"/>
        <v>APROBADO</v>
      </c>
      <c r="H20" s="104"/>
      <c r="I20" s="104"/>
    </row>
    <row r="21" spans="1:9" ht="12" customHeight="1" x14ac:dyDescent="0.45">
      <c r="A21" s="59">
        <v>13</v>
      </c>
      <c r="B21" s="60" t="str">
        <f>'C. FILIACION'!B20</f>
        <v>MENACHO LINEO ANDREA KIMBERLY</v>
      </c>
      <c r="C21" s="101">
        <f>'VAL 1 TRIM '!AG21</f>
        <v>90</v>
      </c>
      <c r="D21" s="101">
        <f>'VAL 2 TRIM'!AG21</f>
        <v>58</v>
      </c>
      <c r="E21" s="101">
        <f>'VAL 3 TRIM'!AG21</f>
        <v>100</v>
      </c>
      <c r="F21" s="102">
        <f>'CENTRAL 1'!U21</f>
        <v>82.666666666666671</v>
      </c>
      <c r="G21" s="103" t="str">
        <f t="shared" si="0"/>
        <v>APROBADO</v>
      </c>
      <c r="H21" s="104"/>
      <c r="I21" s="104"/>
    </row>
    <row r="22" spans="1:9" ht="12" customHeight="1" x14ac:dyDescent="0.45">
      <c r="A22" s="59">
        <v>14</v>
      </c>
      <c r="B22" s="60" t="str">
        <f>'C. FILIACION'!B21</f>
        <v>PILLCO APAZA MARIAN ALEXANDRA</v>
      </c>
      <c r="C22" s="101">
        <f>'VAL 1 TRIM '!AG22</f>
        <v>90</v>
      </c>
      <c r="D22" s="101">
        <f>'VAL 2 TRIM'!AG22</f>
        <v>58</v>
      </c>
      <c r="E22" s="101">
        <f>'VAL 3 TRIM'!AG22</f>
        <v>100</v>
      </c>
      <c r="F22" s="102">
        <f>'CENTRAL 1'!U22</f>
        <v>82.666666666666671</v>
      </c>
      <c r="G22" s="103" t="str">
        <f t="shared" si="0"/>
        <v>APROBADO</v>
      </c>
      <c r="H22" s="104"/>
      <c r="I22" s="104"/>
    </row>
    <row r="23" spans="1:9" ht="12" customHeight="1" x14ac:dyDescent="0.45">
      <c r="A23" s="59">
        <v>15</v>
      </c>
      <c r="B23" s="60" t="str">
        <f>'C. FILIACION'!B22</f>
        <v>RUEDA ALVAREZ GREGORY STEVEN</v>
      </c>
      <c r="C23" s="101">
        <f>'VAL 1 TRIM '!AG23</f>
        <v>90</v>
      </c>
      <c r="D23" s="101">
        <f>'VAL 2 TRIM'!AG23</f>
        <v>56</v>
      </c>
      <c r="E23" s="101">
        <f>'VAL 3 TRIM'!AG23</f>
        <v>100</v>
      </c>
      <c r="F23" s="102">
        <f>'CENTRAL 1'!U23</f>
        <v>82</v>
      </c>
      <c r="G23" s="103" t="str">
        <f t="shared" si="0"/>
        <v>APROBADO</v>
      </c>
      <c r="H23" s="104"/>
      <c r="I23" s="104"/>
    </row>
    <row r="24" spans="1:9" ht="12" customHeight="1" x14ac:dyDescent="0.45">
      <c r="A24" s="59">
        <v>16</v>
      </c>
      <c r="B24" s="60" t="str">
        <f>'C. FILIACION'!B23</f>
        <v>VARGAS JOYCE BELEN</v>
      </c>
      <c r="C24" s="101">
        <f>'VAL 1 TRIM '!AG24</f>
        <v>90</v>
      </c>
      <c r="D24" s="101">
        <f>'VAL 2 TRIM'!AG24</f>
        <v>45</v>
      </c>
      <c r="E24" s="101">
        <f>'VAL 3 TRIM'!AG24</f>
        <v>100</v>
      </c>
      <c r="F24" s="102">
        <f>'CENTRAL 1'!U24</f>
        <v>78.333333333333329</v>
      </c>
      <c r="G24" s="103" t="str">
        <f t="shared" si="0"/>
        <v>APROBADO</v>
      </c>
      <c r="H24" s="104"/>
      <c r="I24" s="104"/>
    </row>
    <row r="25" spans="1:9" ht="12" customHeight="1" x14ac:dyDescent="0.45">
      <c r="A25" s="59">
        <v>17</v>
      </c>
      <c r="B25" s="60" t="str">
        <f>'C. FILIACION'!B24</f>
        <v>ZURITA JIMENEZ ELMER ARTURO</v>
      </c>
      <c r="C25" s="101">
        <f>'VAL 1 TRIM '!AG25</f>
        <v>90</v>
      </c>
      <c r="D25" s="101">
        <f>'VAL 2 TRIM'!AG25</f>
        <v>58</v>
      </c>
      <c r="E25" s="101">
        <f>'VAL 3 TRIM'!AG25</f>
        <v>100</v>
      </c>
      <c r="F25" s="102">
        <f>'CENTRAL 1'!U25</f>
        <v>82.666666666666671</v>
      </c>
      <c r="G25" s="103" t="str">
        <f t="shared" si="0"/>
        <v>APROBADO</v>
      </c>
      <c r="H25" s="104"/>
      <c r="I25" s="104"/>
    </row>
    <row r="26" spans="1:9" ht="12" customHeight="1" x14ac:dyDescent="0.45">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45">
      <c r="A27" s="59">
        <v>19</v>
      </c>
      <c r="B27" s="60" t="str">
        <f>'C. FILIACION'!B26</f>
        <v>Ventura Choque Danely Keyla</v>
      </c>
      <c r="C27" s="101">
        <f>'VAL 1 TRIM '!AG27</f>
        <v>100</v>
      </c>
      <c r="D27" s="101">
        <f>'VAL 2 TRIM'!AG27</f>
        <v>65</v>
      </c>
      <c r="E27" s="101">
        <f>'VAL 3 TRIM'!AG27</f>
        <v>100</v>
      </c>
      <c r="F27" s="102">
        <f>'CENTRAL 1'!U27</f>
        <v>88.333333333333329</v>
      </c>
      <c r="G27" s="103" t="str">
        <f t="shared" si="0"/>
        <v>APROBADO</v>
      </c>
      <c r="H27" s="104"/>
      <c r="I27" s="104"/>
    </row>
    <row r="28" spans="1:9" ht="12" customHeight="1" x14ac:dyDescent="0.4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9" t="s">
        <v>120</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44419</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1 TRIM '!$AO$10</f>
        <v>0</v>
      </c>
      <c r="I8" s="118">
        <f>H8/H11</f>
        <v>0</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1 TRIM '!$AO$11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45">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45">
      <c r="A17" s="110"/>
      <c r="B17" s="202"/>
      <c r="C17" s="203"/>
      <c r="D17" s="203"/>
      <c r="E17" s="203"/>
      <c r="F17" s="203"/>
      <c r="G17" s="203"/>
      <c r="H17" s="203"/>
      <c r="I17" s="203"/>
      <c r="J17" s="204"/>
      <c r="K17" s="110"/>
      <c r="L17" s="110"/>
      <c r="M17" s="110"/>
      <c r="N17" s="110"/>
      <c r="O17" s="110"/>
      <c r="P17" s="110"/>
      <c r="Q17" s="110"/>
      <c r="R17" s="110"/>
      <c r="S17" s="110"/>
      <c r="T17" s="110"/>
      <c r="U17" s="110"/>
      <c r="V17" s="110"/>
      <c r="W17" s="110"/>
      <c r="X17" s="110"/>
      <c r="Y17" s="110"/>
      <c r="Z17" s="110"/>
    </row>
    <row r="18" spans="1:26" ht="16.5" customHeight="1" x14ac:dyDescent="0.45">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45">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45">
      <c r="A20" s="110"/>
      <c r="B20" s="202"/>
      <c r="C20" s="203"/>
      <c r="D20" s="203"/>
      <c r="E20" s="203"/>
      <c r="F20" s="203"/>
      <c r="G20" s="203"/>
      <c r="H20" s="203"/>
      <c r="I20" s="203"/>
      <c r="J20" s="204"/>
      <c r="K20" s="110"/>
      <c r="L20" s="110"/>
      <c r="M20" s="110"/>
      <c r="N20" s="110"/>
      <c r="O20" s="110"/>
      <c r="P20" s="110"/>
      <c r="Q20" s="110"/>
      <c r="R20" s="110"/>
      <c r="S20" s="110"/>
      <c r="T20" s="110"/>
      <c r="U20" s="110"/>
      <c r="V20" s="110"/>
      <c r="W20" s="110"/>
      <c r="X20" s="110"/>
      <c r="Y20" s="110"/>
      <c r="Z20" s="110"/>
    </row>
    <row r="21" spans="1:26" ht="16.5" customHeight="1" x14ac:dyDescent="0.45">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45">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45">
      <c r="A23" s="110"/>
      <c r="B23" s="202"/>
      <c r="C23" s="203"/>
      <c r="D23" s="203"/>
      <c r="E23" s="203"/>
      <c r="F23" s="203"/>
      <c r="G23" s="203"/>
      <c r="H23" s="203"/>
      <c r="I23" s="203"/>
      <c r="J23" s="204"/>
      <c r="K23" s="110"/>
      <c r="L23" s="110"/>
      <c r="M23" s="110"/>
      <c r="N23" s="110"/>
      <c r="O23" s="110"/>
      <c r="P23" s="110"/>
      <c r="Q23" s="110"/>
      <c r="R23" s="110"/>
      <c r="S23" s="110"/>
      <c r="T23" s="110"/>
      <c r="U23" s="110"/>
      <c r="V23" s="110"/>
      <c r="W23" s="110"/>
      <c r="X23" s="110"/>
      <c r="Y23" s="110"/>
      <c r="Z23" s="110"/>
    </row>
    <row r="24" spans="1:26" ht="16.5" customHeight="1" x14ac:dyDescent="0.45">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45">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45">
      <c r="A26" s="110"/>
      <c r="B26" s="202"/>
      <c r="C26" s="203"/>
      <c r="D26" s="203"/>
      <c r="E26" s="203"/>
      <c r="F26" s="203"/>
      <c r="G26" s="203"/>
      <c r="H26" s="203"/>
      <c r="I26" s="203"/>
      <c r="J26" s="204"/>
      <c r="K26" s="110"/>
      <c r="L26" s="110"/>
      <c r="M26" s="110"/>
      <c r="N26" s="110"/>
      <c r="O26" s="110"/>
      <c r="P26" s="110"/>
      <c r="Q26" s="110"/>
      <c r="R26" s="110"/>
      <c r="S26" s="110"/>
      <c r="T26" s="110"/>
      <c r="U26" s="110"/>
      <c r="V26" s="110"/>
      <c r="W26" s="110"/>
      <c r="X26" s="110"/>
      <c r="Y26" s="110"/>
      <c r="Z26" s="110"/>
    </row>
    <row r="27" spans="1:26" ht="16.5" customHeight="1" x14ac:dyDescent="0.45">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45">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45">
      <c r="A29" s="110"/>
      <c r="B29" s="202"/>
      <c r="C29" s="203"/>
      <c r="D29" s="203"/>
      <c r="E29" s="203"/>
      <c r="F29" s="203"/>
      <c r="G29" s="203"/>
      <c r="H29" s="203"/>
      <c r="I29" s="203"/>
      <c r="J29" s="204"/>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9" t="s">
        <v>144</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44419</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2 TRIM'!$AO$10</f>
        <v>13</v>
      </c>
      <c r="I8" s="118">
        <f>H8/H11</f>
        <v>0.3611111111111111</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2 TRIM'!$AO$11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2 TRIM'!$AO$12</f>
        <v>17</v>
      </c>
      <c r="I10" s="118">
        <f>H10/H11</f>
        <v>0.47222222222222221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45">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45">
      <c r="A17" s="110"/>
      <c r="B17" s="202"/>
      <c r="C17" s="203"/>
      <c r="D17" s="203"/>
      <c r="E17" s="203"/>
      <c r="F17" s="203"/>
      <c r="G17" s="203"/>
      <c r="H17" s="203"/>
      <c r="I17" s="203"/>
      <c r="J17" s="204"/>
      <c r="K17" s="110"/>
      <c r="L17" s="110"/>
      <c r="M17" s="110"/>
      <c r="N17" s="110"/>
      <c r="O17" s="110"/>
      <c r="P17" s="110"/>
      <c r="Q17" s="110"/>
      <c r="R17" s="110"/>
      <c r="S17" s="110"/>
      <c r="T17" s="110"/>
      <c r="U17" s="110"/>
      <c r="V17" s="110"/>
      <c r="W17" s="110"/>
      <c r="X17" s="110"/>
      <c r="Y17" s="110"/>
      <c r="Z17" s="110"/>
    </row>
    <row r="18" spans="1:26" ht="16.5" customHeight="1" x14ac:dyDescent="0.45">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45">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45">
      <c r="A20" s="110"/>
      <c r="B20" s="202"/>
      <c r="C20" s="203"/>
      <c r="D20" s="203"/>
      <c r="E20" s="203"/>
      <c r="F20" s="203"/>
      <c r="G20" s="203"/>
      <c r="H20" s="203"/>
      <c r="I20" s="203"/>
      <c r="J20" s="204"/>
      <c r="K20" s="110"/>
      <c r="L20" s="110"/>
      <c r="M20" s="110"/>
      <c r="N20" s="110"/>
      <c r="O20" s="110"/>
      <c r="P20" s="110"/>
      <c r="Q20" s="110"/>
      <c r="R20" s="110"/>
      <c r="S20" s="110"/>
      <c r="T20" s="110"/>
      <c r="U20" s="110"/>
      <c r="V20" s="110"/>
      <c r="W20" s="110"/>
      <c r="X20" s="110"/>
      <c r="Y20" s="110"/>
      <c r="Z20" s="110"/>
    </row>
    <row r="21" spans="1:26" ht="16.5" customHeight="1" x14ac:dyDescent="0.45">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45">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45">
      <c r="A23" s="110"/>
      <c r="B23" s="202"/>
      <c r="C23" s="203"/>
      <c r="D23" s="203"/>
      <c r="E23" s="203"/>
      <c r="F23" s="203"/>
      <c r="G23" s="203"/>
      <c r="H23" s="203"/>
      <c r="I23" s="203"/>
      <c r="J23" s="204"/>
      <c r="K23" s="110"/>
      <c r="L23" s="110"/>
      <c r="M23" s="110"/>
      <c r="N23" s="110"/>
      <c r="O23" s="110"/>
      <c r="P23" s="110"/>
      <c r="Q23" s="110"/>
      <c r="R23" s="110"/>
      <c r="S23" s="110"/>
      <c r="T23" s="110"/>
      <c r="U23" s="110"/>
      <c r="V23" s="110"/>
      <c r="W23" s="110"/>
      <c r="X23" s="110"/>
      <c r="Y23" s="110"/>
      <c r="Z23" s="110"/>
    </row>
    <row r="24" spans="1:26" ht="16.5" customHeight="1" x14ac:dyDescent="0.45">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45">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45">
      <c r="A26" s="110"/>
      <c r="B26" s="202"/>
      <c r="C26" s="203"/>
      <c r="D26" s="203"/>
      <c r="E26" s="203"/>
      <c r="F26" s="203"/>
      <c r="G26" s="203"/>
      <c r="H26" s="203"/>
      <c r="I26" s="203"/>
      <c r="J26" s="204"/>
      <c r="K26" s="110"/>
      <c r="L26" s="110"/>
      <c r="M26" s="110"/>
      <c r="N26" s="110"/>
      <c r="O26" s="110"/>
      <c r="P26" s="110"/>
      <c r="Q26" s="110"/>
      <c r="R26" s="110"/>
      <c r="S26" s="110"/>
      <c r="T26" s="110"/>
      <c r="U26" s="110"/>
      <c r="V26" s="110"/>
      <c r="W26" s="110"/>
      <c r="X26" s="110"/>
      <c r="Y26" s="110"/>
      <c r="Z26" s="110"/>
    </row>
    <row r="27" spans="1:26" ht="16.5" customHeight="1" x14ac:dyDescent="0.45">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45">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45">
      <c r="A29" s="110"/>
      <c r="B29" s="202"/>
      <c r="C29" s="203"/>
      <c r="D29" s="203"/>
      <c r="E29" s="203"/>
      <c r="F29" s="203"/>
      <c r="G29" s="203"/>
      <c r="H29" s="203"/>
      <c r="I29" s="203"/>
      <c r="J29" s="204"/>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9" t="s">
        <v>145</v>
      </c>
      <c r="C2" s="173"/>
      <c r="D2" s="173"/>
      <c r="E2" s="173"/>
      <c r="F2" s="173"/>
      <c r="G2" s="173"/>
      <c r="H2" s="173"/>
      <c r="I2" s="173"/>
      <c r="J2" s="173"/>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44419</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3 TRIM'!$AO$9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3 TRIM'!$AO$10</f>
        <v>0</v>
      </c>
      <c r="I8" s="118">
        <f>H8/H11</f>
        <v>0</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3 TRIM'!$AO$11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30" t="s">
        <v>137</v>
      </c>
      <c r="C13" s="173"/>
      <c r="D13" s="173"/>
      <c r="E13" s="173"/>
      <c r="F13" s="173"/>
      <c r="G13" s="173"/>
      <c r="H13" s="173"/>
      <c r="I13" s="173"/>
      <c r="J13" s="173"/>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6" t="s">
        <v>138</v>
      </c>
      <c r="C15" s="180"/>
      <c r="D15" s="180"/>
      <c r="E15" s="180"/>
      <c r="F15" s="180"/>
      <c r="G15" s="180"/>
      <c r="H15" s="180"/>
      <c r="I15" s="180"/>
      <c r="J15" s="181"/>
      <c r="K15" s="110"/>
      <c r="L15" s="110"/>
      <c r="M15" s="110"/>
      <c r="N15" s="110"/>
      <c r="O15" s="110"/>
      <c r="P15" s="110"/>
      <c r="Q15" s="110"/>
      <c r="R15" s="110"/>
      <c r="S15" s="110"/>
      <c r="T15" s="110"/>
      <c r="U15" s="110"/>
      <c r="V15" s="110"/>
      <c r="W15" s="110"/>
      <c r="X15" s="110"/>
      <c r="Y15" s="110"/>
      <c r="Z15" s="110"/>
    </row>
    <row r="16" spans="1:26" ht="16.5" customHeight="1" x14ac:dyDescent="0.45">
      <c r="A16" s="110"/>
      <c r="B16" s="227"/>
      <c r="C16" s="173"/>
      <c r="D16" s="173"/>
      <c r="E16" s="173"/>
      <c r="F16" s="173"/>
      <c r="G16" s="173"/>
      <c r="H16" s="173"/>
      <c r="I16" s="173"/>
      <c r="J16" s="228"/>
      <c r="K16" s="110"/>
      <c r="L16" s="110"/>
      <c r="M16" s="110"/>
      <c r="N16" s="110"/>
      <c r="O16" s="110"/>
      <c r="P16" s="110"/>
      <c r="Q16" s="110"/>
      <c r="R16" s="110"/>
      <c r="S16" s="110"/>
      <c r="T16" s="110"/>
      <c r="U16" s="110"/>
      <c r="V16" s="110"/>
      <c r="W16" s="110"/>
      <c r="X16" s="110"/>
      <c r="Y16" s="110"/>
      <c r="Z16" s="110"/>
    </row>
    <row r="17" spans="1:26" ht="16.5" customHeight="1" x14ac:dyDescent="0.45">
      <c r="A17" s="110"/>
      <c r="B17" s="202"/>
      <c r="C17" s="203"/>
      <c r="D17" s="203"/>
      <c r="E17" s="203"/>
      <c r="F17" s="203"/>
      <c r="G17" s="203"/>
      <c r="H17" s="203"/>
      <c r="I17" s="203"/>
      <c r="J17" s="204"/>
      <c r="K17" s="110"/>
      <c r="L17" s="110"/>
      <c r="M17" s="110"/>
      <c r="N17" s="110"/>
      <c r="O17" s="110"/>
      <c r="P17" s="110"/>
      <c r="Q17" s="110"/>
      <c r="R17" s="110"/>
      <c r="S17" s="110"/>
      <c r="T17" s="110"/>
      <c r="U17" s="110"/>
      <c r="V17" s="110"/>
      <c r="W17" s="110"/>
      <c r="X17" s="110"/>
      <c r="Y17" s="110"/>
      <c r="Z17" s="110"/>
    </row>
    <row r="18" spans="1:26" ht="16.5" customHeight="1" x14ac:dyDescent="0.45">
      <c r="A18" s="110"/>
      <c r="B18" s="226" t="s">
        <v>139</v>
      </c>
      <c r="C18" s="180"/>
      <c r="D18" s="180"/>
      <c r="E18" s="180"/>
      <c r="F18" s="180"/>
      <c r="G18" s="180"/>
      <c r="H18" s="180"/>
      <c r="I18" s="180"/>
      <c r="J18" s="181"/>
      <c r="K18" s="110"/>
      <c r="L18" s="110"/>
      <c r="M18" s="110"/>
      <c r="N18" s="110"/>
      <c r="O18" s="110"/>
      <c r="P18" s="110"/>
      <c r="Q18" s="110"/>
      <c r="R18" s="110"/>
      <c r="S18" s="110"/>
      <c r="T18" s="110"/>
      <c r="U18" s="110"/>
      <c r="V18" s="110"/>
      <c r="W18" s="110"/>
      <c r="X18" s="110"/>
      <c r="Y18" s="110"/>
      <c r="Z18" s="110"/>
    </row>
    <row r="19" spans="1:26" ht="16.5" customHeight="1" x14ac:dyDescent="0.45">
      <c r="A19" s="110"/>
      <c r="B19" s="227"/>
      <c r="C19" s="173"/>
      <c r="D19" s="173"/>
      <c r="E19" s="173"/>
      <c r="F19" s="173"/>
      <c r="G19" s="173"/>
      <c r="H19" s="173"/>
      <c r="I19" s="173"/>
      <c r="J19" s="228"/>
      <c r="K19" s="110"/>
      <c r="L19" s="110"/>
      <c r="M19" s="110"/>
      <c r="N19" s="110"/>
      <c r="O19" s="110"/>
      <c r="P19" s="110"/>
      <c r="Q19" s="110"/>
      <c r="R19" s="110"/>
      <c r="S19" s="110"/>
      <c r="T19" s="110"/>
      <c r="U19" s="110"/>
      <c r="V19" s="110"/>
      <c r="W19" s="110"/>
      <c r="X19" s="110"/>
      <c r="Y19" s="110"/>
      <c r="Z19" s="110"/>
    </row>
    <row r="20" spans="1:26" ht="16.5" customHeight="1" x14ac:dyDescent="0.45">
      <c r="A20" s="110"/>
      <c r="B20" s="202"/>
      <c r="C20" s="203"/>
      <c r="D20" s="203"/>
      <c r="E20" s="203"/>
      <c r="F20" s="203"/>
      <c r="G20" s="203"/>
      <c r="H20" s="203"/>
      <c r="I20" s="203"/>
      <c r="J20" s="204"/>
      <c r="K20" s="110"/>
      <c r="L20" s="110"/>
      <c r="M20" s="110"/>
      <c r="N20" s="110"/>
      <c r="O20" s="110"/>
      <c r="P20" s="110"/>
      <c r="Q20" s="110"/>
      <c r="R20" s="110"/>
      <c r="S20" s="110"/>
      <c r="T20" s="110"/>
      <c r="U20" s="110"/>
      <c r="V20" s="110"/>
      <c r="W20" s="110"/>
      <c r="X20" s="110"/>
      <c r="Y20" s="110"/>
      <c r="Z20" s="110"/>
    </row>
    <row r="21" spans="1:26" ht="16.5" customHeight="1" x14ac:dyDescent="0.45">
      <c r="A21" s="110"/>
      <c r="B21" s="226" t="s">
        <v>140</v>
      </c>
      <c r="C21" s="180"/>
      <c r="D21" s="180"/>
      <c r="E21" s="180"/>
      <c r="F21" s="180"/>
      <c r="G21" s="180"/>
      <c r="H21" s="180"/>
      <c r="I21" s="180"/>
      <c r="J21" s="181"/>
      <c r="K21" s="110"/>
      <c r="L21" s="110"/>
      <c r="M21" s="110"/>
      <c r="N21" s="110"/>
      <c r="O21" s="110"/>
      <c r="P21" s="110"/>
      <c r="Q21" s="110"/>
      <c r="R21" s="110"/>
      <c r="S21" s="110"/>
      <c r="T21" s="110"/>
      <c r="U21" s="110"/>
      <c r="V21" s="110"/>
      <c r="W21" s="110"/>
      <c r="X21" s="110"/>
      <c r="Y21" s="110"/>
      <c r="Z21" s="110"/>
    </row>
    <row r="22" spans="1:26" ht="16.5" customHeight="1" x14ac:dyDescent="0.45">
      <c r="A22" s="110"/>
      <c r="B22" s="227"/>
      <c r="C22" s="173"/>
      <c r="D22" s="173"/>
      <c r="E22" s="173"/>
      <c r="F22" s="173"/>
      <c r="G22" s="173"/>
      <c r="H22" s="173"/>
      <c r="I22" s="173"/>
      <c r="J22" s="228"/>
      <c r="K22" s="110"/>
      <c r="L22" s="110"/>
      <c r="M22" s="110"/>
      <c r="N22" s="110"/>
      <c r="O22" s="110"/>
      <c r="P22" s="110"/>
      <c r="Q22" s="110"/>
      <c r="R22" s="110"/>
      <c r="S22" s="110"/>
      <c r="T22" s="110"/>
      <c r="U22" s="110"/>
      <c r="V22" s="110"/>
      <c r="W22" s="110"/>
      <c r="X22" s="110"/>
      <c r="Y22" s="110"/>
      <c r="Z22" s="110"/>
    </row>
    <row r="23" spans="1:26" ht="16.5" customHeight="1" x14ac:dyDescent="0.45">
      <c r="A23" s="110"/>
      <c r="B23" s="202"/>
      <c r="C23" s="203"/>
      <c r="D23" s="203"/>
      <c r="E23" s="203"/>
      <c r="F23" s="203"/>
      <c r="G23" s="203"/>
      <c r="H23" s="203"/>
      <c r="I23" s="203"/>
      <c r="J23" s="204"/>
      <c r="K23" s="110"/>
      <c r="L23" s="110"/>
      <c r="M23" s="110"/>
      <c r="N23" s="110"/>
      <c r="O23" s="110"/>
      <c r="P23" s="110"/>
      <c r="Q23" s="110"/>
      <c r="R23" s="110"/>
      <c r="S23" s="110"/>
      <c r="T23" s="110"/>
      <c r="U23" s="110"/>
      <c r="V23" s="110"/>
      <c r="W23" s="110"/>
      <c r="X23" s="110"/>
      <c r="Y23" s="110"/>
      <c r="Z23" s="110"/>
    </row>
    <row r="24" spans="1:26" ht="16.5" customHeight="1" x14ac:dyDescent="0.45">
      <c r="A24" s="110"/>
      <c r="B24" s="226" t="s">
        <v>141</v>
      </c>
      <c r="C24" s="180"/>
      <c r="D24" s="180"/>
      <c r="E24" s="180"/>
      <c r="F24" s="180"/>
      <c r="G24" s="180"/>
      <c r="H24" s="180"/>
      <c r="I24" s="180"/>
      <c r="J24" s="181"/>
      <c r="K24" s="110"/>
      <c r="L24" s="110"/>
      <c r="M24" s="110"/>
      <c r="N24" s="110"/>
      <c r="O24" s="110"/>
      <c r="P24" s="110"/>
      <c r="Q24" s="110"/>
      <c r="R24" s="110"/>
      <c r="S24" s="110"/>
      <c r="T24" s="110"/>
      <c r="U24" s="110"/>
      <c r="V24" s="110"/>
      <c r="W24" s="110"/>
      <c r="X24" s="110"/>
      <c r="Y24" s="110"/>
      <c r="Z24" s="110"/>
    </row>
    <row r="25" spans="1:26" ht="16.5" customHeight="1" x14ac:dyDescent="0.45">
      <c r="A25" s="110"/>
      <c r="B25" s="227"/>
      <c r="C25" s="173"/>
      <c r="D25" s="173"/>
      <c r="E25" s="173"/>
      <c r="F25" s="173"/>
      <c r="G25" s="173"/>
      <c r="H25" s="173"/>
      <c r="I25" s="173"/>
      <c r="J25" s="228"/>
      <c r="K25" s="110"/>
      <c r="L25" s="110"/>
      <c r="M25" s="110"/>
      <c r="N25" s="110"/>
      <c r="O25" s="110"/>
      <c r="P25" s="110"/>
      <c r="Q25" s="110"/>
      <c r="R25" s="110"/>
      <c r="S25" s="110"/>
      <c r="T25" s="110"/>
      <c r="U25" s="110"/>
      <c r="V25" s="110"/>
      <c r="W25" s="110"/>
      <c r="X25" s="110"/>
      <c r="Y25" s="110"/>
      <c r="Z25" s="110"/>
    </row>
    <row r="26" spans="1:26" ht="16.5" customHeight="1" x14ac:dyDescent="0.45">
      <c r="A26" s="110"/>
      <c r="B26" s="202"/>
      <c r="C26" s="203"/>
      <c r="D26" s="203"/>
      <c r="E26" s="203"/>
      <c r="F26" s="203"/>
      <c r="G26" s="203"/>
      <c r="H26" s="203"/>
      <c r="I26" s="203"/>
      <c r="J26" s="204"/>
      <c r="K26" s="110"/>
      <c r="L26" s="110"/>
      <c r="M26" s="110"/>
      <c r="N26" s="110"/>
      <c r="O26" s="110"/>
      <c r="P26" s="110"/>
      <c r="Q26" s="110"/>
      <c r="R26" s="110"/>
      <c r="S26" s="110"/>
      <c r="T26" s="110"/>
      <c r="U26" s="110"/>
      <c r="V26" s="110"/>
      <c r="W26" s="110"/>
      <c r="X26" s="110"/>
      <c r="Y26" s="110"/>
      <c r="Z26" s="110"/>
    </row>
    <row r="27" spans="1:26" ht="16.5" customHeight="1" x14ac:dyDescent="0.45">
      <c r="A27" s="110"/>
      <c r="B27" s="226" t="s">
        <v>142</v>
      </c>
      <c r="C27" s="180"/>
      <c r="D27" s="180"/>
      <c r="E27" s="180"/>
      <c r="F27" s="180"/>
      <c r="G27" s="180"/>
      <c r="H27" s="180"/>
      <c r="I27" s="180"/>
      <c r="J27" s="181"/>
      <c r="K27" s="110"/>
      <c r="L27" s="110"/>
      <c r="M27" s="110"/>
      <c r="N27" s="110"/>
      <c r="O27" s="110"/>
      <c r="P27" s="110"/>
      <c r="Q27" s="110"/>
      <c r="R27" s="110"/>
      <c r="S27" s="110"/>
      <c r="T27" s="110"/>
      <c r="U27" s="110"/>
      <c r="V27" s="110"/>
      <c r="W27" s="110"/>
      <c r="X27" s="110"/>
      <c r="Y27" s="110"/>
      <c r="Z27" s="110"/>
    </row>
    <row r="28" spans="1:26" ht="16.5" customHeight="1" x14ac:dyDescent="0.45">
      <c r="A28" s="110"/>
      <c r="B28" s="227"/>
      <c r="C28" s="173"/>
      <c r="D28" s="173"/>
      <c r="E28" s="173"/>
      <c r="F28" s="173"/>
      <c r="G28" s="173"/>
      <c r="H28" s="173"/>
      <c r="I28" s="173"/>
      <c r="J28" s="228"/>
      <c r="K28" s="110"/>
      <c r="L28" s="110"/>
      <c r="M28" s="110"/>
      <c r="N28" s="110"/>
      <c r="O28" s="110"/>
      <c r="P28" s="110"/>
      <c r="Q28" s="110"/>
      <c r="R28" s="110"/>
      <c r="S28" s="110"/>
      <c r="T28" s="110"/>
      <c r="U28" s="110"/>
      <c r="V28" s="110"/>
      <c r="W28" s="110"/>
      <c r="X28" s="110"/>
      <c r="Y28" s="110"/>
      <c r="Z28" s="110"/>
    </row>
    <row r="29" spans="1:26" ht="16.5" customHeight="1" x14ac:dyDescent="0.45">
      <c r="A29" s="110"/>
      <c r="B29" s="202"/>
      <c r="C29" s="203"/>
      <c r="D29" s="203"/>
      <c r="E29" s="203"/>
      <c r="F29" s="203"/>
      <c r="G29" s="203"/>
      <c r="H29" s="203"/>
      <c r="I29" s="203"/>
      <c r="J29" s="204"/>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6171875" customWidth="1"/>
    <col min="8" max="9" width="5.6640625" customWidth="1"/>
    <col min="10" max="10" width="6.6640625" customWidth="1"/>
    <col min="11" max="11" width="7.902343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177" t="s">
        <v>146</v>
      </c>
      <c r="D2" s="173"/>
      <c r="E2" s="173"/>
      <c r="F2" s="173"/>
      <c r="G2" s="173"/>
      <c r="H2" s="173"/>
      <c r="I2" s="173"/>
      <c r="J2" s="173"/>
      <c r="K2" s="173"/>
      <c r="L2" s="173"/>
      <c r="M2" s="173"/>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t="str">
        <f>CARÁTULA!$C$25</f>
        <v>programacion visual</v>
      </c>
      <c r="L3" s="39"/>
      <c r="M3" s="39"/>
      <c r="N3" s="39"/>
      <c r="O3" s="40"/>
      <c r="P3" s="40"/>
      <c r="Q3" s="40"/>
      <c r="R3" s="40"/>
      <c r="S3" s="40"/>
      <c r="T3" s="40"/>
      <c r="U3" s="40"/>
      <c r="V3" s="40"/>
      <c r="W3" s="40"/>
      <c r="X3" s="40"/>
      <c r="Y3" s="40"/>
      <c r="Z3" s="40"/>
    </row>
    <row r="4" spans="1:26" ht="13.5" customHeight="1" x14ac:dyDescent="0.45">
      <c r="A4" s="40"/>
      <c r="B4" s="123"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45">
      <c r="A5" s="40"/>
      <c r="B5" s="123" t="s">
        <v>23</v>
      </c>
      <c r="C5" s="40"/>
      <c r="D5" s="40"/>
      <c r="E5" s="40" t="str">
        <f>CARÁTULA!$C$23</f>
        <v>6to de Secundaria</v>
      </c>
      <c r="F5" s="40"/>
      <c r="G5" s="40"/>
      <c r="H5" s="40"/>
      <c r="I5" s="40"/>
      <c r="J5" s="43" t="s">
        <v>24</v>
      </c>
      <c r="K5" s="68">
        <f ca="1">TODAY()</f>
        <v>44419</v>
      </c>
      <c r="L5" s="39"/>
      <c r="M5" s="39"/>
      <c r="N5" s="39"/>
      <c r="O5" s="40"/>
      <c r="P5" s="40"/>
      <c r="Q5" s="40"/>
      <c r="R5" s="40"/>
      <c r="S5" s="40"/>
      <c r="T5" s="40"/>
      <c r="U5" s="40"/>
      <c r="V5" s="40"/>
      <c r="W5" s="40"/>
      <c r="X5" s="40"/>
      <c r="Y5" s="40"/>
      <c r="Z5" s="40"/>
    </row>
    <row r="6" spans="1:26" ht="13.5" customHeight="1" x14ac:dyDescent="0.4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192" t="s">
        <v>147</v>
      </c>
      <c r="D10" s="173"/>
      <c r="E10" s="124"/>
      <c r="F10" s="40"/>
      <c r="G10" s="43" t="s">
        <v>148</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5" t="s">
        <v>149</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9" t="s">
        <v>150</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151</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192" t="s">
        <v>152</v>
      </c>
      <c r="D23" s="173"/>
      <c r="E23" s="40"/>
      <c r="F23" s="40"/>
      <c r="G23" s="43" t="s">
        <v>153</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5" t="s">
        <v>149</v>
      </c>
      <c r="D24" s="40"/>
      <c r="E24" s="126">
        <f>'CENTRAL 2'!$J$9</f>
        <v>30</v>
      </c>
      <c r="F24" s="40"/>
      <c r="G24" s="127">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9" t="s">
        <v>150</v>
      </c>
      <c r="D25" s="40"/>
      <c r="E25" s="129">
        <f>'CENTRAL 2'!$J$13</f>
        <v>6</v>
      </c>
      <c r="F25" s="40"/>
      <c r="G25" s="127">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151</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192" t="s">
        <v>154</v>
      </c>
      <c r="D35" s="173"/>
      <c r="E35" s="40"/>
      <c r="F35" s="40"/>
      <c r="G35" s="123" t="s">
        <v>155</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5" t="s">
        <v>149</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9" t="s">
        <v>150</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151</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34375" customWidth="1"/>
    <col min="5" max="5" width="7.5703125" customWidth="1"/>
    <col min="6" max="6" width="13.33203125" customWidth="1"/>
    <col min="7" max="7" width="10.76171875" customWidth="1"/>
    <col min="8" max="8" width="8.234375" customWidth="1"/>
    <col min="9" max="26" width="5.6640625" customWidth="1"/>
  </cols>
  <sheetData>
    <row r="1" spans="1:26" ht="13.5" customHeight="1" x14ac:dyDescent="0.4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5">
      <c r="A2" s="128"/>
      <c r="B2" s="128"/>
      <c r="C2" s="232" t="s">
        <v>156</v>
      </c>
      <c r="D2" s="173"/>
      <c r="E2" s="173"/>
      <c r="F2" s="173"/>
      <c r="G2" s="173"/>
      <c r="H2" s="173"/>
      <c r="I2" s="173"/>
      <c r="J2" s="128"/>
      <c r="K2" s="128"/>
      <c r="L2" s="128"/>
      <c r="M2" s="128"/>
      <c r="N2" s="128"/>
      <c r="O2" s="128"/>
      <c r="P2" s="128"/>
      <c r="Q2" s="128"/>
      <c r="R2" s="128"/>
      <c r="S2" s="128"/>
      <c r="T2" s="128"/>
      <c r="U2" s="128"/>
      <c r="V2" s="128"/>
      <c r="W2" s="128"/>
      <c r="X2" s="128"/>
      <c r="Y2" s="128"/>
      <c r="Z2" s="128"/>
    </row>
    <row r="3" spans="1:26" ht="13.5" customHeight="1" x14ac:dyDescent="0.45">
      <c r="A3" s="128"/>
      <c r="B3" s="132" t="s">
        <v>8</v>
      </c>
      <c r="C3" s="133"/>
      <c r="D3" s="133"/>
      <c r="E3" s="133" t="str">
        <f>CARÁTULA!$C$15</f>
        <v>Instituto Tecnico Humanistico Jauzel Arrieta</v>
      </c>
      <c r="F3" s="133"/>
      <c r="G3" s="132" t="s">
        <v>19</v>
      </c>
      <c r="H3" s="133" t="str">
        <f>CARÁTULA!$C$25</f>
        <v>programacion visual</v>
      </c>
      <c r="I3" s="133"/>
      <c r="J3" s="133"/>
      <c r="K3" s="128"/>
      <c r="L3" s="128"/>
      <c r="M3" s="128"/>
      <c r="N3" s="128"/>
      <c r="O3" s="128"/>
      <c r="P3" s="128"/>
      <c r="Q3" s="128"/>
      <c r="R3" s="128"/>
      <c r="S3" s="128"/>
      <c r="T3" s="128"/>
      <c r="U3" s="128"/>
      <c r="V3" s="128"/>
      <c r="W3" s="128"/>
      <c r="X3" s="128"/>
      <c r="Y3" s="128"/>
      <c r="Z3" s="128"/>
    </row>
    <row r="4" spans="1:26" ht="13.5" customHeight="1" x14ac:dyDescent="0.45">
      <c r="A4" s="128"/>
      <c r="B4" s="132" t="s">
        <v>14</v>
      </c>
      <c r="C4" s="133"/>
      <c r="D4" s="133"/>
      <c r="E4" s="133" t="str">
        <f>CARÁTULA!$C$21</f>
        <v>Secundaria</v>
      </c>
      <c r="F4" s="133"/>
      <c r="G4" s="132" t="s">
        <v>53</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5">
      <c r="A5" s="128"/>
      <c r="B5" s="132" t="s">
        <v>23</v>
      </c>
      <c r="C5" s="133"/>
      <c r="D5" s="133"/>
      <c r="E5" s="133" t="str">
        <f>CARÁTULA!$C$23</f>
        <v>6to de Secundaria</v>
      </c>
      <c r="F5" s="133"/>
      <c r="G5" s="132" t="s">
        <v>24</v>
      </c>
      <c r="H5" s="134">
        <f ca="1">TODAY()</f>
        <v>44419</v>
      </c>
      <c r="I5" s="133"/>
      <c r="J5" s="133"/>
      <c r="K5" s="128"/>
      <c r="L5" s="128"/>
      <c r="M5" s="128"/>
      <c r="N5" s="128"/>
      <c r="O5" s="128"/>
      <c r="P5" s="128"/>
      <c r="Q5" s="128"/>
      <c r="R5" s="128"/>
      <c r="S5" s="128"/>
      <c r="T5" s="128"/>
      <c r="U5" s="128"/>
      <c r="V5" s="128"/>
      <c r="W5" s="128"/>
      <c r="X5" s="128"/>
      <c r="Y5" s="128"/>
      <c r="Z5" s="128"/>
    </row>
    <row r="6" spans="1:26" ht="13.5" customHeight="1" x14ac:dyDescent="0.4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5">
      <c r="A8" s="128"/>
      <c r="B8" s="128"/>
      <c r="C8" s="231" t="s">
        <v>157</v>
      </c>
      <c r="D8" s="136" t="s">
        <v>158</v>
      </c>
      <c r="E8" s="136" t="s">
        <v>159</v>
      </c>
      <c r="F8" s="137" t="s">
        <v>160</v>
      </c>
      <c r="G8" s="136" t="s">
        <v>161</v>
      </c>
      <c r="H8" s="136" t="s">
        <v>162</v>
      </c>
      <c r="I8" s="128"/>
      <c r="J8" s="128"/>
      <c r="K8" s="128"/>
      <c r="L8" s="128"/>
      <c r="M8" s="128"/>
      <c r="N8" s="128"/>
      <c r="O8" s="128"/>
      <c r="P8" s="128"/>
      <c r="Q8" s="128"/>
      <c r="R8" s="128"/>
      <c r="S8" s="128"/>
      <c r="T8" s="128"/>
      <c r="U8" s="128"/>
      <c r="V8" s="128"/>
      <c r="W8" s="128"/>
      <c r="X8" s="128"/>
      <c r="Y8" s="128"/>
      <c r="Z8" s="128"/>
    </row>
    <row r="9" spans="1:26" ht="13.5" customHeight="1" x14ac:dyDescent="0.45">
      <c r="A9" s="128"/>
      <c r="B9" s="128"/>
      <c r="C9" s="218"/>
      <c r="D9" s="138" t="s">
        <v>163</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5">
      <c r="A10" s="128"/>
      <c r="B10" s="128"/>
      <c r="C10" s="218"/>
      <c r="D10" s="138" t="s">
        <v>164</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5">
      <c r="A11" s="128"/>
      <c r="B11" s="128"/>
      <c r="C11" s="218"/>
      <c r="D11" s="138" t="s">
        <v>165</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5">
      <c r="A12" s="128"/>
      <c r="B12" s="128"/>
      <c r="C12" s="199"/>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5">
      <c r="A15" s="128"/>
      <c r="B15" s="128"/>
      <c r="C15" s="231" t="s">
        <v>166</v>
      </c>
      <c r="D15" s="136" t="s">
        <v>158</v>
      </c>
      <c r="E15" s="136" t="s">
        <v>159</v>
      </c>
      <c r="F15" s="137" t="s">
        <v>160</v>
      </c>
      <c r="G15" s="136" t="s">
        <v>161</v>
      </c>
      <c r="H15" s="136" t="s">
        <v>162</v>
      </c>
      <c r="I15" s="128"/>
      <c r="J15" s="128"/>
      <c r="K15" s="128"/>
      <c r="L15" s="128"/>
      <c r="M15" s="128"/>
      <c r="N15" s="128"/>
      <c r="O15" s="128"/>
      <c r="P15" s="128"/>
      <c r="Q15" s="128"/>
      <c r="R15" s="128"/>
      <c r="S15" s="128"/>
      <c r="T15" s="128"/>
      <c r="U15" s="128"/>
      <c r="V15" s="128"/>
      <c r="W15" s="128"/>
      <c r="X15" s="128"/>
      <c r="Y15" s="128"/>
      <c r="Z15" s="128"/>
    </row>
    <row r="16" spans="1:26" ht="13.5" customHeight="1" x14ac:dyDescent="0.45">
      <c r="A16" s="128"/>
      <c r="B16" s="128"/>
      <c r="C16" s="218"/>
      <c r="D16" s="138" t="s">
        <v>163</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5">
      <c r="A17" s="128"/>
      <c r="B17" s="128"/>
      <c r="C17" s="218"/>
      <c r="D17" s="138" t="s">
        <v>164</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5">
      <c r="A18" s="128"/>
      <c r="B18" s="128"/>
      <c r="C18" s="218"/>
      <c r="D18" s="138" t="s">
        <v>165</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5">
      <c r="A19" s="128"/>
      <c r="B19" s="128"/>
      <c r="C19" s="199"/>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5">
      <c r="A22" s="128"/>
      <c r="B22" s="128"/>
      <c r="C22" s="231" t="s">
        <v>167</v>
      </c>
      <c r="D22" s="136" t="s">
        <v>158</v>
      </c>
      <c r="E22" s="136" t="s">
        <v>159</v>
      </c>
      <c r="F22" s="137" t="s">
        <v>160</v>
      </c>
      <c r="G22" s="136" t="s">
        <v>161</v>
      </c>
      <c r="H22" s="136" t="s">
        <v>162</v>
      </c>
      <c r="I22" s="128"/>
      <c r="J22" s="128"/>
      <c r="K22" s="128"/>
      <c r="L22" s="128"/>
      <c r="M22" s="128"/>
      <c r="N22" s="128"/>
      <c r="O22" s="128"/>
      <c r="P22" s="128"/>
      <c r="Q22" s="128"/>
      <c r="R22" s="128"/>
      <c r="S22" s="128"/>
      <c r="T22" s="128"/>
      <c r="U22" s="128"/>
      <c r="V22" s="128"/>
      <c r="W22" s="128"/>
      <c r="X22" s="128"/>
      <c r="Y22" s="128"/>
      <c r="Z22" s="128"/>
    </row>
    <row r="23" spans="1:26" ht="13.5" customHeight="1" x14ac:dyDescent="0.45">
      <c r="A23" s="128"/>
      <c r="B23" s="128"/>
      <c r="C23" s="218"/>
      <c r="D23" s="138" t="s">
        <v>163</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5">
      <c r="A24" s="128"/>
      <c r="B24" s="128"/>
      <c r="C24" s="218"/>
      <c r="D24" s="138" t="s">
        <v>164</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5">
      <c r="A25" s="128"/>
      <c r="B25" s="128"/>
      <c r="C25" s="218"/>
      <c r="D25" s="138" t="s">
        <v>165</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5">
      <c r="A26" s="128"/>
      <c r="B26" s="128"/>
      <c r="C26" s="199"/>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5">
      <c r="A29" s="128"/>
      <c r="B29" s="128"/>
      <c r="C29" s="231" t="s">
        <v>168</v>
      </c>
      <c r="D29" s="136" t="s">
        <v>158</v>
      </c>
      <c r="E29" s="136" t="s">
        <v>159</v>
      </c>
      <c r="F29" s="137" t="s">
        <v>160</v>
      </c>
      <c r="G29" s="136" t="s">
        <v>161</v>
      </c>
      <c r="H29" s="136" t="s">
        <v>162</v>
      </c>
      <c r="I29" s="128"/>
      <c r="J29" s="128"/>
      <c r="K29" s="128"/>
      <c r="L29" s="128"/>
      <c r="M29" s="128"/>
      <c r="N29" s="128"/>
      <c r="O29" s="128"/>
      <c r="P29" s="128"/>
      <c r="Q29" s="128"/>
      <c r="R29" s="128"/>
      <c r="S29" s="128"/>
      <c r="T29" s="128"/>
      <c r="U29" s="128"/>
      <c r="V29" s="128"/>
      <c r="W29" s="128"/>
      <c r="X29" s="128"/>
      <c r="Y29" s="128"/>
      <c r="Z29" s="128"/>
    </row>
    <row r="30" spans="1:26" ht="13.5" customHeight="1" x14ac:dyDescent="0.45">
      <c r="A30" s="128"/>
      <c r="B30" s="128"/>
      <c r="C30" s="218"/>
      <c r="D30" s="138" t="s">
        <v>163</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5">
      <c r="A31" s="128"/>
      <c r="B31" s="128"/>
      <c r="C31" s="218"/>
      <c r="D31" s="138" t="s">
        <v>164</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5">
      <c r="A32" s="128"/>
      <c r="B32" s="128"/>
      <c r="C32" s="218"/>
      <c r="D32" s="138" t="s">
        <v>165</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5">
      <c r="A33" s="128"/>
      <c r="B33" s="128"/>
      <c r="C33" s="199"/>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5">
      <c r="A36" s="128"/>
      <c r="B36" s="128"/>
      <c r="C36" s="231" t="s">
        <v>169</v>
      </c>
      <c r="D36" s="136" t="s">
        <v>158</v>
      </c>
      <c r="E36" s="136" t="s">
        <v>159</v>
      </c>
      <c r="F36" s="137" t="s">
        <v>160</v>
      </c>
      <c r="G36" s="136" t="s">
        <v>161</v>
      </c>
      <c r="H36" s="136" t="s">
        <v>162</v>
      </c>
      <c r="I36" s="128"/>
      <c r="J36" s="128"/>
      <c r="K36" s="128"/>
      <c r="L36" s="128"/>
      <c r="M36" s="128"/>
      <c r="N36" s="128"/>
      <c r="O36" s="128"/>
      <c r="P36" s="128"/>
      <c r="Q36" s="128"/>
      <c r="R36" s="128"/>
      <c r="S36" s="128"/>
      <c r="T36" s="128"/>
      <c r="U36" s="128"/>
      <c r="V36" s="128"/>
      <c r="W36" s="128"/>
      <c r="X36" s="128"/>
      <c r="Y36" s="128"/>
      <c r="Z36" s="128"/>
    </row>
    <row r="37" spans="1:26" ht="13.5" customHeight="1" x14ac:dyDescent="0.45">
      <c r="A37" s="128"/>
      <c r="B37" s="128"/>
      <c r="C37" s="218"/>
      <c r="D37" s="138" t="s">
        <v>163</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5">
      <c r="A38" s="128"/>
      <c r="B38" s="128"/>
      <c r="C38" s="218"/>
      <c r="D38" s="138" t="s">
        <v>164</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5">
      <c r="A39" s="128"/>
      <c r="B39" s="128"/>
      <c r="C39" s="218"/>
      <c r="D39" s="138" t="s">
        <v>165</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5">
      <c r="A40" s="128"/>
      <c r="B40" s="128"/>
      <c r="C40" s="199"/>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5">
      <c r="A43" s="128"/>
      <c r="B43" s="128"/>
      <c r="C43" s="231" t="s">
        <v>170</v>
      </c>
      <c r="D43" s="136" t="s">
        <v>158</v>
      </c>
      <c r="E43" s="136" t="s">
        <v>159</v>
      </c>
      <c r="F43" s="137" t="s">
        <v>160</v>
      </c>
      <c r="G43" s="136" t="s">
        <v>161</v>
      </c>
      <c r="H43" s="136" t="s">
        <v>162</v>
      </c>
      <c r="I43" s="128"/>
      <c r="J43" s="128"/>
      <c r="K43" s="128"/>
      <c r="L43" s="128"/>
      <c r="M43" s="128"/>
      <c r="N43" s="128"/>
      <c r="O43" s="128"/>
      <c r="P43" s="128"/>
      <c r="Q43" s="128"/>
      <c r="R43" s="128"/>
      <c r="S43" s="128"/>
      <c r="T43" s="128"/>
      <c r="U43" s="128"/>
      <c r="V43" s="128"/>
      <c r="W43" s="128"/>
      <c r="X43" s="128"/>
      <c r="Y43" s="128"/>
      <c r="Z43" s="128"/>
    </row>
    <row r="44" spans="1:26" ht="13.5" customHeight="1" x14ac:dyDescent="0.45">
      <c r="A44" s="128"/>
      <c r="B44" s="128"/>
      <c r="C44" s="218"/>
      <c r="D44" s="138" t="s">
        <v>163</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5">
      <c r="A45" s="128"/>
      <c r="B45" s="128"/>
      <c r="C45" s="218"/>
      <c r="D45" s="138" t="s">
        <v>164</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5">
      <c r="A46" s="128"/>
      <c r="B46" s="128"/>
      <c r="C46" s="218"/>
      <c r="D46" s="138" t="s">
        <v>165</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5">
      <c r="A47" s="128"/>
      <c r="B47" s="128"/>
      <c r="C47" s="199"/>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0234375" customWidth="1"/>
    <col min="11" max="26" width="10.42578125" customWidth="1"/>
  </cols>
  <sheetData>
    <row r="1" spans="1:26" ht="7.5" customHeight="1" x14ac:dyDescent="0.4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5">
      <c r="A3" s="143"/>
      <c r="B3" s="19"/>
      <c r="C3" s="19"/>
      <c r="D3" s="19"/>
      <c r="E3" s="237" t="s">
        <v>171</v>
      </c>
      <c r="F3" s="173"/>
      <c r="G3" s="173"/>
      <c r="H3" s="173"/>
      <c r="I3" s="173"/>
      <c r="J3" s="143"/>
      <c r="K3" s="143"/>
      <c r="L3" s="143"/>
      <c r="M3" s="143"/>
      <c r="N3" s="143"/>
      <c r="O3" s="143"/>
      <c r="P3" s="143"/>
      <c r="Q3" s="143"/>
      <c r="R3" s="143"/>
      <c r="S3" s="143"/>
      <c r="T3" s="143"/>
      <c r="U3" s="143"/>
      <c r="V3" s="143"/>
      <c r="W3" s="143"/>
      <c r="X3" s="143"/>
      <c r="Y3" s="143"/>
      <c r="Z3" s="143"/>
    </row>
    <row r="4" spans="1:26" ht="6.75" customHeight="1" x14ac:dyDescent="0.4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5">
      <c r="A6" s="143"/>
      <c r="B6" s="144" t="s">
        <v>8</v>
      </c>
      <c r="C6" s="19"/>
      <c r="D6" s="19"/>
      <c r="E6" s="19"/>
      <c r="F6" s="19"/>
      <c r="G6" s="19" t="str">
        <f>CARÁTULA!$C$15</f>
        <v>Instituto Tecnico Humanistico Jauzel Arrieta</v>
      </c>
      <c r="H6" s="144" t="s">
        <v>19</v>
      </c>
      <c r="I6" s="40" t="str">
        <f>CARÁTULA!$C$25</f>
        <v>programacion visual</v>
      </c>
      <c r="J6" s="143"/>
      <c r="K6" s="143"/>
      <c r="L6" s="143"/>
      <c r="M6" s="143"/>
      <c r="N6" s="143"/>
      <c r="O6" s="143"/>
      <c r="P6" s="143"/>
      <c r="Q6" s="143"/>
      <c r="R6" s="143"/>
      <c r="S6" s="143"/>
      <c r="T6" s="143"/>
      <c r="U6" s="143"/>
      <c r="V6" s="143"/>
      <c r="W6" s="143"/>
      <c r="X6" s="143"/>
      <c r="Y6" s="143"/>
      <c r="Z6" s="143"/>
    </row>
    <row r="7" spans="1:26" ht="12.75" customHeight="1" x14ac:dyDescent="0.45">
      <c r="A7" s="143"/>
      <c r="B7" s="144" t="s">
        <v>14</v>
      </c>
      <c r="C7" s="19"/>
      <c r="D7" s="19"/>
      <c r="E7" s="19"/>
      <c r="F7" s="19"/>
      <c r="G7" s="40" t="str">
        <f>CARÁTULA!$C$21</f>
        <v>Secundaria</v>
      </c>
      <c r="H7" s="144" t="s">
        <v>53</v>
      </c>
      <c r="I7" s="19">
        <f>CARÁTULA!$C$19</f>
        <v>0</v>
      </c>
      <c r="J7" s="143"/>
      <c r="K7" s="143"/>
      <c r="L7" s="143"/>
      <c r="M7" s="143"/>
      <c r="N7" s="143"/>
      <c r="O7" s="143"/>
      <c r="P7" s="143"/>
      <c r="Q7" s="143"/>
      <c r="R7" s="143"/>
      <c r="S7" s="143"/>
      <c r="T7" s="143"/>
      <c r="U7" s="143"/>
      <c r="V7" s="143"/>
      <c r="W7" s="143"/>
      <c r="X7" s="143"/>
      <c r="Y7" s="143"/>
      <c r="Z7" s="143"/>
    </row>
    <row r="8" spans="1:26" ht="12.75" customHeight="1" x14ac:dyDescent="0.45">
      <c r="A8" s="143"/>
      <c r="B8" s="144" t="s">
        <v>23</v>
      </c>
      <c r="C8" s="19"/>
      <c r="D8" s="19"/>
      <c r="E8" s="19"/>
      <c r="F8" s="19"/>
      <c r="G8" s="40" t="str">
        <f>CARÁTULA!$C$23</f>
        <v>6to de Secundaria</v>
      </c>
      <c r="H8" s="144" t="s">
        <v>24</v>
      </c>
      <c r="I8" s="134">
        <f ca="1">TODAY()</f>
        <v>44419</v>
      </c>
      <c r="J8" s="143"/>
      <c r="K8" s="143"/>
      <c r="L8" s="143"/>
      <c r="M8" s="143"/>
      <c r="N8" s="143"/>
      <c r="O8" s="143"/>
      <c r="P8" s="143"/>
      <c r="Q8" s="143"/>
      <c r="R8" s="143"/>
      <c r="S8" s="143"/>
      <c r="T8" s="143"/>
      <c r="U8" s="143"/>
      <c r="V8" s="143"/>
      <c r="W8" s="143"/>
      <c r="X8" s="143"/>
      <c r="Y8" s="143"/>
      <c r="Z8" s="143"/>
    </row>
    <row r="9" spans="1:26" ht="6.75" customHeight="1" x14ac:dyDescent="0.4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5">
      <c r="A16" s="143"/>
      <c r="B16" s="143"/>
      <c r="C16" s="143"/>
      <c r="D16" s="143"/>
      <c r="E16" s="238" t="s">
        <v>172</v>
      </c>
      <c r="F16" s="239"/>
      <c r="G16" s="146" t="s">
        <v>25</v>
      </c>
      <c r="H16" s="147" t="s">
        <v>173</v>
      </c>
      <c r="I16" s="148"/>
      <c r="J16" s="143"/>
      <c r="K16" s="143"/>
      <c r="L16" s="143"/>
      <c r="M16" s="143"/>
      <c r="N16" s="143"/>
      <c r="O16" s="143"/>
      <c r="P16" s="143"/>
      <c r="Q16" s="143"/>
      <c r="R16" s="143"/>
      <c r="S16" s="143"/>
      <c r="T16" s="143"/>
      <c r="U16" s="143"/>
      <c r="V16" s="143"/>
      <c r="W16" s="143"/>
      <c r="X16" s="143"/>
      <c r="Y16" s="143"/>
      <c r="Z16" s="143"/>
    </row>
    <row r="17" spans="1:26" ht="12.75" customHeight="1" x14ac:dyDescent="0.45">
      <c r="A17" s="143"/>
      <c r="B17" s="143"/>
      <c r="C17" s="143"/>
      <c r="D17" s="143"/>
      <c r="E17" s="233"/>
      <c r="F17" s="196"/>
      <c r="G17" s="149" t="str">
        <f>'C. FILIACION'!B8</f>
        <v>ALTAMIRANO RAMOS ESTEFANI MILENKA</v>
      </c>
      <c r="H17" s="150">
        <f>'CENTRAL 2'!F9</f>
        <v>84</v>
      </c>
      <c r="I17" s="143"/>
      <c r="J17" s="143"/>
      <c r="K17" s="143"/>
      <c r="L17" s="143"/>
      <c r="M17" s="143"/>
      <c r="N17" s="143"/>
      <c r="O17" s="143"/>
      <c r="P17" s="143"/>
      <c r="Q17" s="143"/>
      <c r="R17" s="143"/>
      <c r="S17" s="143"/>
      <c r="T17" s="143"/>
      <c r="U17" s="143"/>
      <c r="V17" s="143"/>
      <c r="W17" s="143"/>
      <c r="X17" s="143"/>
      <c r="Y17" s="143"/>
      <c r="Z17" s="143"/>
    </row>
    <row r="18" spans="1:26" ht="12.75" customHeight="1" x14ac:dyDescent="0.45">
      <c r="A18" s="143"/>
      <c r="B18" s="143"/>
      <c r="C18" s="143"/>
      <c r="D18" s="143"/>
      <c r="E18" s="233"/>
      <c r="F18" s="196"/>
      <c r="G18" s="149" t="str">
        <f>'C. FILIACION'!B9</f>
        <v>APAZA LINO TATIANA JAZMIN</v>
      </c>
      <c r="H18" s="150">
        <f>'CENTRAL 2'!F10</f>
        <v>84</v>
      </c>
      <c r="I18" s="143"/>
      <c r="J18" s="143"/>
      <c r="K18" s="143"/>
      <c r="L18" s="143"/>
      <c r="M18" s="143"/>
      <c r="N18" s="143"/>
      <c r="O18" s="143"/>
      <c r="P18" s="143"/>
      <c r="Q18" s="143"/>
      <c r="R18" s="143"/>
      <c r="S18" s="143"/>
      <c r="T18" s="143"/>
      <c r="U18" s="143"/>
      <c r="V18" s="143"/>
      <c r="W18" s="143"/>
      <c r="X18" s="143"/>
      <c r="Y18" s="143"/>
      <c r="Z18" s="143"/>
    </row>
    <row r="19" spans="1:26" ht="12.75" customHeight="1" x14ac:dyDescent="0.45">
      <c r="A19" s="143"/>
      <c r="B19" s="143"/>
      <c r="C19" s="143"/>
      <c r="D19" s="143"/>
      <c r="E19" s="233"/>
      <c r="F19" s="196"/>
      <c r="G19" s="149" t="str">
        <f>'C. FILIACION'!B10</f>
        <v>BOLAÑOS OVANDO MIJHAIL ALEXANDER</v>
      </c>
      <c r="H19" s="150">
        <f>'CENTRAL 2'!F11</f>
        <v>80</v>
      </c>
      <c r="I19" s="143"/>
      <c r="J19" s="143"/>
      <c r="K19" s="143"/>
      <c r="L19" s="143"/>
      <c r="M19" s="143"/>
      <c r="N19" s="143"/>
      <c r="O19" s="143"/>
      <c r="P19" s="143"/>
      <c r="Q19" s="143"/>
      <c r="R19" s="143"/>
      <c r="S19" s="143"/>
      <c r="T19" s="143"/>
      <c r="U19" s="143"/>
      <c r="V19" s="143"/>
      <c r="W19" s="143"/>
      <c r="X19" s="143"/>
      <c r="Y19" s="143"/>
      <c r="Z19" s="143"/>
    </row>
    <row r="20" spans="1:26" ht="12.75" customHeight="1" x14ac:dyDescent="0.45">
      <c r="A20" s="143"/>
      <c r="B20" s="143"/>
      <c r="C20" s="143"/>
      <c r="D20" s="143"/>
      <c r="E20" s="233"/>
      <c r="F20" s="196"/>
      <c r="G20" s="149" t="str">
        <f>'C. FILIACION'!B11</f>
        <v>BRICHER ETHELBERT ISMAEL</v>
      </c>
      <c r="H20" s="150">
        <f>'CENTRAL 2'!F12</f>
        <v>60</v>
      </c>
      <c r="I20" s="143"/>
      <c r="J20" s="143"/>
      <c r="K20" s="143"/>
      <c r="L20" s="143"/>
      <c r="M20" s="143"/>
      <c r="N20" s="143"/>
      <c r="O20" s="143"/>
      <c r="P20" s="143"/>
      <c r="Q20" s="143"/>
      <c r="R20" s="143"/>
      <c r="S20" s="143"/>
      <c r="T20" s="143"/>
      <c r="U20" s="143"/>
      <c r="V20" s="143"/>
      <c r="W20" s="143"/>
      <c r="X20" s="143"/>
      <c r="Y20" s="143"/>
      <c r="Z20" s="143"/>
    </row>
    <row r="21" spans="1:26" ht="12.75" customHeight="1" x14ac:dyDescent="0.45">
      <c r="A21" s="143"/>
      <c r="B21" s="143"/>
      <c r="C21" s="143"/>
      <c r="D21" s="143"/>
      <c r="E21" s="233"/>
      <c r="F21" s="196"/>
      <c r="G21" s="149" t="str">
        <f>'C. FILIACION'!B12</f>
        <v>CANAVIRI QUISBERT ALEJANDRA ELENA</v>
      </c>
      <c r="H21" s="150">
        <f>'CENTRAL 2'!F13</f>
        <v>82.666666666666671</v>
      </c>
      <c r="I21" s="143"/>
      <c r="J21" s="143"/>
      <c r="K21" s="143"/>
      <c r="L21" s="143"/>
      <c r="M21" s="143"/>
      <c r="N21" s="143"/>
      <c r="O21" s="143"/>
      <c r="P21" s="143"/>
      <c r="Q21" s="143"/>
      <c r="R21" s="143"/>
      <c r="S21" s="143"/>
      <c r="T21" s="143"/>
      <c r="U21" s="143"/>
      <c r="V21" s="143"/>
      <c r="W21" s="143"/>
      <c r="X21" s="143"/>
      <c r="Y21" s="143"/>
      <c r="Z21" s="143"/>
    </row>
    <row r="22" spans="1:26" ht="12.75" customHeight="1" x14ac:dyDescent="0.45">
      <c r="A22" s="143"/>
      <c r="B22" s="143"/>
      <c r="C22" s="143"/>
      <c r="D22" s="143"/>
      <c r="E22" s="233"/>
      <c r="F22" s="196"/>
      <c r="G22" s="149" t="str">
        <f>'C. FILIACION'!B13</f>
        <v>GOMEZ BELTRAN ALBERT NORMAN</v>
      </c>
      <c r="H22" s="150">
        <f>'CENTRAL 2'!F14</f>
        <v>82.333333333333329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45">
      <c r="A23" s="143"/>
      <c r="B23" s="143"/>
      <c r="C23" s="143"/>
      <c r="D23" s="143"/>
      <c r="E23" s="233"/>
      <c r="F23" s="196"/>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45">
      <c r="A24" s="143"/>
      <c r="B24" s="143"/>
      <c r="C24" s="143"/>
      <c r="D24" s="143"/>
      <c r="E24" s="233"/>
      <c r="F24" s="196"/>
      <c r="G24" s="149" t="str">
        <f>'C. FILIACION'!B15</f>
        <v>GONZALES ZUAZO KALEB RAMSES</v>
      </c>
      <c r="H24" s="150">
        <f>'CENTRAL 2'!F16</f>
        <v>81.333333333333329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45">
      <c r="A25" s="143"/>
      <c r="B25" s="143"/>
      <c r="C25" s="143"/>
      <c r="D25" s="143"/>
      <c r="E25" s="233"/>
      <c r="F25" s="196"/>
      <c r="G25" s="149" t="str">
        <f>'C. FILIACION'!B16</f>
        <v>LEDEZMA AGUILAR ELVIS JHEFERSON</v>
      </c>
      <c r="H25" s="150">
        <f>'CENTRAL 2'!F17</f>
        <v>82.666666666666671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45">
      <c r="A26" s="143"/>
      <c r="B26" s="143"/>
      <c r="C26" s="143"/>
      <c r="D26" s="143"/>
      <c r="E26" s="233"/>
      <c r="F26" s="196"/>
      <c r="G26" s="149" t="str">
        <f>'C. FILIACION'!B17</f>
        <v>LOBATON RODRIGUEZ JHONATAN A.</v>
      </c>
      <c r="H26" s="150">
        <f>'CENTRAL 2'!F18</f>
        <v>81.666666666666671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45">
      <c r="A27" s="143"/>
      <c r="B27" s="143"/>
      <c r="C27" s="143"/>
      <c r="D27" s="143"/>
      <c r="E27" s="233"/>
      <c r="F27" s="196"/>
      <c r="G27" s="149" t="str">
        <f>'C. FILIACION'!B18</f>
        <v>MAMANI LOPEZ DAFNE MILDRED</v>
      </c>
      <c r="H27" s="150">
        <f>'CENTRAL 2'!F19</f>
        <v>81.666666666666671</v>
      </c>
      <c r="I27" s="143"/>
      <c r="J27" s="143"/>
      <c r="K27" s="143"/>
      <c r="L27" s="143"/>
      <c r="M27" s="143"/>
      <c r="N27" s="143"/>
      <c r="O27" s="143"/>
      <c r="P27" s="143"/>
      <c r="Q27" s="143"/>
      <c r="R27" s="143"/>
      <c r="S27" s="143"/>
      <c r="T27" s="143"/>
      <c r="U27" s="143"/>
      <c r="V27" s="143"/>
      <c r="W27" s="143"/>
      <c r="X27" s="143"/>
      <c r="Y27" s="143"/>
      <c r="Z27" s="143"/>
    </row>
    <row r="28" spans="1:26" ht="12.75" customHeight="1" x14ac:dyDescent="0.45">
      <c r="A28" s="143"/>
      <c r="B28" s="143"/>
      <c r="C28" s="143"/>
      <c r="D28" s="143"/>
      <c r="E28" s="233"/>
      <c r="F28" s="196"/>
      <c r="G28" s="149" t="str">
        <f>'C. FILIACION'!B19</f>
        <v>MARCONI PEREZ SINDEL LUANA</v>
      </c>
      <c r="H28" s="150">
        <f>'CENTRAL 2'!F20</f>
        <v>79.333333333333329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45">
      <c r="A29" s="143"/>
      <c r="B29" s="143"/>
      <c r="C29" s="143"/>
      <c r="D29" s="143"/>
      <c r="E29" s="233"/>
      <c r="F29" s="196"/>
      <c r="G29" s="149" t="str">
        <f>'C. FILIACION'!B20</f>
        <v>MENACHO LINEO ANDREA KIMBERLY</v>
      </c>
      <c r="H29" s="150">
        <f>'CENTRAL 2'!F21</f>
        <v>82.666666666666671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45">
      <c r="A30" s="143"/>
      <c r="B30" s="143"/>
      <c r="C30" s="143"/>
      <c r="D30" s="143"/>
      <c r="E30" s="233"/>
      <c r="F30" s="196"/>
      <c r="G30" s="149" t="str">
        <f>'C. FILIACION'!B21</f>
        <v>PILLCO APAZA MARIAN ALEXANDRA</v>
      </c>
      <c r="H30" s="150">
        <f>'CENTRAL 2'!F22</f>
        <v>82.666666666666671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45">
      <c r="A31" s="143"/>
      <c r="B31" s="143"/>
      <c r="C31" s="143"/>
      <c r="D31" s="143"/>
      <c r="E31" s="233"/>
      <c r="F31" s="196"/>
      <c r="G31" s="149" t="str">
        <f>'C. FILIACION'!B22</f>
        <v>RUEDA ALVAREZ GREGORY STEVEN</v>
      </c>
      <c r="H31" s="150">
        <f>'CENTRAL 2'!F23</f>
        <v>82</v>
      </c>
      <c r="I31" s="143"/>
      <c r="J31" s="143"/>
      <c r="K31" s="143"/>
      <c r="L31" s="143"/>
      <c r="M31" s="143"/>
      <c r="N31" s="143"/>
      <c r="O31" s="143"/>
      <c r="P31" s="143"/>
      <c r="Q31" s="143"/>
      <c r="R31" s="143"/>
      <c r="S31" s="143"/>
      <c r="T31" s="143"/>
      <c r="U31" s="143"/>
      <c r="V31" s="143"/>
      <c r="W31" s="143"/>
      <c r="X31" s="143"/>
      <c r="Y31" s="143"/>
      <c r="Z31" s="143"/>
    </row>
    <row r="32" spans="1:26" ht="12.75" customHeight="1" x14ac:dyDescent="0.45">
      <c r="A32" s="143"/>
      <c r="B32" s="143"/>
      <c r="C32" s="143"/>
      <c r="D32" s="143"/>
      <c r="E32" s="233"/>
      <c r="F32" s="196"/>
      <c r="G32" s="149" t="str">
        <f>'C. FILIACION'!B23</f>
        <v>VARGAS JOYCE BELEN</v>
      </c>
      <c r="H32" s="150">
        <f>'CENTRAL 2'!F24</f>
        <v>78.333333333333329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45">
      <c r="A33" s="143"/>
      <c r="B33" s="143"/>
      <c r="C33" s="143"/>
      <c r="D33" s="143"/>
      <c r="E33" s="233"/>
      <c r="F33" s="196"/>
      <c r="G33" s="149" t="str">
        <f>'C. FILIACION'!B24</f>
        <v>ZURITA JIMENEZ ELMER ARTURO</v>
      </c>
      <c r="H33" s="150">
        <f>'CENTRAL 2'!F25</f>
        <v>82.666666666666671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45">
      <c r="A34" s="143"/>
      <c r="B34" s="143"/>
      <c r="C34" s="143"/>
      <c r="D34" s="143"/>
      <c r="E34" s="233"/>
      <c r="F34" s="196"/>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45">
      <c r="A35" s="143"/>
      <c r="B35" s="143"/>
      <c r="C35" s="143"/>
      <c r="D35" s="143"/>
      <c r="E35" s="236"/>
      <c r="F35" s="196"/>
      <c r="G35" s="149" t="str">
        <f>'C. FILIACION'!B26</f>
        <v>Ventura Choque Danely Keyla</v>
      </c>
      <c r="H35" s="150">
        <f>'CENTRAL 2'!F27</f>
        <v>88.333333333333329</v>
      </c>
      <c r="I35" s="143"/>
      <c r="J35" s="143"/>
      <c r="K35" s="143"/>
      <c r="L35" s="143"/>
      <c r="M35" s="143"/>
      <c r="N35" s="143"/>
      <c r="O35" s="143"/>
      <c r="P35" s="143"/>
      <c r="Q35" s="143"/>
      <c r="R35" s="143"/>
      <c r="S35" s="143"/>
      <c r="T35" s="143"/>
      <c r="U35" s="143"/>
      <c r="V35" s="143"/>
      <c r="W35" s="143"/>
      <c r="X35" s="143"/>
      <c r="Y35" s="143"/>
      <c r="Z35" s="143"/>
    </row>
    <row r="36" spans="1:26" ht="12.75" customHeight="1" x14ac:dyDescent="0.45">
      <c r="A36" s="143"/>
      <c r="B36" s="143"/>
      <c r="C36" s="143"/>
      <c r="D36" s="143"/>
      <c r="E36" s="233"/>
      <c r="F36" s="196"/>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5">
      <c r="A37" s="143"/>
      <c r="B37" s="143"/>
      <c r="C37" s="143"/>
      <c r="D37" s="143"/>
      <c r="E37" s="233"/>
      <c r="F37" s="196"/>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5">
      <c r="A38" s="143"/>
      <c r="B38" s="143"/>
      <c r="C38" s="143"/>
      <c r="D38" s="143"/>
      <c r="E38" s="233"/>
      <c r="F38" s="196"/>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5">
      <c r="A39" s="143"/>
      <c r="B39" s="143"/>
      <c r="C39" s="143"/>
      <c r="D39" s="143"/>
      <c r="E39" s="233"/>
      <c r="F39" s="196"/>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5">
      <c r="A40" s="143"/>
      <c r="B40" s="143"/>
      <c r="C40" s="143"/>
      <c r="D40" s="143"/>
      <c r="E40" s="233"/>
      <c r="F40" s="196"/>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5">
      <c r="A41" s="143"/>
      <c r="B41" s="143"/>
      <c r="C41" s="143"/>
      <c r="D41" s="143"/>
      <c r="E41" s="233"/>
      <c r="F41" s="196"/>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5">
      <c r="A42" s="143"/>
      <c r="B42" s="143"/>
      <c r="C42" s="143"/>
      <c r="D42" s="143"/>
      <c r="E42" s="233"/>
      <c r="F42" s="196"/>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5">
      <c r="A43" s="143"/>
      <c r="B43" s="143"/>
      <c r="C43" s="143"/>
      <c r="D43" s="143"/>
      <c r="E43" s="233"/>
      <c r="F43" s="196"/>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5">
      <c r="A44" s="143"/>
      <c r="B44" s="143"/>
      <c r="C44" s="143"/>
      <c r="D44" s="143"/>
      <c r="E44" s="233"/>
      <c r="F44" s="196"/>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5">
      <c r="A45" s="143"/>
      <c r="B45" s="143"/>
      <c r="C45" s="143"/>
      <c r="D45" s="143"/>
      <c r="E45" s="233"/>
      <c r="F45" s="196"/>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5">
      <c r="A46" s="143"/>
      <c r="B46" s="143"/>
      <c r="C46" s="143"/>
      <c r="D46" s="143"/>
      <c r="E46" s="233"/>
      <c r="F46" s="196"/>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5">
      <c r="A47" s="143"/>
      <c r="B47" s="143"/>
      <c r="C47" s="143"/>
      <c r="D47" s="143"/>
      <c r="E47" s="233"/>
      <c r="F47" s="196"/>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5">
      <c r="A48" s="143"/>
      <c r="B48" s="143"/>
      <c r="C48" s="143"/>
      <c r="D48" s="143"/>
      <c r="E48" s="233"/>
      <c r="F48" s="196"/>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5">
      <c r="A49" s="143"/>
      <c r="B49" s="143"/>
      <c r="C49" s="143"/>
      <c r="D49" s="143"/>
      <c r="E49" s="233"/>
      <c r="F49" s="196"/>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5">
      <c r="A50" s="143"/>
      <c r="B50" s="143"/>
      <c r="C50" s="143"/>
      <c r="D50" s="143"/>
      <c r="E50" s="233"/>
      <c r="F50" s="196"/>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5">
      <c r="A51" s="143"/>
      <c r="B51" s="143"/>
      <c r="C51" s="143"/>
      <c r="D51" s="143"/>
      <c r="E51" s="233"/>
      <c r="F51" s="196"/>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5">
      <c r="A52" s="143"/>
      <c r="B52" s="143"/>
      <c r="C52" s="143"/>
      <c r="D52" s="143"/>
      <c r="E52" s="233"/>
      <c r="F52" s="196"/>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5">
      <c r="A53" s="143"/>
      <c r="B53" s="143"/>
      <c r="C53" s="143"/>
      <c r="D53" s="143"/>
      <c r="E53" s="233"/>
      <c r="F53" s="196"/>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5">
      <c r="A54" s="143"/>
      <c r="B54" s="143"/>
      <c r="C54" s="143"/>
      <c r="D54" s="143"/>
      <c r="E54" s="233"/>
      <c r="F54" s="196"/>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5">
      <c r="A55" s="143"/>
      <c r="B55" s="143"/>
      <c r="C55" s="143"/>
      <c r="D55" s="143"/>
      <c r="E55" s="233"/>
      <c r="F55" s="196"/>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5">
      <c r="A56" s="143"/>
      <c r="B56" s="143"/>
      <c r="C56" s="143"/>
      <c r="D56" s="143"/>
      <c r="E56" s="233"/>
      <c r="F56" s="196"/>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5">
      <c r="A57" s="143"/>
      <c r="B57" s="143"/>
      <c r="C57" s="143"/>
      <c r="D57" s="143"/>
      <c r="E57" s="233"/>
      <c r="F57" s="196"/>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5">
      <c r="A58" s="143"/>
      <c r="B58" s="143"/>
      <c r="C58" s="143"/>
      <c r="D58" s="143"/>
      <c r="E58" s="233"/>
      <c r="F58" s="196"/>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5">
      <c r="A59" s="143"/>
      <c r="B59" s="143"/>
      <c r="C59" s="143"/>
      <c r="D59" s="143"/>
      <c r="E59" s="233"/>
      <c r="F59" s="196"/>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5">
      <c r="A60" s="143"/>
      <c r="B60" s="143"/>
      <c r="C60" s="143"/>
      <c r="D60" s="143"/>
      <c r="E60" s="234"/>
      <c r="F60" s="235"/>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2021-08-11T20:39:01Z</dcterms:modified>
</cp:coreProperties>
</file>