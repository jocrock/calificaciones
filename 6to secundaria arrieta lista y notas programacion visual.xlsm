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A60190D9-859C-46BA-9987-FAD2C412AC54}" xr6:coauthVersionLast="47" xr6:coauthVersionMax="47" xr10:uidLastSave="{00000000-0000-0000-0000-000000000000}"/>
  <bookViews>
    <workbookView xWindow="-108" yWindow="-108" windowWidth="23256" windowHeight="12576" activeTab="7" xr2:uid="{00000000-000D-0000-FFFF-FFFF00000000}"/>
  </bookViews>
  <sheets>
    <sheet name="CARÁTULA" sheetId="1" r:id="rId1"/>
    <sheet name="C. FILIACION" sheetId="2" r:id="rId2"/>
    <sheet name="ASIS 1 TRIM" sheetId="3" r:id="rId3"/>
    <sheet name="ASIS 2 TRIM" sheetId="4" r:id="rId4"/>
    <sheet name="Hoja1"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 r:id="rId19"/>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W11" i="17" l="1"/>
  <c r="X11" i="17"/>
  <c r="Y11" i="17"/>
  <c r="Z11" i="17"/>
  <c r="V11" i="17"/>
  <c r="C11" i="17"/>
  <c r="D11" i="17"/>
  <c r="E11" i="17"/>
  <c r="F11" i="17"/>
  <c r="G11" i="17"/>
  <c r="H11" i="17"/>
  <c r="I11" i="17"/>
  <c r="J11" i="17"/>
  <c r="K11" i="17"/>
  <c r="L11" i="17"/>
  <c r="M11" i="17"/>
  <c r="N11" i="17"/>
  <c r="O11" i="17"/>
  <c r="P11" i="17"/>
  <c r="Q11" i="17"/>
  <c r="R11" i="17"/>
  <c r="S11" i="17"/>
  <c r="T11" i="17"/>
  <c r="U11"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11" i="17"/>
  <c r="C10" i="17"/>
  <c r="D10" i="17"/>
  <c r="E10" i="17"/>
  <c r="F10" i="17"/>
  <c r="G10" i="17"/>
  <c r="H10" i="17"/>
  <c r="I10" i="17"/>
  <c r="J10" i="17"/>
  <c r="K10" i="17"/>
  <c r="L10" i="17"/>
  <c r="M10" i="17"/>
  <c r="N10" i="17"/>
  <c r="O10" i="17"/>
  <c r="P10" i="17"/>
  <c r="Q10" i="17"/>
  <c r="R10" i="17"/>
  <c r="S10" i="17"/>
  <c r="T10" i="17"/>
  <c r="U10" i="17"/>
  <c r="B10" i="17"/>
  <c r="A30" i="17"/>
  <c r="I28" i="17"/>
  <c r="A28" i="17"/>
  <c r="I27" i="17"/>
  <c r="A27" i="17"/>
  <c r="I26" i="17"/>
  <c r="A26" i="17"/>
  <c r="I25" i="17"/>
  <c r="A25" i="17"/>
  <c r="I24" i="17"/>
  <c r="A24" i="17"/>
  <c r="I23" i="17"/>
  <c r="I29" i="17" s="1"/>
  <c r="A23" i="17"/>
  <c r="I18" i="17"/>
  <c r="A18" i="17"/>
  <c r="I17" i="17"/>
  <c r="A17" i="17"/>
  <c r="I16" i="17"/>
  <c r="A16" i="17"/>
  <c r="I15" i="17"/>
  <c r="I19" i="17" s="1"/>
  <c r="A15" i="17"/>
  <c r="Z10" i="17"/>
  <c r="Y10" i="17"/>
  <c r="X10" i="17"/>
  <c r="W10" i="17"/>
  <c r="V10" i="17"/>
  <c r="R4" i="17"/>
  <c r="F4"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B25" i="4" l="1"/>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E25" i="4" s="1"/>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A4" i="4" l="1"/>
  <c r="AG20" i="7"/>
  <c r="D20" i="10" s="1"/>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N20" i="9" l="1"/>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16" i="9" l="1"/>
  <c r="V16" i="9" s="1"/>
  <c r="U25" i="9"/>
  <c r="F25" i="10" s="1"/>
  <c r="U17" i="9"/>
  <c r="V17" i="9" s="1"/>
  <c r="U22" i="9"/>
  <c r="V22" i="9" s="1"/>
  <c r="F23" i="10"/>
  <c r="V23" i="9"/>
  <c r="F39" i="10"/>
  <c r="V39" i="9"/>
  <c r="F15" i="10"/>
  <c r="V15" i="9"/>
  <c r="F31" i="10"/>
  <c r="V31" i="9"/>
  <c r="U11" i="9"/>
  <c r="F35" i="10"/>
  <c r="V35" i="9"/>
  <c r="U12" i="9"/>
  <c r="I9" i="10"/>
  <c r="E11" i="14" s="1"/>
  <c r="I13" i="10"/>
  <c r="E12" i="14" s="1"/>
  <c r="U24" i="9"/>
  <c r="U28" i="9"/>
  <c r="AO12" i="7"/>
  <c r="H10" i="12" s="1"/>
  <c r="AO11" i="7"/>
  <c r="H9" i="12" s="1"/>
  <c r="AO10" i="7"/>
  <c r="H8" i="12" s="1"/>
  <c r="AO9" i="7"/>
  <c r="H7" i="12" s="1"/>
  <c r="K9" i="10"/>
  <c r="E36" i="14" s="1"/>
  <c r="K13" i="10"/>
  <c r="E37" i="14" s="1"/>
  <c r="U9"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F22" i="10" l="1"/>
  <c r="G22" i="10" s="1"/>
  <c r="F17" i="10"/>
  <c r="H25" i="16" s="1"/>
  <c r="V25" i="9"/>
  <c r="F16" i="10"/>
  <c r="H24" i="16" s="1"/>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30" i="16"/>
  <c r="H47" i="16"/>
  <c r="G39" i="10"/>
  <c r="H11" i="12"/>
  <c r="I9" i="12" s="1"/>
  <c r="G12" i="14"/>
  <c r="I8" i="13"/>
  <c r="H51" i="16"/>
  <c r="G43" i="10"/>
  <c r="E13" i="14"/>
  <c r="G11" i="14"/>
  <c r="H31" i="16"/>
  <c r="G23" i="10"/>
  <c r="G17" i="10" l="1"/>
  <c r="G16" i="10"/>
  <c r="G36" i="14"/>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<sst xmlns="http://schemas.openxmlformats.org/spreadsheetml/2006/main" count="1051" uniqueCount="258">
  <si>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</si>
  <si>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</si>
  <si>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</si>
  <si>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</si>
  <si>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</si>
  <si>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</si>
  <si>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</si>
  <si>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</si>
  <si>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</si>
  <si>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</si>
  <si>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</si>
  <si>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</si>
  <si>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</si>
  <si>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</si>
  <si>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</si>
  <si>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</si>
  <si>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</si>
  <si>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</si>
  <si>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</si>
  <si>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</si>
  <si>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programacion visual</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</si>
  <si>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</si>
  <si>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</si>
  <si>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</si>
  <si>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</si>
  <si>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</si>
  <si>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</si>
  <si>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</si>
  <si>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</si>
  <si>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</si>
  <si>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</si>
  <si>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</si>
  <si>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</si>
  <si>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</si>
  <si>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</si>
  <si>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</si>
  <si>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</si>
  <si>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</si>
  <si>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</si>
  <si>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</si>
  <si>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</si>
  <si>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</si>
  <si>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</si>
  <si>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</si>
  <si>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</si>
  <si>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</si>
  <si>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</si>
  <si>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</si>
  <si>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</si>
  <si>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</si>
  <si>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</si>
  <si>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</si>
  <si>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</si>
  <si>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</si>
  <si>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</si>
  <si>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</si>
  <si>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</si>
  <si>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</si>
  <si>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</si>
  <si>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</si>
  <si>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</si>
  <si>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</si>
  <si>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</si>
  <si>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</si>
  <si>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</si>
  <si>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</si>
  <si>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</si>
  <si>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</si>
  <si>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</si>
  <si>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</si>
  <si>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</si>
  <si>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</si>
  <si>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</si>
  <si>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</si>
  <si>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</si>
  <si>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</si>
  <si>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</si>
  <si>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</si>
  <si>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</si>
  <si>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</si>
  <si>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</si>
  <si>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</si>
  <si>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</si>
  <si>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</si>
  <si>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</si>
  <si>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</si>
  <si>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</si>
  <si>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</si>
  <si>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</si>
  <si>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</si>
  <si>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</si>
  <si>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</si>
  <si>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</si>
  <si>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</si>
  <si>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</si>
  <si>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</si>
  <si>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</si>
  <si>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</si>
  <si>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</si>
  <si>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</si>
  <si>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</si>
  <si>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</si>
  <si>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</si>
  <si>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</si>
  <si>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</si>
  <si>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</si>
  <si>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</si>
  <si>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</si>
  <si>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</si>
  <si>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</si>
  <si>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</si>
  <si>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</si>
  <si>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</si>
  <si>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</si>
  <si>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</si>
  <si>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</si>
  <si>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</si>
  <si>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</si>
  <si>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</si>
  <si>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</si>
  <si>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</si>
  <si>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</si>
  <si>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</si>
  <si>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</si>
  <si>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</si>
  <si>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</si>
  <si>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</si>
  <si>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</si>
  <si>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</si>
  <si>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</si>
  <si>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</si>
  <si>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</si>
  <si>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</si>
  <si>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</si>
  <si>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</si>
  <si>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</si>
  <si>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</si>
  <si>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</si>
  <si>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</si>
  <si>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</si>
  <si>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</si>
  <si>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</si>
  <si>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</si>
  <si>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</si>
  <si>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</si>
  <si>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</si>
  <si>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</si>
  <si>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</si>
  <si>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</si>
  <si>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</si>
  <si>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</si>
  <si>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</si>
  <si>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</si>
  <si>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</si>
  <si>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</si>
  <si>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</si>
  <si>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</si>
  <si>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</si>
  <si>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</si>
  <si>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</si>
  <si>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</si>
  <si>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</si>
  <si>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</si>
  <si>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</si>
  <si>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</si>
  <si>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</si>
  <si>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</si>
  <si>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</si>
  <si>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</si>
  <si>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</si>
  <si>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</si>
  <si>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</si>
  <si>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</si>
  <si>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</si>
  <si>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</si>
  <si>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</si>
  <si>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</si>
  <si>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</si>
  <si>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</si>
  <si>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Ventura Choque Danely Keyla</t>
  </si>
  <si>
    <t>o</t>
  </si>
  <si>
    <t>10/5/2021</t>
  </si>
  <si>
    <t>12/5/2021</t>
  </si>
  <si>
    <t>17/5/2021</t>
  </si>
  <si>
    <t>19/5/2021</t>
  </si>
  <si>
    <t>24/5/2021</t>
  </si>
  <si>
    <t>26/5/2021</t>
  </si>
  <si>
    <t>31/5/2021</t>
  </si>
  <si>
    <t>28/6/2021</t>
  </si>
  <si>
    <t>30/6/2021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</si>
  <si>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</si>
  <si>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</si>
  <si>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</si>
  <si>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</si>
  <si>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</si>
  <si>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</si>
  <si>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</si>
  <si>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</si>
  <si>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</si>
  <si>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</si>
  <si>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</si>
  <si>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</si>
  <si>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</si>
  <si>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</si>
  <si>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</si>
  <si>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</si>
  <si>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</si>
  <si>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</si>
  <si>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</si>
  <si>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</si>
  <si>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</si>
  <si>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</si>
  <si>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</si>
  <si>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</si>
  <si>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</si>
  <si>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</si>
  <si>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</si>
  <si>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</si>
  <si>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</si>
  <si>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</si>
  <si>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</si>
  <si>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</si>
  <si>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</si>
  <si>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</si>
  <si>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</si>
  <si>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</si>
  <si>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</si>
  <si>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</si>
  <si>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</si>
  <si>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</si>
  <si>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</si>
  <si>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</si>
  <si>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</si>
  <si>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</si>
  <si>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</si>
  <si>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</si>
  <si>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</si>
  <si>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</si>
  <si>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Codigo Classroom 2</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</si>
  <si>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</si>
  <si>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</si>
  <si>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</si>
  <si>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</si>
  <si>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</si>
  <si>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</si>
  <si>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</si>
  <si>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</si>
  <si>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</si>
  <si>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</si>
  <si>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</si>
  <si>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</si>
  <si>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</si>
  <si>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</si>
  <si>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</si>
  <si>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26/05/2021(DefensaDiseño de Interface)</t>
  </si>
  <si>
    <t>12/08/2021(Disertacion Programa tres en raya)</t>
  </si>
  <si>
    <t>9/08/2021(Cuestionario BD)</t>
  </si>
  <si>
    <t>09/08/2021(CRUD)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</si>
</sst>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ont>
    <font>
      <b/>
      <sz val="12"/>
      <color rgb="FF000000"/>
      <name val="Arial"/>
      <family val="2"/>
    </font>
    <font>
      <sz val="12"/>
      <color rgb="FF000000"/>
      <name val="Arial"/>
      <family val="2"/>
    </font>
    <font>
      <b/>
      <sz val="9"/>
      <color rgb="FF000000"/>
      <name val="Arial"/>
      <family val="2"/>
    </font>
    <font>
      <sz val="10"/>
      <color theme="1"/>
      <name val="Roboto"/>
    </font>
    <font>
      <sz val="10"/>
      <color rgb="FF5F6368"/>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s>
  <fills count="16">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s>
  <borders count="6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right/>
      <top style="thin">
        <color indexed="64"/>
      </top>
      <bottom/>
      <diagonal/>
    </border>
  </borders>
  <cellStyleXfs count="2">
    <xf numFmtId="0" fontId="0" fillId="0" borderId="0"/>
    <xf numFmtId="0" fontId="40" fillId="0" borderId="0" applyNumberFormat="0" applyFill="0" applyBorder="0" applyAlignment="0" applyProtection="0"/>
  </cellStyleXfs>
  <cellXfs count="304">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1" fillId="0" borderId="58" xfId="0" applyFont="1" applyBorder="1" applyAlignment="1">
      <alignment horizontal="left"/>
    </xf>
    <xf numFmtId="0" fontId="42" fillId="0" borderId="58" xfId="0" applyFont="1" applyBorder="1" applyAlignment="1">
      <alignment horizontal="center"/>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43" fillId="0" borderId="63" xfId="0" applyFont="1" applyBorder="1" applyAlignment="1">
      <alignment horizontal="center" vertical="center"/>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3" fillId="0" borderId="58" xfId="0" applyFont="1" applyBorder="1"/>
    <xf numFmtId="0" fontId="45" fillId="0" borderId="58" xfId="0" applyFont="1" applyBorder="1" applyAlignment="1">
      <alignment horizontal="center" vertical="center" wrapText="1"/>
    </xf>
    <xf numFmtId="0" fontId="46" fillId="0" borderId="15" xfId="0" applyFont="1" applyBorder="1" applyAlignment="1">
      <alignment vertical="center" wrapText="1"/>
    </xf>
    <xf numFmtId="0" fontId="47" fillId="0" borderId="15" xfId="0" applyFont="1" applyBorder="1" applyAlignment="1">
      <alignment horizont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47" fillId="0" borderId="58" xfId="0" applyFont="1" applyBorder="1" applyAlignment="1">
      <alignment horizontal="center" vertical="center"/>
    </xf>
    <xf numFmtId="0" fontId="50" fillId="0" borderId="60" xfId="0" applyFont="1" applyBorder="1" applyAlignment="1">
      <alignment horizontal="right"/>
    </xf>
    <xf numFmtId="0" fontId="50" fillId="0" borderId="61" xfId="0" applyFont="1" applyBorder="1" applyAlignment="1">
      <alignment horizontal="right"/>
    </xf>
    <xf numFmtId="0" fontId="50" fillId="0" borderId="58" xfId="0" applyFont="1" applyBorder="1" applyAlignment="1">
      <alignment horizontal="center"/>
    </xf>
    <xf numFmtId="0" fontId="52" fillId="0" borderId="58" xfId="1" applyFont="1" applyFill="1" applyBorder="1" applyAlignment="1">
      <alignment horizontal="left"/>
    </xf>
    <xf numFmtId="0" fontId="49" fillId="0" borderId="58" xfId="0" applyFont="1" applyBorder="1" applyAlignment="1">
      <alignment horizontal="left"/>
    </xf>
    <xf numFmtId="0" fontId="52" fillId="0" borderId="59" xfId="1" applyFont="1" applyFill="1" applyBorder="1" applyAlignment="1">
      <alignment horizontal="left"/>
    </xf>
    <xf numFmtId="0" fontId="53" fillId="0" borderId="60" xfId="1" applyFont="1" applyFill="1" applyBorder="1" applyAlignment="1">
      <alignment horizontal="left"/>
    </xf>
    <xf numFmtId="0" fontId="53" fillId="0" borderId="61" xfId="1" applyFont="1" applyFill="1" applyBorder="1" applyAlignment="1">
      <alignment horizontal="left"/>
    </xf>
    <xf numFmtId="14" fontId="50" fillId="0" borderId="60" xfId="0" applyNumberFormat="1" applyFont="1" applyBorder="1" applyAlignment="1">
      <alignment horizontal="right"/>
    </xf>
    <xf numFmtId="0" fontId="53" fillId="0" borderId="59" xfId="1" applyFont="1" applyFill="1" applyBorder="1" applyAlignment="1">
      <alignment horizontal="center"/>
    </xf>
    <xf numFmtId="0" fontId="53" fillId="0" borderId="60" xfId="1" applyFont="1" applyFill="1" applyBorder="1" applyAlignment="1">
      <alignment horizontal="center"/>
    </xf>
    <xf numFmtId="0" fontId="53" fillId="0" borderId="61" xfId="1" applyFont="1" applyFill="1" applyBorder="1" applyAlignment="1">
      <alignment horizontal="center"/>
    </xf>
    <xf numFmtId="0" fontId="54" fillId="0" borderId="58" xfId="0" applyFont="1" applyBorder="1" applyAlignment="1">
      <alignment horizontal="right" vertical="center"/>
    </xf>
    <xf numFmtId="0" fontId="55" fillId="0" borderId="58" xfId="0" applyFont="1" applyBorder="1" applyAlignment="1">
      <alignment horizontal="right" vertical="center"/>
    </xf>
    <xf numFmtId="1" fontId="56" fillId="0" borderId="58" xfId="0" applyNumberFormat="1" applyFont="1" applyBorder="1" applyAlignment="1">
      <alignment horizontal="center"/>
    </xf>
    <xf numFmtId="0" fontId="55" fillId="0" borderId="64" xfId="0" applyFont="1" applyBorder="1" applyAlignment="1">
      <alignment horizontal="right" vertical="center"/>
    </xf>
    <xf numFmtId="0" fontId="55" fillId="0" borderId="65" xfId="0" applyFont="1" applyBorder="1" applyAlignment="1">
      <alignment horizontal="right" vertical="center"/>
    </xf>
    <xf numFmtId="0" fontId="57" fillId="0" borderId="58" xfId="1" applyFont="1" applyFill="1" applyBorder="1" applyAlignment="1">
      <alignment horizontal="left"/>
    </xf>
    <xf numFmtId="14" fontId="55" fillId="0" borderId="64" xfId="0" applyNumberFormat="1" applyFont="1" applyBorder="1" applyAlignment="1">
      <alignment horizontal="right" vertical="center"/>
    </xf>
    <xf numFmtId="0" fontId="57" fillId="0" borderId="59" xfId="1" applyFont="1" applyFill="1" applyBorder="1" applyAlignment="1">
      <alignment horizontal="left"/>
    </xf>
    <xf numFmtId="0" fontId="51" fillId="0" borderId="60" xfId="1" applyFont="1" applyFill="1" applyBorder="1" applyAlignment="1">
      <alignment horizontal="left"/>
    </xf>
    <xf numFmtId="0" fontId="51" fillId="0" borderId="61" xfId="1" applyFont="1" applyFill="1" applyBorder="1" applyAlignment="1">
      <alignment horizontal="left"/>
    </xf>
    <xf numFmtId="1" fontId="56" fillId="0" borderId="62" xfId="0" applyNumberFormat="1" applyFont="1" applyBorder="1" applyAlignment="1">
      <alignment horizontal="center"/>
    </xf>
    <xf numFmtId="0" fontId="49" fillId="0" borderId="62" xfId="0" applyFont="1" applyBorder="1" applyAlignment="1">
      <alignment horizontal="center"/>
    </xf>
    <xf numFmtId="0" fontId="54" fillId="0" borderId="66" xfId="0" applyFont="1" applyBorder="1" applyAlignment="1">
      <alignment horizontal="left" vertical="center" wrapText="1"/>
    </xf>
    <xf numFmtId="0" fontId="54" fillId="0" borderId="15" xfId="0" applyFont="1" applyBorder="1" applyAlignment="1">
      <alignment horizontal="left" vertical="center" wrapText="1"/>
    </xf>
    <xf numFmtId="0" fontId="53" fillId="0" borderId="59" xfId="1" applyFont="1" applyFill="1" applyBorder="1" applyAlignment="1">
      <alignment horizontal="left"/>
    </xf>
    <xf numFmtId="0" fontId="58" fillId="0" borderId="15" xfId="0" applyFont="1" applyBorder="1" applyAlignment="1">
      <alignment horizontal="center"/>
    </xf>
    <xf numFmtId="0" fontId="49" fillId="0" borderId="60" xfId="0" applyFont="1" applyBorder="1" applyAlignment="1">
      <alignment horizontal="left"/>
    </xf>
    <xf numFmtId="0" fontId="59" fillId="0" borderId="0" xfId="0" applyFont="1"/>
  </cellXfs>
  <cellStyles count="2">
    <cellStyle name="Hipervínculo" xfId="1" builtinId="8"/>
    <cellStyle name="Normal" xfId="0" builtinId="0"/>
  </cellStyles>
  <dxfs count="53">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bottom style="thin">
          <color rgb="FF000000"/>
        </bottom>
      </border>
    </dxf>
    <dxf>
      <border outline="0">
        <left style="thin">
          <color rgb="FF000000"/>
        </left>
        <right style="medium">
          <color rgb="FF000000"/>
        </right>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0.91666666666666663</c:v>
                </c:pt>
                <c:pt idx="1">
                  <c:v>8.3333333333333329E-2</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1</xdr:row>
      <xdr:rowOff>224679</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13</xdr:col>
      <xdr:colOff>42919</xdr:colOff>
      <xdr:row>31</xdr:row>
      <xdr:rowOff>203686</xdr:rowOff>
    </xdr:from>
    <xdr:to>
      <xdr:col>17</xdr:col>
      <xdr:colOff>126435</xdr:colOff>
      <xdr:row>34</xdr:row>
      <xdr:rowOff>179294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3477634" y="6518761"/>
          <a:ext cx="1127456" cy="62711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5t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Inf. Rendimiento Reducido"/>
      <sheetName val="ASIS 3 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3">
          <cell r="C23" t="str">
            <v>5to de Secundaria</v>
          </cell>
        </row>
      </sheetData>
      <sheetData sheetId="1"/>
      <sheetData sheetId="2"/>
      <sheetData sheetId="3"/>
      <sheetData sheetId="4"/>
      <sheetData sheetId="5"/>
      <sheetData sheetId="6"/>
      <sheetData sheetId="7">
        <row r="8">
          <cell r="D8" t="str">
            <v>24/5/2021(List Estudiante clase)</v>
          </cell>
          <cell r="E8" t="str">
            <v>28/6/2021(Repaso)</v>
          </cell>
          <cell r="F8" t="str">
            <v>14/72021 Elementos mayores Arrays</v>
          </cell>
          <cell r="G8" t="str">
            <v>26/7/2021 Primer parcial 2do trim</v>
          </cell>
          <cell r="P8" t="str">
            <v>(17/05/2021)Investigar Constr,Destr de Clase</v>
          </cell>
          <cell r="Q8" t="str">
            <v>26/5/2021(reportes persona)</v>
          </cell>
          <cell r="R8" t="str">
            <v>5/7/2021 (Array Modificacion de codigo)</v>
          </cell>
          <cell r="S8" t="str">
            <v>12/7/2021(Ejercicio vectores)</v>
          </cell>
          <cell r="T8" t="str">
            <v>14/7/2021 (Ejercicio Matrices)</v>
          </cell>
          <cell r="U8" t="str">
            <v>21/7/2021 Ejercicios resueltos</v>
          </cell>
        </row>
        <row r="9">
          <cell r="B9" t="str">
            <v>ARAMAYO CARVALLO LITZI</v>
          </cell>
          <cell r="C9">
            <v>10</v>
          </cell>
          <cell r="D9">
            <v>35</v>
          </cell>
          <cell r="E9">
            <v>23</v>
          </cell>
          <cell r="F9">
            <v>18</v>
          </cell>
          <cell r="G9">
            <v>30</v>
          </cell>
          <cell r="H9">
            <v>18</v>
          </cell>
          <cell r="O9">
            <v>25</v>
          </cell>
          <cell r="P9">
            <v>34</v>
          </cell>
          <cell r="Q9">
            <v>35</v>
          </cell>
          <cell r="R9">
            <v>35</v>
          </cell>
          <cell r="S9">
            <v>20</v>
          </cell>
          <cell r="T9">
            <v>18</v>
          </cell>
          <cell r="U9">
            <v>35</v>
          </cell>
        </row>
        <row r="10">
          <cell r="B10" t="str">
            <v>BLANCO SALVATIERRA LIZETH BRIGIDA</v>
          </cell>
          <cell r="C10">
            <v>10</v>
          </cell>
          <cell r="D10">
            <v>20</v>
          </cell>
          <cell r="E10">
            <v>28</v>
          </cell>
          <cell r="F10">
            <v>20</v>
          </cell>
          <cell r="G10">
            <v>25</v>
          </cell>
          <cell r="O10">
            <v>23</v>
          </cell>
          <cell r="P10">
            <v>32</v>
          </cell>
          <cell r="Q10">
            <v>30</v>
          </cell>
          <cell r="R10">
            <v>35</v>
          </cell>
          <cell r="S10">
            <v>25</v>
          </cell>
          <cell r="T10">
            <v>0</v>
          </cell>
          <cell r="U10">
            <v>20</v>
          </cell>
        </row>
        <row r="11">
          <cell r="B11" t="str">
            <v>GARCIA FAUCA NIELS HAMILTON</v>
          </cell>
          <cell r="C11">
            <v>10</v>
          </cell>
          <cell r="D11">
            <v>20</v>
          </cell>
          <cell r="E11">
            <v>21</v>
          </cell>
          <cell r="F11">
            <v>35</v>
          </cell>
          <cell r="G11">
            <v>35</v>
          </cell>
          <cell r="O11">
            <v>28</v>
          </cell>
          <cell r="P11">
            <v>20</v>
          </cell>
          <cell r="Q11">
            <v>20</v>
          </cell>
          <cell r="R11">
            <v>20</v>
          </cell>
          <cell r="S11">
            <v>20</v>
          </cell>
          <cell r="T11">
            <v>35</v>
          </cell>
          <cell r="U11">
            <v>35</v>
          </cell>
        </row>
        <row r="12">
          <cell r="B12" t="str">
            <v>GOITIA VEIZAN MORGAN CRISTHIAN</v>
          </cell>
          <cell r="C12">
            <v>10</v>
          </cell>
          <cell r="D12">
            <v>0</v>
          </cell>
          <cell r="E12">
            <v>0</v>
          </cell>
          <cell r="F12">
            <v>0</v>
          </cell>
          <cell r="G12">
            <v>0</v>
          </cell>
          <cell r="O12">
            <v>0</v>
          </cell>
          <cell r="P12">
            <v>0</v>
          </cell>
          <cell r="Q12">
            <v>0</v>
          </cell>
          <cell r="R12">
            <v>0</v>
          </cell>
          <cell r="S12">
            <v>0</v>
          </cell>
          <cell r="T12">
            <v>0</v>
          </cell>
          <cell r="U12">
            <v>0</v>
          </cell>
        </row>
        <row r="13">
          <cell r="B13" t="str">
            <v>GOMEZ LUCANA ALISON NAYR</v>
          </cell>
          <cell r="C13">
            <v>10</v>
          </cell>
          <cell r="D13">
            <v>0</v>
          </cell>
          <cell r="E13">
            <v>0</v>
          </cell>
          <cell r="F13">
            <v>0</v>
          </cell>
          <cell r="G13">
            <v>0</v>
          </cell>
          <cell r="O13">
            <v>0</v>
          </cell>
          <cell r="P13">
            <v>0</v>
          </cell>
          <cell r="Q13">
            <v>0</v>
          </cell>
          <cell r="R13">
            <v>0</v>
          </cell>
          <cell r="S13">
            <v>0</v>
          </cell>
          <cell r="T13">
            <v>0</v>
          </cell>
          <cell r="U13">
            <v>0</v>
          </cell>
        </row>
        <row r="14">
          <cell r="B14" t="str">
            <v>GUTIERREZ ALVAREZ ALEX BEYMAR</v>
          </cell>
          <cell r="C14">
            <v>10</v>
          </cell>
          <cell r="D14">
            <v>0</v>
          </cell>
          <cell r="E14">
            <v>0</v>
          </cell>
          <cell r="F14">
            <v>0</v>
          </cell>
          <cell r="G14">
            <v>10</v>
          </cell>
          <cell r="O14">
            <v>3</v>
          </cell>
          <cell r="P14">
            <v>0</v>
          </cell>
          <cell r="Q14">
            <v>0</v>
          </cell>
          <cell r="R14">
            <v>0</v>
          </cell>
          <cell r="S14">
            <v>0</v>
          </cell>
          <cell r="T14">
            <v>20</v>
          </cell>
          <cell r="U14">
            <v>0</v>
          </cell>
        </row>
        <row r="15">
          <cell r="B15" t="str">
            <v>LOPEZ PACO MIGUEL ANGEL</v>
          </cell>
          <cell r="C15">
            <v>10</v>
          </cell>
          <cell r="D15">
            <v>15</v>
          </cell>
          <cell r="E15">
            <v>28</v>
          </cell>
          <cell r="F15">
            <v>20</v>
          </cell>
          <cell r="G15">
            <v>18</v>
          </cell>
          <cell r="H15">
            <v>34</v>
          </cell>
          <cell r="O15">
            <v>23</v>
          </cell>
          <cell r="P15">
            <v>15</v>
          </cell>
          <cell r="Q15">
            <v>15</v>
          </cell>
          <cell r="R15">
            <v>35</v>
          </cell>
          <cell r="S15">
            <v>15</v>
          </cell>
          <cell r="T15">
            <v>20</v>
          </cell>
          <cell r="U15">
            <v>15</v>
          </cell>
        </row>
        <row r="16">
          <cell r="B16" t="str">
            <v>MAMANI AQUINO LUCAS</v>
          </cell>
          <cell r="C16">
            <v>10</v>
          </cell>
          <cell r="D16">
            <v>0</v>
          </cell>
          <cell r="E16">
            <v>0</v>
          </cell>
          <cell r="F16">
            <v>0</v>
          </cell>
          <cell r="G16">
            <v>0</v>
          </cell>
          <cell r="H16">
            <v>18</v>
          </cell>
          <cell r="O16">
            <v>4</v>
          </cell>
          <cell r="P16">
            <v>0</v>
          </cell>
          <cell r="Q16">
            <v>0</v>
          </cell>
          <cell r="R16">
            <v>0</v>
          </cell>
          <cell r="S16">
            <v>0</v>
          </cell>
          <cell r="T16">
            <v>0</v>
          </cell>
          <cell r="U16">
            <v>0</v>
          </cell>
        </row>
        <row r="17">
          <cell r="B17" t="str">
            <v>MAMANI VASQUEZ FRANZ DARWIN</v>
          </cell>
          <cell r="C17">
            <v>10</v>
          </cell>
          <cell r="D17">
            <v>35</v>
          </cell>
          <cell r="E17">
            <v>28</v>
          </cell>
          <cell r="F17">
            <v>30</v>
          </cell>
          <cell r="G17">
            <v>35</v>
          </cell>
          <cell r="H17">
            <v>35</v>
          </cell>
          <cell r="O17">
            <v>33</v>
          </cell>
          <cell r="P17">
            <v>32</v>
          </cell>
          <cell r="Q17">
            <v>35</v>
          </cell>
          <cell r="R17">
            <v>35</v>
          </cell>
          <cell r="S17">
            <v>30</v>
          </cell>
          <cell r="T17">
            <v>35</v>
          </cell>
          <cell r="U17">
            <v>35</v>
          </cell>
        </row>
        <row r="18">
          <cell r="B18" t="str">
            <v>MARTINEZ MAMANI JORGE ARMANDO</v>
          </cell>
          <cell r="C18">
            <v>10</v>
          </cell>
          <cell r="D18">
            <v>0</v>
          </cell>
          <cell r="E18">
            <v>0</v>
          </cell>
          <cell r="F18">
            <v>0</v>
          </cell>
          <cell r="G18">
            <v>20</v>
          </cell>
          <cell r="O18">
            <v>5</v>
          </cell>
          <cell r="P18">
            <v>0</v>
          </cell>
          <cell r="Q18">
            <v>0</v>
          </cell>
          <cell r="R18">
            <v>0</v>
          </cell>
          <cell r="S18">
            <v>0</v>
          </cell>
          <cell r="T18">
            <v>0</v>
          </cell>
          <cell r="U18">
            <v>0</v>
          </cell>
        </row>
        <row r="19">
          <cell r="B19" t="str">
            <v>MEDINA PEREIRA GABRIEL LEANDRO</v>
          </cell>
          <cell r="C19">
            <v>10</v>
          </cell>
          <cell r="D19">
            <v>0</v>
          </cell>
          <cell r="E19">
            <v>0</v>
          </cell>
          <cell r="F19">
            <v>0</v>
          </cell>
          <cell r="G19">
            <v>0</v>
          </cell>
          <cell r="O19">
            <v>0</v>
          </cell>
          <cell r="P19">
            <v>0</v>
          </cell>
          <cell r="Q19">
            <v>0</v>
          </cell>
          <cell r="R19">
            <v>0</v>
          </cell>
          <cell r="S19">
            <v>0</v>
          </cell>
          <cell r="T19">
            <v>0</v>
          </cell>
          <cell r="U19">
            <v>0</v>
          </cell>
        </row>
        <row r="20">
          <cell r="B20" t="str">
            <v>MEDINA PEREIRA YULIANA</v>
          </cell>
          <cell r="C20">
            <v>10</v>
          </cell>
          <cell r="D20">
            <v>0</v>
          </cell>
          <cell r="E20">
            <v>0</v>
          </cell>
          <cell r="F20">
            <v>0</v>
          </cell>
          <cell r="G20">
            <v>0</v>
          </cell>
          <cell r="O20">
            <v>0</v>
          </cell>
          <cell r="P20">
            <v>0</v>
          </cell>
          <cell r="Q20">
            <v>0</v>
          </cell>
          <cell r="R20">
            <v>0</v>
          </cell>
          <cell r="S20">
            <v>0</v>
          </cell>
          <cell r="T20">
            <v>0</v>
          </cell>
          <cell r="U20">
            <v>0</v>
          </cell>
        </row>
        <row r="21">
          <cell r="B21" t="str">
            <v>MORALES BERNABEL JULETH CHANTAL</v>
          </cell>
          <cell r="C21">
            <v>10</v>
          </cell>
          <cell r="D21">
            <v>35</v>
          </cell>
          <cell r="E21">
            <v>25</v>
          </cell>
          <cell r="F21">
            <v>35</v>
          </cell>
          <cell r="G21">
            <v>28</v>
          </cell>
          <cell r="O21">
            <v>31</v>
          </cell>
          <cell r="P21">
            <v>33</v>
          </cell>
          <cell r="Q21">
            <v>35</v>
          </cell>
          <cell r="R21">
            <v>18</v>
          </cell>
          <cell r="S21">
            <v>20</v>
          </cell>
          <cell r="T21">
            <v>18</v>
          </cell>
          <cell r="U21">
            <v>35</v>
          </cell>
        </row>
        <row r="22">
          <cell r="B22" t="str">
            <v>ORELLANA MOGRO ADAMO LEVING</v>
          </cell>
          <cell r="C22">
            <v>10</v>
          </cell>
          <cell r="D22">
            <v>35</v>
          </cell>
          <cell r="E22">
            <v>21</v>
          </cell>
          <cell r="F22">
            <v>20</v>
          </cell>
          <cell r="G22">
            <v>30</v>
          </cell>
          <cell r="H22">
            <v>24</v>
          </cell>
          <cell r="O22">
            <v>26</v>
          </cell>
          <cell r="P22">
            <v>30</v>
          </cell>
          <cell r="Q22">
            <v>15</v>
          </cell>
          <cell r="R22">
            <v>20</v>
          </cell>
          <cell r="S22">
            <v>20</v>
          </cell>
          <cell r="T22">
            <v>18</v>
          </cell>
          <cell r="U22">
            <v>30</v>
          </cell>
        </row>
        <row r="23">
          <cell r="B23" t="str">
            <v>PAHUASI HUAYTA LUZ ADRIANA</v>
          </cell>
          <cell r="C23">
            <v>10</v>
          </cell>
          <cell r="D23">
            <v>0</v>
          </cell>
          <cell r="E23">
            <v>0</v>
          </cell>
          <cell r="F23">
            <v>0</v>
          </cell>
          <cell r="G23">
            <v>0</v>
          </cell>
          <cell r="O23">
            <v>0</v>
          </cell>
          <cell r="P23">
            <v>0</v>
          </cell>
          <cell r="Q23">
            <v>0</v>
          </cell>
          <cell r="R23">
            <v>0</v>
          </cell>
          <cell r="S23">
            <v>0</v>
          </cell>
          <cell r="T23">
            <v>0</v>
          </cell>
          <cell r="U23">
            <v>0</v>
          </cell>
        </row>
        <row r="24">
          <cell r="B24" t="str">
            <v>PEREZ HUARACHI ESPERANZA ALEJANDRA</v>
          </cell>
          <cell r="C24">
            <v>10</v>
          </cell>
          <cell r="D24">
            <v>33</v>
          </cell>
          <cell r="E24">
            <v>24</v>
          </cell>
          <cell r="F24">
            <v>18</v>
          </cell>
          <cell r="G24">
            <v>18</v>
          </cell>
          <cell r="H24">
            <v>18</v>
          </cell>
          <cell r="O24">
            <v>22</v>
          </cell>
          <cell r="P24">
            <v>30</v>
          </cell>
          <cell r="Q24">
            <v>30</v>
          </cell>
          <cell r="R24">
            <v>18</v>
          </cell>
          <cell r="S24">
            <v>20</v>
          </cell>
          <cell r="T24">
            <v>18</v>
          </cell>
          <cell r="U24">
            <v>35</v>
          </cell>
        </row>
        <row r="25">
          <cell r="B25" t="str">
            <v>PEREZ ZAMBRANA DAYRIS CONZUELO</v>
          </cell>
          <cell r="C25">
            <v>10</v>
          </cell>
          <cell r="D25">
            <v>35</v>
          </cell>
          <cell r="E25">
            <v>22</v>
          </cell>
          <cell r="F25">
            <v>15</v>
          </cell>
          <cell r="G25">
            <v>22</v>
          </cell>
          <cell r="H25">
            <v>18</v>
          </cell>
          <cell r="O25">
            <v>22</v>
          </cell>
          <cell r="P25">
            <v>28</v>
          </cell>
          <cell r="Q25">
            <v>25</v>
          </cell>
          <cell r="R25">
            <v>32</v>
          </cell>
          <cell r="S25">
            <v>18</v>
          </cell>
          <cell r="T25">
            <v>20</v>
          </cell>
          <cell r="U25">
            <v>18</v>
          </cell>
        </row>
        <row r="26">
          <cell r="B26" t="str">
            <v>QUISPAYA ENCINAS GATHERING ZAMANTHA</v>
          </cell>
          <cell r="C26">
            <v>10</v>
          </cell>
          <cell r="D26">
            <v>23</v>
          </cell>
          <cell r="E26">
            <v>28</v>
          </cell>
          <cell r="F26">
            <v>20</v>
          </cell>
          <cell r="G26">
            <v>18</v>
          </cell>
          <cell r="H26">
            <v>30</v>
          </cell>
          <cell r="O26">
            <v>24</v>
          </cell>
          <cell r="P26">
            <v>30</v>
          </cell>
          <cell r="Q26">
            <v>20</v>
          </cell>
          <cell r="R26">
            <v>18</v>
          </cell>
          <cell r="S26">
            <v>20</v>
          </cell>
          <cell r="T26">
            <v>18</v>
          </cell>
          <cell r="U26">
            <v>35</v>
          </cell>
        </row>
        <row r="27">
          <cell r="B27" t="str">
            <v>SANDOVAL MORANGO EDGAR JORGE</v>
          </cell>
          <cell r="C27">
            <v>10</v>
          </cell>
          <cell r="D27">
            <v>18</v>
          </cell>
          <cell r="E27">
            <v>21</v>
          </cell>
          <cell r="F27">
            <v>15</v>
          </cell>
          <cell r="G27">
            <v>18</v>
          </cell>
          <cell r="H27">
            <v>18</v>
          </cell>
          <cell r="O27">
            <v>18</v>
          </cell>
          <cell r="P27">
            <v>33</v>
          </cell>
          <cell r="Q27">
            <v>0</v>
          </cell>
          <cell r="R27">
            <v>18</v>
          </cell>
          <cell r="S27">
            <v>18</v>
          </cell>
          <cell r="T27">
            <v>18</v>
          </cell>
          <cell r="U27">
            <v>0</v>
          </cell>
        </row>
        <row r="28">
          <cell r="B28" t="str">
            <v>SEVILLANO BALTAZAR ALEXIA LIZZY</v>
          </cell>
          <cell r="C28">
            <v>10</v>
          </cell>
          <cell r="D28">
            <v>0</v>
          </cell>
          <cell r="E28">
            <v>22</v>
          </cell>
          <cell r="F28">
            <v>18</v>
          </cell>
          <cell r="G28">
            <v>10</v>
          </cell>
          <cell r="H28">
            <v>17</v>
          </cell>
          <cell r="O28">
            <v>13</v>
          </cell>
          <cell r="P28">
            <v>18</v>
          </cell>
          <cell r="Q28">
            <v>16</v>
          </cell>
          <cell r="R28">
            <v>18</v>
          </cell>
          <cell r="S28">
            <v>16</v>
          </cell>
          <cell r="T28">
            <v>15</v>
          </cell>
          <cell r="U28">
            <v>12</v>
          </cell>
        </row>
        <row r="29">
          <cell r="B29" t="str">
            <v>TORREZ PACO JOSE MANUEL</v>
          </cell>
          <cell r="C29">
            <v>10</v>
          </cell>
          <cell r="D29">
            <v>18</v>
          </cell>
          <cell r="E29">
            <v>22</v>
          </cell>
          <cell r="F29">
            <v>10</v>
          </cell>
          <cell r="G29">
            <v>20</v>
          </cell>
          <cell r="O29">
            <v>18</v>
          </cell>
          <cell r="P29">
            <v>0</v>
          </cell>
          <cell r="Q29">
            <v>0</v>
          </cell>
          <cell r="R29">
            <v>35</v>
          </cell>
          <cell r="S29">
            <v>20</v>
          </cell>
          <cell r="T29">
            <v>0</v>
          </cell>
          <cell r="U29">
            <v>35</v>
          </cell>
        </row>
        <row r="30">
          <cell r="B30" t="str">
            <v>VELASQUEZ GUTIERREZ ALEJANDRA ANAHI</v>
          </cell>
          <cell r="C30">
            <v>10</v>
          </cell>
          <cell r="D30">
            <v>0</v>
          </cell>
          <cell r="E30">
            <v>0</v>
          </cell>
          <cell r="F30">
            <v>0</v>
          </cell>
          <cell r="G30">
            <v>0</v>
          </cell>
          <cell r="O30">
            <v>0</v>
          </cell>
          <cell r="P30">
            <v>0</v>
          </cell>
          <cell r="Q30">
            <v>0</v>
          </cell>
          <cell r="R30">
            <v>0</v>
          </cell>
          <cell r="S30">
            <v>0</v>
          </cell>
          <cell r="T30">
            <v>0</v>
          </cell>
          <cell r="U30">
            <v>0</v>
          </cell>
        </row>
        <row r="31">
          <cell r="B31" t="str">
            <v>VIDEA JHENDAVIEL PAOLA</v>
          </cell>
          <cell r="C31">
            <v>10</v>
          </cell>
          <cell r="D31">
            <v>0</v>
          </cell>
          <cell r="E31">
            <v>21</v>
          </cell>
          <cell r="F31">
            <v>0</v>
          </cell>
          <cell r="G31">
            <v>18</v>
          </cell>
          <cell r="H31">
            <v>20</v>
          </cell>
          <cell r="O31">
            <v>12</v>
          </cell>
          <cell r="P31">
            <v>33</v>
          </cell>
          <cell r="Q31">
            <v>0</v>
          </cell>
          <cell r="R31">
            <v>35</v>
          </cell>
          <cell r="S31">
            <v>20</v>
          </cell>
          <cell r="T31">
            <v>0</v>
          </cell>
          <cell r="U31">
            <v>35</v>
          </cell>
        </row>
        <row r="32">
          <cell r="B32" t="str">
            <v>MIRANDA LOPEZ KRISTEL DARLYN</v>
          </cell>
          <cell r="C32">
            <v>10</v>
          </cell>
          <cell r="D32">
            <v>0</v>
          </cell>
          <cell r="E32">
            <v>0</v>
          </cell>
          <cell r="F32">
            <v>0</v>
          </cell>
          <cell r="G32">
            <v>0</v>
          </cell>
          <cell r="H32">
            <v>0</v>
          </cell>
          <cell r="O32">
            <v>0</v>
          </cell>
          <cell r="P32">
            <v>0</v>
          </cell>
          <cell r="Q32">
            <v>0</v>
          </cell>
          <cell r="R32">
            <v>0</v>
          </cell>
          <cell r="S32">
            <v>0</v>
          </cell>
          <cell r="T32">
            <v>0</v>
          </cell>
          <cell r="U32">
            <v>0</v>
          </cell>
        </row>
      </sheetData>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0" dataDxfId="1" headerRowBorderDxfId="51" tableBorderDxfId="52" totalsRowBorderDxfId="50">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9"/>
    <tableColumn id="2" xr3:uid="{B5E7E238-5AE2-45B4-B269-9591F700C330}" name="NÓMINA DE ESTUDIANTES" dataDxfId="48">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7"/>
    <tableColumn id="13" xr3:uid="{6CFC6252-B944-4B50-BAE1-CFBEAF997925}" name="7/7/2021" dataDxfId="46"/>
    <tableColumn id="14" xr3:uid="{566E9052-2048-49B2-96A4-29537E340BEA}" name="12/7/2021" dataDxfId="45"/>
    <tableColumn id="15" xr3:uid="{5B242C9E-E5E5-43CA-B88C-25A790F18E65}" name="14/7/2021" dataDxfId="44"/>
    <tableColumn id="16" xr3:uid="{D2499745-4BB3-4663-A09D-5BF8E956698D}" name="19/7/2021" dataDxfId="43"/>
    <tableColumn id="17" xr3:uid="{F8F60032-4D93-4D30-A0A0-918045851ED3}" name="26/7/2021" dataDxfId="42"/>
    <tableColumn id="18" xr3:uid="{5905520C-819F-45C4-9AB6-87231EBBB779}" name="28/7/2021" dataDxfId="41"/>
    <tableColumn id="19" xr3:uid="{36915268-6498-48B6-A2A8-F94A5AA0E9F4}" name="2/8/2021" dataDxfId="40"/>
    <tableColumn id="20" xr3:uid="{473CE4FD-326F-40DA-99C0-36D9850B0D09}" name="4/8/2021" dataDxfId="39"/>
    <tableColumn id="21" xr3:uid="{A8488103-006E-4AE1-A58E-18B9E30E197B}" name="9/8/2021" dataDxfId="38"/>
    <tableColumn id="22" xr3:uid="{5C609EB0-E16E-4A52-B83A-CC24AE61AE7D}" name="11/8/2021" dataDxfId="37"/>
    <tableColumn id="23" xr3:uid="{2489712E-1F55-4F67-A27C-1F5EB22B857A}" name="Columna1" dataDxfId="36"/>
    <tableColumn id="24" xr3:uid="{722E66E0-9161-48AC-8660-5A053887EC03}" name="Columna2" dataDxfId="35"/>
    <tableColumn id="25" xr3:uid="{60E7F77A-EAFF-46E4-B9C4-184EB8A868EB}" name="Columna3" dataDxfId="34"/>
    <tableColumn id="26" xr3:uid="{C7656970-4D2F-4018-9C29-ECB79A24BA60}" name="Columna4" dataDxfId="33"/>
    <tableColumn id="27" xr3:uid="{5BB33AAE-EA1D-4A9E-A281-5D36058A9226}" name="Columna5" dataDxfId="32"/>
    <tableColumn id="28" xr3:uid="{EE8C2EC9-08C4-4EEB-B527-E125EA597254}" name="Columna6" dataDxfId="31"/>
    <tableColumn id="29" xr3:uid="{A437A227-F0D6-4C27-9243-BFA5ECC15791}" name="Columna7" dataDxfId="30"/>
    <tableColumn id="30" xr3:uid="{18D0A452-B4F2-4317-B448-F1108698B32C}" name="Columna8" dataDxfId="29"/>
    <tableColumn id="31" xr3:uid="{F5324769-2D08-467B-8781-4B5D7F095947}" name="Columna9" dataDxfId="28"/>
    <tableColumn id="32" xr3:uid="{D2F92FDC-44FE-413A-BF75-8A194A964123}" name="Columna10" dataDxfId="27"/>
    <tableColumn id="33" xr3:uid="{A2487EEB-DD2A-4BC1-9A45-88362614B09D}" name="Columna11" dataDxfId="26"/>
    <tableColumn id="34" xr3:uid="{175D2D2D-74EC-464E-BB91-1B9B4F5F96A4}" name="Columna12" dataDxfId="25"/>
    <tableColumn id="35" xr3:uid="{B9BD5FD3-7283-4D90-B30F-AA0963A4994F}" name="Columna13" dataDxfId="24"/>
    <tableColumn id="36" xr3:uid="{D988A45D-A3F0-4311-906B-7E43EEEE808F}" name="Columna14" dataDxfId="23"/>
    <tableColumn id="37" xr3:uid="{39B78A2D-2578-4790-829C-70C387C88E64}" name="Columna15" dataDxfId="22"/>
    <tableColumn id="38" xr3:uid="{D987F8C9-BD9B-482B-8C29-237F3AB56A80}" name="Columna16" dataDxfId="21"/>
    <tableColumn id="39" xr3:uid="{E602BE35-7013-4B8E-A810-769A3456BB81}" name="Columna17" dataDxfId="20"/>
    <tableColumn id="40" xr3:uid="{08AF460F-8B2A-4185-BCCD-575E51749C22}" name="Columna18" dataDxfId="19"/>
    <tableColumn id="41" xr3:uid="{E6B8CB16-BFE3-40E8-ADEF-9F3DD78A1348}" name="Columna19" dataDxfId="18"/>
    <tableColumn id="42" xr3:uid="{168AFB04-477E-45FF-9C89-37B2A10B4ABB}" name="Columna20" dataDxfId="17"/>
    <tableColumn id="43" xr3:uid="{2F1EE3DC-AD01-44FA-96D6-233214545C0F}" name="Columna21" dataDxfId="16"/>
    <tableColumn id="44" xr3:uid="{EBC1270A-CEA2-44A4-9E04-E41D70B5979C}" name="Columna22" dataDxfId="15"/>
    <tableColumn id="45" xr3:uid="{C38FE072-BD07-4E6B-A5DB-FC6E32DA47C5}" name="Columna23" dataDxfId="14"/>
    <tableColumn id="46" xr3:uid="{3F1B400D-E1F6-4799-85BD-1755809B8CC1}" name="Columna24" dataDxfId="13"/>
    <tableColumn id="47" xr3:uid="{4E4AF221-3D13-41F6-A7FE-FD175F592902}" name="Columna25" dataDxfId="12"/>
    <tableColumn id="48" xr3:uid="{F170A1AA-1766-4EE3-8756-5768415C9269}" name="Columna26" dataDxfId="11"/>
    <tableColumn id="49" xr3:uid="{883A1C75-960E-4652-B4A6-AFA3B0B3F681}" name="Columna27" dataDxfId="10"/>
    <tableColumn id="50" xr3:uid="{9B46DD8E-1940-4C80-8EE7-BF2403B56936}" name="Columna28" dataDxfId="9"/>
    <tableColumn id="51" xr3:uid="{B01A0811-1039-46CC-92E3-E0E5F0AAD444}" name="Columna29" dataDxfId="8"/>
    <tableColumn id="52" xr3:uid="{66480B19-E1C5-4E3E-A41A-4998012BDBE2}" name="Columna30" dataDxfId="7"/>
    <tableColumn id="53" xr3:uid="{6CCE493B-01FA-4C85-8529-EA9FBE20875E}" name="Asist. (A)" dataDxfId="6">
      <calculatedColumnFormula>IF(COUNTIF(C8:AZ8,"A")=0,"",COUNTIF(C8:AZ8,"A"))</calculatedColumnFormula>
    </tableColumn>
    <tableColumn id="54" xr3:uid="{04716F78-A4DB-43CF-A29C-E40F5F40ECA0}" name="Faltas (F)" dataDxfId="5">
      <calculatedColumnFormula>IF(COUNTIF(C8:AZ8,"F")=0,"0",COUNTIF(C8:AZ8,"F"))</calculatedColumnFormula>
    </tableColumn>
    <tableColumn id="55" xr3:uid="{B26FBEF5-9EAD-49D6-96FB-A4D281BD70CB}" name="Retrasos (R)" dataDxfId="4">
      <calculatedColumnFormula>IF(COUNTIF(C8:AZ8,"R")=0,"0",COUNTIF(C8:AZ8,"R"))</calculatedColumnFormula>
    </tableColumn>
    <tableColumn id="56" xr3:uid="{A0AE353E-2693-4202-A679-252B81969FA6}" name="Licencias (L)" dataDxfId="3">
      <calculatedColumnFormula>IF(COUNTIF(C8:AZ8,"L")=0,"0",COUNTIF(C8:AZ8,"L"))</calculatedColumnFormula>
    </tableColumn>
    <tableColumn id="57" xr3:uid="{3FB7E29A-AFED-4646-BC62-CCBB17BD7BF2}" name="DÍAS TRABAJADOS" dataDxfId="2">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64" t="s">
        <v>0</v>
      </c>
      <c r="D8" s="165"/>
      <c r="E8" s="16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67" t="s">
        <v>1</v>
      </c>
      <c r="I9" s="168"/>
      <c r="J9" s="169"/>
      <c r="K9" s="7"/>
      <c r="L9" s="1"/>
      <c r="M9" s="1"/>
      <c r="N9" s="1"/>
      <c r="O9" s="1"/>
      <c r="P9" s="1"/>
      <c r="Q9" s="1"/>
      <c r="R9" s="1"/>
      <c r="S9" s="1"/>
      <c r="T9" s="1"/>
      <c r="U9" s="1"/>
      <c r="V9" s="1"/>
      <c r="W9" s="1"/>
      <c r="X9" s="1"/>
      <c r="Y9" s="1"/>
      <c r="Z9" s="1"/>
    </row>
    <row r="10" spans="1:26" ht="20.25" x14ac:dyDescent="0.3">
      <c r="A10" s="1"/>
      <c r="B10" s="1"/>
      <c r="C10" s="1"/>
      <c r="D10" s="1"/>
      <c r="E10" s="1"/>
      <c r="F10" s="1"/>
      <c r="G10" s="6"/>
      <c r="H10" s="170"/>
      <c r="I10" s="171"/>
      <c r="J10" s="172"/>
      <c r="K10" s="7"/>
      <c r="L10" s="1"/>
      <c r="M10" s="1"/>
      <c r="N10" s="1"/>
      <c r="O10" s="1"/>
      <c r="P10" s="1"/>
      <c r="Q10" s="1"/>
      <c r="R10" s="1"/>
      <c r="S10" s="1"/>
      <c r="T10" s="1"/>
      <c r="U10" s="1"/>
      <c r="V10" s="1"/>
      <c r="W10" s="1"/>
      <c r="X10" s="1"/>
      <c r="Y10" s="1"/>
      <c r="Z10" s="1"/>
    </row>
    <row r="11" spans="1:26" ht="15" customHeight="1" x14ac:dyDescent="0.3">
      <c r="A11" s="1"/>
      <c r="B11" s="8" t="s">
        <v>2</v>
      </c>
      <c r="C11" s="161" t="s">
        <v>3</v>
      </c>
      <c r="D11" s="162"/>
      <c r="E11" s="16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73" t="s">
        <v>4</v>
      </c>
      <c r="I12" s="174"/>
      <c r="J12" s="174"/>
      <c r="K12" s="7"/>
      <c r="L12" s="1"/>
      <c r="M12" s="1"/>
      <c r="N12" s="1"/>
      <c r="O12" s="1"/>
      <c r="P12" s="1"/>
      <c r="Q12" s="1"/>
      <c r="R12" s="1"/>
      <c r="S12" s="1"/>
      <c r="T12" s="1"/>
      <c r="U12" s="1"/>
      <c r="V12" s="1"/>
      <c r="W12" s="1"/>
      <c r="X12" s="1"/>
      <c r="Y12" s="1"/>
      <c r="Z12" s="1"/>
    </row>
    <row r="13" spans="1:26" ht="20.25" x14ac:dyDescent="0.3">
      <c r="A13" s="1"/>
      <c r="B13" s="8" t="s">
        <v>5</v>
      </c>
      <c r="C13" s="161"/>
      <c r="D13" s="162"/>
      <c r="E13" s="16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61" t="s">
        <v>9</v>
      </c>
      <c r="D15" s="162"/>
      <c r="E15" s="16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75" t="s">
        <v>10</v>
      </c>
      <c r="I16" s="174"/>
      <c r="J16" s="174"/>
      <c r="K16" s="7"/>
      <c r="L16" s="1"/>
      <c r="M16" s="1"/>
      <c r="N16" s="1"/>
      <c r="O16" s="1"/>
      <c r="P16" s="1"/>
      <c r="Q16" s="1"/>
      <c r="R16" s="1"/>
      <c r="S16" s="1"/>
      <c r="T16" s="1"/>
      <c r="U16" s="1"/>
      <c r="V16" s="1"/>
      <c r="W16" s="1"/>
      <c r="X16" s="1"/>
      <c r="Y16" s="1"/>
      <c r="Z16" s="1"/>
    </row>
    <row r="17" spans="1:26" ht="20.25" x14ac:dyDescent="0.3">
      <c r="A17" s="1"/>
      <c r="B17" s="8" t="s">
        <v>11</v>
      </c>
      <c r="C17" s="161" t="s">
        <v>12</v>
      </c>
      <c r="D17" s="162"/>
      <c r="E17" s="16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61"/>
      <c r="D19" s="162"/>
      <c r="E19" s="16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61" t="s">
        <v>15</v>
      </c>
      <c r="D21" s="162"/>
      <c r="E21" s="163"/>
      <c r="F21" s="9"/>
      <c r="G21" s="6"/>
      <c r="H21" s="175" t="s">
        <v>16</v>
      </c>
      <c r="I21" s="174"/>
      <c r="J21" s="17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61" t="s">
        <v>18</v>
      </c>
      <c r="D23" s="162"/>
      <c r="E23" s="16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61" t="s">
        <v>20</v>
      </c>
      <c r="D25" s="162"/>
      <c r="E25" s="16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21</v>
      </c>
      <c r="C27" s="161">
        <v>2021</v>
      </c>
      <c r="D27" s="162"/>
      <c r="E27" s="16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25" defaultRowHeight="15" customHeight="1" x14ac:dyDescent="0.3"/>
  <cols>
    <col min="1" max="1" width="2" customWidth="1"/>
    <col min="2" max="2" width="22.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78" t="s">
        <v>22</v>
      </c>
      <c r="C2" s="174"/>
      <c r="D2" s="174"/>
      <c r="E2" s="174"/>
      <c r="F2" s="174"/>
      <c r="G2" s="174"/>
      <c r="H2" s="174"/>
      <c r="I2" s="17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76" t="str">
        <f>CARÁTULA!$C$15</f>
        <v>Instituto Tecnico Humanistico Jauzel Arrieta</v>
      </c>
      <c r="D4" s="174"/>
      <c r="E4" s="174"/>
      <c r="F4" s="22" t="s">
        <v>19</v>
      </c>
      <c r="G4" s="176" t="str">
        <f>CARÁTULA!$C$25</f>
        <v>programacion visual</v>
      </c>
      <c r="H4" s="174"/>
      <c r="I4" s="174"/>
      <c r="J4" s="19"/>
      <c r="K4" s="19"/>
      <c r="L4" s="19"/>
      <c r="M4" s="19"/>
      <c r="N4" s="19"/>
      <c r="O4" s="19"/>
      <c r="P4" s="19"/>
      <c r="Q4" s="19"/>
      <c r="R4" s="19"/>
      <c r="S4" s="19"/>
      <c r="T4" s="19"/>
      <c r="U4" s="19"/>
      <c r="V4" s="19"/>
      <c r="W4" s="19"/>
      <c r="X4" s="19"/>
      <c r="Y4" s="19"/>
      <c r="Z4" s="19"/>
    </row>
    <row r="5" spans="1:26" ht="12" customHeight="1" x14ac:dyDescent="0.3">
      <c r="A5" s="20"/>
      <c r="B5" s="21" t="s">
        <v>14</v>
      </c>
      <c r="C5" s="176" t="str">
        <f>CARÁTULA!$C$21</f>
        <v>Secundaria</v>
      </c>
      <c r="D5" s="174"/>
      <c r="E5" s="174"/>
      <c r="F5" s="22" t="s">
        <v>13</v>
      </c>
      <c r="G5" s="176">
        <f>CARÁTULA!$C$19</f>
        <v>0</v>
      </c>
      <c r="H5" s="174"/>
      <c r="I5" s="174"/>
      <c r="J5" s="19"/>
      <c r="K5" s="19"/>
      <c r="L5" s="19"/>
      <c r="M5" s="19"/>
      <c r="N5" s="19"/>
      <c r="O5" s="19"/>
      <c r="P5" s="19"/>
      <c r="Q5" s="19"/>
      <c r="R5" s="19"/>
      <c r="S5" s="19"/>
      <c r="T5" s="19"/>
      <c r="U5" s="19"/>
      <c r="V5" s="19"/>
      <c r="W5" s="19"/>
      <c r="X5" s="19"/>
      <c r="Y5" s="19"/>
      <c r="Z5" s="19"/>
    </row>
    <row r="6" spans="1:26" ht="12" customHeight="1" x14ac:dyDescent="0.3">
      <c r="A6" s="20"/>
      <c r="B6" s="21" t="s">
        <v>23</v>
      </c>
      <c r="C6" s="176" t="str">
        <f>CARÁTULA!$C$23</f>
        <v>6to de Secundaria</v>
      </c>
      <c r="D6" s="174"/>
      <c r="E6" s="174"/>
      <c r="F6" s="22" t="s">
        <v>24</v>
      </c>
      <c r="G6" s="177">
        <f ca="1">TODAY()</f>
        <v>44421</v>
      </c>
      <c r="H6" s="174"/>
      <c r="I6" s="174"/>
      <c r="J6" s="19"/>
      <c r="K6" s="19"/>
      <c r="L6" s="19"/>
      <c r="M6" s="19"/>
      <c r="N6" s="19"/>
      <c r="O6" s="19"/>
      <c r="P6" s="19"/>
      <c r="Q6" s="19"/>
      <c r="R6" s="19"/>
      <c r="S6" s="19"/>
      <c r="T6" s="19"/>
      <c r="U6" s="19"/>
      <c r="V6" s="19"/>
      <c r="W6" s="19"/>
      <c r="X6" s="19"/>
      <c r="Y6" s="19"/>
      <c r="Z6" s="19"/>
    </row>
    <row r="7" spans="1:26" ht="15" customHeight="1" x14ac:dyDescent="0.3">
      <c r="A7" s="23"/>
      <c r="B7" s="24" t="s">
        <v>25</v>
      </c>
      <c r="C7" s="24" t="s">
        <v>26</v>
      </c>
      <c r="D7" s="25"/>
      <c r="E7" s="24" t="s">
        <v>27</v>
      </c>
      <c r="F7" s="24" t="s">
        <v>28</v>
      </c>
      <c r="G7" s="24" t="s">
        <v>29</v>
      </c>
      <c r="H7" s="24" t="s">
        <v>30</v>
      </c>
      <c r="I7" s="24" t="s">
        <v>31</v>
      </c>
      <c r="J7" s="26" t="s">
        <v>32</v>
      </c>
      <c r="K7" s="19"/>
      <c r="L7" s="19"/>
      <c r="M7" s="19"/>
      <c r="N7" s="19"/>
      <c r="O7" s="19"/>
      <c r="P7" s="19"/>
      <c r="Q7" s="19"/>
      <c r="R7" s="19"/>
      <c r="S7" s="19"/>
      <c r="T7" s="19"/>
      <c r="U7" s="19"/>
      <c r="V7" s="19"/>
      <c r="W7" s="19"/>
      <c r="X7" s="19"/>
      <c r="Y7" s="19"/>
      <c r="Z7" s="19"/>
    </row>
    <row r="8" spans="1:26" ht="13.5" customHeight="1" x14ac:dyDescent="0.3">
      <c r="A8" s="27">
        <v>1</v>
      </c>
      <c r="B8" s="28" t="s">
        <v>33</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34</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35</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36</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37</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38</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39</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40</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41</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42</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43</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44</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45</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46</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47</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48</v>
      </c>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49</v>
      </c>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60" t="s">
        <v>175</v>
      </c>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t="s">
        <v>179</v>
      </c>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178" t="s">
        <v>50</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9">
        <f>CARÁTULA!$H$14</f>
        <v>44228</v>
      </c>
      <c r="AU3" s="174"/>
      <c r="AV3" s="174"/>
      <c r="AW3" s="174"/>
      <c r="AX3" s="174"/>
      <c r="AY3" s="174"/>
      <c r="AZ3" s="174"/>
      <c r="BA3" s="180" t="s">
        <v>52</v>
      </c>
      <c r="BB3" s="181"/>
      <c r="BC3" s="181"/>
      <c r="BD3" s="181"/>
      <c r="BE3" s="18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9">
        <f>CARÁTULA!$J$14</f>
        <v>44323</v>
      </c>
      <c r="AU4" s="174"/>
      <c r="AV4" s="174"/>
      <c r="AW4" s="174"/>
      <c r="AX4" s="174"/>
      <c r="AY4" s="174"/>
      <c r="AZ4" s="174"/>
      <c r="BA4" s="183">
        <f ca="1">AT4-AT5</f>
        <v>-98</v>
      </c>
      <c r="BB4" s="184"/>
      <c r="BC4" s="184"/>
      <c r="BD4" s="184"/>
      <c r="BE4" s="185"/>
    </row>
    <row r="5" spans="1:61" ht="12.75" customHeight="1" x14ac:dyDescent="0.3">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89">
        <f ca="1">TODAY()</f>
        <v>44421</v>
      </c>
      <c r="Y5" s="174"/>
      <c r="Z5" s="174"/>
      <c r="AA5" s="174"/>
      <c r="AB5" s="174"/>
      <c r="AC5" s="174"/>
      <c r="AD5" s="40"/>
      <c r="AE5" s="40"/>
      <c r="AF5" s="40"/>
      <c r="AG5" s="40"/>
      <c r="AH5" s="40"/>
      <c r="AI5" s="40"/>
      <c r="AJ5" s="40"/>
      <c r="AK5" s="45" t="s">
        <v>55</v>
      </c>
      <c r="AL5" s="46"/>
      <c r="AM5" s="46"/>
      <c r="AN5" s="46"/>
      <c r="AO5" s="46"/>
      <c r="AP5" s="46"/>
      <c r="AQ5" s="46"/>
      <c r="AR5" s="40"/>
      <c r="AS5" s="40"/>
      <c r="AT5" s="190">
        <f ca="1">TODAY()</f>
        <v>44421</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56</v>
      </c>
      <c r="B7" s="49" t="s">
        <v>57</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58</v>
      </c>
      <c r="BB7" s="57" t="s">
        <v>59</v>
      </c>
      <c r="BC7" s="57" t="s">
        <v>60</v>
      </c>
      <c r="BD7" s="57" t="s">
        <v>61</v>
      </c>
      <c r="BE7" s="58" t="s">
        <v>62</v>
      </c>
    </row>
    <row r="8" spans="1:61" ht="12" customHeight="1" x14ac:dyDescent="0.3">
      <c r="A8" s="59">
        <v>1</v>
      </c>
      <c r="B8" s="60" t="str">
        <f>'C. FILIACION'!B8</f>
        <v>ALTAMIRANO RAMOS ESTEFANI MILENKA</v>
      </c>
      <c r="C8" s="48"/>
      <c r="D8" s="61" t="s">
        <v>63</v>
      </c>
      <c r="E8" s="61" t="s">
        <v>63</v>
      </c>
      <c r="F8" s="62" t="s">
        <v>63</v>
      </c>
      <c r="G8" s="62" t="s">
        <v>63</v>
      </c>
      <c r="H8" s="62" t="s">
        <v>63</v>
      </c>
      <c r="I8" s="62" t="s">
        <v>63</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63</v>
      </c>
      <c r="E9" s="61" t="s">
        <v>63</v>
      </c>
      <c r="F9" s="62" t="s">
        <v>63</v>
      </c>
      <c r="G9" s="62" t="s">
        <v>64</v>
      </c>
      <c r="H9" s="62" t="s">
        <v>63</v>
      </c>
      <c r="I9" s="62" t="s">
        <v>63</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63</v>
      </c>
      <c r="E10" s="61" t="s">
        <v>63</v>
      </c>
      <c r="F10" s="62" t="s">
        <v>63</v>
      </c>
      <c r="G10" s="62" t="s">
        <v>64</v>
      </c>
      <c r="H10" s="62" t="s">
        <v>63</v>
      </c>
      <c r="I10" s="62" t="s">
        <v>63</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63</v>
      </c>
      <c r="E11" s="61" t="s">
        <v>63</v>
      </c>
      <c r="F11" s="62" t="s">
        <v>63</v>
      </c>
      <c r="G11" s="62" t="s">
        <v>63</v>
      </c>
      <c r="H11" s="62" t="s">
        <v>63</v>
      </c>
      <c r="I11" s="62" t="s">
        <v>63</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63</v>
      </c>
      <c r="E12" s="61" t="s">
        <v>63</v>
      </c>
      <c r="F12" s="62" t="s">
        <v>63</v>
      </c>
      <c r="G12" s="62" t="s">
        <v>63</v>
      </c>
      <c r="H12" s="62" t="s">
        <v>63</v>
      </c>
      <c r="I12" s="62" t="s">
        <v>63</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63</v>
      </c>
      <c r="E13" s="61" t="s">
        <v>63</v>
      </c>
      <c r="F13" s="62" t="s">
        <v>64</v>
      </c>
      <c r="G13" s="62" t="s">
        <v>63</v>
      </c>
      <c r="H13" s="62" t="s">
        <v>63</v>
      </c>
      <c r="I13" s="62" t="s">
        <v>63</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63</v>
      </c>
      <c r="E14" s="61" t="s">
        <v>63</v>
      </c>
      <c r="F14" s="62" t="s">
        <v>63</v>
      </c>
      <c r="G14" s="62" t="s">
        <v>63</v>
      </c>
      <c r="H14" s="62" t="s">
        <v>63</v>
      </c>
      <c r="I14" s="62" t="s">
        <v>63</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63</v>
      </c>
      <c r="E15" s="61" t="s">
        <v>63</v>
      </c>
      <c r="F15" s="62" t="s">
        <v>63</v>
      </c>
      <c r="G15" s="62" t="s">
        <v>63</v>
      </c>
      <c r="H15" s="62" t="s">
        <v>63</v>
      </c>
      <c r="I15" s="62" t="s">
        <v>63</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63</v>
      </c>
      <c r="E16" s="61" t="s">
        <v>63</v>
      </c>
      <c r="F16" s="62" t="s">
        <v>63</v>
      </c>
      <c r="G16" s="62" t="s">
        <v>63</v>
      </c>
      <c r="H16" s="62" t="s">
        <v>63</v>
      </c>
      <c r="I16" s="62" t="s">
        <v>63</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63</v>
      </c>
      <c r="E17" s="61" t="s">
        <v>63</v>
      </c>
      <c r="F17" s="62" t="s">
        <v>63</v>
      </c>
      <c r="G17" s="62" t="s">
        <v>63</v>
      </c>
      <c r="H17" s="62" t="s">
        <v>63</v>
      </c>
      <c r="I17" s="62" t="s">
        <v>63</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63</v>
      </c>
      <c r="E18" s="61" t="s">
        <v>63</v>
      </c>
      <c r="F18" s="62" t="s">
        <v>63</v>
      </c>
      <c r="G18" s="62" t="s">
        <v>63</v>
      </c>
      <c r="H18" s="62" t="s">
        <v>63</v>
      </c>
      <c r="I18" s="62" t="s">
        <v>63</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63</v>
      </c>
      <c r="E19" s="61" t="s">
        <v>63</v>
      </c>
      <c r="F19" s="62" t="s">
        <v>64</v>
      </c>
      <c r="G19" s="62" t="s">
        <v>63</v>
      </c>
      <c r="H19" s="62" t="s">
        <v>63</v>
      </c>
      <c r="I19" s="62" t="s">
        <v>63</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63</v>
      </c>
      <c r="E20" s="61" t="s">
        <v>63</v>
      </c>
      <c r="F20" s="62" t="s">
        <v>63</v>
      </c>
      <c r="G20" s="62" t="s">
        <v>63</v>
      </c>
      <c r="H20" s="62" t="s">
        <v>63</v>
      </c>
      <c r="I20" s="62" t="s">
        <v>63</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63</v>
      </c>
      <c r="E21" s="61" t="s">
        <v>63</v>
      </c>
      <c r="F21" s="62" t="s">
        <v>63</v>
      </c>
      <c r="G21" s="62" t="s">
        <v>64</v>
      </c>
      <c r="H21" s="62" t="s">
        <v>63</v>
      </c>
      <c r="I21" s="62" t="s">
        <v>63</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63</v>
      </c>
      <c r="E22" s="61" t="s">
        <v>63</v>
      </c>
      <c r="F22" s="62" t="s">
        <v>63</v>
      </c>
      <c r="G22" s="62" t="s">
        <v>63</v>
      </c>
      <c r="H22" s="62" t="s">
        <v>63</v>
      </c>
      <c r="I22" s="62" t="s">
        <v>63</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63</v>
      </c>
      <c r="E23" s="61" t="s">
        <v>63</v>
      </c>
      <c r="F23" s="61" t="s">
        <v>63</v>
      </c>
      <c r="G23" s="62" t="s">
        <v>63</v>
      </c>
      <c r="H23" s="62" t="s">
        <v>63</v>
      </c>
      <c r="I23" s="62" t="s">
        <v>63</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63</v>
      </c>
      <c r="E24" s="61" t="s">
        <v>63</v>
      </c>
      <c r="F24" s="61" t="s">
        <v>63</v>
      </c>
      <c r="G24" s="62" t="s">
        <v>63</v>
      </c>
      <c r="H24" s="62" t="s">
        <v>63</v>
      </c>
      <c r="I24" s="62" t="s">
        <v>63</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2" workbookViewId="0">
      <selection activeCell="BA8" sqref="BA8"/>
    </sheetView>
  </sheetViews>
  <sheetFormatPr baseColWidth="10" defaultColWidth="9.25" defaultRowHeight="15" customHeight="1" x14ac:dyDescent="0.3"/>
  <cols>
    <col min="1" max="1" width="1.58203125" customWidth="1"/>
    <col min="2" max="2" width="17.75" customWidth="1"/>
    <col min="3" max="57" width="1.58203125" customWidth="1"/>
    <col min="58" max="61" width="1.6640625" customWidth="1"/>
  </cols>
  <sheetData>
    <row r="1" spans="1:61" ht="4.5" customHeight="1" x14ac:dyDescent="0.3"/>
    <row r="2" spans="1:61" ht="12.75" customHeight="1" x14ac:dyDescent="0.3">
      <c r="B2" s="178" t="s">
        <v>65</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9">
        <f>CARÁTULA!$H$19</f>
        <v>44326</v>
      </c>
      <c r="AU3" s="174"/>
      <c r="AV3" s="174"/>
      <c r="AW3" s="174"/>
      <c r="AX3" s="174"/>
      <c r="AY3" s="174"/>
      <c r="AZ3" s="174"/>
      <c r="BA3" s="180" t="s">
        <v>52</v>
      </c>
      <c r="BB3" s="181"/>
      <c r="BC3" s="181"/>
      <c r="BD3" s="181"/>
      <c r="BE3" s="18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9">
        <f>CARÁTULA!$J$19</f>
        <v>44439</v>
      </c>
      <c r="AU4" s="174"/>
      <c r="AV4" s="174"/>
      <c r="AW4" s="174"/>
      <c r="AX4" s="174"/>
      <c r="AY4" s="174"/>
      <c r="AZ4" s="174"/>
      <c r="BA4" s="191">
        <f ca="1">AT4-AT5</f>
        <v>18</v>
      </c>
      <c r="BB4" s="184"/>
      <c r="BC4" s="184"/>
      <c r="BD4" s="184"/>
      <c r="BE4" s="185"/>
    </row>
    <row r="5" spans="1:61" ht="12.75" customHeight="1" x14ac:dyDescent="0.3">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92">
        <f ca="1">TODAY()</f>
        <v>44421</v>
      </c>
      <c r="Y5" s="174"/>
      <c r="Z5" s="174"/>
      <c r="AA5" s="174"/>
      <c r="AB5" s="174"/>
      <c r="AC5" s="174"/>
      <c r="AD5" s="40"/>
      <c r="AE5" s="40"/>
      <c r="AF5" s="40"/>
      <c r="AG5" s="40"/>
      <c r="AH5" s="40"/>
      <c r="AI5" s="40"/>
      <c r="AJ5" s="40"/>
      <c r="AK5" s="45" t="s">
        <v>55</v>
      </c>
      <c r="AL5" s="46"/>
      <c r="AM5" s="46"/>
      <c r="AN5" s="46"/>
      <c r="AO5" s="46"/>
      <c r="AP5" s="46"/>
      <c r="AQ5" s="46"/>
      <c r="AR5" s="40"/>
      <c r="AS5" s="40"/>
      <c r="AT5" s="190">
        <f ca="1">TODAY()</f>
        <v>44421</v>
      </c>
      <c r="AU5" s="174"/>
      <c r="AV5" s="174"/>
      <c r="AW5" s="174"/>
      <c r="AX5" s="174"/>
      <c r="AY5" s="174"/>
      <c r="AZ5" s="174"/>
      <c r="BA5" s="186"/>
      <c r="BB5" s="187"/>
      <c r="BC5" s="187"/>
      <c r="BD5" s="187"/>
      <c r="BE5" s="188"/>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244" t="s">
        <v>56</v>
      </c>
      <c r="B7" s="49" t="s">
        <v>57</v>
      </c>
      <c r="C7" s="241" t="s">
        <v>181</v>
      </c>
      <c r="D7" s="241" t="s">
        <v>182</v>
      </c>
      <c r="E7" s="241" t="s">
        <v>183</v>
      </c>
      <c r="F7" s="241" t="s">
        <v>184</v>
      </c>
      <c r="G7" s="241" t="s">
        <v>185</v>
      </c>
      <c r="H7" s="241" t="s">
        <v>186</v>
      </c>
      <c r="I7" s="241" t="s">
        <v>187</v>
      </c>
      <c r="J7" s="241" t="s">
        <v>188</v>
      </c>
      <c r="K7" s="241" t="s">
        <v>189</v>
      </c>
      <c r="L7" s="50" t="s">
        <v>220</v>
      </c>
      <c r="M7" s="50" t="s">
        <v>221</v>
      </c>
      <c r="N7" s="50" t="s">
        <v>222</v>
      </c>
      <c r="O7" s="50" t="s">
        <v>223</v>
      </c>
      <c r="P7" s="50" t="s">
        <v>224</v>
      </c>
      <c r="Q7" s="50" t="s">
        <v>225</v>
      </c>
      <c r="R7" s="50" t="s">
        <v>226</v>
      </c>
      <c r="S7" s="50" t="s">
        <v>227</v>
      </c>
      <c r="T7" s="50" t="s">
        <v>228</v>
      </c>
      <c r="U7" s="50" t="s">
        <v>229</v>
      </c>
      <c r="V7" s="50" t="s">
        <v>230</v>
      </c>
      <c r="W7" s="50" t="s">
        <v>190</v>
      </c>
      <c r="X7" s="50" t="s">
        <v>191</v>
      </c>
      <c r="Y7" s="50" t="s">
        <v>192</v>
      </c>
      <c r="Z7" s="54" t="s">
        <v>193</v>
      </c>
      <c r="AA7" s="50" t="s">
        <v>194</v>
      </c>
      <c r="AB7" s="54" t="s">
        <v>195</v>
      </c>
      <c r="AC7" s="54" t="s">
        <v>196</v>
      </c>
      <c r="AD7" s="54" t="s">
        <v>197</v>
      </c>
      <c r="AE7" s="54" t="s">
        <v>198</v>
      </c>
      <c r="AF7" s="54" t="s">
        <v>199</v>
      </c>
      <c r="AG7" s="54" t="s">
        <v>200</v>
      </c>
      <c r="AH7" s="54" t="s">
        <v>201</v>
      </c>
      <c r="AI7" s="54" t="s">
        <v>202</v>
      </c>
      <c r="AJ7" s="54" t="s">
        <v>203</v>
      </c>
      <c r="AK7" s="54" t="s">
        <v>204</v>
      </c>
      <c r="AL7" s="54" t="s">
        <v>205</v>
      </c>
      <c r="AM7" s="54" t="s">
        <v>206</v>
      </c>
      <c r="AN7" s="54" t="s">
        <v>207</v>
      </c>
      <c r="AO7" s="54" t="s">
        <v>208</v>
      </c>
      <c r="AP7" s="54" t="s">
        <v>209</v>
      </c>
      <c r="AQ7" s="54" t="s">
        <v>210</v>
      </c>
      <c r="AR7" s="54" t="s">
        <v>211</v>
      </c>
      <c r="AS7" s="54" t="s">
        <v>212</v>
      </c>
      <c r="AT7" s="54" t="s">
        <v>213</v>
      </c>
      <c r="AU7" s="54" t="s">
        <v>214</v>
      </c>
      <c r="AV7" s="54" t="s">
        <v>215</v>
      </c>
      <c r="AW7" s="54" t="s">
        <v>216</v>
      </c>
      <c r="AX7" s="54" t="s">
        <v>217</v>
      </c>
      <c r="AY7" s="54" t="s">
        <v>218</v>
      </c>
      <c r="AZ7" s="55" t="s">
        <v>219</v>
      </c>
      <c r="BA7" s="56" t="s">
        <v>66</v>
      </c>
      <c r="BB7" s="57" t="s">
        <v>67</v>
      </c>
      <c r="BC7" s="57" t="s">
        <v>68</v>
      </c>
      <c r="BD7" s="57" t="s">
        <v>69</v>
      </c>
      <c r="BE7" s="246" t="s">
        <v>62</v>
      </c>
      <c r="BF7" s="54" t="s">
        <v>176</v>
      </c>
      <c r="BG7" s="54" t="s">
        <v>174</v>
      </c>
    </row>
    <row r="8" spans="1:61" ht="12" customHeight="1" x14ac:dyDescent="0.3">
      <c r="A8" s="245">
        <v>1</v>
      </c>
      <c r="B8" s="60" t="str">
        <f>'C. FILIACION'!B8</f>
        <v>ALTAMIRANO RAMOS ESTEFANI MILENKA</v>
      </c>
      <c r="C8" s="242" t="s">
        <v>63</v>
      </c>
      <c r="D8" s="242" t="s">
        <v>63</v>
      </c>
      <c r="E8" s="242" t="s">
        <v>63</v>
      </c>
      <c r="F8" s="242" t="s">
        <v>63</v>
      </c>
      <c r="G8" s="242" t="s">
        <v>63</v>
      </c>
      <c r="H8" s="242" t="s">
        <v>63</v>
      </c>
      <c r="I8" s="242" t="s">
        <v>63</v>
      </c>
      <c r="J8" s="242" t="s">
        <v>63</v>
      </c>
      <c r="K8" s="242" t="s">
        <v>63</v>
      </c>
      <c r="L8" s="61" t="s">
        <v>63</v>
      </c>
      <c r="M8" s="61" t="s">
        <v>63</v>
      </c>
      <c r="N8" s="61" t="s">
        <v>64</v>
      </c>
      <c r="O8" s="61" t="s">
        <v>63</v>
      </c>
      <c r="P8" s="61" t="s">
        <v>63</v>
      </c>
      <c r="Q8" s="61" t="s">
        <v>63</v>
      </c>
      <c r="R8" s="61" t="s">
        <v>63</v>
      </c>
      <c r="S8" s="61" t="s">
        <v>63</v>
      </c>
      <c r="T8" s="61" t="s">
        <v>63</v>
      </c>
      <c r="U8" s="61" t="s">
        <v>63</v>
      </c>
      <c r="V8" s="61" t="s">
        <v>177</v>
      </c>
      <c r="W8" s="61"/>
      <c r="X8" s="61"/>
      <c r="Y8" s="61"/>
      <c r="Z8" s="61"/>
      <c r="AA8" s="61"/>
      <c r="AB8" s="61"/>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18</v>
      </c>
      <c r="BB8" s="48">
        <f>IF(COUNTIF(C8:AZ8,"F")=0,"0",COUNTIF(C8:AZ8,"F"))</f>
        <v>1</v>
      </c>
      <c r="BC8" s="48">
        <f>IF(COUNTIF(C8:AZ8,"R")=0,"0",COUNTIF(C8:AZ8,"R"))</f>
        <v>1</v>
      </c>
      <c r="BD8" s="48" t="str">
        <f>IF(COUNTIF(C8:AZ8,"L")=0,"0",COUNTIF(C8:AZ8,"L"))</f>
        <v>0</v>
      </c>
      <c r="BE8" s="160">
        <f>SUM(BA8:BD8)</f>
        <v>20</v>
      </c>
      <c r="BF8" s="155">
        <v>2</v>
      </c>
      <c r="BG8" s="61">
        <v>25</v>
      </c>
      <c r="BH8" s="61" t="s">
        <v>180</v>
      </c>
    </row>
    <row r="9" spans="1:61" ht="12" customHeight="1" x14ac:dyDescent="0.3">
      <c r="A9" s="245">
        <v>2</v>
      </c>
      <c r="B9" s="60" t="str">
        <f>'C. FILIACION'!B9</f>
        <v>APAZA LINO TATIANA JAZMIN</v>
      </c>
      <c r="C9" s="61" t="s">
        <v>63</v>
      </c>
      <c r="D9" s="61" t="s">
        <v>63</v>
      </c>
      <c r="E9" s="61" t="s">
        <v>63</v>
      </c>
      <c r="F9" s="61" t="s">
        <v>63</v>
      </c>
      <c r="G9" s="61" t="s">
        <v>63</v>
      </c>
      <c r="H9" s="61" t="s">
        <v>63</v>
      </c>
      <c r="I9" s="61" t="s">
        <v>63</v>
      </c>
      <c r="J9" s="61" t="s">
        <v>63</v>
      </c>
      <c r="K9" s="61" t="s">
        <v>63</v>
      </c>
      <c r="L9" s="61" t="s">
        <v>63</v>
      </c>
      <c r="M9" s="61" t="s">
        <v>63</v>
      </c>
      <c r="N9" s="61" t="s">
        <v>63</v>
      </c>
      <c r="O9" s="61" t="s">
        <v>63</v>
      </c>
      <c r="P9" s="61" t="s">
        <v>63</v>
      </c>
      <c r="Q9" s="61" t="s">
        <v>63</v>
      </c>
      <c r="R9" s="61" t="s">
        <v>63</v>
      </c>
      <c r="S9" s="61" t="s">
        <v>63</v>
      </c>
      <c r="T9" s="61" t="s">
        <v>63</v>
      </c>
      <c r="U9" s="61" t="s">
        <v>63</v>
      </c>
      <c r="V9" s="61" t="s">
        <v>63</v>
      </c>
      <c r="W9" s="61"/>
      <c r="X9" s="61"/>
      <c r="Y9" s="61"/>
      <c r="Z9" s="61"/>
      <c r="AA9" s="61"/>
      <c r="AB9" s="61"/>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20</v>
      </c>
      <c r="BB9" s="61" t="str">
        <f t="shared" ref="BB9:BB26" si="1">IF(COUNTIF(C9:AZ9,"F")=0,"0",COUNTIF(C9:AZ9,"F"))</f>
        <v>0</v>
      </c>
      <c r="BC9" s="61" t="str">
        <f t="shared" ref="BC9:BC26" si="2">IF(COUNTIF(C9:AZ9,"R")=0,"0",COUNTIF(C9:AZ9,"R"))</f>
        <v>0</v>
      </c>
      <c r="BD9" s="61" t="str">
        <f t="shared" ref="BD9:BD26" si="3">IF(COUNTIF(C9:AZ9,"L")=0,"0",COUNTIF(C9:AZ9,"L"))</f>
        <v>0</v>
      </c>
      <c r="BE9" s="160">
        <f t="shared" ref="BE9:BE26" si="4">SUM(BA9:BD9)</f>
        <v>20</v>
      </c>
      <c r="BF9" s="156">
        <v>1</v>
      </c>
      <c r="BG9" s="61"/>
      <c r="BH9" s="61" t="s">
        <v>180</v>
      </c>
    </row>
    <row r="10" spans="1:61" ht="12" customHeight="1" x14ac:dyDescent="0.3">
      <c r="A10" s="245">
        <v>3</v>
      </c>
      <c r="B10" s="60" t="str">
        <f>'C. FILIACION'!B10</f>
        <v>BOLAÑOS OVANDO MIJHAIL ALEXANDER</v>
      </c>
      <c r="C10" s="242" t="s">
        <v>63</v>
      </c>
      <c r="D10" s="242" t="s">
        <v>63</v>
      </c>
      <c r="E10" s="242" t="s">
        <v>63</v>
      </c>
      <c r="F10" s="242" t="s">
        <v>63</v>
      </c>
      <c r="G10" s="242" t="s">
        <v>64</v>
      </c>
      <c r="H10" s="242" t="s">
        <v>63</v>
      </c>
      <c r="I10" s="242" t="s">
        <v>63</v>
      </c>
      <c r="J10" s="242" t="s">
        <v>64</v>
      </c>
      <c r="K10" s="242" t="s">
        <v>63</v>
      </c>
      <c r="L10" s="61" t="s">
        <v>63</v>
      </c>
      <c r="M10" s="61" t="s">
        <v>63</v>
      </c>
      <c r="N10" s="61" t="s">
        <v>64</v>
      </c>
      <c r="O10" s="61" t="s">
        <v>63</v>
      </c>
      <c r="P10" s="61" t="s">
        <v>64</v>
      </c>
      <c r="Q10" s="61" t="s">
        <v>177</v>
      </c>
      <c r="R10" s="61" t="s">
        <v>63</v>
      </c>
      <c r="S10" s="61" t="s">
        <v>64</v>
      </c>
      <c r="T10" s="61" t="s">
        <v>63</v>
      </c>
      <c r="U10" s="61" t="s">
        <v>64</v>
      </c>
      <c r="V10" s="61" t="s">
        <v>63</v>
      </c>
      <c r="W10" s="61"/>
      <c r="X10" s="61"/>
      <c r="Y10" s="61"/>
      <c r="Z10" s="61"/>
      <c r="AA10" s="61"/>
      <c r="AB10" s="61"/>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6</v>
      </c>
      <c r="BC10" s="61">
        <f t="shared" si="2"/>
        <v>1</v>
      </c>
      <c r="BD10" s="61" t="str">
        <f t="shared" si="3"/>
        <v>0</v>
      </c>
      <c r="BE10" s="160">
        <f t="shared" si="4"/>
        <v>20</v>
      </c>
      <c r="BF10" s="157">
        <v>3</v>
      </c>
      <c r="BG10" s="61"/>
      <c r="BH10" s="61"/>
    </row>
    <row r="11" spans="1:61" ht="12" customHeight="1" x14ac:dyDescent="0.3">
      <c r="A11" s="245">
        <v>4</v>
      </c>
      <c r="B11" s="60" t="str">
        <f>'C. FILIACION'!B11</f>
        <v>BRICHER ETHELBERT ISMAEL</v>
      </c>
      <c r="C11" s="61" t="s">
        <v>64</v>
      </c>
      <c r="D11" s="61" t="s">
        <v>63</v>
      </c>
      <c r="E11" s="61" t="s">
        <v>63</v>
      </c>
      <c r="F11" s="61" t="s">
        <v>64</v>
      </c>
      <c r="G11" s="61" t="s">
        <v>63</v>
      </c>
      <c r="H11" s="61" t="s">
        <v>63</v>
      </c>
      <c r="I11" s="61" t="s">
        <v>64</v>
      </c>
      <c r="J11" s="61" t="s">
        <v>63</v>
      </c>
      <c r="K11" s="61" t="s">
        <v>63</v>
      </c>
      <c r="L11" s="61" t="s">
        <v>63</v>
      </c>
      <c r="M11" s="61" t="s">
        <v>64</v>
      </c>
      <c r="N11" s="61" t="s">
        <v>64</v>
      </c>
      <c r="O11" s="61" t="s">
        <v>64</v>
      </c>
      <c r="P11" s="61" t="s">
        <v>64</v>
      </c>
      <c r="Q11" s="61" t="s">
        <v>64</v>
      </c>
      <c r="R11" s="61" t="s">
        <v>64</v>
      </c>
      <c r="S11" s="61" t="s">
        <v>64</v>
      </c>
      <c r="T11" s="61" t="s">
        <v>64</v>
      </c>
      <c r="U11" s="61" t="s">
        <v>64</v>
      </c>
      <c r="V11" s="61" t="s">
        <v>64</v>
      </c>
      <c r="W11" s="61"/>
      <c r="X11" s="61"/>
      <c r="Y11" s="61"/>
      <c r="Z11" s="61"/>
      <c r="AA11" s="61"/>
      <c r="AB11" s="61"/>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13</v>
      </c>
      <c r="BC11" s="61" t="str">
        <f t="shared" si="2"/>
        <v>0</v>
      </c>
      <c r="BD11" s="61" t="str">
        <f t="shared" si="3"/>
        <v>0</v>
      </c>
      <c r="BE11" s="160">
        <f t="shared" si="4"/>
        <v>20</v>
      </c>
      <c r="BF11" s="156">
        <v>1</v>
      </c>
      <c r="BG11" s="61"/>
      <c r="BH11" s="61"/>
    </row>
    <row r="12" spans="1:61" ht="12" customHeight="1" x14ac:dyDescent="0.3">
      <c r="A12" s="245">
        <v>5</v>
      </c>
      <c r="B12" s="60" t="str">
        <f>'C. FILIACION'!B12</f>
        <v>CANAVIRI QUISBERT ALEJANDRA ELENA</v>
      </c>
      <c r="C12" s="242" t="s">
        <v>63</v>
      </c>
      <c r="D12" s="242" t="s">
        <v>63</v>
      </c>
      <c r="E12" s="242" t="s">
        <v>64</v>
      </c>
      <c r="F12" s="242" t="s">
        <v>63</v>
      </c>
      <c r="G12" s="242" t="s">
        <v>63</v>
      </c>
      <c r="H12" s="242" t="s">
        <v>63</v>
      </c>
      <c r="I12" s="242" t="s">
        <v>64</v>
      </c>
      <c r="J12" s="242" t="s">
        <v>63</v>
      </c>
      <c r="K12" s="242" t="s">
        <v>63</v>
      </c>
      <c r="L12" s="61" t="s">
        <v>63</v>
      </c>
      <c r="M12" s="61" t="s">
        <v>63</v>
      </c>
      <c r="N12" s="61" t="s">
        <v>63</v>
      </c>
      <c r="O12" s="61" t="s">
        <v>63</v>
      </c>
      <c r="P12" s="61" t="s">
        <v>63</v>
      </c>
      <c r="Q12" s="61" t="s">
        <v>63</v>
      </c>
      <c r="R12" s="61" t="s">
        <v>64</v>
      </c>
      <c r="S12" s="61" t="s">
        <v>63</v>
      </c>
      <c r="T12" s="61" t="s">
        <v>63</v>
      </c>
      <c r="U12" s="61" t="s">
        <v>63</v>
      </c>
      <c r="V12" s="61" t="s">
        <v>63</v>
      </c>
      <c r="W12" s="61"/>
      <c r="X12" s="61"/>
      <c r="Y12" s="61"/>
      <c r="Z12" s="61"/>
      <c r="AA12" s="61"/>
      <c r="AB12" s="61"/>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17</v>
      </c>
      <c r="BB12" s="61">
        <f t="shared" si="1"/>
        <v>3</v>
      </c>
      <c r="BC12" s="61" t="str">
        <f t="shared" si="2"/>
        <v>0</v>
      </c>
      <c r="BD12" s="61" t="str">
        <f t="shared" si="3"/>
        <v>0</v>
      </c>
      <c r="BE12" s="160">
        <f t="shared" si="4"/>
        <v>20</v>
      </c>
      <c r="BF12" s="61">
        <v>4</v>
      </c>
      <c r="BG12" s="61"/>
      <c r="BH12" s="61"/>
    </row>
    <row r="13" spans="1:61" ht="12" customHeight="1" x14ac:dyDescent="0.3">
      <c r="A13" s="245">
        <v>6</v>
      </c>
      <c r="B13" s="60" t="str">
        <f>'C. FILIACION'!B13</f>
        <v>GOMEZ BELTRAN ALBERT NORMAN</v>
      </c>
      <c r="C13" s="61" t="s">
        <v>63</v>
      </c>
      <c r="D13" s="61" t="s">
        <v>63</v>
      </c>
      <c r="E13" s="61" t="s">
        <v>63</v>
      </c>
      <c r="F13" s="61" t="s">
        <v>63</v>
      </c>
      <c r="G13" s="61" t="s">
        <v>63</v>
      </c>
      <c r="H13" s="61" t="s">
        <v>63</v>
      </c>
      <c r="I13" s="61" t="s">
        <v>63</v>
      </c>
      <c r="J13" s="61" t="s">
        <v>63</v>
      </c>
      <c r="K13" s="61" t="s">
        <v>63</v>
      </c>
      <c r="L13" s="61" t="s">
        <v>63</v>
      </c>
      <c r="M13" s="61" t="s">
        <v>63</v>
      </c>
      <c r="N13" s="61" t="s">
        <v>63</v>
      </c>
      <c r="O13" s="61" t="s">
        <v>63</v>
      </c>
      <c r="P13" s="61" t="s">
        <v>63</v>
      </c>
      <c r="Q13" s="61" t="s">
        <v>63</v>
      </c>
      <c r="R13" s="61" t="s">
        <v>63</v>
      </c>
      <c r="S13" s="61" t="s">
        <v>63</v>
      </c>
      <c r="T13" s="61" t="s">
        <v>63</v>
      </c>
      <c r="U13" s="61" t="s">
        <v>63</v>
      </c>
      <c r="V13" s="61" t="s">
        <v>63</v>
      </c>
      <c r="W13" s="61"/>
      <c r="X13" s="61"/>
      <c r="Y13" s="61"/>
      <c r="Z13" s="61"/>
      <c r="AA13" s="61"/>
      <c r="AB13" s="61"/>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20</v>
      </c>
      <c r="BB13" s="61" t="str">
        <f t="shared" si="1"/>
        <v>0</v>
      </c>
      <c r="BC13" s="61" t="str">
        <f t="shared" si="2"/>
        <v>0</v>
      </c>
      <c r="BD13" s="61" t="str">
        <f t="shared" si="3"/>
        <v>0</v>
      </c>
      <c r="BE13" s="160">
        <f t="shared" si="4"/>
        <v>20</v>
      </c>
      <c r="BF13" s="155">
        <v>2</v>
      </c>
      <c r="BG13" s="61"/>
      <c r="BH13" s="61"/>
    </row>
    <row r="14" spans="1:61" ht="12" customHeight="1" x14ac:dyDescent="0.3">
      <c r="A14" s="245">
        <v>7</v>
      </c>
      <c r="B14" s="60" t="str">
        <f>'C. FILIACION'!B14</f>
        <v>GOMEZ COSME MELANY KARINA</v>
      </c>
      <c r="C14" s="242" t="s">
        <v>63</v>
      </c>
      <c r="D14" s="242" t="s">
        <v>64</v>
      </c>
      <c r="E14" s="242" t="s">
        <v>63</v>
      </c>
      <c r="F14" s="242" t="s">
        <v>64</v>
      </c>
      <c r="G14" s="242" t="s">
        <v>63</v>
      </c>
      <c r="H14" s="242" t="s">
        <v>64</v>
      </c>
      <c r="I14" s="242" t="s">
        <v>63</v>
      </c>
      <c r="J14" s="242" t="s">
        <v>63</v>
      </c>
      <c r="K14" s="242" t="s">
        <v>63</v>
      </c>
      <c r="L14" s="61" t="s">
        <v>64</v>
      </c>
      <c r="M14" s="61" t="s">
        <v>63</v>
      </c>
      <c r="N14" s="61" t="s">
        <v>64</v>
      </c>
      <c r="O14" s="61" t="s">
        <v>63</v>
      </c>
      <c r="P14" s="61" t="s">
        <v>63</v>
      </c>
      <c r="Q14" s="61" t="s">
        <v>64</v>
      </c>
      <c r="R14" s="61" t="s">
        <v>64</v>
      </c>
      <c r="S14" s="61" t="s">
        <v>64</v>
      </c>
      <c r="T14" s="61" t="s">
        <v>64</v>
      </c>
      <c r="U14" s="61" t="s">
        <v>64</v>
      </c>
      <c r="V14" s="61" t="s">
        <v>64</v>
      </c>
      <c r="W14" s="61"/>
      <c r="X14" s="61"/>
      <c r="Y14" s="61"/>
      <c r="Z14" s="61"/>
      <c r="AA14" s="61"/>
      <c r="AB14" s="61"/>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9</v>
      </c>
      <c r="BB14" s="61">
        <f t="shared" si="1"/>
        <v>11</v>
      </c>
      <c r="BC14" s="61" t="str">
        <f t="shared" si="2"/>
        <v>0</v>
      </c>
      <c r="BD14" s="61" t="str">
        <f t="shared" si="3"/>
        <v>0</v>
      </c>
      <c r="BE14" s="160">
        <f t="shared" si="4"/>
        <v>20</v>
      </c>
      <c r="BF14" s="157">
        <v>3</v>
      </c>
      <c r="BG14" s="61"/>
      <c r="BH14" s="61"/>
    </row>
    <row r="15" spans="1:61" ht="12" customHeight="1" x14ac:dyDescent="0.3">
      <c r="A15" s="245">
        <v>8</v>
      </c>
      <c r="B15" s="60" t="str">
        <f>'C. FILIACION'!B15</f>
        <v>GONZALES ZUAZO KALEB RAMSES</v>
      </c>
      <c r="C15" s="61" t="s">
        <v>63</v>
      </c>
      <c r="D15" s="61" t="s">
        <v>63</v>
      </c>
      <c r="E15" s="61" t="s">
        <v>63</v>
      </c>
      <c r="F15" s="61" t="s">
        <v>63</v>
      </c>
      <c r="G15" s="61" t="s">
        <v>63</v>
      </c>
      <c r="H15" s="61" t="s">
        <v>63</v>
      </c>
      <c r="I15" s="61" t="s">
        <v>63</v>
      </c>
      <c r="J15" s="61" t="s">
        <v>63</v>
      </c>
      <c r="K15" s="61" t="s">
        <v>63</v>
      </c>
      <c r="L15" s="61" t="s">
        <v>63</v>
      </c>
      <c r="M15" s="61" t="s">
        <v>63</v>
      </c>
      <c r="N15" s="61" t="s">
        <v>63</v>
      </c>
      <c r="O15" s="61" t="s">
        <v>63</v>
      </c>
      <c r="P15" s="61" t="s">
        <v>63</v>
      </c>
      <c r="Q15" s="61" t="s">
        <v>63</v>
      </c>
      <c r="R15" s="61" t="s">
        <v>63</v>
      </c>
      <c r="S15" s="61" t="s">
        <v>63</v>
      </c>
      <c r="T15" s="61" t="s">
        <v>63</v>
      </c>
      <c r="U15" s="61" t="s">
        <v>63</v>
      </c>
      <c r="V15" s="61" t="s">
        <v>63</v>
      </c>
      <c r="W15" s="61"/>
      <c r="X15" s="61"/>
      <c r="Y15" s="61"/>
      <c r="Z15" s="61"/>
      <c r="AA15" s="61"/>
      <c r="AB15" s="61"/>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20</v>
      </c>
      <c r="BB15" s="61" t="str">
        <f t="shared" si="1"/>
        <v>0</v>
      </c>
      <c r="BC15" s="61" t="str">
        <f t="shared" si="2"/>
        <v>0</v>
      </c>
      <c r="BD15" s="61" t="str">
        <f t="shared" si="3"/>
        <v>0</v>
      </c>
      <c r="BE15" s="160">
        <f t="shared" si="4"/>
        <v>20</v>
      </c>
      <c r="BF15" s="61">
        <v>4</v>
      </c>
      <c r="BG15" s="61"/>
      <c r="BH15" s="61" t="s">
        <v>180</v>
      </c>
    </row>
    <row r="16" spans="1:61" ht="12" customHeight="1" x14ac:dyDescent="0.3">
      <c r="A16" s="245">
        <v>9</v>
      </c>
      <c r="B16" s="60" t="str">
        <f>'C. FILIACION'!B16</f>
        <v>LEDEZMA AGUILAR ELVIS JHEFERSON</v>
      </c>
      <c r="C16" s="242" t="s">
        <v>63</v>
      </c>
      <c r="D16" s="242" t="s">
        <v>63</v>
      </c>
      <c r="E16" s="242" t="s">
        <v>63</v>
      </c>
      <c r="F16" s="242" t="s">
        <v>63</v>
      </c>
      <c r="G16" s="242" t="s">
        <v>63</v>
      </c>
      <c r="H16" s="242" t="s">
        <v>63</v>
      </c>
      <c r="I16" s="242" t="s">
        <v>63</v>
      </c>
      <c r="J16" s="242" t="s">
        <v>63</v>
      </c>
      <c r="K16" s="242" t="s">
        <v>63</v>
      </c>
      <c r="L16" s="61" t="s">
        <v>63</v>
      </c>
      <c r="M16" s="61" t="s">
        <v>63</v>
      </c>
      <c r="N16" s="61" t="s">
        <v>64</v>
      </c>
      <c r="O16" s="61" t="s">
        <v>63</v>
      </c>
      <c r="P16" s="61" t="s">
        <v>63</v>
      </c>
      <c r="Q16" s="61" t="s">
        <v>63</v>
      </c>
      <c r="R16" s="61" t="s">
        <v>63</v>
      </c>
      <c r="S16" s="61" t="s">
        <v>63</v>
      </c>
      <c r="T16" s="61" t="s">
        <v>63</v>
      </c>
      <c r="U16" s="61" t="s">
        <v>63</v>
      </c>
      <c r="V16" s="61" t="s">
        <v>63</v>
      </c>
      <c r="W16" s="61"/>
      <c r="X16" s="61"/>
      <c r="Y16" s="61"/>
      <c r="Z16" s="61"/>
      <c r="AA16" s="61"/>
      <c r="AB16" s="61"/>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19</v>
      </c>
      <c r="BB16" s="61">
        <f t="shared" si="1"/>
        <v>1</v>
      </c>
      <c r="BC16" s="61" t="str">
        <f t="shared" si="2"/>
        <v>0</v>
      </c>
      <c r="BD16" s="61" t="str">
        <f t="shared" si="3"/>
        <v>0</v>
      </c>
      <c r="BE16" s="160">
        <f t="shared" si="4"/>
        <v>20</v>
      </c>
      <c r="BF16" s="156">
        <v>1</v>
      </c>
      <c r="BG16" s="61"/>
      <c r="BH16" s="61"/>
    </row>
    <row r="17" spans="1:60" ht="12" customHeight="1" x14ac:dyDescent="0.3">
      <c r="A17" s="245">
        <v>10</v>
      </c>
      <c r="B17" s="158" t="s">
        <v>42</v>
      </c>
      <c r="C17" s="61" t="s">
        <v>63</v>
      </c>
      <c r="D17" s="61" t="s">
        <v>63</v>
      </c>
      <c r="E17" s="61" t="s">
        <v>63</v>
      </c>
      <c r="F17" s="61" t="s">
        <v>63</v>
      </c>
      <c r="G17" s="61" t="s">
        <v>63</v>
      </c>
      <c r="H17" s="61" t="s">
        <v>63</v>
      </c>
      <c r="I17" s="61" t="s">
        <v>63</v>
      </c>
      <c r="J17" s="61" t="s">
        <v>63</v>
      </c>
      <c r="K17" s="61" t="s">
        <v>63</v>
      </c>
      <c r="L17" s="159" t="s">
        <v>64</v>
      </c>
      <c r="M17" s="159" t="s">
        <v>64</v>
      </c>
      <c r="N17" s="159" t="s">
        <v>63</v>
      </c>
      <c r="O17" s="159" t="s">
        <v>63</v>
      </c>
      <c r="P17" s="159" t="s">
        <v>63</v>
      </c>
      <c r="Q17" s="61" t="s">
        <v>63</v>
      </c>
      <c r="R17" s="61" t="s">
        <v>63</v>
      </c>
      <c r="S17" s="61" t="s">
        <v>63</v>
      </c>
      <c r="T17" s="61" t="s">
        <v>63</v>
      </c>
      <c r="U17" s="61" t="s">
        <v>63</v>
      </c>
      <c r="V17" s="61" t="s">
        <v>63</v>
      </c>
      <c r="W17" s="61"/>
      <c r="X17" s="61"/>
      <c r="Y17" s="61"/>
      <c r="Z17" s="61"/>
      <c r="AA17" s="61"/>
      <c r="AB17" s="61"/>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18</v>
      </c>
      <c r="BB17" s="61">
        <f t="shared" si="1"/>
        <v>2</v>
      </c>
      <c r="BC17" s="61" t="str">
        <f t="shared" si="2"/>
        <v>0</v>
      </c>
      <c r="BD17" s="61" t="str">
        <f t="shared" si="3"/>
        <v>0</v>
      </c>
      <c r="BE17" s="160">
        <f t="shared" si="4"/>
        <v>20</v>
      </c>
      <c r="BF17" s="159">
        <v>3</v>
      </c>
      <c r="BG17" s="159"/>
      <c r="BH17" s="61"/>
    </row>
    <row r="18" spans="1:60" ht="12" customHeight="1" x14ac:dyDescent="0.3">
      <c r="A18" s="245">
        <v>11</v>
      </c>
      <c r="B18" s="60" t="str">
        <f>'C. FILIACION'!B18</f>
        <v>MAMANI LOPEZ DAFNE MILDRED</v>
      </c>
      <c r="C18" s="242" t="s">
        <v>63</v>
      </c>
      <c r="D18" s="242" t="s">
        <v>63</v>
      </c>
      <c r="E18" s="242" t="s">
        <v>63</v>
      </c>
      <c r="F18" s="242" t="s">
        <v>64</v>
      </c>
      <c r="G18" s="242" t="s">
        <v>63</v>
      </c>
      <c r="H18" s="242" t="s">
        <v>64</v>
      </c>
      <c r="I18" s="242" t="s">
        <v>63</v>
      </c>
      <c r="J18" s="242" t="s">
        <v>63</v>
      </c>
      <c r="K18" s="242" t="s">
        <v>64</v>
      </c>
      <c r="L18" s="61" t="s">
        <v>64</v>
      </c>
      <c r="M18" s="61" t="s">
        <v>64</v>
      </c>
      <c r="N18" s="61" t="s">
        <v>178</v>
      </c>
      <c r="O18" s="61" t="s">
        <v>63</v>
      </c>
      <c r="P18" s="61" t="s">
        <v>64</v>
      </c>
      <c r="Q18" s="61" t="s">
        <v>177</v>
      </c>
      <c r="R18" s="61" t="s">
        <v>64</v>
      </c>
      <c r="S18" s="61" t="s">
        <v>63</v>
      </c>
      <c r="T18" s="61" t="s">
        <v>63</v>
      </c>
      <c r="U18" s="61" t="s">
        <v>177</v>
      </c>
      <c r="V18" s="61" t="s">
        <v>64</v>
      </c>
      <c r="W18" s="61"/>
      <c r="X18" s="61"/>
      <c r="Y18" s="61"/>
      <c r="Z18" s="61"/>
      <c r="AA18" s="61"/>
      <c r="AB18" s="61"/>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9</v>
      </c>
      <c r="BB18" s="61">
        <f t="shared" si="1"/>
        <v>8</v>
      </c>
      <c r="BC18" s="61">
        <f t="shared" si="2"/>
        <v>2</v>
      </c>
      <c r="BD18" s="61">
        <f t="shared" si="3"/>
        <v>1</v>
      </c>
      <c r="BE18" s="160">
        <f t="shared" si="4"/>
        <v>20</v>
      </c>
      <c r="BF18" s="61">
        <v>4</v>
      </c>
      <c r="BG18" s="61"/>
      <c r="BH18" s="61"/>
    </row>
    <row r="19" spans="1:60" ht="12" customHeight="1" x14ac:dyDescent="0.3">
      <c r="A19" s="245">
        <v>12</v>
      </c>
      <c r="B19" s="60" t="str">
        <f>'C. FILIACION'!B19</f>
        <v>MARCONI PEREZ SINDEL LUANA</v>
      </c>
      <c r="C19" s="61" t="s">
        <v>63</v>
      </c>
      <c r="D19" s="61" t="s">
        <v>64</v>
      </c>
      <c r="E19" s="61" t="s">
        <v>63</v>
      </c>
      <c r="F19" s="61" t="s">
        <v>63</v>
      </c>
      <c r="G19" s="61" t="s">
        <v>64</v>
      </c>
      <c r="H19" s="61" t="s">
        <v>63</v>
      </c>
      <c r="I19" s="61" t="s">
        <v>63</v>
      </c>
      <c r="J19" s="61" t="s">
        <v>63</v>
      </c>
      <c r="K19" s="61" t="s">
        <v>63</v>
      </c>
      <c r="L19" s="61" t="s">
        <v>64</v>
      </c>
      <c r="M19" s="61" t="s">
        <v>63</v>
      </c>
      <c r="N19" s="61" t="s">
        <v>64</v>
      </c>
      <c r="O19" s="61" t="s">
        <v>64</v>
      </c>
      <c r="P19" s="61" t="s">
        <v>64</v>
      </c>
      <c r="Q19" s="61" t="s">
        <v>63</v>
      </c>
      <c r="R19" s="61" t="s">
        <v>64</v>
      </c>
      <c r="S19" s="61" t="s">
        <v>64</v>
      </c>
      <c r="T19" s="61" t="s">
        <v>63</v>
      </c>
      <c r="U19" s="61" t="s">
        <v>64</v>
      </c>
      <c r="V19" s="61" t="s">
        <v>177</v>
      </c>
      <c r="W19" s="61"/>
      <c r="X19" s="61"/>
      <c r="Y19" s="61"/>
      <c r="Z19" s="61"/>
      <c r="AA19" s="61"/>
      <c r="AB19" s="61"/>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10</v>
      </c>
      <c r="BB19" s="61">
        <f t="shared" si="1"/>
        <v>9</v>
      </c>
      <c r="BC19" s="61">
        <f t="shared" si="2"/>
        <v>1</v>
      </c>
      <c r="BD19" s="61" t="str">
        <f t="shared" si="3"/>
        <v>0</v>
      </c>
      <c r="BE19" s="160">
        <f t="shared" si="4"/>
        <v>20</v>
      </c>
      <c r="BF19" s="155">
        <v>2</v>
      </c>
      <c r="BG19" s="61"/>
      <c r="BH19" s="61"/>
    </row>
    <row r="20" spans="1:60" ht="12" customHeight="1" x14ac:dyDescent="0.3">
      <c r="A20" s="245">
        <v>13</v>
      </c>
      <c r="B20" s="60" t="str">
        <f>'C. FILIACION'!B20</f>
        <v>MENACHO LINEO ANDREA KIMBERLY</v>
      </c>
      <c r="C20" s="242" t="s">
        <v>63</v>
      </c>
      <c r="D20" s="242" t="s">
        <v>63</v>
      </c>
      <c r="E20" s="242" t="s">
        <v>63</v>
      </c>
      <c r="F20" s="242" t="s">
        <v>63</v>
      </c>
      <c r="G20" s="242" t="s">
        <v>63</v>
      </c>
      <c r="H20" s="242" t="s">
        <v>63</v>
      </c>
      <c r="I20" s="242" t="s">
        <v>63</v>
      </c>
      <c r="J20" s="242" t="s">
        <v>63</v>
      </c>
      <c r="K20" s="242" t="s">
        <v>63</v>
      </c>
      <c r="L20" s="61" t="s">
        <v>63</v>
      </c>
      <c r="M20" s="61" t="s">
        <v>63</v>
      </c>
      <c r="N20" s="61" t="s">
        <v>63</v>
      </c>
      <c r="O20" s="61" t="s">
        <v>63</v>
      </c>
      <c r="P20" s="61" t="s">
        <v>63</v>
      </c>
      <c r="Q20" s="61" t="s">
        <v>63</v>
      </c>
      <c r="R20" s="61" t="s">
        <v>63</v>
      </c>
      <c r="S20" s="61" t="s">
        <v>63</v>
      </c>
      <c r="T20" s="61" t="s">
        <v>63</v>
      </c>
      <c r="U20" s="61" t="s">
        <v>63</v>
      </c>
      <c r="V20" s="61" t="s">
        <v>64</v>
      </c>
      <c r="W20" s="61"/>
      <c r="X20" s="61"/>
      <c r="Y20" s="61"/>
      <c r="Z20" s="61"/>
      <c r="AA20" s="61"/>
      <c r="AB20" s="61"/>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19</v>
      </c>
      <c r="BB20" s="61">
        <f t="shared" si="1"/>
        <v>1</v>
      </c>
      <c r="BC20" s="61" t="str">
        <f t="shared" si="2"/>
        <v>0</v>
      </c>
      <c r="BD20" s="61" t="str">
        <f t="shared" si="3"/>
        <v>0</v>
      </c>
      <c r="BE20" s="160">
        <f t="shared" si="4"/>
        <v>20</v>
      </c>
      <c r="BF20" s="156">
        <v>1</v>
      </c>
      <c r="BG20" s="61"/>
      <c r="BH20" s="61"/>
    </row>
    <row r="21" spans="1:60" ht="12" customHeight="1" x14ac:dyDescent="0.3">
      <c r="A21" s="245">
        <v>14</v>
      </c>
      <c r="B21" s="60" t="str">
        <f>'C. FILIACION'!B21</f>
        <v>PILLCO APAZA MARIAN ALEXANDRA</v>
      </c>
      <c r="C21" s="61" t="s">
        <v>63</v>
      </c>
      <c r="D21" s="61" t="s">
        <v>63</v>
      </c>
      <c r="E21" s="61" t="s">
        <v>63</v>
      </c>
      <c r="F21" s="61" t="s">
        <v>63</v>
      </c>
      <c r="G21" s="61" t="s">
        <v>63</v>
      </c>
      <c r="H21" s="61" t="s">
        <v>63</v>
      </c>
      <c r="I21" s="61" t="s">
        <v>63</v>
      </c>
      <c r="J21" s="61" t="s">
        <v>63</v>
      </c>
      <c r="K21" s="61" t="s">
        <v>64</v>
      </c>
      <c r="L21" s="61" t="s">
        <v>63</v>
      </c>
      <c r="M21" s="61" t="s">
        <v>63</v>
      </c>
      <c r="N21" s="61" t="s">
        <v>63</v>
      </c>
      <c r="O21" s="61" t="s">
        <v>63</v>
      </c>
      <c r="P21" s="61" t="s">
        <v>63</v>
      </c>
      <c r="Q21" s="61" t="s">
        <v>63</v>
      </c>
      <c r="R21" s="61" t="s">
        <v>63</v>
      </c>
      <c r="S21" s="61" t="s">
        <v>63</v>
      </c>
      <c r="T21" s="61" t="s">
        <v>63</v>
      </c>
      <c r="U21" s="61" t="s">
        <v>63</v>
      </c>
      <c r="V21" s="61" t="s">
        <v>63</v>
      </c>
      <c r="W21" s="61"/>
      <c r="X21" s="61"/>
      <c r="Y21" s="61"/>
      <c r="Z21" s="61"/>
      <c r="AA21" s="61"/>
      <c r="AB21" s="61"/>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19</v>
      </c>
      <c r="BB21" s="61">
        <f t="shared" si="1"/>
        <v>1</v>
      </c>
      <c r="BC21" s="61" t="str">
        <f t="shared" si="2"/>
        <v>0</v>
      </c>
      <c r="BD21" s="61" t="str">
        <f t="shared" si="3"/>
        <v>0</v>
      </c>
      <c r="BE21" s="160">
        <f t="shared" si="4"/>
        <v>20</v>
      </c>
      <c r="BF21" s="156">
        <v>1</v>
      </c>
      <c r="BG21" s="61"/>
      <c r="BH21" s="61"/>
    </row>
    <row r="22" spans="1:60" ht="12" customHeight="1" x14ac:dyDescent="0.3">
      <c r="A22" s="245">
        <v>15</v>
      </c>
      <c r="B22" s="60" t="str">
        <f>'C. FILIACION'!B22</f>
        <v>RUEDA ALVAREZ GREGORY STEVEN</v>
      </c>
      <c r="C22" s="243" t="s">
        <v>63</v>
      </c>
      <c r="D22" s="243" t="s">
        <v>63</v>
      </c>
      <c r="E22" s="243" t="s">
        <v>63</v>
      </c>
      <c r="F22" s="243" t="s">
        <v>63</v>
      </c>
      <c r="G22" s="243" t="s">
        <v>63</v>
      </c>
      <c r="H22" s="243" t="s">
        <v>63</v>
      </c>
      <c r="I22" s="243" t="s">
        <v>63</v>
      </c>
      <c r="J22" s="243" t="s">
        <v>63</v>
      </c>
      <c r="K22" s="243" t="s">
        <v>63</v>
      </c>
      <c r="L22" s="61" t="s">
        <v>63</v>
      </c>
      <c r="M22" s="61" t="s">
        <v>63</v>
      </c>
      <c r="N22" s="61" t="s">
        <v>63</v>
      </c>
      <c r="O22" s="61" t="s">
        <v>63</v>
      </c>
      <c r="P22" s="61" t="s">
        <v>63</v>
      </c>
      <c r="Q22" s="61" t="s">
        <v>63</v>
      </c>
      <c r="R22" s="61" t="s">
        <v>63</v>
      </c>
      <c r="S22" s="61" t="s">
        <v>63</v>
      </c>
      <c r="T22" s="61" t="s">
        <v>63</v>
      </c>
      <c r="U22" s="61" t="s">
        <v>63</v>
      </c>
      <c r="V22" s="61" t="s">
        <v>63</v>
      </c>
      <c r="W22" s="61"/>
      <c r="X22" s="61"/>
      <c r="Y22" s="61"/>
      <c r="Z22" s="61"/>
      <c r="AA22" s="61"/>
      <c r="AB22" s="61"/>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20</v>
      </c>
      <c r="BB22" s="61" t="str">
        <f t="shared" si="1"/>
        <v>0</v>
      </c>
      <c r="BC22" s="61" t="str">
        <f t="shared" si="2"/>
        <v>0</v>
      </c>
      <c r="BD22" s="61" t="str">
        <f t="shared" si="3"/>
        <v>0</v>
      </c>
      <c r="BE22" s="160">
        <f t="shared" si="4"/>
        <v>20</v>
      </c>
      <c r="BF22" s="157">
        <v>3</v>
      </c>
      <c r="BG22" s="61"/>
      <c r="BH22" s="61"/>
    </row>
    <row r="23" spans="1:60" ht="12" customHeight="1" x14ac:dyDescent="0.3">
      <c r="A23" s="245">
        <v>16</v>
      </c>
      <c r="B23" s="60" t="str">
        <f>'C. FILIACION'!B23</f>
        <v>VARGAS JOYCE BELEN</v>
      </c>
      <c r="C23" s="61" t="s">
        <v>64</v>
      </c>
      <c r="D23" s="61" t="s">
        <v>64</v>
      </c>
      <c r="E23" s="61" t="s">
        <v>64</v>
      </c>
      <c r="F23" s="61" t="s">
        <v>64</v>
      </c>
      <c r="G23" s="61" t="s">
        <v>64</v>
      </c>
      <c r="H23" s="61" t="s">
        <v>63</v>
      </c>
      <c r="I23" s="61" t="s">
        <v>63</v>
      </c>
      <c r="J23" s="61" t="s">
        <v>64</v>
      </c>
      <c r="K23" s="61" t="s">
        <v>63</v>
      </c>
      <c r="L23" s="61" t="s">
        <v>63</v>
      </c>
      <c r="M23" s="61" t="s">
        <v>64</v>
      </c>
      <c r="N23" s="61" t="s">
        <v>63</v>
      </c>
      <c r="O23" s="61" t="s">
        <v>64</v>
      </c>
      <c r="P23" s="61" t="s">
        <v>64</v>
      </c>
      <c r="Q23" s="61" t="s">
        <v>64</v>
      </c>
      <c r="R23" s="61" t="s">
        <v>64</v>
      </c>
      <c r="S23" s="61" t="s">
        <v>64</v>
      </c>
      <c r="T23" s="61" t="s">
        <v>64</v>
      </c>
      <c r="U23" s="61" t="s">
        <v>64</v>
      </c>
      <c r="V23" s="61" t="s">
        <v>64</v>
      </c>
      <c r="W23" s="61"/>
      <c r="X23" s="61"/>
      <c r="Y23" s="61"/>
      <c r="Z23" s="61"/>
      <c r="AA23" s="61"/>
      <c r="AB23" s="61"/>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5</v>
      </c>
      <c r="BB23" s="61">
        <f t="shared" si="1"/>
        <v>15</v>
      </c>
      <c r="BC23" s="61" t="str">
        <f t="shared" si="2"/>
        <v>0</v>
      </c>
      <c r="BD23" s="61" t="str">
        <f t="shared" si="3"/>
        <v>0</v>
      </c>
      <c r="BE23" s="160">
        <f t="shared" si="4"/>
        <v>20</v>
      </c>
      <c r="BF23" s="157">
        <v>3</v>
      </c>
      <c r="BG23" s="61"/>
      <c r="BH23" s="61"/>
    </row>
    <row r="24" spans="1:60" ht="12" customHeight="1" x14ac:dyDescent="0.3">
      <c r="A24" s="245">
        <v>17</v>
      </c>
      <c r="B24" s="60" t="str">
        <f>'C. FILIACION'!B24</f>
        <v>ZURITA JIMENEZ ELMER ARTURO</v>
      </c>
      <c r="C24" s="242" t="s">
        <v>63</v>
      </c>
      <c r="D24" s="242" t="s">
        <v>63</v>
      </c>
      <c r="E24" s="242" t="s">
        <v>63</v>
      </c>
      <c r="F24" s="242" t="s">
        <v>63</v>
      </c>
      <c r="G24" s="242" t="s">
        <v>63</v>
      </c>
      <c r="H24" s="242" t="s">
        <v>63</v>
      </c>
      <c r="I24" s="242" t="s">
        <v>63</v>
      </c>
      <c r="J24" s="242" t="s">
        <v>63</v>
      </c>
      <c r="K24" s="242" t="s">
        <v>63</v>
      </c>
      <c r="L24" s="61" t="s">
        <v>63</v>
      </c>
      <c r="M24" s="61" t="s">
        <v>63</v>
      </c>
      <c r="N24" s="61" t="s">
        <v>63</v>
      </c>
      <c r="O24" s="61" t="s">
        <v>63</v>
      </c>
      <c r="P24" s="61" t="s">
        <v>63</v>
      </c>
      <c r="Q24" s="61" t="s">
        <v>63</v>
      </c>
      <c r="R24" s="61" t="s">
        <v>63</v>
      </c>
      <c r="S24" s="61" t="s">
        <v>63</v>
      </c>
      <c r="T24" s="61" t="s">
        <v>63</v>
      </c>
      <c r="U24" s="61" t="s">
        <v>63</v>
      </c>
      <c r="V24" s="61" t="s">
        <v>63</v>
      </c>
      <c r="W24" s="61"/>
      <c r="X24" s="61"/>
      <c r="Y24" s="61"/>
      <c r="Z24" s="61"/>
      <c r="AA24" s="61"/>
      <c r="AB24" s="61"/>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20</v>
      </c>
      <c r="BB24" s="61" t="str">
        <f t="shared" si="1"/>
        <v>0</v>
      </c>
      <c r="BC24" s="61" t="str">
        <f t="shared" si="2"/>
        <v>0</v>
      </c>
      <c r="BD24" s="61" t="str">
        <f t="shared" si="3"/>
        <v>0</v>
      </c>
      <c r="BE24" s="160">
        <f t="shared" si="4"/>
        <v>20</v>
      </c>
      <c r="BF24" s="155">
        <v>2</v>
      </c>
      <c r="BG24" s="61"/>
      <c r="BH24" s="61"/>
    </row>
    <row r="25" spans="1:60" ht="12" customHeight="1" x14ac:dyDescent="0.3">
      <c r="A25" s="245">
        <v>18</v>
      </c>
      <c r="B25" s="60" t="str">
        <f>'C. FILIACION'!B25</f>
        <v>ADRIAN FLORES EDDY BEYMAR</v>
      </c>
      <c r="C25" s="61" t="s">
        <v>64</v>
      </c>
      <c r="D25" s="61" t="s">
        <v>64</v>
      </c>
      <c r="E25" s="61" t="s">
        <v>64</v>
      </c>
      <c r="F25" s="61" t="s">
        <v>64</v>
      </c>
      <c r="G25" s="61" t="s">
        <v>64</v>
      </c>
      <c r="H25" s="61" t="s">
        <v>63</v>
      </c>
      <c r="I25" s="61" t="s">
        <v>63</v>
      </c>
      <c r="J25" s="61" t="s">
        <v>64</v>
      </c>
      <c r="K25" s="61" t="s">
        <v>63</v>
      </c>
      <c r="L25" s="61" t="s">
        <v>63</v>
      </c>
      <c r="M25" s="61" t="s">
        <v>63</v>
      </c>
      <c r="N25" s="61" t="s">
        <v>64</v>
      </c>
      <c r="O25" s="61" t="s">
        <v>64</v>
      </c>
      <c r="P25" s="61" t="s">
        <v>63</v>
      </c>
      <c r="Q25" s="61" t="s">
        <v>64</v>
      </c>
      <c r="R25" s="61" t="s">
        <v>63</v>
      </c>
      <c r="S25" s="61" t="s">
        <v>63</v>
      </c>
      <c r="T25" s="61" t="s">
        <v>63</v>
      </c>
      <c r="U25" s="61" t="s">
        <v>64</v>
      </c>
      <c r="V25" s="61" t="s">
        <v>64</v>
      </c>
      <c r="W25" s="61"/>
      <c r="X25" s="61"/>
      <c r="Y25" s="61"/>
      <c r="Z25" s="61"/>
      <c r="AA25" s="61"/>
      <c r="AB25" s="61"/>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9</v>
      </c>
      <c r="BB25" s="61">
        <f t="shared" si="1"/>
        <v>11</v>
      </c>
      <c r="BC25" s="61" t="str">
        <f t="shared" si="2"/>
        <v>0</v>
      </c>
      <c r="BD25" s="61" t="str">
        <f t="shared" si="3"/>
        <v>0</v>
      </c>
      <c r="BE25" s="160">
        <f t="shared" si="4"/>
        <v>20</v>
      </c>
      <c r="BF25" s="61">
        <v>4</v>
      </c>
      <c r="BG25" s="61"/>
      <c r="BH25" s="61"/>
    </row>
    <row r="26" spans="1:60" ht="12" customHeight="1" x14ac:dyDescent="0.3">
      <c r="A26" s="247">
        <v>19</v>
      </c>
      <c r="B26" s="248" t="str">
        <f>'C. FILIACION'!B26</f>
        <v>Ventura Choque Danely Keyla</v>
      </c>
      <c r="C26" s="249"/>
      <c r="D26" s="249"/>
      <c r="E26" s="249"/>
      <c r="F26" s="249"/>
      <c r="G26" s="249"/>
      <c r="H26" s="249"/>
      <c r="I26" s="249"/>
      <c r="J26" s="249"/>
      <c r="K26" s="249"/>
      <c r="L26" s="250"/>
      <c r="M26" s="250"/>
      <c r="N26" s="250"/>
      <c r="O26" s="250"/>
      <c r="P26" s="250" t="s">
        <v>64</v>
      </c>
      <c r="Q26" s="250" t="s">
        <v>178</v>
      </c>
      <c r="R26" s="250" t="s">
        <v>178</v>
      </c>
      <c r="S26" s="250" t="s">
        <v>63</v>
      </c>
      <c r="T26" s="250" t="s">
        <v>63</v>
      </c>
      <c r="U26" s="250" t="s">
        <v>63</v>
      </c>
      <c r="V26" s="250" t="s">
        <v>63</v>
      </c>
      <c r="W26" s="250"/>
      <c r="X26" s="250"/>
      <c r="Y26" s="250"/>
      <c r="Z26" s="250"/>
      <c r="AA26" s="250"/>
      <c r="AB26" s="250"/>
      <c r="AC26" s="250"/>
      <c r="AD26" s="250"/>
      <c r="AE26" s="250"/>
      <c r="AF26" s="250"/>
      <c r="AG26" s="250"/>
      <c r="AH26" s="250"/>
      <c r="AI26" s="250"/>
      <c r="AJ26" s="250"/>
      <c r="AK26" s="250"/>
      <c r="AL26" s="250"/>
      <c r="AM26" s="250"/>
      <c r="AN26" s="250"/>
      <c r="AO26" s="250"/>
      <c r="AP26" s="250"/>
      <c r="AQ26" s="250"/>
      <c r="AR26" s="250"/>
      <c r="AS26" s="250"/>
      <c r="AT26" s="250"/>
      <c r="AU26" s="250"/>
      <c r="AV26" s="250"/>
      <c r="AW26" s="250"/>
      <c r="AX26" s="250"/>
      <c r="AY26" s="250"/>
      <c r="AZ26" s="251"/>
      <c r="BA26" s="252">
        <f t="shared" si="0"/>
        <v>4</v>
      </c>
      <c r="BB26" s="250">
        <f t="shared" si="1"/>
        <v>1</v>
      </c>
      <c r="BC26" s="250" t="str">
        <f t="shared" si="2"/>
        <v>0</v>
      </c>
      <c r="BD26" s="250">
        <f t="shared" si="3"/>
        <v>2</v>
      </c>
      <c r="BE26" s="251">
        <f t="shared" si="4"/>
        <v>7</v>
      </c>
      <c r="BF26" s="157">
        <v>3</v>
      </c>
      <c r="BG26" s="61"/>
      <c r="BH26" s="61"/>
    </row>
    <row r="27" spans="1:60" ht="12" customHeight="1" x14ac:dyDescent="0.3">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
      <c r="A28" s="59">
        <v>21</v>
      </c>
      <c r="B28" s="60">
        <f>'C. FILIACION'!B28</f>
        <v>0</v>
      </c>
      <c r="C28" s="242"/>
      <c r="D28" s="242"/>
      <c r="E28" s="242"/>
      <c r="F28" s="242"/>
      <c r="G28" s="242"/>
      <c r="H28" s="242"/>
      <c r="I28" s="242"/>
      <c r="J28" s="242"/>
      <c r="K28" s="242"/>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
      <c r="A29" s="59">
        <v>22</v>
      </c>
      <c r="B29" s="60">
        <f>'C. FILIACION'!B29</f>
        <v>0</v>
      </c>
      <c r="C29" s="243"/>
      <c r="D29" s="243"/>
      <c r="E29" s="243"/>
      <c r="F29" s="243"/>
      <c r="G29" s="243"/>
      <c r="H29" s="243"/>
      <c r="I29" s="243"/>
      <c r="J29" s="243"/>
      <c r="K29" s="243"/>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
      <c r="A30" s="59">
        <v>23</v>
      </c>
      <c r="B30" s="60">
        <f>'C. FILIACION'!B30</f>
        <v>0</v>
      </c>
      <c r="C30" s="242"/>
      <c r="D30" s="242"/>
      <c r="E30" s="242"/>
      <c r="F30" s="242"/>
      <c r="G30" s="242"/>
      <c r="H30" s="242"/>
      <c r="I30" s="242"/>
      <c r="J30" s="242"/>
      <c r="K30" s="242"/>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sheetPr>
  <dimension ref="A1:BP35"/>
  <sheetViews>
    <sheetView zoomScale="91" zoomScaleNormal="91" workbookViewId="0">
      <selection activeCell="AA11" sqref="AA11"/>
    </sheetView>
  </sheetViews>
  <sheetFormatPr baseColWidth="10" defaultRowHeight="20.25" x14ac:dyDescent="0.3"/>
  <cols>
    <col min="1" max="11" width="2.25" customWidth="1"/>
    <col min="12" max="12" width="2.83203125" customWidth="1"/>
    <col min="13" max="13" width="2.25" customWidth="1"/>
    <col min="14" max="14" width="2.33203125" customWidth="1"/>
    <col min="15" max="26" width="2.25" customWidth="1"/>
    <col min="27" max="27" width="10.5" customWidth="1"/>
    <col min="28" max="28" width="7.4140625" customWidth="1"/>
  </cols>
  <sheetData>
    <row r="1" spans="1:68" x14ac:dyDescent="0.3">
      <c r="A1" s="253"/>
      <c r="B1" s="253"/>
      <c r="C1" s="253"/>
      <c r="D1" s="253"/>
      <c r="E1" s="253"/>
      <c r="F1" s="253"/>
      <c r="G1" s="253"/>
      <c r="H1" s="253"/>
      <c r="I1" s="253"/>
      <c r="J1" s="253"/>
      <c r="K1" s="253"/>
      <c r="L1" s="253"/>
      <c r="M1" s="253"/>
      <c r="N1" s="253"/>
      <c r="O1" s="253"/>
      <c r="P1" s="253"/>
      <c r="Q1" s="253"/>
      <c r="R1" s="253"/>
      <c r="S1" s="253"/>
      <c r="T1" s="253"/>
      <c r="U1" s="253"/>
      <c r="V1" s="253"/>
      <c r="W1" s="253"/>
      <c r="X1" s="253"/>
      <c r="Y1" s="253"/>
      <c r="Z1" s="253"/>
      <c r="AA1" s="253"/>
      <c r="AB1" s="253"/>
    </row>
    <row r="2" spans="1:68" x14ac:dyDescent="0.3">
      <c r="A2" s="301" t="s">
        <v>231</v>
      </c>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row>
    <row r="3" spans="1:68" x14ac:dyDescent="0.3">
      <c r="A3" s="253"/>
      <c r="B3" s="253"/>
      <c r="C3" s="253"/>
      <c r="D3" s="253"/>
      <c r="E3" s="253"/>
      <c r="F3" s="253"/>
      <c r="G3" s="253"/>
      <c r="H3" s="253"/>
      <c r="I3" s="253"/>
      <c r="J3" s="253"/>
      <c r="K3" s="253"/>
      <c r="L3" s="253"/>
      <c r="M3" s="253"/>
      <c r="N3" s="253"/>
      <c r="O3" s="253"/>
      <c r="P3" s="253"/>
      <c r="Q3" s="253"/>
      <c r="R3" s="253"/>
      <c r="S3" s="253"/>
      <c r="T3" s="253"/>
      <c r="U3" s="253"/>
      <c r="V3" s="253"/>
      <c r="W3" s="253"/>
      <c r="X3" s="253"/>
      <c r="Y3" s="253"/>
      <c r="Z3" s="253"/>
      <c r="AA3" s="253"/>
      <c r="AB3" s="253"/>
    </row>
    <row r="4" spans="1:68" x14ac:dyDescent="0.3">
      <c r="A4" s="254" t="s">
        <v>232</v>
      </c>
      <c r="B4" s="254"/>
      <c r="C4" s="254"/>
      <c r="D4" s="254"/>
      <c r="E4" s="254"/>
      <c r="F4" s="255" t="str">
        <f>[1]CARÁTULA!C25</f>
        <v>Tecnica Tecnologica (Programacion)</v>
      </c>
      <c r="G4" s="255"/>
      <c r="H4" s="255"/>
      <c r="I4" s="255"/>
      <c r="J4" s="255"/>
      <c r="K4" s="255"/>
      <c r="L4" s="255"/>
      <c r="M4" s="255"/>
      <c r="N4" s="255"/>
      <c r="O4" s="256" t="s">
        <v>233</v>
      </c>
      <c r="P4" s="256"/>
      <c r="Q4" s="256"/>
      <c r="R4" s="257" t="str">
        <f>[2]CARÁTULA!C23</f>
        <v>5to de Secundaria</v>
      </c>
      <c r="S4" s="258"/>
      <c r="T4" s="258"/>
      <c r="U4" s="258"/>
      <c r="V4" s="258"/>
      <c r="W4" s="258"/>
      <c r="X4" s="258"/>
      <c r="Y4" s="258"/>
      <c r="Z4" s="259"/>
      <c r="AA4" s="260" t="s">
        <v>234</v>
      </c>
      <c r="AB4" s="261"/>
    </row>
    <row r="5" spans="1:68" x14ac:dyDescent="0.3">
      <c r="A5" s="254" t="s">
        <v>235</v>
      </c>
      <c r="B5" s="254"/>
      <c r="C5" s="254"/>
      <c r="D5" s="254"/>
      <c r="E5" s="254"/>
      <c r="F5" s="262" t="s">
        <v>33</v>
      </c>
      <c r="G5" s="262"/>
      <c r="H5" s="262"/>
      <c r="I5" s="262"/>
      <c r="J5" s="262"/>
      <c r="K5" s="262"/>
      <c r="L5" s="262"/>
      <c r="M5" s="262"/>
      <c r="N5" s="262"/>
      <c r="O5" s="262"/>
      <c r="P5" s="262"/>
      <c r="Q5" s="262"/>
      <c r="R5" s="262"/>
      <c r="S5" s="262"/>
      <c r="T5" s="262"/>
      <c r="U5" s="262"/>
      <c r="V5" s="262"/>
      <c r="W5" s="262"/>
      <c r="X5" s="262"/>
      <c r="Y5" s="262"/>
      <c r="Z5" s="262"/>
      <c r="AA5" s="263"/>
      <c r="AB5" s="261"/>
    </row>
    <row r="6" spans="1:68" x14ac:dyDescent="0.3">
      <c r="A6" s="254" t="s">
        <v>236</v>
      </c>
      <c r="B6" s="254"/>
      <c r="C6" s="254"/>
      <c r="D6" s="254"/>
      <c r="E6" s="254"/>
      <c r="F6" s="264" t="s">
        <v>237</v>
      </c>
      <c r="G6" s="265"/>
      <c r="H6" s="265"/>
      <c r="I6" s="265"/>
      <c r="J6" s="265"/>
      <c r="K6" s="265"/>
      <c r="L6" s="265"/>
      <c r="M6" s="265"/>
      <c r="N6" s="265"/>
      <c r="O6" s="265"/>
      <c r="P6" s="265"/>
      <c r="Q6" s="265"/>
      <c r="R6" s="265"/>
      <c r="S6" s="265"/>
      <c r="T6" s="265"/>
      <c r="U6" s="265"/>
      <c r="V6" s="265"/>
      <c r="W6" s="265"/>
      <c r="X6" s="265"/>
      <c r="Y6" s="265"/>
      <c r="Z6" s="266"/>
      <c r="AA6" s="267" t="s">
        <v>238</v>
      </c>
      <c r="AB6" s="268"/>
    </row>
    <row r="7" spans="1:68" ht="6" customHeight="1" x14ac:dyDescent="0.3">
      <c r="A7" s="253"/>
      <c r="B7" s="253"/>
      <c r="C7" s="253"/>
      <c r="D7" s="253"/>
      <c r="E7" s="253"/>
      <c r="F7" s="253"/>
      <c r="G7" s="253"/>
      <c r="H7" s="253"/>
      <c r="I7" s="253"/>
      <c r="J7" s="253"/>
      <c r="K7" s="253"/>
      <c r="L7" s="253"/>
      <c r="M7" s="253"/>
      <c r="N7" s="253"/>
      <c r="O7" s="253"/>
      <c r="P7" s="253"/>
      <c r="Q7" s="253"/>
      <c r="R7" s="253"/>
      <c r="S7" s="253"/>
      <c r="T7" s="253"/>
      <c r="U7" s="253"/>
      <c r="V7" s="253"/>
      <c r="W7" s="253"/>
      <c r="X7" s="253"/>
      <c r="Y7" s="253"/>
      <c r="Z7" s="253"/>
      <c r="AA7" s="253"/>
      <c r="AB7" s="269"/>
    </row>
    <row r="8" spans="1:68" x14ac:dyDescent="0.3">
      <c r="A8" s="270" t="s">
        <v>239</v>
      </c>
      <c r="B8" s="270"/>
      <c r="C8" s="270"/>
      <c r="D8" s="270"/>
      <c r="E8" s="270"/>
      <c r="F8" s="270"/>
      <c r="G8" s="270"/>
      <c r="H8" s="270"/>
      <c r="I8" s="270"/>
      <c r="J8" s="270"/>
      <c r="K8" s="270"/>
      <c r="L8" s="270"/>
      <c r="M8" s="270"/>
      <c r="N8" s="270"/>
      <c r="O8" s="270"/>
      <c r="P8" s="270"/>
      <c r="Q8" s="270"/>
      <c r="R8" s="270"/>
      <c r="S8" s="270"/>
      <c r="T8" s="270"/>
      <c r="U8" s="270"/>
      <c r="V8" s="270"/>
      <c r="W8" s="270"/>
      <c r="X8" s="270"/>
      <c r="Y8" s="270"/>
      <c r="Z8" s="270"/>
      <c r="AA8" s="270"/>
      <c r="AB8" s="270"/>
    </row>
    <row r="9" spans="1:68" ht="1.5" customHeight="1" x14ac:dyDescent="0.3">
      <c r="A9" s="253"/>
      <c r="B9" s="253"/>
      <c r="C9" s="253"/>
      <c r="D9" s="253"/>
      <c r="E9" s="253"/>
      <c r="F9" s="253"/>
      <c r="G9" s="253"/>
      <c r="H9" s="253"/>
      <c r="I9" s="253"/>
      <c r="J9" s="253"/>
      <c r="K9" s="253"/>
      <c r="L9" s="253"/>
      <c r="M9" s="253"/>
      <c r="N9" s="253"/>
      <c r="O9" s="253"/>
      <c r="P9" s="253"/>
      <c r="Q9" s="253"/>
      <c r="R9" s="253"/>
      <c r="S9" s="253"/>
      <c r="T9" s="253"/>
      <c r="U9" s="253"/>
      <c r="V9" s="253"/>
      <c r="W9" s="253"/>
      <c r="X9" s="253"/>
      <c r="Y9" s="253"/>
      <c r="Z9" s="253"/>
      <c r="AA9" s="253"/>
      <c r="AB9" s="253"/>
    </row>
    <row r="10" spans="1:68" ht="79.5" x14ac:dyDescent="0.3">
      <c r="A10" s="253"/>
      <c r="B10" s="271" t="str">
        <f>Tabla2[[#Headers],[10/5/2021]]</f>
        <v>10/5/2021</v>
      </c>
      <c r="C10" s="271" t="str">
        <f>Tabla2[[#Headers],[12/5/2021]]</f>
        <v>12/5/2021</v>
      </c>
      <c r="D10" s="271" t="str">
        <f>Tabla2[[#Headers],[17/5/2021]]</f>
        <v>17/5/2021</v>
      </c>
      <c r="E10" s="271" t="str">
        <f>Tabla2[[#Headers],[19/5/2021]]</f>
        <v>19/5/2021</v>
      </c>
      <c r="F10" s="271" t="str">
        <f>Tabla2[[#Headers],[24/5/2021]]</f>
        <v>24/5/2021</v>
      </c>
      <c r="G10" s="271" t="str">
        <f>Tabla2[[#Headers],[26/5/2021]]</f>
        <v>26/5/2021</v>
      </c>
      <c r="H10" s="271" t="str">
        <f>Tabla2[[#Headers],[31/5/2021]]</f>
        <v>31/5/2021</v>
      </c>
      <c r="I10" s="271" t="str">
        <f>Tabla2[[#Headers],[28/6/2021]]</f>
        <v>28/6/2021</v>
      </c>
      <c r="J10" s="271" t="str">
        <f>Tabla2[[#Headers],[30/6/2021]]</f>
        <v>30/6/2021</v>
      </c>
      <c r="K10" s="271" t="str">
        <f>Tabla2[[#Headers],[5/7/2021]]</f>
        <v>5/7/2021</v>
      </c>
      <c r="L10" s="271" t="str">
        <f>Tabla2[[#Headers],[7/7/2021]]</f>
        <v>7/7/2021</v>
      </c>
      <c r="M10" s="271" t="str">
        <f>Tabla2[[#Headers],[12/7/2021]]</f>
        <v>12/7/2021</v>
      </c>
      <c r="N10" s="271" t="str">
        <f>Tabla2[[#Headers],[14/7/2021]]</f>
        <v>14/7/2021</v>
      </c>
      <c r="O10" s="271" t="str">
        <f>Tabla2[[#Headers],[19/7/2021]]</f>
        <v>19/7/2021</v>
      </c>
      <c r="P10" s="271" t="str">
        <f>Tabla2[[#Headers],[26/7/2021]]</f>
        <v>26/7/2021</v>
      </c>
      <c r="Q10" s="271" t="str">
        <f>Tabla2[[#Headers],[28/7/2021]]</f>
        <v>28/7/2021</v>
      </c>
      <c r="R10" s="271" t="str">
        <f>Tabla2[[#Headers],[2/8/2021]]</f>
        <v>2/8/2021</v>
      </c>
      <c r="S10" s="271" t="str">
        <f>Tabla2[[#Headers],[4/8/2021]]</f>
        <v>4/8/2021</v>
      </c>
      <c r="T10" s="271" t="str">
        <f>Tabla2[[#Headers],[9/8/2021]]</f>
        <v>9/8/2021</v>
      </c>
      <c r="U10" s="271" t="str">
        <f>Tabla2[[#Headers],[11/8/2021]]</f>
        <v>11/8/2021</v>
      </c>
      <c r="V10" s="271" t="str">
        <f>'[1]ASIS 2 TRIM'!BA7</f>
        <v>Asist. (A)</v>
      </c>
      <c r="W10" s="271" t="str">
        <f>'[1]ASIS 2 TRIM'!BB7</f>
        <v>Faltas (F)</v>
      </c>
      <c r="X10" s="271" t="str">
        <f>'[1]ASIS 2 TRIM'!BC7</f>
        <v>Retrasos (R)</v>
      </c>
      <c r="Y10" s="271" t="str">
        <f>'[1]ASIS 2 TRIM'!BD7</f>
        <v>Licencias (L)</v>
      </c>
      <c r="Z10" s="271" t="str">
        <f>'[1]ASIS 2 TRIM'!BE7</f>
        <v>DÍAS TRABAJADOS</v>
      </c>
      <c r="AA10" s="253"/>
      <c r="AB10" s="253"/>
    </row>
    <row r="11" spans="1:68" x14ac:dyDescent="0.3">
      <c r="A11" s="253"/>
      <c r="B11" s="272" t="str">
        <f>VLOOKUP($F$5,Tabla2[[NÓMINA DE ESTUDIANTES]:[DÍAS TRABAJADOS]],1+AE11,FALSE)</f>
        <v>a</v>
      </c>
      <c r="C11" s="272" t="str">
        <f>VLOOKUP($F$5,Tabla2[[NÓMINA DE ESTUDIANTES]:[DÍAS TRABAJADOS]],1+AF11,FALSE)</f>
        <v>a</v>
      </c>
      <c r="D11" s="272" t="str">
        <f>VLOOKUP($F$5,Tabla2[[NÓMINA DE ESTUDIANTES]:[DÍAS TRABAJADOS]],1+AG11,FALSE)</f>
        <v>a</v>
      </c>
      <c r="E11" s="272" t="str">
        <f>VLOOKUP($F$5,Tabla2[[NÓMINA DE ESTUDIANTES]:[DÍAS TRABAJADOS]],1+AH11,FALSE)</f>
        <v>a</v>
      </c>
      <c r="F11" s="272" t="str">
        <f>VLOOKUP($F$5,Tabla2[[NÓMINA DE ESTUDIANTES]:[DÍAS TRABAJADOS]],1+AI11,FALSE)</f>
        <v>a</v>
      </c>
      <c r="G11" s="272" t="str">
        <f>VLOOKUP($F$5,Tabla2[[NÓMINA DE ESTUDIANTES]:[DÍAS TRABAJADOS]],1+AJ11,FALSE)</f>
        <v>a</v>
      </c>
      <c r="H11" s="272" t="str">
        <f>VLOOKUP($F$5,Tabla2[[NÓMINA DE ESTUDIANTES]:[DÍAS TRABAJADOS]],1+AK11,FALSE)</f>
        <v>a</v>
      </c>
      <c r="I11" s="272" t="str">
        <f>VLOOKUP($F$5,Tabla2[[NÓMINA DE ESTUDIANTES]:[DÍAS TRABAJADOS]],1+AL11,FALSE)</f>
        <v>a</v>
      </c>
      <c r="J11" s="272" t="str">
        <f>VLOOKUP($F$5,Tabla2[[NÓMINA DE ESTUDIANTES]:[DÍAS TRABAJADOS]],1+AM11,FALSE)</f>
        <v>a</v>
      </c>
      <c r="K11" s="272" t="str">
        <f>VLOOKUP($F$5,Tabla2[[NÓMINA DE ESTUDIANTES]:[DÍAS TRABAJADOS]],1+AN11,FALSE)</f>
        <v>a</v>
      </c>
      <c r="L11" s="272" t="str">
        <f>VLOOKUP($F$5,Tabla2[[NÓMINA DE ESTUDIANTES]:[DÍAS TRABAJADOS]],1+AO11,FALSE)</f>
        <v>a</v>
      </c>
      <c r="M11" s="272" t="str">
        <f>VLOOKUP($F$5,Tabla2[[NÓMINA DE ESTUDIANTES]:[DÍAS TRABAJADOS]],1+AP11,FALSE)</f>
        <v>f</v>
      </c>
      <c r="N11" s="272" t="str">
        <f>VLOOKUP($F$5,Tabla2[[NÓMINA DE ESTUDIANTES]:[DÍAS TRABAJADOS]],1+AQ11,FALSE)</f>
        <v>a</v>
      </c>
      <c r="O11" s="272" t="str">
        <f>VLOOKUP($F$5,Tabla2[[NÓMINA DE ESTUDIANTES]:[DÍAS TRABAJADOS]],1+AR11,FALSE)</f>
        <v>a</v>
      </c>
      <c r="P11" s="272" t="str">
        <f>VLOOKUP($F$5,Tabla2[[NÓMINA DE ESTUDIANTES]:[DÍAS TRABAJADOS]],1+AS11,FALSE)</f>
        <v>a</v>
      </c>
      <c r="Q11" s="272" t="str">
        <f>VLOOKUP($F$5,Tabla2[[NÓMINA DE ESTUDIANTES]:[DÍAS TRABAJADOS]],1+AT11,FALSE)</f>
        <v>a</v>
      </c>
      <c r="R11" s="272" t="str">
        <f>VLOOKUP($F$5,Tabla2[[NÓMINA DE ESTUDIANTES]:[DÍAS TRABAJADOS]],1+AU11,FALSE)</f>
        <v>a</v>
      </c>
      <c r="S11" s="272" t="str">
        <f>VLOOKUP($F$5,Tabla2[[NÓMINA DE ESTUDIANTES]:[DÍAS TRABAJADOS]],1+AV11,FALSE)</f>
        <v>a</v>
      </c>
      <c r="T11" s="272" t="str">
        <f>VLOOKUP($F$5,Tabla2[[NÓMINA DE ESTUDIANTES]:[DÍAS TRABAJADOS]],1+AW11,FALSE)</f>
        <v>a</v>
      </c>
      <c r="U11" s="272" t="str">
        <f>VLOOKUP($F$5,Tabla2[[NÓMINA DE ESTUDIANTES]:[DÍAS TRABAJADOS]],1+AX11,FALSE)</f>
        <v>r</v>
      </c>
      <c r="V11" s="272">
        <f>VLOOKUP($F$5,Tabla2[[NÓMINA DE ESTUDIANTES]:[DÍAS TRABAJADOS]],51+AE11,FALSE)</f>
        <v>18</v>
      </c>
      <c r="W11" s="272">
        <f>VLOOKUP($F$5,Tabla2[[NÓMINA DE ESTUDIANTES]:[DÍAS TRABAJADOS]],51+AF11,FALSE)</f>
        <v>1</v>
      </c>
      <c r="X11" s="272">
        <f>VLOOKUP($F$5,Tabla2[[NÓMINA DE ESTUDIANTES]:[DÍAS TRABAJADOS]],51+AG11,FALSE)</f>
        <v>1</v>
      </c>
      <c r="Y11" s="272" t="str">
        <f>VLOOKUP($F$5,Tabla2[[NÓMINA DE ESTUDIANTES]:[DÍAS TRABAJADOS]],51+AH11,FALSE)</f>
        <v>0</v>
      </c>
      <c r="Z11" s="272">
        <f>VLOOKUP($F$5,Tabla2[[NÓMINA DE ESTUDIANTES]:[DÍAS TRABAJADOS]],51+AI11,FALSE)</f>
        <v>20</v>
      </c>
      <c r="AA11" s="253"/>
      <c r="AB11" s="253"/>
      <c r="AE11" s="303">
        <v>1</v>
      </c>
      <c r="AF11" s="303">
        <f>AE11+1</f>
        <v>2</v>
      </c>
      <c r="AG11" s="303">
        <f t="shared" ref="AG11:BP11" si="0">AF11+1</f>
        <v>3</v>
      </c>
      <c r="AH11" s="303">
        <f t="shared" si="0"/>
        <v>4</v>
      </c>
      <c r="AI11" s="303">
        <f t="shared" si="0"/>
        <v>5</v>
      </c>
      <c r="AJ11" s="303">
        <f t="shared" si="0"/>
        <v>6</v>
      </c>
      <c r="AK11" s="303">
        <f t="shared" si="0"/>
        <v>7</v>
      </c>
      <c r="AL11" s="303">
        <f t="shared" si="0"/>
        <v>8</v>
      </c>
      <c r="AM11" s="303">
        <f t="shared" si="0"/>
        <v>9</v>
      </c>
      <c r="AN11" s="303">
        <f t="shared" si="0"/>
        <v>10</v>
      </c>
      <c r="AO11" s="303">
        <f t="shared" si="0"/>
        <v>11</v>
      </c>
      <c r="AP11" s="303">
        <f t="shared" si="0"/>
        <v>12</v>
      </c>
      <c r="AQ11" s="303">
        <f t="shared" si="0"/>
        <v>13</v>
      </c>
      <c r="AR11" s="303">
        <f t="shared" si="0"/>
        <v>14</v>
      </c>
      <c r="AS11" s="303">
        <f t="shared" si="0"/>
        <v>15</v>
      </c>
      <c r="AT11" s="303">
        <f t="shared" si="0"/>
        <v>16</v>
      </c>
      <c r="AU11" s="303">
        <f t="shared" si="0"/>
        <v>17</v>
      </c>
      <c r="AV11" s="303">
        <f t="shared" si="0"/>
        <v>18</v>
      </c>
      <c r="AW11" s="303">
        <f t="shared" si="0"/>
        <v>19</v>
      </c>
      <c r="AX11" s="303">
        <f t="shared" si="0"/>
        <v>20</v>
      </c>
      <c r="AY11" s="303">
        <f t="shared" si="0"/>
        <v>21</v>
      </c>
      <c r="AZ11" s="303">
        <f t="shared" si="0"/>
        <v>22</v>
      </c>
      <c r="BA11" s="303">
        <f t="shared" si="0"/>
        <v>23</v>
      </c>
      <c r="BB11" s="303">
        <f t="shared" si="0"/>
        <v>24</v>
      </c>
      <c r="BC11" s="303">
        <f t="shared" si="0"/>
        <v>25</v>
      </c>
      <c r="BD11" s="303">
        <f t="shared" si="0"/>
        <v>26</v>
      </c>
      <c r="BE11" s="303">
        <f t="shared" si="0"/>
        <v>27</v>
      </c>
      <c r="BF11" s="303">
        <f t="shared" si="0"/>
        <v>28</v>
      </c>
      <c r="BG11" s="303">
        <f t="shared" si="0"/>
        <v>29</v>
      </c>
      <c r="BH11" s="303">
        <f t="shared" si="0"/>
        <v>30</v>
      </c>
      <c r="BI11" s="303">
        <f t="shared" si="0"/>
        <v>31</v>
      </c>
      <c r="BJ11" s="303">
        <f t="shared" si="0"/>
        <v>32</v>
      </c>
      <c r="BK11" s="303">
        <f t="shared" si="0"/>
        <v>33</v>
      </c>
      <c r="BL11" s="303">
        <f t="shared" si="0"/>
        <v>34</v>
      </c>
      <c r="BM11" s="303">
        <f t="shared" si="0"/>
        <v>35</v>
      </c>
      <c r="BN11" s="303">
        <f t="shared" si="0"/>
        <v>36</v>
      </c>
      <c r="BO11" s="303">
        <f t="shared" si="0"/>
        <v>37</v>
      </c>
      <c r="BP11" s="303">
        <f t="shared" si="0"/>
        <v>38</v>
      </c>
    </row>
    <row r="12" spans="1:68" ht="8.25" customHeigh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row>
    <row r="13" spans="1:68" x14ac:dyDescent="0.3">
      <c r="A13" s="273" t="s">
        <v>240</v>
      </c>
      <c r="B13" s="273"/>
      <c r="C13" s="273"/>
      <c r="D13" s="273"/>
      <c r="E13" s="273"/>
      <c r="F13" s="273"/>
      <c r="G13" s="273"/>
      <c r="H13" s="273"/>
      <c r="I13" s="273"/>
      <c r="J13" s="273"/>
      <c r="K13" s="273"/>
      <c r="L13" s="273"/>
      <c r="M13" s="273"/>
      <c r="N13" s="273"/>
      <c r="O13" s="273"/>
      <c r="P13" s="273"/>
      <c r="Q13" s="273"/>
      <c r="R13" s="273"/>
      <c r="S13" s="273"/>
      <c r="T13" s="273"/>
      <c r="U13" s="273"/>
      <c r="V13" s="273"/>
      <c r="W13" s="273"/>
      <c r="X13" s="273"/>
      <c r="Y13" s="273"/>
      <c r="Z13" s="273"/>
      <c r="AA13" s="273"/>
      <c r="AB13" s="273"/>
    </row>
    <row r="14" spans="1:68" x14ac:dyDescent="0.3">
      <c r="A14" s="273" t="s">
        <v>241</v>
      </c>
      <c r="B14" s="273"/>
      <c r="C14" s="273"/>
      <c r="D14" s="273"/>
      <c r="E14" s="273"/>
      <c r="F14" s="273"/>
      <c r="G14" s="273"/>
      <c r="H14" s="273"/>
      <c r="I14" s="273" t="s">
        <v>242</v>
      </c>
      <c r="J14" s="273"/>
      <c r="K14" s="273" t="s">
        <v>243</v>
      </c>
      <c r="L14" s="273"/>
      <c r="M14" s="273"/>
      <c r="N14" s="273"/>
      <c r="O14" s="273"/>
      <c r="P14" s="273"/>
      <c r="Q14" s="273"/>
      <c r="R14" s="273"/>
      <c r="S14" s="273"/>
      <c r="T14" s="273"/>
      <c r="U14" s="273"/>
      <c r="V14" s="273"/>
      <c r="W14" s="273"/>
      <c r="X14" s="273"/>
      <c r="Y14" s="273"/>
      <c r="Z14" s="273"/>
      <c r="AA14" s="273"/>
      <c r="AB14" s="273"/>
    </row>
    <row r="15" spans="1:68" x14ac:dyDescent="0.3">
      <c r="A15" s="274" t="str">
        <f>'[2]VAL 2 TRIM'!D$8</f>
        <v>24/5/2021(List Estudiante clase)</v>
      </c>
      <c r="B15" s="274"/>
      <c r="C15" s="274"/>
      <c r="D15" s="274"/>
      <c r="E15" s="274"/>
      <c r="F15" s="274"/>
      <c r="G15" s="274"/>
      <c r="H15" s="275"/>
      <c r="I15" s="276" t="e">
        <f>VLOOKUP($F$5,'[2]VAL 2 TRIM'!$B$9:$Z$32,3,FALSE)</f>
        <v>#N/A</v>
      </c>
      <c r="J15" s="276"/>
      <c r="K15" s="300"/>
      <c r="L15" s="302"/>
      <c r="M15" s="302"/>
      <c r="N15" s="302"/>
      <c r="O15" s="302"/>
      <c r="P15" s="302"/>
      <c r="Q15" s="302"/>
      <c r="R15" s="302"/>
      <c r="S15" s="302"/>
      <c r="T15" s="302"/>
      <c r="U15" s="302"/>
      <c r="V15" s="302"/>
      <c r="W15" s="302"/>
      <c r="X15" s="302"/>
      <c r="Y15" s="302"/>
      <c r="Z15" s="302"/>
      <c r="AA15" s="302"/>
      <c r="AB15" s="302"/>
    </row>
    <row r="16" spans="1:68" x14ac:dyDescent="0.3">
      <c r="A16" s="274" t="str">
        <f>'[2]VAL 2 TRIM'!E$8</f>
        <v>28/6/2021(Repaso)</v>
      </c>
      <c r="B16" s="274"/>
      <c r="C16" s="274"/>
      <c r="D16" s="274"/>
      <c r="E16" s="274"/>
      <c r="F16" s="274"/>
      <c r="G16" s="274"/>
      <c r="H16" s="275"/>
      <c r="I16" s="276" t="e">
        <f>VLOOKUP($F$5,'[2]VAL 2 TRIM'!$B$9:$Z$32,4,FALSE)</f>
        <v>#N/A</v>
      </c>
      <c r="J16" s="276"/>
      <c r="K16" s="277"/>
      <c r="L16" s="278"/>
      <c r="M16" s="278"/>
      <c r="N16" s="278"/>
      <c r="O16" s="278"/>
      <c r="P16" s="278"/>
      <c r="Q16" s="278"/>
      <c r="R16" s="278"/>
      <c r="S16" s="278"/>
      <c r="T16" s="278"/>
      <c r="U16" s="278"/>
      <c r="V16" s="278"/>
      <c r="W16" s="278"/>
      <c r="X16" s="278"/>
      <c r="Y16" s="278"/>
      <c r="Z16" s="278"/>
      <c r="AA16" s="278"/>
      <c r="AB16" s="278"/>
    </row>
    <row r="17" spans="1:28" x14ac:dyDescent="0.3">
      <c r="A17" s="274" t="str">
        <f>'[2]VAL 2 TRIM'!F$8</f>
        <v>14/72021 Elementos mayores Arrays</v>
      </c>
      <c r="B17" s="274"/>
      <c r="C17" s="274"/>
      <c r="D17" s="274"/>
      <c r="E17" s="274"/>
      <c r="F17" s="274"/>
      <c r="G17" s="274"/>
      <c r="H17" s="275"/>
      <c r="I17" s="276" t="e">
        <f>VLOOKUP($F$5,'[2]VAL 2 TRIM'!$B$9:$Z$32,5,FALSE)</f>
        <v>#N/A</v>
      </c>
      <c r="J17" s="276"/>
      <c r="K17" s="279"/>
      <c r="L17" s="280"/>
      <c r="M17" s="280"/>
      <c r="N17" s="280"/>
      <c r="O17" s="280"/>
      <c r="P17" s="280"/>
      <c r="Q17" s="280"/>
      <c r="R17" s="280"/>
      <c r="S17" s="280"/>
      <c r="T17" s="280"/>
      <c r="U17" s="280"/>
      <c r="V17" s="280"/>
      <c r="W17" s="280"/>
      <c r="X17" s="280"/>
      <c r="Y17" s="280"/>
      <c r="Z17" s="280"/>
      <c r="AA17" s="280"/>
      <c r="AB17" s="281"/>
    </row>
    <row r="18" spans="1:28" x14ac:dyDescent="0.3">
      <c r="A18" s="282" t="str">
        <f>'[2]VAL 2 TRIM'!G$8</f>
        <v>26/7/2021 Primer parcial 2do trim</v>
      </c>
      <c r="B18" s="274"/>
      <c r="C18" s="274"/>
      <c r="D18" s="274"/>
      <c r="E18" s="274"/>
      <c r="F18" s="274"/>
      <c r="G18" s="274"/>
      <c r="H18" s="275"/>
      <c r="I18" s="276" t="e">
        <f>VLOOKUP($F$5,'[2]VAL 2 TRIM'!$B$9:$Z$32,6,FALSE)</f>
        <v>#N/A</v>
      </c>
      <c r="J18" s="276"/>
      <c r="K18" s="283"/>
      <c r="L18" s="284"/>
      <c r="M18" s="284"/>
      <c r="N18" s="284"/>
      <c r="O18" s="284"/>
      <c r="P18" s="284"/>
      <c r="Q18" s="284"/>
      <c r="R18" s="284"/>
      <c r="S18" s="284"/>
      <c r="T18" s="284"/>
      <c r="U18" s="284"/>
      <c r="V18" s="284"/>
      <c r="W18" s="284"/>
      <c r="X18" s="284"/>
      <c r="Y18" s="284"/>
      <c r="Z18" s="284"/>
      <c r="AA18" s="284"/>
      <c r="AB18" s="285"/>
    </row>
    <row r="19" spans="1:28" x14ac:dyDescent="0.3">
      <c r="A19" s="286" t="s">
        <v>84</v>
      </c>
      <c r="B19" s="287"/>
      <c r="C19" s="287"/>
      <c r="D19" s="287"/>
      <c r="E19" s="287"/>
      <c r="F19" s="287"/>
      <c r="G19" s="287"/>
      <c r="H19" s="287"/>
      <c r="I19" s="288" t="e">
        <f>SUM(I15:J18)/4</f>
        <v>#N/A</v>
      </c>
      <c r="J19" s="288"/>
      <c r="K19" s="276"/>
      <c r="L19" s="276"/>
      <c r="M19" s="276"/>
      <c r="N19" s="276"/>
      <c r="O19" s="276"/>
      <c r="P19" s="276"/>
      <c r="Q19" s="276"/>
      <c r="R19" s="276"/>
      <c r="S19" s="276"/>
      <c r="T19" s="276"/>
      <c r="U19" s="276"/>
      <c r="V19" s="276"/>
      <c r="W19" s="276"/>
      <c r="X19" s="276"/>
      <c r="Y19" s="276"/>
      <c r="Z19" s="276"/>
      <c r="AA19" s="276"/>
      <c r="AB19" s="276"/>
    </row>
    <row r="20" spans="1:28" x14ac:dyDescent="0.3">
      <c r="A20" s="253"/>
      <c r="B20" s="253"/>
      <c r="C20" s="253"/>
      <c r="D20" s="253"/>
      <c r="E20" s="253"/>
      <c r="F20" s="253"/>
      <c r="G20" s="253"/>
      <c r="H20" s="253"/>
      <c r="I20" s="253"/>
      <c r="J20" s="253"/>
      <c r="K20" s="253"/>
      <c r="L20" s="253"/>
      <c r="M20" s="253"/>
      <c r="N20" s="253"/>
      <c r="O20" s="253"/>
      <c r="P20" s="253"/>
      <c r="Q20" s="253"/>
      <c r="R20" s="253"/>
      <c r="S20" s="253"/>
      <c r="T20" s="253"/>
      <c r="U20" s="253"/>
      <c r="V20" s="253"/>
      <c r="W20" s="253"/>
      <c r="X20" s="253"/>
      <c r="Y20" s="253"/>
      <c r="Z20" s="253"/>
      <c r="AA20" s="253"/>
      <c r="AB20" s="253"/>
    </row>
    <row r="21" spans="1:28" x14ac:dyDescent="0.3">
      <c r="A21" s="273" t="s">
        <v>244</v>
      </c>
      <c r="B21" s="273"/>
      <c r="C21" s="273"/>
      <c r="D21" s="273"/>
      <c r="E21" s="273"/>
      <c r="F21" s="273"/>
      <c r="G21" s="273"/>
      <c r="H21" s="273"/>
      <c r="I21" s="273"/>
      <c r="J21" s="273"/>
      <c r="K21" s="273"/>
      <c r="L21" s="273"/>
      <c r="M21" s="273"/>
      <c r="N21" s="273"/>
      <c r="O21" s="273"/>
      <c r="P21" s="273"/>
      <c r="Q21" s="273"/>
      <c r="R21" s="273"/>
      <c r="S21" s="273"/>
      <c r="T21" s="273"/>
      <c r="U21" s="273"/>
      <c r="V21" s="273"/>
      <c r="W21" s="273"/>
      <c r="X21" s="273"/>
      <c r="Y21" s="273"/>
      <c r="Z21" s="273"/>
      <c r="AA21" s="273"/>
      <c r="AB21" s="273"/>
    </row>
    <row r="22" spans="1:28" x14ac:dyDescent="0.3">
      <c r="A22" s="273" t="s">
        <v>241</v>
      </c>
      <c r="B22" s="273"/>
      <c r="C22" s="273"/>
      <c r="D22" s="273"/>
      <c r="E22" s="273"/>
      <c r="F22" s="273"/>
      <c r="G22" s="273"/>
      <c r="H22" s="273"/>
      <c r="I22" s="273" t="s">
        <v>242</v>
      </c>
      <c r="J22" s="273"/>
      <c r="K22" s="273" t="s">
        <v>243</v>
      </c>
      <c r="L22" s="273"/>
      <c r="M22" s="273"/>
      <c r="N22" s="273"/>
      <c r="O22" s="273"/>
      <c r="P22" s="273"/>
      <c r="Q22" s="273"/>
      <c r="R22" s="273"/>
      <c r="S22" s="273"/>
      <c r="T22" s="273"/>
      <c r="U22" s="273"/>
      <c r="V22" s="273"/>
      <c r="W22" s="273"/>
      <c r="X22" s="273"/>
      <c r="Y22" s="273"/>
      <c r="Z22" s="273"/>
      <c r="AA22" s="273"/>
      <c r="AB22" s="273"/>
    </row>
    <row r="23" spans="1:28" x14ac:dyDescent="0.3">
      <c r="A23" s="289" t="str">
        <f>'[2]VAL 2 TRIM'!P$8</f>
        <v>(17/05/2021)Investigar Constr,Destr de Clase</v>
      </c>
      <c r="B23" s="289"/>
      <c r="C23" s="289"/>
      <c r="D23" s="289"/>
      <c r="E23" s="289"/>
      <c r="F23" s="289"/>
      <c r="G23" s="289"/>
      <c r="H23" s="290"/>
      <c r="I23" s="276" t="e">
        <f>VLOOKUP($F$5,'[2]VAL 2 TRIM'!$B$9:$Z$32,15,FALSE)</f>
        <v>#N/A</v>
      </c>
      <c r="J23" s="276"/>
      <c r="K23" s="277"/>
      <c r="L23" s="278"/>
      <c r="M23" s="278"/>
      <c r="N23" s="278"/>
      <c r="O23" s="278"/>
      <c r="P23" s="278"/>
      <c r="Q23" s="278"/>
      <c r="R23" s="278"/>
      <c r="S23" s="278"/>
      <c r="T23" s="278"/>
      <c r="U23" s="278"/>
      <c r="V23" s="278"/>
      <c r="W23" s="278"/>
      <c r="X23" s="278"/>
      <c r="Y23" s="278"/>
      <c r="Z23" s="278"/>
      <c r="AA23" s="278"/>
      <c r="AB23" s="278"/>
    </row>
    <row r="24" spans="1:28" x14ac:dyDescent="0.3">
      <c r="A24" s="289" t="str">
        <f>'[2]VAL 2 TRIM'!Q$8</f>
        <v>26/5/2021(reportes persona)</v>
      </c>
      <c r="B24" s="289"/>
      <c r="C24" s="289"/>
      <c r="D24" s="289"/>
      <c r="E24" s="289"/>
      <c r="F24" s="289"/>
      <c r="G24" s="289"/>
      <c r="H24" s="290"/>
      <c r="I24" s="276" t="e">
        <f>VLOOKUP($F$5,'[2]VAL 2 TRIM'!$B$9:$Z$32,16,FALSE)</f>
        <v>#N/A</v>
      </c>
      <c r="J24" s="276"/>
      <c r="K24" s="291"/>
      <c r="L24" s="262"/>
      <c r="M24" s="262"/>
      <c r="N24" s="262"/>
      <c r="O24" s="262"/>
      <c r="P24" s="262"/>
      <c r="Q24" s="262"/>
      <c r="R24" s="262"/>
      <c r="S24" s="262"/>
      <c r="T24" s="262"/>
      <c r="U24" s="262"/>
      <c r="V24" s="262"/>
      <c r="W24" s="262"/>
      <c r="X24" s="262"/>
      <c r="Y24" s="262"/>
      <c r="Z24" s="262"/>
      <c r="AA24" s="262"/>
      <c r="AB24" s="262"/>
    </row>
    <row r="25" spans="1:28" x14ac:dyDescent="0.3">
      <c r="A25" s="289" t="str">
        <f>'[2]VAL 2 TRIM'!R$8</f>
        <v>5/7/2021 (Array Modificacion de codigo)</v>
      </c>
      <c r="B25" s="289"/>
      <c r="C25" s="289"/>
      <c r="D25" s="289"/>
      <c r="E25" s="289"/>
      <c r="F25" s="289"/>
      <c r="G25" s="289"/>
      <c r="H25" s="290"/>
      <c r="I25" s="276" t="e">
        <f>VLOOKUP($F$5,'[2]VAL 2 TRIM'!$B$9:$Z$32,17,FALSE)</f>
        <v>#N/A</v>
      </c>
      <c r="J25" s="276"/>
      <c r="K25" s="277"/>
      <c r="L25" s="278"/>
      <c r="M25" s="278"/>
      <c r="N25" s="278"/>
      <c r="O25" s="278"/>
      <c r="P25" s="278"/>
      <c r="Q25" s="278"/>
      <c r="R25" s="278"/>
      <c r="S25" s="278"/>
      <c r="T25" s="278"/>
      <c r="U25" s="278"/>
      <c r="V25" s="278"/>
      <c r="W25" s="278"/>
      <c r="X25" s="278"/>
      <c r="Y25" s="278"/>
      <c r="Z25" s="278"/>
      <c r="AA25" s="278"/>
      <c r="AB25" s="278"/>
    </row>
    <row r="26" spans="1:28" x14ac:dyDescent="0.3">
      <c r="A26" s="292" t="str">
        <f>'[2]VAL 2 TRIM'!S$8</f>
        <v>12/7/2021(Ejercicio vectores)</v>
      </c>
      <c r="B26" s="289"/>
      <c r="C26" s="289"/>
      <c r="D26" s="289"/>
      <c r="E26" s="289"/>
      <c r="F26" s="289"/>
      <c r="G26" s="289"/>
      <c r="H26" s="290"/>
      <c r="I26" s="276" t="e">
        <f>VLOOKUP($F$5,'[2]VAL 2 TRIM'!$B$9:$Z$32,18,FALSE)</f>
        <v>#N/A</v>
      </c>
      <c r="J26" s="276"/>
      <c r="K26" s="293"/>
      <c r="L26" s="294"/>
      <c r="M26" s="294"/>
      <c r="N26" s="294"/>
      <c r="O26" s="294"/>
      <c r="P26" s="294"/>
      <c r="Q26" s="294"/>
      <c r="R26" s="294"/>
      <c r="S26" s="294"/>
      <c r="T26" s="294"/>
      <c r="U26" s="294"/>
      <c r="V26" s="294"/>
      <c r="W26" s="294"/>
      <c r="X26" s="294"/>
      <c r="Y26" s="294"/>
      <c r="Z26" s="294"/>
      <c r="AA26" s="294"/>
      <c r="AB26" s="295"/>
    </row>
    <row r="27" spans="1:28" x14ac:dyDescent="0.3">
      <c r="A27" s="289" t="str">
        <f>'[2]VAL 2 TRIM'!T$8</f>
        <v>14/7/2021 (Ejercicio Matrices)</v>
      </c>
      <c r="B27" s="289"/>
      <c r="C27" s="289"/>
      <c r="D27" s="289"/>
      <c r="E27" s="289"/>
      <c r="F27" s="289"/>
      <c r="G27" s="289"/>
      <c r="H27" s="290"/>
      <c r="I27" s="276" t="e">
        <f>VLOOKUP($F$5,'[2]VAL 2 TRIM'!$B$9:$Z$32,19,FALSE)</f>
        <v>#N/A</v>
      </c>
      <c r="J27" s="276"/>
      <c r="K27" s="279"/>
      <c r="L27" s="280"/>
      <c r="M27" s="280"/>
      <c r="N27" s="280"/>
      <c r="O27" s="280"/>
      <c r="P27" s="280"/>
      <c r="Q27" s="280"/>
      <c r="R27" s="280"/>
      <c r="S27" s="280"/>
      <c r="T27" s="280"/>
      <c r="U27" s="280"/>
      <c r="V27" s="280"/>
      <c r="W27" s="280"/>
      <c r="X27" s="280"/>
      <c r="Y27" s="280"/>
      <c r="Z27" s="280"/>
      <c r="AA27" s="280"/>
      <c r="AB27" s="281"/>
    </row>
    <row r="28" spans="1:28" x14ac:dyDescent="0.3">
      <c r="A28" s="289" t="str">
        <f>'[2]VAL 2 TRIM'!U$8</f>
        <v>21/7/2021 Ejercicios resueltos</v>
      </c>
      <c r="B28" s="289"/>
      <c r="C28" s="289"/>
      <c r="D28" s="289"/>
      <c r="E28" s="289"/>
      <c r="F28" s="289"/>
      <c r="G28" s="289"/>
      <c r="H28" s="290"/>
      <c r="I28" s="276" t="e">
        <f>VLOOKUP($F$5,'[2]VAL 2 TRIM'!$B$9:$Z$32,20,FALSE)</f>
        <v>#N/A</v>
      </c>
      <c r="J28" s="276"/>
      <c r="K28" s="293"/>
      <c r="L28" s="294"/>
      <c r="M28" s="294"/>
      <c r="N28" s="294"/>
      <c r="O28" s="294"/>
      <c r="P28" s="294"/>
      <c r="Q28" s="294"/>
      <c r="R28" s="294"/>
      <c r="S28" s="294"/>
      <c r="T28" s="294"/>
      <c r="U28" s="294"/>
      <c r="V28" s="294"/>
      <c r="W28" s="294"/>
      <c r="X28" s="294"/>
      <c r="Y28" s="294"/>
      <c r="Z28" s="294"/>
      <c r="AA28" s="294"/>
      <c r="AB28" s="295"/>
    </row>
    <row r="29" spans="1:28" x14ac:dyDescent="0.3">
      <c r="A29" s="286" t="s">
        <v>84</v>
      </c>
      <c r="B29" s="287"/>
      <c r="C29" s="287"/>
      <c r="D29" s="287"/>
      <c r="E29" s="287"/>
      <c r="F29" s="287"/>
      <c r="G29" s="287"/>
      <c r="H29" s="287"/>
      <c r="I29" s="296" t="e">
        <f>SUM(I23:J28)/6</f>
        <v>#N/A</v>
      </c>
      <c r="J29" s="296"/>
      <c r="K29" s="297"/>
      <c r="L29" s="297"/>
      <c r="M29" s="297"/>
      <c r="N29" s="297"/>
      <c r="O29" s="297"/>
      <c r="P29" s="297"/>
      <c r="Q29" s="297"/>
      <c r="R29" s="297"/>
      <c r="S29" s="297"/>
      <c r="T29" s="297"/>
      <c r="U29" s="297"/>
      <c r="V29" s="297"/>
      <c r="W29" s="297"/>
      <c r="X29" s="297"/>
      <c r="Y29" s="297"/>
      <c r="Z29" s="297"/>
      <c r="AA29" s="297"/>
      <c r="AB29" s="297"/>
    </row>
    <row r="30" spans="1:28" x14ac:dyDescent="0.3">
      <c r="A30" s="298"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 Ninguna</v>
      </c>
      <c r="B30" s="298"/>
      <c r="C30" s="298"/>
      <c r="D30" s="298"/>
      <c r="E30" s="298"/>
      <c r="F30" s="298"/>
      <c r="G30" s="298"/>
      <c r="H30" s="298"/>
      <c r="I30" s="298"/>
      <c r="J30" s="298"/>
      <c r="K30" s="298"/>
      <c r="L30" s="298"/>
      <c r="M30" s="298"/>
      <c r="N30" s="298"/>
      <c r="O30" s="298"/>
      <c r="P30" s="298"/>
      <c r="Q30" s="298"/>
      <c r="R30" s="298"/>
      <c r="S30" s="298"/>
      <c r="T30" s="298"/>
      <c r="U30" s="298"/>
      <c r="V30" s="298"/>
      <c r="W30" s="298"/>
      <c r="X30" s="298"/>
      <c r="Y30" s="298"/>
      <c r="Z30" s="298"/>
      <c r="AA30" s="298"/>
      <c r="AB30" s="298"/>
    </row>
    <row r="31" spans="1:28" x14ac:dyDescent="0.3">
      <c r="A31" s="299"/>
      <c r="B31" s="299"/>
      <c r="C31" s="299"/>
      <c r="D31" s="299"/>
      <c r="E31" s="299"/>
      <c r="F31" s="299"/>
      <c r="G31" s="299"/>
      <c r="H31" s="299"/>
      <c r="I31" s="299"/>
      <c r="J31" s="299"/>
      <c r="K31" s="299"/>
      <c r="L31" s="299"/>
      <c r="M31" s="299"/>
      <c r="N31" s="299"/>
      <c r="O31" s="299"/>
      <c r="P31" s="299"/>
      <c r="Q31" s="299"/>
      <c r="R31" s="299"/>
      <c r="S31" s="299"/>
      <c r="T31" s="299"/>
      <c r="U31" s="299"/>
      <c r="V31" s="299"/>
      <c r="W31" s="299"/>
      <c r="X31" s="299"/>
      <c r="Y31" s="299"/>
      <c r="Z31" s="299"/>
      <c r="AA31" s="299"/>
      <c r="AB31" s="299"/>
    </row>
    <row r="32" spans="1:28" x14ac:dyDescent="0.3">
      <c r="A32" s="253"/>
      <c r="B32" s="253"/>
      <c r="C32" s="253"/>
      <c r="D32" s="253"/>
      <c r="E32" s="253"/>
      <c r="F32" s="253"/>
      <c r="G32" s="253"/>
      <c r="H32" s="253"/>
      <c r="I32" s="253"/>
      <c r="J32" s="253"/>
      <c r="K32" s="253"/>
      <c r="L32" s="253"/>
      <c r="M32" s="253"/>
      <c r="N32" s="253"/>
      <c r="O32" s="253"/>
      <c r="P32" s="253"/>
      <c r="Q32" s="253"/>
      <c r="R32" s="253"/>
      <c r="S32" s="253"/>
      <c r="T32" s="253"/>
      <c r="U32" s="253"/>
      <c r="V32" s="253"/>
      <c r="W32" s="253"/>
      <c r="X32" s="253"/>
      <c r="Y32" s="253"/>
      <c r="Z32" s="253"/>
      <c r="AA32" s="253"/>
      <c r="AB32" s="253"/>
    </row>
    <row r="33" spans="1:28" x14ac:dyDescent="0.3">
      <c r="A33" s="253"/>
      <c r="B33" s="253"/>
      <c r="C33" s="253"/>
      <c r="D33" s="253"/>
      <c r="E33" s="253"/>
      <c r="F33" s="253"/>
      <c r="G33" s="253"/>
      <c r="H33" s="253"/>
      <c r="I33" s="253"/>
      <c r="J33" s="253"/>
      <c r="K33" s="253"/>
      <c r="L33" s="253"/>
      <c r="M33" s="253"/>
      <c r="N33" s="253"/>
      <c r="O33" s="253"/>
      <c r="P33" s="253"/>
      <c r="Q33" s="253"/>
      <c r="R33" s="253"/>
      <c r="S33" s="253"/>
      <c r="T33" s="253"/>
      <c r="U33" s="253"/>
      <c r="V33" s="253"/>
      <c r="W33" s="253"/>
      <c r="X33" s="253"/>
      <c r="Y33" s="253"/>
      <c r="Z33" s="253"/>
      <c r="AA33" s="253"/>
      <c r="AB33" s="253"/>
    </row>
    <row r="34" spans="1:28" x14ac:dyDescent="0.3">
      <c r="A34" s="253"/>
      <c r="B34" s="253"/>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row>
    <row r="35" spans="1:28" x14ac:dyDescent="0.3">
      <c r="A35" s="253"/>
      <c r="B35" s="253"/>
      <c r="C35" s="253"/>
      <c r="D35" s="253"/>
      <c r="E35" s="253"/>
      <c r="F35" s="253"/>
      <c r="G35" s="253"/>
      <c r="H35" s="253"/>
      <c r="I35" s="253"/>
      <c r="J35" s="253"/>
      <c r="K35" s="253"/>
      <c r="L35" s="253"/>
      <c r="M35" s="253"/>
      <c r="N35" s="253"/>
      <c r="O35" s="253"/>
      <c r="P35" s="253"/>
      <c r="Q35" s="253"/>
      <c r="R35" s="253"/>
      <c r="S35" s="253"/>
      <c r="T35" s="253"/>
      <c r="U35" s="253"/>
      <c r="V35" s="253"/>
      <c r="W35" s="253"/>
      <c r="X35" s="253"/>
      <c r="Y35" s="253"/>
      <c r="Z35" s="253"/>
      <c r="AA35" s="253"/>
      <c r="AB35" s="253"/>
    </row>
  </sheetData>
  <mergeCells count="57">
    <mergeCell ref="A29:H29"/>
    <mergeCell ref="I29:J29"/>
    <mergeCell ref="K29:AB29"/>
    <mergeCell ref="A30:AB31"/>
    <mergeCell ref="A27:H27"/>
    <mergeCell ref="I27:J27"/>
    <mergeCell ref="K27:AB27"/>
    <mergeCell ref="A28:H28"/>
    <mergeCell ref="I28:J28"/>
    <mergeCell ref="K28:AB28"/>
    <mergeCell ref="A25:H25"/>
    <mergeCell ref="I25:J25"/>
    <mergeCell ref="K25:AB25"/>
    <mergeCell ref="A26:H26"/>
    <mergeCell ref="I26:J26"/>
    <mergeCell ref="K26:AB26"/>
    <mergeCell ref="A23:H23"/>
    <mergeCell ref="I23:J23"/>
    <mergeCell ref="K23:AB23"/>
    <mergeCell ref="A24:H24"/>
    <mergeCell ref="I24:J24"/>
    <mergeCell ref="K24:AB24"/>
    <mergeCell ref="A19:H19"/>
    <mergeCell ref="I19:J19"/>
    <mergeCell ref="K19:AB19"/>
    <mergeCell ref="A21:AB21"/>
    <mergeCell ref="A22:H22"/>
    <mergeCell ref="I22:J22"/>
    <mergeCell ref="K22:AB22"/>
    <mergeCell ref="A17:H17"/>
    <mergeCell ref="I17:J17"/>
    <mergeCell ref="K17:AB17"/>
    <mergeCell ref="A18:H18"/>
    <mergeCell ref="I18:J18"/>
    <mergeCell ref="K18:AB18"/>
    <mergeCell ref="A15:H15"/>
    <mergeCell ref="I15:J15"/>
    <mergeCell ref="K15:AB15"/>
    <mergeCell ref="A16:H16"/>
    <mergeCell ref="I16:J16"/>
    <mergeCell ref="K16:AB16"/>
    <mergeCell ref="A6:E6"/>
    <mergeCell ref="F6:Z6"/>
    <mergeCell ref="A8:AB8"/>
    <mergeCell ref="A13:AB13"/>
    <mergeCell ref="A14:H14"/>
    <mergeCell ref="I14:J14"/>
    <mergeCell ref="K14:AB14"/>
    <mergeCell ref="A2:AB2"/>
    <mergeCell ref="A4:E4"/>
    <mergeCell ref="F4:N4"/>
    <mergeCell ref="O4:Q4"/>
    <mergeCell ref="R4:Z4"/>
    <mergeCell ref="AA4:AA5"/>
    <mergeCell ref="AB4:AB5"/>
    <mergeCell ref="A5:E5"/>
    <mergeCell ref="F5:Z5"/>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78" t="s">
        <v>74</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9">
        <f>CARÁTULA!$H$24</f>
        <v>44440</v>
      </c>
      <c r="AU3" s="174"/>
      <c r="AV3" s="174"/>
      <c r="AW3" s="174"/>
      <c r="AX3" s="174"/>
      <c r="AY3" s="174"/>
      <c r="AZ3" s="174"/>
      <c r="BA3" s="193"/>
      <c r="BB3" s="174"/>
      <c r="BC3" s="174"/>
      <c r="BD3" s="174"/>
      <c r="BE3" s="17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9">
        <f>CARÁTULA!$J$24</f>
        <v>44531</v>
      </c>
      <c r="AU4" s="174"/>
      <c r="AV4" s="174"/>
      <c r="AW4" s="174"/>
      <c r="AX4" s="174"/>
      <c r="AY4" s="174"/>
      <c r="AZ4" s="174"/>
      <c r="BA4" s="194">
        <f ca="1">AT4-AT5</f>
        <v>110</v>
      </c>
      <c r="BB4" s="184"/>
      <c r="BC4" s="184"/>
      <c r="BD4" s="184"/>
      <c r="BE4" s="185"/>
    </row>
    <row r="5" spans="1:61" ht="12.75" customHeight="1" x14ac:dyDescent="0.3">
      <c r="B5" s="38" t="s">
        <v>23</v>
      </c>
      <c r="C5" s="39" t="str">
        <f>CARÁTULA!$C$23</f>
        <v>6to de Secundaria</v>
      </c>
      <c r="D5" s="40"/>
      <c r="E5" s="40"/>
      <c r="F5" s="40"/>
      <c r="G5" s="40"/>
      <c r="H5" s="40"/>
      <c r="I5" s="40"/>
      <c r="J5" s="40"/>
      <c r="K5" s="40"/>
      <c r="L5" s="40"/>
      <c r="M5" s="40"/>
      <c r="N5" s="40"/>
      <c r="O5" s="38"/>
      <c r="P5" s="38"/>
      <c r="Q5" s="38"/>
      <c r="R5" s="38"/>
      <c r="S5" s="43" t="s">
        <v>24</v>
      </c>
      <c r="T5" s="44"/>
      <c r="U5" s="44"/>
      <c r="V5" s="44"/>
      <c r="W5" s="44"/>
      <c r="X5" s="192">
        <f ca="1">TODAY()</f>
        <v>44421</v>
      </c>
      <c r="Y5" s="174"/>
      <c r="Z5" s="174"/>
      <c r="AA5" s="174"/>
      <c r="AB5" s="174"/>
      <c r="AC5" s="174"/>
      <c r="AD5" s="40"/>
      <c r="AE5" s="40"/>
      <c r="AF5" s="40"/>
      <c r="AG5" s="40"/>
      <c r="AH5" s="40"/>
      <c r="AI5" s="40"/>
      <c r="AJ5" s="40"/>
      <c r="AK5" s="45" t="s">
        <v>55</v>
      </c>
      <c r="AL5" s="46"/>
      <c r="AM5" s="46"/>
      <c r="AN5" s="46"/>
      <c r="AO5" s="46"/>
      <c r="AP5" s="46"/>
      <c r="AQ5" s="46"/>
      <c r="AR5" s="40"/>
      <c r="AS5" s="40"/>
      <c r="AT5" s="190">
        <f ca="1">TODAY()</f>
        <v>44421</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56</v>
      </c>
      <c r="B7" s="49" t="s">
        <v>57</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75</v>
      </c>
      <c r="BB7" s="57" t="s">
        <v>76</v>
      </c>
      <c r="BC7" s="57" t="s">
        <v>77</v>
      </c>
      <c r="BD7" s="57" t="s">
        <v>78</v>
      </c>
      <c r="BE7" s="58" t="s">
        <v>62</v>
      </c>
    </row>
    <row r="8" spans="1:61" ht="12" customHeight="1" x14ac:dyDescent="0.3">
      <c r="A8" s="59">
        <v>1</v>
      </c>
      <c r="B8" s="60" t="str">
        <f>'C. FILIACION'!B8</f>
        <v>ALTAMIRANO RAMOS ESTEFANI MILENKA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
      <c r="A9" s="59">
        <v>2</v>
      </c>
      <c r="B9" s="60" t="str">
        <f>'C. FILIACION'!B9</f>
        <v>APAZA LINO TATIANA JAZMIN</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
      <c r="A10" s="59">
        <v>3</v>
      </c>
      <c r="B10" s="60" t="str">
        <f>'C. FILIACION'!B10</f>
        <v>BOLAÑOS OVANDO MIJHAIL ALEXANDER</v>
      </c>
      <c r="C10" s="48"/>
      <c r="D10" s="48" t="s">
        <v>71</v>
      </c>
      <c r="E10" s="48" t="s">
        <v>71</v>
      </c>
      <c r="F10" s="48" t="s">
        <v>71</v>
      </c>
      <c r="G10" s="48" t="s">
        <v>71</v>
      </c>
      <c r="H10" s="48" t="s">
        <v>71</v>
      </c>
      <c r="I10" s="48" t="s">
        <v>71</v>
      </c>
      <c r="J10" s="48" t="s">
        <v>71</v>
      </c>
      <c r="K10" s="48" t="s">
        <v>71</v>
      </c>
      <c r="L10" s="48" t="s">
        <v>71</v>
      </c>
      <c r="M10" s="48" t="s">
        <v>71</v>
      </c>
      <c r="N10" s="48" t="s">
        <v>71</v>
      </c>
      <c r="O10" s="48" t="s">
        <v>64</v>
      </c>
      <c r="P10" s="48" t="s">
        <v>64</v>
      </c>
      <c r="Q10" s="48" t="s">
        <v>64</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00" t="s">
        <v>79</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8" t="s">
        <v>51</v>
      </c>
      <c r="AD3" s="196"/>
      <c r="AE3" s="196"/>
      <c r="AF3" s="196"/>
      <c r="AG3" s="196"/>
      <c r="AH3" s="197"/>
      <c r="AI3" s="192">
        <f>CARÁTULA!$H$14</f>
        <v>44228</v>
      </c>
      <c r="AJ3" s="174"/>
      <c r="AK3" s="174"/>
      <c r="AL3" s="174"/>
      <c r="AM3" s="174"/>
      <c r="AN3" s="201" t="s">
        <v>52</v>
      </c>
      <c r="AO3" s="165"/>
      <c r="AP3" s="165"/>
      <c r="AQ3" s="165"/>
      <c r="AR3" s="16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8" t="s">
        <v>54</v>
      </c>
      <c r="AD4" s="196"/>
      <c r="AE4" s="196"/>
      <c r="AF4" s="196"/>
      <c r="AG4" s="196"/>
      <c r="AH4" s="197"/>
      <c r="AI4" s="192">
        <f>CARÁTULA!$J$14</f>
        <v>44323</v>
      </c>
      <c r="AJ4" s="174"/>
      <c r="AK4" s="174"/>
      <c r="AL4" s="174"/>
      <c r="AM4" s="174"/>
      <c r="AN4" s="194">
        <f ca="1">AI4-AI5</f>
        <v>-98</v>
      </c>
      <c r="AO4" s="184"/>
      <c r="AP4" s="184"/>
      <c r="AQ4" s="184"/>
      <c r="AR4" s="185"/>
    </row>
    <row r="5" spans="1:48" ht="12.75" customHeight="1" x14ac:dyDescent="0.35">
      <c r="A5" s="71"/>
      <c r="B5" s="74" t="s">
        <v>23</v>
      </c>
      <c r="C5" s="75" t="str">
        <f>CARÁTULA!$C$23</f>
        <v>6to de Secundaria</v>
      </c>
      <c r="D5" s="76"/>
      <c r="E5" s="76"/>
      <c r="F5" s="76"/>
      <c r="G5" s="74"/>
      <c r="H5" s="74"/>
      <c r="I5" s="74"/>
      <c r="J5" s="74"/>
      <c r="K5" s="74"/>
      <c r="L5" s="74"/>
      <c r="M5" s="74"/>
      <c r="N5" s="74"/>
      <c r="O5" s="77" t="s">
        <v>24</v>
      </c>
      <c r="P5" s="79"/>
      <c r="Q5" s="79"/>
      <c r="R5" s="79"/>
      <c r="S5" s="206">
        <f ca="1">TODAY()</f>
        <v>44421</v>
      </c>
      <c r="T5" s="165"/>
      <c r="U5" s="165"/>
      <c r="V5" s="165"/>
      <c r="W5" s="165"/>
      <c r="X5" s="165"/>
      <c r="Y5" s="165"/>
      <c r="Z5" s="165"/>
      <c r="AA5" s="166"/>
      <c r="AB5" s="76"/>
      <c r="AC5" s="199" t="s">
        <v>55</v>
      </c>
      <c r="AD5" s="196"/>
      <c r="AE5" s="196"/>
      <c r="AF5" s="196"/>
      <c r="AG5" s="196"/>
      <c r="AH5" s="197"/>
      <c r="AI5" s="202">
        <f ca="1">TODAY()</f>
        <v>44421</v>
      </c>
      <c r="AJ5" s="174"/>
      <c r="AK5" s="174"/>
      <c r="AL5" s="174"/>
      <c r="AM5" s="174"/>
      <c r="AN5" s="186"/>
      <c r="AO5" s="187"/>
      <c r="AP5" s="187"/>
      <c r="AQ5" s="187"/>
      <c r="AR5" s="188"/>
    </row>
    <row r="6" spans="1:48" ht="12.75" customHeight="1" x14ac:dyDescent="0.35">
      <c r="A6" s="71"/>
      <c r="B6" s="74"/>
      <c r="C6" s="180" t="s">
        <v>80</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81</v>
      </c>
      <c r="AC6" s="196"/>
      <c r="AD6" s="196"/>
      <c r="AE6" s="197"/>
      <c r="AF6" s="80"/>
      <c r="AG6" s="81"/>
      <c r="AH6" s="81"/>
      <c r="AI6" s="82"/>
      <c r="AJ6" s="83"/>
      <c r="AK6" s="83"/>
      <c r="AL6" s="83"/>
      <c r="AM6" s="83"/>
      <c r="AN6" s="84"/>
      <c r="AO6" s="84"/>
      <c r="AP6" s="84"/>
      <c r="AQ6" s="84"/>
      <c r="AR6" s="84"/>
    </row>
    <row r="7" spans="1:48" ht="12" customHeight="1" x14ac:dyDescent="0.35">
      <c r="A7" s="71"/>
      <c r="B7" s="85"/>
      <c r="C7" s="208" t="s">
        <v>82</v>
      </c>
      <c r="D7" s="209" t="s">
        <v>83</v>
      </c>
      <c r="E7" s="196"/>
      <c r="F7" s="196"/>
      <c r="G7" s="196"/>
      <c r="H7" s="196"/>
      <c r="I7" s="196"/>
      <c r="J7" s="196"/>
      <c r="K7" s="196"/>
      <c r="L7" s="196"/>
      <c r="M7" s="196"/>
      <c r="N7" s="196"/>
      <c r="O7" s="205" t="s">
        <v>84</v>
      </c>
      <c r="P7" s="209" t="s">
        <v>85</v>
      </c>
      <c r="Q7" s="196"/>
      <c r="R7" s="196"/>
      <c r="S7" s="196"/>
      <c r="T7" s="196"/>
      <c r="U7" s="196"/>
      <c r="V7" s="196"/>
      <c r="W7" s="196"/>
      <c r="X7" s="196"/>
      <c r="Y7" s="196"/>
      <c r="Z7" s="196"/>
      <c r="AA7" s="203" t="s">
        <v>86</v>
      </c>
      <c r="AB7" s="205" t="s">
        <v>84</v>
      </c>
      <c r="AC7" s="203" t="s">
        <v>87</v>
      </c>
      <c r="AD7" s="203" t="s">
        <v>88</v>
      </c>
      <c r="AE7" s="205" t="s">
        <v>84</v>
      </c>
      <c r="AF7" s="210" t="s">
        <v>89</v>
      </c>
      <c r="AG7" s="211" t="s">
        <v>90</v>
      </c>
      <c r="AH7" s="212" t="s">
        <v>91</v>
      </c>
      <c r="AI7" s="181"/>
      <c r="AJ7" s="181"/>
      <c r="AK7" s="181"/>
      <c r="AL7" s="181"/>
      <c r="AM7" s="182"/>
      <c r="AN7" s="86"/>
      <c r="AO7" s="76"/>
      <c r="AP7" s="76"/>
      <c r="AQ7" s="76"/>
      <c r="AR7" s="71"/>
    </row>
    <row r="8" spans="1:48" ht="159" x14ac:dyDescent="0.3">
      <c r="A8" s="48" t="s">
        <v>56</v>
      </c>
      <c r="B8" s="49" t="s">
        <v>57</v>
      </c>
      <c r="C8" s="204"/>
      <c r="D8" s="87" t="s">
        <v>92</v>
      </c>
      <c r="E8" s="87" t="s">
        <v>93</v>
      </c>
      <c r="F8" s="87" t="s">
        <v>94</v>
      </c>
      <c r="G8" s="87" t="s">
        <v>95</v>
      </c>
      <c r="H8" s="87" t="s">
        <v>96</v>
      </c>
      <c r="I8" s="53"/>
      <c r="J8" s="53"/>
      <c r="K8" s="54"/>
      <c r="L8" s="54"/>
      <c r="M8" s="54"/>
      <c r="N8" s="55"/>
      <c r="O8" s="204"/>
      <c r="P8" s="87" t="s">
        <v>97</v>
      </c>
      <c r="Q8" s="87" t="s">
        <v>98</v>
      </c>
      <c r="R8" s="87" t="s">
        <v>99</v>
      </c>
      <c r="S8" s="87" t="s">
        <v>100</v>
      </c>
      <c r="T8" s="87" t="s">
        <v>101</v>
      </c>
      <c r="U8" s="87"/>
      <c r="V8" s="54"/>
      <c r="W8" s="54"/>
      <c r="X8" s="54"/>
      <c r="Y8" s="54"/>
      <c r="Z8" s="54"/>
      <c r="AA8" s="204"/>
      <c r="AB8" s="204"/>
      <c r="AC8" s="204"/>
      <c r="AD8" s="204"/>
      <c r="AE8" s="204"/>
      <c r="AF8" s="204"/>
      <c r="AG8" s="204"/>
      <c r="AH8" s="213"/>
      <c r="AI8" s="214"/>
      <c r="AJ8" s="214"/>
      <c r="AK8" s="214"/>
      <c r="AL8" s="214"/>
      <c r="AM8" s="215"/>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195" t="str">
        <f t="shared" ref="AH9:AH44" si="5">IF(AG9="","",(IF(AND(AG9&gt;=1,AG9&lt;=50.499),"REPROBADO",IF(AND(AG9&gt;=50.5,AG9&lt;=100),"APROBADO"))))</f>
        <v>APROBADO</v>
      </c>
      <c r="AI9" s="196"/>
      <c r="AJ9" s="196"/>
      <c r="AK9" s="196"/>
      <c r="AL9" s="196"/>
      <c r="AM9" s="197"/>
      <c r="AN9" s="94" t="s">
        <v>102</v>
      </c>
      <c r="AO9" s="216">
        <f>COUNTIF(AF9:AF44,"ED")</f>
        <v>1</v>
      </c>
      <c r="AP9" s="197"/>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195" t="str">
        <f t="shared" si="5"/>
        <v>APROBADO</v>
      </c>
      <c r="AI10" s="196"/>
      <c r="AJ10" s="196"/>
      <c r="AK10" s="196"/>
      <c r="AL10" s="196"/>
      <c r="AM10" s="197"/>
      <c r="AN10" s="48" t="s">
        <v>103</v>
      </c>
      <c r="AO10" s="216">
        <f>COUNTIF(AF9:AF44,"DA")</f>
        <v>0</v>
      </c>
      <c r="AP10" s="197"/>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195" t="str">
        <f t="shared" si="5"/>
        <v>APROBADO</v>
      </c>
      <c r="AI11" s="196"/>
      <c r="AJ11" s="196"/>
      <c r="AK11" s="196"/>
      <c r="AL11" s="196"/>
      <c r="AM11" s="197"/>
      <c r="AN11" s="48" t="s">
        <v>104</v>
      </c>
      <c r="AO11" s="216">
        <f>COUNTIF(AF9:AF44,"DO")</f>
        <v>0</v>
      </c>
      <c r="AP11" s="197"/>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195" t="str">
        <f t="shared" si="5"/>
        <v>REPROBADO</v>
      </c>
      <c r="AI12" s="196"/>
      <c r="AJ12" s="196"/>
      <c r="AK12" s="196"/>
      <c r="AL12" s="196"/>
      <c r="AM12" s="197"/>
      <c r="AN12" s="48" t="s">
        <v>105</v>
      </c>
      <c r="AO12" s="216">
        <f>COUNTIF(AF9:AF44,"DP")</f>
        <v>35</v>
      </c>
      <c r="AP12" s="197"/>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195" t="str">
        <f t="shared" si="5"/>
        <v>APROBADO</v>
      </c>
      <c r="AI13" s="196"/>
      <c r="AJ13" s="196"/>
      <c r="AK13" s="196"/>
      <c r="AL13" s="196"/>
      <c r="AM13" s="197"/>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195" t="str">
        <f t="shared" si="5"/>
        <v>APROBADO</v>
      </c>
      <c r="AI14" s="196"/>
      <c r="AJ14" s="196"/>
      <c r="AK14" s="196"/>
      <c r="AL14" s="196"/>
      <c r="AM14" s="197"/>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195" t="str">
        <f t="shared" si="5"/>
        <v>APROBADO</v>
      </c>
      <c r="AI15" s="196"/>
      <c r="AJ15" s="196"/>
      <c r="AK15" s="196"/>
      <c r="AL15" s="196"/>
      <c r="AM15" s="197"/>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195" t="str">
        <f t="shared" si="5"/>
        <v>APROBADO</v>
      </c>
      <c r="AI16" s="196"/>
      <c r="AJ16" s="196"/>
      <c r="AK16" s="196"/>
      <c r="AL16" s="196"/>
      <c r="AM16" s="197"/>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195" t="str">
        <f t="shared" si="5"/>
        <v>APROBADO</v>
      </c>
      <c r="AI17" s="196"/>
      <c r="AJ17" s="196"/>
      <c r="AK17" s="196"/>
      <c r="AL17" s="196"/>
      <c r="AM17" s="197"/>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195" t="str">
        <f t="shared" si="5"/>
        <v>APROBADO</v>
      </c>
      <c r="AI18" s="196"/>
      <c r="AJ18" s="196"/>
      <c r="AK18" s="196"/>
      <c r="AL18" s="196"/>
      <c r="AM18" s="197"/>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195" t="str">
        <f t="shared" si="5"/>
        <v>APROBADO</v>
      </c>
      <c r="AI19" s="196"/>
      <c r="AJ19" s="196"/>
      <c r="AK19" s="196"/>
      <c r="AL19" s="196"/>
      <c r="AM19" s="197"/>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195" t="str">
        <f t="shared" si="5"/>
        <v>APROBADO</v>
      </c>
      <c r="AI20" s="196"/>
      <c r="AJ20" s="196"/>
      <c r="AK20" s="196"/>
      <c r="AL20" s="196"/>
      <c r="AM20" s="197"/>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195" t="str">
        <f t="shared" si="5"/>
        <v>APROBADO</v>
      </c>
      <c r="AI21" s="196"/>
      <c r="AJ21" s="196"/>
      <c r="AK21" s="196"/>
      <c r="AL21" s="196"/>
      <c r="AM21" s="197"/>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195" t="str">
        <f t="shared" si="5"/>
        <v>APROBADO</v>
      </c>
      <c r="AI22" s="196"/>
      <c r="AJ22" s="196"/>
      <c r="AK22" s="196"/>
      <c r="AL22" s="196"/>
      <c r="AM22" s="197"/>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195" t="str">
        <f t="shared" si="5"/>
        <v>APROBADO</v>
      </c>
      <c r="AI23" s="196"/>
      <c r="AJ23" s="196"/>
      <c r="AK23" s="196"/>
      <c r="AL23" s="196"/>
      <c r="AM23" s="197"/>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195" t="str">
        <f t="shared" si="5"/>
        <v>APROBADO</v>
      </c>
      <c r="AI24" s="196"/>
      <c r="AJ24" s="196"/>
      <c r="AK24" s="196"/>
      <c r="AL24" s="196"/>
      <c r="AM24" s="197"/>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195" t="str">
        <f t="shared" si="5"/>
        <v>APROBADO</v>
      </c>
      <c r="AI25" s="196"/>
      <c r="AJ25" s="196"/>
      <c r="AK25" s="196"/>
      <c r="AL25" s="196"/>
      <c r="AM25" s="197"/>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B1" workbookViewId="0">
      <selection activeCell="W11" sqref="W11"/>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00" t="s">
        <v>106</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8" t="s">
        <v>51</v>
      </c>
      <c r="AD3" s="196"/>
      <c r="AE3" s="196"/>
      <c r="AF3" s="196"/>
      <c r="AG3" s="196"/>
      <c r="AH3" s="197"/>
      <c r="AI3" s="192">
        <f>CARÁTULA!$H$19</f>
        <v>44326</v>
      </c>
      <c r="AJ3" s="174"/>
      <c r="AK3" s="174"/>
      <c r="AL3" s="174"/>
      <c r="AM3" s="174"/>
      <c r="AN3" s="201" t="s">
        <v>52</v>
      </c>
      <c r="AO3" s="165"/>
      <c r="AP3" s="165"/>
      <c r="AQ3" s="165"/>
      <c r="AR3" s="16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8" t="s">
        <v>54</v>
      </c>
      <c r="AD4" s="196"/>
      <c r="AE4" s="196"/>
      <c r="AF4" s="196"/>
      <c r="AG4" s="196"/>
      <c r="AH4" s="197"/>
      <c r="AI4" s="192">
        <f>CARÁTULA!$J$19</f>
        <v>44439</v>
      </c>
      <c r="AJ4" s="174"/>
      <c r="AK4" s="174"/>
      <c r="AL4" s="174"/>
      <c r="AM4" s="174"/>
      <c r="AN4" s="194">
        <f ca="1">AI4-AI5</f>
        <v>18</v>
      </c>
      <c r="AO4" s="184"/>
      <c r="AP4" s="184"/>
      <c r="AQ4" s="184"/>
      <c r="AR4" s="185"/>
    </row>
    <row r="5" spans="1:48" ht="12.75" customHeight="1" x14ac:dyDescent="0.35">
      <c r="A5" s="71"/>
      <c r="B5" s="74" t="s">
        <v>23</v>
      </c>
      <c r="C5" s="75" t="str">
        <f>CARÁTULA!$C$23</f>
        <v>6to de Secundaria</v>
      </c>
      <c r="D5" s="76"/>
      <c r="E5" s="76"/>
      <c r="F5" s="76"/>
      <c r="G5" s="74"/>
      <c r="H5" s="74"/>
      <c r="I5" s="74"/>
      <c r="J5" s="74"/>
      <c r="K5" s="74"/>
      <c r="L5" s="74"/>
      <c r="M5" s="74"/>
      <c r="N5" s="74"/>
      <c r="O5" s="74" t="s">
        <v>24</v>
      </c>
      <c r="P5" s="79"/>
      <c r="Q5" s="79"/>
      <c r="R5" s="79"/>
      <c r="S5" s="206">
        <f ca="1">TODAY()</f>
        <v>44421</v>
      </c>
      <c r="T5" s="165"/>
      <c r="U5" s="165"/>
      <c r="V5" s="165"/>
      <c r="W5" s="165"/>
      <c r="X5" s="165"/>
      <c r="Y5" s="165"/>
      <c r="Z5" s="165"/>
      <c r="AA5" s="166"/>
      <c r="AB5" s="76"/>
      <c r="AC5" s="199" t="s">
        <v>55</v>
      </c>
      <c r="AD5" s="196"/>
      <c r="AE5" s="196"/>
      <c r="AF5" s="196"/>
      <c r="AG5" s="196"/>
      <c r="AH5" s="197"/>
      <c r="AI5" s="202">
        <f ca="1">TODAY()</f>
        <v>44421</v>
      </c>
      <c r="AJ5" s="174"/>
      <c r="AK5" s="174"/>
      <c r="AL5" s="174"/>
      <c r="AM5" s="174"/>
      <c r="AN5" s="186"/>
      <c r="AO5" s="187"/>
      <c r="AP5" s="187"/>
      <c r="AQ5" s="187"/>
      <c r="AR5" s="188"/>
    </row>
    <row r="6" spans="1:48" ht="12.75" customHeight="1" x14ac:dyDescent="0.35">
      <c r="A6" s="71"/>
      <c r="B6" s="74"/>
      <c r="C6" s="180" t="s">
        <v>80</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81</v>
      </c>
      <c r="AC6" s="196"/>
      <c r="AD6" s="196"/>
      <c r="AE6" s="197"/>
      <c r="AF6" s="80"/>
      <c r="AG6" s="81"/>
      <c r="AH6" s="81"/>
      <c r="AI6" s="82"/>
      <c r="AJ6" s="83"/>
      <c r="AK6" s="83"/>
      <c r="AL6" s="83"/>
      <c r="AM6" s="83"/>
      <c r="AN6" s="84"/>
      <c r="AO6" s="84"/>
      <c r="AP6" s="84"/>
      <c r="AQ6" s="84"/>
      <c r="AR6" s="84"/>
    </row>
    <row r="7" spans="1:48" ht="12" customHeight="1" x14ac:dyDescent="0.35">
      <c r="A7" s="71"/>
      <c r="B7" s="85"/>
      <c r="C7" s="208" t="s">
        <v>82</v>
      </c>
      <c r="D7" s="209" t="s">
        <v>83</v>
      </c>
      <c r="E7" s="196"/>
      <c r="F7" s="196"/>
      <c r="G7" s="196"/>
      <c r="H7" s="196"/>
      <c r="I7" s="196"/>
      <c r="J7" s="196"/>
      <c r="K7" s="196"/>
      <c r="L7" s="196"/>
      <c r="M7" s="196"/>
      <c r="N7" s="196"/>
      <c r="O7" s="205" t="s">
        <v>84</v>
      </c>
      <c r="P7" s="209" t="s">
        <v>85</v>
      </c>
      <c r="Q7" s="196"/>
      <c r="R7" s="196"/>
      <c r="S7" s="196"/>
      <c r="T7" s="196"/>
      <c r="U7" s="196"/>
      <c r="V7" s="196"/>
      <c r="W7" s="196"/>
      <c r="X7" s="196"/>
      <c r="Y7" s="196"/>
      <c r="Z7" s="196"/>
      <c r="AA7" s="203" t="s">
        <v>86</v>
      </c>
      <c r="AB7" s="205" t="s">
        <v>84</v>
      </c>
      <c r="AC7" s="203" t="s">
        <v>87</v>
      </c>
      <c r="AD7" s="203" t="s">
        <v>88</v>
      </c>
      <c r="AE7" s="205" t="s">
        <v>84</v>
      </c>
      <c r="AF7" s="210" t="s">
        <v>89</v>
      </c>
      <c r="AG7" s="211" t="s">
        <v>90</v>
      </c>
      <c r="AH7" s="212" t="s">
        <v>91</v>
      </c>
      <c r="AI7" s="181"/>
      <c r="AJ7" s="181"/>
      <c r="AK7" s="181"/>
      <c r="AL7" s="181"/>
      <c r="AM7" s="182"/>
      <c r="AN7" s="86"/>
      <c r="AO7" s="76"/>
      <c r="AP7" s="76"/>
      <c r="AQ7" s="76"/>
      <c r="AR7" s="71"/>
    </row>
    <row r="8" spans="1:48" ht="67.5" customHeight="1" x14ac:dyDescent="0.3">
      <c r="A8" s="48" t="s">
        <v>56</v>
      </c>
      <c r="B8" s="49" t="s">
        <v>57</v>
      </c>
      <c r="C8" s="204"/>
      <c r="D8" s="54" t="s">
        <v>253</v>
      </c>
      <c r="E8" s="54" t="s">
        <v>254</v>
      </c>
      <c r="F8" s="54"/>
      <c r="G8" s="54" t="s">
        <v>255</v>
      </c>
      <c r="H8" s="50" t="s">
        <v>246</v>
      </c>
      <c r="I8" s="54" t="s">
        <v>256</v>
      </c>
      <c r="J8" s="54"/>
      <c r="K8" s="54"/>
      <c r="L8" s="54"/>
      <c r="M8" s="54"/>
      <c r="N8" s="55"/>
      <c r="O8" s="204"/>
      <c r="P8" s="96" t="s">
        <v>245</v>
      </c>
      <c r="Q8" s="54" t="s">
        <v>247</v>
      </c>
      <c r="R8" s="54" t="s">
        <v>248</v>
      </c>
      <c r="S8" s="54" t="s">
        <v>249</v>
      </c>
      <c r="T8" s="54" t="s">
        <v>250</v>
      </c>
      <c r="U8" s="54" t="s">
        <v>251</v>
      </c>
      <c r="V8" s="54" t="s">
        <v>252</v>
      </c>
      <c r="W8" s="54" t="s">
        <v>257</v>
      </c>
      <c r="X8" s="54"/>
      <c r="Y8" s="54"/>
      <c r="Z8" s="54"/>
      <c r="AA8" s="204"/>
      <c r="AB8" s="204"/>
      <c r="AC8" s="204"/>
      <c r="AD8" s="204"/>
      <c r="AE8" s="204"/>
      <c r="AF8" s="204"/>
      <c r="AG8" s="204"/>
      <c r="AH8" s="213"/>
      <c r="AI8" s="214"/>
      <c r="AJ8" s="214"/>
      <c r="AK8" s="214"/>
      <c r="AL8" s="214"/>
      <c r="AM8" s="215"/>
      <c r="AN8" s="88"/>
      <c r="AO8" s="88"/>
      <c r="AP8" s="88"/>
      <c r="AQ8" s="88"/>
      <c r="AR8" s="89"/>
    </row>
    <row r="9" spans="1:48" ht="12" customHeight="1" x14ac:dyDescent="0.3">
      <c r="A9" s="59">
        <v>1</v>
      </c>
      <c r="B9" s="90" t="str">
        <f>'C. FILIACION'!B8</f>
        <v>ALTAMIRANO RAMOS ESTEFANI MILENKA</v>
      </c>
      <c r="C9" s="31">
        <v>10</v>
      </c>
      <c r="D9" s="31">
        <v>30</v>
      </c>
      <c r="E9" s="31">
        <v>35</v>
      </c>
      <c r="F9" s="31"/>
      <c r="G9" s="31">
        <v>30</v>
      </c>
      <c r="H9" s="31">
        <v>25</v>
      </c>
      <c r="I9" s="31">
        <v>21</v>
      </c>
      <c r="J9" s="31"/>
      <c r="K9" s="31"/>
      <c r="L9" s="31"/>
      <c r="M9" s="31"/>
      <c r="N9" s="31"/>
      <c r="O9" s="92">
        <f t="shared" ref="O9:O44" si="0">IFERROR(ROUND(AVERAGE(D9:N9),0),"")</f>
        <v>28</v>
      </c>
      <c r="P9" s="31">
        <v>35</v>
      </c>
      <c r="Q9" s="31">
        <v>32</v>
      </c>
      <c r="R9" s="31">
        <v>35</v>
      </c>
      <c r="S9" s="31">
        <v>27</v>
      </c>
      <c r="T9" s="31">
        <v>28</v>
      </c>
      <c r="U9" s="31">
        <v>35</v>
      </c>
      <c r="V9" s="31">
        <v>35</v>
      </c>
      <c r="W9" s="31">
        <v>35</v>
      </c>
      <c r="X9" s="31"/>
      <c r="Y9" s="31"/>
      <c r="Z9" s="31"/>
      <c r="AA9" s="31">
        <v>10</v>
      </c>
      <c r="AB9" s="92">
        <f t="shared" ref="AB9:AB44" si="1">IFERROR(ROUND(AVERAGE(P9:Z9),0),"")</f>
        <v>33</v>
      </c>
      <c r="AC9" s="31">
        <v>5</v>
      </c>
      <c r="AD9" s="31">
        <v>5</v>
      </c>
      <c r="AE9" s="92">
        <f t="shared" ref="AE9:AE44" si="2">IFERROR((SUM(AC9,AD9)),"")</f>
        <v>10</v>
      </c>
      <c r="AF9" s="93" t="str">
        <f t="shared" ref="AF9:AF44" si="3">IF(AG9&lt;51,"ED",IF(AG9&lt;67,"DA",IF(AG9&lt;85,"DO","DP")))</f>
        <v>DP</v>
      </c>
      <c r="AG9" s="92">
        <f t="shared" ref="AG9:AG44" si="4">IFERROR((SUM(C9,O9,AA9,AB9,AE9)),"")</f>
        <v>91</v>
      </c>
      <c r="AH9" s="195" t="str">
        <f t="shared" ref="AH9:AH44" si="5">IF(AG9="","",(IF(AND(AG9&gt;=1,AG9&lt;=50.499),"REPROBADO",IF(AND(AG9&gt;=50.5,AG9&lt;=100),"APROBADO"))))</f>
        <v>APROBADO</v>
      </c>
      <c r="AI9" s="196"/>
      <c r="AJ9" s="196"/>
      <c r="AK9" s="196"/>
      <c r="AL9" s="196"/>
      <c r="AM9" s="197"/>
      <c r="AN9" s="94" t="s">
        <v>102</v>
      </c>
      <c r="AO9" s="216">
        <f>COUNTIF(AF9:AF44,"ED")</f>
        <v>3</v>
      </c>
      <c r="AP9" s="197"/>
      <c r="AQ9" s="95"/>
      <c r="AR9" s="95"/>
    </row>
    <row r="10" spans="1:48" ht="12" customHeight="1" x14ac:dyDescent="0.3">
      <c r="A10" s="59">
        <v>2</v>
      </c>
      <c r="B10" s="90" t="str">
        <f>'C. FILIACION'!B9</f>
        <v>APAZA LINO TATIANA JAZMIN</v>
      </c>
      <c r="C10" s="31">
        <v>10</v>
      </c>
      <c r="D10" s="31">
        <v>30</v>
      </c>
      <c r="E10" s="31">
        <v>35</v>
      </c>
      <c r="F10" s="31"/>
      <c r="G10" s="31">
        <v>32</v>
      </c>
      <c r="H10" s="31">
        <v>30</v>
      </c>
      <c r="I10" s="31">
        <v>27</v>
      </c>
      <c r="J10" s="31"/>
      <c r="K10" s="31"/>
      <c r="L10" s="31"/>
      <c r="M10" s="31"/>
      <c r="N10" s="31"/>
      <c r="O10" s="92">
        <f t="shared" si="0"/>
        <v>31</v>
      </c>
      <c r="P10" s="31">
        <v>35</v>
      </c>
      <c r="Q10" s="31">
        <v>32</v>
      </c>
      <c r="R10" s="31">
        <v>35</v>
      </c>
      <c r="S10" s="31">
        <v>25</v>
      </c>
      <c r="T10" s="31">
        <v>32</v>
      </c>
      <c r="U10" s="31">
        <v>35</v>
      </c>
      <c r="V10" s="31">
        <v>32</v>
      </c>
      <c r="W10" s="31">
        <v>34</v>
      </c>
      <c r="X10" s="31"/>
      <c r="Y10" s="31"/>
      <c r="Z10" s="31"/>
      <c r="AA10" s="31">
        <v>10</v>
      </c>
      <c r="AB10" s="92">
        <f t="shared" si="1"/>
        <v>33</v>
      </c>
      <c r="AC10" s="31">
        <v>5</v>
      </c>
      <c r="AD10" s="31">
        <v>5</v>
      </c>
      <c r="AE10" s="92">
        <f t="shared" si="2"/>
        <v>10</v>
      </c>
      <c r="AF10" s="93" t="str">
        <f t="shared" si="3"/>
        <v>DP</v>
      </c>
      <c r="AG10" s="92">
        <f t="shared" si="4"/>
        <v>94</v>
      </c>
      <c r="AH10" s="195" t="str">
        <f t="shared" si="5"/>
        <v>APROBADO</v>
      </c>
      <c r="AI10" s="196"/>
      <c r="AJ10" s="196"/>
      <c r="AK10" s="196"/>
      <c r="AL10" s="196"/>
      <c r="AM10" s="197"/>
      <c r="AN10" s="48" t="s">
        <v>103</v>
      </c>
      <c r="AO10" s="216">
        <f>COUNTIF(AF9:AF44,"DA")</f>
        <v>1</v>
      </c>
      <c r="AP10" s="197"/>
      <c r="AQ10" s="95"/>
      <c r="AR10" s="95"/>
    </row>
    <row r="11" spans="1:48" ht="12" customHeight="1" x14ac:dyDescent="0.3">
      <c r="A11" s="59">
        <v>3</v>
      </c>
      <c r="B11" s="90" t="str">
        <f>'C. FILIACION'!B10</f>
        <v>BOLAÑOS OVANDO MIJHAIL ALEXANDER</v>
      </c>
      <c r="C11" s="31">
        <v>10</v>
      </c>
      <c r="D11" s="31">
        <v>20</v>
      </c>
      <c r="E11" s="31"/>
      <c r="F11" s="31"/>
      <c r="G11" s="31"/>
      <c r="H11" s="31">
        <v>15</v>
      </c>
      <c r="I11" s="31"/>
      <c r="J11" s="31"/>
      <c r="K11" s="31"/>
      <c r="L11" s="31"/>
      <c r="M11" s="31"/>
      <c r="N11" s="31"/>
      <c r="O11" s="92">
        <f t="shared" si="0"/>
        <v>18</v>
      </c>
      <c r="P11" s="31">
        <v>35</v>
      </c>
      <c r="Q11" s="31"/>
      <c r="R11" s="31"/>
      <c r="S11" s="31"/>
      <c r="T11" s="31"/>
      <c r="U11" s="31"/>
      <c r="V11" s="31"/>
      <c r="W11" s="31"/>
      <c r="X11" s="31"/>
      <c r="Y11" s="31"/>
      <c r="Z11" s="31"/>
      <c r="AA11" s="31">
        <v>10</v>
      </c>
      <c r="AB11" s="92">
        <f t="shared" si="1"/>
        <v>35</v>
      </c>
      <c r="AC11" s="31">
        <v>5</v>
      </c>
      <c r="AD11" s="31">
        <v>5</v>
      </c>
      <c r="AE11" s="92">
        <f t="shared" si="2"/>
        <v>10</v>
      </c>
      <c r="AF11" s="93" t="str">
        <f t="shared" si="3"/>
        <v>DO</v>
      </c>
      <c r="AG11" s="92">
        <f t="shared" si="4"/>
        <v>83</v>
      </c>
      <c r="AH11" s="195" t="str">
        <f t="shared" si="5"/>
        <v>APROBADO</v>
      </c>
      <c r="AI11" s="196"/>
      <c r="AJ11" s="196"/>
      <c r="AK11" s="196"/>
      <c r="AL11" s="196"/>
      <c r="AM11" s="197"/>
      <c r="AN11" s="48" t="s">
        <v>104</v>
      </c>
      <c r="AO11" s="216">
        <f>COUNTIF(AF9:AF44,"DO")</f>
        <v>8</v>
      </c>
      <c r="AP11" s="197"/>
      <c r="AQ11" s="95"/>
      <c r="AR11" s="95"/>
    </row>
    <row r="12" spans="1:48" ht="12" customHeight="1" x14ac:dyDescent="0.3">
      <c r="A12" s="59">
        <v>4</v>
      </c>
      <c r="B12" s="90" t="str">
        <f>'C. FILIACION'!B11</f>
        <v>BRICHER ETHELBERT ISMAEL</v>
      </c>
      <c r="C12" s="31">
        <v>10</v>
      </c>
      <c r="D12" s="31"/>
      <c r="E12" s="31"/>
      <c r="F12" s="31"/>
      <c r="G12" s="31"/>
      <c r="H12" s="31"/>
      <c r="I12" s="31"/>
      <c r="J12" s="31"/>
      <c r="K12" s="31"/>
      <c r="L12" s="31"/>
      <c r="M12" s="31"/>
      <c r="N12" s="31"/>
      <c r="O12" s="92" t="str">
        <f t="shared" si="0"/>
        <v/>
      </c>
      <c r="P12" s="31"/>
      <c r="Q12" s="31">
        <v>32</v>
      </c>
      <c r="R12" s="31"/>
      <c r="S12" s="31"/>
      <c r="T12" s="31"/>
      <c r="U12" s="31"/>
      <c r="V12" s="31"/>
      <c r="W12" s="31"/>
      <c r="X12" s="31"/>
      <c r="Y12" s="31"/>
      <c r="Z12" s="31"/>
      <c r="AA12" s="31">
        <v>10</v>
      </c>
      <c r="AB12" s="92">
        <f t="shared" si="1"/>
        <v>32</v>
      </c>
      <c r="AC12" s="31">
        <v>5</v>
      </c>
      <c r="AD12" s="31">
        <v>5</v>
      </c>
      <c r="AE12" s="92">
        <f t="shared" si="2"/>
        <v>10</v>
      </c>
      <c r="AF12" s="93" t="str">
        <f t="shared" si="3"/>
        <v>DA</v>
      </c>
      <c r="AG12" s="92">
        <f t="shared" si="4"/>
        <v>62</v>
      </c>
      <c r="AH12" s="195" t="str">
        <f t="shared" si="5"/>
        <v>APROBADO</v>
      </c>
      <c r="AI12" s="196"/>
      <c r="AJ12" s="196"/>
      <c r="AK12" s="196"/>
      <c r="AL12" s="196"/>
      <c r="AM12" s="197"/>
      <c r="AN12" s="48" t="s">
        <v>105</v>
      </c>
      <c r="AO12" s="216">
        <f>COUNTIF(AF9:AF44,"DP")</f>
        <v>24</v>
      </c>
      <c r="AP12" s="197"/>
      <c r="AQ12" s="95"/>
      <c r="AR12" s="95"/>
    </row>
    <row r="13" spans="1:48" ht="12" customHeight="1" x14ac:dyDescent="0.3">
      <c r="A13" s="59">
        <v>5</v>
      </c>
      <c r="B13" s="90" t="str">
        <f>'C. FILIACION'!B12</f>
        <v>CANAVIRI QUISBERT ALEJANDRA ELENA</v>
      </c>
      <c r="C13" s="31">
        <v>10</v>
      </c>
      <c r="D13" s="31">
        <v>20</v>
      </c>
      <c r="E13" s="31">
        <v>35</v>
      </c>
      <c r="F13" s="31"/>
      <c r="G13" s="31"/>
      <c r="H13" s="31">
        <v>15</v>
      </c>
      <c r="I13" s="31">
        <v>17</v>
      </c>
      <c r="J13" s="31"/>
      <c r="K13" s="31"/>
      <c r="L13" s="31"/>
      <c r="M13" s="31"/>
      <c r="N13" s="31"/>
      <c r="O13" s="92">
        <f t="shared" si="0"/>
        <v>22</v>
      </c>
      <c r="P13" s="31">
        <v>35</v>
      </c>
      <c r="Q13" s="31">
        <v>30</v>
      </c>
      <c r="R13" s="31">
        <v>35</v>
      </c>
      <c r="S13" s="31">
        <v>35</v>
      </c>
      <c r="T13" s="31"/>
      <c r="U13" s="31"/>
      <c r="V13" s="31"/>
      <c r="W13" s="31">
        <v>27</v>
      </c>
      <c r="X13" s="31"/>
      <c r="Y13" s="31"/>
      <c r="Z13" s="31"/>
      <c r="AA13" s="31">
        <v>10</v>
      </c>
      <c r="AB13" s="92">
        <f t="shared" si="1"/>
        <v>32</v>
      </c>
      <c r="AC13" s="31">
        <v>5</v>
      </c>
      <c r="AD13" s="31">
        <v>5</v>
      </c>
      <c r="AE13" s="92">
        <f t="shared" si="2"/>
        <v>10</v>
      </c>
      <c r="AF13" s="93" t="str">
        <f t="shared" si="3"/>
        <v>DO</v>
      </c>
      <c r="AG13" s="92">
        <f t="shared" si="4"/>
        <v>84</v>
      </c>
      <c r="AH13" s="195" t="str">
        <f t="shared" si="5"/>
        <v>APROBADO</v>
      </c>
      <c r="AI13" s="196"/>
      <c r="AJ13" s="196"/>
      <c r="AK13" s="196"/>
      <c r="AL13" s="196"/>
      <c r="AM13" s="197"/>
      <c r="AN13" s="95"/>
      <c r="AO13" s="95"/>
      <c r="AP13" s="95"/>
      <c r="AQ13" s="95"/>
      <c r="AR13" s="95"/>
    </row>
    <row r="14" spans="1:48" ht="12" customHeight="1" x14ac:dyDescent="0.3">
      <c r="A14" s="59">
        <v>6</v>
      </c>
      <c r="B14" s="90" t="str">
        <f>'C. FILIACION'!B13</f>
        <v>GOMEZ BELTRAN ALBERT NORMAN</v>
      </c>
      <c r="C14" s="31">
        <v>10</v>
      </c>
      <c r="D14" s="31">
        <v>18</v>
      </c>
      <c r="E14" s="31">
        <v>35</v>
      </c>
      <c r="F14" s="31"/>
      <c r="G14" s="31"/>
      <c r="H14" s="31">
        <v>20</v>
      </c>
      <c r="I14" s="31">
        <v>27</v>
      </c>
      <c r="J14" s="31"/>
      <c r="K14" s="31"/>
      <c r="L14" s="31"/>
      <c r="M14" s="31"/>
      <c r="N14" s="31"/>
      <c r="O14" s="92">
        <f t="shared" si="0"/>
        <v>25</v>
      </c>
      <c r="P14" s="31">
        <v>35</v>
      </c>
      <c r="Q14" s="31">
        <v>30</v>
      </c>
      <c r="R14" s="31">
        <v>35</v>
      </c>
      <c r="S14" s="31">
        <v>26</v>
      </c>
      <c r="T14" s="31"/>
      <c r="U14" s="31"/>
      <c r="V14" s="31">
        <v>35</v>
      </c>
      <c r="W14" s="31">
        <v>35</v>
      </c>
      <c r="X14" s="31"/>
      <c r="Y14" s="31"/>
      <c r="Z14" s="31"/>
      <c r="AA14" s="31">
        <v>10</v>
      </c>
      <c r="AB14" s="92">
        <f t="shared" si="1"/>
        <v>33</v>
      </c>
      <c r="AC14" s="31">
        <v>5</v>
      </c>
      <c r="AD14" s="31">
        <v>5</v>
      </c>
      <c r="AE14" s="92">
        <f t="shared" si="2"/>
        <v>10</v>
      </c>
      <c r="AF14" s="93" t="str">
        <f t="shared" si="3"/>
        <v>DP</v>
      </c>
      <c r="AG14" s="92">
        <f t="shared" si="4"/>
        <v>88</v>
      </c>
      <c r="AH14" s="195" t="str">
        <f t="shared" si="5"/>
        <v>APROBADO</v>
      </c>
      <c r="AI14" s="196"/>
      <c r="AJ14" s="196"/>
      <c r="AK14" s="196"/>
      <c r="AL14" s="196"/>
      <c r="AM14" s="197"/>
      <c r="AN14" s="95"/>
      <c r="AO14" s="95"/>
      <c r="AP14" s="95"/>
      <c r="AQ14" s="95"/>
      <c r="AR14" s="95"/>
    </row>
    <row r="15" spans="1:48" ht="12" customHeight="1" x14ac:dyDescent="0.3">
      <c r="A15" s="59">
        <v>7</v>
      </c>
      <c r="B15" s="90" t="str">
        <f>'C. FILIACION'!B14</f>
        <v>GOMEZ COSME MELANY KARINA</v>
      </c>
      <c r="C15" s="31">
        <v>10</v>
      </c>
      <c r="D15" s="31"/>
      <c r="E15" s="31"/>
      <c r="F15" s="31"/>
      <c r="G15" s="31"/>
      <c r="H15" s="31"/>
      <c r="I15" s="31"/>
      <c r="J15" s="31"/>
      <c r="K15" s="31"/>
      <c r="L15" s="31"/>
      <c r="M15" s="31"/>
      <c r="N15" s="31"/>
      <c r="O15" s="92" t="str">
        <f t="shared" si="0"/>
        <v/>
      </c>
      <c r="P15" s="31"/>
      <c r="Q15" s="31"/>
      <c r="R15" s="31"/>
      <c r="S15" s="31"/>
      <c r="T15" s="31"/>
      <c r="U15" s="31"/>
      <c r="V15" s="31"/>
      <c r="W15" s="31"/>
      <c r="X15" s="31"/>
      <c r="Y15" s="31"/>
      <c r="Z15" s="31"/>
      <c r="AA15" s="31">
        <v>10</v>
      </c>
      <c r="AB15" s="92" t="str">
        <f t="shared" si="1"/>
        <v/>
      </c>
      <c r="AC15" s="31">
        <v>5</v>
      </c>
      <c r="AD15" s="31">
        <v>5</v>
      </c>
      <c r="AE15" s="92">
        <f t="shared" si="2"/>
        <v>10</v>
      </c>
      <c r="AF15" s="93" t="str">
        <f t="shared" si="3"/>
        <v>ED</v>
      </c>
      <c r="AG15" s="92">
        <f t="shared" si="4"/>
        <v>30</v>
      </c>
      <c r="AH15" s="195" t="str">
        <f t="shared" si="5"/>
        <v>REPROBADO</v>
      </c>
      <c r="AI15" s="196"/>
      <c r="AJ15" s="196"/>
      <c r="AK15" s="196"/>
      <c r="AL15" s="196"/>
      <c r="AM15" s="197"/>
      <c r="AN15" s="95"/>
      <c r="AO15" s="95"/>
      <c r="AP15" s="95"/>
      <c r="AQ15" s="95"/>
      <c r="AR15" s="95"/>
    </row>
    <row r="16" spans="1:48" ht="12" customHeight="1" x14ac:dyDescent="0.3">
      <c r="A16" s="59">
        <v>8</v>
      </c>
      <c r="B16" s="90" t="str">
        <f>'C. FILIACION'!B15</f>
        <v>GONZALES ZUAZO KALEB RAMSES</v>
      </c>
      <c r="C16" s="31">
        <v>10</v>
      </c>
      <c r="D16" s="31">
        <v>18</v>
      </c>
      <c r="E16" s="31"/>
      <c r="F16" s="31"/>
      <c r="G16" s="31">
        <v>30</v>
      </c>
      <c r="H16" s="31">
        <v>20</v>
      </c>
      <c r="I16" s="31">
        <v>26</v>
      </c>
      <c r="J16" s="31"/>
      <c r="K16" s="31"/>
      <c r="L16" s="31"/>
      <c r="M16" s="31"/>
      <c r="N16" s="31"/>
      <c r="O16" s="92">
        <f t="shared" si="0"/>
        <v>24</v>
      </c>
      <c r="P16" s="31">
        <v>35</v>
      </c>
      <c r="Q16" s="31">
        <v>30</v>
      </c>
      <c r="R16" s="31">
        <v>30</v>
      </c>
      <c r="S16" s="31">
        <v>26</v>
      </c>
      <c r="T16" s="31"/>
      <c r="U16" s="31"/>
      <c r="V16" s="31"/>
      <c r="W16" s="31">
        <v>35</v>
      </c>
      <c r="X16" s="31"/>
      <c r="Y16" s="31"/>
      <c r="Z16" s="31"/>
      <c r="AA16" s="31">
        <v>10</v>
      </c>
      <c r="AB16" s="92">
        <f t="shared" si="1"/>
        <v>31</v>
      </c>
      <c r="AC16" s="31">
        <v>5</v>
      </c>
      <c r="AD16" s="31">
        <v>5</v>
      </c>
      <c r="AE16" s="92">
        <f t="shared" si="2"/>
        <v>10</v>
      </c>
      <c r="AF16" s="93" t="str">
        <f t="shared" si="3"/>
        <v>DP</v>
      </c>
      <c r="AG16" s="92">
        <f t="shared" si="4"/>
        <v>85</v>
      </c>
      <c r="AH16" s="195" t="str">
        <f t="shared" si="5"/>
        <v>APROBADO</v>
      </c>
      <c r="AI16" s="196"/>
      <c r="AJ16" s="196"/>
      <c r="AK16" s="196"/>
      <c r="AL16" s="196"/>
      <c r="AM16" s="197"/>
      <c r="AN16" s="95"/>
      <c r="AO16" s="95"/>
      <c r="AP16" s="95"/>
      <c r="AQ16" s="95"/>
      <c r="AR16" s="95"/>
    </row>
    <row r="17" spans="1:44" ht="12" customHeight="1" x14ac:dyDescent="0.3">
      <c r="A17" s="59">
        <v>9</v>
      </c>
      <c r="B17" s="90" t="str">
        <f>'C. FILIACION'!B16</f>
        <v>LEDEZMA AGUILAR ELVIS JHEFERSON</v>
      </c>
      <c r="C17" s="31">
        <v>10</v>
      </c>
      <c r="D17" s="31">
        <v>20</v>
      </c>
      <c r="E17" s="31">
        <v>35</v>
      </c>
      <c r="F17" s="31"/>
      <c r="G17" s="31"/>
      <c r="H17" s="31">
        <v>20</v>
      </c>
      <c r="I17" s="31">
        <v>30</v>
      </c>
      <c r="J17" s="31"/>
      <c r="K17" s="31"/>
      <c r="L17" s="31"/>
      <c r="M17" s="31"/>
      <c r="N17" s="31"/>
      <c r="O17" s="92">
        <f t="shared" si="0"/>
        <v>26</v>
      </c>
      <c r="P17" s="31">
        <v>35</v>
      </c>
      <c r="Q17" s="31">
        <v>32</v>
      </c>
      <c r="R17" s="31">
        <v>35</v>
      </c>
      <c r="S17" s="31">
        <v>35</v>
      </c>
      <c r="T17" s="31">
        <v>26</v>
      </c>
      <c r="U17" s="31"/>
      <c r="V17" s="31"/>
      <c r="W17" s="31">
        <v>35</v>
      </c>
      <c r="X17" s="31"/>
      <c r="Y17" s="31"/>
      <c r="Z17" s="31"/>
      <c r="AA17" s="31">
        <v>10</v>
      </c>
      <c r="AB17" s="92">
        <f t="shared" si="1"/>
        <v>33</v>
      </c>
      <c r="AC17" s="31">
        <v>5</v>
      </c>
      <c r="AD17" s="31">
        <v>5</v>
      </c>
      <c r="AE17" s="92">
        <f t="shared" si="2"/>
        <v>10</v>
      </c>
      <c r="AF17" s="93" t="str">
        <f t="shared" si="3"/>
        <v>DP</v>
      </c>
      <c r="AG17" s="92">
        <f t="shared" si="4"/>
        <v>89</v>
      </c>
      <c r="AH17" s="195" t="str">
        <f t="shared" si="5"/>
        <v>APROBADO</v>
      </c>
      <c r="AI17" s="196"/>
      <c r="AJ17" s="196"/>
      <c r="AK17" s="196"/>
      <c r="AL17" s="196"/>
      <c r="AM17" s="197"/>
      <c r="AN17" s="95"/>
      <c r="AO17" s="95"/>
      <c r="AP17" s="95"/>
      <c r="AQ17" s="95"/>
      <c r="AR17" s="95"/>
    </row>
    <row r="18" spans="1:44" ht="12" customHeight="1" x14ac:dyDescent="0.3">
      <c r="A18" s="59">
        <v>10</v>
      </c>
      <c r="B18" s="90" t="str">
        <f>'C. FILIACION'!B17</f>
        <v>LOBATON RODRIGUEZ JHONATAN A.</v>
      </c>
      <c r="C18" s="31">
        <v>10</v>
      </c>
      <c r="D18" s="31">
        <v>10</v>
      </c>
      <c r="E18" s="31">
        <v>35</v>
      </c>
      <c r="F18" s="31"/>
      <c r="G18" s="31">
        <v>30</v>
      </c>
      <c r="H18" s="31">
        <v>20</v>
      </c>
      <c r="I18" s="31">
        <v>16</v>
      </c>
      <c r="J18" s="31"/>
      <c r="K18" s="31"/>
      <c r="L18" s="31"/>
      <c r="M18" s="31"/>
      <c r="N18" s="31"/>
      <c r="O18" s="92">
        <f t="shared" si="0"/>
        <v>22</v>
      </c>
      <c r="P18" s="31">
        <v>35</v>
      </c>
      <c r="Q18" s="31">
        <v>32</v>
      </c>
      <c r="R18" s="31">
        <v>35</v>
      </c>
      <c r="S18" s="31"/>
      <c r="T18" s="31"/>
      <c r="U18" s="31">
        <v>20</v>
      </c>
      <c r="V18" s="31">
        <v>31</v>
      </c>
      <c r="W18" s="31">
        <v>33</v>
      </c>
      <c r="X18" s="31"/>
      <c r="Y18" s="31"/>
      <c r="Z18" s="31"/>
      <c r="AA18" s="31">
        <v>10</v>
      </c>
      <c r="AB18" s="92">
        <f t="shared" si="1"/>
        <v>31</v>
      </c>
      <c r="AC18" s="31">
        <v>5</v>
      </c>
      <c r="AD18" s="31">
        <v>5</v>
      </c>
      <c r="AE18" s="92">
        <f t="shared" si="2"/>
        <v>10</v>
      </c>
      <c r="AF18" s="93" t="str">
        <f t="shared" si="3"/>
        <v>DO</v>
      </c>
      <c r="AG18" s="92">
        <f t="shared" si="4"/>
        <v>83</v>
      </c>
      <c r="AH18" s="195" t="str">
        <f t="shared" si="5"/>
        <v>APROBADO</v>
      </c>
      <c r="AI18" s="196"/>
      <c r="AJ18" s="196"/>
      <c r="AK18" s="196"/>
      <c r="AL18" s="196"/>
      <c r="AM18" s="197"/>
      <c r="AN18" s="95"/>
      <c r="AO18" s="95"/>
      <c r="AP18" s="95"/>
      <c r="AQ18" s="95"/>
      <c r="AR18" s="95"/>
    </row>
    <row r="19" spans="1:44" ht="12" customHeight="1" x14ac:dyDescent="0.3">
      <c r="A19" s="59">
        <v>11</v>
      </c>
      <c r="B19" s="90" t="str">
        <f>'C. FILIACION'!B18</f>
        <v>MAMANI LOPEZ DAFNE MILDRED</v>
      </c>
      <c r="C19" s="31">
        <v>10</v>
      </c>
      <c r="D19" s="31">
        <v>25</v>
      </c>
      <c r="E19" s="31"/>
      <c r="F19" s="31"/>
      <c r="G19" s="31"/>
      <c r="H19" s="31">
        <v>15</v>
      </c>
      <c r="I19" s="31">
        <v>22</v>
      </c>
      <c r="J19" s="31"/>
      <c r="K19" s="31"/>
      <c r="L19" s="31"/>
      <c r="M19" s="31"/>
      <c r="N19" s="31"/>
      <c r="O19" s="92">
        <f t="shared" si="0"/>
        <v>21</v>
      </c>
      <c r="P19" s="31"/>
      <c r="Q19" s="31">
        <v>32</v>
      </c>
      <c r="R19" s="31"/>
      <c r="S19" s="31"/>
      <c r="T19" s="31"/>
      <c r="U19" s="31"/>
      <c r="V19" s="31"/>
      <c r="W19" s="31"/>
      <c r="X19" s="31"/>
      <c r="Y19" s="31"/>
      <c r="Z19" s="31"/>
      <c r="AA19" s="31">
        <v>10</v>
      </c>
      <c r="AB19" s="92">
        <f t="shared" si="1"/>
        <v>32</v>
      </c>
      <c r="AC19" s="31">
        <v>5</v>
      </c>
      <c r="AD19" s="31">
        <v>5</v>
      </c>
      <c r="AE19" s="92">
        <f t="shared" si="2"/>
        <v>10</v>
      </c>
      <c r="AF19" s="93" t="str">
        <f t="shared" si="3"/>
        <v>DO</v>
      </c>
      <c r="AG19" s="92">
        <f t="shared" si="4"/>
        <v>83</v>
      </c>
      <c r="AH19" s="195" t="str">
        <f t="shared" si="5"/>
        <v>APROBADO</v>
      </c>
      <c r="AI19" s="196"/>
      <c r="AJ19" s="196"/>
      <c r="AK19" s="196"/>
      <c r="AL19" s="196"/>
      <c r="AM19" s="197"/>
      <c r="AN19" s="95"/>
      <c r="AO19" s="95"/>
      <c r="AP19" s="95"/>
      <c r="AQ19" s="95"/>
      <c r="AR19" s="95"/>
    </row>
    <row r="20" spans="1:44" ht="12" customHeight="1" x14ac:dyDescent="0.3">
      <c r="A20" s="59">
        <v>12</v>
      </c>
      <c r="B20" s="90" t="str">
        <f>'C. FILIACION'!B19</f>
        <v>MARCONI PEREZ SINDEL LUANA</v>
      </c>
      <c r="C20" s="31">
        <v>10</v>
      </c>
      <c r="D20" s="31">
        <v>18</v>
      </c>
      <c r="E20" s="31"/>
      <c r="F20" s="31"/>
      <c r="G20" s="31"/>
      <c r="H20" s="31"/>
      <c r="I20" s="31"/>
      <c r="J20" s="31"/>
      <c r="K20" s="31"/>
      <c r="L20" s="31"/>
      <c r="M20" s="31"/>
      <c r="N20" s="31"/>
      <c r="O20" s="92">
        <f t="shared" si="0"/>
        <v>18</v>
      </c>
      <c r="P20" s="31"/>
      <c r="Q20" s="31">
        <v>32</v>
      </c>
      <c r="R20" s="31"/>
      <c r="S20" s="31"/>
      <c r="T20" s="31"/>
      <c r="U20" s="31"/>
      <c r="V20" s="31">
        <v>33</v>
      </c>
      <c r="W20" s="31"/>
      <c r="X20" s="31"/>
      <c r="Y20" s="31"/>
      <c r="Z20" s="31"/>
      <c r="AA20" s="31">
        <v>10</v>
      </c>
      <c r="AB20" s="92">
        <f t="shared" si="1"/>
        <v>33</v>
      </c>
      <c r="AC20" s="31">
        <v>5</v>
      </c>
      <c r="AD20" s="31">
        <v>5</v>
      </c>
      <c r="AE20" s="92">
        <f t="shared" si="2"/>
        <v>10</v>
      </c>
      <c r="AF20" s="93" t="str">
        <f t="shared" si="3"/>
        <v>DO</v>
      </c>
      <c r="AG20" s="92">
        <f t="shared" si="4"/>
        <v>81</v>
      </c>
      <c r="AH20" s="195" t="str">
        <f t="shared" si="5"/>
        <v>APROBADO</v>
      </c>
      <c r="AI20" s="196"/>
      <c r="AJ20" s="196"/>
      <c r="AK20" s="196"/>
      <c r="AL20" s="196"/>
      <c r="AM20" s="197"/>
      <c r="AN20" s="95"/>
      <c r="AO20" s="95"/>
      <c r="AP20" s="95"/>
      <c r="AQ20" s="95"/>
      <c r="AR20" s="95"/>
    </row>
    <row r="21" spans="1:44" ht="12" customHeight="1" x14ac:dyDescent="0.3">
      <c r="A21" s="59">
        <v>13</v>
      </c>
      <c r="B21" s="90" t="str">
        <f>'C. FILIACION'!B20</f>
        <v>MENACHO LINEO ANDREA KIMBERLY</v>
      </c>
      <c r="C21" s="31">
        <v>10</v>
      </c>
      <c r="D21" s="31">
        <v>20</v>
      </c>
      <c r="E21" s="31">
        <v>35</v>
      </c>
      <c r="F21" s="31"/>
      <c r="G21" s="31"/>
      <c r="H21" s="31">
        <v>25</v>
      </c>
      <c r="I21" s="31">
        <v>17</v>
      </c>
      <c r="J21" s="31"/>
      <c r="K21" s="31"/>
      <c r="L21" s="31"/>
      <c r="M21" s="31"/>
      <c r="N21" s="31"/>
      <c r="O21" s="92">
        <f t="shared" si="0"/>
        <v>24</v>
      </c>
      <c r="P21" s="31"/>
      <c r="Q21" s="31">
        <v>28</v>
      </c>
      <c r="R21" s="31">
        <v>35</v>
      </c>
      <c r="S21" s="31"/>
      <c r="T21" s="31"/>
      <c r="U21" s="31"/>
      <c r="V21" s="31"/>
      <c r="W21" s="31">
        <v>26</v>
      </c>
      <c r="X21" s="31"/>
      <c r="Y21" s="31"/>
      <c r="Z21" s="31"/>
      <c r="AA21" s="31">
        <v>10</v>
      </c>
      <c r="AB21" s="92">
        <f t="shared" si="1"/>
        <v>30</v>
      </c>
      <c r="AC21" s="31">
        <v>5</v>
      </c>
      <c r="AD21" s="31">
        <v>5</v>
      </c>
      <c r="AE21" s="92">
        <f t="shared" si="2"/>
        <v>10</v>
      </c>
      <c r="AF21" s="93" t="str">
        <f t="shared" si="3"/>
        <v>DO</v>
      </c>
      <c r="AG21" s="92">
        <f t="shared" si="4"/>
        <v>84</v>
      </c>
      <c r="AH21" s="195" t="str">
        <f t="shared" si="5"/>
        <v>APROBADO</v>
      </c>
      <c r="AI21" s="196"/>
      <c r="AJ21" s="196"/>
      <c r="AK21" s="196"/>
      <c r="AL21" s="196"/>
      <c r="AM21" s="197"/>
      <c r="AN21" s="95"/>
      <c r="AO21" s="95"/>
      <c r="AP21" s="95"/>
      <c r="AQ21" s="95"/>
      <c r="AR21" s="95"/>
    </row>
    <row r="22" spans="1:44" ht="12" customHeight="1" x14ac:dyDescent="0.3">
      <c r="A22" s="59">
        <v>14</v>
      </c>
      <c r="B22" s="90" t="str">
        <f>'C. FILIACION'!B21</f>
        <v>PILLCO APAZA MARIAN ALEXANDRA</v>
      </c>
      <c r="C22" s="31">
        <v>10</v>
      </c>
      <c r="D22" s="31">
        <v>30</v>
      </c>
      <c r="E22" s="31">
        <v>25</v>
      </c>
      <c r="F22" s="31"/>
      <c r="G22" s="31"/>
      <c r="H22" s="31"/>
      <c r="I22" s="31"/>
      <c r="J22" s="31"/>
      <c r="K22" s="31"/>
      <c r="L22" s="31"/>
      <c r="M22" s="31"/>
      <c r="N22" s="31"/>
      <c r="O22" s="92">
        <f t="shared" si="0"/>
        <v>28</v>
      </c>
      <c r="P22" s="31"/>
      <c r="Q22" s="31">
        <v>28</v>
      </c>
      <c r="R22" s="31">
        <v>18</v>
      </c>
      <c r="S22" s="31"/>
      <c r="T22" s="31"/>
      <c r="U22" s="31"/>
      <c r="V22" s="31"/>
      <c r="W22" s="31">
        <v>32</v>
      </c>
      <c r="X22" s="31"/>
      <c r="Y22" s="31"/>
      <c r="Z22" s="31"/>
      <c r="AA22" s="31">
        <v>10</v>
      </c>
      <c r="AB22" s="92">
        <f t="shared" si="1"/>
        <v>26</v>
      </c>
      <c r="AC22" s="31">
        <v>5</v>
      </c>
      <c r="AD22" s="31">
        <v>5</v>
      </c>
      <c r="AE22" s="92">
        <f t="shared" si="2"/>
        <v>10</v>
      </c>
      <c r="AF22" s="93" t="str">
        <f t="shared" si="3"/>
        <v>DO</v>
      </c>
      <c r="AG22" s="92">
        <f t="shared" si="4"/>
        <v>84</v>
      </c>
      <c r="AH22" s="195" t="str">
        <f t="shared" si="5"/>
        <v>APROBADO</v>
      </c>
      <c r="AI22" s="196"/>
      <c r="AJ22" s="196"/>
      <c r="AK22" s="196"/>
      <c r="AL22" s="196"/>
      <c r="AM22" s="197"/>
      <c r="AN22" s="95"/>
      <c r="AO22" s="95"/>
      <c r="AP22" s="95"/>
      <c r="AQ22" s="95"/>
      <c r="AR22" s="95"/>
    </row>
    <row r="23" spans="1:44" ht="12" customHeight="1" x14ac:dyDescent="0.3">
      <c r="A23" s="59">
        <v>15</v>
      </c>
      <c r="B23" s="90" t="str">
        <f>'C. FILIACION'!B22</f>
        <v>RUEDA ALVAREZ GREGORY STEVEN</v>
      </c>
      <c r="C23" s="31">
        <v>10</v>
      </c>
      <c r="D23" s="31">
        <v>15</v>
      </c>
      <c r="E23" s="31">
        <v>35</v>
      </c>
      <c r="F23" s="31"/>
      <c r="G23" s="31">
        <v>28</v>
      </c>
      <c r="H23" s="31">
        <v>20</v>
      </c>
      <c r="I23" s="31">
        <v>18</v>
      </c>
      <c r="J23" s="31"/>
      <c r="K23" s="31"/>
      <c r="L23" s="31"/>
      <c r="M23" s="31"/>
      <c r="N23" s="31"/>
      <c r="O23" s="92">
        <f t="shared" si="0"/>
        <v>23</v>
      </c>
      <c r="P23" s="31">
        <v>35</v>
      </c>
      <c r="Q23" s="31">
        <v>28</v>
      </c>
      <c r="R23" s="31">
        <v>35</v>
      </c>
      <c r="S23" s="31"/>
      <c r="T23" s="31"/>
      <c r="U23" s="31"/>
      <c r="V23" s="31"/>
      <c r="W23" s="31"/>
      <c r="X23" s="31"/>
      <c r="Y23" s="31"/>
      <c r="Z23" s="31"/>
      <c r="AA23" s="31">
        <v>10</v>
      </c>
      <c r="AB23" s="92">
        <f t="shared" si="1"/>
        <v>33</v>
      </c>
      <c r="AC23" s="31">
        <v>5</v>
      </c>
      <c r="AD23" s="31">
        <v>5</v>
      </c>
      <c r="AE23" s="92">
        <f t="shared" si="2"/>
        <v>10</v>
      </c>
      <c r="AF23" s="93" t="str">
        <f t="shared" si="3"/>
        <v>DP</v>
      </c>
      <c r="AG23" s="92">
        <f t="shared" si="4"/>
        <v>86</v>
      </c>
      <c r="AH23" s="195" t="str">
        <f t="shared" si="5"/>
        <v>APROBADO</v>
      </c>
      <c r="AI23" s="196"/>
      <c r="AJ23" s="196"/>
      <c r="AK23" s="196"/>
      <c r="AL23" s="196"/>
      <c r="AM23" s="197"/>
      <c r="AN23" s="95"/>
      <c r="AO23" s="95"/>
      <c r="AP23" s="95"/>
      <c r="AQ23" s="95"/>
      <c r="AR23" s="95"/>
    </row>
    <row r="24" spans="1:44" ht="12" customHeight="1" x14ac:dyDescent="0.3">
      <c r="A24" s="59">
        <v>16</v>
      </c>
      <c r="B24" s="90" t="str">
        <f>'C. FILIACION'!B23</f>
        <v>VARGAS JOYCE BELEN</v>
      </c>
      <c r="C24" s="31">
        <v>10</v>
      </c>
      <c r="D24" s="31">
        <v>15</v>
      </c>
      <c r="E24" s="31"/>
      <c r="F24" s="31"/>
      <c r="G24" s="31"/>
      <c r="H24" s="31"/>
      <c r="I24" s="31"/>
      <c r="J24" s="31"/>
      <c r="K24" s="31"/>
      <c r="L24" s="31"/>
      <c r="M24" s="31"/>
      <c r="N24" s="31"/>
      <c r="O24" s="92">
        <f t="shared" si="0"/>
        <v>15</v>
      </c>
      <c r="P24" s="31"/>
      <c r="Q24" s="31"/>
      <c r="R24" s="31"/>
      <c r="S24" s="31"/>
      <c r="T24" s="31"/>
      <c r="U24" s="31"/>
      <c r="V24" s="31"/>
      <c r="W24" s="31"/>
      <c r="X24" s="31"/>
      <c r="Y24" s="31"/>
      <c r="Z24" s="31"/>
      <c r="AA24" s="31">
        <v>10</v>
      </c>
      <c r="AB24" s="92" t="str">
        <f t="shared" si="1"/>
        <v/>
      </c>
      <c r="AC24" s="31">
        <v>5</v>
      </c>
      <c r="AD24" s="31">
        <v>5</v>
      </c>
      <c r="AE24" s="92">
        <f t="shared" si="2"/>
        <v>10</v>
      </c>
      <c r="AF24" s="93" t="str">
        <f t="shared" si="3"/>
        <v>ED</v>
      </c>
      <c r="AG24" s="92">
        <f t="shared" si="4"/>
        <v>45</v>
      </c>
      <c r="AH24" s="195" t="str">
        <f t="shared" si="5"/>
        <v>REPROBADO</v>
      </c>
      <c r="AI24" s="196"/>
      <c r="AJ24" s="196"/>
      <c r="AK24" s="196"/>
      <c r="AL24" s="196"/>
      <c r="AM24" s="197"/>
      <c r="AN24" s="95"/>
      <c r="AO24" s="95"/>
      <c r="AP24" s="95"/>
      <c r="AQ24" s="95"/>
      <c r="AR24" s="95"/>
    </row>
    <row r="25" spans="1:44" ht="12" customHeight="1" x14ac:dyDescent="0.3">
      <c r="A25" s="59">
        <v>17</v>
      </c>
      <c r="B25" s="90" t="str">
        <f>'C. FILIACION'!B24</f>
        <v>ZURITA JIMENEZ ELMER ARTURO</v>
      </c>
      <c r="C25" s="31">
        <v>10</v>
      </c>
      <c r="D25" s="31">
        <v>20</v>
      </c>
      <c r="E25" s="31">
        <v>35</v>
      </c>
      <c r="F25" s="31"/>
      <c r="G25" s="31"/>
      <c r="H25" s="31">
        <v>20</v>
      </c>
      <c r="I25" s="31">
        <v>29</v>
      </c>
      <c r="J25" s="31"/>
      <c r="K25" s="31"/>
      <c r="L25" s="31"/>
      <c r="M25" s="31"/>
      <c r="N25" s="31"/>
      <c r="O25" s="92">
        <f t="shared" si="0"/>
        <v>26</v>
      </c>
      <c r="P25" s="31">
        <v>32</v>
      </c>
      <c r="Q25" s="31">
        <v>28</v>
      </c>
      <c r="R25" s="31">
        <v>35</v>
      </c>
      <c r="S25" s="31">
        <v>34</v>
      </c>
      <c r="T25" s="31">
        <v>35</v>
      </c>
      <c r="U25" s="31"/>
      <c r="V25" s="31"/>
      <c r="W25" s="31">
        <v>35</v>
      </c>
      <c r="X25" s="31"/>
      <c r="Y25" s="31"/>
      <c r="Z25" s="31"/>
      <c r="AA25" s="31">
        <v>10</v>
      </c>
      <c r="AB25" s="92">
        <f t="shared" si="1"/>
        <v>33</v>
      </c>
      <c r="AC25" s="31">
        <v>5</v>
      </c>
      <c r="AD25" s="31">
        <v>5</v>
      </c>
      <c r="AE25" s="92">
        <f t="shared" si="2"/>
        <v>10</v>
      </c>
      <c r="AF25" s="93" t="str">
        <f t="shared" si="3"/>
        <v>DP</v>
      </c>
      <c r="AG25" s="92">
        <f t="shared" si="4"/>
        <v>89</v>
      </c>
      <c r="AH25" s="195" t="str">
        <f t="shared" si="5"/>
        <v>APROBADO</v>
      </c>
      <c r="AI25" s="196"/>
      <c r="AJ25" s="196"/>
      <c r="AK25" s="196"/>
      <c r="AL25" s="196"/>
      <c r="AM25" s="197"/>
      <c r="AN25" s="95"/>
      <c r="AO25" s="95"/>
      <c r="AP25" s="95"/>
      <c r="AQ25" s="95"/>
      <c r="AR25" s="95"/>
    </row>
    <row r="26" spans="1:44" ht="12" customHeight="1" x14ac:dyDescent="0.3">
      <c r="A26" s="59">
        <v>18</v>
      </c>
      <c r="B26" s="60" t="s">
        <v>175</v>
      </c>
      <c r="C26" s="31">
        <v>10</v>
      </c>
      <c r="D26" s="31"/>
      <c r="E26" s="31"/>
      <c r="F26" s="31"/>
      <c r="G26" s="31"/>
      <c r="H26" s="31"/>
      <c r="I26" s="31"/>
      <c r="J26" s="31"/>
      <c r="K26" s="31"/>
      <c r="L26" s="31"/>
      <c r="M26" s="31"/>
      <c r="N26" s="31"/>
      <c r="O26" s="92" t="str">
        <f t="shared" si="0"/>
        <v/>
      </c>
      <c r="P26" s="31"/>
      <c r="Q26" s="31"/>
      <c r="R26" s="31"/>
      <c r="S26" s="31"/>
      <c r="T26" s="31"/>
      <c r="U26" s="31"/>
      <c r="V26" s="31"/>
      <c r="W26" s="31"/>
      <c r="X26" s="31"/>
      <c r="Y26" s="31"/>
      <c r="Z26" s="31"/>
      <c r="AA26" s="31">
        <v>10</v>
      </c>
      <c r="AB26" s="92" t="str">
        <f t="shared" si="1"/>
        <v/>
      </c>
      <c r="AC26" s="31">
        <v>5</v>
      </c>
      <c r="AD26" s="31">
        <v>5</v>
      </c>
      <c r="AE26" s="92">
        <f t="shared" si="2"/>
        <v>10</v>
      </c>
      <c r="AF26" s="93" t="str">
        <f t="shared" si="3"/>
        <v>ED</v>
      </c>
      <c r="AG26" s="92">
        <f t="shared" si="4"/>
        <v>30</v>
      </c>
      <c r="AH26" s="195" t="str">
        <f t="shared" si="5"/>
        <v>REPROBADO</v>
      </c>
      <c r="AI26" s="196"/>
      <c r="AJ26" s="196"/>
      <c r="AK26" s="196"/>
      <c r="AL26" s="196"/>
      <c r="AM26" s="197"/>
      <c r="AN26" s="95"/>
      <c r="AO26" s="95"/>
      <c r="AP26" s="95"/>
      <c r="AQ26" s="95"/>
      <c r="AR26" s="95"/>
    </row>
    <row r="27" spans="1:44" ht="12" customHeight="1" x14ac:dyDescent="0.3">
      <c r="A27" s="59">
        <v>19</v>
      </c>
      <c r="B27" s="90" t="str">
        <f>'C. FILIACION'!B26</f>
        <v>Ventura Choque Danely Keyla</v>
      </c>
      <c r="C27" s="31">
        <v>10</v>
      </c>
      <c r="D27" s="31"/>
      <c r="E27" s="31"/>
      <c r="F27" s="31"/>
      <c r="G27" s="31"/>
      <c r="H27" s="31"/>
      <c r="I27" s="31">
        <v>18</v>
      </c>
      <c r="J27" s="31"/>
      <c r="K27" s="31"/>
      <c r="L27" s="31"/>
      <c r="M27" s="31"/>
      <c r="N27" s="31"/>
      <c r="O27" s="92">
        <f t="shared" si="0"/>
        <v>18</v>
      </c>
      <c r="P27" s="31"/>
      <c r="Q27" s="31"/>
      <c r="R27" s="31"/>
      <c r="S27" s="31"/>
      <c r="T27" s="31"/>
      <c r="U27" s="31"/>
      <c r="V27" s="31"/>
      <c r="W27" s="31">
        <v>35</v>
      </c>
      <c r="X27" s="31"/>
      <c r="Y27" s="31"/>
      <c r="Z27" s="31"/>
      <c r="AA27" s="31">
        <v>10</v>
      </c>
      <c r="AB27" s="92">
        <f t="shared" si="1"/>
        <v>35</v>
      </c>
      <c r="AC27" s="31">
        <v>5</v>
      </c>
      <c r="AD27" s="31">
        <v>5</v>
      </c>
      <c r="AE27" s="92">
        <f t="shared" si="2"/>
        <v>10</v>
      </c>
      <c r="AF27" s="93" t="str">
        <f t="shared" si="3"/>
        <v>DO</v>
      </c>
      <c r="AG27" s="92">
        <f t="shared" si="4"/>
        <v>83</v>
      </c>
      <c r="AH27" s="195" t="str">
        <f t="shared" si="5"/>
        <v>APROBADO</v>
      </c>
      <c r="AI27" s="196"/>
      <c r="AJ27" s="196"/>
      <c r="AK27" s="196"/>
      <c r="AL27" s="196"/>
      <c r="AM27" s="197"/>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00" t="s">
        <v>107</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8" t="s">
        <v>51</v>
      </c>
      <c r="AD3" s="196"/>
      <c r="AE3" s="196"/>
      <c r="AF3" s="196"/>
      <c r="AG3" s="196"/>
      <c r="AH3" s="197"/>
      <c r="AI3" s="192">
        <f>CARÁTULA!$H$24</f>
        <v>44440</v>
      </c>
      <c r="AJ3" s="174"/>
      <c r="AK3" s="174"/>
      <c r="AL3" s="174"/>
      <c r="AM3" s="174"/>
      <c r="AN3" s="201" t="s">
        <v>52</v>
      </c>
      <c r="AO3" s="165"/>
      <c r="AP3" s="165"/>
      <c r="AQ3" s="165"/>
      <c r="AR3" s="16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8" t="s">
        <v>54</v>
      </c>
      <c r="AD4" s="196"/>
      <c r="AE4" s="196"/>
      <c r="AF4" s="196"/>
      <c r="AG4" s="196"/>
      <c r="AH4" s="197"/>
      <c r="AI4" s="192">
        <f>CARÁTULA!$J$24</f>
        <v>44531</v>
      </c>
      <c r="AJ4" s="174"/>
      <c r="AK4" s="174"/>
      <c r="AL4" s="174"/>
      <c r="AM4" s="174"/>
      <c r="AN4" s="194">
        <f ca="1">AI4-AI5</f>
        <v>110</v>
      </c>
      <c r="AO4" s="184"/>
      <c r="AP4" s="184"/>
      <c r="AQ4" s="184"/>
      <c r="AR4" s="185"/>
    </row>
    <row r="5" spans="1:48" ht="12.75" customHeight="1" x14ac:dyDescent="0.35">
      <c r="A5" s="71"/>
      <c r="B5" s="74" t="s">
        <v>23</v>
      </c>
      <c r="C5" s="75" t="str">
        <f>CARÁTULA!$C$23</f>
        <v>6to de Secundaria</v>
      </c>
      <c r="D5" s="76"/>
      <c r="E5" s="76"/>
      <c r="F5" s="76"/>
      <c r="G5" s="74"/>
      <c r="H5" s="74"/>
      <c r="I5" s="74"/>
      <c r="J5" s="74"/>
      <c r="K5" s="74"/>
      <c r="L5" s="74"/>
      <c r="M5" s="74"/>
      <c r="N5" s="74"/>
      <c r="O5" s="77" t="s">
        <v>24</v>
      </c>
      <c r="P5" s="79"/>
      <c r="Q5" s="79"/>
      <c r="R5" s="79"/>
      <c r="S5" s="206">
        <f ca="1">TODAY()</f>
        <v>44421</v>
      </c>
      <c r="T5" s="165"/>
      <c r="U5" s="165"/>
      <c r="V5" s="165"/>
      <c r="W5" s="165"/>
      <c r="X5" s="165"/>
      <c r="Y5" s="165"/>
      <c r="Z5" s="165"/>
      <c r="AA5" s="166"/>
      <c r="AB5" s="76"/>
      <c r="AC5" s="199" t="s">
        <v>55</v>
      </c>
      <c r="AD5" s="196"/>
      <c r="AE5" s="196"/>
      <c r="AF5" s="196"/>
      <c r="AG5" s="196"/>
      <c r="AH5" s="197"/>
      <c r="AI5" s="202">
        <f ca="1">TODAY()</f>
        <v>44421</v>
      </c>
      <c r="AJ5" s="174"/>
      <c r="AK5" s="174"/>
      <c r="AL5" s="174"/>
      <c r="AM5" s="174"/>
      <c r="AN5" s="186"/>
      <c r="AO5" s="187"/>
      <c r="AP5" s="187"/>
      <c r="AQ5" s="187"/>
      <c r="AR5" s="188"/>
    </row>
    <row r="6" spans="1:48" ht="12.75" customHeight="1" x14ac:dyDescent="0.35">
      <c r="A6" s="71"/>
      <c r="B6" s="74"/>
      <c r="C6" s="180" t="s">
        <v>80</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81</v>
      </c>
      <c r="AC6" s="196"/>
      <c r="AD6" s="196"/>
      <c r="AE6" s="197"/>
      <c r="AF6" s="80"/>
      <c r="AG6" s="81"/>
      <c r="AH6" s="81"/>
      <c r="AI6" s="82"/>
      <c r="AJ6" s="83"/>
      <c r="AK6" s="83"/>
      <c r="AL6" s="83"/>
      <c r="AM6" s="83"/>
      <c r="AN6" s="84"/>
      <c r="AO6" s="84"/>
      <c r="AP6" s="84"/>
      <c r="AQ6" s="84"/>
      <c r="AR6" s="84"/>
    </row>
    <row r="7" spans="1:48" ht="12" customHeight="1" x14ac:dyDescent="0.35">
      <c r="A7" s="71"/>
      <c r="B7" s="85"/>
      <c r="C7" s="208" t="s">
        <v>82</v>
      </c>
      <c r="D7" s="209" t="s">
        <v>83</v>
      </c>
      <c r="E7" s="196"/>
      <c r="F7" s="196"/>
      <c r="G7" s="196"/>
      <c r="H7" s="196"/>
      <c r="I7" s="196"/>
      <c r="J7" s="196"/>
      <c r="K7" s="196"/>
      <c r="L7" s="196"/>
      <c r="M7" s="196"/>
      <c r="N7" s="196"/>
      <c r="O7" s="205" t="s">
        <v>84</v>
      </c>
      <c r="P7" s="209" t="s">
        <v>85</v>
      </c>
      <c r="Q7" s="196"/>
      <c r="R7" s="196"/>
      <c r="S7" s="196"/>
      <c r="T7" s="196"/>
      <c r="U7" s="196"/>
      <c r="V7" s="196"/>
      <c r="W7" s="196"/>
      <c r="X7" s="196"/>
      <c r="Y7" s="196"/>
      <c r="Z7" s="196"/>
      <c r="AA7" s="203" t="s">
        <v>86</v>
      </c>
      <c r="AB7" s="205" t="s">
        <v>84</v>
      </c>
      <c r="AC7" s="203" t="s">
        <v>87</v>
      </c>
      <c r="AD7" s="203" t="s">
        <v>88</v>
      </c>
      <c r="AE7" s="205" t="s">
        <v>84</v>
      </c>
      <c r="AF7" s="210" t="s">
        <v>89</v>
      </c>
      <c r="AG7" s="211" t="s">
        <v>90</v>
      </c>
      <c r="AH7" s="212" t="s">
        <v>91</v>
      </c>
      <c r="AI7" s="181"/>
      <c r="AJ7" s="181"/>
      <c r="AK7" s="181"/>
      <c r="AL7" s="181"/>
      <c r="AM7" s="182"/>
      <c r="AN7" s="86"/>
      <c r="AO7" s="76"/>
      <c r="AP7" s="76"/>
      <c r="AQ7" s="76"/>
      <c r="AR7" s="71"/>
    </row>
    <row r="8" spans="1:48" ht="67.5" customHeight="1" x14ac:dyDescent="0.3">
      <c r="A8" s="48" t="s">
        <v>56</v>
      </c>
      <c r="B8" s="49" t="s">
        <v>57</v>
      </c>
      <c r="C8" s="204"/>
      <c r="D8" s="54"/>
      <c r="E8" s="54"/>
      <c r="F8" s="54"/>
      <c r="G8" s="54"/>
      <c r="H8" s="54"/>
      <c r="I8" s="54"/>
      <c r="J8" s="54"/>
      <c r="K8" s="54"/>
      <c r="L8" s="54"/>
      <c r="M8" s="54"/>
      <c r="N8" s="55"/>
      <c r="O8" s="204"/>
      <c r="P8" s="96"/>
      <c r="Q8" s="54"/>
      <c r="R8" s="54"/>
      <c r="S8" s="54"/>
      <c r="T8" s="54"/>
      <c r="U8" s="54"/>
      <c r="V8" s="54"/>
      <c r="W8" s="54"/>
      <c r="X8" s="54"/>
      <c r="Y8" s="54"/>
      <c r="Z8" s="54"/>
      <c r="AA8" s="204"/>
      <c r="AB8" s="204"/>
      <c r="AC8" s="204"/>
      <c r="AD8" s="204"/>
      <c r="AE8" s="204"/>
      <c r="AF8" s="204"/>
      <c r="AG8" s="204"/>
      <c r="AH8" s="213"/>
      <c r="AI8" s="214"/>
      <c r="AJ8" s="214"/>
      <c r="AK8" s="214"/>
      <c r="AL8" s="214"/>
      <c r="AM8" s="215"/>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95" t="str">
        <f t="shared" ref="AH9:AH44" si="5">IF(AG9="","",(IF(AND(AG9&gt;=1,AG9&lt;=50.499),"REPROBADO",IF(AND(AG9&gt;=50.5,AG9&lt;=100),"APROBADO"))))</f>
        <v>APROBADO</v>
      </c>
      <c r="AI9" s="196"/>
      <c r="AJ9" s="196"/>
      <c r="AK9" s="196"/>
      <c r="AL9" s="196"/>
      <c r="AM9" s="197"/>
      <c r="AN9" s="94" t="s">
        <v>102</v>
      </c>
      <c r="AO9" s="216">
        <f>COUNTIF(AF9:AF44,"ED")</f>
        <v>0</v>
      </c>
      <c r="AP9" s="197"/>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95" t="str">
        <f t="shared" si="5"/>
        <v>APROBADO</v>
      </c>
      <c r="AI10" s="196"/>
      <c r="AJ10" s="196"/>
      <c r="AK10" s="196"/>
      <c r="AL10" s="196"/>
      <c r="AM10" s="197"/>
      <c r="AN10" s="48" t="s">
        <v>103</v>
      </c>
      <c r="AO10" s="216">
        <f>COUNTIF(AF9:AF44,"DA")</f>
        <v>0</v>
      </c>
      <c r="AP10" s="197"/>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95" t="str">
        <f t="shared" si="5"/>
        <v>APROBADO</v>
      </c>
      <c r="AI11" s="196"/>
      <c r="AJ11" s="196"/>
      <c r="AK11" s="196"/>
      <c r="AL11" s="196"/>
      <c r="AM11" s="197"/>
      <c r="AN11" s="48" t="s">
        <v>104</v>
      </c>
      <c r="AO11" s="216">
        <f>COUNTIF(AF9:AF44,"DO")</f>
        <v>0</v>
      </c>
      <c r="AP11" s="197"/>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95" t="str">
        <f t="shared" si="5"/>
        <v>APROBADO</v>
      </c>
      <c r="AI12" s="196"/>
      <c r="AJ12" s="196"/>
      <c r="AK12" s="196"/>
      <c r="AL12" s="196"/>
      <c r="AM12" s="197"/>
      <c r="AN12" s="48" t="s">
        <v>105</v>
      </c>
      <c r="AO12" s="216">
        <f>COUNTIF(AF9:AF44,"DP")</f>
        <v>36</v>
      </c>
      <c r="AP12" s="197"/>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95" t="str">
        <f t="shared" si="5"/>
        <v>APROBADO</v>
      </c>
      <c r="AI13" s="196"/>
      <c r="AJ13" s="196"/>
      <c r="AK13" s="196"/>
      <c r="AL13" s="196"/>
      <c r="AM13" s="197"/>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95" t="str">
        <f t="shared" si="5"/>
        <v>APROBADO</v>
      </c>
      <c r="AI14" s="196"/>
      <c r="AJ14" s="196"/>
      <c r="AK14" s="196"/>
      <c r="AL14" s="196"/>
      <c r="AM14" s="197"/>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95" t="str">
        <f t="shared" si="5"/>
        <v>APROBADO</v>
      </c>
      <c r="AI15" s="196"/>
      <c r="AJ15" s="196"/>
      <c r="AK15" s="196"/>
      <c r="AL15" s="196"/>
      <c r="AM15" s="197"/>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95" t="str">
        <f t="shared" si="5"/>
        <v>APROBADO</v>
      </c>
      <c r="AI16" s="196"/>
      <c r="AJ16" s="196"/>
      <c r="AK16" s="196"/>
      <c r="AL16" s="196"/>
      <c r="AM16" s="197"/>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95" t="str">
        <f t="shared" si="5"/>
        <v>APROBADO</v>
      </c>
      <c r="AI17" s="196"/>
      <c r="AJ17" s="196"/>
      <c r="AK17" s="196"/>
      <c r="AL17" s="196"/>
      <c r="AM17" s="197"/>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95" t="str">
        <f t="shared" si="5"/>
        <v>APROBADO</v>
      </c>
      <c r="AI18" s="196"/>
      <c r="AJ18" s="196"/>
      <c r="AK18" s="196"/>
      <c r="AL18" s="196"/>
      <c r="AM18" s="197"/>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95" t="str">
        <f t="shared" si="5"/>
        <v>APROBADO</v>
      </c>
      <c r="AI19" s="196"/>
      <c r="AJ19" s="196"/>
      <c r="AK19" s="196"/>
      <c r="AL19" s="196"/>
      <c r="AM19" s="197"/>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95" t="str">
        <f t="shared" si="5"/>
        <v>APROBADO</v>
      </c>
      <c r="AI20" s="196"/>
      <c r="AJ20" s="196"/>
      <c r="AK20" s="196"/>
      <c r="AL20" s="196"/>
      <c r="AM20" s="197"/>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95" t="str">
        <f t="shared" si="5"/>
        <v>APROBADO</v>
      </c>
      <c r="AI21" s="196"/>
      <c r="AJ21" s="196"/>
      <c r="AK21" s="196"/>
      <c r="AL21" s="196"/>
      <c r="AM21" s="197"/>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95" t="str">
        <f t="shared" si="5"/>
        <v>APROBADO</v>
      </c>
      <c r="AI22" s="196"/>
      <c r="AJ22" s="196"/>
      <c r="AK22" s="196"/>
      <c r="AL22" s="196"/>
      <c r="AM22" s="197"/>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95" t="str">
        <f t="shared" si="5"/>
        <v>APROBADO</v>
      </c>
      <c r="AI23" s="196"/>
      <c r="AJ23" s="196"/>
      <c r="AK23" s="196"/>
      <c r="AL23" s="196"/>
      <c r="AM23" s="197"/>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95" t="str">
        <f t="shared" si="5"/>
        <v>APROBADO</v>
      </c>
      <c r="AI24" s="196"/>
      <c r="AJ24" s="196"/>
      <c r="AK24" s="196"/>
      <c r="AL24" s="196"/>
      <c r="AM24" s="197"/>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5" t="str">
        <f t="shared" si="5"/>
        <v>APROBADO</v>
      </c>
      <c r="AI25" s="196"/>
      <c r="AJ25" s="196"/>
      <c r="AK25" s="196"/>
      <c r="AL25" s="196"/>
      <c r="AM25" s="197"/>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178" t="s">
        <v>108</v>
      </c>
      <c r="C2" s="174"/>
      <c r="D2" s="174"/>
      <c r="E2" s="174"/>
      <c r="F2" s="174"/>
      <c r="G2" s="174"/>
      <c r="H2" s="174"/>
      <c r="I2" s="174"/>
      <c r="J2" s="174"/>
      <c r="K2" s="174"/>
      <c r="L2" s="174"/>
      <c r="M2" s="174"/>
      <c r="N2" s="174"/>
      <c r="O2" s="174"/>
      <c r="P2" s="174"/>
      <c r="Q2" s="174"/>
      <c r="R2" s="174"/>
      <c r="S2" s="174"/>
      <c r="T2" s="174"/>
      <c r="U2" s="174"/>
      <c r="V2" s="174"/>
      <c r="W2" s="174"/>
      <c r="X2" s="174"/>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programacion visual</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53</v>
      </c>
      <c r="S4" s="42"/>
      <c r="T4" s="40"/>
      <c r="U4" s="39">
        <f>CARÁTULA!$C$19</f>
        <v>0</v>
      </c>
      <c r="V4" s="40"/>
      <c r="W4" s="40"/>
      <c r="X4" s="40"/>
    </row>
    <row r="5" spans="1:28" ht="12.75" customHeight="1" x14ac:dyDescent="0.3">
      <c r="B5" s="38" t="s">
        <v>23</v>
      </c>
      <c r="C5" s="97" t="str">
        <f>CARÁTULA!$C$23</f>
        <v>6to de Secundaria</v>
      </c>
      <c r="D5" s="40"/>
      <c r="E5" s="40"/>
      <c r="F5" s="40"/>
      <c r="G5" s="40"/>
      <c r="H5" s="40"/>
      <c r="I5" s="40"/>
      <c r="J5" s="40"/>
      <c r="K5" s="40"/>
      <c r="L5" s="40"/>
      <c r="M5" s="40"/>
      <c r="N5" s="38"/>
      <c r="O5" s="38"/>
      <c r="P5" s="38"/>
      <c r="Q5" s="38"/>
      <c r="R5" s="43" t="s">
        <v>24</v>
      </c>
      <c r="S5" s="44"/>
      <c r="T5" s="44"/>
      <c r="U5" s="192">
        <f ca="1">TODAY()</f>
        <v>44421</v>
      </c>
      <c r="V5" s="174"/>
      <c r="W5" s="174"/>
      <c r="X5" s="174"/>
    </row>
    <row r="6" spans="1:28" ht="12.75" customHeight="1" x14ac:dyDescent="0.3">
      <c r="B6" s="38"/>
      <c r="C6" s="217" t="s">
        <v>4</v>
      </c>
      <c r="D6" s="196"/>
      <c r="E6" s="196"/>
      <c r="F6" s="196"/>
      <c r="G6" s="196"/>
      <c r="H6" s="197"/>
      <c r="I6" s="217" t="s">
        <v>10</v>
      </c>
      <c r="J6" s="196"/>
      <c r="K6" s="196"/>
      <c r="L6" s="196"/>
      <c r="M6" s="196"/>
      <c r="N6" s="197"/>
      <c r="O6" s="217" t="s">
        <v>16</v>
      </c>
      <c r="P6" s="196"/>
      <c r="Q6" s="196"/>
      <c r="R6" s="196"/>
      <c r="S6" s="196"/>
      <c r="T6" s="197"/>
      <c r="U6" s="222" t="s">
        <v>109</v>
      </c>
      <c r="V6" s="218" t="s">
        <v>110</v>
      </c>
      <c r="W6" s="68"/>
      <c r="X6" s="68"/>
    </row>
    <row r="7" spans="1:28" ht="12" customHeight="1" x14ac:dyDescent="0.3">
      <c r="B7" s="47"/>
      <c r="C7" s="220"/>
      <c r="D7" s="196"/>
      <c r="E7" s="196"/>
      <c r="F7" s="196"/>
      <c r="G7" s="197"/>
      <c r="H7" s="221" t="s">
        <v>111</v>
      </c>
      <c r="I7" s="220"/>
      <c r="J7" s="196"/>
      <c r="K7" s="196"/>
      <c r="L7" s="196"/>
      <c r="M7" s="197"/>
      <c r="N7" s="221" t="s">
        <v>111</v>
      </c>
      <c r="O7" s="220"/>
      <c r="P7" s="196"/>
      <c r="Q7" s="196"/>
      <c r="R7" s="196"/>
      <c r="S7" s="197"/>
      <c r="T7" s="208" t="s">
        <v>111</v>
      </c>
      <c r="U7" s="219"/>
      <c r="V7" s="219"/>
      <c r="W7" s="40"/>
      <c r="X7" s="40"/>
    </row>
    <row r="8" spans="1:28" ht="67.5" customHeight="1" x14ac:dyDescent="0.3">
      <c r="A8" s="48" t="s">
        <v>56</v>
      </c>
      <c r="B8" s="49" t="s">
        <v>57</v>
      </c>
      <c r="C8" s="98" t="s">
        <v>82</v>
      </c>
      <c r="D8" s="99" t="s">
        <v>83</v>
      </c>
      <c r="E8" s="99" t="s">
        <v>85</v>
      </c>
      <c r="F8" s="99" t="s">
        <v>86</v>
      </c>
      <c r="G8" s="99" t="s">
        <v>112</v>
      </c>
      <c r="H8" s="204"/>
      <c r="I8" s="98" t="s">
        <v>82</v>
      </c>
      <c r="J8" s="99" t="s">
        <v>83</v>
      </c>
      <c r="K8" s="99" t="s">
        <v>85</v>
      </c>
      <c r="L8" s="99" t="s">
        <v>86</v>
      </c>
      <c r="M8" s="99" t="s">
        <v>112</v>
      </c>
      <c r="N8" s="204"/>
      <c r="O8" s="98" t="s">
        <v>82</v>
      </c>
      <c r="P8" s="99" t="s">
        <v>83</v>
      </c>
      <c r="Q8" s="99" t="s">
        <v>85</v>
      </c>
      <c r="R8" s="99" t="s">
        <v>86</v>
      </c>
      <c r="S8" s="99" t="s">
        <v>112</v>
      </c>
      <c r="T8" s="204"/>
      <c r="U8" s="204"/>
      <c r="V8" s="204"/>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28</v>
      </c>
      <c r="K9" s="31">
        <f>'VAL 2 TRIM'!AB9</f>
        <v>33</v>
      </c>
      <c r="L9" s="31">
        <f>'VAL 2 TRIM'!AA9</f>
        <v>10</v>
      </c>
      <c r="M9" s="31">
        <f>'VAL 2 TRIM'!AE9</f>
        <v>10</v>
      </c>
      <c r="N9" s="101">
        <f>'VAL 2 TRIM'!AG9</f>
        <v>91</v>
      </c>
      <c r="O9" s="31">
        <f>'VAL 3 TRIM'!C9</f>
        <v>10</v>
      </c>
      <c r="P9" s="31">
        <f>'VAL 3 TRIM'!O9</f>
        <v>35</v>
      </c>
      <c r="Q9" s="31">
        <f>'VAL 3 TRIM'!AB9</f>
        <v>35</v>
      </c>
      <c r="R9" s="31">
        <f>'VAL 3 TRIM'!AA9</f>
        <v>10</v>
      </c>
      <c r="S9" s="31">
        <f>'VAL 3 TRIM'!AE9</f>
        <v>10</v>
      </c>
      <c r="T9" s="101">
        <f>'VAL 3 TRIM'!AG9</f>
        <v>100</v>
      </c>
      <c r="U9" s="102">
        <f t="shared" ref="U9:U44" si="0">AVERAGE(H9,N9,T9)</f>
        <v>93.666666666666671</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31</v>
      </c>
      <c r="K10" s="31">
        <f>'VAL 2 TRIM'!AB10</f>
        <v>33</v>
      </c>
      <c r="L10" s="31">
        <f>'VAL 2 TRIM'!AA10</f>
        <v>10</v>
      </c>
      <c r="M10" s="31">
        <f>'VAL 2 TRIM'!AE10</f>
        <v>10</v>
      </c>
      <c r="N10" s="101">
        <f>'VAL 2 TRIM'!AG10</f>
        <v>94</v>
      </c>
      <c r="O10" s="31">
        <f>'VAL 3 TRIM'!C10</f>
        <v>10</v>
      </c>
      <c r="P10" s="31">
        <f>'VAL 3 TRIM'!O10</f>
        <v>35</v>
      </c>
      <c r="Q10" s="31">
        <f>'VAL 3 TRIM'!AB10</f>
        <v>35</v>
      </c>
      <c r="R10" s="31">
        <f>'VAL 3 TRIM'!AA10</f>
        <v>10</v>
      </c>
      <c r="S10" s="48">
        <f>'VAL 3 TRIM'!AE10</f>
        <v>10</v>
      </c>
      <c r="T10" s="101">
        <f>'VAL 3 TRIM'!AG10</f>
        <v>100</v>
      </c>
      <c r="U10" s="102">
        <f t="shared" si="0"/>
        <v>94.666666666666671</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18</v>
      </c>
      <c r="K11" s="31">
        <f>'VAL 2 TRIM'!AB11</f>
        <v>35</v>
      </c>
      <c r="L11" s="31">
        <f>'VAL 2 TRIM'!AA11</f>
        <v>10</v>
      </c>
      <c r="M11" s="31">
        <f>'VAL 2 TRIM'!AE11</f>
        <v>10</v>
      </c>
      <c r="N11" s="101">
        <f>'VAL 2 TRIM'!AG11</f>
        <v>83</v>
      </c>
      <c r="O11" s="31">
        <f>'VAL 3 TRIM'!C11</f>
        <v>10</v>
      </c>
      <c r="P11" s="31">
        <f>'VAL 3 TRIM'!O11</f>
        <v>35</v>
      </c>
      <c r="Q11" s="31">
        <f>'VAL 3 TRIM'!AB11</f>
        <v>35</v>
      </c>
      <c r="R11" s="31">
        <f>'VAL 3 TRIM'!AA11</f>
        <v>10</v>
      </c>
      <c r="S11" s="48">
        <f>'VAL 3 TRIM'!AE11</f>
        <v>10</v>
      </c>
      <c r="T11" s="101">
        <f>'VAL 3 TRIM'!AG11</f>
        <v>100</v>
      </c>
      <c r="U11" s="102">
        <f t="shared" si="0"/>
        <v>91</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t="str">
        <f>'VAL 2 TRIM'!O12</f>
        <v/>
      </c>
      <c r="K12" s="31">
        <f>'VAL 2 TRIM'!AB12</f>
        <v>32</v>
      </c>
      <c r="L12" s="31">
        <f>'VAL 2 TRIM'!AA12</f>
        <v>10</v>
      </c>
      <c r="M12" s="31">
        <f>'VAL 2 TRIM'!AE12</f>
        <v>10</v>
      </c>
      <c r="N12" s="101">
        <f>'VAL 2 TRIM'!AG12</f>
        <v>62</v>
      </c>
      <c r="O12" s="31">
        <f>'VAL 3 TRIM'!C12</f>
        <v>10</v>
      </c>
      <c r="P12" s="31">
        <f>'VAL 3 TRIM'!O12</f>
        <v>35</v>
      </c>
      <c r="Q12" s="31">
        <f>'VAL 3 TRIM'!AB12</f>
        <v>35</v>
      </c>
      <c r="R12" s="31">
        <f>'VAL 3 TRIM'!AA12</f>
        <v>10</v>
      </c>
      <c r="S12" s="48">
        <f>'VAL 3 TRIM'!AE12</f>
        <v>10</v>
      </c>
      <c r="T12" s="101">
        <f>'VAL 3 TRIM'!AG12</f>
        <v>100</v>
      </c>
      <c r="U12" s="102">
        <f t="shared" si="0"/>
        <v>70.666666666666671</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22</v>
      </c>
      <c r="K13" s="31">
        <f>'VAL 2 TRIM'!AB13</f>
        <v>32</v>
      </c>
      <c r="L13" s="31">
        <f>'VAL 2 TRIM'!AA13</f>
        <v>10</v>
      </c>
      <c r="M13" s="31">
        <f>'VAL 2 TRIM'!AE13</f>
        <v>10</v>
      </c>
      <c r="N13" s="101">
        <f>'VAL 2 TRIM'!AG13</f>
        <v>84</v>
      </c>
      <c r="O13" s="31">
        <f>'VAL 3 TRIM'!C13</f>
        <v>10</v>
      </c>
      <c r="P13" s="31">
        <f>'VAL 3 TRIM'!O13</f>
        <v>35</v>
      </c>
      <c r="Q13" s="31">
        <f>'VAL 3 TRIM'!AB13</f>
        <v>35</v>
      </c>
      <c r="R13" s="31">
        <f>'VAL 3 TRIM'!AA13</f>
        <v>10</v>
      </c>
      <c r="S13" s="48">
        <f>'VAL 3 TRIM'!AE13</f>
        <v>10</v>
      </c>
      <c r="T13" s="101">
        <f>'VAL 3 TRIM'!AG13</f>
        <v>100</v>
      </c>
      <c r="U13" s="102">
        <f t="shared" si="0"/>
        <v>91.333333333333329</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25</v>
      </c>
      <c r="K14" s="31">
        <f>'VAL 2 TRIM'!AB14</f>
        <v>33</v>
      </c>
      <c r="L14" s="31">
        <f>'VAL 2 TRIM'!AA14</f>
        <v>10</v>
      </c>
      <c r="M14" s="31">
        <f>'VAL 2 TRIM'!AE14</f>
        <v>10</v>
      </c>
      <c r="N14" s="101">
        <f>'VAL 2 TRIM'!AG14</f>
        <v>88</v>
      </c>
      <c r="O14" s="31">
        <f>'VAL 3 TRIM'!C14</f>
        <v>10</v>
      </c>
      <c r="P14" s="31">
        <f>'VAL 3 TRIM'!O14</f>
        <v>35</v>
      </c>
      <c r="Q14" s="31">
        <f>'VAL 3 TRIM'!AB14</f>
        <v>35</v>
      </c>
      <c r="R14" s="31">
        <f>'VAL 3 TRIM'!AA14</f>
        <v>10</v>
      </c>
      <c r="S14" s="48">
        <f>'VAL 3 TRIM'!AE14</f>
        <v>10</v>
      </c>
      <c r="T14" s="101">
        <f>'VAL 3 TRIM'!AG14</f>
        <v>100</v>
      </c>
      <c r="U14" s="102">
        <f t="shared" si="0"/>
        <v>92.666666666666671</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t="str">
        <f>'VAL 2 TRIM'!O15</f>
        <v/>
      </c>
      <c r="K15" s="31" t="str">
        <f>'VAL 2 TRIM'!AB15</f>
        <v/>
      </c>
      <c r="L15" s="31">
        <f>'VAL 2 TRIM'!AA15</f>
        <v>10</v>
      </c>
      <c r="M15" s="31">
        <f>'VAL 2 TRIM'!AE15</f>
        <v>10</v>
      </c>
      <c r="N15" s="101">
        <f>'VAL 2 TRIM'!AG15</f>
        <v>30</v>
      </c>
      <c r="O15" s="31">
        <f>'VAL 3 TRIM'!C15</f>
        <v>10</v>
      </c>
      <c r="P15" s="31">
        <f>'VAL 3 TRIM'!O15</f>
        <v>35</v>
      </c>
      <c r="Q15" s="31">
        <f>'VAL 3 TRIM'!AB15</f>
        <v>35</v>
      </c>
      <c r="R15" s="31">
        <f>'VAL 3 TRIM'!AA15</f>
        <v>10</v>
      </c>
      <c r="S15" s="48">
        <f>'VAL 3 TRIM'!AE15</f>
        <v>10</v>
      </c>
      <c r="T15" s="101">
        <f>'VAL 3 TRIM'!AG15</f>
        <v>100</v>
      </c>
      <c r="U15" s="102">
        <f t="shared" si="0"/>
        <v>73.333333333333329</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24</v>
      </c>
      <c r="K16" s="31">
        <f>'VAL 2 TRIM'!AB16</f>
        <v>31</v>
      </c>
      <c r="L16" s="31">
        <f>'VAL 2 TRIM'!AA16</f>
        <v>10</v>
      </c>
      <c r="M16" s="31">
        <f>'VAL 2 TRIM'!AE16</f>
        <v>10</v>
      </c>
      <c r="N16" s="101">
        <f>'VAL 2 TRIM'!AG16</f>
        <v>85</v>
      </c>
      <c r="O16" s="31">
        <f>'VAL 3 TRIM'!C16</f>
        <v>10</v>
      </c>
      <c r="P16" s="31">
        <f>'VAL 3 TRIM'!O16</f>
        <v>35</v>
      </c>
      <c r="Q16" s="31">
        <f>'VAL 3 TRIM'!AB16</f>
        <v>35</v>
      </c>
      <c r="R16" s="31">
        <f>'VAL 3 TRIM'!AA16</f>
        <v>10</v>
      </c>
      <c r="S16" s="48">
        <f>'VAL 3 TRIM'!AE16</f>
        <v>10</v>
      </c>
      <c r="T16" s="101">
        <f>'VAL 3 TRIM'!AG16</f>
        <v>100</v>
      </c>
      <c r="U16" s="102">
        <f t="shared" si="0"/>
        <v>91.666666666666671</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26</v>
      </c>
      <c r="K17" s="31">
        <f>'VAL 2 TRIM'!AB17</f>
        <v>33</v>
      </c>
      <c r="L17" s="31">
        <f>'VAL 2 TRIM'!AA17</f>
        <v>10</v>
      </c>
      <c r="M17" s="31">
        <f>'VAL 2 TRIM'!AE17</f>
        <v>10</v>
      </c>
      <c r="N17" s="101">
        <f>'VAL 2 TRIM'!AG17</f>
        <v>89</v>
      </c>
      <c r="O17" s="31">
        <f>'VAL 3 TRIM'!C17</f>
        <v>10</v>
      </c>
      <c r="P17" s="31">
        <f>'VAL 3 TRIM'!O17</f>
        <v>35</v>
      </c>
      <c r="Q17" s="31">
        <f>'VAL 3 TRIM'!AB17</f>
        <v>35</v>
      </c>
      <c r="R17" s="31">
        <f>'VAL 3 TRIM'!AA17</f>
        <v>10</v>
      </c>
      <c r="S17" s="48">
        <f>'VAL 3 TRIM'!AE17</f>
        <v>10</v>
      </c>
      <c r="T17" s="101">
        <f>'VAL 3 TRIM'!AG17</f>
        <v>100</v>
      </c>
      <c r="U17" s="102">
        <f t="shared" si="0"/>
        <v>93</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22</v>
      </c>
      <c r="K18" s="31">
        <f>'VAL 2 TRIM'!AB18</f>
        <v>31</v>
      </c>
      <c r="L18" s="31">
        <f>'VAL 2 TRIM'!AA18</f>
        <v>10</v>
      </c>
      <c r="M18" s="31">
        <f>'VAL 2 TRIM'!AE18</f>
        <v>10</v>
      </c>
      <c r="N18" s="101">
        <f>'VAL 2 TRIM'!AG18</f>
        <v>83</v>
      </c>
      <c r="O18" s="31">
        <f>'VAL 3 TRIM'!C18</f>
        <v>10</v>
      </c>
      <c r="P18" s="31">
        <f>'VAL 3 TRIM'!O18</f>
        <v>35</v>
      </c>
      <c r="Q18" s="31">
        <f>'VAL 3 TRIM'!AB18</f>
        <v>35</v>
      </c>
      <c r="R18" s="31">
        <f>'VAL 3 TRIM'!AA18</f>
        <v>10</v>
      </c>
      <c r="S18" s="48">
        <f>'VAL 3 TRIM'!AE18</f>
        <v>10</v>
      </c>
      <c r="T18" s="101">
        <f>'VAL 3 TRIM'!AG18</f>
        <v>100</v>
      </c>
      <c r="U18" s="102">
        <f t="shared" si="0"/>
        <v>91</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21</v>
      </c>
      <c r="K19" s="31">
        <f>'VAL 2 TRIM'!AB19</f>
        <v>32</v>
      </c>
      <c r="L19" s="31">
        <f>'VAL 2 TRIM'!AA19</f>
        <v>10</v>
      </c>
      <c r="M19" s="31">
        <f>'VAL 2 TRIM'!AE19</f>
        <v>10</v>
      </c>
      <c r="N19" s="101">
        <f>'VAL 2 TRIM'!AG19</f>
        <v>83</v>
      </c>
      <c r="O19" s="31">
        <f>'VAL 3 TRIM'!C19</f>
        <v>10</v>
      </c>
      <c r="P19" s="31">
        <f>'VAL 3 TRIM'!O19</f>
        <v>35</v>
      </c>
      <c r="Q19" s="31">
        <f>'VAL 3 TRIM'!AB19</f>
        <v>35</v>
      </c>
      <c r="R19" s="31">
        <f>'VAL 3 TRIM'!AA19</f>
        <v>10</v>
      </c>
      <c r="S19" s="48">
        <f>'VAL 3 TRIM'!AE19</f>
        <v>10</v>
      </c>
      <c r="T19" s="101">
        <f>'VAL 3 TRIM'!AG19</f>
        <v>100</v>
      </c>
      <c r="U19" s="102">
        <f t="shared" si="0"/>
        <v>91</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18</v>
      </c>
      <c r="K20" s="31">
        <f>'VAL 2 TRIM'!AB20</f>
        <v>33</v>
      </c>
      <c r="L20" s="31">
        <f>'VAL 2 TRIM'!AA20</f>
        <v>10</v>
      </c>
      <c r="M20" s="31">
        <f>'VAL 2 TRIM'!AE20</f>
        <v>10</v>
      </c>
      <c r="N20" s="101">
        <f>'VAL 2 TRIM'!AG20</f>
        <v>81</v>
      </c>
      <c r="O20" s="31">
        <f>'VAL 3 TRIM'!C20</f>
        <v>10</v>
      </c>
      <c r="P20" s="31">
        <f>'VAL 3 TRIM'!O20</f>
        <v>35</v>
      </c>
      <c r="Q20" s="31">
        <f>'VAL 3 TRIM'!AB20</f>
        <v>35</v>
      </c>
      <c r="R20" s="31">
        <f>'VAL 3 TRIM'!AA20</f>
        <v>10</v>
      </c>
      <c r="S20" s="48">
        <f>'VAL 3 TRIM'!AE20</f>
        <v>10</v>
      </c>
      <c r="T20" s="101">
        <f>'VAL 3 TRIM'!AG20</f>
        <v>100</v>
      </c>
      <c r="U20" s="102">
        <f t="shared" si="0"/>
        <v>90.333333333333329</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24</v>
      </c>
      <c r="K21" s="31">
        <f>'VAL 2 TRIM'!AB21</f>
        <v>30</v>
      </c>
      <c r="L21" s="31">
        <f>'VAL 2 TRIM'!AA21</f>
        <v>10</v>
      </c>
      <c r="M21" s="31">
        <f>'VAL 2 TRIM'!AE21</f>
        <v>10</v>
      </c>
      <c r="N21" s="101">
        <f>'VAL 2 TRIM'!AG21</f>
        <v>84</v>
      </c>
      <c r="O21" s="31">
        <f>'VAL 3 TRIM'!C21</f>
        <v>10</v>
      </c>
      <c r="P21" s="31">
        <f>'VAL 3 TRIM'!O21</f>
        <v>35</v>
      </c>
      <c r="Q21" s="31">
        <f>'VAL 3 TRIM'!AB21</f>
        <v>35</v>
      </c>
      <c r="R21" s="31">
        <f>'VAL 3 TRIM'!AA21</f>
        <v>10</v>
      </c>
      <c r="S21" s="48">
        <f>'VAL 3 TRIM'!AE21</f>
        <v>10</v>
      </c>
      <c r="T21" s="101">
        <f>'VAL 3 TRIM'!AG21</f>
        <v>100</v>
      </c>
      <c r="U21" s="102">
        <f t="shared" si="0"/>
        <v>91.333333333333329</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28</v>
      </c>
      <c r="K22" s="31">
        <f>'VAL 2 TRIM'!AB22</f>
        <v>26</v>
      </c>
      <c r="L22" s="31">
        <f>'VAL 2 TRIM'!AA22</f>
        <v>10</v>
      </c>
      <c r="M22" s="31">
        <f>'VAL 2 TRIM'!AE22</f>
        <v>10</v>
      </c>
      <c r="N22" s="101">
        <f>'VAL 2 TRIM'!AG22</f>
        <v>84</v>
      </c>
      <c r="O22" s="31">
        <f>'VAL 3 TRIM'!C22</f>
        <v>10</v>
      </c>
      <c r="P22" s="31">
        <f>'VAL 3 TRIM'!O22</f>
        <v>35</v>
      </c>
      <c r="Q22" s="31">
        <f>'VAL 3 TRIM'!AB22</f>
        <v>35</v>
      </c>
      <c r="R22" s="31">
        <f>'VAL 3 TRIM'!AA22</f>
        <v>10</v>
      </c>
      <c r="S22" s="48">
        <f>'VAL 3 TRIM'!AE22</f>
        <v>10</v>
      </c>
      <c r="T22" s="101">
        <f>'VAL 3 TRIM'!AG22</f>
        <v>100</v>
      </c>
      <c r="U22" s="102">
        <f t="shared" si="0"/>
        <v>91.333333333333329</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23</v>
      </c>
      <c r="K23" s="31">
        <f>'VAL 2 TRIM'!AB23</f>
        <v>33</v>
      </c>
      <c r="L23" s="31">
        <f>'VAL 2 TRIM'!AA23</f>
        <v>10</v>
      </c>
      <c r="M23" s="31">
        <f>'VAL 2 TRIM'!AE23</f>
        <v>10</v>
      </c>
      <c r="N23" s="101">
        <f>'VAL 2 TRIM'!AG23</f>
        <v>86</v>
      </c>
      <c r="O23" s="31">
        <f>'VAL 3 TRIM'!C23</f>
        <v>10</v>
      </c>
      <c r="P23" s="31">
        <f>'VAL 3 TRIM'!O23</f>
        <v>35</v>
      </c>
      <c r="Q23" s="31">
        <f>'VAL 3 TRIM'!AB23</f>
        <v>35</v>
      </c>
      <c r="R23" s="31">
        <f>'VAL 3 TRIM'!AA23</f>
        <v>10</v>
      </c>
      <c r="S23" s="48">
        <f>'VAL 3 TRIM'!AE23</f>
        <v>10</v>
      </c>
      <c r="T23" s="101">
        <f>'VAL 3 TRIM'!AG23</f>
        <v>100</v>
      </c>
      <c r="U23" s="102">
        <f t="shared" si="0"/>
        <v>92</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15</v>
      </c>
      <c r="K24" s="31" t="str">
        <f>'VAL 2 TRIM'!AB24</f>
        <v/>
      </c>
      <c r="L24" s="31">
        <f>'VAL 2 TRIM'!AA24</f>
        <v>10</v>
      </c>
      <c r="M24" s="31">
        <f>'VAL 2 TRIM'!AE24</f>
        <v>10</v>
      </c>
      <c r="N24" s="101">
        <f>'VAL 2 TRIM'!AG24</f>
        <v>45</v>
      </c>
      <c r="O24" s="31">
        <f>'VAL 3 TRIM'!C24</f>
        <v>10</v>
      </c>
      <c r="P24" s="31">
        <f>'VAL 3 TRIM'!O24</f>
        <v>35</v>
      </c>
      <c r="Q24" s="31">
        <f>'VAL 3 TRIM'!AB24</f>
        <v>35</v>
      </c>
      <c r="R24" s="31">
        <f>'VAL 3 TRIM'!AA24</f>
        <v>10</v>
      </c>
      <c r="S24" s="48">
        <f>'VAL 3 TRIM'!AE24</f>
        <v>10</v>
      </c>
      <c r="T24" s="101">
        <f>'VAL 3 TRIM'!AG24</f>
        <v>100</v>
      </c>
      <c r="U24" s="102">
        <f t="shared" si="0"/>
        <v>78.333333333333329</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26</v>
      </c>
      <c r="K25" s="31">
        <f>'VAL 2 TRIM'!AB25</f>
        <v>33</v>
      </c>
      <c r="L25" s="31">
        <f>'VAL 2 TRIM'!AA25</f>
        <v>10</v>
      </c>
      <c r="M25" s="31">
        <f>'VAL 2 TRIM'!AE25</f>
        <v>10</v>
      </c>
      <c r="N25" s="101">
        <f>'VAL 2 TRIM'!AG25</f>
        <v>89</v>
      </c>
      <c r="O25" s="31">
        <f>'VAL 3 TRIM'!C25</f>
        <v>10</v>
      </c>
      <c r="P25" s="31">
        <f>'VAL 3 TRIM'!O25</f>
        <v>35</v>
      </c>
      <c r="Q25" s="31">
        <f>'VAL 3 TRIM'!AB25</f>
        <v>35</v>
      </c>
      <c r="R25" s="31">
        <f>'VAL 3 TRIM'!AA25</f>
        <v>10</v>
      </c>
      <c r="S25" s="48">
        <f>'VAL 3 TRIM'!AE25</f>
        <v>10</v>
      </c>
      <c r="T25" s="101">
        <f>'VAL 3 TRIM'!AG25</f>
        <v>100</v>
      </c>
      <c r="U25" s="102">
        <f t="shared" si="0"/>
        <v>93</v>
      </c>
      <c r="V25" s="103" t="str">
        <f t="shared" si="1"/>
        <v>APROBADO</v>
      </c>
      <c r="W25" s="104"/>
      <c r="X25" s="104"/>
    </row>
    <row r="26" spans="1:24" ht="12" customHeight="1" x14ac:dyDescent="0.3">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t="str">
        <f>'VAL 2 TRIM'!O26</f>
        <v/>
      </c>
      <c r="K26" s="31" t="str">
        <f>'VAL 2 TRIM'!AB26</f>
        <v/>
      </c>
      <c r="L26" s="31">
        <f>'VAL 2 TRIM'!AA26</f>
        <v>10</v>
      </c>
      <c r="M26" s="31">
        <f>'VAL 2 TRIM'!AE26</f>
        <v>10</v>
      </c>
      <c r="N26" s="101">
        <f>'VAL 2 TRIM'!AG26</f>
        <v>30</v>
      </c>
      <c r="O26" s="31">
        <f>'VAL 3 TRIM'!C26</f>
        <v>10</v>
      </c>
      <c r="P26" s="31">
        <f>'VAL 3 TRIM'!O26</f>
        <v>35</v>
      </c>
      <c r="Q26" s="31">
        <f>'VAL 3 TRIM'!AB26</f>
        <v>35</v>
      </c>
      <c r="R26" s="31">
        <f>'VAL 3 TRIM'!AA26</f>
        <v>10</v>
      </c>
      <c r="S26" s="48">
        <f>'VAL 3 TRIM'!AE26</f>
        <v>10</v>
      </c>
      <c r="T26" s="101">
        <f>'VAL 3 TRIM'!AG26</f>
        <v>100</v>
      </c>
      <c r="U26" s="102">
        <f t="shared" si="0"/>
        <v>76.666666666666671</v>
      </c>
      <c r="V26" s="103" t="str">
        <f t="shared" si="1"/>
        <v>APROBADO</v>
      </c>
      <c r="W26" s="104"/>
      <c r="X26" s="104"/>
    </row>
    <row r="27" spans="1:24" ht="12" customHeight="1" x14ac:dyDescent="0.3">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18</v>
      </c>
      <c r="K27" s="31">
        <f>'VAL 2 TRIM'!AB27</f>
        <v>35</v>
      </c>
      <c r="L27" s="31">
        <f>'VAL 2 TRIM'!AA27</f>
        <v>10</v>
      </c>
      <c r="M27" s="31">
        <f>'VAL 2 TRIM'!AE27</f>
        <v>10</v>
      </c>
      <c r="N27" s="101">
        <f>'VAL 2 TRIM'!AG27</f>
        <v>83</v>
      </c>
      <c r="O27" s="31">
        <f>'VAL 3 TRIM'!C27</f>
        <v>10</v>
      </c>
      <c r="P27" s="31">
        <f>'VAL 3 TRIM'!O27</f>
        <v>35</v>
      </c>
      <c r="Q27" s="31">
        <f>'VAL 3 TRIM'!AB27</f>
        <v>35</v>
      </c>
      <c r="R27" s="31">
        <f>'VAL 3 TRIM'!AA27</f>
        <v>10</v>
      </c>
      <c r="S27" s="48">
        <f>'VAL 3 TRIM'!AE27</f>
        <v>10</v>
      </c>
      <c r="T27" s="101">
        <f>'VAL 3 TRIM'!AG27</f>
        <v>100</v>
      </c>
      <c r="U27" s="102">
        <f t="shared" si="0"/>
        <v>94.333333333333329</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178" t="s">
        <v>108</v>
      </c>
      <c r="C2" s="174"/>
      <c r="D2" s="174"/>
      <c r="E2" s="174"/>
      <c r="F2" s="174"/>
      <c r="G2" s="174"/>
      <c r="H2" s="174"/>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programacion visual</v>
      </c>
      <c r="M3" s="106"/>
    </row>
    <row r="4" spans="1:13" ht="12.75" customHeight="1" x14ac:dyDescent="0.3">
      <c r="B4" s="38" t="s">
        <v>14</v>
      </c>
      <c r="C4" s="39" t="str">
        <f>CARÁTULA!$C$21</f>
        <v>Secundaria</v>
      </c>
      <c r="D4" s="41"/>
      <c r="E4" s="40"/>
      <c r="F4" s="39"/>
      <c r="G4" s="40"/>
      <c r="H4" s="40"/>
      <c r="I4" s="40"/>
      <c r="J4" s="38" t="s">
        <v>53</v>
      </c>
      <c r="K4" s="106"/>
      <c r="L4" s="39">
        <f>CARÁTULA!$C$19</f>
        <v>0</v>
      </c>
      <c r="M4" s="106"/>
    </row>
    <row r="5" spans="1:13" ht="12.75" customHeight="1" x14ac:dyDescent="0.3">
      <c r="B5" s="38" t="s">
        <v>23</v>
      </c>
      <c r="C5" s="39" t="str">
        <f>CARÁTULA!$C$23</f>
        <v>6to de Secundaria</v>
      </c>
      <c r="D5" s="38"/>
      <c r="E5" s="44"/>
      <c r="F5" s="225"/>
      <c r="G5" s="214"/>
      <c r="H5" s="44"/>
      <c r="I5" s="44"/>
      <c r="J5" s="38" t="s">
        <v>24</v>
      </c>
      <c r="K5" s="106"/>
      <c r="L5" s="192">
        <f ca="1">TODAY()</f>
        <v>44421</v>
      </c>
      <c r="M5" s="174"/>
    </row>
    <row r="6" spans="1:13" ht="12.75" customHeight="1" x14ac:dyDescent="0.3">
      <c r="B6" s="38"/>
      <c r="C6" s="226" t="s">
        <v>113</v>
      </c>
      <c r="D6" s="196"/>
      <c r="E6" s="197"/>
      <c r="F6" s="222" t="s">
        <v>109</v>
      </c>
      <c r="G6" s="218" t="s">
        <v>110</v>
      </c>
      <c r="H6" s="68"/>
      <c r="I6" s="68"/>
    </row>
    <row r="7" spans="1:13" ht="12" customHeight="1" x14ac:dyDescent="0.3">
      <c r="B7" s="47"/>
      <c r="C7" s="223" t="s">
        <v>4</v>
      </c>
      <c r="D7" s="223" t="s">
        <v>114</v>
      </c>
      <c r="E7" s="224" t="s">
        <v>16</v>
      </c>
      <c r="F7" s="219"/>
      <c r="G7" s="219"/>
      <c r="H7" s="40"/>
      <c r="I7" s="40"/>
    </row>
    <row r="8" spans="1:13" ht="67.5" customHeight="1" x14ac:dyDescent="0.3">
      <c r="A8" s="48" t="s">
        <v>56</v>
      </c>
      <c r="B8" s="49" t="s">
        <v>57</v>
      </c>
      <c r="C8" s="204"/>
      <c r="D8" s="204"/>
      <c r="E8" s="204"/>
      <c r="F8" s="204"/>
      <c r="G8" s="204"/>
      <c r="H8" s="100"/>
      <c r="I8" s="100" t="s">
        <v>115</v>
      </c>
      <c r="J8" s="100" t="s">
        <v>116</v>
      </c>
      <c r="K8" s="100" t="s">
        <v>117</v>
      </c>
    </row>
    <row r="9" spans="1:13" ht="12" customHeight="1" x14ac:dyDescent="0.3">
      <c r="A9" s="59">
        <v>1</v>
      </c>
      <c r="B9" s="60" t="str">
        <f>'C. FILIACION'!B8</f>
        <v>ALTAMIRANO RAMOS ESTEFANI MILENKA</v>
      </c>
      <c r="C9" s="101">
        <f>'VAL 1 TRIM '!AG9</f>
        <v>90</v>
      </c>
      <c r="D9" s="101">
        <f>'VAL 2 TRIM'!AG9</f>
        <v>91</v>
      </c>
      <c r="E9" s="101">
        <f>'VAL 3 TRIM'!AG9</f>
        <v>100</v>
      </c>
      <c r="F9" s="102">
        <f>'CENTRAL 1'!U9</f>
        <v>93.666666666666671</v>
      </c>
      <c r="G9" s="103" t="str">
        <f t="shared" ref="G9:G44" si="0">IF(F9="","",(IF(AND(F9&gt;=1,F9&lt;=50.499),"REPROBADO",IF(AND(F9&gt;=50.5,F9&lt;=100),"APROBADO"))))</f>
        <v>APROBADO</v>
      </c>
      <c r="H9" s="104"/>
      <c r="I9" s="31">
        <f t="shared" ref="I9:K9" si="1">COUNTIF(C9:C44,"&gt;=51")</f>
        <v>35</v>
      </c>
      <c r="J9" s="107">
        <f t="shared" si="1"/>
        <v>33</v>
      </c>
      <c r="K9" s="107">
        <f t="shared" si="1"/>
        <v>36</v>
      </c>
    </row>
    <row r="10" spans="1:13" ht="12" customHeight="1" x14ac:dyDescent="0.3">
      <c r="A10" s="59">
        <v>2</v>
      </c>
      <c r="B10" s="60" t="str">
        <f>'C. FILIACION'!B9</f>
        <v>APAZA LINO TATIANA JAZMIN</v>
      </c>
      <c r="C10" s="101">
        <f>'VAL 1 TRIM '!AG10</f>
        <v>90</v>
      </c>
      <c r="D10" s="101">
        <f>'VAL 2 TRIM'!AG10</f>
        <v>94</v>
      </c>
      <c r="E10" s="101">
        <f>'VAL 3 TRIM'!AG10</f>
        <v>100</v>
      </c>
      <c r="F10" s="102">
        <f>'CENTRAL 1'!U10</f>
        <v>94.666666666666671</v>
      </c>
      <c r="G10" s="103" t="str">
        <f t="shared" si="0"/>
        <v>APROBADO</v>
      </c>
      <c r="H10" s="104"/>
      <c r="I10" s="108" t="s">
        <v>118</v>
      </c>
      <c r="J10" s="109"/>
    </row>
    <row r="11" spans="1:13" ht="12" customHeight="1" x14ac:dyDescent="0.3">
      <c r="A11" s="59">
        <v>3</v>
      </c>
      <c r="B11" s="60" t="str">
        <f>'C. FILIACION'!B10</f>
        <v>BOLAÑOS OVANDO MIJHAIL ALEXANDER</v>
      </c>
      <c r="C11" s="101">
        <f>'VAL 1 TRIM '!AG11</f>
        <v>90</v>
      </c>
      <c r="D11" s="101">
        <f>'VAL 2 TRIM'!AG11</f>
        <v>83</v>
      </c>
      <c r="E11" s="101">
        <f>'VAL 3 TRIM'!AG11</f>
        <v>100</v>
      </c>
      <c r="F11" s="102">
        <f>'CENTRAL 1'!U11</f>
        <v>91</v>
      </c>
      <c r="G11" s="103" t="str">
        <f t="shared" si="0"/>
        <v>APROBADO</v>
      </c>
      <c r="H11" s="104"/>
      <c r="I11" s="104"/>
    </row>
    <row r="12" spans="1:13" ht="12" customHeight="1" x14ac:dyDescent="0.3">
      <c r="A12" s="59">
        <v>4</v>
      </c>
      <c r="B12" s="60" t="str">
        <f>'C. FILIACION'!B11</f>
        <v>BRICHER ETHELBERT ISMAEL</v>
      </c>
      <c r="C12" s="101">
        <f>'VAL 1 TRIM '!AG12</f>
        <v>50</v>
      </c>
      <c r="D12" s="101">
        <f>'VAL 2 TRIM'!AG12</f>
        <v>62</v>
      </c>
      <c r="E12" s="101">
        <f>'VAL 3 TRIM'!AG12</f>
        <v>100</v>
      </c>
      <c r="F12" s="102">
        <f>'CENTRAL 1'!U12</f>
        <v>70.666666666666671</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84</v>
      </c>
      <c r="E13" s="101">
        <f>'VAL 3 TRIM'!AG13</f>
        <v>100</v>
      </c>
      <c r="F13" s="102">
        <f>'CENTRAL 1'!U13</f>
        <v>91.333333333333329</v>
      </c>
      <c r="G13" s="103" t="str">
        <f t="shared" si="0"/>
        <v>APROBADO</v>
      </c>
      <c r="H13" s="104"/>
      <c r="I13" s="107">
        <f t="shared" ref="I13:K13" si="2">COUNTIF(C9:C44,"&lt;=51")</f>
        <v>1</v>
      </c>
      <c r="J13" s="107">
        <f t="shared" si="2"/>
        <v>3</v>
      </c>
      <c r="K13" s="107">
        <f t="shared" si="2"/>
        <v>0</v>
      </c>
    </row>
    <row r="14" spans="1:13" ht="12" customHeight="1" x14ac:dyDescent="0.3">
      <c r="A14" s="59">
        <v>6</v>
      </c>
      <c r="B14" s="60" t="str">
        <f>'C. FILIACION'!B13</f>
        <v>GOMEZ BELTRAN ALBERT NORMAN</v>
      </c>
      <c r="C14" s="101">
        <f>'VAL 1 TRIM '!AG14</f>
        <v>90</v>
      </c>
      <c r="D14" s="101">
        <f>'VAL 2 TRIM'!AG14</f>
        <v>88</v>
      </c>
      <c r="E14" s="101">
        <f>'VAL 3 TRIM'!AG14</f>
        <v>100</v>
      </c>
      <c r="F14" s="102">
        <f>'CENTRAL 1'!U14</f>
        <v>92.666666666666671</v>
      </c>
      <c r="G14" s="103" t="str">
        <f t="shared" si="0"/>
        <v>APROBADO</v>
      </c>
      <c r="H14" s="104"/>
      <c r="I14" s="108" t="s">
        <v>119</v>
      </c>
    </row>
    <row r="15" spans="1:13" ht="12" customHeight="1" x14ac:dyDescent="0.3">
      <c r="A15" s="59">
        <v>7</v>
      </c>
      <c r="B15" s="60" t="str">
        <f>'C. FILIACION'!B14</f>
        <v>GOMEZ COSME MELANY KARINA</v>
      </c>
      <c r="C15" s="101">
        <f>'VAL 1 TRIM '!AG15</f>
        <v>90</v>
      </c>
      <c r="D15" s="101">
        <f>'VAL 2 TRIM'!AG15</f>
        <v>30</v>
      </c>
      <c r="E15" s="101">
        <f>'VAL 3 TRIM'!AG15</f>
        <v>100</v>
      </c>
      <c r="F15" s="102">
        <f>'CENTRAL 1'!U15</f>
        <v>73.333333333333329</v>
      </c>
      <c r="G15" s="103" t="str">
        <f t="shared" si="0"/>
        <v>APROBADO</v>
      </c>
      <c r="H15" s="104"/>
      <c r="I15" s="104"/>
    </row>
    <row r="16" spans="1:13" ht="12" customHeight="1" x14ac:dyDescent="0.3">
      <c r="A16" s="59">
        <v>8</v>
      </c>
      <c r="B16" s="60" t="str">
        <f>'C. FILIACION'!B15</f>
        <v>GONZALES ZUAZO KALEB RAMSES</v>
      </c>
      <c r="C16" s="101">
        <f>'VAL 1 TRIM '!AG16</f>
        <v>90</v>
      </c>
      <c r="D16" s="101">
        <f>'VAL 2 TRIM'!AG16</f>
        <v>85</v>
      </c>
      <c r="E16" s="101">
        <f>'VAL 3 TRIM'!AG16</f>
        <v>100</v>
      </c>
      <c r="F16" s="102">
        <f>'CENTRAL 1'!U16</f>
        <v>91.666666666666671</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89</v>
      </c>
      <c r="E17" s="101">
        <f>'VAL 3 TRIM'!AG17</f>
        <v>100</v>
      </c>
      <c r="F17" s="102">
        <f>'CENTRAL 1'!U17</f>
        <v>93</v>
      </c>
      <c r="G17" s="103" t="str">
        <f t="shared" si="0"/>
        <v>APROBADO</v>
      </c>
      <c r="H17" s="104"/>
      <c r="I17" s="104"/>
    </row>
    <row r="18" spans="1:9" ht="12" customHeight="1" x14ac:dyDescent="0.3">
      <c r="A18" s="59">
        <v>10</v>
      </c>
      <c r="B18" s="60" t="str">
        <f>'C. FILIACION'!B17</f>
        <v>LOBATON RODRIGUEZ JHONATAN A.</v>
      </c>
      <c r="C18" s="101">
        <f>'VAL 1 TRIM '!AG18</f>
        <v>90</v>
      </c>
      <c r="D18" s="101">
        <f>'VAL 2 TRIM'!AG18</f>
        <v>83</v>
      </c>
      <c r="E18" s="101">
        <f>'VAL 3 TRIM'!AG18</f>
        <v>100</v>
      </c>
      <c r="F18" s="102">
        <f>'CENTRAL 1'!U18</f>
        <v>91</v>
      </c>
      <c r="G18" s="103" t="str">
        <f t="shared" si="0"/>
        <v>APROBADO</v>
      </c>
      <c r="H18" s="104"/>
      <c r="I18" s="104"/>
    </row>
    <row r="19" spans="1:9" ht="12" customHeight="1" x14ac:dyDescent="0.3">
      <c r="A19" s="59">
        <v>11</v>
      </c>
      <c r="B19" s="60" t="str">
        <f>'C. FILIACION'!B18</f>
        <v>MAMANI LOPEZ DAFNE MILDRED</v>
      </c>
      <c r="C19" s="101">
        <f>'VAL 1 TRIM '!AG19</f>
        <v>90</v>
      </c>
      <c r="D19" s="101">
        <f>'VAL 2 TRIM'!AG19</f>
        <v>83</v>
      </c>
      <c r="E19" s="101">
        <f>'VAL 3 TRIM'!AG19</f>
        <v>100</v>
      </c>
      <c r="F19" s="102">
        <f>'CENTRAL 1'!U19</f>
        <v>91</v>
      </c>
      <c r="G19" s="103" t="str">
        <f t="shared" si="0"/>
        <v>APROBADO</v>
      </c>
      <c r="H19" s="104"/>
      <c r="I19" s="104"/>
    </row>
    <row r="20" spans="1:9" ht="12" customHeight="1" x14ac:dyDescent="0.3">
      <c r="A20" s="59">
        <v>12</v>
      </c>
      <c r="B20" s="60" t="str">
        <f>'C. FILIACION'!B19</f>
        <v>MARCONI PEREZ SINDEL LUANA</v>
      </c>
      <c r="C20" s="101">
        <f>'VAL 1 TRIM '!AG20</f>
        <v>90</v>
      </c>
      <c r="D20" s="101">
        <f>'VAL 2 TRIM'!AG20</f>
        <v>81</v>
      </c>
      <c r="E20" s="101">
        <f>'VAL 3 TRIM'!AG20</f>
        <v>100</v>
      </c>
      <c r="F20" s="102">
        <f>'CENTRAL 1'!U20</f>
        <v>90.333333333333329</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84</v>
      </c>
      <c r="E21" s="101">
        <f>'VAL 3 TRIM'!AG21</f>
        <v>100</v>
      </c>
      <c r="F21" s="102">
        <f>'CENTRAL 1'!U21</f>
        <v>91.333333333333329</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84</v>
      </c>
      <c r="E22" s="101">
        <f>'VAL 3 TRIM'!AG22</f>
        <v>100</v>
      </c>
      <c r="F22" s="102">
        <f>'CENTRAL 1'!U22</f>
        <v>91.333333333333329</v>
      </c>
      <c r="G22" s="103" t="str">
        <f t="shared" si="0"/>
        <v>APROBADO</v>
      </c>
      <c r="H22" s="104"/>
      <c r="I22" s="104"/>
    </row>
    <row r="23" spans="1:9" ht="12" customHeight="1" x14ac:dyDescent="0.3">
      <c r="A23" s="59">
        <v>15</v>
      </c>
      <c r="B23" s="60" t="str">
        <f>'C. FILIACION'!B22</f>
        <v>RUEDA ALVAREZ GREGORY STEVEN</v>
      </c>
      <c r="C23" s="101">
        <f>'VAL 1 TRIM '!AG23</f>
        <v>90</v>
      </c>
      <c r="D23" s="101">
        <f>'VAL 2 TRIM'!AG23</f>
        <v>86</v>
      </c>
      <c r="E23" s="101">
        <f>'VAL 3 TRIM'!AG23</f>
        <v>100</v>
      </c>
      <c r="F23" s="102">
        <f>'CENTRAL 1'!U23</f>
        <v>92</v>
      </c>
      <c r="G23" s="103" t="str">
        <f t="shared" si="0"/>
        <v>APROBADO</v>
      </c>
      <c r="H23" s="104"/>
      <c r="I23" s="104"/>
    </row>
    <row r="24" spans="1:9" ht="12" customHeight="1" x14ac:dyDescent="0.3">
      <c r="A24" s="59">
        <v>16</v>
      </c>
      <c r="B24" s="60" t="str">
        <f>'C. FILIACION'!B23</f>
        <v>VARGAS JOYCE BELEN</v>
      </c>
      <c r="C24" s="101">
        <f>'VAL 1 TRIM '!AG24</f>
        <v>90</v>
      </c>
      <c r="D24" s="101">
        <f>'VAL 2 TRIM'!AG24</f>
        <v>45</v>
      </c>
      <c r="E24" s="101">
        <f>'VAL 3 TRIM'!AG24</f>
        <v>100</v>
      </c>
      <c r="F24" s="102">
        <f>'CENTRAL 1'!U24</f>
        <v>78.333333333333329</v>
      </c>
      <c r="G24" s="103" t="str">
        <f t="shared" si="0"/>
        <v>APROBADO</v>
      </c>
      <c r="H24" s="104"/>
      <c r="I24" s="104"/>
    </row>
    <row r="25" spans="1:9" ht="12" customHeight="1" x14ac:dyDescent="0.3">
      <c r="A25" s="59">
        <v>17</v>
      </c>
      <c r="B25" s="60" t="str">
        <f>'C. FILIACION'!B24</f>
        <v>ZURITA JIMENEZ ELMER ARTURO</v>
      </c>
      <c r="C25" s="101">
        <f>'VAL 1 TRIM '!AG25</f>
        <v>90</v>
      </c>
      <c r="D25" s="101">
        <f>'VAL 2 TRIM'!AG25</f>
        <v>89</v>
      </c>
      <c r="E25" s="101">
        <f>'VAL 3 TRIM'!AG25</f>
        <v>100</v>
      </c>
      <c r="F25" s="102">
        <f>'CENTRAL 1'!U25</f>
        <v>93</v>
      </c>
      <c r="G25" s="103" t="str">
        <f t="shared" si="0"/>
        <v>APROBADO</v>
      </c>
      <c r="H25" s="104"/>
      <c r="I25" s="104"/>
    </row>
    <row r="26" spans="1:9" ht="12" customHeight="1" x14ac:dyDescent="0.3">
      <c r="A26" s="59">
        <v>18</v>
      </c>
      <c r="B26" s="60" t="str">
        <f>'C. FILIACION'!B25</f>
        <v>ADRIAN FLORES EDDY BEYMAR</v>
      </c>
      <c r="C26" s="101">
        <f>'VAL 1 TRIM '!AG26</f>
        <v>100</v>
      </c>
      <c r="D26" s="101">
        <f>'VAL 2 TRIM'!AG26</f>
        <v>30</v>
      </c>
      <c r="E26" s="101">
        <f>'VAL 3 TRIM'!AG26</f>
        <v>100</v>
      </c>
      <c r="F26" s="102">
        <f>'CENTRAL 1'!U26</f>
        <v>76.666666666666671</v>
      </c>
      <c r="G26" s="103" t="str">
        <f t="shared" si="0"/>
        <v>APROBADO</v>
      </c>
      <c r="H26" s="104"/>
      <c r="I26" s="104"/>
    </row>
    <row r="27" spans="1:9" ht="12" customHeight="1" x14ac:dyDescent="0.3">
      <c r="A27" s="59">
        <v>19</v>
      </c>
      <c r="B27" s="60" t="str">
        <f>'C. FILIACION'!B26</f>
        <v>Ventura Choque Danely Keyla</v>
      </c>
      <c r="C27" s="101">
        <f>'VAL 1 TRIM '!AG27</f>
        <v>100</v>
      </c>
      <c r="D27" s="101">
        <f>'VAL 2 TRIM'!AG27</f>
        <v>83</v>
      </c>
      <c r="E27" s="101">
        <f>'VAL 3 TRIM'!AG27</f>
        <v>100</v>
      </c>
      <c r="F27" s="102">
        <f>'CENTRAL 1'!U27</f>
        <v>94.333333333333329</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30" t="s">
        <v>120</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1" t="s">
        <v>137</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7" t="s">
        <v>138</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3">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3">
      <c r="A17" s="110"/>
      <c r="B17" s="213"/>
      <c r="C17" s="214"/>
      <c r="D17" s="214"/>
      <c r="E17" s="214"/>
      <c r="F17" s="214"/>
      <c r="G17" s="214"/>
      <c r="H17" s="214"/>
      <c r="I17" s="214"/>
      <c r="J17" s="215"/>
      <c r="K17" s="110"/>
      <c r="L17" s="110"/>
      <c r="M17" s="110"/>
      <c r="N17" s="110"/>
      <c r="O17" s="110"/>
      <c r="P17" s="110"/>
      <c r="Q17" s="110"/>
      <c r="R17" s="110"/>
      <c r="S17" s="110"/>
      <c r="T17" s="110"/>
      <c r="U17" s="110"/>
      <c r="V17" s="110"/>
      <c r="W17" s="110"/>
      <c r="X17" s="110"/>
      <c r="Y17" s="110"/>
      <c r="Z17" s="110"/>
    </row>
    <row r="18" spans="1:26" ht="16.5" customHeight="1" x14ac:dyDescent="0.3">
      <c r="A18" s="110"/>
      <c r="B18" s="227" t="s">
        <v>139</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3">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3">
      <c r="A20" s="110"/>
      <c r="B20" s="213"/>
      <c r="C20" s="214"/>
      <c r="D20" s="214"/>
      <c r="E20" s="214"/>
      <c r="F20" s="214"/>
      <c r="G20" s="214"/>
      <c r="H20" s="214"/>
      <c r="I20" s="214"/>
      <c r="J20" s="215"/>
      <c r="K20" s="110"/>
      <c r="L20" s="110"/>
      <c r="M20" s="110"/>
      <c r="N20" s="110"/>
      <c r="O20" s="110"/>
      <c r="P20" s="110"/>
      <c r="Q20" s="110"/>
      <c r="R20" s="110"/>
      <c r="S20" s="110"/>
      <c r="T20" s="110"/>
      <c r="U20" s="110"/>
      <c r="V20" s="110"/>
      <c r="W20" s="110"/>
      <c r="X20" s="110"/>
      <c r="Y20" s="110"/>
      <c r="Z20" s="110"/>
    </row>
    <row r="21" spans="1:26" ht="16.5" customHeight="1" x14ac:dyDescent="0.3">
      <c r="A21" s="110"/>
      <c r="B21" s="227" t="s">
        <v>140</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3">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3">
      <c r="A23" s="110"/>
      <c r="B23" s="213"/>
      <c r="C23" s="214"/>
      <c r="D23" s="214"/>
      <c r="E23" s="214"/>
      <c r="F23" s="214"/>
      <c r="G23" s="214"/>
      <c r="H23" s="214"/>
      <c r="I23" s="214"/>
      <c r="J23" s="215"/>
      <c r="K23" s="110"/>
      <c r="L23" s="110"/>
      <c r="M23" s="110"/>
      <c r="N23" s="110"/>
      <c r="O23" s="110"/>
      <c r="P23" s="110"/>
      <c r="Q23" s="110"/>
      <c r="R23" s="110"/>
      <c r="S23" s="110"/>
      <c r="T23" s="110"/>
      <c r="U23" s="110"/>
      <c r="V23" s="110"/>
      <c r="W23" s="110"/>
      <c r="X23" s="110"/>
      <c r="Y23" s="110"/>
      <c r="Z23" s="110"/>
    </row>
    <row r="24" spans="1:26" ht="16.5" customHeight="1" x14ac:dyDescent="0.3">
      <c r="A24" s="110"/>
      <c r="B24" s="227" t="s">
        <v>141</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3">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3">
      <c r="A26" s="110"/>
      <c r="B26" s="213"/>
      <c r="C26" s="214"/>
      <c r="D26" s="214"/>
      <c r="E26" s="214"/>
      <c r="F26" s="214"/>
      <c r="G26" s="214"/>
      <c r="H26" s="214"/>
      <c r="I26" s="214"/>
      <c r="J26" s="215"/>
      <c r="K26" s="110"/>
      <c r="L26" s="110"/>
      <c r="M26" s="110"/>
      <c r="N26" s="110"/>
      <c r="O26" s="110"/>
      <c r="P26" s="110"/>
      <c r="Q26" s="110"/>
      <c r="R26" s="110"/>
      <c r="S26" s="110"/>
      <c r="T26" s="110"/>
      <c r="U26" s="110"/>
      <c r="V26" s="110"/>
      <c r="W26" s="110"/>
      <c r="X26" s="110"/>
      <c r="Y26" s="110"/>
      <c r="Z26" s="110"/>
    </row>
    <row r="27" spans="1:26" ht="16.5" customHeight="1" x14ac:dyDescent="0.3">
      <c r="A27" s="110"/>
      <c r="B27" s="227" t="s">
        <v>142</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3">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3">
      <c r="A29" s="110"/>
      <c r="B29" s="213"/>
      <c r="C29" s="214"/>
      <c r="D29" s="214"/>
      <c r="E29" s="214"/>
      <c r="F29" s="214"/>
      <c r="G29" s="214"/>
      <c r="H29" s="214"/>
      <c r="I29" s="214"/>
      <c r="J29" s="215"/>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30" t="s">
        <v>144</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2 TRIM'!$AO$10</f>
        <v>1</v>
      </c>
      <c r="I8" s="118">
        <f>H8/H11</f>
        <v>2.7777777777777776E-2</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2 TRIM'!$AO$11</f>
        <v>8</v>
      </c>
      <c r="I9" s="118">
        <f>H9/H11</f>
        <v>0.22222222222222221</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2 TRIM'!$AO$12</f>
        <v>24</v>
      </c>
      <c r="I10" s="118">
        <f>H10/H11</f>
        <v>0.66666666666666663</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1" t="s">
        <v>137</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7" t="s">
        <v>138</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3">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3">
      <c r="A17" s="110"/>
      <c r="B17" s="213"/>
      <c r="C17" s="214"/>
      <c r="D17" s="214"/>
      <c r="E17" s="214"/>
      <c r="F17" s="214"/>
      <c r="G17" s="214"/>
      <c r="H17" s="214"/>
      <c r="I17" s="214"/>
      <c r="J17" s="215"/>
      <c r="K17" s="110"/>
      <c r="L17" s="110"/>
      <c r="M17" s="110"/>
      <c r="N17" s="110"/>
      <c r="O17" s="110"/>
      <c r="P17" s="110"/>
      <c r="Q17" s="110"/>
      <c r="R17" s="110"/>
      <c r="S17" s="110"/>
      <c r="T17" s="110"/>
      <c r="U17" s="110"/>
      <c r="V17" s="110"/>
      <c r="W17" s="110"/>
      <c r="X17" s="110"/>
      <c r="Y17" s="110"/>
      <c r="Z17" s="110"/>
    </row>
    <row r="18" spans="1:26" ht="16.5" customHeight="1" x14ac:dyDescent="0.3">
      <c r="A18" s="110"/>
      <c r="B18" s="227" t="s">
        <v>139</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3">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3">
      <c r="A20" s="110"/>
      <c r="B20" s="213"/>
      <c r="C20" s="214"/>
      <c r="D20" s="214"/>
      <c r="E20" s="214"/>
      <c r="F20" s="214"/>
      <c r="G20" s="214"/>
      <c r="H20" s="214"/>
      <c r="I20" s="214"/>
      <c r="J20" s="215"/>
      <c r="K20" s="110"/>
      <c r="L20" s="110"/>
      <c r="M20" s="110"/>
      <c r="N20" s="110"/>
      <c r="O20" s="110"/>
      <c r="P20" s="110"/>
      <c r="Q20" s="110"/>
      <c r="R20" s="110"/>
      <c r="S20" s="110"/>
      <c r="T20" s="110"/>
      <c r="U20" s="110"/>
      <c r="V20" s="110"/>
      <c r="W20" s="110"/>
      <c r="X20" s="110"/>
      <c r="Y20" s="110"/>
      <c r="Z20" s="110"/>
    </row>
    <row r="21" spans="1:26" ht="16.5" customHeight="1" x14ac:dyDescent="0.3">
      <c r="A21" s="110"/>
      <c r="B21" s="227" t="s">
        <v>140</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3">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3">
      <c r="A23" s="110"/>
      <c r="B23" s="213"/>
      <c r="C23" s="214"/>
      <c r="D23" s="214"/>
      <c r="E23" s="214"/>
      <c r="F23" s="214"/>
      <c r="G23" s="214"/>
      <c r="H23" s="214"/>
      <c r="I23" s="214"/>
      <c r="J23" s="215"/>
      <c r="K23" s="110"/>
      <c r="L23" s="110"/>
      <c r="M23" s="110"/>
      <c r="N23" s="110"/>
      <c r="O23" s="110"/>
      <c r="P23" s="110"/>
      <c r="Q23" s="110"/>
      <c r="R23" s="110"/>
      <c r="S23" s="110"/>
      <c r="T23" s="110"/>
      <c r="U23" s="110"/>
      <c r="V23" s="110"/>
      <c r="W23" s="110"/>
      <c r="X23" s="110"/>
      <c r="Y23" s="110"/>
      <c r="Z23" s="110"/>
    </row>
    <row r="24" spans="1:26" ht="16.5" customHeight="1" x14ac:dyDescent="0.3">
      <c r="A24" s="110"/>
      <c r="B24" s="227" t="s">
        <v>141</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3">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3">
      <c r="A26" s="110"/>
      <c r="B26" s="213"/>
      <c r="C26" s="214"/>
      <c r="D26" s="214"/>
      <c r="E26" s="214"/>
      <c r="F26" s="214"/>
      <c r="G26" s="214"/>
      <c r="H26" s="214"/>
      <c r="I26" s="214"/>
      <c r="J26" s="215"/>
      <c r="K26" s="110"/>
      <c r="L26" s="110"/>
      <c r="M26" s="110"/>
      <c r="N26" s="110"/>
      <c r="O26" s="110"/>
      <c r="P26" s="110"/>
      <c r="Q26" s="110"/>
      <c r="R26" s="110"/>
      <c r="S26" s="110"/>
      <c r="T26" s="110"/>
      <c r="U26" s="110"/>
      <c r="V26" s="110"/>
      <c r="W26" s="110"/>
      <c r="X26" s="110"/>
      <c r="Y26" s="110"/>
      <c r="Z26" s="110"/>
    </row>
    <row r="27" spans="1:26" ht="16.5" customHeight="1" x14ac:dyDescent="0.3">
      <c r="A27" s="110"/>
      <c r="B27" s="227" t="s">
        <v>142</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3">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3">
      <c r="A29" s="110"/>
      <c r="B29" s="213"/>
      <c r="C29" s="214"/>
      <c r="D29" s="214"/>
      <c r="E29" s="214"/>
      <c r="F29" s="214"/>
      <c r="G29" s="214"/>
      <c r="H29" s="214"/>
      <c r="I29" s="214"/>
      <c r="J29" s="215"/>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30" t="s">
        <v>145</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1" t="s">
        <v>137</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7" t="s">
        <v>138</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3">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3">
      <c r="A17" s="110"/>
      <c r="B17" s="213"/>
      <c r="C17" s="214"/>
      <c r="D17" s="214"/>
      <c r="E17" s="214"/>
      <c r="F17" s="214"/>
      <c r="G17" s="214"/>
      <c r="H17" s="214"/>
      <c r="I17" s="214"/>
      <c r="J17" s="215"/>
      <c r="K17" s="110"/>
      <c r="L17" s="110"/>
      <c r="M17" s="110"/>
      <c r="N17" s="110"/>
      <c r="O17" s="110"/>
      <c r="P17" s="110"/>
      <c r="Q17" s="110"/>
      <c r="R17" s="110"/>
      <c r="S17" s="110"/>
      <c r="T17" s="110"/>
      <c r="U17" s="110"/>
      <c r="V17" s="110"/>
      <c r="W17" s="110"/>
      <c r="X17" s="110"/>
      <c r="Y17" s="110"/>
      <c r="Z17" s="110"/>
    </row>
    <row r="18" spans="1:26" ht="16.5" customHeight="1" x14ac:dyDescent="0.3">
      <c r="A18" s="110"/>
      <c r="B18" s="227" t="s">
        <v>139</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3">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3">
      <c r="A20" s="110"/>
      <c r="B20" s="213"/>
      <c r="C20" s="214"/>
      <c r="D20" s="214"/>
      <c r="E20" s="214"/>
      <c r="F20" s="214"/>
      <c r="G20" s="214"/>
      <c r="H20" s="214"/>
      <c r="I20" s="214"/>
      <c r="J20" s="215"/>
      <c r="K20" s="110"/>
      <c r="L20" s="110"/>
      <c r="M20" s="110"/>
      <c r="N20" s="110"/>
      <c r="O20" s="110"/>
      <c r="P20" s="110"/>
      <c r="Q20" s="110"/>
      <c r="R20" s="110"/>
      <c r="S20" s="110"/>
      <c r="T20" s="110"/>
      <c r="U20" s="110"/>
      <c r="V20" s="110"/>
      <c r="W20" s="110"/>
      <c r="X20" s="110"/>
      <c r="Y20" s="110"/>
      <c r="Z20" s="110"/>
    </row>
    <row r="21" spans="1:26" ht="16.5" customHeight="1" x14ac:dyDescent="0.3">
      <c r="A21" s="110"/>
      <c r="B21" s="227" t="s">
        <v>140</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3">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3">
      <c r="A23" s="110"/>
      <c r="B23" s="213"/>
      <c r="C23" s="214"/>
      <c r="D23" s="214"/>
      <c r="E23" s="214"/>
      <c r="F23" s="214"/>
      <c r="G23" s="214"/>
      <c r="H23" s="214"/>
      <c r="I23" s="214"/>
      <c r="J23" s="215"/>
      <c r="K23" s="110"/>
      <c r="L23" s="110"/>
      <c r="M23" s="110"/>
      <c r="N23" s="110"/>
      <c r="O23" s="110"/>
      <c r="P23" s="110"/>
      <c r="Q23" s="110"/>
      <c r="R23" s="110"/>
      <c r="S23" s="110"/>
      <c r="T23" s="110"/>
      <c r="U23" s="110"/>
      <c r="V23" s="110"/>
      <c r="W23" s="110"/>
      <c r="X23" s="110"/>
      <c r="Y23" s="110"/>
      <c r="Z23" s="110"/>
    </row>
    <row r="24" spans="1:26" ht="16.5" customHeight="1" x14ac:dyDescent="0.3">
      <c r="A24" s="110"/>
      <c r="B24" s="227" t="s">
        <v>141</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3">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3">
      <c r="A26" s="110"/>
      <c r="B26" s="213"/>
      <c r="C26" s="214"/>
      <c r="D26" s="214"/>
      <c r="E26" s="214"/>
      <c r="F26" s="214"/>
      <c r="G26" s="214"/>
      <c r="H26" s="214"/>
      <c r="I26" s="214"/>
      <c r="J26" s="215"/>
      <c r="K26" s="110"/>
      <c r="L26" s="110"/>
      <c r="M26" s="110"/>
      <c r="N26" s="110"/>
      <c r="O26" s="110"/>
      <c r="P26" s="110"/>
      <c r="Q26" s="110"/>
      <c r="R26" s="110"/>
      <c r="S26" s="110"/>
      <c r="T26" s="110"/>
      <c r="U26" s="110"/>
      <c r="V26" s="110"/>
      <c r="W26" s="110"/>
      <c r="X26" s="110"/>
      <c r="Y26" s="110"/>
      <c r="Z26" s="110"/>
    </row>
    <row r="27" spans="1:26" ht="16.5" customHeight="1" x14ac:dyDescent="0.3">
      <c r="A27" s="110"/>
      <c r="B27" s="227" t="s">
        <v>142</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3">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3">
      <c r="A29" s="110"/>
      <c r="B29" s="213"/>
      <c r="C29" s="214"/>
      <c r="D29" s="214"/>
      <c r="E29" s="214"/>
      <c r="F29" s="214"/>
      <c r="G29" s="214"/>
      <c r="H29" s="214"/>
      <c r="I29" s="214"/>
      <c r="J29" s="215"/>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78" t="s">
        <v>146</v>
      </c>
      <c r="D2" s="174"/>
      <c r="E2" s="174"/>
      <c r="F2" s="174"/>
      <c r="G2" s="174"/>
      <c r="H2" s="174"/>
      <c r="I2" s="174"/>
      <c r="J2" s="174"/>
      <c r="K2" s="174"/>
      <c r="L2" s="174"/>
      <c r="M2" s="17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programacion visual</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53</v>
      </c>
      <c r="K4" s="39">
        <f>CARÁTULA!$C$19</f>
        <v>0</v>
      </c>
      <c r="L4" s="39"/>
      <c r="M4" s="39"/>
      <c r="N4" s="39"/>
      <c r="O4" s="40"/>
      <c r="P4" s="40"/>
      <c r="Q4" s="40"/>
      <c r="R4" s="40"/>
      <c r="S4" s="40"/>
      <c r="T4" s="40"/>
      <c r="U4" s="40"/>
      <c r="V4" s="40"/>
      <c r="W4" s="40"/>
      <c r="X4" s="40"/>
      <c r="Y4" s="40"/>
      <c r="Z4" s="40"/>
    </row>
    <row r="5" spans="1:26" ht="13.5" customHeight="1" x14ac:dyDescent="0.3">
      <c r="A5" s="40"/>
      <c r="B5" s="123" t="s">
        <v>23</v>
      </c>
      <c r="C5" s="40"/>
      <c r="D5" s="40"/>
      <c r="E5" s="40" t="str">
        <f>CARÁTULA!$C$23</f>
        <v>6to de Secundaria</v>
      </c>
      <c r="F5" s="40"/>
      <c r="G5" s="40"/>
      <c r="H5" s="40"/>
      <c r="I5" s="40"/>
      <c r="J5" s="43" t="s">
        <v>24</v>
      </c>
      <c r="K5" s="68">
        <f ca="1">TODAY()</f>
        <v>44421</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193" t="s">
        <v>147</v>
      </c>
      <c r="D10" s="174"/>
      <c r="E10" s="124"/>
      <c r="F10" s="40"/>
      <c r="G10" s="43" t="s">
        <v>148</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149</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150</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151</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193" t="s">
        <v>152</v>
      </c>
      <c r="D23" s="174"/>
      <c r="E23" s="40"/>
      <c r="F23" s="40"/>
      <c r="G23" s="43" t="s">
        <v>153</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149</v>
      </c>
      <c r="D24" s="40"/>
      <c r="E24" s="126">
        <f>'CENTRAL 2'!$J$9</f>
        <v>33</v>
      </c>
      <c r="F24" s="40"/>
      <c r="G24" s="127">
        <f t="shared" ref="G24:G25" si="1">E24/$E$26</f>
        <v>0.91666666666666663</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150</v>
      </c>
      <c r="D25" s="40"/>
      <c r="E25" s="129">
        <f>'CENTRAL 2'!$J$13</f>
        <v>3</v>
      </c>
      <c r="F25" s="40"/>
      <c r="G25" s="127">
        <f t="shared" si="1"/>
        <v>8.3333333333333329E-2</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151</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193" t="s">
        <v>154</v>
      </c>
      <c r="D35" s="174"/>
      <c r="E35" s="40"/>
      <c r="F35" s="40"/>
      <c r="G35" s="123" t="s">
        <v>155</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149</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150</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151</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33" t="s">
        <v>156</v>
      </c>
      <c r="D2" s="174"/>
      <c r="E2" s="174"/>
      <c r="F2" s="174"/>
      <c r="G2" s="174"/>
      <c r="H2" s="174"/>
      <c r="I2" s="174"/>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programacion visual</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53</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23</v>
      </c>
      <c r="C5" s="133"/>
      <c r="D5" s="133"/>
      <c r="E5" s="133" t="str">
        <f>CARÁTULA!$C$23</f>
        <v>6to de Secundaria</v>
      </c>
      <c r="F5" s="133"/>
      <c r="G5" s="132" t="s">
        <v>24</v>
      </c>
      <c r="H5" s="134">
        <f ca="1">TODAY()</f>
        <v>44421</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32" t="s">
        <v>157</v>
      </c>
      <c r="D8" s="136" t="s">
        <v>158</v>
      </c>
      <c r="E8" s="136" t="s">
        <v>159</v>
      </c>
      <c r="F8" s="137" t="s">
        <v>160</v>
      </c>
      <c r="G8" s="136" t="s">
        <v>161</v>
      </c>
      <c r="H8" s="136" t="s">
        <v>162</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19"/>
      <c r="D9" s="138" t="s">
        <v>163</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19"/>
      <c r="D10" s="138" t="s">
        <v>164</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19"/>
      <c r="D11" s="138" t="s">
        <v>165</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04"/>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32" t="s">
        <v>166</v>
      </c>
      <c r="D15" s="136" t="s">
        <v>158</v>
      </c>
      <c r="E15" s="136" t="s">
        <v>159</v>
      </c>
      <c r="F15" s="137" t="s">
        <v>160</v>
      </c>
      <c r="G15" s="136" t="s">
        <v>161</v>
      </c>
      <c r="H15" s="136" t="s">
        <v>162</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19"/>
      <c r="D16" s="138" t="s">
        <v>163</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19"/>
      <c r="D17" s="138" t="s">
        <v>164</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19"/>
      <c r="D18" s="138" t="s">
        <v>165</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04"/>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32" t="s">
        <v>167</v>
      </c>
      <c r="D22" s="136" t="s">
        <v>158</v>
      </c>
      <c r="E22" s="136" t="s">
        <v>159</v>
      </c>
      <c r="F22" s="137" t="s">
        <v>160</v>
      </c>
      <c r="G22" s="136" t="s">
        <v>161</v>
      </c>
      <c r="H22" s="136" t="s">
        <v>162</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19"/>
      <c r="D23" s="138" t="s">
        <v>163</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19"/>
      <c r="D24" s="138" t="s">
        <v>164</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19"/>
      <c r="D25" s="138" t="s">
        <v>165</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04"/>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32" t="s">
        <v>168</v>
      </c>
      <c r="D29" s="136" t="s">
        <v>158</v>
      </c>
      <c r="E29" s="136" t="s">
        <v>159</v>
      </c>
      <c r="F29" s="137" t="s">
        <v>160</v>
      </c>
      <c r="G29" s="136" t="s">
        <v>161</v>
      </c>
      <c r="H29" s="136" t="s">
        <v>162</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19"/>
      <c r="D30" s="138" t="s">
        <v>163</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19"/>
      <c r="D31" s="138" t="s">
        <v>164</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19"/>
      <c r="D32" s="138" t="s">
        <v>165</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04"/>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32" t="s">
        <v>169</v>
      </c>
      <c r="D36" s="136" t="s">
        <v>158</v>
      </c>
      <c r="E36" s="136" t="s">
        <v>159</v>
      </c>
      <c r="F36" s="137" t="s">
        <v>160</v>
      </c>
      <c r="G36" s="136" t="s">
        <v>161</v>
      </c>
      <c r="H36" s="136" t="s">
        <v>162</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19"/>
      <c r="D37" s="138" t="s">
        <v>163</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19"/>
      <c r="D38" s="138" t="s">
        <v>164</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19"/>
      <c r="D39" s="138" t="s">
        <v>165</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04"/>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32" t="s">
        <v>170</v>
      </c>
      <c r="D43" s="136" t="s">
        <v>158</v>
      </c>
      <c r="E43" s="136" t="s">
        <v>159</v>
      </c>
      <c r="F43" s="137" t="s">
        <v>160</v>
      </c>
      <c r="G43" s="136" t="s">
        <v>161</v>
      </c>
      <c r="H43" s="136" t="s">
        <v>162</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19"/>
      <c r="D44" s="138" t="s">
        <v>163</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19"/>
      <c r="D45" s="138" t="s">
        <v>164</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19"/>
      <c r="D46" s="138" t="s">
        <v>165</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04"/>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34" t="s">
        <v>171</v>
      </c>
      <c r="F3" s="174"/>
      <c r="G3" s="174"/>
      <c r="H3" s="174"/>
      <c r="I3" s="174"/>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programacion visual</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53</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23</v>
      </c>
      <c r="C8" s="19"/>
      <c r="D8" s="19"/>
      <c r="E8" s="19"/>
      <c r="F8" s="19"/>
      <c r="G8" s="40" t="str">
        <f>CARÁTULA!$C$23</f>
        <v>6to de Secundaria</v>
      </c>
      <c r="H8" s="144" t="s">
        <v>24</v>
      </c>
      <c r="I8" s="134">
        <f ca="1">TODAY()</f>
        <v>44421</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35" t="s">
        <v>172</v>
      </c>
      <c r="F16" s="236"/>
      <c r="G16" s="146" t="s">
        <v>25</v>
      </c>
      <c r="H16" s="147" t="s">
        <v>173</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37"/>
      <c r="F17" s="197"/>
      <c r="G17" s="149" t="str">
        <f>'C. FILIACION'!B8</f>
        <v>ALTAMIRANO RAMOS ESTEFANI MILENKA</v>
      </c>
      <c r="H17" s="150">
        <f>'CENTRAL 2'!F9</f>
        <v>93.666666666666671</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37"/>
      <c r="F18" s="197"/>
      <c r="G18" s="149" t="str">
        <f>'C. FILIACION'!B9</f>
        <v>APAZA LINO TATIANA JAZMIN</v>
      </c>
      <c r="H18" s="150">
        <f>'CENTRAL 2'!F10</f>
        <v>94.666666666666671</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37"/>
      <c r="F19" s="197"/>
      <c r="G19" s="149" t="str">
        <f>'C. FILIACION'!B10</f>
        <v>BOLAÑOS OVANDO MIJHAIL ALEXANDER</v>
      </c>
      <c r="H19" s="150">
        <f>'CENTRAL 2'!F11</f>
        <v>91</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37"/>
      <c r="F20" s="197"/>
      <c r="G20" s="149" t="str">
        <f>'C. FILIACION'!B11</f>
        <v>BRICHER ETHELBERT ISMAEL</v>
      </c>
      <c r="H20" s="150">
        <f>'CENTRAL 2'!F12</f>
        <v>70.666666666666671</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37"/>
      <c r="F21" s="197"/>
      <c r="G21" s="149" t="str">
        <f>'C. FILIACION'!B12</f>
        <v>CANAVIRI QUISBERT ALEJANDRA ELENA</v>
      </c>
      <c r="H21" s="150">
        <f>'CENTRAL 2'!F13</f>
        <v>91.333333333333329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37"/>
      <c r="F22" s="197"/>
      <c r="G22" s="149" t="str">
        <f>'C. FILIACION'!B13</f>
        <v>GOMEZ BELTRAN ALBERT NORMAN</v>
      </c>
      <c r="H22" s="150">
        <f>'CENTRAL 2'!F14</f>
        <v>92.666666666666671</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37"/>
      <c r="F23" s="197"/>
      <c r="G23" s="149" t="str">
        <f>'C. FILIACION'!B14</f>
        <v>GOMEZ COSME MELANY KARINA</v>
      </c>
      <c r="H23" s="150">
        <f>'CENTRAL 2'!F15</f>
        <v>73.333333333333329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37"/>
      <c r="F24" s="197"/>
      <c r="G24" s="149" t="str">
        <f>'C. FILIACION'!B15</f>
        <v>GONZALES ZUAZO KALEB RAMSES</v>
      </c>
      <c r="H24" s="150">
        <f>'CENTRAL 2'!F16</f>
        <v>91.666666666666671</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37"/>
      <c r="F25" s="197"/>
      <c r="G25" s="149" t="str">
        <f>'C. FILIACION'!B16</f>
        <v>LEDEZMA AGUILAR ELVIS JHEFERSON</v>
      </c>
      <c r="H25" s="150">
        <f>'CENTRAL 2'!F17</f>
        <v>93</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37"/>
      <c r="F26" s="197"/>
      <c r="G26" s="149" t="str">
        <f>'C. FILIACION'!B17</f>
        <v>LOBATON RODRIGUEZ JHONATAN A.</v>
      </c>
      <c r="H26" s="150">
        <f>'CENTRAL 2'!F18</f>
        <v>91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37"/>
      <c r="F27" s="197"/>
      <c r="G27" s="149" t="str">
        <f>'C. FILIACION'!B18</f>
        <v>MAMANI LOPEZ DAFNE MILDRED</v>
      </c>
      <c r="H27" s="150">
        <f>'CENTRAL 2'!F19</f>
        <v>91</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37"/>
      <c r="F28" s="197"/>
      <c r="G28" s="149" t="str">
        <f>'C. FILIACION'!B19</f>
        <v>MARCONI PEREZ SINDEL LUANA</v>
      </c>
      <c r="H28" s="150">
        <f>'CENTRAL 2'!F20</f>
        <v>90.333333333333329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37"/>
      <c r="F29" s="197"/>
      <c r="G29" s="149" t="str">
        <f>'C. FILIACION'!B20</f>
        <v>MENACHO LINEO ANDREA KIMBERLY</v>
      </c>
      <c r="H29" s="150">
        <f>'CENTRAL 2'!F21</f>
        <v>91.333333333333329</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37"/>
      <c r="F30" s="197"/>
      <c r="G30" s="149" t="str">
        <f>'C. FILIACION'!B21</f>
        <v>PILLCO APAZA MARIAN ALEXANDRA</v>
      </c>
      <c r="H30" s="150">
        <f>'CENTRAL 2'!F22</f>
        <v>91.333333333333329</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37"/>
      <c r="F31" s="197"/>
      <c r="G31" s="149" t="str">
        <f>'C. FILIACION'!B22</f>
        <v>RUEDA ALVAREZ GREGORY STEVEN</v>
      </c>
      <c r="H31" s="150">
        <f>'CENTRAL 2'!F23</f>
        <v>92</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37"/>
      <c r="F32" s="197"/>
      <c r="G32" s="149" t="str">
        <f>'C. FILIACION'!B23</f>
        <v>VARGAS JOYCE BELEN</v>
      </c>
      <c r="H32" s="150">
        <f>'CENTRAL 2'!F24</f>
        <v>78.333333333333329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37"/>
      <c r="F33" s="197"/>
      <c r="G33" s="149" t="str">
        <f>'C. FILIACION'!B24</f>
        <v>ZURITA JIMENEZ ELMER ARTURO</v>
      </c>
      <c r="H33" s="150">
        <f>'CENTRAL 2'!F25</f>
        <v>93</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37"/>
      <c r="F34" s="197"/>
      <c r="G34" s="149" t="str">
        <f>'C. FILIACION'!B25</f>
        <v>ADRIAN FLORES EDDY BEYMAR</v>
      </c>
      <c r="H34" s="150">
        <f>'CENTRAL 2'!F26</f>
        <v>76.666666666666671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238"/>
      <c r="F35" s="197"/>
      <c r="G35" s="149" t="str">
        <f>'C. FILIACION'!B26</f>
        <v>Ventura Choque Danely Keyla</v>
      </c>
      <c r="H35" s="150">
        <f>'CENTRAL 2'!F27</f>
        <v>94.333333333333329</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37"/>
      <c r="F36" s="197"/>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37"/>
      <c r="F37" s="197"/>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37"/>
      <c r="F38" s="197"/>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37"/>
      <c r="F39" s="197"/>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37"/>
      <c r="F40" s="197"/>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37"/>
      <c r="F41" s="197"/>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37"/>
      <c r="F42" s="197"/>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37"/>
      <c r="F43" s="197"/>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37"/>
      <c r="F44" s="197"/>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37"/>
      <c r="F45" s="197"/>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37"/>
      <c r="F46" s="197"/>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37"/>
      <c r="F47" s="197"/>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37"/>
      <c r="F48" s="197"/>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37"/>
      <c r="F49" s="197"/>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37"/>
      <c r="F50" s="197"/>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37"/>
      <c r="F51" s="197"/>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37"/>
      <c r="F52" s="197"/>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37"/>
      <c r="F53" s="197"/>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37"/>
      <c r="F54" s="197"/>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37"/>
      <c r="F55" s="197"/>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37"/>
      <c r="F56" s="197"/>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37"/>
      <c r="F57" s="197"/>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37"/>
      <c r="F58" s="197"/>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37"/>
      <c r="F59" s="197"/>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239"/>
      <c r="F60" s="240"/>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Hoja1</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2021-08-13T05:04:01Z</dcterms:modified>
</cp:coreProperties>
</file>